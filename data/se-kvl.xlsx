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jonairse.sharepoint.com/sites/JonairOperation/Delade dokument/Funktionstest excel/"/>
    </mc:Choice>
  </mc:AlternateContent>
  <xr:revisionPtr revIDLastSave="205" documentId="11_0E6C90A36455727018E00C91CE9EC6615BE1067C" xr6:coauthVersionLast="47" xr6:coauthVersionMax="47" xr10:uidLastSave="{79938D7E-EA44-4E4A-936F-784DDF08AB80}"/>
  <bookViews>
    <workbookView xWindow="-108" yWindow="-108" windowWidth="23256" windowHeight="12456" tabRatio="500" xr2:uid="{00000000-000D-0000-FFFF-FFFF00000000}"/>
  </bookViews>
  <sheets>
    <sheet name="Take-off" sheetId="1" r:id="rId1"/>
    <sheet name="Landing" sheetId="2" r:id="rId2"/>
    <sheet name="Airport data" sheetId="3" r:id="rId3"/>
    <sheet name="Dropdown lists" sheetId="4" r:id="rId4"/>
    <sheet name="LDG Performance" sheetId="5" state="hidden" r:id="rId5"/>
    <sheet name="TAKE OFF Performance FLAPS UP" sheetId="6" r:id="rId6"/>
    <sheet name="TAKE OFF Performance FLAPS APPR" sheetId="7" r:id="rId7"/>
    <sheet name="Landing distance data" sheetId="8" r:id="rId8"/>
    <sheet name="Accelerate and GO (2)" sheetId="9" r:id="rId9"/>
    <sheet name="Accelerate and stop2" sheetId="10" r:id="rId10"/>
    <sheet name="OEI CLIMB GRADIENT" sheetId="11" r:id="rId11"/>
    <sheet name="NET GRADIENT OF CLIMB" sheetId="12" r:id="rId12"/>
    <sheet name="Takeoff distance (2)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86" i="13" l="1"/>
  <c r="P86" i="13"/>
  <c r="C86" i="13"/>
  <c r="AE84" i="13"/>
  <c r="R84" i="13"/>
  <c r="E84" i="13"/>
  <c r="AE83" i="13"/>
  <c r="AC87" i="13" s="1" a="1"/>
  <c r="AC87" i="13" s="1"/>
  <c r="R83" i="13"/>
  <c r="P87" i="13" s="1" a="1"/>
  <c r="P87" i="13" s="1"/>
  <c r="E83" i="13"/>
  <c r="AE65" i="13"/>
  <c r="R65" i="13"/>
  <c r="E65" i="13"/>
  <c r="AE64" i="13"/>
  <c r="R64" i="13"/>
  <c r="E64" i="13"/>
  <c r="AC46" i="13"/>
  <c r="P46" i="13"/>
  <c r="C46" i="13"/>
  <c r="AE45" i="13"/>
  <c r="R45" i="13"/>
  <c r="E45" i="13"/>
  <c r="AE44" i="13"/>
  <c r="R44" i="13"/>
  <c r="E44" i="13"/>
  <c r="AE19" i="13"/>
  <c r="R19" i="13"/>
  <c r="E19" i="13"/>
  <c r="AE18" i="13"/>
  <c r="R18" i="13"/>
  <c r="E18" i="13"/>
  <c r="D2" i="13"/>
  <c r="C20" i="13" s="1"/>
  <c r="C21" i="13" s="1"/>
  <c r="AC47" i="12"/>
  <c r="P47" i="12"/>
  <c r="P48" i="12" s="1"/>
  <c r="C47" i="12"/>
  <c r="AE46" i="12"/>
  <c r="R46" i="12"/>
  <c r="E46" i="12"/>
  <c r="AE45" i="12"/>
  <c r="R45" i="12"/>
  <c r="E45" i="12"/>
  <c r="AE20" i="12"/>
  <c r="R20" i="12"/>
  <c r="E20" i="12"/>
  <c r="AE19" i="12"/>
  <c r="R19" i="12"/>
  <c r="E19" i="12"/>
  <c r="D2" i="12"/>
  <c r="C21" i="12" s="1"/>
  <c r="C22" i="12" s="1"/>
  <c r="C46" i="11"/>
  <c r="E45" i="11"/>
  <c r="E44" i="11"/>
  <c r="P39" i="11"/>
  <c r="R37" i="11"/>
  <c r="R36" i="11"/>
  <c r="P40" i="11" s="1" a="1"/>
  <c r="P40" i="11" s="1"/>
  <c r="E19" i="11"/>
  <c r="E18" i="11"/>
  <c r="D2" i="11"/>
  <c r="C20" i="11" s="1"/>
  <c r="AE65" i="10"/>
  <c r="AE64" i="10"/>
  <c r="R64" i="10"/>
  <c r="E65" i="10"/>
  <c r="R63" i="10"/>
  <c r="E64" i="10"/>
  <c r="AC46" i="10"/>
  <c r="AC47" i="10" s="1"/>
  <c r="AE45" i="10"/>
  <c r="P45" i="10"/>
  <c r="P46" i="10" s="1"/>
  <c r="C46" i="10"/>
  <c r="AE44" i="10"/>
  <c r="R44" i="10"/>
  <c r="E45" i="10"/>
  <c r="R43" i="10"/>
  <c r="E44" i="10"/>
  <c r="AE19" i="10"/>
  <c r="AE18" i="10"/>
  <c r="R18" i="10"/>
  <c r="E19" i="10"/>
  <c r="R17" i="10"/>
  <c r="E18" i="10"/>
  <c r="D2" i="10"/>
  <c r="AC20" i="10" s="1"/>
  <c r="AF65" i="9"/>
  <c r="AF64" i="9"/>
  <c r="R64" i="9"/>
  <c r="E65" i="9"/>
  <c r="R63" i="9"/>
  <c r="E64" i="9"/>
  <c r="AC46" i="9"/>
  <c r="AE45" i="9"/>
  <c r="P45" i="9"/>
  <c r="C46" i="9"/>
  <c r="AE44" i="9"/>
  <c r="R44" i="9"/>
  <c r="E45" i="9"/>
  <c r="R43" i="9"/>
  <c r="P47" i="9" s="1" a="1"/>
  <c r="P47" i="9" s="1"/>
  <c r="E44" i="9"/>
  <c r="AE19" i="9"/>
  <c r="AE18" i="9"/>
  <c r="R18" i="9"/>
  <c r="E19" i="9"/>
  <c r="R17" i="9"/>
  <c r="E18" i="9"/>
  <c r="D2" i="9"/>
  <c r="C20" i="9" s="1"/>
  <c r="K92" i="8"/>
  <c r="C92" i="8"/>
  <c r="M90" i="8"/>
  <c r="E90" i="8"/>
  <c r="M89" i="8"/>
  <c r="E89" i="8"/>
  <c r="M71" i="8"/>
  <c r="E71" i="8"/>
  <c r="M70" i="8"/>
  <c r="E70" i="8"/>
  <c r="K51" i="8"/>
  <c r="C51" i="8"/>
  <c r="C52" i="8" s="1"/>
  <c r="M50" i="8"/>
  <c r="E50" i="8"/>
  <c r="M49" i="8"/>
  <c r="E49" i="8"/>
  <c r="M25" i="8"/>
  <c r="E25" i="8"/>
  <c r="M24" i="8"/>
  <c r="E24" i="8"/>
  <c r="G2" i="8"/>
  <c r="K26" i="8" s="1"/>
  <c r="D2" i="8"/>
  <c r="C26" i="8" s="1"/>
  <c r="G1" i="8"/>
  <c r="K23" i="8" s="1"/>
  <c r="E19" i="7" a="1"/>
  <c r="E19" i="7" s="1"/>
  <c r="I18" i="7"/>
  <c r="I17" i="7"/>
  <c r="I20" i="7" s="1" a="1"/>
  <c r="I20" i="7" s="1"/>
  <c r="E17" i="7"/>
  <c r="E21" i="7" s="1" a="1"/>
  <c r="E21" i="7" s="1"/>
  <c r="I16" i="7"/>
  <c r="E16" i="7"/>
  <c r="I14" i="7"/>
  <c r="E14" i="7"/>
  <c r="I13" i="7"/>
  <c r="I21" i="7" s="1" a="1"/>
  <c r="I21" i="7" s="1"/>
  <c r="E13" i="7"/>
  <c r="H8" i="7"/>
  <c r="I19" i="6"/>
  <c r="I18" i="6"/>
  <c r="I17" i="6"/>
  <c r="E17" i="6"/>
  <c r="E20" i="6" s="1" a="1"/>
  <c r="E20" i="6" s="1"/>
  <c r="I16" i="6"/>
  <c r="I21" i="6" s="1" a="1"/>
  <c r="I21" i="6" s="1"/>
  <c r="E16" i="6"/>
  <c r="I14" i="6"/>
  <c r="E14" i="6"/>
  <c r="I13" i="6"/>
  <c r="E13" i="6"/>
  <c r="E19" i="6" s="1" a="1"/>
  <c r="E19" i="6" s="1"/>
  <c r="H8" i="6"/>
  <c r="D81" i="5"/>
  <c r="B81" i="5"/>
  <c r="C79" i="5"/>
  <c r="C78" i="5"/>
  <c r="C55" i="5"/>
  <c r="B32" i="5"/>
  <c r="M16" i="5"/>
  <c r="M20" i="5" s="1" a="1"/>
  <c r="M20" i="5" s="1"/>
  <c r="K16" i="5"/>
  <c r="K20" i="5" s="1" a="1"/>
  <c r="K20" i="5" s="1"/>
  <c r="I16" i="5"/>
  <c r="I20" i="5" s="1" a="1"/>
  <c r="I20" i="5" s="1"/>
  <c r="E16" i="5"/>
  <c r="M15" i="5"/>
  <c r="K15" i="5"/>
  <c r="I15" i="5"/>
  <c r="E15" i="5"/>
  <c r="C13" i="5"/>
  <c r="C12" i="5"/>
  <c r="C29" i="2"/>
  <c r="G22" i="2"/>
  <c r="C20" i="2"/>
  <c r="C18" i="2"/>
  <c r="D36" i="2" s="1"/>
  <c r="C17" i="2"/>
  <c r="C16" i="2"/>
  <c r="C103" i="8" s="1"/>
  <c r="C15" i="2"/>
  <c r="C14" i="2"/>
  <c r="C70" i="1"/>
  <c r="C69" i="1"/>
  <c r="B59" i="1"/>
  <c r="B58" i="1"/>
  <c r="F25" i="1"/>
  <c r="G24" i="1"/>
  <c r="C22" i="1"/>
  <c r="C21" i="1"/>
  <c r="C57" i="1" s="1"/>
  <c r="C20" i="1"/>
  <c r="G19" i="1"/>
  <c r="C19" i="1"/>
  <c r="D56" i="1" s="1"/>
  <c r="C18" i="1"/>
  <c r="B34" i="6" s="1"/>
  <c r="C17" i="1"/>
  <c r="C16" i="1"/>
  <c r="D1" i="10" s="1"/>
  <c r="G12" i="1"/>
  <c r="C22" i="11" l="1" a="1"/>
  <c r="C22" i="11" s="1"/>
  <c r="P21" i="12"/>
  <c r="P23" i="12" s="1" a="1"/>
  <c r="P23" i="12" s="1"/>
  <c r="C48" i="9" a="1"/>
  <c r="C48" i="9" s="1"/>
  <c r="C20" i="10"/>
  <c r="C21" i="10" s="1"/>
  <c r="P47" i="10" a="1"/>
  <c r="P47" i="10" s="1"/>
  <c r="P19" i="10"/>
  <c r="P24" i="10" s="1"/>
  <c r="P20" i="13"/>
  <c r="P22" i="13" s="1" a="1"/>
  <c r="P22" i="13" s="1"/>
  <c r="D1" i="11"/>
  <c r="C17" i="11" s="1"/>
  <c r="C24" i="11" s="1" a="1"/>
  <c r="C24" i="11" s="1"/>
  <c r="D1" i="8"/>
  <c r="C23" i="8" s="1"/>
  <c r="I22" i="7"/>
  <c r="P16" i="10"/>
  <c r="C17" i="10"/>
  <c r="C26" i="10" s="1" a="1"/>
  <c r="C26" i="10" s="1"/>
  <c r="AC17" i="10"/>
  <c r="AC26" i="10" s="1" a="1"/>
  <c r="AC26" i="10" s="1"/>
  <c r="K29" i="8"/>
  <c r="D30" i="6"/>
  <c r="D31" i="7"/>
  <c r="D28" i="7"/>
  <c r="D32" i="6"/>
  <c r="D29" i="7"/>
  <c r="K103" i="8"/>
  <c r="D29" i="6"/>
  <c r="D30" i="7"/>
  <c r="D31" i="6"/>
  <c r="D32" i="7"/>
  <c r="D28" i="6"/>
  <c r="K24" i="8"/>
  <c r="K25" i="8" a="1"/>
  <c r="K25" i="8" s="1"/>
  <c r="C34" i="6"/>
  <c r="D34" i="6" s="1"/>
  <c r="C24" i="1" s="1"/>
  <c r="C39" i="6"/>
  <c r="C25" i="1" s="1"/>
  <c r="C31" i="8" a="1"/>
  <c r="C31" i="8" s="1"/>
  <c r="C28" i="8" a="1"/>
  <c r="C28" i="8" s="1"/>
  <c r="C32" i="8" a="1"/>
  <c r="C32" i="8" s="1"/>
  <c r="C30" i="8" a="1"/>
  <c r="C30" i="8" s="1"/>
  <c r="C27" i="8"/>
  <c r="C22" i="9" a="1"/>
  <c r="C22" i="9" s="1"/>
  <c r="C21" i="9"/>
  <c r="AC23" i="10"/>
  <c r="AC21" i="10"/>
  <c r="AC22" i="10" a="1"/>
  <c r="AC22" i="10" s="1"/>
  <c r="E20" i="5" a="1"/>
  <c r="E20" i="5" s="1"/>
  <c r="E19" i="5" a="1"/>
  <c r="E19" i="5" s="1"/>
  <c r="E18" i="5" a="1"/>
  <c r="E18" i="5" s="1"/>
  <c r="E17" i="5" a="1"/>
  <c r="E17" i="5" s="1"/>
  <c r="C37" i="5"/>
  <c r="C22" i="2" s="1"/>
  <c r="C32" i="5"/>
  <c r="D32" i="5" s="1"/>
  <c r="C21" i="2" s="1"/>
  <c r="K17" i="5" a="1"/>
  <c r="K17" i="5" s="1"/>
  <c r="K18" i="5" a="1"/>
  <c r="K18" i="5" s="1"/>
  <c r="K19" i="5" a="1"/>
  <c r="K19" i="5" s="1"/>
  <c r="E18" i="6" a="1"/>
  <c r="E18" i="6" s="1"/>
  <c r="E22" i="6" s="1"/>
  <c r="I20" i="6" a="1"/>
  <c r="I20" i="6" s="1"/>
  <c r="I22" i="6" s="1"/>
  <c r="I19" i="7"/>
  <c r="AC47" i="13"/>
  <c r="AC48" i="13" a="1"/>
  <c r="AC48" i="13" s="1"/>
  <c r="P19" i="9"/>
  <c r="C56" i="1"/>
  <c r="K27" i="8"/>
  <c r="K52" i="8"/>
  <c r="C93" i="8" a="1"/>
  <c r="C93" i="8" s="1"/>
  <c r="C22" i="13" a="1"/>
  <c r="C22" i="13" s="1"/>
  <c r="M17" i="5" a="1"/>
  <c r="M17" i="5" s="1"/>
  <c r="M18" i="5" a="1"/>
  <c r="M18" i="5" s="1"/>
  <c r="M19" i="5" a="1"/>
  <c r="M19" i="5" s="1"/>
  <c r="E21" i="6" a="1"/>
  <c r="E21" i="6" s="1"/>
  <c r="E20" i="7" a="1"/>
  <c r="E20" i="7" s="1"/>
  <c r="B34" i="7"/>
  <c r="K31" i="8" a="1"/>
  <c r="K31" i="8" s="1"/>
  <c r="K30" i="8" a="1"/>
  <c r="K30" i="8" s="1"/>
  <c r="K32" i="8" a="1"/>
  <c r="K32" i="8" s="1"/>
  <c r="C53" i="8" a="1"/>
  <c r="C53" i="8" s="1"/>
  <c r="K93" i="8" a="1"/>
  <c r="K93" i="8" s="1"/>
  <c r="P46" i="9"/>
  <c r="AC48" i="10" a="1"/>
  <c r="AC48" i="10" s="1"/>
  <c r="C49" i="12" a="1"/>
  <c r="C49" i="12" s="1"/>
  <c r="C48" i="12"/>
  <c r="D57" i="1"/>
  <c r="E18" i="7" a="1"/>
  <c r="E18" i="7" s="1"/>
  <c r="AC20" i="9"/>
  <c r="AC47" i="9"/>
  <c r="AC48" i="9" a="1"/>
  <c r="AC48" i="9" s="1"/>
  <c r="C36" i="2"/>
  <c r="K28" i="8" a="1"/>
  <c r="K28" i="8" s="1"/>
  <c r="K53" i="8" a="1"/>
  <c r="K53" i="8" s="1"/>
  <c r="C21" i="11"/>
  <c r="AC48" i="12"/>
  <c r="AC49" i="12" a="1"/>
  <c r="AC49" i="12" s="1"/>
  <c r="C87" i="13" a="1"/>
  <c r="C87" i="13" s="1"/>
  <c r="D1" i="13"/>
  <c r="D1" i="12"/>
  <c r="I17" i="5" a="1"/>
  <c r="I17" i="5" s="1"/>
  <c r="I18" i="5" a="1"/>
  <c r="I18" i="5" s="1"/>
  <c r="I19" i="5" a="1"/>
  <c r="I19" i="5" s="1"/>
  <c r="D1" i="9"/>
  <c r="C23" i="12" a="1"/>
  <c r="C23" i="12" s="1"/>
  <c r="C48" i="13" a="1"/>
  <c r="C48" i="13" s="1"/>
  <c r="C47" i="13"/>
  <c r="C47" i="10"/>
  <c r="AC21" i="12"/>
  <c r="P49" i="12" a="1"/>
  <c r="P49" i="12" s="1"/>
  <c r="AC20" i="13"/>
  <c r="P48" i="13" a="1"/>
  <c r="P48" i="13" s="1"/>
  <c r="C47" i="11"/>
  <c r="P47" i="13"/>
  <c r="C48" i="10" a="1"/>
  <c r="C48" i="10" s="1"/>
  <c r="C47" i="9"/>
  <c r="C48" i="11" a="1"/>
  <c r="C48" i="11" s="1"/>
  <c r="P20" i="10" l="1"/>
  <c r="P21" i="10" a="1"/>
  <c r="P21" i="10" s="1"/>
  <c r="P25" i="10"/>
  <c r="P23" i="10"/>
  <c r="C25" i="11" a="1"/>
  <c r="C25" i="11" s="1"/>
  <c r="C26" i="11" a="1"/>
  <c r="C26" i="11" s="1"/>
  <c r="C23" i="11"/>
  <c r="P22" i="12"/>
  <c r="C22" i="10" a="1"/>
  <c r="C22" i="10" s="1"/>
  <c r="P22" i="10"/>
  <c r="C24" i="10" a="1"/>
  <c r="C24" i="10" s="1"/>
  <c r="C25" i="10" a="1"/>
  <c r="C25" i="10" s="1"/>
  <c r="C23" i="10"/>
  <c r="AC24" i="10" a="1"/>
  <c r="AC24" i="10" s="1"/>
  <c r="AC25" i="10" a="1"/>
  <c r="AC25" i="10" s="1"/>
  <c r="P21" i="13"/>
  <c r="C38" i="1"/>
  <c r="C32" i="1"/>
  <c r="C31" i="1"/>
  <c r="C39" i="1"/>
  <c r="AC25" i="13" a="1"/>
  <c r="AC25" i="13" s="1"/>
  <c r="AC23" i="13"/>
  <c r="AC21" i="13"/>
  <c r="AC22" i="13" a="1"/>
  <c r="AC22" i="13" s="1"/>
  <c r="AC17" i="13"/>
  <c r="AC24" i="13" s="1" a="1"/>
  <c r="AC24" i="13" s="1"/>
  <c r="P17" i="13"/>
  <c r="C17" i="13"/>
  <c r="K21" i="5"/>
  <c r="C45" i="1" s="1"/>
  <c r="C72" i="8"/>
  <c r="E6" i="2"/>
  <c r="E33" i="1"/>
  <c r="E40" i="1"/>
  <c r="C24" i="8"/>
  <c r="C25" i="8" a="1"/>
  <c r="C25" i="8" s="1"/>
  <c r="AC22" i="9" a="1"/>
  <c r="AC22" i="9" s="1"/>
  <c r="AC21" i="9"/>
  <c r="C39" i="7"/>
  <c r="C34" i="7"/>
  <c r="D34" i="7" s="1"/>
  <c r="K33" i="8"/>
  <c r="C19" i="11" a="1"/>
  <c r="C19" i="11" s="1"/>
  <c r="C18" i="11"/>
  <c r="AC22" i="12"/>
  <c r="AC23" i="12" a="1"/>
  <c r="AC23" i="12" s="1"/>
  <c r="I21" i="5"/>
  <c r="G45" i="1" s="1"/>
  <c r="E22" i="7"/>
  <c r="E21" i="5"/>
  <c r="G26" i="2" s="1"/>
  <c r="AC17" i="9"/>
  <c r="AC23" i="9" s="1"/>
  <c r="P16" i="9"/>
  <c r="P23" i="9" s="1"/>
  <c r="C17" i="9"/>
  <c r="AC19" i="10" a="1"/>
  <c r="AC19" i="10" s="1"/>
  <c r="AC18" i="10"/>
  <c r="AC66" i="10"/>
  <c r="AC66" i="13"/>
  <c r="P65" i="9"/>
  <c r="P66" i="13"/>
  <c r="C66" i="9"/>
  <c r="C66" i="13"/>
  <c r="P65" i="10"/>
  <c r="E6" i="1"/>
  <c r="K72" i="8"/>
  <c r="C66" i="10"/>
  <c r="AD66" i="9"/>
  <c r="K34" i="8"/>
  <c r="M21" i="5"/>
  <c r="C26" i="2" s="1"/>
  <c r="P22" i="9"/>
  <c r="P20" i="9"/>
  <c r="P25" i="9"/>
  <c r="P24" i="9"/>
  <c r="P21" i="9" a="1"/>
  <c r="P21" i="9" s="1"/>
  <c r="C33" i="1"/>
  <c r="C40" i="1"/>
  <c r="C18" i="10"/>
  <c r="C19" i="10" a="1"/>
  <c r="C19" i="10" s="1"/>
  <c r="AC18" i="12"/>
  <c r="AC26" i="12" s="1" a="1"/>
  <c r="AC26" i="12" s="1"/>
  <c r="P18" i="12"/>
  <c r="C18" i="12"/>
  <c r="C29" i="8"/>
  <c r="P18" i="10" a="1"/>
  <c r="P18" i="10" s="1"/>
  <c r="P17" i="10"/>
  <c r="C34" i="8" l="1"/>
  <c r="C27" i="11"/>
  <c r="C28" i="11"/>
  <c r="P27" i="10"/>
  <c r="AC28" i="10"/>
  <c r="C27" i="10"/>
  <c r="P26" i="10"/>
  <c r="AC26" i="13" a="1"/>
  <c r="AC26" i="13" s="1"/>
  <c r="AC68" i="13" a="1"/>
  <c r="AC68" i="13" s="1"/>
  <c r="AC67" i="13"/>
  <c r="C28" i="10"/>
  <c r="C74" i="8" a="1"/>
  <c r="C74" i="8" s="1"/>
  <c r="C73" i="8"/>
  <c r="AC20" i="12" a="1"/>
  <c r="AC20" i="12" s="1"/>
  <c r="AC19" i="12"/>
  <c r="E38" i="1"/>
  <c r="E31" i="1"/>
  <c r="E32" i="1"/>
  <c r="E39" i="1"/>
  <c r="AC26" i="9" a="1"/>
  <c r="AC26" i="9" s="1"/>
  <c r="C19" i="13" a="1"/>
  <c r="C19" i="13" s="1"/>
  <c r="C18" i="13"/>
  <c r="C24" i="13" a="1"/>
  <c r="C24" i="13" s="1"/>
  <c r="C25" i="13" a="1"/>
  <c r="C25" i="13" s="1"/>
  <c r="C23" i="13"/>
  <c r="C26" i="13" a="1"/>
  <c r="C26" i="13" s="1"/>
  <c r="AC67" i="10"/>
  <c r="AC68" i="10" a="1"/>
  <c r="AC68" i="10" s="1"/>
  <c r="C18" i="9"/>
  <c r="C19" i="9" a="1"/>
  <c r="C19" i="9" s="1"/>
  <c r="C24" i="9" a="1"/>
  <c r="C24" i="9" s="1"/>
  <c r="C26" i="9" a="1"/>
  <c r="C26" i="9" s="1"/>
  <c r="C25" i="9" a="1"/>
  <c r="C25" i="9" s="1"/>
  <c r="C23" i="9"/>
  <c r="AC25" i="12" a="1"/>
  <c r="AC25" i="12" s="1"/>
  <c r="AC24" i="9" a="1"/>
  <c r="AC24" i="9" s="1"/>
  <c r="P18" i="13"/>
  <c r="P26" i="13"/>
  <c r="P19" i="13" a="1"/>
  <c r="P19" i="13" s="1"/>
  <c r="P24" i="13"/>
  <c r="P25" i="13"/>
  <c r="P23" i="13"/>
  <c r="P66" i="10"/>
  <c r="P67" i="10" a="1"/>
  <c r="P67" i="10" s="1"/>
  <c r="C33" i="8"/>
  <c r="C67" i="13"/>
  <c r="C68" i="13" a="1"/>
  <c r="C68" i="13" s="1"/>
  <c r="C20" i="12" a="1"/>
  <c r="C20" i="12" s="1"/>
  <c r="C19" i="12"/>
  <c r="C26" i="12" a="1"/>
  <c r="C26" i="12" s="1"/>
  <c r="C24" i="12"/>
  <c r="C27" i="12" a="1"/>
  <c r="C27" i="12" s="1"/>
  <c r="C25" i="12" a="1"/>
  <c r="C25" i="12" s="1"/>
  <c r="AD68" i="9" a="1"/>
  <c r="AD68" i="9" s="1"/>
  <c r="AD67" i="9"/>
  <c r="C68" i="9" a="1"/>
  <c r="C68" i="9" s="1"/>
  <c r="C67" i="9"/>
  <c r="P17" i="9"/>
  <c r="P18" i="9" a="1"/>
  <c r="P18" i="9" s="1"/>
  <c r="K35" i="8"/>
  <c r="K48" i="8" s="1"/>
  <c r="AC19" i="13" a="1"/>
  <c r="AC19" i="13" s="1"/>
  <c r="AC18" i="13"/>
  <c r="P20" i="12" a="1"/>
  <c r="P20" i="12" s="1"/>
  <c r="P19" i="12"/>
  <c r="P27" i="12"/>
  <c r="P25" i="12"/>
  <c r="P26" i="12"/>
  <c r="P24" i="12"/>
  <c r="C67" i="10"/>
  <c r="C68" i="10" a="1"/>
  <c r="C68" i="10" s="1"/>
  <c r="P68" i="13" a="1"/>
  <c r="P68" i="13" s="1"/>
  <c r="P67" i="13"/>
  <c r="AC18" i="9"/>
  <c r="AC19" i="9" a="1"/>
  <c r="AC19" i="9" s="1"/>
  <c r="AC27" i="12" a="1"/>
  <c r="AC27" i="12" s="1"/>
  <c r="AC27" i="10"/>
  <c r="K74" i="8" a="1"/>
  <c r="K74" i="8" s="1"/>
  <c r="K73" i="8"/>
  <c r="P67" i="9" a="1"/>
  <c r="P67" i="9" s="1"/>
  <c r="P66" i="9"/>
  <c r="AC24" i="12"/>
  <c r="AC25" i="9" a="1"/>
  <c r="AC25" i="9" s="1"/>
  <c r="P28" i="10" l="1"/>
  <c r="P42" i="10" s="1"/>
  <c r="P43" i="10" s="1"/>
  <c r="C35" i="8"/>
  <c r="C48" i="8" s="1"/>
  <c r="C55" i="8" s="1" a="1"/>
  <c r="C55" i="8" s="1"/>
  <c r="C29" i="11"/>
  <c r="C43" i="11" s="1"/>
  <c r="C45" i="11" s="1" a="1"/>
  <c r="C45" i="11" s="1"/>
  <c r="P29" i="12"/>
  <c r="AC29" i="12"/>
  <c r="AC28" i="12"/>
  <c r="P28" i="12"/>
  <c r="C28" i="12"/>
  <c r="P26" i="9"/>
  <c r="AC27" i="9"/>
  <c r="C28" i="9"/>
  <c r="AC28" i="9"/>
  <c r="P27" i="9"/>
  <c r="C27" i="9"/>
  <c r="C29" i="10"/>
  <c r="C43" i="10" s="1"/>
  <c r="C49" i="10" s="1"/>
  <c r="AC29" i="10"/>
  <c r="AC43" i="10" s="1"/>
  <c r="AC44" i="10" s="1"/>
  <c r="AC28" i="13"/>
  <c r="C27" i="13"/>
  <c r="P27" i="13"/>
  <c r="P28" i="13"/>
  <c r="C29" i="12"/>
  <c r="C28" i="13"/>
  <c r="AC27" i="13"/>
  <c r="P48" i="10"/>
  <c r="P44" i="10" a="1"/>
  <c r="P44" i="10" s="1"/>
  <c r="P49" i="10" a="1"/>
  <c r="P49" i="10" s="1"/>
  <c r="P50" i="10" a="1"/>
  <c r="P50" i="10" s="1"/>
  <c r="P51" i="10" a="1"/>
  <c r="P51" i="10" s="1"/>
  <c r="K49" i="8"/>
  <c r="K50" i="8" a="1"/>
  <c r="K50" i="8" s="1"/>
  <c r="K55" i="8" a="1"/>
  <c r="K55" i="8" s="1"/>
  <c r="K56" i="8" a="1"/>
  <c r="K56" i="8" s="1"/>
  <c r="K54" i="8"/>
  <c r="K57" i="8" a="1"/>
  <c r="K57" i="8" s="1"/>
  <c r="P30" i="12" l="1"/>
  <c r="P44" i="12" s="1"/>
  <c r="P45" i="12" s="1"/>
  <c r="AC51" i="10" a="1"/>
  <c r="AC51" i="10" s="1"/>
  <c r="P28" i="9"/>
  <c r="P42" i="9" s="1"/>
  <c r="P49" i="9" s="1" a="1"/>
  <c r="P49" i="9" s="1"/>
  <c r="C56" i="8" a="1"/>
  <c r="C56" i="8" s="1"/>
  <c r="C54" i="8"/>
  <c r="C49" i="8"/>
  <c r="C50" i="8" a="1"/>
  <c r="C50" i="8" s="1"/>
  <c r="C57" i="8" a="1"/>
  <c r="C57" i="8" s="1"/>
  <c r="C52" i="11" a="1"/>
  <c r="C52" i="11" s="1"/>
  <c r="C50" i="11" a="1"/>
  <c r="C50" i="11" s="1"/>
  <c r="C44" i="11"/>
  <c r="C49" i="11"/>
  <c r="C51" i="11" a="1"/>
  <c r="C51" i="11" s="1"/>
  <c r="AC30" i="12"/>
  <c r="AC44" i="12" s="1"/>
  <c r="AC45" i="12" s="1"/>
  <c r="C30" i="12"/>
  <c r="C44" i="12" s="1"/>
  <c r="C50" i="12" s="1"/>
  <c r="C29" i="9"/>
  <c r="C43" i="9" s="1"/>
  <c r="AC29" i="9"/>
  <c r="AC43" i="9" s="1"/>
  <c r="AC45" i="9" s="1" a="1"/>
  <c r="AC45" i="9" s="1"/>
  <c r="AC49" i="10"/>
  <c r="C51" i="10" a="1"/>
  <c r="C51" i="10" s="1"/>
  <c r="C45" i="10" a="1"/>
  <c r="C45" i="10" s="1"/>
  <c r="C44" i="10"/>
  <c r="C50" i="10" a="1"/>
  <c r="C50" i="10" s="1"/>
  <c r="C52" i="10" a="1"/>
  <c r="C52" i="10" s="1"/>
  <c r="AC52" i="10" a="1"/>
  <c r="AC52" i="10" s="1"/>
  <c r="AC45" i="10" a="1"/>
  <c r="AC45" i="10" s="1"/>
  <c r="AC50" i="10" a="1"/>
  <c r="AC50" i="10" s="1"/>
  <c r="AC29" i="13"/>
  <c r="AC43" i="13" s="1"/>
  <c r="AC45" i="13" s="1" a="1"/>
  <c r="AC45" i="13" s="1"/>
  <c r="C29" i="13"/>
  <c r="C43" i="13" s="1"/>
  <c r="C50" i="13" s="1" a="1"/>
  <c r="C50" i="13" s="1"/>
  <c r="P29" i="13"/>
  <c r="P43" i="13" s="1"/>
  <c r="C44" i="13"/>
  <c r="P53" i="10"/>
  <c r="P50" i="9" a="1"/>
  <c r="P50" i="9" s="1"/>
  <c r="P48" i="9"/>
  <c r="K58" i="8"/>
  <c r="P52" i="10"/>
  <c r="K59" i="8"/>
  <c r="P43" i="9" l="1"/>
  <c r="P44" i="9" a="1"/>
  <c r="P44" i="9" s="1"/>
  <c r="P52" i="9" s="1"/>
  <c r="P51" i="9" a="1"/>
  <c r="P51" i="9" s="1"/>
  <c r="P53" i="9" s="1"/>
  <c r="P46" i="12" a="1"/>
  <c r="P46" i="12" s="1"/>
  <c r="P50" i="12"/>
  <c r="P52" i="12" a="1"/>
  <c r="P52" i="12" s="1"/>
  <c r="P55" i="12" s="1"/>
  <c r="P51" i="12" a="1"/>
  <c r="P51" i="12" s="1"/>
  <c r="P53" i="12" a="1"/>
  <c r="P53" i="12" s="1"/>
  <c r="C49" i="13"/>
  <c r="C51" i="13" a="1"/>
  <c r="C51" i="13" s="1"/>
  <c r="C45" i="13" a="1"/>
  <c r="C45" i="13" s="1"/>
  <c r="C58" i="8"/>
  <c r="C59" i="8"/>
  <c r="C53" i="11"/>
  <c r="C54" i="11"/>
  <c r="AC50" i="12"/>
  <c r="AC53" i="12" a="1"/>
  <c r="AC53" i="12" s="1"/>
  <c r="AC52" i="12" a="1"/>
  <c r="AC52" i="12" s="1"/>
  <c r="AC46" i="12" a="1"/>
  <c r="AC46" i="12" s="1"/>
  <c r="AC51" i="12" a="1"/>
  <c r="AC51" i="12" s="1"/>
  <c r="C53" i="12" a="1"/>
  <c r="C53" i="12" s="1"/>
  <c r="C46" i="12" a="1"/>
  <c r="C46" i="12" s="1"/>
  <c r="C45" i="12"/>
  <c r="C52" i="12" a="1"/>
  <c r="C52" i="12" s="1"/>
  <c r="C51" i="12" a="1"/>
  <c r="C51" i="12" s="1"/>
  <c r="C50" i="9" a="1"/>
  <c r="C50" i="9" s="1"/>
  <c r="C52" i="9" a="1"/>
  <c r="C52" i="9" s="1"/>
  <c r="C45" i="9" a="1"/>
  <c r="C45" i="9" s="1"/>
  <c r="C44" i="9"/>
  <c r="C51" i="9" a="1"/>
  <c r="C51" i="9" s="1"/>
  <c r="C49" i="9"/>
  <c r="AC44" i="9"/>
  <c r="AC49" i="9"/>
  <c r="AC50" i="9" a="1"/>
  <c r="AC50" i="9" s="1"/>
  <c r="AC52" i="9" a="1"/>
  <c r="AC52" i="9" s="1"/>
  <c r="AC51" i="9" a="1"/>
  <c r="AC51" i="9" s="1"/>
  <c r="AC53" i="10"/>
  <c r="C53" i="10"/>
  <c r="C54" i="10"/>
  <c r="P54" i="10"/>
  <c r="P62" i="10" s="1"/>
  <c r="P69" i="10" s="1" a="1"/>
  <c r="P69" i="10" s="1"/>
  <c r="AC54" i="10"/>
  <c r="AC50" i="13" a="1"/>
  <c r="AC50" i="13" s="1"/>
  <c r="AC49" i="13"/>
  <c r="AC51" i="13" a="1"/>
  <c r="AC51" i="13" s="1"/>
  <c r="AC52" i="13" a="1"/>
  <c r="AC52" i="13" s="1"/>
  <c r="AC44" i="13"/>
  <c r="C52" i="13" a="1"/>
  <c r="C52" i="13" s="1"/>
  <c r="P44" i="13"/>
  <c r="P50" i="13" a="1"/>
  <c r="P50" i="13" s="1"/>
  <c r="P49" i="13"/>
  <c r="P51" i="13" a="1"/>
  <c r="P51" i="13" s="1"/>
  <c r="P45" i="13" a="1"/>
  <c r="P45" i="13" s="1"/>
  <c r="P52" i="13" a="1"/>
  <c r="P52" i="13" s="1"/>
  <c r="K60" i="8"/>
  <c r="K69" i="8" s="1"/>
  <c r="P54" i="12" l="1"/>
  <c r="P56" i="12" s="1"/>
  <c r="P57" i="12" s="1"/>
  <c r="AC54" i="13"/>
  <c r="C53" i="13"/>
  <c r="C54" i="13"/>
  <c r="AC53" i="13"/>
  <c r="C60" i="8"/>
  <c r="C69" i="8" s="1"/>
  <c r="C75" i="8" s="1"/>
  <c r="C55" i="11"/>
  <c r="C56" i="11" s="1"/>
  <c r="P35" i="11" s="1"/>
  <c r="P42" i="11" s="1" a="1"/>
  <c r="P42" i="11" s="1"/>
  <c r="AC54" i="12"/>
  <c r="AC55" i="12"/>
  <c r="C54" i="12"/>
  <c r="C55" i="12"/>
  <c r="C53" i="9"/>
  <c r="C54" i="9"/>
  <c r="AC53" i="9"/>
  <c r="AC54" i="9"/>
  <c r="AC55" i="9" s="1"/>
  <c r="AD63" i="9" s="1"/>
  <c r="P54" i="9"/>
  <c r="P62" i="9" s="1"/>
  <c r="P64" i="9" s="1" a="1"/>
  <c r="P64" i="9" s="1"/>
  <c r="P71" i="10" a="1"/>
  <c r="P71" i="10" s="1"/>
  <c r="AC55" i="10"/>
  <c r="AC63" i="10" s="1"/>
  <c r="AC64" i="10" s="1"/>
  <c r="P68" i="10"/>
  <c r="P70" i="10" a="1"/>
  <c r="P70" i="10" s="1"/>
  <c r="P64" i="10" a="1"/>
  <c r="P64" i="10" s="1"/>
  <c r="P63" i="10"/>
  <c r="C55" i="10"/>
  <c r="C63" i="10" s="1"/>
  <c r="C71" i="10" s="1" a="1"/>
  <c r="C71" i="10" s="1"/>
  <c r="AC55" i="13"/>
  <c r="AC63" i="13" s="1"/>
  <c r="AC71" i="13" s="1" a="1"/>
  <c r="AC71" i="13" s="1"/>
  <c r="P54" i="13"/>
  <c r="P53" i="13"/>
  <c r="C55" i="13"/>
  <c r="C63" i="13" s="1"/>
  <c r="K70" i="8"/>
  <c r="K71" i="8" a="1"/>
  <c r="K71" i="8" s="1"/>
  <c r="K75" i="8"/>
  <c r="K78" i="8" a="1"/>
  <c r="K78" i="8" s="1"/>
  <c r="K77" i="8" a="1"/>
  <c r="K77" i="8" s="1"/>
  <c r="K76" i="8" a="1"/>
  <c r="K76" i="8" s="1"/>
  <c r="AC70" i="10" l="1" a="1"/>
  <c r="AC70" i="10" s="1"/>
  <c r="AC72" i="13" a="1"/>
  <c r="AC72" i="13" s="1"/>
  <c r="AC69" i="13"/>
  <c r="AC65" i="13" a="1"/>
  <c r="AC65" i="13" s="1"/>
  <c r="AC70" i="13" a="1"/>
  <c r="AC70" i="13" s="1"/>
  <c r="P72" i="10"/>
  <c r="C78" i="8" a="1"/>
  <c r="C78" i="8" s="1"/>
  <c r="C76" i="8" a="1"/>
  <c r="C76" i="8" s="1"/>
  <c r="C77" i="8" a="1"/>
  <c r="C77" i="8" s="1"/>
  <c r="C71" i="8" a="1"/>
  <c r="C71" i="8" s="1"/>
  <c r="C70" i="8"/>
  <c r="P44" i="11" a="1"/>
  <c r="P44" i="11" s="1"/>
  <c r="P36" i="11"/>
  <c r="P43" i="11" a="1"/>
  <c r="P43" i="11" s="1"/>
  <c r="P41" i="11"/>
  <c r="P37" i="11" a="1"/>
  <c r="P37" i="11" s="1"/>
  <c r="AC56" i="12"/>
  <c r="E42" i="1" s="1"/>
  <c r="C56" i="12"/>
  <c r="C42" i="1" s="1"/>
  <c r="C55" i="9"/>
  <c r="C63" i="9" s="1"/>
  <c r="C65" i="9" s="1" a="1"/>
  <c r="C65" i="9" s="1"/>
  <c r="AD69" i="9"/>
  <c r="AD72" i="9" a="1"/>
  <c r="AD72" i="9" s="1"/>
  <c r="AD71" i="9" a="1"/>
  <c r="AD71" i="9" s="1"/>
  <c r="AD70" i="9" a="1"/>
  <c r="AD70" i="9" s="1"/>
  <c r="AD65" i="9" a="1"/>
  <c r="AD65" i="9" s="1"/>
  <c r="AD64" i="9"/>
  <c r="P68" i="9"/>
  <c r="P70" i="9" a="1"/>
  <c r="P70" i="9" s="1"/>
  <c r="P63" i="9"/>
  <c r="P69" i="9" a="1"/>
  <c r="P69" i="9" s="1"/>
  <c r="P71" i="9" a="1"/>
  <c r="P71" i="9" s="1"/>
  <c r="C65" i="10" a="1"/>
  <c r="C65" i="10" s="1"/>
  <c r="C69" i="10"/>
  <c r="C72" i="10" a="1"/>
  <c r="C72" i="10" s="1"/>
  <c r="C70" i="10" a="1"/>
  <c r="C70" i="10" s="1"/>
  <c r="P73" i="10"/>
  <c r="AC69" i="10"/>
  <c r="AC71" i="10" a="1"/>
  <c r="AC71" i="10" s="1"/>
  <c r="AC72" i="10" a="1"/>
  <c r="AC72" i="10" s="1"/>
  <c r="AC65" i="10" a="1"/>
  <c r="AC65" i="10" s="1"/>
  <c r="C64" i="10"/>
  <c r="AC64" i="13"/>
  <c r="P55" i="13"/>
  <c r="P63" i="13" s="1"/>
  <c r="P64" i="13" s="1"/>
  <c r="C64" i="13"/>
  <c r="C65" i="13" a="1"/>
  <c r="C65" i="13" s="1"/>
  <c r="C69" i="13"/>
  <c r="C71" i="13" a="1"/>
  <c r="C71" i="13" s="1"/>
  <c r="C72" i="13" a="1"/>
  <c r="C72" i="13" s="1"/>
  <c r="C70" i="13" a="1"/>
  <c r="C70" i="13" s="1"/>
  <c r="K80" i="8"/>
  <c r="K79" i="8"/>
  <c r="P72" i="13" l="1" a="1"/>
  <c r="P72" i="13" s="1"/>
  <c r="P74" i="10"/>
  <c r="AC74" i="13"/>
  <c r="P70" i="13" a="1"/>
  <c r="P70" i="13" s="1"/>
  <c r="AC73" i="10"/>
  <c r="AC75" i="10" s="1"/>
  <c r="B32" i="7" s="1"/>
  <c r="E32" i="7" s="1"/>
  <c r="E37" i="1" s="1"/>
  <c r="P71" i="13" a="1"/>
  <c r="P71" i="13" s="1"/>
  <c r="P65" i="13" a="1"/>
  <c r="P65" i="13" s="1"/>
  <c r="C79" i="8"/>
  <c r="C80" i="8"/>
  <c r="K81" i="8"/>
  <c r="K88" i="8" s="1"/>
  <c r="K90" i="8" s="1" a="1"/>
  <c r="K90" i="8" s="1"/>
  <c r="P45" i="11"/>
  <c r="P46" i="11"/>
  <c r="C64" i="9"/>
  <c r="C70" i="9" a="1"/>
  <c r="C70" i="9" s="1"/>
  <c r="C72" i="9" a="1"/>
  <c r="C72" i="9" s="1"/>
  <c r="C69" i="9"/>
  <c r="C71" i="9" a="1"/>
  <c r="C71" i="9" s="1"/>
  <c r="AD73" i="9"/>
  <c r="AD74" i="9"/>
  <c r="P72" i="9"/>
  <c r="P73" i="9"/>
  <c r="C74" i="10"/>
  <c r="C73" i="10"/>
  <c r="AC74" i="10"/>
  <c r="AC73" i="13"/>
  <c r="P69" i="13"/>
  <c r="C74" i="13"/>
  <c r="C73" i="13"/>
  <c r="P74" i="13" l="1"/>
  <c r="AC75" i="13"/>
  <c r="AC82" i="13" s="1"/>
  <c r="AC89" i="13" s="1" a="1"/>
  <c r="AC89" i="13" s="1"/>
  <c r="P73" i="13"/>
  <c r="P74" i="9"/>
  <c r="C81" i="8"/>
  <c r="C88" i="8" s="1"/>
  <c r="C97" i="8" s="1" a="1"/>
  <c r="C97" i="8" s="1"/>
  <c r="C94" i="8"/>
  <c r="C96" i="8" a="1"/>
  <c r="C96" i="8" s="1"/>
  <c r="C95" i="8" a="1"/>
  <c r="C95" i="8" s="1"/>
  <c r="K95" i="8" a="1"/>
  <c r="K95" i="8" s="1"/>
  <c r="K96" i="8" a="1"/>
  <c r="K96" i="8" s="1"/>
  <c r="K97" i="8" a="1"/>
  <c r="K97" i="8" s="1"/>
  <c r="K94" i="8"/>
  <c r="K89" i="8"/>
  <c r="P47" i="11"/>
  <c r="C31" i="2" s="1"/>
  <c r="C74" i="9"/>
  <c r="C73" i="9"/>
  <c r="AD75" i="9"/>
  <c r="B30" i="7" s="1"/>
  <c r="B31" i="7" s="1"/>
  <c r="E31" i="7" s="1"/>
  <c r="E30" i="7"/>
  <c r="C75" i="10"/>
  <c r="B32" i="6" s="1"/>
  <c r="E32" i="6" s="1"/>
  <c r="C30" i="1" s="1"/>
  <c r="E30" i="1"/>
  <c r="B28" i="7"/>
  <c r="E28" i="7" s="1"/>
  <c r="E28" i="1" s="1"/>
  <c r="C75" i="13"/>
  <c r="C82" i="13" s="1"/>
  <c r="AC90" i="13" a="1"/>
  <c r="AC90" i="13" s="1"/>
  <c r="AC88" i="13"/>
  <c r="AC84" i="13" l="1" a="1"/>
  <c r="AC84" i="13" s="1"/>
  <c r="P75" i="13"/>
  <c r="P82" i="13" s="1"/>
  <c r="P91" i="13" s="1" a="1"/>
  <c r="P91" i="13" s="1"/>
  <c r="AC83" i="13"/>
  <c r="E35" i="1"/>
  <c r="AC91" i="13" a="1"/>
  <c r="AC91" i="13" s="1"/>
  <c r="C89" i="8"/>
  <c r="C98" i="8" s="1"/>
  <c r="C100" i="8" s="1"/>
  <c r="C102" i="8" s="1"/>
  <c r="C104" i="8" s="1"/>
  <c r="B82" i="5" s="1"/>
  <c r="C90" i="8" a="1"/>
  <c r="C90" i="8" s="1"/>
  <c r="C99" i="8"/>
  <c r="K98" i="8"/>
  <c r="K99" i="8"/>
  <c r="C75" i="9"/>
  <c r="B30" i="6" s="1"/>
  <c r="E30" i="6" s="1"/>
  <c r="C37" i="1"/>
  <c r="P83" i="13"/>
  <c r="P84" i="13" a="1"/>
  <c r="P84" i="13" s="1"/>
  <c r="P90" i="13" a="1"/>
  <c r="P90" i="13" s="1"/>
  <c r="B28" i="6"/>
  <c r="E28" i="6" s="1"/>
  <c r="C28" i="1" s="1"/>
  <c r="P89" i="13" a="1"/>
  <c r="P89" i="13" s="1"/>
  <c r="AC92" i="13"/>
  <c r="C35" i="1"/>
  <c r="F21" i="1" s="1"/>
  <c r="C89" i="13" a="1"/>
  <c r="C89" i="13" s="1"/>
  <c r="C88" i="13"/>
  <c r="C83" i="13"/>
  <c r="C84" i="13" a="1"/>
  <c r="C84" i="13" s="1"/>
  <c r="C91" i="13" a="1"/>
  <c r="C91" i="13" s="1"/>
  <c r="C90" i="13" a="1"/>
  <c r="C90" i="13" s="1"/>
  <c r="AC93" i="13" l="1"/>
  <c r="AC94" i="13" s="1"/>
  <c r="B29" i="7" s="1"/>
  <c r="E29" i="7" s="1"/>
  <c r="E36" i="1" s="1"/>
  <c r="D59" i="1" s="1"/>
  <c r="P88" i="13"/>
  <c r="P92" i="13"/>
  <c r="G27" i="2"/>
  <c r="D37" i="2" s="1"/>
  <c r="K100" i="8"/>
  <c r="K102" i="8" s="1"/>
  <c r="K104" i="8" s="1"/>
  <c r="D82" i="5" s="1"/>
  <c r="D83" i="5" s="1" a="1"/>
  <c r="D83" i="5" s="1"/>
  <c r="B31" i="6"/>
  <c r="E31" i="6" s="1"/>
  <c r="P93" i="13"/>
  <c r="C92" i="13"/>
  <c r="B85" i="5" a="1"/>
  <c r="B85" i="5" s="1"/>
  <c r="B83" i="5" a="1"/>
  <c r="B83" i="5" s="1"/>
  <c r="B86" i="5" a="1"/>
  <c r="B86" i="5" s="1"/>
  <c r="B84" i="5" a="1"/>
  <c r="B84" i="5" s="1"/>
  <c r="C93" i="13"/>
  <c r="P94" i="13" l="1"/>
  <c r="P96" i="13" s="1"/>
  <c r="B54" i="5"/>
  <c r="C54" i="5" s="1"/>
  <c r="G46" i="1" s="1"/>
  <c r="D84" i="5" a="1"/>
  <c r="D84" i="5" s="1"/>
  <c r="D86" i="5" a="1"/>
  <c r="D86" i="5" s="1"/>
  <c r="D85" i="5" a="1"/>
  <c r="D85" i="5" s="1"/>
  <c r="E29" i="1"/>
  <c r="D58" i="1" s="1"/>
  <c r="C94" i="13"/>
  <c r="B29" i="6" s="1"/>
  <c r="E29" i="6" s="1"/>
  <c r="C36" i="1" s="1"/>
  <c r="C59" i="1" s="1"/>
  <c r="B87" i="5"/>
  <c r="C27" i="2" s="1"/>
  <c r="C37" i="2" s="1"/>
  <c r="D87" i="5" l="1"/>
  <c r="C46" i="1" s="1"/>
  <c r="C29" i="1"/>
  <c r="C5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Okänd författare</author>
  </authors>
  <commentList>
    <comment ref="B19" authorId="0" shapeId="0" xr:uid="{00000000-0006-0000-0000-000001000000}">
      <text>
        <r>
          <rPr>
            <sz val="10"/>
            <rFont val="Arial"/>
            <family val="2"/>
          </rPr>
          <t>Includes 10m for aircraft alignment</t>
        </r>
      </text>
    </comment>
    <comment ref="B21" authorId="0" shapeId="0" xr:uid="{00000000-0006-0000-0000-000002000000}">
      <text>
        <r>
          <rPr>
            <sz val="10"/>
            <rFont val="Arial"/>
            <family val="2"/>
          </rPr>
          <t>Includes 10m for aircraft alignment</t>
        </r>
      </text>
    </comment>
    <comment ref="B42" authorId="0" shapeId="0" xr:uid="{00000000-0006-0000-0000-000003000000}">
      <text>
        <r>
          <rPr>
            <sz val="10"/>
            <rFont val="Arial"/>
            <family val="2"/>
          </rPr>
          <t>Climb Gradient (%) wind corrected = Climb Gradient (%) x (Airspeed/ GS)
50% headwind
150% tailwind</t>
        </r>
      </text>
    </comment>
    <comment ref="I42" authorId="0" shapeId="0" xr:uid="{00000000-0006-0000-0000-000004000000}">
      <text>
        <r>
          <rPr>
            <sz val="10"/>
            <rFont val="Arial"/>
            <family val="2"/>
          </rPr>
          <t>Pans-ops:
Hinderfritt 2,5%
Plus 0,8% marginal
Annars står det på SID eller på annan plats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Okänd författare</author>
  </authors>
  <commentList>
    <comment ref="B20" authorId="0" shapeId="0" xr:uid="{00000000-0006-0000-0100-000001000000}">
      <text>
        <r>
          <rPr>
            <sz val="10"/>
            <rFont val="Arial"/>
            <family val="2"/>
          </rPr>
          <t>RWCC eller "70%" (OM-A 8.1.5.6 Commencement and continuation of an approach)</t>
        </r>
      </text>
    </comment>
    <comment ref="B31" authorId="0" shapeId="0" xr:uid="{00000000-0006-0000-0100-000002000000}">
      <text>
        <r>
          <rPr>
            <sz val="10"/>
            <rFont val="Arial"/>
            <family val="2"/>
          </rPr>
          <t>Climb Gradient (%) wind corrected = Climb Gradient (%) x (Airspeed/ GS)
50% headwind
150% tailwind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Okänd författare</author>
  </authors>
  <commentList>
    <comment ref="A30" authorId="0" shapeId="0" xr:uid="{00000000-0006-0000-0500-000001000000}">
      <text>
        <r>
          <rPr>
            <sz val="10"/>
            <rFont val="Arial"/>
            <family val="2"/>
          </rPr>
          <t xml:space="preserve">Till 35 fot
</t>
        </r>
      </text>
    </comment>
    <comment ref="A31" authorId="0" shapeId="0" xr:uid="{00000000-0006-0000-0500-000002000000}">
      <text>
        <r>
          <rPr>
            <sz val="10"/>
            <rFont val="Arial"/>
            <family val="2"/>
          </rPr>
          <t>Till 15 fot enligt reglerna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Okänd författare</author>
  </authors>
  <commentList>
    <comment ref="A30" authorId="0" shapeId="0" xr:uid="{00000000-0006-0000-0600-000001000000}">
      <text>
        <r>
          <rPr>
            <sz val="10"/>
            <rFont val="Arial"/>
            <family val="2"/>
          </rPr>
          <t xml:space="preserve">Till 35 fot
</t>
        </r>
      </text>
    </comment>
    <comment ref="A31" authorId="0" shapeId="0" xr:uid="{00000000-0006-0000-0600-000002000000}">
      <text>
        <r>
          <rPr>
            <sz val="10"/>
            <rFont val="Arial"/>
            <family val="2"/>
          </rPr>
          <t>Till 15 fot enligt reglerna</t>
        </r>
      </text>
    </comment>
  </commentList>
</comments>
</file>

<file path=xl/sharedStrings.xml><?xml version="1.0" encoding="utf-8"?>
<sst xmlns="http://schemas.openxmlformats.org/spreadsheetml/2006/main" count="1214" uniqueCount="209">
  <si>
    <t>Take-off distance Beech 200</t>
  </si>
  <si>
    <t>Version</t>
  </si>
  <si>
    <t>Interpoleringsverktyg för startsträcka från AFM.</t>
  </si>
  <si>
    <t>2026-XY-ZV</t>
  </si>
  <si>
    <t>Flygplats och bana:</t>
  </si>
  <si>
    <t>Custom airport</t>
  </si>
  <si>
    <t>Om Rullgardiner krånglar, kopiera från flikarna "Airport data" eller "Rullgardinsmenyer"</t>
  </si>
  <si>
    <t>Wind:</t>
  </si>
  <si>
    <t>°</t>
  </si>
  <si>
    <t>eller skriv EXAKT lika</t>
  </si>
  <si>
    <t>kt</t>
  </si>
  <si>
    <t>Outside air temperature:</t>
  </si>
  <si>
    <t>°C</t>
  </si>
  <si>
    <t>QNH</t>
  </si>
  <si>
    <t>Hpa</t>
  </si>
  <si>
    <t>Runway Condition Code</t>
  </si>
  <si>
    <t>Runway contaminant</t>
  </si>
  <si>
    <t>No contaminant</t>
  </si>
  <si>
    <t>Contaminant depth</t>
  </si>
  <si>
    <t>mm</t>
  </si>
  <si>
    <t>Max:</t>
  </si>
  <si>
    <t>Engine Anti-ice</t>
  </si>
  <si>
    <t>OFF</t>
  </si>
  <si>
    <t>Engine anti-ice can be disregarded (OFF in calculation) whenever 3300 lbs/ft take-off power can be obtained</t>
  </si>
  <si>
    <t>Take off mass:</t>
  </si>
  <si>
    <t>Lbs</t>
  </si>
  <si>
    <t>Airport data</t>
  </si>
  <si>
    <t>Treshold elevation:</t>
  </si>
  <si>
    <t>ft</t>
  </si>
  <si>
    <t>Runway Slope:</t>
  </si>
  <si>
    <t>%</t>
  </si>
  <si>
    <t>+ = upphill</t>
  </si>
  <si>
    <t>RWY Heading:</t>
  </si>
  <si>
    <t>ASDA:</t>
  </si>
  <si>
    <t>m</t>
  </si>
  <si>
    <t>Req gradient:</t>
  </si>
  <si>
    <t>TORA:</t>
  </si>
  <si>
    <t>TODA:</t>
  </si>
  <si>
    <t>TOR</t>
  </si>
  <si>
    <t>LDA:</t>
  </si>
  <si>
    <t>Calculated data</t>
  </si>
  <si>
    <t>Head/Tail wind</t>
  </si>
  <si>
    <t>Kt</t>
  </si>
  <si>
    <t>Take-off Distance Factor</t>
  </si>
  <si>
    <t>Crosswind</t>
  </si>
  <si>
    <t>Limit</t>
  </si>
  <si>
    <t>FLAPS:</t>
  </si>
  <si>
    <t>UP</t>
  </si>
  <si>
    <t>TAKE-OFF</t>
  </si>
  <si>
    <t>APP</t>
  </si>
  <si>
    <t>FULL</t>
  </si>
  <si>
    <t>Dry Runway</t>
  </si>
  <si>
    <t>Ground Roll [m]</t>
  </si>
  <si>
    <t>Kommer inte att användas med take-off faktorer - Då är RWYCC 6 samma sak</t>
  </si>
  <si>
    <t>Take off distance</t>
  </si>
  <si>
    <t>Accelerade &amp; STOP [m]</t>
  </si>
  <si>
    <t>V1 [kts]</t>
  </si>
  <si>
    <t>VR [kts]</t>
  </si>
  <si>
    <t>V2 [kts]</t>
  </si>
  <si>
    <t>Selected contaminant</t>
  </si>
  <si>
    <t>Climb</t>
  </si>
  <si>
    <t>Net Gradient OEI wings level [%]</t>
  </si>
  <si>
    <t>Standard Procedure Design Gradient (PDG): 3,3%</t>
  </si>
  <si>
    <t>Gradient includes wind, 150% &amp; 50%</t>
  </si>
  <si>
    <t>Emergency Return</t>
  </si>
  <si>
    <t>VREF [kts]</t>
  </si>
  <si>
    <t>Landing Distance [m]</t>
  </si>
  <si>
    <t>Flaps UP</t>
  </si>
  <si>
    <t>Flaps APPROACH</t>
  </si>
  <si>
    <t>ASDA</t>
  </si>
  <si>
    <t>TODA</t>
  </si>
  <si>
    <t>Engine out procedure</t>
  </si>
  <si>
    <t>Minimum cloud base:</t>
  </si>
  <si>
    <t>Escape Route:</t>
  </si>
  <si>
    <t>Landning distance Beech 200</t>
  </si>
  <si>
    <t>Interpoleringsverktyg för landningsträcka</t>
  </si>
  <si>
    <t>eller skriv exakt lika</t>
  </si>
  <si>
    <t>Landing mass:</t>
  </si>
  <si>
    <t>Max landing weight</t>
  </si>
  <si>
    <t>Elevation:</t>
  </si>
  <si>
    <t>Landing Distance Factor</t>
  </si>
  <si>
    <t>Landing Distance</t>
  </si>
  <si>
    <t>Landing Distance factored [m]</t>
  </si>
  <si>
    <t>Flap Up based on AFM graph</t>
  </si>
  <si>
    <t>Missed approach</t>
  </si>
  <si>
    <t>OEI Climb Gradient [%]</t>
  </si>
  <si>
    <t>Flaps FULL</t>
  </si>
  <si>
    <t>LDA</t>
  </si>
  <si>
    <t>Landing distance</t>
  </si>
  <si>
    <t>Airport</t>
  </si>
  <si>
    <t>Runway Threshold Elevation:</t>
  </si>
  <si>
    <t>TORA</t>
  </si>
  <si>
    <t>RWY Slope:</t>
  </si>
  <si>
    <t>RWY
HDG</t>
  </si>
  <si>
    <t>Minimum departure climb gradient, obstacles</t>
  </si>
  <si>
    <t>Uppdaterad</t>
  </si>
  <si>
    <t>ESCAPE ROUTE INFO</t>
  </si>
  <si>
    <t>Min cloud base</t>
  </si>
  <si>
    <t>Routing</t>
  </si>
  <si>
    <t>[ft]</t>
  </si>
  <si>
    <t>[m]</t>
  </si>
  <si>
    <t>[%]</t>
  </si>
  <si>
    <t>[°]</t>
  </si>
  <si>
    <t>[Date]</t>
  </si>
  <si>
    <t>No airport selected</t>
  </si>
  <si>
    <t>-</t>
  </si>
  <si>
    <t>ÄNDRA ljusgröna RADER VID BEHOV</t>
  </si>
  <si>
    <t>Factors</t>
  </si>
  <si>
    <t>X-wind</t>
  </si>
  <si>
    <t>Takeoff Faktor</t>
  </si>
  <si>
    <t>RWCC</t>
  </si>
  <si>
    <t>Faktor</t>
  </si>
  <si>
    <t>FLAPS</t>
  </si>
  <si>
    <t>Runway take off</t>
  </si>
  <si>
    <t>Engine anti-ice</t>
  </si>
  <si>
    <t>ON</t>
  </si>
  <si>
    <t>Måttenhet</t>
  </si>
  <si>
    <t>Max</t>
  </si>
  <si>
    <t>Wet Runway</t>
  </si>
  <si>
    <t>N/A</t>
  </si>
  <si>
    <t>Compacted snow</t>
  </si>
  <si>
    <t>Dry snow</t>
  </si>
  <si>
    <t>Wet snow</t>
  </si>
  <si>
    <t>Slush</t>
  </si>
  <si>
    <t>Standing water</t>
  </si>
  <si>
    <t>Technique</t>
  </si>
  <si>
    <t>Static T/O power</t>
  </si>
  <si>
    <t>Rolling take off</t>
  </si>
  <si>
    <t>LANDING PERFORMANCE (Normal)</t>
  </si>
  <si>
    <t>EMG RETURN</t>
  </si>
  <si>
    <t>FLAPS UP</t>
  </si>
  <si>
    <t>Normal</t>
  </si>
  <si>
    <t>Landing Mass</t>
  </si>
  <si>
    <t>Speeds</t>
  </si>
  <si>
    <t>Vref</t>
  </si>
  <si>
    <t>Table size Landing distance</t>
  </si>
  <si>
    <t>Rows:</t>
  </si>
  <si>
    <t>Columns:</t>
  </si>
  <si>
    <t>x_n:</t>
  </si>
  <si>
    <t>y_n:</t>
  </si>
  <si>
    <t>n1:</t>
  </si>
  <si>
    <t>n2:</t>
  </si>
  <si>
    <t>y1_n1:</t>
  </si>
  <si>
    <t>y1_n2:</t>
  </si>
  <si>
    <t>Vref:</t>
  </si>
  <si>
    <t>Windcalc</t>
  </si>
  <si>
    <t>WCA</t>
  </si>
  <si>
    <t>Factor</t>
  </si>
  <si>
    <t>H/T wind</t>
  </si>
  <si>
    <t>Crosswind factor</t>
  </si>
  <si>
    <t>Unfactorised</t>
  </si>
  <si>
    <t>Factorised</t>
  </si>
  <si>
    <t>Landing Distance Factor:</t>
  </si>
  <si>
    <t>LANDING PERFORMANCE (UP)</t>
  </si>
  <si>
    <t>Landing Distance Flaps LAND [feet]</t>
  </si>
  <si>
    <t>T/O Distance:</t>
  </si>
  <si>
    <t>Take off PERFORMANCE (FLAPS UP)</t>
  </si>
  <si>
    <t>V1/R</t>
  </si>
  <si>
    <t>V2</t>
  </si>
  <si>
    <t>Table size Vref</t>
  </si>
  <si>
    <t>Landing distance required calculations</t>
  </si>
  <si>
    <t>Flat</t>
  </si>
  <si>
    <t>Teknik</t>
  </si>
  <si>
    <t>Slope</t>
  </si>
  <si>
    <t>Totalt</t>
  </si>
  <si>
    <t>Ground Roll</t>
  </si>
  <si>
    <t>Accelerate GO DRY</t>
  </si>
  <si>
    <t>Accelerate GO WET/CONT</t>
  </si>
  <si>
    <t>Accelerate stop</t>
  </si>
  <si>
    <t>TDR</t>
  </si>
  <si>
    <t>TAKE OFF PERFORMANCE (FLAPS APPROACH)</t>
  </si>
  <si>
    <t xml:space="preserve"> Mass</t>
  </si>
  <si>
    <t>Windcorrected distances</t>
  </si>
  <si>
    <t>Accelerate STOP distance</t>
  </si>
  <si>
    <t>GRadient adjustments</t>
  </si>
  <si>
    <t>Pressure Alt</t>
  </si>
  <si>
    <t>EMG Return</t>
  </si>
  <si>
    <t>Temp in calc</t>
  </si>
  <si>
    <t>NORMAL</t>
  </si>
  <si>
    <t>Landing</t>
  </si>
  <si>
    <t>Density Altitude</t>
  </si>
  <si>
    <t>Table size</t>
  </si>
  <si>
    <t>x1_n:</t>
  </si>
  <si>
    <t>x2_n:</t>
  </si>
  <si>
    <t>y2_n1:</t>
  </si>
  <si>
    <t>y2_n2:</t>
  </si>
  <si>
    <t>y_n1:</t>
  </si>
  <si>
    <t>y_n2:</t>
  </si>
  <si>
    <t>Distance</t>
  </si>
  <si>
    <t>Vikt</t>
  </si>
  <si>
    <t>Vind</t>
  </si>
  <si>
    <t>Obstacle height</t>
  </si>
  <si>
    <t>Meter</t>
  </si>
  <si>
    <t>Includes ICE-Vane. Could be disregarded for us</t>
  </si>
  <si>
    <t>FLAPS TAKEOFF</t>
  </si>
  <si>
    <t>FLAPS APPROACH</t>
  </si>
  <si>
    <t>Density altitude</t>
  </si>
  <si>
    <t>Temp/PA</t>
  </si>
  <si>
    <t>NET GRADIENT OF CLIMB - FLAPS UP</t>
  </si>
  <si>
    <t>ROC</t>
  </si>
  <si>
    <t>ROC-&gt;Gradient</t>
  </si>
  <si>
    <t>ICE VANE CORR</t>
  </si>
  <si>
    <t>35 fot extra</t>
  </si>
  <si>
    <t>NET GRADIENT OF CLIMB - FLAPS TAKEOFF</t>
  </si>
  <si>
    <t>NET GRADIENT OF CLIMB - FLAPS APPROACH</t>
  </si>
  <si>
    <t>Gradient</t>
  </si>
  <si>
    <t>TAKE OFF DISTANCE - FLAPS UP</t>
  </si>
  <si>
    <t>TAKE OFF DISTANCE - FLAPS TAKEOFF</t>
  </si>
  <si>
    <t>TAKE OFF DISTANCE - FLAPS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</si>
</sst>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\ %"/>
    <numFmt numFmtId="167" formatCode="0.00\ %"/>
  </numFmts>
  <fonts count="18">
    <font>
      <sz val="11"/>
      <color theme="1"/>
      <name val="Calibri"/>
      <charset val="1"/>
    </font>
    <font>
      <b/>
      <sz val="14"/>
      <color theme="1"/>
      <name val="Calibri"/>
      <charset val="1"/>
    </font>
    <font>
      <sz val="11"/>
      <name val="Calibri"/>
      <charset val="1"/>
    </font>
    <font>
      <sz val="10"/>
      <color theme="1"/>
      <name val="Calibri"/>
      <charset val="1"/>
    </font>
    <font>
      <sz val="9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9C0006"/>
      <name val="Calibri"/>
      <family val="2"/>
      <charset val="1"/>
    </font>
    <font>
      <sz val="11"/>
      <color theme="1"/>
      <name val="Calibri"/>
      <family val="2"/>
      <charset val="1"/>
    </font>
    <font>
      <sz val="8"/>
      <color theme="1"/>
      <name val="Calibri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2"/>
      <color theme="1"/>
      <name val="Calibri"/>
      <charset val="1"/>
    </font>
    <font>
      <sz val="8"/>
      <color rgb="FF000000"/>
      <name val="Arial"/>
      <charset val="1"/>
    </font>
    <font>
      <sz val="9"/>
      <color rgb="FF000000"/>
      <name val="&quot;Google Sans Mono&quot;"/>
      <charset val="1"/>
    </font>
    <font>
      <sz val="11"/>
      <color theme="0"/>
      <name val="Calibri"/>
      <charset val="1"/>
    </font>
    <font>
      <sz val="12"/>
      <color theme="1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7CE"/>
        <bgColor rgb="FFF4C7C3"/>
      </patternFill>
    </fill>
    <fill>
      <patternFill patternType="solid">
        <fgColor rgb="FFC9DAF8"/>
        <bgColor rgb="FFCFE2F3"/>
      </patternFill>
    </fill>
    <fill>
      <patternFill patternType="solid">
        <fgColor rgb="FFEFEFEF"/>
        <bgColor rgb="FFF3F3F3"/>
      </patternFill>
    </fill>
    <fill>
      <patternFill patternType="solid">
        <fgColor rgb="FFFFFF00"/>
        <bgColor rgb="FFFFC000"/>
      </patternFill>
    </fill>
    <fill>
      <patternFill patternType="solid">
        <fgColor rgb="FFD9D9D9"/>
        <bgColor rgb="FFCFE2F3"/>
      </patternFill>
    </fill>
    <fill>
      <patternFill patternType="solid">
        <fgColor rgb="FFFF0000"/>
        <bgColor rgb="FF9C0006"/>
      </patternFill>
    </fill>
    <fill>
      <patternFill patternType="solid">
        <fgColor theme="9" tint="0.79989013336588644"/>
        <bgColor rgb="FFE2EFD9"/>
      </patternFill>
    </fill>
    <fill>
      <patternFill patternType="solid">
        <fgColor rgb="FFE2EFD9"/>
        <bgColor rgb="FFE2F0D9"/>
      </patternFill>
    </fill>
    <fill>
      <patternFill patternType="solid">
        <fgColor rgb="FFBDBDBD"/>
        <bgColor rgb="FFB7B7B7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EFEFEF"/>
      </patternFill>
    </fill>
    <fill>
      <patternFill patternType="solid">
        <fgColor rgb="FFB7B7B7"/>
        <bgColor rgb="FFBDBDBD"/>
      </patternFill>
    </fill>
    <fill>
      <patternFill patternType="solid">
        <fgColor rgb="FFB6D7A8"/>
        <bgColor rgb="FFB7E1CD"/>
      </patternFill>
    </fill>
    <fill>
      <patternFill patternType="solid">
        <fgColor rgb="FFCFE2F3"/>
        <bgColor rgb="FFC9DAF8"/>
      </patternFill>
    </fill>
    <fill>
      <patternFill patternType="solid">
        <fgColor theme="4"/>
        <bgColor rgb="FF666666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medium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double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double">
        <color auto="1"/>
      </left>
      <right style="medium">
        <color auto="1"/>
      </right>
      <top style="dotted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double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uble">
        <color auto="1"/>
      </bottom>
      <diagonal/>
    </border>
    <border>
      <left/>
      <right style="medium">
        <color auto="1"/>
      </right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8" fillId="2" borderId="0" applyBorder="0" applyProtection="0"/>
  </cellStyleXfs>
  <cellXfs count="312">
    <xf numFmtId="0" fontId="0" fillId="0" borderId="0" xfId="0"/>
    <xf numFmtId="0" fontId="0" fillId="0" borderId="0" xfId="0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2" fillId="0" borderId="2" xfId="0" applyFont="1" applyBorder="1"/>
    <xf numFmtId="0" fontId="3" fillId="0" borderId="3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right" vertical="center"/>
    </xf>
    <xf numFmtId="0" fontId="2" fillId="0" borderId="0" xfId="0" applyFont="1"/>
    <xf numFmtId="0" fontId="2" fillId="0" borderId="8" xfId="0" applyFont="1" applyBorder="1"/>
    <xf numFmtId="0" fontId="7" fillId="4" borderId="9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7" fillId="4" borderId="10" xfId="0" applyFont="1" applyFill="1" applyBorder="1" applyAlignment="1">
      <alignment horizontal="right" vertical="center"/>
    </xf>
    <xf numFmtId="0" fontId="0" fillId="0" borderId="8" xfId="0" applyBorder="1"/>
    <xf numFmtId="0" fontId="5" fillId="0" borderId="0" xfId="0" applyFont="1"/>
    <xf numFmtId="0" fontId="8" fillId="2" borderId="4" xfId="1" applyBorder="1" applyAlignment="1" applyProtection="1">
      <alignment horizontal="right" vertical="center"/>
    </xf>
    <xf numFmtId="0" fontId="8" fillId="2" borderId="10" xfId="1" applyBorder="1" applyAlignment="1" applyProtection="1">
      <alignment horizontal="right" vertical="center"/>
    </xf>
    <xf numFmtId="0" fontId="8" fillId="2" borderId="0" xfId="1" applyBorder="1" applyAlignment="1" applyProtection="1">
      <alignment vertical="center"/>
    </xf>
    <xf numFmtId="0" fontId="0" fillId="0" borderId="0" xfId="0" applyAlignment="1">
      <alignment horizontal="right"/>
    </xf>
    <xf numFmtId="0" fontId="0" fillId="0" borderId="8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9" fillId="0" borderId="4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1" fontId="9" fillId="0" borderId="0" xfId="0" applyNumberFormat="1" applyFont="1" applyAlignment="1">
      <alignment horizontal="right" wrapText="1"/>
    </xf>
    <xf numFmtId="0" fontId="0" fillId="3" borderId="4" xfId="0" applyFill="1" applyBorder="1" applyAlignment="1">
      <alignment horizontal="center"/>
    </xf>
    <xf numFmtId="1" fontId="5" fillId="0" borderId="0" xfId="0" applyNumberFormat="1" applyFont="1" applyAlignment="1">
      <alignment vertical="center"/>
    </xf>
    <xf numFmtId="0" fontId="9" fillId="0" borderId="0" xfId="0" applyFont="1"/>
    <xf numFmtId="0" fontId="9" fillId="0" borderId="8" xfId="0" applyFont="1" applyBorder="1" applyAlignment="1">
      <alignment horizontal="center"/>
    </xf>
    <xf numFmtId="0" fontId="5" fillId="6" borderId="11" xfId="0" applyFont="1" applyFill="1" applyBorder="1" applyAlignment="1">
      <alignment horizontal="right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0" fillId="0" borderId="15" xfId="0" applyBorder="1" applyAlignment="1">
      <alignment horizontal="right" vertical="center"/>
    </xf>
    <xf numFmtId="1" fontId="0" fillId="0" borderId="16" xfId="0" applyNumberForma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7" xfId="0" applyBorder="1" applyAlignment="1">
      <alignment horizontal="right" vertical="center"/>
    </xf>
    <xf numFmtId="1" fontId="0" fillId="0" borderId="10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right" vertical="center"/>
    </xf>
    <xf numFmtId="164" fontId="0" fillId="0" borderId="10" xfId="0" applyNumberFormat="1" applyBorder="1" applyAlignment="1">
      <alignment horizontal="center" vertical="center"/>
    </xf>
    <xf numFmtId="0" fontId="0" fillId="0" borderId="12" xfId="0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0" fillId="0" borderId="4" xfId="0" applyFont="1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" fontId="0" fillId="0" borderId="2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9" fillId="0" borderId="4" xfId="0" applyFont="1" applyBorder="1" applyAlignment="1">
      <alignment horizontal="right" wrapText="1"/>
    </xf>
    <xf numFmtId="0" fontId="9" fillId="0" borderId="24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6" xfId="0" applyFont="1" applyBorder="1" applyAlignment="1">
      <alignment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7" xfId="0" applyFont="1" applyBorder="1" applyAlignment="1">
      <alignment wrapText="1"/>
    </xf>
    <xf numFmtId="0" fontId="0" fillId="4" borderId="10" xfId="0" applyFill="1" applyBorder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8" xfId="0" applyFill="1" applyBorder="1" applyAlignment="1">
      <alignment horizontal="center"/>
    </xf>
    <xf numFmtId="1" fontId="0" fillId="0" borderId="0" xfId="0" applyNumberFormat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1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1" fontId="0" fillId="0" borderId="10" xfId="0" applyNumberFormat="1" applyBorder="1" applyAlignment="1">
      <alignment horizontal="center"/>
    </xf>
    <xf numFmtId="1" fontId="5" fillId="0" borderId="8" xfId="0" applyNumberFormat="1" applyFon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164" fontId="0" fillId="0" borderId="33" xfId="0" applyNumberFormat="1" applyBorder="1" applyAlignment="1">
      <alignment horizontal="center" vertical="center"/>
    </xf>
    <xf numFmtId="0" fontId="2" fillId="0" borderId="24" xfId="0" applyFont="1" applyBorder="1"/>
    <xf numFmtId="0" fontId="0" fillId="0" borderId="25" xfId="0" applyBorder="1" applyAlignment="1">
      <alignment horizontal="right" vertical="center"/>
    </xf>
    <xf numFmtId="0" fontId="12" fillId="6" borderId="38" xfId="0" applyFont="1" applyFill="1" applyBorder="1" applyAlignment="1">
      <alignment horizontal="center" wrapText="1"/>
    </xf>
    <xf numFmtId="0" fontId="12" fillId="6" borderId="39" xfId="0" applyFont="1" applyFill="1" applyBorder="1" applyAlignment="1">
      <alignment horizontal="center" wrapText="1"/>
    </xf>
    <xf numFmtId="0" fontId="12" fillId="6" borderId="40" xfId="0" applyFont="1" applyFill="1" applyBorder="1" applyAlignment="1">
      <alignment horizontal="center" wrapText="1"/>
    </xf>
    <xf numFmtId="0" fontId="12" fillId="6" borderId="41" xfId="0" applyFont="1" applyFill="1" applyBorder="1" applyAlignment="1">
      <alignment horizontal="center" wrapText="1"/>
    </xf>
    <xf numFmtId="0" fontId="9" fillId="6" borderId="41" xfId="0" applyFont="1" applyFill="1" applyBorder="1" applyAlignment="1">
      <alignment wrapText="1"/>
    </xf>
    <xf numFmtId="0" fontId="9" fillId="6" borderId="38" xfId="0" applyFont="1" applyFill="1" applyBorder="1" applyAlignment="1">
      <alignment wrapText="1"/>
    </xf>
    <xf numFmtId="0" fontId="0" fillId="6" borderId="42" xfId="0" applyFill="1" applyBorder="1" applyAlignment="1">
      <alignment horizontal="center" wrapText="1"/>
    </xf>
    <xf numFmtId="0" fontId="0" fillId="6" borderId="43" xfId="0" applyFill="1" applyBorder="1" applyAlignment="1">
      <alignment horizontal="center" wrapText="1"/>
    </xf>
    <xf numFmtId="0" fontId="0" fillId="6" borderId="44" xfId="0" applyFill="1" applyBorder="1" applyAlignment="1">
      <alignment horizontal="center" wrapText="1"/>
    </xf>
    <xf numFmtId="0" fontId="0" fillId="6" borderId="45" xfId="0" applyFill="1" applyBorder="1" applyAlignment="1">
      <alignment horizontal="center"/>
    </xf>
    <xf numFmtId="0" fontId="0" fillId="6" borderId="46" xfId="0" applyFill="1" applyBorder="1" applyAlignment="1">
      <alignment horizontal="center" wrapText="1"/>
    </xf>
    <xf numFmtId="1" fontId="0" fillId="6" borderId="46" xfId="0" applyNumberFormat="1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8" borderId="47" xfId="0" applyFill="1" applyBorder="1" applyAlignment="1">
      <alignment horizontal="center"/>
    </xf>
    <xf numFmtId="1" fontId="0" fillId="8" borderId="48" xfId="0" applyNumberFormat="1" applyFill="1" applyBorder="1" applyAlignment="1">
      <alignment horizontal="center"/>
    </xf>
    <xf numFmtId="1" fontId="0" fillId="8" borderId="46" xfId="0" applyNumberFormat="1" applyFill="1" applyBorder="1" applyAlignment="1">
      <alignment horizontal="center"/>
    </xf>
    <xf numFmtId="1" fontId="0" fillId="8" borderId="49" xfId="0" applyNumberFormat="1" applyFill="1" applyBorder="1" applyAlignment="1">
      <alignment horizontal="center"/>
    </xf>
    <xf numFmtId="2" fontId="0" fillId="8" borderId="50" xfId="0" applyNumberFormat="1" applyFill="1" applyBorder="1" applyAlignment="1">
      <alignment horizontal="center"/>
    </xf>
    <xf numFmtId="1" fontId="0" fillId="8" borderId="51" xfId="0" applyNumberFormat="1" applyFill="1" applyBorder="1" applyAlignment="1">
      <alignment horizontal="center"/>
    </xf>
    <xf numFmtId="1" fontId="0" fillId="8" borderId="52" xfId="0" applyNumberFormat="1" applyFill="1" applyBorder="1" applyAlignment="1">
      <alignment horizontal="center"/>
    </xf>
    <xf numFmtId="0" fontId="9" fillId="9" borderId="38" xfId="0" applyFont="1" applyFill="1" applyBorder="1" applyAlignment="1">
      <alignment horizontal="center" wrapText="1"/>
    </xf>
    <xf numFmtId="0" fontId="9" fillId="9" borderId="41" xfId="0" applyFont="1" applyFill="1" applyBorder="1" applyAlignment="1">
      <alignment horizontal="center" vertical="center"/>
    </xf>
    <xf numFmtId="0" fontId="0" fillId="8" borderId="53" xfId="0" applyFill="1" applyBorder="1" applyAlignment="1">
      <alignment horizontal="center"/>
    </xf>
    <xf numFmtId="1" fontId="0" fillId="8" borderId="54" xfId="0" applyNumberFormat="1" applyFill="1" applyBorder="1" applyAlignment="1">
      <alignment horizontal="center"/>
    </xf>
    <xf numFmtId="2" fontId="0" fillId="8" borderId="54" xfId="0" applyNumberFormat="1" applyFill="1" applyBorder="1" applyAlignment="1">
      <alignment horizontal="center"/>
    </xf>
    <xf numFmtId="1" fontId="0" fillId="8" borderId="55" xfId="0" applyNumberFormat="1" applyFill="1" applyBorder="1" applyAlignment="1">
      <alignment horizontal="center"/>
    </xf>
    <xf numFmtId="1" fontId="0" fillId="8" borderId="56" xfId="0" applyNumberFormat="1" applyFill="1" applyBorder="1" applyAlignment="1">
      <alignment horizontal="center"/>
    </xf>
    <xf numFmtId="1" fontId="0" fillId="8" borderId="0" xfId="0" applyNumberFormat="1" applyFill="1" applyAlignment="1">
      <alignment horizontal="center"/>
    </xf>
    <xf numFmtId="1" fontId="9" fillId="8" borderId="0" xfId="0" applyNumberFormat="1" applyFont="1" applyFill="1" applyAlignment="1">
      <alignment horizontal="center"/>
    </xf>
    <xf numFmtId="1" fontId="0" fillId="6" borderId="57" xfId="0" applyNumberFormat="1" applyFill="1" applyBorder="1" applyAlignment="1">
      <alignment horizontal="center"/>
    </xf>
    <xf numFmtId="1" fontId="0" fillId="6" borderId="48" xfId="0" applyNumberFormat="1" applyFill="1" applyBorder="1" applyAlignment="1">
      <alignment horizontal="center"/>
    </xf>
    <xf numFmtId="1" fontId="0" fillId="6" borderId="50" xfId="0" applyNumberFormat="1" applyFill="1" applyBorder="1" applyAlignment="1">
      <alignment horizontal="center"/>
    </xf>
    <xf numFmtId="1" fontId="0" fillId="6" borderId="58" xfId="0" applyNumberFormat="1" applyFill="1" applyBorder="1" applyAlignment="1">
      <alignment horizontal="center"/>
    </xf>
    <xf numFmtId="2" fontId="0" fillId="6" borderId="58" xfId="0" applyNumberFormat="1" applyFill="1" applyBorder="1" applyAlignment="1">
      <alignment horizontal="center"/>
    </xf>
    <xf numFmtId="0" fontId="0" fillId="6" borderId="59" xfId="0" applyFill="1" applyBorder="1" applyAlignment="1">
      <alignment horizontal="center"/>
    </xf>
    <xf numFmtId="14" fontId="0" fillId="6" borderId="60" xfId="0" applyNumberFormat="1" applyFill="1" applyBorder="1" applyAlignment="1">
      <alignment horizontal="center"/>
    </xf>
    <xf numFmtId="14" fontId="0" fillId="6" borderId="0" xfId="0" applyNumberFormat="1" applyFill="1" applyAlignment="1">
      <alignment horizontal="center"/>
    </xf>
    <xf numFmtId="2" fontId="0" fillId="6" borderId="50" xfId="0" applyNumberFormat="1" applyFill="1" applyBorder="1" applyAlignment="1">
      <alignment horizontal="center"/>
    </xf>
    <xf numFmtId="1" fontId="0" fillId="6" borderId="47" xfId="0" applyNumberFormat="1" applyFill="1" applyBorder="1" applyAlignment="1">
      <alignment horizontal="center"/>
    </xf>
    <xf numFmtId="1" fontId="0" fillId="6" borderId="61" xfId="0" applyNumberFormat="1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1" fontId="0" fillId="6" borderId="62" xfId="0" applyNumberFormat="1" applyFill="1" applyBorder="1" applyAlignment="1">
      <alignment horizontal="center"/>
    </xf>
    <xf numFmtId="1" fontId="0" fillId="6" borderId="49" xfId="0" applyNumberFormat="1" applyFill="1" applyBorder="1" applyAlignment="1">
      <alignment horizontal="center"/>
    </xf>
    <xf numFmtId="1" fontId="0" fillId="6" borderId="45" xfId="0" applyNumberFormat="1" applyFill="1" applyBorder="1" applyAlignment="1">
      <alignment horizontal="center"/>
    </xf>
    <xf numFmtId="2" fontId="0" fillId="6" borderId="49" xfId="0" applyNumberFormat="1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6" borderId="63" xfId="0" applyFill="1" applyBorder="1" applyAlignment="1">
      <alignment horizontal="center"/>
    </xf>
    <xf numFmtId="1" fontId="0" fillId="6" borderId="46" xfId="0" applyNumberFormat="1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14" fontId="0" fillId="6" borderId="52" xfId="0" applyNumberFormat="1" applyFill="1" applyBorder="1" applyAlignment="1">
      <alignment horizontal="center"/>
    </xf>
    <xf numFmtId="1" fontId="0" fillId="6" borderId="54" xfId="0" applyNumberFormat="1" applyFill="1" applyBorder="1" applyAlignment="1">
      <alignment horizontal="center"/>
    </xf>
    <xf numFmtId="2" fontId="0" fillId="6" borderId="54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14" fontId="0" fillId="6" borderId="56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9" xfId="0" applyBorder="1"/>
    <xf numFmtId="165" fontId="0" fillId="0" borderId="0" xfId="0" applyNumberFormat="1" applyAlignment="1">
      <alignment horizontal="center" vertical="center"/>
    </xf>
    <xf numFmtId="0" fontId="0" fillId="0" borderId="26" xfId="0" applyBorder="1"/>
    <xf numFmtId="0" fontId="0" fillId="0" borderId="67" xfId="0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1" fontId="5" fillId="12" borderId="10" xfId="0" applyNumberFormat="1" applyFont="1" applyFill="1" applyBorder="1" applyAlignment="1">
      <alignment horizontal="center" vertical="center"/>
    </xf>
    <xf numFmtId="1" fontId="0" fillId="12" borderId="10" xfId="0" applyNumberFormat="1" applyFill="1" applyBorder="1" applyAlignment="1">
      <alignment horizontal="center" vertical="center"/>
    </xf>
    <xf numFmtId="1" fontId="5" fillId="11" borderId="10" xfId="0" applyNumberFormat="1" applyFont="1" applyFill="1" applyBorder="1" applyAlignment="1">
      <alignment horizontal="center" vertical="center"/>
    </xf>
    <xf numFmtId="1" fontId="0" fillId="11" borderId="10" xfId="0" applyNumberForma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4" fillId="0" borderId="0" xfId="0" applyFont="1"/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15" fillId="0" borderId="0" xfId="0" applyNumberFormat="1" applyFont="1"/>
    <xf numFmtId="0" fontId="16" fillId="13" borderId="0" xfId="0" applyFont="1" applyFill="1" applyAlignment="1">
      <alignment horizontal="center" vertical="center"/>
    </xf>
    <xf numFmtId="1" fontId="16" fillId="13" borderId="0" xfId="0" applyNumberFormat="1" applyFont="1" applyFill="1" applyAlignment="1">
      <alignment horizontal="center" vertical="center"/>
    </xf>
    <xf numFmtId="2" fontId="16" fillId="1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14" borderId="0" xfId="0" applyFill="1"/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right"/>
    </xf>
    <xf numFmtId="0" fontId="0" fillId="14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3" fillId="0" borderId="68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5" fillId="0" borderId="47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76" xfId="0" applyNumberFormat="1" applyBorder="1" applyAlignment="1">
      <alignment horizontal="center" vertical="center"/>
    </xf>
    <xf numFmtId="1" fontId="0" fillId="0" borderId="77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76" xfId="0" applyNumberFormat="1" applyBorder="1" applyAlignment="1">
      <alignment horizontal="center" vertical="center"/>
    </xf>
    <xf numFmtId="1" fontId="0" fillId="0" borderId="78" xfId="0" applyNumberForma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1" fontId="0" fillId="0" borderId="80" xfId="0" applyNumberFormat="1" applyBorder="1" applyAlignment="1">
      <alignment horizontal="center" vertical="center"/>
    </xf>
    <xf numFmtId="164" fontId="0" fillId="0" borderId="81" xfId="0" applyNumberFormat="1" applyBorder="1" applyAlignment="1">
      <alignment horizontal="center" vertical="center"/>
    </xf>
    <xf numFmtId="164" fontId="0" fillId="0" borderId="79" xfId="0" applyNumberFormat="1" applyBorder="1" applyAlignment="1">
      <alignment horizontal="center" vertical="center"/>
    </xf>
    <xf numFmtId="1" fontId="0" fillId="0" borderId="81" xfId="0" applyNumberFormat="1" applyBorder="1" applyAlignment="1">
      <alignment horizontal="center" vertical="center"/>
    </xf>
    <xf numFmtId="1" fontId="5" fillId="0" borderId="63" xfId="0" applyNumberFormat="1" applyFont="1" applyBorder="1" applyAlignment="1">
      <alignment horizontal="center" vertical="center"/>
    </xf>
    <xf numFmtId="1" fontId="5" fillId="0" borderId="53" xfId="0" applyNumberFormat="1" applyFont="1" applyBorder="1" applyAlignment="1">
      <alignment horizontal="center" vertical="center"/>
    </xf>
    <xf numFmtId="1" fontId="0" fillId="0" borderId="82" xfId="0" applyNumberFormat="1" applyBorder="1" applyAlignment="1">
      <alignment horizontal="center" vertical="center"/>
    </xf>
    <xf numFmtId="1" fontId="0" fillId="0" borderId="83" xfId="0" applyNumberFormat="1" applyBorder="1" applyAlignment="1">
      <alignment horizontal="center" vertical="center"/>
    </xf>
    <xf numFmtId="1" fontId="0" fillId="0" borderId="84" xfId="0" applyNumberFormat="1" applyBorder="1" applyAlignment="1">
      <alignment horizontal="center" vertical="center"/>
    </xf>
    <xf numFmtId="1" fontId="0" fillId="0" borderId="85" xfId="0" applyNumberFormat="1" applyBorder="1" applyAlignment="1">
      <alignment horizontal="center" vertical="center"/>
    </xf>
    <xf numFmtId="164" fontId="0" fillId="0" borderId="85" xfId="0" applyNumberFormat="1" applyBorder="1" applyAlignment="1">
      <alignment horizontal="center" vertical="center"/>
    </xf>
    <xf numFmtId="164" fontId="0" fillId="0" borderId="83" xfId="0" applyNumberFormat="1" applyBorder="1" applyAlignment="1">
      <alignment horizontal="center" vertical="center"/>
    </xf>
    <xf numFmtId="164" fontId="5" fillId="0" borderId="0" xfId="0" applyNumberFormat="1" applyFont="1" applyAlignment="1">
      <alignment horizontal="left"/>
    </xf>
    <xf numFmtId="0" fontId="0" fillId="7" borderId="0" xfId="0" applyFill="1"/>
    <xf numFmtId="0" fontId="0" fillId="15" borderId="0" xfId="0" applyFill="1"/>
    <xf numFmtId="0" fontId="0" fillId="15" borderId="0" xfId="0" applyFill="1" applyAlignment="1">
      <alignment horizontal="center" vertical="center"/>
    </xf>
    <xf numFmtId="1" fontId="0" fillId="0" borderId="0" xfId="0" applyNumberFormat="1" applyAlignment="1">
      <alignment wrapText="1"/>
    </xf>
    <xf numFmtId="1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0" applyNumberFormat="1"/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1" fontId="5" fillId="0" borderId="0" xfId="0" applyNumberFormat="1" applyFont="1"/>
    <xf numFmtId="0" fontId="13" fillId="0" borderId="0" xfId="0" applyFont="1" applyAlignment="1">
      <alignment wrapText="1"/>
    </xf>
    <xf numFmtId="0" fontId="13" fillId="0" borderId="0" xfId="0" applyFont="1"/>
    <xf numFmtId="1" fontId="5" fillId="0" borderId="57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right"/>
    </xf>
    <xf numFmtId="0" fontId="15" fillId="11" borderId="0" xfId="0" applyFont="1" applyFill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5" fillId="0" borderId="11" xfId="0" applyFont="1" applyBorder="1"/>
    <xf numFmtId="1" fontId="5" fillId="0" borderId="12" xfId="0" applyNumberFormat="1" applyFont="1" applyBorder="1"/>
    <xf numFmtId="0" fontId="0" fillId="0" borderId="13" xfId="0" applyBorder="1" applyAlignment="1">
      <alignment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4" xfId="0" applyFont="1" applyBorder="1"/>
    <xf numFmtId="1" fontId="9" fillId="0" borderId="0" xfId="0" applyNumberFormat="1" applyFont="1"/>
    <xf numFmtId="0" fontId="9" fillId="0" borderId="27" xfId="0" applyFont="1" applyBorder="1"/>
    <xf numFmtId="1" fontId="9" fillId="0" borderId="24" xfId="0" applyNumberFormat="1" applyFont="1" applyBorder="1"/>
    <xf numFmtId="0" fontId="9" fillId="0" borderId="24" xfId="0" applyFont="1" applyBorder="1"/>
    <xf numFmtId="0" fontId="5" fillId="0" borderId="27" xfId="0" applyFont="1" applyBorder="1"/>
    <xf numFmtId="1" fontId="5" fillId="0" borderId="24" xfId="0" applyNumberFormat="1" applyFont="1" applyBorder="1"/>
    <xf numFmtId="0" fontId="5" fillId="0" borderId="12" xfId="0" applyFont="1" applyBorder="1"/>
    <xf numFmtId="0" fontId="5" fillId="0" borderId="0" xfId="0" applyFont="1" applyAlignment="1">
      <alignment horizontal="left"/>
    </xf>
    <xf numFmtId="0" fontId="5" fillId="0" borderId="13" xfId="0" applyFont="1" applyBorder="1"/>
    <xf numFmtId="0" fontId="5" fillId="0" borderId="4" xfId="0" applyFont="1" applyBorder="1"/>
    <xf numFmtId="0" fontId="5" fillId="0" borderId="24" xfId="0" applyFont="1" applyBorder="1"/>
    <xf numFmtId="0" fontId="5" fillId="0" borderId="25" xfId="0" applyFont="1" applyBorder="1"/>
    <xf numFmtId="0" fontId="1" fillId="5" borderId="0" xfId="0" applyFont="1" applyFill="1" applyAlignment="1">
      <alignment horizontal="center" vertical="center"/>
    </xf>
    <xf numFmtId="0" fontId="0" fillId="0" borderId="25" xfId="0" applyBorder="1" applyAlignment="1">
      <alignment vertical="center"/>
    </xf>
    <xf numFmtId="0" fontId="5" fillId="0" borderId="6" xfId="0" applyFont="1" applyBorder="1"/>
    <xf numFmtId="0" fontId="5" fillId="0" borderId="87" xfId="0" applyFont="1" applyBorder="1"/>
    <xf numFmtId="0" fontId="0" fillId="0" borderId="87" xfId="0" applyBorder="1"/>
    <xf numFmtId="1" fontId="5" fillId="0" borderId="87" xfId="0" applyNumberFormat="1" applyFont="1" applyBorder="1"/>
    <xf numFmtId="0" fontId="0" fillId="0" borderId="24" xfId="0" applyBorder="1"/>
    <xf numFmtId="1" fontId="5" fillId="0" borderId="25" xfId="0" applyNumberFormat="1" applyFont="1" applyBorder="1"/>
    <xf numFmtId="0" fontId="5" fillId="0" borderId="7" xfId="0" applyFont="1" applyBorder="1"/>
    <xf numFmtId="0" fontId="5" fillId="0" borderId="8" xfId="0" applyFont="1" applyBorder="1"/>
    <xf numFmtId="164" fontId="5" fillId="0" borderId="11" xfId="0" applyNumberFormat="1" applyFont="1" applyBorder="1"/>
    <xf numFmtId="164" fontId="5" fillId="0" borderId="12" xfId="0" applyNumberFormat="1" applyFont="1" applyBorder="1"/>
    <xf numFmtId="164" fontId="0" fillId="0" borderId="12" xfId="0" applyNumberFormat="1" applyBorder="1"/>
    <xf numFmtId="164" fontId="5" fillId="0" borderId="4" xfId="0" applyNumberFormat="1" applyFont="1" applyBorder="1"/>
    <xf numFmtId="164" fontId="5" fillId="0" borderId="0" xfId="0" applyNumberFormat="1" applyFont="1"/>
    <xf numFmtId="2" fontId="5" fillId="0" borderId="11" xfId="0" applyNumberFormat="1" applyFont="1" applyBorder="1"/>
    <xf numFmtId="2" fontId="5" fillId="0" borderId="12" xfId="0" applyNumberFormat="1" applyFont="1" applyBorder="1"/>
    <xf numFmtId="164" fontId="5" fillId="0" borderId="27" xfId="0" applyNumberFormat="1" applyFont="1" applyBorder="1"/>
    <xf numFmtId="164" fontId="5" fillId="0" borderId="24" xfId="0" applyNumberFormat="1" applyFont="1" applyBorder="1"/>
    <xf numFmtId="2" fontId="5" fillId="0" borderId="0" xfId="0" applyNumberFormat="1" applyFont="1" applyAlignment="1">
      <alignment horizontal="left"/>
    </xf>
    <xf numFmtId="2" fontId="0" fillId="0" borderId="12" xfId="0" applyNumberFormat="1" applyBorder="1"/>
    <xf numFmtId="2" fontId="5" fillId="0" borderId="4" xfId="0" applyNumberFormat="1" applyFont="1" applyBorder="1"/>
    <xf numFmtId="2" fontId="5" fillId="0" borderId="0" xfId="0" applyNumberFormat="1" applyFont="1"/>
    <xf numFmtId="164" fontId="5" fillId="0" borderId="87" xfId="0" applyNumberFormat="1" applyFont="1" applyBorder="1"/>
    <xf numFmtId="164" fontId="5" fillId="0" borderId="6" xfId="0" applyNumberFormat="1" applyFont="1" applyBorder="1"/>
    <xf numFmtId="164" fontId="0" fillId="0" borderId="87" xfId="0" applyNumberFormat="1" applyBorder="1"/>
    <xf numFmtId="164" fontId="0" fillId="0" borderId="24" xfId="0" applyNumberFormat="1" applyBorder="1"/>
    <xf numFmtId="2" fontId="5" fillId="0" borderId="27" xfId="0" applyNumberFormat="1" applyFont="1" applyBorder="1"/>
    <xf numFmtId="2" fontId="5" fillId="0" borderId="24" xfId="0" applyNumberFormat="1" applyFont="1" applyBorder="1"/>
    <xf numFmtId="2" fontId="0" fillId="0" borderId="24" xfId="0" applyNumberFormat="1" applyBorder="1"/>
    <xf numFmtId="0" fontId="17" fillId="0" borderId="0" xfId="0" applyFont="1" applyAlignment="1">
      <alignment horizontal="center" vertical="center"/>
    </xf>
    <xf numFmtId="0" fontId="5" fillId="16" borderId="0" xfId="0" applyFont="1" applyFill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8" fillId="2" borderId="10" xfId="1" applyBorder="1" applyAlignment="1" applyProtection="1">
      <alignment horizontal="center" vertical="center"/>
    </xf>
    <xf numFmtId="0" fontId="0" fillId="5" borderId="0" xfId="0" applyFill="1" applyAlignment="1">
      <alignment wrapText="1"/>
    </xf>
    <xf numFmtId="0" fontId="0" fillId="3" borderId="8" xfId="0" applyFill="1" applyBorder="1" applyAlignment="1">
      <alignment vertical="center"/>
    </xf>
    <xf numFmtId="0" fontId="0" fillId="3" borderId="14" xfId="0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6" fillId="4" borderId="28" xfId="0" applyFont="1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10" fillId="0" borderId="4" xfId="0" applyFont="1" applyBorder="1" applyAlignment="1">
      <alignment horizontal="right" vertical="center" wrapText="1"/>
    </xf>
    <xf numFmtId="0" fontId="0" fillId="0" borderId="8" xfId="0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 wrapText="1"/>
    </xf>
    <xf numFmtId="0" fontId="12" fillId="6" borderId="35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 vertical="center"/>
    </xf>
    <xf numFmtId="0" fontId="5" fillId="6" borderId="36" xfId="0" applyFont="1" applyFill="1" applyBorder="1" applyAlignment="1">
      <alignment horizontal="center"/>
    </xf>
    <xf numFmtId="0" fontId="5" fillId="6" borderId="36" xfId="0" applyFont="1" applyFill="1" applyBorder="1" applyAlignment="1">
      <alignment horizontal="center" wrapText="1"/>
    </xf>
    <xf numFmtId="0" fontId="5" fillId="6" borderId="3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13" fillId="10" borderId="10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86" xfId="0" applyFont="1" applyBorder="1" applyAlignment="1">
      <alignment horizontal="center" vertical="center"/>
    </xf>
    <xf numFmtId="0" fontId="12" fillId="0" borderId="0" xfId="0" applyFont="1" applyAlignment="1">
      <alignment horizontal="center"/>
    </xf>
  </cellXfs>
  <cellStyles count="2">
    <cellStyle name="Excel Built-in Bad" xfId="1" xr:uid="{00000000-0005-0000-0000-000006000000}"/>
    <cellStyle name="Normal" xfId="0" builtinId="0"/>
  </cellStyles>
  <dxfs count="14"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FCE8B2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FCE8B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DBDBD"/>
      <rgbColor rgb="FF8B8B8B"/>
      <rgbColor rgb="FF6D9EEB"/>
      <rgbColor rgb="FF993366"/>
      <rgbColor rgb="FFF3F3F3"/>
      <rgbColor rgb="FFE2EFD9"/>
      <rgbColor rgb="FF660066"/>
      <rgbColor rgb="FFCCCCCC"/>
      <rgbColor rgb="FF0066CC"/>
      <rgbColor rgb="FFC9DAF8"/>
      <rgbColor rgb="FF000080"/>
      <rgbColor rgb="FFFF00FF"/>
      <rgbColor rgb="FFD9D9D9"/>
      <rgbColor rgb="FF00FFFF"/>
      <rgbColor rgb="FF800080"/>
      <rgbColor rgb="FF800000"/>
      <rgbColor rgb="FF008080"/>
      <rgbColor rgb="FF0000FF"/>
      <rgbColor rgb="FF00CCFF"/>
      <rgbColor rgb="FFCFE2F3"/>
      <rgbColor rgb="FFE2F0D9"/>
      <rgbColor rgb="FFFCE8B2"/>
      <rgbColor rgb="FFB7E1CD"/>
      <rgbColor rgb="FFFFC7CE"/>
      <rgbColor rgb="FFB7B7B7"/>
      <rgbColor rgb="FFF4C7C3"/>
      <rgbColor rgb="FF4472C4"/>
      <rgbColor rgb="FF33CCCC"/>
      <rgbColor rgb="FFB6D7A8"/>
      <rgbColor rgb="FFFFC000"/>
      <rgbColor rgb="FFEFEFEF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'Take-off'!$B$56</c:f>
              <c:strCache>
                <c:ptCount val="1"/>
                <c:pt idx="0">
                  <c:v>ASDA</c:v>
                </c:pt>
              </c:strCache>
            </c:strRef>
          </c:tx>
          <c:spPr>
            <a:solidFill>
              <a:srgbClr val="CCCCCC"/>
            </a:solidFill>
            <a:ln w="0">
              <a:solidFill>
                <a:srgbClr val="000000">
                  <a:alpha val="0"/>
                </a:srgbClr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DA0-4FD1-B18B-7D91D4AABBE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  <a:endParaRPr lang="sv-S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A0-4FD1-B18B-7D91D4AABB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'Take-off'!$C$55:$D$55</c:f>
              <c:strCache>
                <c:ptCount val="2"/>
                <c:pt idx="0">
                  <c:v>Flaps UP</c:v>
                </c:pt>
                <c:pt idx="1">
                  <c:v>Flaps APPROACH</c:v>
                </c:pt>
              </c:strCache>
            </c:strRef>
          </c:cat>
          <c:val>
            <c:numRef>
              <c:f>'Take-off'!$C$56:$D$56</c:f>
              <c:numCache>
                <c:formatCode>0</c:formatCode>
                <c:ptCount val="2"/>
                <c:pt idx="0">
                  <c:v>-10</c:v>
                </c:pt>
                <c:pt idx="1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A0-4FD1-B18B-7D91D4AABBE1}"/>
            </c:ext>
          </c:extLst>
        </c:ser>
        <c:ser>
          <c:idx val="1"/>
          <c:order val="1"/>
          <c:tx>
            <c:strRef>
              <c:f>'Take-off'!$B$57</c:f>
              <c:strCache>
                <c:ptCount val="1"/>
                <c:pt idx="0">
                  <c:v>TODA</c:v>
                </c:pt>
              </c:strCache>
            </c:strRef>
          </c:tx>
          <c:spPr>
            <a:solidFill>
              <a:srgbClr val="999999"/>
            </a:solidFill>
            <a:ln w="0">
              <a:solidFill>
                <a:srgbClr val="000000">
                  <a:alpha val="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'Take-off'!$C$55:$D$55</c:f>
              <c:strCache>
                <c:ptCount val="2"/>
                <c:pt idx="0">
                  <c:v>Flaps UP</c:v>
                </c:pt>
                <c:pt idx="1">
                  <c:v>Flaps APPROACH</c:v>
                </c:pt>
              </c:strCache>
            </c:strRef>
          </c:cat>
          <c:val>
            <c:numRef>
              <c:f>'Take-off'!$C$57:$D$57</c:f>
              <c:numCache>
                <c:formatCode>0</c:formatCode>
                <c:ptCount val="2"/>
                <c:pt idx="0">
                  <c:v>-10</c:v>
                </c:pt>
                <c:pt idx="1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A0-4FD1-B18B-7D91D4AABBE1}"/>
            </c:ext>
          </c:extLst>
        </c:ser>
        <c:ser>
          <c:idx val="2"/>
          <c:order val="2"/>
          <c:tx>
            <c:strRef>
              <c:f>'Take-off'!$B$58</c:f>
              <c:strCache>
                <c:ptCount val="1"/>
                <c:pt idx="0">
                  <c:v>Dry Runway</c:v>
                </c:pt>
              </c:strCache>
            </c:strRef>
          </c:tx>
          <c:spPr>
            <a:solidFill>
              <a:srgbClr val="6D9EEB"/>
            </a:solidFill>
            <a:ln w="0">
              <a:solidFill>
                <a:srgbClr val="000000">
                  <a:alpha val="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'Take-off'!$C$55:$D$55</c:f>
              <c:strCache>
                <c:ptCount val="2"/>
                <c:pt idx="0">
                  <c:v>Flaps UP</c:v>
                </c:pt>
                <c:pt idx="1">
                  <c:v>Flaps APPROACH</c:v>
                </c:pt>
              </c:strCache>
            </c:strRef>
          </c:cat>
          <c:val>
            <c:numRef>
              <c:f>'Take-off'!$C$58:$D$58</c:f>
              <c:numCache>
                <c:formatCode>0</c:formatCode>
                <c:ptCount val="2"/>
                <c:pt idx="0">
                  <c:v>1707.3170731707319</c:v>
                </c:pt>
                <c:pt idx="1">
                  <c:v>1280.4878048780488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A0-4FD1-B18B-7D91D4AABBE1}"/>
            </c:ext>
          </c:extLst>
        </c:ser>
        <c:ser>
          <c:idx val="3"/>
          <c:order val="3"/>
          <c:tx>
            <c:strRef>
              <c:f>'Take-off'!$B$59</c:f>
              <c:strCache>
                <c:ptCount val="1"/>
                <c:pt idx="0">
                  <c:v>Selected contaminant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>
                  <a:alpha val="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'Take-off'!$C$55:$D$55</c:f>
              <c:strCache>
                <c:ptCount val="2"/>
                <c:pt idx="0">
                  <c:v>Flaps UP</c:v>
                </c:pt>
                <c:pt idx="1">
                  <c:v>Flaps APPROACH</c:v>
                </c:pt>
              </c:strCache>
            </c:strRef>
          </c:cat>
          <c:val>
            <c:numRef>
              <c:f>'Take-off'!$C$59:$D$59</c:f>
              <c:numCache>
                <c:formatCode>0</c:formatCode>
                <c:ptCount val="2"/>
                <c:pt idx="0">
                  <c:v>1707.3170731707319</c:v>
                </c:pt>
                <c:pt idx="1">
                  <c:v>1280.4878048780488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A0-4FD1-B18B-7D91D4AAB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93562"/>
        <c:axId val="60792388"/>
      </c:barChart>
      <c:catAx>
        <c:axId val="8739356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60792388"/>
        <c:crosses val="autoZero"/>
        <c:auto val="1"/>
        <c:lblAlgn val="ctr"/>
        <c:lblOffset val="100"/>
        <c:noMultiLvlLbl val="0"/>
      </c:catAx>
      <c:valAx>
        <c:axId val="60792388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Banlängder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87393562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  <a:endParaRPr lang="sv-S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Landing!$B$36</c:f>
              <c:strCache>
                <c:ptCount val="1"/>
                <c:pt idx="0">
                  <c:v>LDA</c:v>
                </c:pt>
              </c:strCache>
            </c:strRef>
          </c:tx>
          <c:spPr>
            <a:solidFill>
              <a:srgbClr val="66666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Landing!$C$35:$D$35</c:f>
              <c:strCache>
                <c:ptCount val="2"/>
                <c:pt idx="0">
                  <c:v>Flaps UP</c:v>
                </c:pt>
                <c:pt idx="1">
                  <c:v>Flaps FULL</c:v>
                </c:pt>
              </c:strCache>
            </c:strRef>
          </c:cat>
          <c:val>
            <c:numRef>
              <c:f>Landing!$C$36:$D$36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E-429E-8CF9-F464102F82ED}"/>
            </c:ext>
          </c:extLst>
        </c:ser>
        <c:ser>
          <c:idx val="1"/>
          <c:order val="1"/>
          <c:tx>
            <c:strRef>
              <c:f>Landing!$B$37</c:f>
              <c:strCache>
                <c:ptCount val="1"/>
                <c:pt idx="0">
                  <c:v>Landing distance</c:v>
                </c:pt>
              </c:strCache>
            </c:strRef>
          </c:tx>
          <c:spPr>
            <a:solidFill>
              <a:srgbClr val="6D9EE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Landing!$C$35:$D$35</c:f>
              <c:strCache>
                <c:ptCount val="2"/>
                <c:pt idx="0">
                  <c:v>Flaps UP</c:v>
                </c:pt>
                <c:pt idx="1">
                  <c:v>Flaps FULL</c:v>
                </c:pt>
              </c:strCache>
            </c:strRef>
          </c:cat>
          <c:val>
            <c:numRef>
              <c:f>Landing!$C$37:$D$37</c:f>
              <c:numCache>
                <c:formatCode>0</c:formatCode>
                <c:ptCount val="2"/>
                <c:pt idx="0">
                  <c:v>1532.5942350332596</c:v>
                </c:pt>
                <c:pt idx="1">
                  <c:v>1185.0665188470066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E-429E-8CF9-F464102F8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63651"/>
        <c:axId val="36363854"/>
      </c:barChart>
      <c:catAx>
        <c:axId val="3286365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36363854"/>
        <c:crosses val="autoZero"/>
        <c:auto val="1"/>
        <c:lblAlgn val="ctr"/>
        <c:lblOffset val="100"/>
        <c:noMultiLvlLbl val="0"/>
      </c:catAx>
      <c:valAx>
        <c:axId val="36363854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Banlängder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32863651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sv-S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52920</xdr:colOff>
      <xdr:row>47</xdr:row>
      <xdr:rowOff>15480</xdr:rowOff>
    </xdr:from>
    <xdr:to>
      <xdr:col>5</xdr:col>
      <xdr:colOff>664710</xdr:colOff>
      <xdr:row>65</xdr:row>
      <xdr:rowOff>121065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30</xdr:row>
      <xdr:rowOff>46080</xdr:rowOff>
    </xdr:from>
    <xdr:to>
      <xdr:col>5</xdr:col>
      <xdr:colOff>119880</xdr:colOff>
      <xdr:row>44</xdr:row>
      <xdr:rowOff>45000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73"/>
  <sheetViews>
    <sheetView showGridLines="0" tabSelected="1" zoomScaleNormal="100" workbookViewId="0">
      <selection activeCell="E9" sqref="E9"/>
    </sheetView>
  </sheetViews>
  <sheetFormatPr defaultColWidth="14.44140625" defaultRowHeight="15" customHeight="1"/>
  <cols>
    <col min="1" max="1" width="4" customWidth="1"/>
    <col min="2" max="2" width="28.5546875" customWidth="1"/>
    <col min="3" max="4" width="12.109375" customWidth="1"/>
    <col min="5" max="6" width="12.6640625" customWidth="1"/>
    <col min="7" max="7" width="12.109375" customWidth="1"/>
    <col min="8" max="8" width="2.6640625" customWidth="1"/>
    <col min="9" max="9" width="16.33203125" customWidth="1"/>
    <col min="10" max="13" width="12.109375" customWidth="1"/>
    <col min="14" max="14" width="10" customWidth="1"/>
  </cols>
  <sheetData>
    <row r="2" spans="2:12" ht="14.25" customHeight="1">
      <c r="B2" s="277" t="s">
        <v>0</v>
      </c>
      <c r="C2" s="277"/>
      <c r="D2" s="277"/>
      <c r="E2" s="277"/>
      <c r="F2" s="4"/>
      <c r="G2" s="5" t="s">
        <v>1</v>
      </c>
    </row>
    <row r="3" spans="2:12" ht="14.25" customHeight="1">
      <c r="B3" s="278" t="s">
        <v>2</v>
      </c>
      <c r="C3" s="278"/>
      <c r="D3" s="278"/>
      <c r="E3" s="278"/>
      <c r="G3" s="6" t="s">
        <v>3</v>
      </c>
    </row>
    <row r="4" spans="2:12" ht="14.25" customHeight="1">
      <c r="B4" s="7" t="s">
        <v>4</v>
      </c>
      <c r="C4" s="279" t="s">
        <v>5</v>
      </c>
      <c r="D4" s="279"/>
      <c r="E4" s="279"/>
      <c r="F4" s="279"/>
      <c r="G4" s="279"/>
      <c r="I4" t="s">
        <v>6</v>
      </c>
    </row>
    <row r="5" spans="2:12" ht="14.25" customHeight="1">
      <c r="D5" s="8"/>
      <c r="E5" s="8"/>
      <c r="F5" s="8"/>
      <c r="G5" s="9"/>
    </row>
    <row r="6" spans="2:12" ht="14.25" customHeight="1">
      <c r="B6" s="280" t="s">
        <v>7</v>
      </c>
      <c r="C6" s="10">
        <v>0</v>
      </c>
      <c r="D6" s="11" t="s">
        <v>8</v>
      </c>
      <c r="E6" s="281" t="str">
        <f>IF(C24&lt;0, "Tailwind", "")</f>
        <v/>
      </c>
      <c r="F6" s="281"/>
      <c r="G6" s="281"/>
      <c r="I6" t="s">
        <v>9</v>
      </c>
    </row>
    <row r="7" spans="2:12" ht="14.25" customHeight="1">
      <c r="B7" s="280"/>
      <c r="C7" s="12">
        <v>0</v>
      </c>
      <c r="D7" s="11" t="s">
        <v>10</v>
      </c>
      <c r="E7" s="281"/>
      <c r="F7" s="281"/>
      <c r="G7" s="281"/>
    </row>
    <row r="8" spans="2:12" ht="14.25" customHeight="1">
      <c r="B8" s="3" t="s">
        <v>11</v>
      </c>
      <c r="C8" s="12">
        <v>-35</v>
      </c>
      <c r="D8" s="11" t="s">
        <v>12</v>
      </c>
      <c r="G8" s="13"/>
    </row>
    <row r="9" spans="2:12" ht="14.25" customHeight="1">
      <c r="B9" s="3" t="s">
        <v>13</v>
      </c>
      <c r="C9" s="12">
        <v>1013</v>
      </c>
      <c r="D9" s="11" t="s">
        <v>14</v>
      </c>
      <c r="E9" s="14"/>
      <c r="F9" s="14"/>
      <c r="G9" s="13"/>
    </row>
    <row r="10" spans="2:12" ht="14.25" customHeight="1">
      <c r="B10" s="3" t="s">
        <v>15</v>
      </c>
      <c r="C10" s="12">
        <v>6</v>
      </c>
      <c r="D10" s="11"/>
      <c r="G10" s="13"/>
    </row>
    <row r="11" spans="2:12" ht="14.25" customHeight="1">
      <c r="B11" s="15" t="s">
        <v>16</v>
      </c>
      <c r="C11" s="282" t="s">
        <v>17</v>
      </c>
      <c r="D11" s="282"/>
      <c r="G11" s="13"/>
    </row>
    <row r="12" spans="2:12" ht="14.25" customHeight="1">
      <c r="B12" s="15" t="s">
        <v>18</v>
      </c>
      <c r="C12" s="16">
        <v>0</v>
      </c>
      <c r="D12" s="17" t="s">
        <v>19</v>
      </c>
      <c r="E12" s="18" t="s">
        <v>20</v>
      </c>
      <c r="F12" s="18"/>
      <c r="G12" s="19" t="str">
        <f>VLOOKUP(C11,'Dropdown lists'!B34:F40,5,FALSE())</f>
        <v>N/A</v>
      </c>
    </row>
    <row r="13" spans="2:12" ht="14.25" customHeight="1">
      <c r="B13" s="3" t="s">
        <v>21</v>
      </c>
      <c r="C13" s="12" t="s">
        <v>22</v>
      </c>
      <c r="D13" s="11"/>
      <c r="G13" s="13"/>
      <c r="I13" s="283" t="s">
        <v>23</v>
      </c>
      <c r="J13" s="283"/>
      <c r="K13" s="283"/>
      <c r="L13" s="283"/>
    </row>
    <row r="14" spans="2:12" ht="14.25" customHeight="1">
      <c r="B14" s="3" t="s">
        <v>24</v>
      </c>
      <c r="C14" s="12">
        <v>12500</v>
      </c>
      <c r="D14" s="11" t="s">
        <v>25</v>
      </c>
      <c r="G14" s="13"/>
      <c r="I14" s="283"/>
      <c r="J14" s="283"/>
      <c r="K14" s="283"/>
      <c r="L14" s="283"/>
    </row>
    <row r="15" spans="2:12" ht="14.25" customHeight="1">
      <c r="B15" s="20" t="s">
        <v>26</v>
      </c>
      <c r="C15" s="284"/>
      <c r="D15" s="284"/>
      <c r="E15" s="284"/>
      <c r="F15" s="284"/>
      <c r="G15" s="284"/>
      <c r="H15" s="11"/>
    </row>
    <row r="16" spans="2:12" ht="14.25" customHeight="1">
      <c r="B16" s="3" t="s">
        <v>27</v>
      </c>
      <c r="C16" s="21">
        <f>_xlfn.XLOOKUP(C4,'Airport data'!A5:A999,'Airport data'!B5:B999)</f>
        <v>0</v>
      </c>
      <c r="D16" s="11" t="s">
        <v>28</v>
      </c>
      <c r="G16" s="13"/>
    </row>
    <row r="17" spans="2:10" ht="14.4">
      <c r="B17" s="3" t="s">
        <v>29</v>
      </c>
      <c r="C17" s="22">
        <f>_xlfn.XLOOKUP(C4,'Airport data'!A5:A999,'Airport data'!G5:G999)</f>
        <v>0</v>
      </c>
      <c r="D17" s="11" t="s">
        <v>30</v>
      </c>
      <c r="E17" s="281" t="s">
        <v>31</v>
      </c>
      <c r="F17" s="281"/>
      <c r="G17" s="281"/>
    </row>
    <row r="18" spans="2:10" ht="14.4">
      <c r="B18" s="3" t="s">
        <v>32</v>
      </c>
      <c r="C18" s="21">
        <f>_xlfn.XLOOKUP(C4,'Airport data'!A5:A999,'Airport data'!H5:H999)</f>
        <v>0</v>
      </c>
      <c r="D18" s="11" t="s">
        <v>8</v>
      </c>
    </row>
    <row r="19" spans="2:10" ht="14.4">
      <c r="B19" s="3" t="s">
        <v>33</v>
      </c>
      <c r="C19" s="21">
        <f>_xlfn.XLOOKUP(C4,'Airport data'!A5:A999,'Airport data'!E5:E999)-10</f>
        <v>-10</v>
      </c>
      <c r="D19" s="11" t="s">
        <v>34</v>
      </c>
      <c r="F19" s="23" t="s">
        <v>35</v>
      </c>
      <c r="G19" s="19">
        <f>_xlfn.XLOOKUP(C4,'Airport data'!A5:A999,'Airport data'!I5:I999)</f>
        <v>0</v>
      </c>
    </row>
    <row r="20" spans="2:10" ht="14.4">
      <c r="B20" s="24" t="s">
        <v>36</v>
      </c>
      <c r="C20" s="21">
        <f>_xlfn.XLOOKUP(C4,'Airport data'!A5:A999,'Airport data'!C5:C999)-10</f>
        <v>-10</v>
      </c>
      <c r="D20" s="25" t="s">
        <v>34</v>
      </c>
      <c r="E20" s="23"/>
      <c r="F20" s="23"/>
      <c r="G20" s="19"/>
    </row>
    <row r="21" spans="2:10" ht="14.4">
      <c r="B21" s="3" t="s">
        <v>37</v>
      </c>
      <c r="C21" s="21">
        <f>_xlfn.XLOOKUP(C4,'Airport data'!A5:A999,'Airport data'!D5:D999)-10</f>
        <v>-10</v>
      </c>
      <c r="D21" s="11" t="s">
        <v>34</v>
      </c>
      <c r="E21" s="26" t="s">
        <v>38</v>
      </c>
      <c r="F21" s="27">
        <f>C35*1.15</f>
        <v>560.97560975609747</v>
      </c>
      <c r="G21" s="13"/>
    </row>
    <row r="22" spans="2:10" ht="14.4">
      <c r="B22" s="24" t="s">
        <v>39</v>
      </c>
      <c r="C22" s="21">
        <f>_xlfn.XLOOKUP(C4,'Airport data'!A5:A999,'Airport data'!F5:F999)</f>
        <v>0</v>
      </c>
      <c r="D22" s="25" t="s">
        <v>34</v>
      </c>
      <c r="E22" s="23"/>
      <c r="F22" s="23"/>
      <c r="G22" s="13"/>
    </row>
    <row r="23" spans="2:10" ht="14.4">
      <c r="B23" s="28" t="s">
        <v>40</v>
      </c>
      <c r="C23" s="284"/>
      <c r="D23" s="284"/>
      <c r="E23" s="284"/>
      <c r="F23" s="284"/>
      <c r="G23" s="284"/>
    </row>
    <row r="24" spans="2:10" ht="14.4">
      <c r="B24" s="3" t="s">
        <v>41</v>
      </c>
      <c r="C24" s="29">
        <f>'TAKE OFF Performance FLAPS UP'!D34</f>
        <v>0</v>
      </c>
      <c r="D24" s="11" t="s">
        <v>42</v>
      </c>
      <c r="E24" s="30" t="s">
        <v>43</v>
      </c>
      <c r="F24" s="30"/>
      <c r="G24">
        <f>_xlfn.XLOOKUP(C10,'Dropdown lists'!B4:B9,'Dropdown lists'!D4:D9)</f>
        <v>1</v>
      </c>
    </row>
    <row r="25" spans="2:10" ht="14.4">
      <c r="B25" s="3" t="s">
        <v>44</v>
      </c>
      <c r="C25" s="29">
        <f>ABS('TAKE OFF Performance FLAPS UP'!C39*C7)</f>
        <v>0</v>
      </c>
      <c r="D25" s="11" t="s">
        <v>42</v>
      </c>
      <c r="E25" s="18" t="s">
        <v>45</v>
      </c>
      <c r="F25" s="31">
        <f>_xlfn.XLOOKUP(C10,'Dropdown lists'!B4:B9,'Dropdown lists'!E4:E9)</f>
        <v>25</v>
      </c>
    </row>
    <row r="26" spans="2:10" ht="14.4">
      <c r="B26" s="32" t="s">
        <v>46</v>
      </c>
      <c r="C26" s="33" t="s">
        <v>47</v>
      </c>
      <c r="D26" s="33" t="s">
        <v>48</v>
      </c>
      <c r="E26" s="34" t="s">
        <v>49</v>
      </c>
      <c r="F26" s="34"/>
      <c r="G26" s="35" t="s">
        <v>50</v>
      </c>
    </row>
    <row r="27" spans="2:10" ht="14.4">
      <c r="B27" s="285" t="s">
        <v>51</v>
      </c>
      <c r="C27" s="285"/>
      <c r="D27" s="285"/>
      <c r="E27" s="285"/>
      <c r="F27" s="285"/>
      <c r="G27" s="285"/>
    </row>
    <row r="28" spans="2:10" ht="15" customHeight="1">
      <c r="B28" s="36" t="s">
        <v>52</v>
      </c>
      <c r="C28" s="37">
        <f>'TAKE OFF Performance FLAPS UP'!E28</f>
        <v>487.80487804878049</v>
      </c>
      <c r="D28" s="8"/>
      <c r="E28" s="38">
        <f>'TAKE OFF Performance FLAPS APPR'!E28</f>
        <v>481.70731707317077</v>
      </c>
      <c r="F28" s="39"/>
      <c r="G28" s="9"/>
      <c r="I28" s="287" t="s">
        <v>53</v>
      </c>
      <c r="J28" s="287"/>
    </row>
    <row r="29" spans="2:10" ht="14.4">
      <c r="B29" s="36" t="s">
        <v>54</v>
      </c>
      <c r="C29" s="37">
        <f>MAX('TAKE OFF Performance FLAPS UP'!E29:E30)</f>
        <v>1707.3170731707319</v>
      </c>
      <c r="E29" s="37">
        <f>MAX('TAKE OFF Performance FLAPS APPR'!E29:E30)</f>
        <v>1280.4878048780488</v>
      </c>
      <c r="F29" s="40"/>
      <c r="G29" s="13"/>
      <c r="I29" s="287"/>
      <c r="J29" s="287"/>
    </row>
    <row r="30" spans="2:10" ht="14.4">
      <c r="B30" s="36" t="s">
        <v>55</v>
      </c>
      <c r="C30" s="37">
        <f>'TAKE OFF Performance FLAPS UP'!E32</f>
        <v>899.39024390243912</v>
      </c>
      <c r="E30" s="37">
        <f>'TAKE OFF Performance FLAPS APPR'!E32</f>
        <v>914.63414634146352</v>
      </c>
      <c r="F30" s="40"/>
      <c r="G30" s="13"/>
      <c r="I30" s="287"/>
      <c r="J30" s="287"/>
    </row>
    <row r="31" spans="2:10" ht="14.4">
      <c r="B31" s="41" t="s">
        <v>56</v>
      </c>
      <c r="C31" s="42">
        <f>'TAKE OFF Performance FLAPS UP'!E$22</f>
        <v>95</v>
      </c>
      <c r="E31" s="42">
        <f>'TAKE OFF Performance FLAPS APPR'!E22</f>
        <v>94</v>
      </c>
      <c r="F31" s="40"/>
      <c r="G31" s="13"/>
      <c r="I31" s="287"/>
      <c r="J31" s="287"/>
    </row>
    <row r="32" spans="2:10" ht="14.4">
      <c r="B32" s="41" t="s">
        <v>57</v>
      </c>
      <c r="C32" s="42">
        <f>'TAKE OFF Performance FLAPS UP'!E$22</f>
        <v>95</v>
      </c>
      <c r="E32" s="42">
        <f>'TAKE OFF Performance FLAPS APPR'!E22</f>
        <v>94</v>
      </c>
      <c r="F32" s="40"/>
      <c r="G32" s="13"/>
      <c r="I32" s="287"/>
      <c r="J32" s="287"/>
    </row>
    <row r="33" spans="2:9" ht="14.4">
      <c r="B33" s="36" t="s">
        <v>58</v>
      </c>
      <c r="C33" s="43">
        <f>'TAKE OFF Performance FLAPS UP'!I22</f>
        <v>121</v>
      </c>
      <c r="E33" s="43">
        <f>'TAKE OFF Performance FLAPS APPR'!I22</f>
        <v>106</v>
      </c>
      <c r="F33" s="40"/>
      <c r="G33" s="13"/>
    </row>
    <row r="34" spans="2:9" ht="14.4">
      <c r="B34" s="285" t="s">
        <v>59</v>
      </c>
      <c r="C34" s="285"/>
      <c r="D34" s="285"/>
      <c r="E34" s="285"/>
      <c r="F34" s="285"/>
      <c r="G34" s="285"/>
    </row>
    <row r="35" spans="2:9" ht="14.4">
      <c r="B35" s="36" t="s">
        <v>52</v>
      </c>
      <c r="C35" s="42">
        <f>'TAKE OFF Performance FLAPS UP'!E28*G24</f>
        <v>487.80487804878049</v>
      </c>
      <c r="D35" s="8"/>
      <c r="E35" s="37">
        <f>'TAKE OFF Performance FLAPS APPR'!E28*G24</f>
        <v>481.70731707317077</v>
      </c>
      <c r="F35" s="40"/>
      <c r="G35" s="9"/>
    </row>
    <row r="36" spans="2:9" ht="14.4">
      <c r="B36" s="36" t="s">
        <v>54</v>
      </c>
      <c r="C36" s="42">
        <f>MAX('TAKE OFF Performance FLAPS UP'!E29:E31)*G24</f>
        <v>1707.3170731707319</v>
      </c>
      <c r="E36" s="37">
        <f>MAX('TAKE OFF Performance FLAPS APPR'!E29:E31)*G24</f>
        <v>1280.4878048780488</v>
      </c>
      <c r="F36" s="40"/>
      <c r="G36" s="13"/>
    </row>
    <row r="37" spans="2:9" ht="14.4">
      <c r="B37" s="36" t="s">
        <v>55</v>
      </c>
      <c r="C37" s="44">
        <f>'TAKE OFF Performance FLAPS UP'!E32*G24</f>
        <v>899.39024390243912</v>
      </c>
      <c r="E37" s="37">
        <f>'TAKE OFF Performance FLAPS APPR'!E32*G24</f>
        <v>914.63414634146352</v>
      </c>
      <c r="F37" s="40"/>
      <c r="G37" s="13"/>
    </row>
    <row r="38" spans="2:9" ht="14.4">
      <c r="B38" s="45" t="s">
        <v>56</v>
      </c>
      <c r="C38" s="44">
        <f>'TAKE OFF Performance FLAPS UP'!E$22</f>
        <v>95</v>
      </c>
      <c r="E38" s="42">
        <f>'TAKE OFF Performance FLAPS APPR'!E22</f>
        <v>94</v>
      </c>
      <c r="F38" s="40"/>
      <c r="G38" s="13"/>
    </row>
    <row r="39" spans="2:9" ht="14.4">
      <c r="B39" s="41" t="s">
        <v>57</v>
      </c>
      <c r="C39" s="42">
        <f>'TAKE OFF Performance FLAPS UP'!E$22</f>
        <v>95</v>
      </c>
      <c r="E39" s="42">
        <f>'TAKE OFF Performance FLAPS APPR'!E22</f>
        <v>94</v>
      </c>
      <c r="F39" s="40"/>
      <c r="G39" s="13"/>
      <c r="I39" s="18"/>
    </row>
    <row r="40" spans="2:9" ht="14.4">
      <c r="B40" s="41" t="s">
        <v>58</v>
      </c>
      <c r="C40" s="42">
        <f>'TAKE OFF Performance FLAPS UP'!I$22</f>
        <v>121</v>
      </c>
      <c r="E40" s="43">
        <f>'TAKE OFF Performance FLAPS APPR'!I22</f>
        <v>106</v>
      </c>
      <c r="F40" s="40"/>
      <c r="G40" s="13"/>
    </row>
    <row r="41" spans="2:9" ht="14.4">
      <c r="B41" s="285" t="s">
        <v>60</v>
      </c>
      <c r="C41" s="285"/>
      <c r="D41" s="285"/>
      <c r="E41" s="285"/>
      <c r="F41" s="285"/>
      <c r="G41" s="285"/>
    </row>
    <row r="42" spans="2:9" ht="14.4">
      <c r="B42" s="45" t="s">
        <v>61</v>
      </c>
      <c r="C42" s="46">
        <f>IF(  C24&gt;0, 'NET GRADIENT OF CLIMB'!C56*(125/(125-50%*ABS(C24))),  'NET GRADIENT OF CLIMB'!C56*(125/(125+150%*ABS(C24)))  )</f>
        <v>5.3930000000000007</v>
      </c>
      <c r="D42" s="47"/>
      <c r="E42" s="46">
        <f>IF(  C24&gt;0, 'NET GRADIENT OF CLIMB'!AC56*(125/(125-50%* ABS(C24))),  'NET GRADIENT OF CLIMB'!AC56*(125/(125+150%* ABS(C24)))  )</f>
        <v>4.1930000000000005</v>
      </c>
      <c r="F42" s="48"/>
      <c r="G42" s="13"/>
      <c r="I42" s="49" t="s">
        <v>62</v>
      </c>
    </row>
    <row r="43" spans="2:9" ht="14.4">
      <c r="B43" s="50" t="s">
        <v>63</v>
      </c>
      <c r="C43" s="288"/>
      <c r="D43" s="288"/>
      <c r="E43" s="288"/>
      <c r="F43" s="8"/>
      <c r="G43" s="13"/>
    </row>
    <row r="44" spans="2:9" ht="14.4">
      <c r="B44" s="285" t="s">
        <v>64</v>
      </c>
      <c r="C44" s="285"/>
      <c r="D44" s="285"/>
      <c r="E44" s="285"/>
      <c r="F44" s="285"/>
      <c r="G44" s="285"/>
      <c r="I44" s="21"/>
    </row>
    <row r="45" spans="2:9" ht="14.4">
      <c r="B45" s="51" t="s">
        <v>65</v>
      </c>
      <c r="C45" s="44">
        <f>'LDG Performance'!K21</f>
        <v>132</v>
      </c>
      <c r="D45" s="52"/>
      <c r="G45" s="53">
        <f>'LDG Performance'!I21</f>
        <v>103</v>
      </c>
      <c r="I45" s="21"/>
    </row>
    <row r="46" spans="2:9" ht="14.4">
      <c r="B46" s="41" t="s">
        <v>66</v>
      </c>
      <c r="C46" s="42">
        <f>('LDG Performance'!D87/3.28)*'LDG Performance'!C55</f>
        <v>1073.2046070460706</v>
      </c>
      <c r="D46" s="54"/>
      <c r="G46" s="55">
        <f>'LDG Performance'!C54</f>
        <v>837.27134146341461</v>
      </c>
      <c r="I46" s="21"/>
    </row>
    <row r="47" spans="2:9" ht="14.4">
      <c r="B47" s="3"/>
      <c r="C47" s="40"/>
      <c r="D47" s="54"/>
      <c r="G47" s="56"/>
      <c r="I47" s="21"/>
    </row>
    <row r="48" spans="2:9" ht="14.4">
      <c r="B48" s="18"/>
      <c r="G48" s="40"/>
      <c r="I48" s="21"/>
    </row>
    <row r="49" spans="2:9" ht="14.4">
      <c r="B49" s="18"/>
      <c r="G49" s="40"/>
      <c r="I49" s="21"/>
    </row>
    <row r="50" spans="2:9" ht="14.4">
      <c r="B50" s="18"/>
      <c r="G50" s="40"/>
      <c r="I50" s="21"/>
    </row>
    <row r="51" spans="2:9" ht="14.4">
      <c r="B51" s="18"/>
      <c r="G51" s="40"/>
      <c r="I51" s="21"/>
    </row>
    <row r="52" spans="2:9" ht="14.4">
      <c r="B52" s="18"/>
      <c r="G52" s="40"/>
      <c r="I52" s="21"/>
    </row>
    <row r="53" spans="2:9" ht="14.4">
      <c r="B53" s="18"/>
      <c r="G53" s="40"/>
      <c r="I53" s="21"/>
    </row>
    <row r="54" spans="2:9" ht="14.4">
      <c r="B54" s="18"/>
      <c r="G54" s="40"/>
    </row>
    <row r="55" spans="2:9" ht="14.4">
      <c r="C55" t="s">
        <v>67</v>
      </c>
      <c r="D55" t="s">
        <v>68</v>
      </c>
      <c r="E55" s="40"/>
      <c r="F55" s="40"/>
    </row>
    <row r="56" spans="2:9" ht="14.4">
      <c r="B56" t="s">
        <v>69</v>
      </c>
      <c r="C56" s="21">
        <f>'Take-off'!$C$19</f>
        <v>-10</v>
      </c>
      <c r="D56" s="21">
        <f>'Take-off'!$C$19</f>
        <v>-10</v>
      </c>
    </row>
    <row r="57" spans="2:9" ht="14.4">
      <c r="B57" t="s">
        <v>70</v>
      </c>
      <c r="C57" s="21">
        <f>'Take-off'!$C$21</f>
        <v>-10</v>
      </c>
      <c r="D57" s="21">
        <f>'Take-off'!$C$21</f>
        <v>-10</v>
      </c>
    </row>
    <row r="58" spans="2:9" ht="15" customHeight="1">
      <c r="B58" t="str">
        <f>B27</f>
        <v>Dry Runway</v>
      </c>
      <c r="C58" s="21">
        <f>C29</f>
        <v>1707.3170731707319</v>
      </c>
      <c r="D58" s="21">
        <f>E29</f>
        <v>1280.4878048780488</v>
      </c>
    </row>
    <row r="59" spans="2:9" ht="15" customHeight="1">
      <c r="B59" t="str">
        <f>B34</f>
        <v>Selected contaminant</v>
      </c>
      <c r="C59" s="21">
        <f>C36</f>
        <v>1707.3170731707319</v>
      </c>
      <c r="D59" s="21">
        <f>E36</f>
        <v>1280.4878048780488</v>
      </c>
    </row>
    <row r="68" spans="2:7" ht="15" customHeight="1">
      <c r="B68" s="286" t="s">
        <v>71</v>
      </c>
      <c r="C68" s="286"/>
      <c r="D68" s="286"/>
      <c r="E68" s="286"/>
      <c r="F68" s="286"/>
      <c r="G68" s="286"/>
    </row>
    <row r="69" spans="2:7" ht="15" customHeight="1">
      <c r="B69" s="57" t="s">
        <v>72</v>
      </c>
      <c r="C69" s="26">
        <f>_xlfn.XLOOKUP(C4,'Airport data'!A5:A999,'Airport data'!K5:K999)</f>
        <v>0</v>
      </c>
      <c r="D69" s="58" t="s">
        <v>28</v>
      </c>
      <c r="E69" s="58"/>
      <c r="F69" s="58"/>
      <c r="G69" s="59"/>
    </row>
    <row r="70" spans="2:7" ht="15" customHeight="1">
      <c r="B70" s="57" t="s">
        <v>73</v>
      </c>
      <c r="C70" s="26">
        <f>_xlfn.XLOOKUP(C5,'Airport data'!A6:A1000,'Airport data'!L6:L1000)</f>
        <v>0</v>
      </c>
      <c r="D70" s="60"/>
      <c r="E70" s="60"/>
      <c r="F70" s="60"/>
      <c r="G70" s="61"/>
    </row>
    <row r="71" spans="2:7" ht="15" customHeight="1">
      <c r="B71" s="62"/>
      <c r="C71" s="60"/>
      <c r="D71" s="60"/>
      <c r="E71" s="60"/>
      <c r="F71" s="60"/>
      <c r="G71" s="61"/>
    </row>
    <row r="72" spans="2:7" ht="15" customHeight="1">
      <c r="B72" s="62"/>
      <c r="C72" s="63"/>
      <c r="D72" s="63"/>
      <c r="E72" s="63"/>
      <c r="F72" s="63"/>
      <c r="G72" s="64"/>
    </row>
    <row r="73" spans="2:7" ht="15" customHeight="1">
      <c r="B73" s="65"/>
      <c r="C73" s="58"/>
      <c r="D73" s="58"/>
      <c r="E73" s="58"/>
      <c r="F73" s="58"/>
      <c r="G73" s="59"/>
    </row>
  </sheetData>
  <mergeCells count="17">
    <mergeCell ref="B44:G44"/>
    <mergeCell ref="B68:G68"/>
    <mergeCell ref="B27:G27"/>
    <mergeCell ref="I28:J32"/>
    <mergeCell ref="B34:G34"/>
    <mergeCell ref="B41:G41"/>
    <mergeCell ref="C43:E43"/>
    <mergeCell ref="C11:D11"/>
    <mergeCell ref="I13:L14"/>
    <mergeCell ref="C15:G15"/>
    <mergeCell ref="E17:G17"/>
    <mergeCell ref="C23:G23"/>
    <mergeCell ref="B2:E2"/>
    <mergeCell ref="B3:E3"/>
    <mergeCell ref="C4:G4"/>
    <mergeCell ref="B6:B7"/>
    <mergeCell ref="E6:G7"/>
  </mergeCells>
  <conditionalFormatting sqref="C42 E42:F42">
    <cfRule type="cellIs" dxfId="13" priority="5" operator="lessThan">
      <formula>3.3</formula>
    </cfRule>
    <cfRule type="cellIs" dxfId="12" priority="6" operator="greaterThan">
      <formula>$G$19</formula>
    </cfRule>
  </conditionalFormatting>
  <conditionalFormatting sqref="C43">
    <cfRule type="expression" dxfId="11" priority="4">
      <formula>LEN(TRIM(C43))&gt;0</formula>
    </cfRule>
  </conditionalFormatting>
  <conditionalFormatting sqref="E1:F1">
    <cfRule type="expression" dxfId="10" priority="2">
      <formula>LEN(TRIM(E1))&gt;0</formula>
    </cfRule>
  </conditionalFormatting>
  <conditionalFormatting sqref="E6:F6">
    <cfRule type="expression" dxfId="9" priority="3">
      <formula>LEN(TRIM(E6))&gt;0</formula>
    </cfRule>
  </conditionalFormatting>
  <printOptions horizontalCentered="1" verticalCentered="1"/>
  <pageMargins left="0.39374999999999999" right="0.39374999999999999" top="0.59027777777777801" bottom="0.5902777777777780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'Dropdown lists'!$B$4:$B$9</xm:f>
          </x14:formula1>
          <x14:formula2>
            <xm:f>0</xm:f>
          </x14:formula2>
          <xm:sqref>C10</xm:sqref>
        </x14:dataValidation>
        <x14:dataValidation type="list" allowBlank="1" showErrorMessage="1" xr:uid="{00000000-0002-0000-0000-000001000000}">
          <x14:formula1>
            <xm:f>'Airport data'!$A$5:$A$37</xm:f>
          </x14:formula1>
          <x14:formula2>
            <xm:f>0</xm:f>
          </x14:formula2>
          <xm:sqref>C4</xm:sqref>
        </x14:dataValidation>
        <x14:dataValidation type="list" allowBlank="1" showErrorMessage="1" xr:uid="{00000000-0002-0000-0000-000002000000}">
          <x14:formula1>
            <xm:f>'Dropdown lists'!$B$30:$B$31</xm:f>
          </x14:formula1>
          <x14:formula2>
            <xm:f>0</xm:f>
          </x14:formula2>
          <xm:sqref>C13</xm:sqref>
        </x14:dataValidation>
        <x14:dataValidation type="list" allowBlank="1" showErrorMessage="1" xr:uid="{00000000-0002-0000-0000-000003000000}">
          <x14:formula1>
            <xm:f>'Dropdown lists'!$B$34:$B$40</xm:f>
          </x14:formula1>
          <x14:formula2>
            <xm:f>0</xm:f>
          </x14:formula2>
          <xm:sqref>C11:D11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I37"/>
  <sheetViews>
    <sheetView showGridLines="0" zoomScaleNormal="100" workbookViewId="0">
      <selection activeCell="C4" sqref="C4:G4"/>
    </sheetView>
  </sheetViews>
  <sheetFormatPr defaultColWidth="14.44140625" defaultRowHeight="15" customHeight="1"/>
  <cols>
    <col min="1" max="1" width="4.44140625" customWidth="1"/>
    <col min="2" max="2" width="27" customWidth="1"/>
  </cols>
  <sheetData>
    <row r="1" spans="2:9" ht="14.4"/>
    <row r="2" spans="2:9" ht="18">
      <c r="B2" s="277" t="s">
        <v>74</v>
      </c>
      <c r="C2" s="277"/>
      <c r="D2" s="277"/>
      <c r="E2" s="277"/>
      <c r="F2" s="4"/>
      <c r="G2" s="5" t="s">
        <v>1</v>
      </c>
    </row>
    <row r="3" spans="2:9" ht="14.4">
      <c r="B3" s="278" t="s">
        <v>75</v>
      </c>
      <c r="C3" s="278"/>
      <c r="D3" s="278"/>
      <c r="E3" s="278"/>
      <c r="G3" s="6" t="s">
        <v>3</v>
      </c>
    </row>
    <row r="4" spans="2:9" ht="14.4">
      <c r="B4" s="7" t="s">
        <v>4</v>
      </c>
      <c r="C4" s="289" t="s">
        <v>5</v>
      </c>
      <c r="D4" s="289"/>
      <c r="E4" s="289"/>
      <c r="F4" s="289"/>
      <c r="G4" s="289"/>
      <c r="I4" t="s">
        <v>6</v>
      </c>
    </row>
    <row r="5" spans="2:9" ht="14.4">
      <c r="D5" s="8"/>
      <c r="E5" s="8"/>
      <c r="F5" s="8"/>
      <c r="G5" s="9"/>
    </row>
    <row r="6" spans="2:9" ht="14.4">
      <c r="B6" s="280" t="s">
        <v>7</v>
      </c>
      <c r="C6" s="66">
        <v>100</v>
      </c>
      <c r="D6" s="11" t="s">
        <v>8</v>
      </c>
      <c r="E6" s="290" t="str">
        <f>IF(C21&lt;0, "Tailwind", "")</f>
        <v/>
      </c>
      <c r="F6" s="290"/>
      <c r="G6" s="290"/>
      <c r="I6" t="s">
        <v>76</v>
      </c>
    </row>
    <row r="7" spans="2:9" ht="14.4">
      <c r="B7" s="280"/>
      <c r="C7" s="66">
        <v>0</v>
      </c>
      <c r="D7" s="11" t="s">
        <v>10</v>
      </c>
      <c r="E7" s="290"/>
      <c r="F7" s="290"/>
      <c r="G7" s="290"/>
    </row>
    <row r="8" spans="2:9" ht="14.4">
      <c r="B8" s="3" t="s">
        <v>11</v>
      </c>
      <c r="C8" s="66">
        <v>0</v>
      </c>
      <c r="D8" s="11" t="s">
        <v>12</v>
      </c>
      <c r="G8" s="13"/>
    </row>
    <row r="9" spans="2:9" ht="14.4">
      <c r="B9" s="3" t="s">
        <v>13</v>
      </c>
      <c r="C9" s="66">
        <v>1013</v>
      </c>
      <c r="D9" s="11" t="s">
        <v>14</v>
      </c>
      <c r="G9" s="13"/>
      <c r="I9" s="14"/>
    </row>
    <row r="10" spans="2:9" ht="14.4">
      <c r="B10" s="3" t="s">
        <v>15</v>
      </c>
      <c r="C10" s="66">
        <v>3</v>
      </c>
      <c r="D10" s="11"/>
      <c r="G10" s="9"/>
    </row>
    <row r="11" spans="2:9" ht="14.4">
      <c r="B11" s="3" t="s">
        <v>77</v>
      </c>
      <c r="C11" s="66">
        <v>11000</v>
      </c>
      <c r="D11" s="11" t="s">
        <v>25</v>
      </c>
    </row>
    <row r="12" spans="2:9" ht="14.4">
      <c r="B12" s="3" t="s">
        <v>78</v>
      </c>
      <c r="C12">
        <v>12500</v>
      </c>
      <c r="D12" s="13" t="s">
        <v>25</v>
      </c>
      <c r="G12" s="13"/>
    </row>
    <row r="13" spans="2:9" ht="14.4">
      <c r="B13" s="3"/>
      <c r="C13" s="67"/>
      <c r="D13" s="11"/>
      <c r="G13" s="13"/>
    </row>
    <row r="14" spans="2:9" ht="14.4">
      <c r="B14" s="20" t="s">
        <v>26</v>
      </c>
      <c r="C14" s="292" t="str">
        <f>IF(C11&gt;C12, "Overweight landning","")</f>
        <v/>
      </c>
      <c r="D14" s="292"/>
      <c r="E14" s="292"/>
      <c r="F14" s="292"/>
      <c r="G14" s="292"/>
    </row>
    <row r="15" spans="2:9" ht="14.4">
      <c r="B15" s="3" t="s">
        <v>79</v>
      </c>
      <c r="C15" s="21">
        <f>_xlfn.XLOOKUP(C4,'Airport data'!A5:A999,'Airport data'!B5:B999)</f>
        <v>0</v>
      </c>
      <c r="D15" s="11" t="s">
        <v>28</v>
      </c>
      <c r="G15" s="13"/>
    </row>
    <row r="16" spans="2:9" ht="14.4">
      <c r="B16" s="3" t="s">
        <v>29</v>
      </c>
      <c r="C16" s="22">
        <f>_xlfn.XLOOKUP(C4,'Airport data'!A5:A999,'Airport data'!G5:G999)</f>
        <v>0</v>
      </c>
      <c r="D16" s="11" t="s">
        <v>30</v>
      </c>
      <c r="E16" s="281" t="s">
        <v>31</v>
      </c>
      <c r="F16" s="281"/>
      <c r="G16" s="281"/>
    </row>
    <row r="17" spans="2:9" ht="14.4">
      <c r="B17" s="3" t="s">
        <v>32</v>
      </c>
      <c r="C17" s="21">
        <f>_xlfn.XLOOKUP(C4,'Airport data'!A5:A999,'Airport data'!H5:H999)</f>
        <v>0</v>
      </c>
      <c r="D17" s="11" t="s">
        <v>8</v>
      </c>
      <c r="G17" s="13"/>
    </row>
    <row r="18" spans="2:9" ht="14.4">
      <c r="B18" s="3" t="s">
        <v>39</v>
      </c>
      <c r="C18" s="21">
        <f>_xlfn.XLOOKUP(C4,'Airport data'!A5:A999,'Airport data'!F5:F999)</f>
        <v>0</v>
      </c>
      <c r="D18" s="11" t="s">
        <v>34</v>
      </c>
      <c r="G18" s="13"/>
    </row>
    <row r="19" spans="2:9" ht="14.4">
      <c r="B19" s="28" t="s">
        <v>40</v>
      </c>
      <c r="C19" s="68"/>
      <c r="D19" s="68"/>
      <c r="E19" s="68"/>
      <c r="F19" s="68"/>
      <c r="G19" s="69"/>
      <c r="I19" s="22"/>
    </row>
    <row r="20" spans="2:9" ht="14.4">
      <c r="B20" s="3" t="s">
        <v>80</v>
      </c>
      <c r="C20" s="22">
        <f>_xlfn.XLOOKUP(C10,'Dropdown lists'!B4:B9,'Dropdown lists'!C4:C9)</f>
        <v>2.16</v>
      </c>
      <c r="D20" s="11"/>
      <c r="G20" s="13"/>
      <c r="I20" s="21"/>
    </row>
    <row r="21" spans="2:9" ht="14.4">
      <c r="B21" s="3" t="s">
        <v>41</v>
      </c>
      <c r="C21" s="70">
        <f>'LDG Performance'!D32</f>
        <v>0</v>
      </c>
      <c r="D21" s="11" t="s">
        <v>42</v>
      </c>
      <c r="E21" s="52"/>
      <c r="F21" s="52"/>
      <c r="G21" s="13"/>
      <c r="I21" s="21"/>
    </row>
    <row r="22" spans="2:9" ht="14.4">
      <c r="B22" s="3" t="s">
        <v>44</v>
      </c>
      <c r="C22" s="70">
        <f>ABS('LDG Performance'!C37*C7)</f>
        <v>0</v>
      </c>
      <c r="D22" s="11" t="s">
        <v>42</v>
      </c>
      <c r="E22" s="52" t="s">
        <v>45</v>
      </c>
      <c r="F22" s="52"/>
      <c r="G22" s="19">
        <f>_xlfn.XLOOKUP(C10,'Dropdown lists'!B4:B9,'Dropdown lists'!E4:E9)</f>
        <v>14</v>
      </c>
    </row>
    <row r="23" spans="2:9" ht="14.4">
      <c r="B23" s="71"/>
      <c r="C23" s="72"/>
      <c r="D23" s="72"/>
      <c r="E23" s="73"/>
      <c r="F23" s="73"/>
      <c r="G23" s="74"/>
    </row>
    <row r="24" spans="2:9" ht="14.4">
      <c r="B24" s="32" t="s">
        <v>46</v>
      </c>
      <c r="C24" s="33" t="s">
        <v>47</v>
      </c>
      <c r="D24" s="33" t="s">
        <v>48</v>
      </c>
      <c r="E24" s="34" t="s">
        <v>49</v>
      </c>
      <c r="F24" s="34"/>
      <c r="G24" s="35" t="s">
        <v>50</v>
      </c>
    </row>
    <row r="25" spans="2:9" ht="14.4">
      <c r="B25" s="293" t="s">
        <v>81</v>
      </c>
      <c r="C25" s="293"/>
      <c r="D25" s="293"/>
      <c r="E25" s="293"/>
      <c r="F25" s="293"/>
      <c r="G25" s="293"/>
      <c r="I25" s="21"/>
    </row>
    <row r="26" spans="2:9" ht="14.4">
      <c r="B26" s="41" t="s">
        <v>65</v>
      </c>
      <c r="C26" s="75">
        <f>'LDG Performance'!M21</f>
        <v>126</v>
      </c>
      <c r="D26" s="76"/>
      <c r="G26" s="55">
        <f>'LDG Performance'!E21</f>
        <v>99</v>
      </c>
    </row>
    <row r="27" spans="2:9" ht="14.4">
      <c r="B27" s="41" t="s">
        <v>82</v>
      </c>
      <c r="C27" s="77">
        <f>('LDG Performance'!B87/3.28)*Landing!C20</f>
        <v>1532.5942350332596</v>
      </c>
      <c r="D27" s="54"/>
      <c r="G27" s="55">
        <f>'Landing distance data'!C104*C20</f>
        <v>1185.0665188470066</v>
      </c>
    </row>
    <row r="28" spans="2:9" ht="15" customHeight="1">
      <c r="B28" s="294" t="s">
        <v>83</v>
      </c>
      <c r="C28" s="294"/>
      <c r="D28" s="54"/>
      <c r="G28" s="78"/>
    </row>
    <row r="29" spans="2:9" ht="14.4">
      <c r="B29" s="79"/>
      <c r="C29" s="295" t="str">
        <f>IF(ISBLANK(C10), "Dry &amp; Unfactored *1,67", "" )</f>
        <v/>
      </c>
      <c r="D29" s="295"/>
      <c r="E29" s="295"/>
      <c r="F29" s="295"/>
      <c r="G29" s="295"/>
    </row>
    <row r="30" spans="2:9" ht="14.4">
      <c r="B30" s="285" t="s">
        <v>84</v>
      </c>
      <c r="C30" s="285"/>
      <c r="D30" s="285"/>
      <c r="E30" s="285"/>
      <c r="F30" s="285"/>
      <c r="G30" s="285"/>
    </row>
    <row r="31" spans="2:9" ht="14.4">
      <c r="B31" s="80" t="s">
        <v>85</v>
      </c>
      <c r="C31" s="81">
        <f>IF( C21&gt;0, 'OEI CLIMB GRADIENT'!P47*(125/(125+50%*C21)), 'OEI CLIMB GRADIENT'!P47*(125/(125-150%*C21)) )</f>
        <v>7</v>
      </c>
      <c r="D31" s="291" t="s">
        <v>63</v>
      </c>
      <c r="E31" s="291"/>
      <c r="F31" s="82"/>
      <c r="G31" s="83"/>
    </row>
    <row r="32" spans="2:9" ht="14.4"/>
    <row r="33" spans="2:4" ht="14.4"/>
    <row r="34" spans="2:4" ht="14.4"/>
    <row r="35" spans="2:4" ht="15" customHeight="1">
      <c r="C35" t="s">
        <v>67</v>
      </c>
      <c r="D35" t="s">
        <v>86</v>
      </c>
    </row>
    <row r="36" spans="2:4" ht="15" customHeight="1">
      <c r="B36" t="s">
        <v>87</v>
      </c>
      <c r="C36" s="21">
        <f>Landing!$C$18</f>
        <v>0</v>
      </c>
      <c r="D36" s="21">
        <f>Landing!$C$18</f>
        <v>0</v>
      </c>
    </row>
    <row r="37" spans="2:4" ht="15" customHeight="1">
      <c r="B37" t="s">
        <v>88</v>
      </c>
      <c r="C37" s="21">
        <f>C27</f>
        <v>1532.5942350332596</v>
      </c>
      <c r="D37" s="21">
        <f>G27</f>
        <v>1185.0665188470066</v>
      </c>
    </row>
  </sheetData>
  <mergeCells count="12">
    <mergeCell ref="B30:G30"/>
    <mergeCell ref="D31:E31"/>
    <mergeCell ref="C14:G14"/>
    <mergeCell ref="E16:G16"/>
    <mergeCell ref="B25:G25"/>
    <mergeCell ref="B28:C28"/>
    <mergeCell ref="C29:G29"/>
    <mergeCell ref="B2:E2"/>
    <mergeCell ref="B3:E3"/>
    <mergeCell ref="C4:G4"/>
    <mergeCell ref="B6:B7"/>
    <mergeCell ref="E6:G7"/>
  </mergeCells>
  <conditionalFormatting sqref="C19 C29">
    <cfRule type="expression" dxfId="8" priority="6">
      <formula>LEN(TRIM(C19))&gt;0</formula>
    </cfRule>
  </conditionalFormatting>
  <conditionalFormatting sqref="C23:C24">
    <cfRule type="cellIs" dxfId="7" priority="8" operator="lessThan">
      <formula>$C$19</formula>
    </cfRule>
  </conditionalFormatting>
  <conditionalFormatting sqref="C27 G27">
    <cfRule type="cellIs" dxfId="6" priority="4" operator="lessThanOrEqual">
      <formula>$C$18</formula>
    </cfRule>
  </conditionalFormatting>
  <conditionalFormatting sqref="C27">
    <cfRule type="cellIs" dxfId="5" priority="7" operator="greaterThan">
      <formula>$C$18</formula>
    </cfRule>
  </conditionalFormatting>
  <conditionalFormatting sqref="C31">
    <cfRule type="cellIs" dxfId="4" priority="9" operator="lessThan">
      <formula>2.5</formula>
    </cfRule>
  </conditionalFormatting>
  <conditionalFormatting sqref="C14:F14">
    <cfRule type="expression" dxfId="3" priority="2">
      <formula>LEN(TRIM(C14))&gt;0</formula>
    </cfRule>
  </conditionalFormatting>
  <conditionalFormatting sqref="E6:F6">
    <cfRule type="expression" dxfId="2" priority="3">
      <formula>LEN(TRIM(E6))&gt;0</formula>
    </cfRule>
  </conditionalFormatting>
  <conditionalFormatting sqref="G27">
    <cfRule type="cellIs" dxfId="1" priority="5" operator="greaterThan">
      <formula>$C$18</formula>
    </cfRule>
  </conditionalFormatting>
  <conditionalFormatting sqref="J11:K13">
    <cfRule type="expression" dxfId="0" priority="10">
      <formula>LEN(TRIM(J11))&gt;0</formula>
    </cfRule>
  </conditionalFormatting>
  <pageMargins left="0" right="0" top="0" bottom="0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Ange ett värde från intervallet ='Airport data'!$A$5:$A$37" xr:uid="{00000000-0002-0000-0100-000000000000}">
          <x14:formula1>
            <xm:f>'Airport data'!$A$5:$A$37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zoomScaleNormal="100" workbookViewId="0">
      <pane ySplit="4" topLeftCell="A5" activePane="bottomLeft" state="frozen"/>
      <selection pane="bottomLeft" activeCell="D12" sqref="D12"/>
    </sheetView>
  </sheetViews>
  <sheetFormatPr defaultColWidth="14.44140625" defaultRowHeight="15" customHeight="1"/>
  <cols>
    <col min="1" max="5" width="20" customWidth="1"/>
    <col min="6" max="6" width="12.109375" customWidth="1"/>
    <col min="7" max="7" width="9.109375" customWidth="1"/>
    <col min="8" max="8" width="13.44140625" customWidth="1"/>
    <col min="9" max="9" width="17.44140625" customWidth="1"/>
    <col min="10" max="12" width="11.6640625" customWidth="1"/>
    <col min="13" max="13" width="30" customWidth="1"/>
    <col min="14" max="32" width="9.109375" customWidth="1"/>
  </cols>
  <sheetData>
    <row r="1" spans="1:13" ht="14.25" customHeight="1">
      <c r="A1" s="296" t="s">
        <v>89</v>
      </c>
      <c r="B1" s="297" t="s">
        <v>90</v>
      </c>
      <c r="C1" s="298" t="s">
        <v>91</v>
      </c>
      <c r="D1" s="297" t="s">
        <v>70</v>
      </c>
      <c r="E1" s="297" t="s">
        <v>69</v>
      </c>
      <c r="F1" s="300" t="s">
        <v>39</v>
      </c>
      <c r="G1" s="301" t="s">
        <v>92</v>
      </c>
      <c r="H1" s="301" t="s">
        <v>93</v>
      </c>
      <c r="I1" s="301" t="s">
        <v>94</v>
      </c>
      <c r="J1" s="302" t="s">
        <v>95</v>
      </c>
      <c r="K1" s="84" t="s">
        <v>96</v>
      </c>
      <c r="L1" s="85"/>
      <c r="M1" s="86"/>
    </row>
    <row r="2" spans="1:13" ht="14.25" customHeight="1">
      <c r="A2" s="296"/>
      <c r="B2" s="297"/>
      <c r="C2" s="297"/>
      <c r="D2" s="297"/>
      <c r="E2" s="297"/>
      <c r="F2" s="300"/>
      <c r="G2" s="300"/>
      <c r="H2" s="300"/>
      <c r="I2" s="300"/>
      <c r="J2" s="302"/>
      <c r="K2" s="84" t="s">
        <v>97</v>
      </c>
      <c r="L2" s="87" t="s">
        <v>98</v>
      </c>
      <c r="M2" s="88"/>
    </row>
    <row r="3" spans="1:13" ht="14.4">
      <c r="A3" s="296"/>
      <c r="B3" s="297"/>
      <c r="C3" s="297"/>
      <c r="D3" s="297"/>
      <c r="E3" s="297"/>
      <c r="F3" s="300"/>
      <c r="G3" s="300"/>
      <c r="H3" s="300"/>
      <c r="I3" s="300"/>
      <c r="J3" s="302"/>
      <c r="K3" s="89"/>
      <c r="L3" s="88"/>
      <c r="M3" s="88"/>
    </row>
    <row r="4" spans="1:13" ht="14.25" customHeight="1">
      <c r="A4" s="296"/>
      <c r="B4" s="90" t="s">
        <v>99</v>
      </c>
      <c r="C4" s="91" t="s">
        <v>100</v>
      </c>
      <c r="D4" s="91" t="s">
        <v>100</v>
      </c>
      <c r="E4" s="91" t="s">
        <v>100</v>
      </c>
      <c r="F4" s="91" t="s">
        <v>100</v>
      </c>
      <c r="G4" s="91" t="s">
        <v>101</v>
      </c>
      <c r="H4" s="91" t="s">
        <v>102</v>
      </c>
      <c r="I4" s="91" t="s">
        <v>101</v>
      </c>
      <c r="J4" s="92" t="s">
        <v>103</v>
      </c>
      <c r="K4" s="89"/>
      <c r="L4" s="88"/>
      <c r="M4" s="88"/>
    </row>
    <row r="5" spans="1:13" ht="14.25" customHeight="1">
      <c r="A5" s="93" t="s">
        <v>104</v>
      </c>
      <c r="B5" s="94" t="s">
        <v>105</v>
      </c>
      <c r="C5" s="94"/>
      <c r="D5" s="94" t="s">
        <v>105</v>
      </c>
      <c r="E5" s="94" t="s">
        <v>105</v>
      </c>
      <c r="F5" s="94" t="s">
        <v>105</v>
      </c>
      <c r="G5" s="94" t="s">
        <v>105</v>
      </c>
      <c r="H5" s="95" t="s">
        <v>105</v>
      </c>
      <c r="I5" s="95"/>
      <c r="J5" s="94" t="s">
        <v>105</v>
      </c>
      <c r="K5" s="96"/>
      <c r="L5" s="96"/>
    </row>
    <row r="6" spans="1:13" ht="21" customHeight="1">
      <c r="A6" s="97" t="s">
        <v>5</v>
      </c>
      <c r="B6" s="98"/>
      <c r="C6" s="99"/>
      <c r="D6" s="99"/>
      <c r="E6" s="99"/>
      <c r="F6" s="100"/>
      <c r="G6" s="101"/>
      <c r="H6" s="100"/>
      <c r="I6" s="102"/>
      <c r="J6" s="103"/>
      <c r="K6" s="104"/>
      <c r="L6" s="105"/>
      <c r="M6" s="299" t="s">
        <v>106</v>
      </c>
    </row>
    <row r="7" spans="1:13" ht="21" customHeight="1">
      <c r="A7" s="106"/>
      <c r="B7" s="107"/>
      <c r="C7" s="107"/>
      <c r="D7" s="107"/>
      <c r="E7" s="107"/>
      <c r="F7" s="107"/>
      <c r="G7" s="108"/>
      <c r="H7" s="107"/>
      <c r="I7" s="109"/>
      <c r="J7" s="110"/>
      <c r="K7" s="111"/>
      <c r="L7" s="112"/>
      <c r="M7" s="299"/>
    </row>
    <row r="8" spans="1:13" ht="21" customHeight="1">
      <c r="A8" s="113"/>
      <c r="B8" s="114"/>
      <c r="C8" s="114"/>
      <c r="D8" s="115"/>
      <c r="E8" s="115"/>
      <c r="F8" s="116"/>
      <c r="G8" s="117"/>
      <c r="H8" s="116"/>
      <c r="I8" s="118"/>
      <c r="J8" s="119"/>
      <c r="K8" s="120"/>
      <c r="L8" s="120"/>
    </row>
    <row r="9" spans="1:13" ht="21" customHeight="1">
      <c r="A9" s="113"/>
      <c r="B9" s="114"/>
      <c r="C9" s="114"/>
      <c r="D9" s="115"/>
      <c r="E9" s="115"/>
      <c r="F9" s="115"/>
      <c r="G9" s="121"/>
      <c r="H9" s="115"/>
      <c r="I9" s="118"/>
      <c r="J9" s="119"/>
      <c r="K9" s="120"/>
      <c r="L9" s="120"/>
    </row>
    <row r="10" spans="1:13" ht="21" customHeight="1">
      <c r="A10" s="122"/>
      <c r="B10" s="123"/>
      <c r="C10" s="123"/>
      <c r="D10" s="115"/>
      <c r="E10" s="115"/>
      <c r="F10" s="115"/>
      <c r="G10" s="121"/>
      <c r="H10" s="115"/>
      <c r="I10" s="118"/>
      <c r="J10" s="119"/>
      <c r="K10" s="120"/>
      <c r="L10" s="120"/>
    </row>
    <row r="11" spans="1:13" ht="21" customHeight="1">
      <c r="A11" s="122"/>
      <c r="B11" s="123"/>
      <c r="C11" s="123"/>
      <c r="D11" s="115"/>
      <c r="E11" s="115"/>
      <c r="F11" s="115"/>
      <c r="G11" s="121"/>
      <c r="H11" s="115"/>
      <c r="I11" s="118"/>
      <c r="J11" s="119"/>
      <c r="K11" s="120"/>
      <c r="L11" s="120"/>
    </row>
    <row r="12" spans="1:13" ht="14.25" customHeight="1">
      <c r="A12" s="124"/>
      <c r="B12" s="114"/>
      <c r="C12" s="114"/>
      <c r="D12" s="123"/>
      <c r="E12" s="125"/>
      <c r="F12" s="126"/>
      <c r="G12" s="121"/>
      <c r="H12" s="115"/>
      <c r="I12" s="118"/>
      <c r="J12" s="119"/>
      <c r="K12" s="120"/>
      <c r="L12" s="120"/>
    </row>
    <row r="13" spans="1:13" ht="14.25" customHeight="1">
      <c r="A13" s="124"/>
      <c r="B13" s="114"/>
      <c r="C13" s="114"/>
      <c r="D13" s="123"/>
      <c r="E13" s="125"/>
      <c r="F13" s="126"/>
      <c r="G13" s="121"/>
      <c r="H13" s="115"/>
      <c r="I13" s="118"/>
      <c r="J13" s="119"/>
      <c r="K13" s="120"/>
      <c r="L13" s="120"/>
    </row>
    <row r="14" spans="1:13" ht="14.25" customHeight="1">
      <c r="A14" s="124"/>
      <c r="B14" s="114"/>
      <c r="C14" s="114"/>
      <c r="D14" s="123"/>
      <c r="E14" s="125"/>
      <c r="F14" s="126"/>
      <c r="G14" s="121"/>
      <c r="H14" s="115"/>
      <c r="I14" s="118"/>
      <c r="J14" s="119"/>
      <c r="K14" s="120"/>
      <c r="L14" s="120"/>
    </row>
    <row r="15" spans="1:13" ht="14.25" customHeight="1">
      <c r="A15" s="124"/>
      <c r="B15" s="114"/>
      <c r="C15" s="114"/>
      <c r="D15" s="123"/>
      <c r="E15" s="125"/>
      <c r="F15" s="126"/>
      <c r="G15" s="121"/>
      <c r="H15" s="115"/>
      <c r="I15" s="118"/>
      <c r="J15" s="119"/>
      <c r="K15" s="120"/>
      <c r="L15" s="120"/>
    </row>
    <row r="16" spans="1:13" ht="14.25" customHeight="1">
      <c r="A16" s="124"/>
      <c r="B16" s="114"/>
      <c r="C16" s="114"/>
      <c r="D16" s="123"/>
      <c r="E16" s="125"/>
      <c r="F16" s="126"/>
      <c r="G16" s="121"/>
      <c r="H16" s="115"/>
      <c r="I16" s="118"/>
      <c r="J16" s="119"/>
      <c r="K16" s="120"/>
      <c r="L16" s="120"/>
    </row>
    <row r="17" spans="1:12" ht="14.25" customHeight="1">
      <c r="A17" s="124"/>
      <c r="B17" s="114"/>
      <c r="C17" s="114"/>
      <c r="D17" s="123"/>
      <c r="E17" s="125"/>
      <c r="F17" s="126"/>
      <c r="G17" s="121"/>
      <c r="H17" s="115"/>
      <c r="I17" s="118"/>
      <c r="J17" s="119"/>
      <c r="K17" s="120"/>
      <c r="L17" s="120"/>
    </row>
    <row r="18" spans="1:12" ht="14.25" customHeight="1">
      <c r="A18" s="113"/>
      <c r="B18" s="114"/>
      <c r="C18" s="114"/>
      <c r="D18" s="123"/>
      <c r="E18" s="123"/>
      <c r="F18" s="115"/>
      <c r="G18" s="121"/>
      <c r="H18" s="115"/>
      <c r="I18" s="118"/>
      <c r="J18" s="119"/>
      <c r="K18" s="120"/>
      <c r="L18" s="120"/>
    </row>
    <row r="19" spans="1:12" ht="14.25" customHeight="1">
      <c r="A19" s="113"/>
      <c r="B19" s="114"/>
      <c r="C19" s="114"/>
      <c r="D19" s="123"/>
      <c r="E19" s="123"/>
      <c r="F19" s="115"/>
      <c r="G19" s="121"/>
      <c r="H19" s="115"/>
      <c r="I19" s="118"/>
      <c r="J19" s="119"/>
      <c r="K19" s="120"/>
      <c r="L19" s="120"/>
    </row>
    <row r="20" spans="1:12" ht="14.25" customHeight="1">
      <c r="A20" s="113"/>
      <c r="B20" s="114"/>
      <c r="C20" s="114"/>
      <c r="D20" s="123"/>
      <c r="E20" s="123"/>
      <c r="F20" s="115"/>
      <c r="G20" s="121"/>
      <c r="H20" s="115"/>
      <c r="I20" s="118"/>
      <c r="J20" s="119"/>
      <c r="K20" s="120"/>
      <c r="L20" s="120"/>
    </row>
    <row r="21" spans="1:12" ht="14.25" customHeight="1">
      <c r="A21" s="113"/>
      <c r="B21" s="114"/>
      <c r="C21" s="114"/>
      <c r="D21" s="123"/>
      <c r="E21" s="123"/>
      <c r="F21" s="115"/>
      <c r="G21" s="121"/>
      <c r="H21" s="115"/>
      <c r="I21" s="118"/>
      <c r="J21" s="119"/>
      <c r="K21" s="120"/>
      <c r="L21" s="120"/>
    </row>
    <row r="22" spans="1:12" ht="14.25" customHeight="1">
      <c r="A22" s="127"/>
      <c r="B22" s="114"/>
      <c r="C22" s="114"/>
      <c r="D22" s="123"/>
      <c r="E22" s="123"/>
      <c r="F22" s="115"/>
      <c r="G22" s="121"/>
      <c r="H22" s="115"/>
      <c r="I22" s="118"/>
      <c r="J22" s="119"/>
      <c r="K22" s="120"/>
      <c r="L22" s="120"/>
    </row>
    <row r="23" spans="1:12" ht="14.25" customHeight="1">
      <c r="A23" s="113"/>
      <c r="B23" s="114"/>
      <c r="C23" s="114"/>
      <c r="D23" s="123"/>
      <c r="E23" s="123"/>
      <c r="F23" s="115"/>
      <c r="G23" s="121"/>
      <c r="H23" s="115"/>
      <c r="I23" s="118"/>
      <c r="J23" s="119"/>
      <c r="K23" s="120"/>
      <c r="L23" s="120"/>
    </row>
    <row r="24" spans="1:12" ht="14.25" customHeight="1">
      <c r="A24" s="127"/>
      <c r="B24" s="114"/>
      <c r="C24" s="114"/>
      <c r="D24" s="123"/>
      <c r="E24" s="125"/>
      <c r="F24" s="126"/>
      <c r="G24" s="128"/>
      <c r="H24" s="126"/>
      <c r="I24" s="129"/>
      <c r="J24" s="119"/>
      <c r="K24" s="120"/>
      <c r="L24" s="120"/>
    </row>
    <row r="25" spans="1:12" ht="14.25" customHeight="1">
      <c r="A25" s="127"/>
      <c r="B25" s="114"/>
      <c r="C25" s="114"/>
      <c r="D25" s="123"/>
      <c r="E25" s="125"/>
      <c r="F25" s="126"/>
      <c r="G25" s="128"/>
      <c r="H25" s="126"/>
      <c r="I25" s="129"/>
      <c r="J25" s="119"/>
      <c r="K25" s="120"/>
      <c r="L25" s="120"/>
    </row>
    <row r="26" spans="1:12" ht="14.25" customHeight="1">
      <c r="A26" s="127"/>
      <c r="B26" s="114"/>
      <c r="C26" s="114"/>
      <c r="D26" s="123"/>
      <c r="E26" s="125"/>
      <c r="F26" s="126"/>
      <c r="G26" s="128"/>
      <c r="H26" s="126"/>
      <c r="I26" s="129"/>
      <c r="J26" s="119"/>
      <c r="K26" s="120"/>
      <c r="L26" s="120"/>
    </row>
    <row r="27" spans="1:12" ht="14.25" customHeight="1">
      <c r="A27" s="127"/>
      <c r="B27" s="114"/>
      <c r="C27" s="114"/>
      <c r="D27" s="123"/>
      <c r="E27" s="125"/>
      <c r="F27" s="126"/>
      <c r="G27" s="128"/>
      <c r="H27" s="126"/>
      <c r="I27" s="129"/>
      <c r="J27" s="119"/>
      <c r="K27" s="120"/>
      <c r="L27" s="120"/>
    </row>
    <row r="28" spans="1:12" ht="14.25" customHeight="1">
      <c r="A28" s="127"/>
      <c r="B28" s="114"/>
      <c r="C28" s="114"/>
      <c r="D28" s="123"/>
      <c r="E28" s="123"/>
      <c r="F28" s="123"/>
      <c r="G28" s="128"/>
      <c r="H28" s="126"/>
      <c r="I28" s="129"/>
      <c r="J28" s="119"/>
      <c r="K28" s="120"/>
      <c r="L28" s="120"/>
    </row>
    <row r="29" spans="1:12" ht="14.25" customHeight="1">
      <c r="A29" s="127"/>
      <c r="B29" s="114"/>
      <c r="C29" s="114"/>
      <c r="D29" s="123"/>
      <c r="E29" s="123"/>
      <c r="F29" s="123"/>
      <c r="G29" s="128"/>
      <c r="H29" s="126"/>
      <c r="I29" s="129"/>
      <c r="J29" s="119"/>
      <c r="K29" s="120"/>
      <c r="L29" s="120"/>
    </row>
    <row r="30" spans="1:12" ht="14.25" customHeight="1">
      <c r="A30" s="130"/>
      <c r="B30" s="114"/>
      <c r="C30" s="131"/>
      <c r="D30" s="126"/>
      <c r="E30" s="126"/>
      <c r="F30" s="126"/>
      <c r="G30" s="128"/>
      <c r="H30" s="126"/>
      <c r="I30" s="129"/>
      <c r="J30" s="119"/>
      <c r="K30" s="120"/>
      <c r="L30" s="120"/>
    </row>
    <row r="31" spans="1:12" ht="14.25" customHeight="1">
      <c r="A31" s="130"/>
      <c r="B31" s="114"/>
      <c r="C31" s="131"/>
      <c r="D31" s="126"/>
      <c r="E31" s="126"/>
      <c r="F31" s="126"/>
      <c r="G31" s="128"/>
      <c r="H31" s="126"/>
      <c r="I31" s="129"/>
      <c r="J31" s="119"/>
      <c r="K31" s="120"/>
      <c r="L31" s="120"/>
    </row>
    <row r="32" spans="1:12" ht="14.25" customHeight="1">
      <c r="A32" s="124"/>
      <c r="B32" s="114"/>
      <c r="C32" s="131"/>
      <c r="D32" s="126"/>
      <c r="E32" s="126"/>
      <c r="F32" s="126"/>
      <c r="G32" s="121"/>
      <c r="H32" s="115"/>
      <c r="I32" s="118"/>
      <c r="J32" s="119"/>
      <c r="K32" s="120"/>
      <c r="L32" s="120"/>
    </row>
    <row r="33" spans="1:12" ht="14.25" customHeight="1">
      <c r="A33" s="124"/>
      <c r="B33" s="114"/>
      <c r="C33" s="131"/>
      <c r="D33" s="126"/>
      <c r="E33" s="126"/>
      <c r="F33" s="126"/>
      <c r="G33" s="121"/>
      <c r="H33" s="115"/>
      <c r="I33" s="118"/>
      <c r="J33" s="119"/>
      <c r="K33" s="120"/>
      <c r="L33" s="120"/>
    </row>
    <row r="34" spans="1:12" ht="14.25" customHeight="1">
      <c r="A34" s="124"/>
      <c r="B34" s="114"/>
      <c r="C34" s="114"/>
      <c r="D34" s="114"/>
      <c r="E34" s="131"/>
      <c r="F34" s="126"/>
      <c r="G34" s="121"/>
      <c r="H34" s="126"/>
      <c r="I34" s="132"/>
      <c r="J34" s="133"/>
      <c r="K34" s="120"/>
      <c r="L34" s="120"/>
    </row>
    <row r="35" spans="1:12" ht="14.25" customHeight="1">
      <c r="A35" s="124"/>
      <c r="B35" s="114"/>
      <c r="C35" s="114"/>
      <c r="D35" s="114"/>
      <c r="E35" s="131"/>
      <c r="F35" s="126"/>
      <c r="G35" s="121"/>
      <c r="H35" s="126"/>
      <c r="I35" s="132"/>
      <c r="J35" s="133"/>
      <c r="K35" s="120"/>
      <c r="L35" s="120"/>
    </row>
    <row r="36" spans="1:12" ht="14.25" customHeight="1">
      <c r="A36" s="124"/>
      <c r="B36" s="131"/>
      <c r="C36" s="131"/>
      <c r="D36" s="131"/>
      <c r="E36" s="131"/>
      <c r="F36" s="126"/>
      <c r="G36" s="128"/>
      <c r="H36" s="126"/>
      <c r="I36" s="132"/>
      <c r="J36" s="133"/>
      <c r="K36" s="120"/>
      <c r="L36" s="120"/>
    </row>
    <row r="37" spans="1:12" ht="14.25" customHeight="1">
      <c r="A37" s="124"/>
      <c r="B37" s="134"/>
      <c r="C37" s="134"/>
      <c r="D37" s="134"/>
      <c r="E37" s="134"/>
      <c r="F37" s="134"/>
      <c r="G37" s="135"/>
      <c r="H37" s="134"/>
      <c r="I37" s="136"/>
      <c r="J37" s="137"/>
      <c r="K37" s="120"/>
      <c r="L37" s="120"/>
    </row>
    <row r="38" spans="1:12" ht="14.25" customHeight="1"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</row>
    <row r="39" spans="1:12" ht="33.75" customHeight="1">
      <c r="A39" s="18"/>
      <c r="B39" s="138"/>
      <c r="C39" s="138"/>
      <c r="D39" s="138"/>
      <c r="E39" s="138"/>
      <c r="F39" s="138"/>
      <c r="G39" s="139"/>
      <c r="H39" s="139"/>
      <c r="I39" s="139"/>
      <c r="J39" s="138"/>
      <c r="K39" s="138"/>
      <c r="L39" s="138"/>
    </row>
  </sheetData>
  <mergeCells count="11">
    <mergeCell ref="M6:M7"/>
    <mergeCell ref="F1:F3"/>
    <mergeCell ref="G1:G3"/>
    <mergeCell ref="H1:H3"/>
    <mergeCell ref="I1:I3"/>
    <mergeCell ref="J1:J3"/>
    <mergeCell ref="A1:A4"/>
    <mergeCell ref="B1:B3"/>
    <mergeCell ref="C1:C3"/>
    <mergeCell ref="D1:D3"/>
    <mergeCell ref="E1:E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48"/>
  <sheetViews>
    <sheetView zoomScaleNormal="100" workbookViewId="0">
      <selection activeCell="F11" sqref="F11"/>
    </sheetView>
  </sheetViews>
  <sheetFormatPr defaultColWidth="14.44140625" defaultRowHeight="15" customHeight="1"/>
  <cols>
    <col min="1" max="1" width="8.88671875" customWidth="1"/>
    <col min="2" max="2" width="20.44140625" customWidth="1"/>
    <col min="3" max="3" width="13.6640625" customWidth="1"/>
    <col min="4" max="4" width="8.88671875" style="1" customWidth="1"/>
  </cols>
  <sheetData>
    <row r="1" spans="2:5" ht="14.25" customHeight="1">
      <c r="B1" s="72" t="s">
        <v>107</v>
      </c>
      <c r="C1" s="72"/>
      <c r="D1" s="72"/>
      <c r="E1" s="1" t="s">
        <v>108</v>
      </c>
    </row>
    <row r="2" spans="2:5" ht="14.25" customHeight="1">
      <c r="B2" s="1"/>
      <c r="C2" s="1"/>
      <c r="D2" s="140" t="s">
        <v>109</v>
      </c>
      <c r="E2" s="1"/>
    </row>
    <row r="3" spans="2:5" ht="14.25" customHeight="1">
      <c r="B3" s="72" t="s">
        <v>110</v>
      </c>
      <c r="C3" s="72" t="s">
        <v>111</v>
      </c>
      <c r="D3" s="141"/>
      <c r="E3" s="72" t="s">
        <v>45</v>
      </c>
    </row>
    <row r="4" spans="2:5" ht="14.25" customHeight="1">
      <c r="B4" s="142">
        <v>1</v>
      </c>
      <c r="C4" s="142">
        <v>2.66</v>
      </c>
      <c r="D4" s="140">
        <v>1.59</v>
      </c>
      <c r="E4" s="1">
        <v>4</v>
      </c>
    </row>
    <row r="5" spans="2:5" ht="14.25" customHeight="1">
      <c r="B5" s="143">
        <v>2</v>
      </c>
      <c r="C5" s="143">
        <v>2.46</v>
      </c>
      <c r="D5" s="140">
        <v>1.41</v>
      </c>
      <c r="E5" s="1">
        <v>9</v>
      </c>
    </row>
    <row r="6" spans="2:5" ht="14.25" customHeight="1">
      <c r="B6" s="143">
        <v>3</v>
      </c>
      <c r="C6" s="143">
        <v>2.16</v>
      </c>
      <c r="D6" s="140">
        <v>1.22</v>
      </c>
      <c r="E6" s="1">
        <v>14</v>
      </c>
    </row>
    <row r="7" spans="2:5" ht="14.25" customHeight="1">
      <c r="B7" s="143">
        <v>4</v>
      </c>
      <c r="C7" s="143">
        <v>1.96</v>
      </c>
      <c r="D7" s="140">
        <v>1.1399999999999999</v>
      </c>
      <c r="E7" s="1">
        <v>20</v>
      </c>
    </row>
    <row r="8" spans="2:5" ht="14.25" customHeight="1">
      <c r="B8" s="143">
        <v>5</v>
      </c>
      <c r="C8" s="143">
        <v>1.76</v>
      </c>
      <c r="D8" s="140">
        <v>1.07</v>
      </c>
      <c r="E8" s="1">
        <v>25</v>
      </c>
    </row>
    <row r="9" spans="2:5" ht="14.25" customHeight="1">
      <c r="B9" s="143">
        <v>6</v>
      </c>
      <c r="C9" s="143">
        <v>1.43</v>
      </c>
      <c r="D9" s="140">
        <v>1</v>
      </c>
      <c r="E9" s="1">
        <v>25</v>
      </c>
    </row>
    <row r="10" spans="2:5" ht="14.25" customHeight="1">
      <c r="B10" s="144"/>
      <c r="C10" s="144"/>
      <c r="D10" s="140"/>
      <c r="E10" s="1"/>
    </row>
    <row r="11" spans="2:5" ht="14.25" customHeight="1">
      <c r="B11" s="1"/>
      <c r="C11" s="1"/>
    </row>
    <row r="12" spans="2:5" ht="14.25" customHeight="1">
      <c r="B12" s="72" t="s">
        <v>112</v>
      </c>
      <c r="C12" s="1"/>
    </row>
    <row r="19" spans="2:2" ht="14.25" customHeight="1">
      <c r="B19" s="72" t="s">
        <v>113</v>
      </c>
    </row>
    <row r="20" spans="2:2" ht="14.25" customHeight="1">
      <c r="B20" s="1"/>
    </row>
    <row r="21" spans="2:2" ht="14.25" customHeight="1">
      <c r="B21" s="72"/>
    </row>
    <row r="22" spans="2:2" ht="14.25" customHeight="1">
      <c r="B22" s="142"/>
    </row>
    <row r="23" spans="2:2" ht="14.25" customHeight="1">
      <c r="B23" s="143"/>
    </row>
    <row r="24" spans="2:2" ht="14.25" customHeight="1">
      <c r="B24" s="144"/>
    </row>
    <row r="25" spans="2:2" ht="14.25" customHeight="1">
      <c r="B25" s="1"/>
    </row>
    <row r="26" spans="2:2" ht="14.25" customHeight="1">
      <c r="B26" s="1"/>
    </row>
    <row r="27" spans="2:2" ht="14.25" customHeight="1">
      <c r="B27" s="72" t="s">
        <v>114</v>
      </c>
    </row>
    <row r="28" spans="2:2" ht="14.25" customHeight="1">
      <c r="B28" s="1"/>
    </row>
    <row r="29" spans="2:2" ht="14.25" customHeight="1">
      <c r="B29" s="72"/>
    </row>
    <row r="30" spans="2:2" ht="14.25" customHeight="1">
      <c r="B30" s="142" t="s">
        <v>115</v>
      </c>
    </row>
    <row r="31" spans="2:2" ht="14.25" customHeight="1">
      <c r="B31" s="144" t="s">
        <v>22</v>
      </c>
    </row>
    <row r="33" spans="2:6" ht="14.25" customHeight="1">
      <c r="B33" s="145" t="s">
        <v>16</v>
      </c>
      <c r="D33" s="1" t="s">
        <v>111</v>
      </c>
      <c r="E33" t="s">
        <v>116</v>
      </c>
      <c r="F33" t="s">
        <v>117</v>
      </c>
    </row>
    <row r="34" spans="2:6" ht="14.25" customHeight="1">
      <c r="B34" s="146" t="s">
        <v>118</v>
      </c>
      <c r="D34" s="147">
        <v>0</v>
      </c>
      <c r="F34" t="s">
        <v>119</v>
      </c>
    </row>
    <row r="35" spans="2:6" ht="14.25" customHeight="1">
      <c r="B35" s="148" t="s">
        <v>120</v>
      </c>
      <c r="D35" s="147">
        <v>0</v>
      </c>
      <c r="F35" t="s">
        <v>119</v>
      </c>
    </row>
    <row r="36" spans="2:6" ht="14.25" customHeight="1">
      <c r="B36" s="148" t="s">
        <v>121</v>
      </c>
      <c r="D36" s="147">
        <v>5.0000000000000001E-3</v>
      </c>
      <c r="E36" t="s">
        <v>19</v>
      </c>
      <c r="F36" t="s">
        <v>119</v>
      </c>
    </row>
    <row r="37" spans="2:6" ht="14.25" customHeight="1">
      <c r="B37" s="148" t="s">
        <v>122</v>
      </c>
      <c r="D37" s="147">
        <v>0.01</v>
      </c>
      <c r="E37" t="s">
        <v>19</v>
      </c>
      <c r="F37">
        <v>50</v>
      </c>
    </row>
    <row r="38" spans="2:6" ht="14.25" customHeight="1">
      <c r="B38" s="148" t="s">
        <v>123</v>
      </c>
      <c r="D38" s="147">
        <v>0.02</v>
      </c>
      <c r="E38" t="s">
        <v>19</v>
      </c>
      <c r="F38">
        <v>25</v>
      </c>
    </row>
    <row r="39" spans="2:6" ht="14.25" customHeight="1">
      <c r="B39" s="148" t="s">
        <v>124</v>
      </c>
      <c r="D39" s="147">
        <v>0.02</v>
      </c>
      <c r="E39" t="s">
        <v>19</v>
      </c>
      <c r="F39">
        <v>25</v>
      </c>
    </row>
    <row r="40" spans="2:6" ht="14.25" customHeight="1">
      <c r="B40" s="149" t="s">
        <v>17</v>
      </c>
      <c r="D40" s="147">
        <v>0</v>
      </c>
      <c r="F40" t="s">
        <v>119</v>
      </c>
    </row>
    <row r="41" spans="2:6" ht="14.25" customHeight="1">
      <c r="B41" s="54"/>
    </row>
    <row r="42" spans="2:6" ht="14.25" customHeight="1">
      <c r="B42" s="1"/>
    </row>
    <row r="43" spans="2:6" ht="14.25" customHeight="1">
      <c r="B43" s="1"/>
    </row>
    <row r="44" spans="2:6" ht="14.25" customHeight="1">
      <c r="B44" s="72" t="s">
        <v>125</v>
      </c>
    </row>
    <row r="45" spans="2:6" ht="14.25" customHeight="1">
      <c r="B45" s="1"/>
    </row>
    <row r="46" spans="2:6" ht="14.25" customHeight="1">
      <c r="B46" s="72"/>
    </row>
    <row r="47" spans="2:6" ht="14.25" customHeight="1">
      <c r="B47" s="142" t="s">
        <v>126</v>
      </c>
    </row>
    <row r="48" spans="2:6" ht="14.25" customHeight="1">
      <c r="B48" s="144" t="s">
        <v>127</v>
      </c>
    </row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96"/>
  <sheetViews>
    <sheetView zoomScaleNormal="100" workbookViewId="0">
      <selection activeCell="G5" sqref="G5"/>
    </sheetView>
  </sheetViews>
  <sheetFormatPr defaultColWidth="14.44140625" defaultRowHeight="15" customHeight="1"/>
  <cols>
    <col min="1" max="1" width="15.5546875" customWidth="1"/>
    <col min="2" max="6" width="9.109375" customWidth="1"/>
    <col min="7" max="7" width="9" customWidth="1"/>
    <col min="8" max="10" width="9.109375" customWidth="1"/>
    <col min="11" max="11" width="10.44140625" customWidth="1"/>
    <col min="12" max="20" width="9.109375" customWidth="1"/>
    <col min="21" max="44" width="8.5546875" customWidth="1"/>
  </cols>
  <sheetData>
    <row r="1" spans="1:15" ht="14.25" customHeight="1">
      <c r="A1" s="303" t="s">
        <v>128</v>
      </c>
      <c r="B1" s="303"/>
      <c r="C1" s="303"/>
      <c r="D1" s="303"/>
      <c r="E1" s="303"/>
      <c r="F1" s="151"/>
      <c r="G1" s="151"/>
      <c r="K1" s="1"/>
      <c r="L1" s="1"/>
      <c r="M1" s="1"/>
      <c r="N1" s="1"/>
      <c r="O1" s="1"/>
    </row>
    <row r="2" spans="1:15" ht="35.25" customHeight="1">
      <c r="A2" s="23"/>
      <c r="B2" s="23"/>
      <c r="C2" s="23"/>
      <c r="D2" s="23"/>
      <c r="E2" s="23"/>
      <c r="H2" s="23" t="s">
        <v>129</v>
      </c>
      <c r="I2" s="23" t="s">
        <v>129</v>
      </c>
      <c r="J2" s="23" t="s">
        <v>130</v>
      </c>
      <c r="K2" s="152" t="s">
        <v>129</v>
      </c>
      <c r="L2" s="23" t="s">
        <v>130</v>
      </c>
      <c r="M2" s="152" t="s">
        <v>131</v>
      </c>
      <c r="N2" s="152"/>
      <c r="O2" s="152"/>
    </row>
    <row r="3" spans="1:15" ht="14.25" customHeight="1">
      <c r="A3" s="304" t="s">
        <v>132</v>
      </c>
      <c r="D3" s="304" t="s">
        <v>133</v>
      </c>
      <c r="E3" s="304"/>
      <c r="H3" s="304" t="s">
        <v>133</v>
      </c>
      <c r="I3" s="304"/>
      <c r="J3" s="304" t="s">
        <v>133</v>
      </c>
      <c r="K3" s="304"/>
      <c r="L3" s="304" t="s">
        <v>133</v>
      </c>
      <c r="M3" s="304"/>
    </row>
    <row r="4" spans="1:15" ht="14.25" customHeight="1">
      <c r="A4" s="304"/>
      <c r="D4" s="305" t="s">
        <v>134</v>
      </c>
      <c r="E4" s="305"/>
      <c r="H4" s="305" t="s">
        <v>134</v>
      </c>
      <c r="I4" s="305"/>
      <c r="J4" s="305" t="s">
        <v>134</v>
      </c>
      <c r="K4" s="305"/>
      <c r="L4" s="305" t="s">
        <v>134</v>
      </c>
      <c r="M4" s="305"/>
    </row>
    <row r="5" spans="1:15" ht="14.25" customHeight="1">
      <c r="A5" s="153">
        <v>9000</v>
      </c>
      <c r="D5" s="154">
        <v>93</v>
      </c>
      <c r="E5" s="154"/>
      <c r="H5" s="154">
        <v>93</v>
      </c>
      <c r="I5" s="154"/>
      <c r="J5" s="154">
        <v>117</v>
      </c>
      <c r="K5" s="154"/>
      <c r="L5" s="154">
        <v>117</v>
      </c>
      <c r="M5" s="154"/>
    </row>
    <row r="6" spans="1:15" ht="14.25" customHeight="1">
      <c r="A6" s="155">
        <v>10000</v>
      </c>
      <c r="D6" s="156">
        <v>96</v>
      </c>
      <c r="E6" s="156"/>
      <c r="H6" s="156">
        <v>96</v>
      </c>
      <c r="I6" s="156"/>
      <c r="J6" s="156">
        <v>122</v>
      </c>
      <c r="K6" s="156"/>
      <c r="L6" s="156">
        <v>122</v>
      </c>
      <c r="M6" s="156"/>
    </row>
    <row r="7" spans="1:15" ht="14.25" customHeight="1">
      <c r="A7" s="153">
        <v>11000</v>
      </c>
      <c r="D7" s="154">
        <v>99</v>
      </c>
      <c r="E7" s="154"/>
      <c r="H7" s="154">
        <v>99</v>
      </c>
      <c r="I7" s="154"/>
      <c r="J7" s="154">
        <v>126</v>
      </c>
      <c r="K7" s="154"/>
      <c r="L7" s="154">
        <v>126</v>
      </c>
      <c r="M7" s="154"/>
    </row>
    <row r="8" spans="1:15" ht="14.25" customHeight="1">
      <c r="A8" s="155">
        <v>12000</v>
      </c>
      <c r="D8" s="156">
        <v>102</v>
      </c>
      <c r="E8" s="156"/>
      <c r="H8" s="156">
        <v>102</v>
      </c>
      <c r="I8" s="156"/>
      <c r="J8" s="156">
        <v>130</v>
      </c>
      <c r="K8" s="156"/>
      <c r="L8" s="156">
        <v>130</v>
      </c>
      <c r="M8" s="156"/>
    </row>
    <row r="9" spans="1:15" ht="14.25" customHeight="1">
      <c r="A9" s="153">
        <v>12500</v>
      </c>
      <c r="D9" s="154">
        <v>103</v>
      </c>
      <c r="E9" s="154"/>
      <c r="H9" s="154">
        <v>103</v>
      </c>
      <c r="I9" s="154"/>
      <c r="J9" s="154">
        <v>132</v>
      </c>
      <c r="K9" s="154"/>
      <c r="L9" s="154">
        <v>132</v>
      </c>
      <c r="M9" s="154"/>
    </row>
    <row r="10" spans="1:15" ht="14.25" customHeight="1">
      <c r="A10" s="157"/>
      <c r="B10" s="40"/>
      <c r="C10" s="40"/>
      <c r="D10" s="40"/>
      <c r="H10" s="1"/>
      <c r="I10" s="1"/>
      <c r="J10" s="1"/>
      <c r="K10" s="1"/>
      <c r="L10" s="1"/>
      <c r="M10" s="1"/>
    </row>
    <row r="11" spans="1:15" ht="14.25" customHeight="1">
      <c r="A11" s="276" t="s">
        <v>135</v>
      </c>
      <c r="B11" s="276"/>
      <c r="C11" s="276"/>
      <c r="H11" s="306"/>
      <c r="I11" s="306"/>
      <c r="J11" s="306"/>
      <c r="K11" s="1"/>
      <c r="L11" s="1"/>
      <c r="M11" s="1"/>
    </row>
    <row r="12" spans="1:15" ht="14.25" customHeight="1">
      <c r="A12" s="1"/>
      <c r="B12" s="18" t="s">
        <v>136</v>
      </c>
      <c r="C12" s="49">
        <f>MATCH(MAX(A5:A9),A5:A9,0)</f>
        <v>5</v>
      </c>
      <c r="D12" s="1"/>
      <c r="E12" s="18"/>
      <c r="F12" s="49"/>
      <c r="H12" s="1"/>
      <c r="I12" s="18"/>
      <c r="J12" s="158"/>
      <c r="K12" s="1"/>
      <c r="L12" s="1"/>
      <c r="M12" s="1"/>
    </row>
    <row r="13" spans="1:15" ht="14.25" customHeight="1">
      <c r="A13" s="1"/>
      <c r="B13" s="18" t="s">
        <v>137</v>
      </c>
      <c r="C13" s="49">
        <f>MATCH(MAX(D5),D5,0)</f>
        <v>1</v>
      </c>
      <c r="D13" s="1"/>
      <c r="E13" s="18"/>
      <c r="F13" s="49"/>
      <c r="H13" s="1"/>
      <c r="I13" s="18"/>
      <c r="J13" s="158"/>
      <c r="K13" s="1"/>
      <c r="L13" s="1"/>
      <c r="M13" s="1"/>
    </row>
    <row r="14" spans="1:15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5" ht="14.25" customHeight="1">
      <c r="D15" s="52" t="s">
        <v>138</v>
      </c>
      <c r="E15" s="54" t="str">
        <f>D4</f>
        <v>Vref</v>
      </c>
      <c r="F15" s="54"/>
      <c r="H15" s="52"/>
      <c r="I15" s="54" t="str">
        <f>H4</f>
        <v>Vref</v>
      </c>
      <c r="J15" s="54"/>
      <c r="K15" s="54" t="str">
        <f>J4</f>
        <v>Vref</v>
      </c>
      <c r="L15" s="1"/>
      <c r="M15" s="54" t="str">
        <f>L4</f>
        <v>Vref</v>
      </c>
    </row>
    <row r="16" spans="1:15" ht="14.25" customHeight="1">
      <c r="D16" s="159" t="s">
        <v>139</v>
      </c>
      <c r="E16" s="160">
        <f>Landing!C11</f>
        <v>11000</v>
      </c>
      <c r="F16" s="160"/>
      <c r="H16" s="159"/>
      <c r="I16" s="160">
        <f>'Take-off'!C14</f>
        <v>12500</v>
      </c>
      <c r="J16" s="160"/>
      <c r="K16" s="160">
        <f>'Take-off'!C14</f>
        <v>12500</v>
      </c>
      <c r="L16" s="1"/>
      <c r="M16" s="160">
        <f>Landing!C11</f>
        <v>11000</v>
      </c>
    </row>
    <row r="17" spans="2:20" ht="14.25" customHeight="1">
      <c r="D17" s="18" t="s">
        <v>140</v>
      </c>
      <c r="E17" s="161">
        <f t="array" ref="E17">INDEX($A$5:$A$9,MATCH(E16,$A$5:$A$9,1))</f>
        <v>11000</v>
      </c>
      <c r="F17" s="161"/>
      <c r="H17" s="18"/>
      <c r="I17" s="161">
        <f t="array" ref="I17">INDEX($A$5:$A$9,MATCH(I16,$A$5:$A$9,1))</f>
        <v>12500</v>
      </c>
      <c r="J17" s="161"/>
      <c r="K17" s="161">
        <f t="array" ref="K17">INDEX($A$5:$A$9,MATCH(K16,$A$5:$A$9,1))</f>
        <v>12500</v>
      </c>
      <c r="L17" s="1"/>
      <c r="M17" s="161">
        <f t="array" ref="M17">INDEX($A$5:$A$9,MATCH(M16,$A$5:$A$9,1))</f>
        <v>11000</v>
      </c>
      <c r="P17" s="1"/>
      <c r="Q17" s="1"/>
      <c r="R17" s="1"/>
      <c r="S17" s="1"/>
      <c r="T17" s="1"/>
    </row>
    <row r="18" spans="2:20" ht="14.25" customHeight="1">
      <c r="D18" s="18" t="s">
        <v>141</v>
      </c>
      <c r="E18" s="161">
        <f t="array" ref="E18">INDEX($A$5:$A$9,IF(MATCH(E16,$A$5:$A$9,1)&lt;$C$12,MATCH(E16,$A$5:$A$9,1)+1,MATCH(E16,$A$5:$A$9,1)))</f>
        <v>12000</v>
      </c>
      <c r="F18" s="161"/>
      <c r="H18" s="18"/>
      <c r="I18" s="161">
        <f t="array" ref="I18">INDEX($A$5:$A$9,IF(MATCH(I16,$A$5:$A$9,1)&lt;$C$12,MATCH(I16,$A$5:$A$9,1)+1,MATCH(I16,$A$5:$A$9,1)))</f>
        <v>12500</v>
      </c>
      <c r="J18" s="161"/>
      <c r="K18" s="161">
        <f t="array" ref="K18">INDEX($A$5:$A$9,IF(MATCH(K16,$A$5:$A$9,1)&lt;$C$12,MATCH(K16,$A$5:$A$9,1)+1,MATCH(K16,$A$5:$A$9,1)))</f>
        <v>12500</v>
      </c>
      <c r="L18" s="1"/>
      <c r="M18" s="161">
        <f t="array" ref="M18">INDEX($A$5:$A$9,IF(MATCH(M16,$A$5:$A$9,1)&lt;$C$12,MATCH(M16,$A$5:$A$9,1)+1,MATCH(M16,$A$5:$A$9,1)))</f>
        <v>12000</v>
      </c>
      <c r="P18" s="1"/>
      <c r="Q18" s="1"/>
      <c r="R18" s="1"/>
      <c r="S18" s="1"/>
      <c r="T18" s="1"/>
    </row>
    <row r="19" spans="2:20" ht="14.25" customHeight="1">
      <c r="D19" s="159" t="s">
        <v>142</v>
      </c>
      <c r="E19" s="160">
        <f t="array" ref="E19">INDEX(D5:D9,MATCH(E16,$A$5:$A$9,1),MATCH(E15,D4,1))</f>
        <v>99</v>
      </c>
      <c r="F19" s="160"/>
      <c r="H19" s="159"/>
      <c r="I19" s="160">
        <f t="array" ref="I19">INDEX(H5:H9,MATCH(I16,$A$5:$A$9,1),MATCH(I15,H4,1))</f>
        <v>103</v>
      </c>
      <c r="J19" s="160"/>
      <c r="K19" s="160">
        <f t="array" ref="K19">INDEX(J5:J9,MATCH(K16,$A$5:$A$9,1),MATCH(K15,J4,1))</f>
        <v>132</v>
      </c>
      <c r="L19" s="1"/>
      <c r="M19" s="160">
        <f t="array" ref="M19">INDEX(L5:L9,MATCH(M16,$A$5:$A$9,1),MATCH(M15,L4,1))</f>
        <v>126</v>
      </c>
      <c r="P19" s="1"/>
      <c r="Q19" s="1"/>
      <c r="R19" s="1"/>
      <c r="S19" s="1"/>
      <c r="T19" s="1"/>
    </row>
    <row r="20" spans="2:20" ht="14.25" customHeight="1">
      <c r="D20" s="159" t="s">
        <v>143</v>
      </c>
      <c r="E20" s="160">
        <f t="array" ref="E20">INDEX(D5:D9,IF(MATCH(E16,$A$5:$A$9,1)&lt;$C$12,MATCH(E16,$A$5:$A$9,1)+1,MATCH(E16,$A$5:$A$9,1)),MATCH(E15,D4,1))</f>
        <v>102</v>
      </c>
      <c r="F20" s="160"/>
      <c r="H20" s="159"/>
      <c r="I20" s="160">
        <f t="array" ref="I20">INDEX(H5:H9,IF(MATCH(I16,$A$5:$A$9,1)&lt;$C$12,MATCH(I16,$A$5:$A$9,1)+1,MATCH(I16,$A$5:$A$9,1)),MATCH(I15,H4,1))</f>
        <v>103</v>
      </c>
      <c r="J20" s="160"/>
      <c r="K20" s="160">
        <f t="array" ref="K20">INDEX(J5:J9,IF(MATCH(K16,$A$5:$A$9,1)&lt;$C$12,MATCH(K16,$A$5:$A$9,1)+1,MATCH(K16,$A$5:$A$9,1)),MATCH(K15,J4,1))</f>
        <v>132</v>
      </c>
      <c r="L20" s="1"/>
      <c r="M20" s="160">
        <f t="array" ref="M20">INDEX(L5:L9,IF(MATCH(M16,$A$5:$A$9,1)&lt;$C$12,MATCH(M16,$A$5:$A$9,1)+1,MATCH(M16,$A$5:$A$9,1)),MATCH(M15,L4,1))</f>
        <v>130</v>
      </c>
      <c r="P20" s="1"/>
      <c r="Q20" s="1"/>
      <c r="R20" s="1"/>
      <c r="S20" s="1"/>
      <c r="T20" s="1"/>
    </row>
    <row r="21" spans="2:20" ht="14.25" customHeight="1">
      <c r="D21" s="159" t="s">
        <v>144</v>
      </c>
      <c r="E21" s="160">
        <f>IFERROR(E19+(E16-E17)*(E20-E19)/(E18-E17),E19)</f>
        <v>99</v>
      </c>
      <c r="F21" s="160"/>
      <c r="H21" s="159"/>
      <c r="I21" s="160">
        <f>IFERROR(I19+(I16-I17)*(I20-I19)/(I18-I17),I19)</f>
        <v>103</v>
      </c>
      <c r="J21" s="160"/>
      <c r="K21" s="160">
        <f>IFERROR(K19+(K16-K17)*(K20-K19)/(K18-K17),K19)</f>
        <v>132</v>
      </c>
      <c r="L21" s="1"/>
      <c r="M21" s="160">
        <f>IFERROR(M19+(M16-M17)*(M20-M19)/(M18-M17),M19)</f>
        <v>126</v>
      </c>
      <c r="P21" s="1"/>
      <c r="Q21" s="1"/>
      <c r="R21" s="1"/>
      <c r="S21" s="1"/>
      <c r="T21" s="1"/>
    </row>
    <row r="22" spans="2:20" ht="14.25" customHeight="1"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ht="14.25" customHeight="1">
      <c r="L23" s="303"/>
      <c r="M23" s="303"/>
      <c r="N23" s="303"/>
      <c r="O23" s="303"/>
      <c r="P23" s="303"/>
      <c r="Q23" s="303"/>
      <c r="R23" s="303"/>
      <c r="S23" s="1"/>
      <c r="T23" s="1"/>
    </row>
    <row r="24" spans="2:20" ht="14.25" customHeight="1"/>
    <row r="25" spans="2:20" ht="14.25" customHeight="1"/>
    <row r="26" spans="2:20" ht="14.25" customHeight="1"/>
    <row r="27" spans="2:20" ht="14.25" customHeight="1"/>
    <row r="28" spans="2:20" ht="14.25" customHeight="1"/>
    <row r="29" spans="2:20" ht="14.25" customHeight="1">
      <c r="B29" s="1" t="s">
        <v>145</v>
      </c>
      <c r="C29" s="1"/>
      <c r="D29" s="1"/>
    </row>
    <row r="30" spans="2:20" ht="14.25" customHeight="1">
      <c r="B30" s="40"/>
      <c r="C30" s="40"/>
      <c r="D30" s="162"/>
    </row>
    <row r="31" spans="2:20" ht="14.25" customHeight="1">
      <c r="B31" s="163" t="s">
        <v>146</v>
      </c>
      <c r="C31" s="163" t="s">
        <v>147</v>
      </c>
      <c r="D31" s="163" t="s">
        <v>148</v>
      </c>
    </row>
    <row r="32" spans="2:20" ht="14.25" customHeight="1">
      <c r="B32" s="164">
        <f>IF(ABS(Landing!C17-Landing!C6)&gt;270,360-ABS(Landing!C17-Landing!C6),Landing!C17-Landing!C6)</f>
        <v>-100</v>
      </c>
      <c r="C32" s="165">
        <f>IF(ABS(B32)&gt;90,ABS(COS(B32*PI()/180))*(-1),ABS(COS(B32*PI()/180)))</f>
        <v>-0.1736481776669303</v>
      </c>
      <c r="D32" s="164">
        <f>IF( ISBLANK(Landing!C6), Landing!C7*-1,    Landing!C7*C32)</f>
        <v>0</v>
      </c>
    </row>
    <row r="33" spans="1:26" ht="14.25" customHeight="1">
      <c r="B33" s="52"/>
      <c r="C33" s="1"/>
      <c r="D33" s="1"/>
    </row>
    <row r="34" spans="1:26" ht="14.25" customHeight="1">
      <c r="B34" s="166"/>
      <c r="C34" s="40"/>
      <c r="D34" s="40"/>
    </row>
    <row r="35" spans="1:26" ht="14.25" customHeight="1">
      <c r="B35" s="52"/>
      <c r="C35" s="167"/>
      <c r="D35" s="52"/>
    </row>
    <row r="36" spans="1:26" ht="14.25" customHeight="1">
      <c r="B36" s="52"/>
      <c r="C36" s="52"/>
      <c r="D36" s="52"/>
    </row>
    <row r="37" spans="1:26" ht="14.25" customHeight="1">
      <c r="B37" s="52" t="s">
        <v>149</v>
      </c>
      <c r="C37" s="167">
        <f>IF(ABS(B32)&gt;90,ABS(SIN(B32*PI()/180))*(-1),ABS(SIN(B32*PI()/180)))</f>
        <v>-0.98480775301220802</v>
      </c>
      <c r="D37" s="52"/>
    </row>
    <row r="38" spans="1:26" ht="14.25" customHeight="1">
      <c r="A38" s="168"/>
    </row>
    <row r="39" spans="1:26" ht="14.25" customHeight="1"/>
    <row r="40" spans="1:26" ht="14.25" customHeight="1"/>
    <row r="41" spans="1:26" ht="14.25" customHeight="1"/>
    <row r="42" spans="1:26" ht="14.25" customHeight="1"/>
    <row r="43" spans="1:26" ht="14.25" customHeight="1"/>
    <row r="44" spans="1:26" ht="14.25" customHeight="1"/>
    <row r="45" spans="1:26" ht="14.25" customHeight="1"/>
    <row r="46" spans="1:26" ht="14.25" customHeight="1"/>
    <row r="47" spans="1:26" ht="14.25" customHeight="1"/>
    <row r="48" spans="1:26" ht="14.25" customHeight="1">
      <c r="A48" s="169" t="s">
        <v>64</v>
      </c>
      <c r="B48" s="169"/>
      <c r="C48" s="169"/>
      <c r="D48" s="169"/>
      <c r="E48" s="169"/>
      <c r="F48" s="169"/>
      <c r="G48" s="169"/>
      <c r="H48" s="169"/>
      <c r="I48" s="169"/>
      <c r="J48" s="169"/>
      <c r="K48" s="170"/>
      <c r="L48" s="170"/>
      <c r="M48" s="170"/>
      <c r="N48" s="171"/>
      <c r="O48" s="172"/>
      <c r="P48" s="170"/>
      <c r="Q48" s="170"/>
      <c r="R48" s="170"/>
      <c r="S48" s="170"/>
      <c r="T48" s="170"/>
      <c r="U48" s="169"/>
      <c r="V48" s="169"/>
      <c r="W48" s="169"/>
      <c r="X48" s="169"/>
      <c r="Y48" s="169"/>
      <c r="Z48" s="169"/>
    </row>
    <row r="49" spans="1:39" ht="14.25" customHeight="1">
      <c r="I49" s="173"/>
      <c r="J49" s="174"/>
      <c r="K49" s="174"/>
      <c r="L49" s="174"/>
      <c r="M49" s="174"/>
      <c r="N49" s="174"/>
      <c r="O49" s="174"/>
      <c r="P49" s="174"/>
      <c r="AI49" s="1"/>
      <c r="AJ49" s="1"/>
      <c r="AK49" s="1"/>
      <c r="AL49" s="1"/>
      <c r="AM49" s="1"/>
    </row>
    <row r="50" spans="1:39" ht="14.25" customHeight="1">
      <c r="A50" s="168"/>
      <c r="AI50" s="1"/>
      <c r="AJ50" s="159"/>
      <c r="AK50" s="160"/>
      <c r="AL50" s="276"/>
      <c r="AM50" s="276"/>
    </row>
    <row r="51" spans="1:39" ht="14.25" customHeight="1">
      <c r="A51" s="168"/>
      <c r="AI51" s="1"/>
      <c r="AJ51" s="18"/>
      <c r="AK51" s="161"/>
      <c r="AL51" s="18"/>
      <c r="AM51" s="49"/>
    </row>
    <row r="52" spans="1:39" ht="14.25" customHeight="1">
      <c r="A52" s="168"/>
      <c r="AI52" s="1"/>
      <c r="AJ52" s="18"/>
      <c r="AK52" s="161"/>
      <c r="AL52" s="18"/>
      <c r="AM52" s="49"/>
    </row>
    <row r="53" spans="1:39" ht="14.25" customHeight="1">
      <c r="A53" s="168"/>
      <c r="B53" s="52" t="s">
        <v>150</v>
      </c>
      <c r="C53" s="1" t="s">
        <v>151</v>
      </c>
      <c r="D53" s="1"/>
      <c r="I53" s="21"/>
      <c r="AI53" s="1"/>
      <c r="AJ53" s="159"/>
      <c r="AK53" s="160"/>
      <c r="AL53" s="1"/>
      <c r="AM53" s="1"/>
    </row>
    <row r="54" spans="1:39" ht="14.25" customHeight="1">
      <c r="A54" s="168"/>
      <c r="B54" s="166">
        <f>'Landing distance data'!K104</f>
        <v>585.50443458980044</v>
      </c>
      <c r="C54" s="40">
        <f>B54*C55</f>
        <v>837.27134146341461</v>
      </c>
      <c r="D54" s="40"/>
      <c r="I54" s="21"/>
      <c r="AI54" s="1"/>
      <c r="AJ54" s="18"/>
      <c r="AK54" s="161"/>
      <c r="AL54" s="1"/>
      <c r="AM54" s="40"/>
    </row>
    <row r="55" spans="1:39" ht="14.25" customHeight="1">
      <c r="A55" s="168"/>
      <c r="B55" s="52" t="s">
        <v>152</v>
      </c>
      <c r="C55" s="167">
        <f>IF( ISBLANK('Take-off'!C10),MIN('Dropdown lists'!C4:C10), VLOOKUP('Take-off'!C10,'Dropdown lists'!B4:C10,2))</f>
        <v>1.43</v>
      </c>
      <c r="D55" s="52"/>
      <c r="I55" s="21"/>
      <c r="AI55" s="1"/>
      <c r="AJ55" s="18"/>
      <c r="AK55" s="161"/>
      <c r="AL55" s="1"/>
      <c r="AM55" s="40"/>
    </row>
    <row r="56" spans="1:39" ht="14.25" customHeight="1">
      <c r="A56" s="168"/>
      <c r="B56" s="52"/>
      <c r="C56" s="52"/>
      <c r="D56" s="52"/>
      <c r="I56" s="175"/>
      <c r="J56" s="138"/>
      <c r="K56" s="138"/>
      <c r="L56" s="138"/>
      <c r="M56" s="138"/>
      <c r="N56" s="138"/>
      <c r="O56" s="138"/>
      <c r="P56" s="138"/>
      <c r="AD56" s="138"/>
      <c r="AE56" s="138"/>
      <c r="AF56" s="138"/>
      <c r="AG56" s="138"/>
      <c r="AH56" s="138"/>
      <c r="AI56" s="1"/>
      <c r="AJ56" s="159"/>
      <c r="AK56" s="160"/>
      <c r="AL56" s="1"/>
      <c r="AM56" s="40"/>
    </row>
    <row r="57" spans="1:39" ht="14.25" customHeight="1">
      <c r="A57" s="168"/>
      <c r="B57" s="52"/>
      <c r="C57" s="167"/>
      <c r="D57" s="52"/>
      <c r="I57" s="175"/>
      <c r="J57" s="138"/>
      <c r="K57" s="138"/>
      <c r="L57" s="138"/>
      <c r="M57" s="138"/>
      <c r="N57" s="138"/>
      <c r="O57" s="138"/>
      <c r="P57" s="138"/>
      <c r="AD57" s="138"/>
      <c r="AE57" s="138"/>
      <c r="AF57" s="138"/>
      <c r="AG57" s="138"/>
      <c r="AH57" s="138"/>
      <c r="AI57" s="1"/>
      <c r="AJ57" s="159"/>
      <c r="AK57" s="160"/>
      <c r="AM57" s="40"/>
    </row>
    <row r="58" spans="1:39" ht="14.25" customHeight="1">
      <c r="C58" s="21"/>
      <c r="I58" s="175"/>
      <c r="J58" s="138"/>
      <c r="K58" s="138"/>
      <c r="L58" s="138"/>
      <c r="M58" s="138"/>
      <c r="N58" s="138"/>
      <c r="O58" s="138"/>
      <c r="P58" s="138"/>
      <c r="AD58" s="138"/>
      <c r="AE58" s="138"/>
      <c r="AF58" s="138"/>
      <c r="AG58" s="138"/>
      <c r="AH58" s="138"/>
      <c r="AI58" s="1"/>
      <c r="AJ58" s="159"/>
      <c r="AK58" s="160"/>
      <c r="AM58" s="40"/>
    </row>
    <row r="59" spans="1:39" ht="14.25" customHeight="1">
      <c r="C59" s="21"/>
      <c r="I59" s="175"/>
      <c r="J59" s="138"/>
      <c r="K59" s="138"/>
      <c r="L59" s="138"/>
      <c r="M59" s="138"/>
      <c r="N59" s="138"/>
      <c r="O59" s="138"/>
      <c r="P59" s="138"/>
      <c r="AD59" s="138"/>
      <c r="AE59" s="138"/>
      <c r="AF59" s="138"/>
      <c r="AG59" s="138"/>
      <c r="AH59" s="138"/>
      <c r="AI59" s="1"/>
      <c r="AJ59" s="159"/>
      <c r="AK59" s="160"/>
    </row>
    <row r="60" spans="1:39" ht="14.25" customHeight="1">
      <c r="C60" s="21"/>
      <c r="I60" s="175"/>
      <c r="J60" s="138"/>
      <c r="K60" s="138"/>
      <c r="L60" s="138"/>
      <c r="M60" s="138"/>
      <c r="N60" s="138"/>
      <c r="O60" s="138"/>
      <c r="P60" s="138"/>
      <c r="AD60" s="138"/>
      <c r="AE60" s="138"/>
      <c r="AF60" s="138"/>
      <c r="AG60" s="138"/>
      <c r="AH60" s="138"/>
      <c r="AI60" s="1"/>
      <c r="AJ60" s="18"/>
      <c r="AK60" s="161"/>
    </row>
    <row r="61" spans="1:39" ht="14.25" customHeight="1">
      <c r="C61" s="21"/>
      <c r="I61" s="175"/>
      <c r="J61" s="138"/>
      <c r="K61" s="138"/>
      <c r="L61" s="138"/>
      <c r="M61" s="138"/>
      <c r="N61" s="138"/>
      <c r="O61" s="138"/>
      <c r="P61" s="138"/>
      <c r="AD61" s="138"/>
      <c r="AE61" s="138"/>
      <c r="AF61" s="138"/>
      <c r="AG61" s="138"/>
      <c r="AH61" s="138"/>
      <c r="AI61" s="1"/>
      <c r="AJ61" s="18"/>
      <c r="AK61" s="161"/>
    </row>
    <row r="62" spans="1:39" ht="14.25" customHeight="1">
      <c r="C62" s="21"/>
      <c r="I62" s="175"/>
      <c r="J62" s="138"/>
      <c r="K62" s="138"/>
      <c r="L62" s="138"/>
      <c r="M62" s="138"/>
      <c r="N62" s="138"/>
      <c r="O62" s="138"/>
      <c r="P62" s="138"/>
      <c r="AD62" s="138"/>
      <c r="AE62" s="138"/>
      <c r="AF62" s="138"/>
      <c r="AG62" s="138"/>
      <c r="AH62" s="138"/>
      <c r="AI62" s="1"/>
      <c r="AJ62" s="159"/>
      <c r="AK62" s="160"/>
    </row>
    <row r="66" spans="1:5" ht="14.25" customHeight="1">
      <c r="A66" s="303" t="s">
        <v>153</v>
      </c>
      <c r="B66" s="303"/>
      <c r="C66" s="303"/>
      <c r="D66" s="303"/>
      <c r="E66" s="303"/>
    </row>
    <row r="67" spans="1:5" ht="14.25" customHeight="1"/>
    <row r="68" spans="1:5" ht="14.25" customHeight="1">
      <c r="A68" s="307" t="s">
        <v>154</v>
      </c>
      <c r="B68" s="304" t="s">
        <v>88</v>
      </c>
      <c r="C68" s="304"/>
      <c r="D68" s="304" t="s">
        <v>129</v>
      </c>
      <c r="E68" s="304"/>
    </row>
    <row r="69" spans="1:5" ht="30" customHeight="1">
      <c r="A69" s="307"/>
      <c r="B69" s="305" t="s">
        <v>47</v>
      </c>
      <c r="C69" s="305"/>
      <c r="D69" s="305" t="s">
        <v>129</v>
      </c>
      <c r="E69" s="305"/>
    </row>
    <row r="70" spans="1:5" ht="14.25" customHeight="1">
      <c r="A70" s="155">
        <v>1100</v>
      </c>
      <c r="B70" s="156">
        <v>1550</v>
      </c>
      <c r="C70" s="154"/>
      <c r="D70" s="154"/>
      <c r="E70" s="154"/>
    </row>
    <row r="71" spans="1:5" ht="14.25" customHeight="1">
      <c r="A71" s="155">
        <v>2000</v>
      </c>
      <c r="B71" s="154">
        <v>2550</v>
      </c>
      <c r="C71" s="156"/>
      <c r="D71" s="156"/>
      <c r="E71" s="156"/>
    </row>
    <row r="72" spans="1:5" ht="14.25" customHeight="1">
      <c r="A72" s="155">
        <v>2500</v>
      </c>
      <c r="B72" s="156">
        <v>3130</v>
      </c>
      <c r="C72" s="154"/>
      <c r="D72" s="154"/>
      <c r="E72" s="154"/>
    </row>
    <row r="73" spans="1:5" ht="14.25" customHeight="1">
      <c r="A73" s="155">
        <v>3000</v>
      </c>
      <c r="B73" s="156">
        <v>3700</v>
      </c>
      <c r="C73" s="156"/>
      <c r="D73" s="156"/>
      <c r="E73" s="156"/>
    </row>
    <row r="74" spans="1:5" ht="14.25" customHeight="1">
      <c r="A74" s="153">
        <v>3500</v>
      </c>
      <c r="B74" s="156">
        <v>4250</v>
      </c>
      <c r="C74" s="156"/>
      <c r="D74" s="156"/>
      <c r="E74" s="156"/>
    </row>
    <row r="75" spans="1:5" ht="14.25" customHeight="1">
      <c r="A75" s="153">
        <v>4000</v>
      </c>
      <c r="B75" s="154">
        <v>5850</v>
      </c>
      <c r="C75" s="154"/>
      <c r="D75" s="154"/>
      <c r="E75" s="154"/>
    </row>
    <row r="76" spans="1:5" ht="14.25" customHeight="1">
      <c r="A76" s="157"/>
      <c r="B76" s="40"/>
      <c r="C76" s="40"/>
      <c r="D76" s="40"/>
    </row>
    <row r="77" spans="1:5" ht="14.25" customHeight="1">
      <c r="A77" s="276" t="s">
        <v>135</v>
      </c>
      <c r="B77" s="276"/>
      <c r="C77" s="276"/>
    </row>
    <row r="78" spans="1:5" ht="14.25" customHeight="1">
      <c r="A78" s="1"/>
      <c r="B78" s="18" t="s">
        <v>136</v>
      </c>
      <c r="C78" s="49">
        <f>MATCH(MAX(A70:A75),A70:A75,0)</f>
        <v>6</v>
      </c>
      <c r="D78" s="18"/>
    </row>
    <row r="79" spans="1:5" ht="14.25" customHeight="1">
      <c r="A79" s="1"/>
      <c r="B79" s="18" t="s">
        <v>137</v>
      </c>
      <c r="C79" s="49">
        <f>MATCH(MAX(B70),B70,0)</f>
        <v>1</v>
      </c>
      <c r="D79" s="18"/>
    </row>
    <row r="80" spans="1:5" ht="14.25" customHeight="1">
      <c r="A80" s="1"/>
      <c r="B80" s="1"/>
      <c r="C80" s="1"/>
      <c r="D80" s="1"/>
    </row>
    <row r="81" spans="1:4" ht="14.25" customHeight="1">
      <c r="A81" s="52" t="s">
        <v>138</v>
      </c>
      <c r="B81" s="54" t="str">
        <f>B69</f>
        <v>UP</v>
      </c>
      <c r="C81" s="54"/>
      <c r="D81" s="54" t="str">
        <f>D69</f>
        <v>EMG RETURN</v>
      </c>
    </row>
    <row r="82" spans="1:4" ht="14.25" customHeight="1">
      <c r="A82" s="159" t="s">
        <v>139</v>
      </c>
      <c r="B82" s="160">
        <f>'Landing distance data'!C104*3.28</f>
        <v>1799.5454545454543</v>
      </c>
      <c r="C82" s="160"/>
      <c r="D82" s="160">
        <f>'Landing distance data'!K104*3.28</f>
        <v>1920.4545454545453</v>
      </c>
    </row>
    <row r="83" spans="1:4" ht="14.25" customHeight="1">
      <c r="A83" s="18" t="s">
        <v>140</v>
      </c>
      <c r="B83" s="161">
        <f t="array" ref="B83">INDEX(A70:A75,MATCH(B82,A70:A75,1))</f>
        <v>1100</v>
      </c>
      <c r="C83" s="161"/>
      <c r="D83" s="161">
        <f t="array" ref="D83">INDEX($A$70:$A$75,MATCH(D82,$A$70:$A$75,1))</f>
        <v>1100</v>
      </c>
    </row>
    <row r="84" spans="1:4" ht="14.25" customHeight="1">
      <c r="A84" s="18" t="s">
        <v>141</v>
      </c>
      <c r="B84" s="161">
        <f t="array" ref="B84">INDEX(A70:A75,IF(MATCH(B82,A70:A75,1)&lt;C78,MATCH(B82,A70:A75,1)+1,MATCH(B82,A70:A75,1)))</f>
        <v>2000</v>
      </c>
      <c r="C84" s="161"/>
      <c r="D84" s="161">
        <f t="array" ref="D84">INDEX($A$70:$A$75,IF(MATCH(D82,$A$70:$A$75,1)&lt;$C$78,MATCH(D82,$A$70:$A$75,1)+1,MATCH(D82,$A$70:$A$75,1)))</f>
        <v>2000</v>
      </c>
    </row>
    <row r="85" spans="1:4" ht="14.25" customHeight="1">
      <c r="A85" s="159" t="s">
        <v>142</v>
      </c>
      <c r="B85" s="160">
        <f t="array" ref="B85">INDEX(B70:B75,MATCH(B82,A70:A75,1),MATCH(B81,B69,1))</f>
        <v>1550</v>
      </c>
      <c r="C85" s="160"/>
      <c r="D85" s="160">
        <f t="array" ref="D85">INDEX(B70:B75,MATCH(D82,$A$70:$A$75,1),MATCH(D81,D69,1))</f>
        <v>1550</v>
      </c>
    </row>
    <row r="86" spans="1:4" ht="14.25" customHeight="1">
      <c r="A86" s="159" t="s">
        <v>143</v>
      </c>
      <c r="B86" s="160">
        <f t="array" ref="B86">INDEX(B70:B75,IF(MATCH(B82,A70:A75,1)&lt;C78,MATCH(B82,A70:A75,1)+1,MATCH(B82,A70:A75,1)),MATCH(B81,B69,1))</f>
        <v>2550</v>
      </c>
      <c r="C86" s="160"/>
      <c r="D86" s="160">
        <f t="array" ref="D86">INDEX(B70:B75,IF(MATCH(D82,$A$70:$A$75,1)&lt;$C$78,MATCH(D82,$A$70:$A$75,1)+1,MATCH(D82,$A$70:$A$75,1)),MATCH(D81,D69,1))</f>
        <v>2550</v>
      </c>
    </row>
    <row r="87" spans="1:4" ht="14.25" customHeight="1">
      <c r="A87" s="159" t="s">
        <v>155</v>
      </c>
      <c r="B87" s="160">
        <f>IFERROR(B85+(B82-B83)*(B86-B85)/(B84-B83),B85)</f>
        <v>2327.272727272727</v>
      </c>
      <c r="C87" s="160"/>
      <c r="D87" s="160">
        <f>IFERROR(D85+(D82-D83)*(D86-D85)/(D84-D83),D85)</f>
        <v>2461.6161616161617</v>
      </c>
    </row>
    <row r="88" spans="1:4" ht="14.25" customHeight="1"/>
    <row r="89" spans="1:4" ht="14.25" customHeight="1"/>
    <row r="90" spans="1:4" ht="14.25" customHeight="1"/>
    <row r="91" spans="1:4" ht="14.25" customHeight="1"/>
    <row r="92" spans="1:4" ht="14.25" customHeight="1">
      <c r="A92" s="168"/>
      <c r="B92" s="21"/>
    </row>
    <row r="93" spans="1:4" ht="14.25" customHeight="1">
      <c r="A93" s="168"/>
      <c r="B93" s="21"/>
    </row>
    <row r="94" spans="1:4" ht="14.25" customHeight="1"/>
    <row r="95" spans="1:4" ht="14.25" customHeight="1">
      <c r="B95" s="21"/>
    </row>
    <row r="96" spans="1:4" ht="14.25" customHeight="1">
      <c r="B96" s="21"/>
    </row>
  </sheetData>
  <sheetProtection algorithmName="SHA-512" hashValue="TqbwdxAwoNHjwqzHEAYM+zRsEhZZskk/02Tdv4RSqqzcPjjw8KmTRWcg6DcRPFFmwazryvPi80YW0vzVVI3eQg==" saltValue="APogqmogSUV4793L0jAMHA==" spinCount="100000" sheet="1" objects="1" scenarios="1"/>
  <mergeCells count="21">
    <mergeCell ref="A77:C77"/>
    <mergeCell ref="A68:A69"/>
    <mergeCell ref="B68:C68"/>
    <mergeCell ref="D68:E68"/>
    <mergeCell ref="B69:C69"/>
    <mergeCell ref="D69:E69"/>
    <mergeCell ref="A11:C11"/>
    <mergeCell ref="H11:J11"/>
    <mergeCell ref="L23:R23"/>
    <mergeCell ref="AL50:AM50"/>
    <mergeCell ref="A66:E66"/>
    <mergeCell ref="L3:M3"/>
    <mergeCell ref="D4:E4"/>
    <mergeCell ref="H4:I4"/>
    <mergeCell ref="J4:K4"/>
    <mergeCell ref="L4:M4"/>
    <mergeCell ref="A1:E1"/>
    <mergeCell ref="A3:A4"/>
    <mergeCell ref="D3:E3"/>
    <mergeCell ref="H3:I3"/>
    <mergeCell ref="J3:K3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87"/>
  <sheetViews>
    <sheetView topLeftCell="A4" zoomScaleNormal="100" workbookViewId="0">
      <selection activeCell="C29" sqref="C29"/>
    </sheetView>
  </sheetViews>
  <sheetFormatPr defaultColWidth="14.44140625" defaultRowHeight="15" customHeight="1"/>
  <cols>
    <col min="1" max="1" width="15.5546875" customWidth="1"/>
    <col min="2" max="5" width="9.109375" customWidth="1"/>
    <col min="6" max="6" width="14" customWidth="1"/>
    <col min="7" max="7" width="9" customWidth="1"/>
    <col min="8" max="10" width="9.109375" customWidth="1"/>
    <col min="11" max="11" width="10.44140625" customWidth="1"/>
    <col min="12" max="13" width="9.109375" customWidth="1"/>
    <col min="14" max="14" width="30.88671875" customWidth="1"/>
    <col min="15" max="15" width="9.109375" customWidth="1"/>
    <col min="16" max="16" width="24.88671875" customWidth="1"/>
    <col min="17" max="18" width="18.6640625" customWidth="1"/>
    <col min="19" max="20" width="9.109375" customWidth="1"/>
    <col min="21" max="33" width="8.5546875" customWidth="1"/>
  </cols>
  <sheetData>
    <row r="1" spans="1:20" ht="14.25" customHeight="1">
      <c r="A1" s="303" t="s">
        <v>156</v>
      </c>
      <c r="B1" s="303"/>
      <c r="C1" s="303"/>
      <c r="D1" s="303"/>
      <c r="E1" s="303"/>
      <c r="F1" s="151"/>
      <c r="G1" s="151"/>
      <c r="R1" s="1"/>
      <c r="S1" s="1"/>
      <c r="T1" s="1"/>
    </row>
    <row r="2" spans="1:20" ht="14.25" customHeight="1">
      <c r="A2" t="s">
        <v>47</v>
      </c>
      <c r="R2" s="1"/>
      <c r="S2" s="1"/>
      <c r="T2" s="1"/>
    </row>
    <row r="3" spans="1:20" ht="14.25" customHeight="1">
      <c r="A3" s="308" t="s">
        <v>132</v>
      </c>
      <c r="B3" s="176"/>
      <c r="C3" s="177"/>
      <c r="D3" s="176" t="s">
        <v>133</v>
      </c>
      <c r="E3" s="177"/>
      <c r="F3" s="178"/>
      <c r="G3" s="179"/>
      <c r="H3" s="178" t="s">
        <v>133</v>
      </c>
      <c r="I3" s="177"/>
      <c r="J3" s="309"/>
      <c r="K3" s="309"/>
      <c r="R3" s="1"/>
      <c r="S3" s="1"/>
      <c r="T3" s="1"/>
    </row>
    <row r="4" spans="1:20" ht="31.5" customHeight="1">
      <c r="A4" s="308"/>
      <c r="B4" s="180"/>
      <c r="C4" s="181"/>
      <c r="D4" s="180" t="s">
        <v>157</v>
      </c>
      <c r="E4" s="181"/>
      <c r="F4" s="180"/>
      <c r="G4" s="182"/>
      <c r="H4" s="183" t="s">
        <v>158</v>
      </c>
      <c r="I4" s="181"/>
      <c r="J4" s="183"/>
      <c r="K4" s="181"/>
      <c r="R4" s="1"/>
      <c r="S4" s="1"/>
      <c r="T4" s="1"/>
    </row>
    <row r="5" spans="1:20" ht="14.25" customHeight="1">
      <c r="A5" s="184">
        <v>9000</v>
      </c>
      <c r="B5" s="185"/>
      <c r="C5" s="186"/>
      <c r="D5" s="185">
        <v>95</v>
      </c>
      <c r="E5" s="186"/>
      <c r="F5" s="185"/>
      <c r="G5" s="187"/>
      <c r="H5" s="188">
        <v>108</v>
      </c>
      <c r="I5" s="186"/>
      <c r="J5" s="189"/>
      <c r="K5" s="190"/>
      <c r="M5" s="21"/>
      <c r="R5" s="1"/>
      <c r="S5" s="1"/>
      <c r="T5" s="1"/>
    </row>
    <row r="6" spans="1:20" ht="14.25" customHeight="1">
      <c r="A6" s="184">
        <v>10000</v>
      </c>
      <c r="B6" s="191"/>
      <c r="C6" s="192"/>
      <c r="D6" s="191">
        <v>95</v>
      </c>
      <c r="E6" s="192"/>
      <c r="F6" s="191"/>
      <c r="G6" s="193"/>
      <c r="H6" s="191">
        <v>111</v>
      </c>
      <c r="I6" s="192"/>
      <c r="J6" s="194"/>
      <c r="K6" s="195"/>
      <c r="M6" s="21"/>
      <c r="R6" s="1"/>
      <c r="S6" s="1"/>
      <c r="T6" s="1"/>
    </row>
    <row r="7" spans="1:20" ht="14.25" customHeight="1">
      <c r="A7" s="184">
        <v>11000</v>
      </c>
      <c r="B7" s="191"/>
      <c r="C7" s="192"/>
      <c r="D7" s="191">
        <v>95</v>
      </c>
      <c r="E7" s="192"/>
      <c r="F7" s="191"/>
      <c r="G7" s="193"/>
      <c r="H7" s="196">
        <v>115</v>
      </c>
      <c r="I7" s="192"/>
      <c r="J7" s="194"/>
      <c r="K7" s="195"/>
      <c r="M7" s="21"/>
      <c r="R7" s="1"/>
      <c r="S7" s="1"/>
      <c r="T7" s="1"/>
    </row>
    <row r="8" spans="1:20" ht="14.25" customHeight="1">
      <c r="A8" s="197">
        <v>11500</v>
      </c>
      <c r="B8" s="191"/>
      <c r="C8" s="192"/>
      <c r="D8" s="191">
        <v>95</v>
      </c>
      <c r="E8" s="192"/>
      <c r="F8" s="191"/>
      <c r="G8" s="193"/>
      <c r="H8" s="191">
        <f>AVERAGE(H7,H9)</f>
        <v>117</v>
      </c>
      <c r="I8" s="192"/>
      <c r="J8" s="194"/>
      <c r="K8" s="195"/>
      <c r="M8" s="21"/>
      <c r="R8" s="1"/>
      <c r="S8" s="1"/>
      <c r="T8" s="1"/>
    </row>
    <row r="9" spans="1:20" ht="14.25" customHeight="1">
      <c r="A9" s="197">
        <v>12000</v>
      </c>
      <c r="B9" s="191"/>
      <c r="C9" s="192"/>
      <c r="D9" s="191">
        <v>95</v>
      </c>
      <c r="E9" s="192"/>
      <c r="F9" s="191"/>
      <c r="G9" s="193"/>
      <c r="H9" s="196">
        <v>119</v>
      </c>
      <c r="I9" s="192"/>
      <c r="J9" s="194"/>
      <c r="K9" s="195"/>
      <c r="M9" s="21"/>
      <c r="R9" s="1"/>
      <c r="S9" s="1"/>
      <c r="T9" s="1"/>
    </row>
    <row r="10" spans="1:20" ht="14.25" customHeight="1">
      <c r="A10" s="198">
        <v>12500</v>
      </c>
      <c r="B10" s="199"/>
      <c r="C10" s="200"/>
      <c r="D10" s="199">
        <v>95</v>
      </c>
      <c r="E10" s="200"/>
      <c r="F10" s="199"/>
      <c r="G10" s="201"/>
      <c r="H10" s="202">
        <v>121</v>
      </c>
      <c r="I10" s="200"/>
      <c r="J10" s="203"/>
      <c r="K10" s="204"/>
      <c r="M10" s="21"/>
      <c r="R10" s="1"/>
      <c r="S10" s="1"/>
      <c r="T10" s="1"/>
    </row>
    <row r="11" spans="1:20" ht="14.25" customHeight="1">
      <c r="A11" s="157"/>
      <c r="B11" s="40"/>
      <c r="C11" s="40"/>
      <c r="D11" s="40"/>
      <c r="I11" s="21"/>
      <c r="K11" s="21"/>
      <c r="R11" s="1"/>
      <c r="S11" s="1"/>
      <c r="T11" s="1"/>
    </row>
    <row r="12" spans="1:20" ht="14.25" customHeight="1">
      <c r="A12" s="73"/>
      <c r="B12" s="276"/>
      <c r="C12" s="276"/>
      <c r="D12" s="276" t="s">
        <v>159</v>
      </c>
      <c r="E12" s="276"/>
      <c r="H12" s="276" t="s">
        <v>158</v>
      </c>
      <c r="I12" s="276"/>
      <c r="J12" s="73"/>
      <c r="K12" s="73"/>
      <c r="R12" s="1"/>
      <c r="S12" s="1"/>
      <c r="T12" s="1"/>
    </row>
    <row r="13" spans="1:20" ht="14.25" customHeight="1">
      <c r="B13" s="18"/>
      <c r="C13" s="49"/>
      <c r="D13" s="18" t="s">
        <v>136</v>
      </c>
      <c r="E13" s="49">
        <f>MATCH(MAX($A5:$A10),$A5:$A10,0)</f>
        <v>6</v>
      </c>
      <c r="G13" s="49"/>
      <c r="I13" s="49">
        <f>MATCH(MAX($A5:$A10),$A5:$A10,0)</f>
        <v>6</v>
      </c>
      <c r="J13" s="49"/>
      <c r="K13" s="49"/>
    </row>
    <row r="14" spans="1:20" ht="14.25" customHeight="1">
      <c r="B14" s="18"/>
      <c r="C14" s="49"/>
      <c r="D14" s="18" t="s">
        <v>137</v>
      </c>
      <c r="E14" s="49">
        <f>MATCH(MAX(D5),D5,0)</f>
        <v>1</v>
      </c>
      <c r="G14" s="49"/>
      <c r="I14" s="49">
        <f>MATCH(MAX(H5),H5,0)</f>
        <v>1</v>
      </c>
      <c r="J14" s="49"/>
      <c r="K14" s="49"/>
    </row>
    <row r="15" spans="1:20" ht="14.25" customHeight="1">
      <c r="A15" s="1"/>
      <c r="B15" s="1"/>
      <c r="C15" s="1"/>
      <c r="D15" s="1"/>
      <c r="E15" s="1"/>
      <c r="F15" s="1"/>
      <c r="G15" s="1"/>
    </row>
    <row r="16" spans="1:20" ht="14.25" customHeight="1">
      <c r="B16" s="52"/>
      <c r="C16" s="54"/>
      <c r="D16" s="52" t="s">
        <v>138</v>
      </c>
      <c r="E16" s="54" t="str">
        <f>D4</f>
        <v>V1/R</v>
      </c>
      <c r="F16" s="52"/>
      <c r="G16" s="54"/>
      <c r="I16" s="54" t="str">
        <f>H4</f>
        <v>V2</v>
      </c>
      <c r="J16" s="54"/>
      <c r="K16" s="54"/>
    </row>
    <row r="17" spans="1:25" ht="14.25" customHeight="1">
      <c r="B17" s="159"/>
      <c r="C17" s="160"/>
      <c r="D17" s="159" t="s">
        <v>139</v>
      </c>
      <c r="E17" s="160">
        <f>'Take-off'!$C$14</f>
        <v>12500</v>
      </c>
      <c r="F17" s="159"/>
      <c r="G17" s="160"/>
      <c r="I17" s="160">
        <f>'Take-off'!$C$14</f>
        <v>12500</v>
      </c>
      <c r="J17" s="160"/>
      <c r="K17" s="160"/>
      <c r="M17" s="21"/>
      <c r="N17" s="21"/>
    </row>
    <row r="18" spans="1:25" ht="14.25" customHeight="1">
      <c r="B18" s="18"/>
      <c r="C18" s="161"/>
      <c r="D18" s="18" t="s">
        <v>140</v>
      </c>
      <c r="E18" s="161">
        <f t="array" ref="E18">INDEX($A5:$A10,MATCH(E17,$A5:$A10,1))</f>
        <v>12500</v>
      </c>
      <c r="F18" s="18"/>
      <c r="G18" s="161"/>
      <c r="I18" s="161">
        <f>INDEX($A5:$A10,MATCH(I17,$A5:$A10,1))</f>
        <v>12500</v>
      </c>
      <c r="J18" s="161"/>
      <c r="K18" s="161"/>
      <c r="M18" s="21"/>
      <c r="N18" s="21"/>
    </row>
    <row r="19" spans="1:25" ht="14.25" customHeight="1">
      <c r="B19" s="18"/>
      <c r="C19" s="161"/>
      <c r="D19" s="18" t="s">
        <v>141</v>
      </c>
      <c r="E19" s="161">
        <f t="array" ref="E19">INDEX($A5:$A10,IF(MATCH(E17,$A5:$A10,1)&lt;E13,MATCH(E17,$A5:$A10,1)+1,MATCH(E17,$A5:$A10,1)))</f>
        <v>12500</v>
      </c>
      <c r="F19" s="18"/>
      <c r="G19" s="161"/>
      <c r="I19" s="161">
        <f>INDEX($A5:$A10,IF(MATCH(I17,$A5:$A10,1)&lt;I13,MATCH(I17,$A5:$A10,1)+1,MATCH(I17,$A5:$A10,1)))</f>
        <v>12500</v>
      </c>
      <c r="J19" s="161"/>
      <c r="K19" s="161"/>
      <c r="M19" s="21"/>
      <c r="N19" s="21"/>
    </row>
    <row r="20" spans="1:25" ht="14.25" customHeight="1">
      <c r="B20" s="159"/>
      <c r="C20" s="160"/>
      <c r="D20" s="159" t="s">
        <v>142</v>
      </c>
      <c r="E20" s="160">
        <f t="array" ref="E20">INDEX(D5:D10,MATCH(E17,$A5:$A10,1),MATCH(E16,D4,1))</f>
        <v>95</v>
      </c>
      <c r="F20" s="159"/>
      <c r="G20" s="160"/>
      <c r="I20" s="160">
        <f t="array" ref="I20">INDEX(H5:H10,MATCH(I17,$A5:$A10,1),MATCH(I16,H4,1))</f>
        <v>121</v>
      </c>
      <c r="J20" s="205"/>
      <c r="K20" s="205"/>
      <c r="M20" s="21"/>
      <c r="N20" s="21"/>
      <c r="R20" s="1"/>
      <c r="S20" s="1"/>
      <c r="T20" s="1"/>
    </row>
    <row r="21" spans="1:25" ht="14.25" customHeight="1">
      <c r="B21" s="159"/>
      <c r="C21" s="160"/>
      <c r="D21" s="159" t="s">
        <v>143</v>
      </c>
      <c r="E21" s="160">
        <f t="array" ref="E21">INDEX(D5:D10,IF(MATCH(E17,$A5:$A10,1)&lt;E13,MATCH(E17,$A5:$A10,1)+1,MATCH(E17,$A5:$A10,1)),MATCH(E16,D4,1))</f>
        <v>95</v>
      </c>
      <c r="F21" s="159"/>
      <c r="G21" s="160"/>
      <c r="I21" s="160">
        <f t="array" ref="I21">INDEX(H5:H10,IF(MATCH(I17,$A5:$A10,1)&lt;I13,MATCH(I17,$A5:$A10,1)+1,MATCH(I17,$A5:$A10,1)),MATCH(I16,H4,1))</f>
        <v>121</v>
      </c>
      <c r="J21" s="205"/>
      <c r="K21" s="205"/>
      <c r="M21" s="21"/>
      <c r="N21" s="21"/>
      <c r="R21" s="1"/>
      <c r="S21" s="1"/>
      <c r="T21" s="1"/>
    </row>
    <row r="22" spans="1:25" ht="14.25" customHeight="1">
      <c r="B22" s="159"/>
      <c r="C22" s="160"/>
      <c r="D22" s="159" t="s">
        <v>144</v>
      </c>
      <c r="E22" s="160">
        <f>IFERROR(E20+(E17-E18)*(E21-E20)/(E19-E18),E20)</f>
        <v>95</v>
      </c>
      <c r="F22" s="159"/>
      <c r="G22" s="160"/>
      <c r="I22" s="160">
        <f>IFERROR(I20+(I17-I18)*(I21-I20)/(I19-I18),I20)</f>
        <v>121</v>
      </c>
      <c r="J22" s="205"/>
      <c r="K22" s="205"/>
      <c r="M22" s="21"/>
      <c r="N22" s="21"/>
      <c r="R22" s="1"/>
      <c r="S22" s="1"/>
      <c r="T22" s="1"/>
    </row>
    <row r="23" spans="1:25" ht="14.25" customHeight="1">
      <c r="C23" s="21"/>
      <c r="G23" s="21"/>
      <c r="I23" s="18"/>
      <c r="J23" s="205"/>
      <c r="K23" s="205"/>
      <c r="M23" s="1"/>
      <c r="N23" s="1"/>
      <c r="O23" s="1"/>
      <c r="P23" s="1"/>
      <c r="Q23" s="1"/>
      <c r="R23" s="1"/>
      <c r="S23" s="1"/>
      <c r="T23" s="1"/>
    </row>
    <row r="24" spans="1:25" ht="14.25" customHeight="1">
      <c r="L24" s="150"/>
      <c r="M24" s="150"/>
      <c r="N24" s="150"/>
      <c r="O24" s="150"/>
      <c r="P24" s="150"/>
      <c r="Q24" s="150"/>
      <c r="R24" s="150"/>
      <c r="S24" s="1"/>
      <c r="T24" s="1"/>
    </row>
    <row r="25" spans="1:25" ht="14.25" customHeight="1">
      <c r="A25" s="206" t="s">
        <v>160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8"/>
      <c r="M25" s="208"/>
      <c r="N25" s="208"/>
      <c r="O25" s="208"/>
      <c r="P25" s="208"/>
      <c r="Q25" s="208"/>
      <c r="R25" s="208"/>
      <c r="S25" s="208"/>
      <c r="T25" s="208"/>
      <c r="U25" s="207"/>
      <c r="V25" s="207"/>
      <c r="W25" s="207"/>
      <c r="X25" s="207"/>
      <c r="Y25" s="207"/>
    </row>
    <row r="26" spans="1:25" ht="14.25" customHeight="1">
      <c r="S26" s="1"/>
      <c r="T26" s="1"/>
    </row>
    <row r="27" spans="1:25" ht="42" customHeight="1">
      <c r="A27" s="23"/>
      <c r="B27" s="152" t="s">
        <v>161</v>
      </c>
      <c r="C27" s="209" t="s">
        <v>162</v>
      </c>
      <c r="D27" s="152" t="s">
        <v>163</v>
      </c>
      <c r="E27" s="23" t="s">
        <v>164</v>
      </c>
      <c r="F27" s="23"/>
      <c r="P27" s="152"/>
      <c r="Q27" s="152"/>
      <c r="R27" s="23"/>
      <c r="S27" s="23"/>
      <c r="T27" s="23"/>
      <c r="U27" s="23"/>
    </row>
    <row r="28" spans="1:25" ht="42" customHeight="1">
      <c r="A28" s="23" t="s">
        <v>165</v>
      </c>
      <c r="B28" s="166">
        <f>'Takeoff distance (2)'!C75/3.28</f>
        <v>487.80487804878049</v>
      </c>
      <c r="C28" s="209">
        <v>0</v>
      </c>
      <c r="D28" s="166">
        <f>IF('Take-off'!$C$17&gt;0, ((+'Take-off'!$C$17*5)%*SUM(B28:C28)),0 )</f>
        <v>0</v>
      </c>
      <c r="E28" s="166">
        <f>SUM(B28:D28)</f>
        <v>487.80487804878049</v>
      </c>
      <c r="F28" s="23"/>
      <c r="P28" s="152"/>
      <c r="Q28" s="152"/>
      <c r="R28" s="23"/>
      <c r="S28" s="23"/>
      <c r="T28" s="23"/>
      <c r="U28" s="23"/>
    </row>
    <row r="29" spans="1:25" ht="14.25" customHeight="1">
      <c r="A29" s="168" t="s">
        <v>54</v>
      </c>
      <c r="B29" s="166">
        <f>'Takeoff distance (2)'!C94/3.28</f>
        <v>838.41463414634154</v>
      </c>
      <c r="C29" s="210">
        <v>0</v>
      </c>
      <c r="D29" s="166">
        <f>IF('Take-off'!$C$17&gt;0, ((+'Take-off'!$C$17*5)%*SUM(B29:C29)),0 )</f>
        <v>0</v>
      </c>
      <c r="E29" s="166">
        <f>SUM(B29:D29)*115%</f>
        <v>964.17682926829275</v>
      </c>
      <c r="P29" s="1"/>
      <c r="Q29" s="1"/>
    </row>
    <row r="30" spans="1:25" ht="14.25" customHeight="1">
      <c r="A30" s="168" t="s">
        <v>166</v>
      </c>
      <c r="B30" s="21">
        <f>'Accelerate and GO (2)'!C75/3.28</f>
        <v>1707.3170731707319</v>
      </c>
      <c r="C30" s="210">
        <v>0</v>
      </c>
      <c r="D30" s="166">
        <f>IF('Take-off'!$C$17&gt;0, ((+'Take-off'!$C$17*5)%*SUM(B30:C30)),0 )</f>
        <v>0</v>
      </c>
      <c r="E30" s="166">
        <f>SUM(B30:D30)</f>
        <v>1707.3170731707319</v>
      </c>
    </row>
    <row r="31" spans="1:25" ht="14.25" customHeight="1">
      <c r="A31" s="168" t="s">
        <v>167</v>
      </c>
      <c r="B31" s="21">
        <f>B30</f>
        <v>1707.3170731707319</v>
      </c>
      <c r="C31" s="210">
        <v>0</v>
      </c>
      <c r="D31" s="166">
        <f>IF('Take-off'!$C$17&gt;0, ((+'Take-off'!$C$17*5)%*SUM(B31:C31)),0 )</f>
        <v>0</v>
      </c>
      <c r="E31" s="166">
        <f>SUM(B31:D31)</f>
        <v>1707.3170731707319</v>
      </c>
    </row>
    <row r="32" spans="1:25" ht="14.25" customHeight="1">
      <c r="A32" s="168" t="s">
        <v>168</v>
      </c>
      <c r="B32" s="210">
        <f>'Accelerate and stop2'!C75/3.28</f>
        <v>899.39024390243912</v>
      </c>
      <c r="C32" s="210">
        <v>0</v>
      </c>
      <c r="D32" s="166">
        <f>IF('Take-off'!$C$17&gt;0, ((+'Take-off'!$C$17*5)%*SUM(B32:C32)),0 )</f>
        <v>0</v>
      </c>
      <c r="E32" s="166">
        <f>SUM(B32:D32)</f>
        <v>899.39024390243912</v>
      </c>
    </row>
    <row r="33" spans="1:20" ht="14.25" customHeight="1">
      <c r="A33" s="168"/>
      <c r="B33" s="163" t="s">
        <v>146</v>
      </c>
      <c r="C33" s="163" t="s">
        <v>147</v>
      </c>
      <c r="D33" s="163" t="s">
        <v>148</v>
      </c>
      <c r="F33" s="168"/>
      <c r="T33" s="1"/>
    </row>
    <row r="34" spans="1:20" ht="14.25" customHeight="1">
      <c r="A34" s="168"/>
      <c r="B34" s="164">
        <f>IF(ABS('Take-off'!C18-'Take-off'!C6)&gt;270,360-ABS('Take-off'!C18-'Take-off'!C6),'Take-off'!C18-'Take-off'!C6)</f>
        <v>0</v>
      </c>
      <c r="C34" s="165">
        <f>IF(ABS(B34)&gt;90,ABS(COS(B34*PI()/180))*(-1),ABS(COS(B34*PI()/180)))</f>
        <v>1</v>
      </c>
      <c r="D34" s="164">
        <f>IF( ISBLANK('Take-off'!C6), 'Take-off'!C7*-1,    'Take-off'!C7*C34)</f>
        <v>0</v>
      </c>
      <c r="G34" s="211"/>
      <c r="H34" s="21"/>
      <c r="T34" s="1"/>
    </row>
    <row r="35" spans="1:20" ht="14.25" customHeight="1">
      <c r="A35" s="168" t="s">
        <v>169</v>
      </c>
      <c r="B35" s="52" t="s">
        <v>150</v>
      </c>
      <c r="C35" s="1" t="s">
        <v>151</v>
      </c>
      <c r="D35" s="1"/>
      <c r="G35" s="211"/>
      <c r="H35" s="21"/>
      <c r="T35" s="1"/>
    </row>
    <row r="36" spans="1:20" ht="14.25" customHeight="1">
      <c r="A36" s="168"/>
      <c r="C36" s="40"/>
      <c r="D36" s="40"/>
      <c r="T36" s="1"/>
    </row>
    <row r="37" spans="1:20" ht="14.25" customHeight="1">
      <c r="A37" s="168"/>
      <c r="B37" s="52"/>
      <c r="C37" s="167"/>
      <c r="D37" s="52"/>
      <c r="T37" s="1"/>
    </row>
    <row r="38" spans="1:20" ht="14.25" customHeight="1">
      <c r="A38" s="168"/>
      <c r="B38" s="52"/>
      <c r="C38" s="52"/>
      <c r="D38" s="52"/>
      <c r="T38" s="1"/>
    </row>
    <row r="39" spans="1:20" ht="14.25" customHeight="1">
      <c r="A39" s="168"/>
      <c r="B39" s="52" t="s">
        <v>149</v>
      </c>
      <c r="C39" s="167">
        <f>IF(ABS(B34)&gt;90,ABS(SIN(B34*PI()/180))*(-1),ABS(SIN(B34*PI()/180)))</f>
        <v>0</v>
      </c>
      <c r="D39" s="52"/>
      <c r="T39" s="1"/>
    </row>
    <row r="40" spans="1:20" ht="14.25" customHeight="1">
      <c r="K40" s="1"/>
      <c r="L40" s="1"/>
      <c r="P40" s="1"/>
      <c r="Q40" s="1"/>
      <c r="R40" s="212"/>
      <c r="S40" s="1"/>
      <c r="T40" s="1"/>
    </row>
    <row r="41" spans="1:20" ht="14.25" customHeight="1">
      <c r="K41" s="1"/>
      <c r="L41" s="1"/>
      <c r="M41" s="159"/>
      <c r="N41" s="160"/>
      <c r="P41" s="1"/>
      <c r="Q41" s="1"/>
      <c r="R41" s="1"/>
      <c r="S41" s="1"/>
      <c r="T41" s="1"/>
    </row>
    <row r="42" spans="1:20" ht="14.25" customHeight="1"/>
    <row r="43" spans="1:20" ht="14.25" customHeight="1">
      <c r="C43" s="21"/>
      <c r="K43" s="1"/>
      <c r="L43" s="1"/>
      <c r="M43" s="18"/>
      <c r="N43" s="161"/>
      <c r="P43" s="213"/>
      <c r="R43" s="8"/>
      <c r="S43" s="1"/>
      <c r="T43" s="1"/>
    </row>
    <row r="44" spans="1:20" ht="14.25" customHeight="1">
      <c r="A44" s="173"/>
      <c r="B44" s="174"/>
      <c r="C44" s="174"/>
      <c r="D44" s="174"/>
      <c r="E44" s="174"/>
      <c r="F44" s="174"/>
      <c r="G44" s="174"/>
      <c r="H44" s="174"/>
      <c r="I44" s="1"/>
      <c r="J44" s="1"/>
      <c r="K44" s="1"/>
      <c r="L44" s="1"/>
      <c r="M44" s="1"/>
      <c r="N44" s="1"/>
      <c r="O44" s="1"/>
      <c r="P44" s="8"/>
      <c r="Q44" s="214"/>
      <c r="R44" s="8"/>
    </row>
    <row r="45" spans="1:20" ht="14.25" customHeight="1">
      <c r="I45" s="1"/>
      <c r="J45" s="1"/>
      <c r="K45" s="1"/>
      <c r="L45" s="159"/>
      <c r="M45" s="160"/>
      <c r="N45" s="73"/>
      <c r="P45" s="175"/>
      <c r="Q45" s="215"/>
      <c r="R45" s="21"/>
    </row>
    <row r="46" spans="1:20" ht="14.25" customHeight="1">
      <c r="A46" s="213"/>
      <c r="B46" s="49"/>
      <c r="C46" s="138"/>
      <c r="D46" s="138"/>
      <c r="E46" s="138"/>
      <c r="F46" s="138"/>
      <c r="G46" s="138"/>
      <c r="H46" s="138"/>
      <c r="I46" s="138"/>
      <c r="J46" s="138"/>
      <c r="K46" s="1"/>
      <c r="L46" s="18"/>
      <c r="M46" s="161"/>
      <c r="N46" s="18"/>
      <c r="O46" s="49"/>
      <c r="P46" s="175"/>
      <c r="Q46" s="215"/>
      <c r="R46" s="21"/>
    </row>
    <row r="47" spans="1:20" ht="14.25" customHeight="1">
      <c r="A47" s="8"/>
      <c r="B47" s="214"/>
      <c r="C47" s="214"/>
      <c r="D47" s="214"/>
      <c r="E47" s="214"/>
      <c r="F47" s="214"/>
      <c r="G47" s="214"/>
      <c r="H47" s="214"/>
      <c r="I47" s="214"/>
      <c r="J47" s="214"/>
      <c r="K47" s="1"/>
      <c r="L47" s="18"/>
      <c r="M47" s="161"/>
      <c r="N47" s="18"/>
      <c r="O47" s="49"/>
      <c r="P47" s="175"/>
      <c r="Q47" s="215"/>
      <c r="R47" s="21"/>
    </row>
    <row r="48" spans="1:20" ht="14.25" customHeight="1">
      <c r="A48" s="175"/>
      <c r="B48" s="138"/>
      <c r="C48" s="138"/>
      <c r="D48" s="138"/>
      <c r="E48" s="138"/>
      <c r="F48" s="138"/>
      <c r="G48" s="138"/>
      <c r="H48" s="138"/>
      <c r="I48" s="138"/>
      <c r="J48" s="138"/>
      <c r="K48" s="1"/>
      <c r="L48" s="159"/>
      <c r="M48" s="160"/>
      <c r="N48" s="1"/>
      <c r="O48" s="1"/>
      <c r="P48" s="175"/>
      <c r="Q48" s="215"/>
      <c r="R48" s="21"/>
      <c r="S48" s="21"/>
    </row>
    <row r="49" spans="1:18" ht="14.25" customHeight="1">
      <c r="A49" s="175"/>
      <c r="B49" s="138"/>
      <c r="C49" s="138"/>
      <c r="D49" s="138"/>
      <c r="E49" s="138"/>
      <c r="F49" s="138"/>
      <c r="G49" s="138"/>
      <c r="H49" s="138"/>
      <c r="I49" s="138"/>
      <c r="J49" s="138"/>
      <c r="K49" s="1"/>
      <c r="L49" s="18"/>
      <c r="M49" s="161"/>
      <c r="N49" s="1"/>
      <c r="O49" s="40"/>
      <c r="P49" s="175"/>
      <c r="Q49" s="215"/>
      <c r="R49" s="21"/>
    </row>
    <row r="50" spans="1:18" ht="14.25" customHeight="1">
      <c r="A50" s="175"/>
      <c r="B50" s="138"/>
      <c r="C50" s="138"/>
      <c r="D50" s="138"/>
      <c r="E50" s="138"/>
      <c r="F50" s="138"/>
      <c r="G50" s="138"/>
      <c r="H50" s="138"/>
      <c r="I50" s="138"/>
      <c r="J50" s="138"/>
      <c r="K50" s="1"/>
      <c r="L50" s="18"/>
      <c r="M50" s="161"/>
      <c r="N50" s="1"/>
      <c r="O50" s="40"/>
      <c r="P50" s="175"/>
      <c r="Q50" s="215"/>
      <c r="R50" s="21"/>
    </row>
    <row r="51" spans="1:18" ht="14.25" customHeight="1">
      <c r="A51" s="175"/>
      <c r="B51" s="138"/>
      <c r="C51" s="138"/>
      <c r="D51" s="138"/>
      <c r="E51" s="138"/>
      <c r="F51" s="138"/>
      <c r="G51" s="138"/>
      <c r="H51" s="138"/>
      <c r="I51" s="138"/>
      <c r="J51" s="138"/>
      <c r="K51" s="1"/>
      <c r="L51" s="159"/>
      <c r="M51" s="160"/>
      <c r="N51" s="1"/>
      <c r="O51" s="40"/>
      <c r="P51" s="175"/>
      <c r="Q51" s="215"/>
      <c r="R51" s="21"/>
    </row>
    <row r="52" spans="1:18" ht="14.25" customHeight="1">
      <c r="A52" s="175"/>
      <c r="B52" s="138"/>
      <c r="C52" s="138"/>
      <c r="D52" s="138"/>
      <c r="E52" s="138"/>
      <c r="F52" s="138"/>
      <c r="G52" s="138"/>
      <c r="H52" s="138"/>
      <c r="I52" s="138"/>
      <c r="J52" s="138"/>
      <c r="K52" s="1"/>
      <c r="L52" s="159"/>
      <c r="M52" s="160"/>
      <c r="O52" s="40"/>
      <c r="P52" s="175"/>
      <c r="Q52" s="215"/>
      <c r="R52" s="21"/>
    </row>
    <row r="53" spans="1:18" ht="14.25" customHeight="1">
      <c r="A53" s="175"/>
      <c r="B53" s="138"/>
      <c r="C53" s="138"/>
      <c r="D53" s="138"/>
      <c r="E53" s="138"/>
      <c r="F53" s="138"/>
      <c r="G53" s="138"/>
      <c r="H53" s="138"/>
      <c r="I53" s="138"/>
      <c r="J53" s="138"/>
      <c r="K53" s="1"/>
      <c r="L53" s="159"/>
      <c r="M53" s="160"/>
      <c r="O53" s="40"/>
      <c r="P53" s="175"/>
      <c r="Q53" s="215"/>
      <c r="R53" s="21"/>
    </row>
    <row r="54" spans="1:18" ht="14.25" customHeight="1">
      <c r="A54" s="175"/>
      <c r="B54" s="138"/>
      <c r="C54" s="138"/>
      <c r="D54" s="138"/>
      <c r="E54" s="138"/>
      <c r="F54" s="138"/>
      <c r="G54" s="138"/>
      <c r="H54" s="138"/>
      <c r="I54" s="138"/>
      <c r="J54" s="138"/>
      <c r="K54" s="1"/>
      <c r="L54" s="159"/>
      <c r="M54" s="160"/>
      <c r="P54" s="21"/>
      <c r="Q54" s="21"/>
      <c r="R54" s="21"/>
    </row>
    <row r="55" spans="1:18" ht="14.25" customHeight="1">
      <c r="A55" s="175"/>
      <c r="B55" s="138"/>
      <c r="C55" s="138"/>
      <c r="D55" s="138"/>
      <c r="E55" s="138"/>
      <c r="F55" s="138"/>
      <c r="G55" s="138"/>
      <c r="H55" s="138"/>
      <c r="I55" s="138"/>
      <c r="J55" s="138"/>
      <c r="K55" s="1"/>
      <c r="L55" s="18"/>
      <c r="M55" s="161"/>
      <c r="P55" s="73"/>
    </row>
    <row r="56" spans="1:18" ht="14.25" customHeight="1">
      <c r="A56" s="175"/>
      <c r="B56" s="138"/>
      <c r="C56" s="138"/>
      <c r="D56" s="138"/>
      <c r="E56" s="138"/>
      <c r="F56" s="138"/>
      <c r="G56" s="138"/>
      <c r="H56" s="138"/>
      <c r="I56" s="138"/>
      <c r="J56" s="138"/>
      <c r="K56" s="1"/>
      <c r="L56" s="18"/>
      <c r="M56" s="161"/>
      <c r="Q56" s="18"/>
      <c r="R56" s="18"/>
    </row>
    <row r="57" spans="1:18" ht="14.25" customHeight="1">
      <c r="A57" s="175"/>
      <c r="B57" s="138"/>
      <c r="C57" s="138"/>
      <c r="D57" s="138"/>
      <c r="E57" s="138"/>
      <c r="F57" s="138"/>
      <c r="G57" s="138"/>
      <c r="H57" s="138"/>
      <c r="I57" s="138"/>
      <c r="J57" s="138"/>
      <c r="K57" s="1"/>
      <c r="L57" s="159"/>
      <c r="M57" s="160"/>
      <c r="Q57" s="18"/>
      <c r="R57" s="18"/>
    </row>
    <row r="58" spans="1:18" ht="14.25" customHeight="1">
      <c r="I58" s="11"/>
      <c r="J58" s="11"/>
      <c r="K58" s="11"/>
      <c r="L58" s="11"/>
      <c r="M58" s="11"/>
      <c r="N58" s="11"/>
      <c r="O58" s="11"/>
    </row>
    <row r="59" spans="1:18" ht="14.25" customHeight="1">
      <c r="A59" s="216"/>
      <c r="B59" s="216"/>
      <c r="C59" s="216"/>
      <c r="D59" s="216"/>
      <c r="E59" s="216"/>
      <c r="F59" s="216"/>
      <c r="G59" s="216"/>
      <c r="H59" s="216"/>
      <c r="I59" s="11"/>
      <c r="J59" s="11"/>
      <c r="K59" s="11"/>
      <c r="L59" s="11"/>
      <c r="M59" s="11"/>
      <c r="N59" s="11"/>
      <c r="O59" s="11"/>
    </row>
    <row r="60" spans="1:18" ht="14.25" customHeight="1">
      <c r="I60" s="11"/>
      <c r="J60" s="11"/>
      <c r="K60" s="11"/>
      <c r="L60" s="14"/>
      <c r="M60" s="217"/>
      <c r="N60" s="14"/>
      <c r="P60" s="14"/>
      <c r="Q60" s="217"/>
      <c r="R60" s="21"/>
    </row>
    <row r="61" spans="1:18" ht="14.25" customHeight="1">
      <c r="A61" s="218"/>
      <c r="K61" s="11"/>
      <c r="M61" s="21"/>
      <c r="Q61" s="21"/>
      <c r="R61" s="21"/>
    </row>
    <row r="62" spans="1:18" ht="14.25" customHeight="1">
      <c r="A62" s="8"/>
      <c r="B62" s="219"/>
      <c r="C62" s="219"/>
      <c r="D62" s="219"/>
      <c r="E62" s="219"/>
      <c r="F62" s="219"/>
      <c r="G62" s="219"/>
      <c r="H62" s="219"/>
      <c r="I62" s="219"/>
      <c r="J62" s="219"/>
      <c r="K62" s="11"/>
      <c r="M62" s="21"/>
      <c r="Q62" s="21"/>
      <c r="R62" s="21"/>
    </row>
    <row r="63" spans="1:18" ht="14.25" customHeight="1">
      <c r="A63" s="217"/>
      <c r="K63" s="11"/>
      <c r="L63" s="14"/>
      <c r="M63" s="217"/>
      <c r="N63" s="11"/>
      <c r="O63" s="11"/>
      <c r="P63" s="14"/>
      <c r="Q63" s="217"/>
      <c r="R63" s="21"/>
    </row>
    <row r="64" spans="1:18" ht="14.25" customHeight="1">
      <c r="A64" s="217"/>
      <c r="K64" s="11"/>
      <c r="M64" s="21"/>
      <c r="N64" s="11"/>
      <c r="O64" s="70"/>
      <c r="P64" s="14"/>
      <c r="Q64" s="217"/>
      <c r="R64" s="21"/>
    </row>
    <row r="65" spans="1:17" ht="14.25" customHeight="1">
      <c r="A65" s="217"/>
      <c r="K65" s="11"/>
      <c r="M65" s="21"/>
      <c r="N65" s="11"/>
      <c r="O65" s="70"/>
      <c r="P65" s="14"/>
      <c r="Q65" s="217"/>
    </row>
    <row r="66" spans="1:17" ht="14.25" customHeight="1">
      <c r="A66" s="217"/>
      <c r="K66" s="11"/>
      <c r="L66" s="14"/>
      <c r="M66" s="217"/>
      <c r="N66" s="11"/>
      <c r="O66" s="70"/>
      <c r="P66" s="11"/>
      <c r="Q66" s="11"/>
    </row>
    <row r="67" spans="1:17" ht="14.25" customHeight="1">
      <c r="A67" s="217"/>
      <c r="K67" s="11"/>
      <c r="L67" s="14"/>
      <c r="M67" s="217"/>
      <c r="O67" s="70"/>
      <c r="P67" s="11"/>
      <c r="Q67" s="11"/>
    </row>
    <row r="68" spans="1:17" ht="14.25" customHeight="1">
      <c r="A68" s="217"/>
      <c r="K68" s="11"/>
      <c r="L68" s="14"/>
      <c r="M68" s="217"/>
      <c r="O68" s="70"/>
      <c r="P68" s="11"/>
      <c r="Q68" s="11"/>
    </row>
    <row r="69" spans="1:17" ht="14.25" customHeight="1">
      <c r="A69" s="217"/>
      <c r="K69" s="11"/>
      <c r="L69" s="14"/>
      <c r="M69" s="217"/>
      <c r="P69" s="11"/>
      <c r="Q69" s="11"/>
    </row>
    <row r="70" spans="1:17" ht="14.25" customHeight="1">
      <c r="A70" s="217"/>
      <c r="K70" s="11"/>
      <c r="M70" s="21"/>
      <c r="P70" s="11"/>
      <c r="Q70" s="11"/>
    </row>
    <row r="71" spans="1:17" ht="14.25" customHeight="1">
      <c r="A71" s="217"/>
      <c r="K71" s="11"/>
      <c r="M71" s="21"/>
      <c r="P71" s="11"/>
      <c r="Q71" s="11"/>
    </row>
    <row r="72" spans="1:17" ht="14.25" customHeight="1">
      <c r="A72" s="217"/>
      <c r="K72" s="11"/>
      <c r="L72" s="14"/>
      <c r="M72" s="217"/>
      <c r="P72" s="11"/>
      <c r="Q72" s="11"/>
    </row>
    <row r="73" spans="1:17" ht="14.25" customHeight="1">
      <c r="K73" s="11"/>
      <c r="L73" s="11"/>
      <c r="M73" s="11"/>
      <c r="N73" s="11"/>
      <c r="O73" s="11"/>
      <c r="P73" s="11"/>
      <c r="Q73" s="11"/>
    </row>
    <row r="74" spans="1:17" ht="14.25" customHeight="1">
      <c r="A74" s="216"/>
      <c r="B74" s="216"/>
      <c r="C74" s="216"/>
      <c r="D74" s="216"/>
      <c r="E74" s="216"/>
      <c r="F74" s="216"/>
      <c r="G74" s="216"/>
      <c r="H74" s="216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4.25" customHeight="1">
      <c r="I75" s="11"/>
      <c r="J75" s="11"/>
      <c r="K75" s="11"/>
      <c r="L75" s="14"/>
      <c r="M75" s="217"/>
      <c r="N75" s="14"/>
      <c r="P75" s="11"/>
      <c r="Q75" s="11"/>
    </row>
    <row r="76" spans="1:17" ht="14.25" customHeight="1">
      <c r="A76" s="218"/>
      <c r="K76" s="11"/>
      <c r="M76" s="21"/>
      <c r="P76" s="11"/>
      <c r="Q76" s="11"/>
    </row>
    <row r="77" spans="1:17" ht="14.25" customHeight="1">
      <c r="A77" s="8"/>
      <c r="B77" s="219"/>
      <c r="C77" s="219"/>
      <c r="D77" s="219"/>
      <c r="E77" s="219"/>
      <c r="F77" s="219"/>
      <c r="G77" s="219"/>
      <c r="H77" s="219"/>
      <c r="I77" s="219"/>
      <c r="J77" s="219"/>
      <c r="K77" s="11"/>
      <c r="M77" s="21"/>
      <c r="P77" s="11"/>
      <c r="Q77" s="11"/>
    </row>
    <row r="78" spans="1:17" ht="14.25" customHeight="1">
      <c r="A78" s="217"/>
      <c r="K78" s="11"/>
      <c r="L78" s="14"/>
      <c r="M78" s="217"/>
      <c r="N78" s="11"/>
      <c r="O78" s="11"/>
      <c r="P78" s="11"/>
      <c r="Q78" s="11"/>
    </row>
    <row r="79" spans="1:17" ht="14.25" customHeight="1">
      <c r="A79" s="217"/>
      <c r="K79" s="11"/>
      <c r="M79" s="21"/>
      <c r="N79" s="11"/>
      <c r="O79" s="70"/>
      <c r="P79" s="11"/>
      <c r="Q79" s="11"/>
    </row>
    <row r="80" spans="1:17" ht="14.25" customHeight="1">
      <c r="A80" s="217"/>
      <c r="K80" s="11"/>
      <c r="M80" s="21"/>
      <c r="N80" s="11"/>
      <c r="O80" s="70"/>
      <c r="P80" s="11"/>
      <c r="Q80" s="11"/>
    </row>
    <row r="81" spans="12:15" ht="14.25" customHeight="1">
      <c r="L81" s="14"/>
      <c r="M81" s="217"/>
      <c r="N81" s="11"/>
      <c r="O81" s="70"/>
    </row>
    <row r="82" spans="12:15" ht="14.25" customHeight="1">
      <c r="L82" s="14"/>
      <c r="M82" s="217"/>
      <c r="O82" s="70"/>
    </row>
    <row r="83" spans="12:15" ht="14.25" customHeight="1">
      <c r="L83" s="14"/>
      <c r="M83" s="217"/>
      <c r="O83" s="70"/>
    </row>
    <row r="84" spans="12:15" ht="14.25" customHeight="1">
      <c r="L84" s="14"/>
      <c r="M84" s="217"/>
    </row>
    <row r="85" spans="12:15" ht="14.25" customHeight="1">
      <c r="M85" s="21"/>
    </row>
    <row r="86" spans="12:15" ht="14.25" customHeight="1">
      <c r="M86" s="21"/>
    </row>
    <row r="87" spans="12:15" ht="14.25" customHeight="1">
      <c r="L87" s="14"/>
      <c r="M87" s="217"/>
    </row>
  </sheetData>
  <mergeCells count="6">
    <mergeCell ref="A1:E1"/>
    <mergeCell ref="A3:A4"/>
    <mergeCell ref="J3:K3"/>
    <mergeCell ref="B12:C12"/>
    <mergeCell ref="D12:E12"/>
    <mergeCell ref="H12:I12"/>
  </mergeCells>
  <pageMargins left="0.7" right="0.7" top="0.75" bottom="0.75" header="0.511811023622047" footer="0.511811023622047"/>
  <pageSetup paperSize="9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87"/>
  <sheetViews>
    <sheetView topLeftCell="A6" zoomScaleNormal="100" workbookViewId="0">
      <selection activeCell="C28" sqref="C28"/>
    </sheetView>
  </sheetViews>
  <sheetFormatPr defaultColWidth="14.44140625" defaultRowHeight="15" customHeight="1"/>
  <cols>
    <col min="1" max="1" width="23.44140625" customWidth="1"/>
    <col min="2" max="6" width="9.109375" customWidth="1"/>
    <col min="7" max="7" width="9" customWidth="1"/>
    <col min="8" max="10" width="9.109375" customWidth="1"/>
    <col min="11" max="11" width="10.44140625" customWidth="1"/>
    <col min="12" max="20" width="9.109375" customWidth="1"/>
    <col min="21" max="33" width="8.5546875" customWidth="1"/>
  </cols>
  <sheetData>
    <row r="1" spans="1:12" ht="14.25" customHeight="1">
      <c r="A1" s="303" t="s">
        <v>170</v>
      </c>
      <c r="B1" s="303"/>
      <c r="C1" s="303"/>
      <c r="D1" s="303"/>
      <c r="E1" s="303"/>
      <c r="F1" s="151"/>
      <c r="G1" s="1"/>
      <c r="J1" s="1"/>
      <c r="K1" s="1"/>
      <c r="L1" s="1"/>
    </row>
    <row r="2" spans="1:12" ht="14.25" customHeight="1">
      <c r="A2" t="s">
        <v>48</v>
      </c>
      <c r="G2" s="1"/>
      <c r="J2" s="1"/>
      <c r="K2" s="1"/>
      <c r="L2" s="1"/>
    </row>
    <row r="3" spans="1:12" ht="14.25" customHeight="1">
      <c r="A3" s="308" t="s">
        <v>171</v>
      </c>
      <c r="D3" s="310" t="s">
        <v>133</v>
      </c>
      <c r="E3" s="310"/>
      <c r="H3" s="310" t="s">
        <v>133</v>
      </c>
      <c r="I3" s="310"/>
      <c r="J3" s="310"/>
      <c r="K3" s="310"/>
      <c r="L3" s="1"/>
    </row>
    <row r="4" spans="1:12" ht="31.5" customHeight="1">
      <c r="A4" s="308"/>
      <c r="D4" s="180" t="s">
        <v>157</v>
      </c>
      <c r="E4" s="181"/>
      <c r="H4" s="183" t="s">
        <v>158</v>
      </c>
      <c r="I4" s="181"/>
      <c r="J4" s="183"/>
      <c r="K4" s="181"/>
    </row>
    <row r="5" spans="1:12" ht="14.25" customHeight="1">
      <c r="A5" s="220">
        <v>9000</v>
      </c>
      <c r="D5" s="185">
        <v>94</v>
      </c>
      <c r="E5" s="186"/>
      <c r="H5" s="188">
        <v>99</v>
      </c>
      <c r="I5" s="186"/>
      <c r="J5" s="189"/>
      <c r="K5" s="190"/>
    </row>
    <row r="6" spans="1:12" ht="14.25" customHeight="1">
      <c r="A6" s="184">
        <v>10000</v>
      </c>
      <c r="D6" s="191">
        <v>94</v>
      </c>
      <c r="E6" s="192"/>
      <c r="H6" s="191">
        <v>101</v>
      </c>
      <c r="I6" s="192"/>
      <c r="J6" s="194"/>
      <c r="K6" s="195"/>
    </row>
    <row r="7" spans="1:12" ht="14.25" customHeight="1">
      <c r="A7" s="184">
        <v>11000</v>
      </c>
      <c r="D7" s="191">
        <v>94</v>
      </c>
      <c r="E7" s="192"/>
      <c r="H7" s="196">
        <v>103</v>
      </c>
      <c r="I7" s="192"/>
      <c r="J7" s="194"/>
      <c r="K7" s="195"/>
    </row>
    <row r="8" spans="1:12" ht="14.25" customHeight="1">
      <c r="A8" s="197">
        <v>11500</v>
      </c>
      <c r="D8" s="191">
        <v>94</v>
      </c>
      <c r="E8" s="192"/>
      <c r="H8" s="191">
        <f>AVERAGE(H7,H9)</f>
        <v>104</v>
      </c>
      <c r="I8" s="192"/>
      <c r="J8" s="194"/>
      <c r="K8" s="195"/>
    </row>
    <row r="9" spans="1:12" ht="14.25" customHeight="1">
      <c r="A9" s="197">
        <v>12000</v>
      </c>
      <c r="D9" s="191">
        <v>94</v>
      </c>
      <c r="E9" s="192"/>
      <c r="H9" s="196">
        <v>105</v>
      </c>
      <c r="I9" s="192"/>
      <c r="J9" s="194"/>
      <c r="K9" s="195"/>
    </row>
    <row r="10" spans="1:12" ht="14.25" customHeight="1">
      <c r="A10" s="198">
        <v>12500</v>
      </c>
      <c r="D10" s="199">
        <v>94</v>
      </c>
      <c r="E10" s="200"/>
      <c r="H10" s="202">
        <v>106</v>
      </c>
      <c r="I10" s="200"/>
      <c r="J10" s="203"/>
      <c r="K10" s="204"/>
    </row>
    <row r="11" spans="1:12" ht="14.25" customHeight="1">
      <c r="A11" s="157"/>
      <c r="D11" s="40"/>
      <c r="I11" s="21"/>
      <c r="K11" s="21"/>
    </row>
    <row r="12" spans="1:12" ht="14.25" customHeight="1">
      <c r="A12" s="73"/>
      <c r="D12" s="276" t="s">
        <v>159</v>
      </c>
      <c r="E12" s="276"/>
      <c r="H12" s="276" t="s">
        <v>158</v>
      </c>
      <c r="I12" s="276"/>
      <c r="J12" s="73"/>
      <c r="K12" s="73"/>
    </row>
    <row r="13" spans="1:12" ht="14.25" customHeight="1">
      <c r="D13" s="18" t="s">
        <v>136</v>
      </c>
      <c r="E13" s="49">
        <f>MATCH(MAX($A5:$A10),$A5:$A10,0)</f>
        <v>6</v>
      </c>
      <c r="I13" s="49">
        <f>MATCH(MAX($A5:$A10),$A5:$A10,0)</f>
        <v>6</v>
      </c>
      <c r="J13" s="49"/>
      <c r="K13" s="49"/>
    </row>
    <row r="14" spans="1:12" ht="14.25" customHeight="1">
      <c r="D14" s="18" t="s">
        <v>137</v>
      </c>
      <c r="E14" s="49">
        <f>MATCH(MAX(D5),D5,0)</f>
        <v>1</v>
      </c>
      <c r="I14" s="49">
        <f>MATCH(MAX(H5),H5,0)</f>
        <v>1</v>
      </c>
      <c r="J14" s="49"/>
      <c r="K14" s="49"/>
    </row>
    <row r="15" spans="1:12" ht="14.25" customHeight="1">
      <c r="A15" s="1"/>
      <c r="D15" s="1"/>
      <c r="E15" s="1"/>
    </row>
    <row r="16" spans="1:12" ht="14.25" customHeight="1">
      <c r="D16" s="52" t="s">
        <v>138</v>
      </c>
      <c r="E16" s="54" t="str">
        <f>D4</f>
        <v>V1/R</v>
      </c>
      <c r="I16" s="54" t="str">
        <f>H4</f>
        <v>V2</v>
      </c>
      <c r="J16" s="54"/>
      <c r="K16" s="54"/>
    </row>
    <row r="17" spans="1:12" ht="14.25" customHeight="1">
      <c r="D17" s="159" t="s">
        <v>139</v>
      </c>
      <c r="E17" s="160">
        <f>'Take-off'!$C$14</f>
        <v>12500</v>
      </c>
      <c r="I17" s="160">
        <f>'Take-off'!$C$14</f>
        <v>12500</v>
      </c>
      <c r="J17" s="160"/>
      <c r="K17" s="160"/>
    </row>
    <row r="18" spans="1:12" ht="14.25" customHeight="1">
      <c r="D18" s="18" t="s">
        <v>140</v>
      </c>
      <c r="E18" s="161">
        <f t="array" ref="E18">INDEX($A5:$A10,MATCH(E17,$A5:$A10,1))</f>
        <v>12500</v>
      </c>
      <c r="I18" s="161">
        <f>INDEX($A5:$A10,MATCH(I17,$A5:$A10,1))</f>
        <v>12500</v>
      </c>
      <c r="J18" s="161"/>
      <c r="K18" s="161"/>
    </row>
    <row r="19" spans="1:12" ht="14.25" customHeight="1">
      <c r="D19" s="18" t="s">
        <v>141</v>
      </c>
      <c r="E19" s="161">
        <f t="array" ref="E19">INDEX($A5:$A10,IF(MATCH(E17,$A5:$A10,1)&lt;E13,MATCH(E17,$A5:$A10,1)+1,MATCH(E17,$A5:$A10,1)))</f>
        <v>12500</v>
      </c>
      <c r="I19" s="161">
        <f>INDEX($A5:$A10,IF(MATCH(I17,$A5:$A10,1)&lt;I13,MATCH(I17,$A5:$A10,1)+1,MATCH(I17,$A5:$A10,1)))</f>
        <v>12500</v>
      </c>
      <c r="J19" s="161"/>
      <c r="K19" s="161"/>
    </row>
    <row r="20" spans="1:12" ht="14.25" customHeight="1">
      <c r="D20" s="159" t="s">
        <v>142</v>
      </c>
      <c r="E20" s="160">
        <f t="array" ref="E20">INDEX(D5:D10,MATCH(E17,$A5:$A10,1),MATCH(E16,D4,1))</f>
        <v>94</v>
      </c>
      <c r="I20" s="160">
        <f t="array" ref="I20">INDEX(H5:H10,MATCH(I17,$A5:$A10,1),MATCH(I16,H4,1))</f>
        <v>106</v>
      </c>
      <c r="J20" s="205"/>
      <c r="K20" s="205"/>
    </row>
    <row r="21" spans="1:12" ht="14.25" customHeight="1">
      <c r="D21" s="159" t="s">
        <v>143</v>
      </c>
      <c r="E21" s="160">
        <f t="array" ref="E21">INDEX(D5:D10,IF(MATCH(E17,$A5:$A10,1)&lt;E13,MATCH(E17,$A5:$A10,1)+1,MATCH(E17,$A5:$A10,1)),MATCH(E16,D4,1))</f>
        <v>94</v>
      </c>
      <c r="I21" s="160">
        <f t="array" ref="I21">INDEX(H5:H10,IF(MATCH(I17,$A5:$A10,1)&lt;I13,MATCH(I17,$A5:$A10,1)+1,MATCH(I17,$A5:$A10,1)),MATCH(I16,H4,1))</f>
        <v>106</v>
      </c>
      <c r="J21" s="205"/>
      <c r="K21" s="205"/>
    </row>
    <row r="22" spans="1:12" ht="14.25" customHeight="1">
      <c r="D22" s="159" t="s">
        <v>144</v>
      </c>
      <c r="E22" s="160">
        <f>IFERROR(E20+(E17-E18)*(E21-E20)/(E19-E18),E20)</f>
        <v>94</v>
      </c>
      <c r="I22" s="160">
        <f>IFERROR(I20+(I17-I18)*(I21-I20)/(I19-I18),I20)</f>
        <v>106</v>
      </c>
      <c r="J22" s="205"/>
      <c r="K22" s="205"/>
    </row>
    <row r="23" spans="1:12" ht="14.25" customHeight="1">
      <c r="A23" t="s">
        <v>172</v>
      </c>
      <c r="C23" s="21"/>
      <c r="I23" s="18"/>
      <c r="J23" s="205"/>
      <c r="K23" s="205"/>
    </row>
    <row r="24" spans="1:12" ht="14.25" customHeight="1">
      <c r="L24" s="150"/>
    </row>
    <row r="25" spans="1:12" ht="14.25" customHeight="1">
      <c r="A25" s="207" t="s">
        <v>160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8"/>
    </row>
    <row r="26" spans="1:12" ht="14.25" customHeight="1"/>
    <row r="27" spans="1:12" ht="28.5" customHeight="1">
      <c r="B27" s="1" t="s">
        <v>161</v>
      </c>
      <c r="C27" t="s">
        <v>125</v>
      </c>
      <c r="D27" s="1" t="s">
        <v>163</v>
      </c>
      <c r="E27" t="s">
        <v>164</v>
      </c>
    </row>
    <row r="28" spans="1:12" ht="28.5" customHeight="1">
      <c r="A28" s="23" t="s">
        <v>165</v>
      </c>
      <c r="B28" s="166">
        <f>'Takeoff distance (2)'!AC75/3.28</f>
        <v>481.70731707317077</v>
      </c>
      <c r="C28">
        <v>0</v>
      </c>
      <c r="D28" s="166">
        <f>IF('Take-off'!$C$17&gt;0, ((+'Take-off'!$C$17*5)%*SUM(B28:C28)),0 )</f>
        <v>0</v>
      </c>
      <c r="E28" s="166">
        <f>SUM(B28:D28)</f>
        <v>481.70731707317077</v>
      </c>
    </row>
    <row r="29" spans="1:12" ht="14.25" customHeight="1">
      <c r="A29" s="168" t="s">
        <v>54</v>
      </c>
      <c r="B29" s="166">
        <f>'Takeoff distance (2)'!AC94/3.28</f>
        <v>689.78658536585374</v>
      </c>
      <c r="C29" s="210">
        <v>0</v>
      </c>
      <c r="D29" s="166">
        <f>IF('Take-off'!$C$17&gt;0, ((+'Take-off'!$C$17*5)%*SUM(B29:C29)),0 )</f>
        <v>0</v>
      </c>
      <c r="E29" s="166">
        <f>SUM(B29:D29)*115%</f>
        <v>793.25457317073176</v>
      </c>
    </row>
    <row r="30" spans="1:12" ht="14.25" customHeight="1">
      <c r="A30" s="168" t="s">
        <v>166</v>
      </c>
      <c r="B30" s="21">
        <f>'Accelerate and GO (2)'!AD75/3.28</f>
        <v>1280.4878048780488</v>
      </c>
      <c r="C30" s="210">
        <v>0</v>
      </c>
      <c r="D30" s="166">
        <f>IF('Take-off'!$C$17&gt;0, ((+'Take-off'!$C$17*5)%*SUM(B30:C30)),0 )</f>
        <v>0</v>
      </c>
      <c r="E30" s="166">
        <f>SUM(B30:D30)</f>
        <v>1280.4878048780488</v>
      </c>
    </row>
    <row r="31" spans="1:12" ht="14.25" customHeight="1">
      <c r="A31" s="168" t="s">
        <v>167</v>
      </c>
      <c r="B31" s="21">
        <f>B30</f>
        <v>1280.4878048780488</v>
      </c>
      <c r="C31" s="210">
        <v>0</v>
      </c>
      <c r="D31" s="166">
        <f>IF('Take-off'!$C$17&gt;0, ((+'Take-off'!$C$17*5)%*SUM(B31:C31)),0 )</f>
        <v>0</v>
      </c>
      <c r="E31" s="166">
        <f>SUM(B31:D31)</f>
        <v>1280.4878048780488</v>
      </c>
    </row>
    <row r="32" spans="1:12" ht="14.25" customHeight="1">
      <c r="A32" s="168" t="s">
        <v>173</v>
      </c>
      <c r="B32" s="210">
        <f>'Accelerate and stop2'!AC75/3.28</f>
        <v>914.63414634146352</v>
      </c>
      <c r="C32" s="210">
        <v>0</v>
      </c>
      <c r="D32" s="166">
        <f>IF('Take-off'!$C$17&gt;0, ((+'Take-off'!$C$17*5)%*SUM(B32:C32)),0 )</f>
        <v>0</v>
      </c>
      <c r="E32" s="166">
        <f>SUM(B32:D32)</f>
        <v>914.63414634146352</v>
      </c>
    </row>
    <row r="33" spans="1:18" ht="14.25" customHeight="1">
      <c r="A33" s="168"/>
      <c r="B33" s="163" t="s">
        <v>146</v>
      </c>
      <c r="C33" s="163" t="s">
        <v>147</v>
      </c>
      <c r="D33" s="163" t="s">
        <v>148</v>
      </c>
      <c r="F33" s="168"/>
      <c r="M33" s="1"/>
    </row>
    <row r="34" spans="1:18" ht="14.25" customHeight="1">
      <c r="A34" s="168"/>
      <c r="B34" s="164">
        <f>IF(ABS('Take-off'!C18-'Take-off'!C6)&gt;270,360-ABS('Take-off'!C18-'Take-off'!C6),'Take-off'!C18-'Take-off'!C6)</f>
        <v>0</v>
      </c>
      <c r="C34" s="165">
        <f>IF(ABS(B34)&gt;90,ABS(COS(B34*PI()/180))*(-1),ABS(COS(B34*PI()/180)))</f>
        <v>1</v>
      </c>
      <c r="D34" s="164">
        <f>IF( ISBLANK('Take-off'!C6), 'Take-off'!C7*-1,    'Take-off'!C7*C34)</f>
        <v>0</v>
      </c>
      <c r="G34" s="211"/>
      <c r="H34" s="21"/>
      <c r="M34" s="1"/>
    </row>
    <row r="35" spans="1:18" ht="14.25" customHeight="1">
      <c r="A35" s="168"/>
      <c r="B35" s="52"/>
      <c r="C35" s="1"/>
      <c r="D35" s="1"/>
      <c r="G35" s="211"/>
      <c r="H35" s="21"/>
      <c r="M35" s="1"/>
    </row>
    <row r="36" spans="1:18" ht="14.25" customHeight="1">
      <c r="A36" s="168"/>
      <c r="C36" s="40"/>
      <c r="D36" s="40"/>
      <c r="M36" s="1"/>
      <c r="R36" s="211"/>
    </row>
    <row r="37" spans="1:18" ht="14.25" customHeight="1">
      <c r="A37" s="168"/>
      <c r="B37" s="52"/>
      <c r="C37" s="167"/>
      <c r="D37" s="52"/>
      <c r="M37" s="1"/>
      <c r="R37" s="1"/>
    </row>
    <row r="38" spans="1:18" ht="14.25" customHeight="1">
      <c r="A38" s="168"/>
      <c r="B38" s="52"/>
      <c r="C38" s="52"/>
      <c r="D38" s="52"/>
      <c r="M38" s="1"/>
      <c r="P38" s="18"/>
      <c r="R38" s="1"/>
    </row>
    <row r="39" spans="1:18" ht="14.25" customHeight="1">
      <c r="A39" s="168"/>
      <c r="B39" s="52" t="s">
        <v>149</v>
      </c>
      <c r="C39" s="167">
        <f>IF(ABS(B34)&gt;90,ABS(SIN(B34*PI()/180))*(-1),ABS(SIN(B34*PI()/180)))</f>
        <v>0</v>
      </c>
      <c r="D39" s="52"/>
      <c r="M39" s="1"/>
      <c r="P39" s="18"/>
      <c r="Q39" s="212"/>
      <c r="R39" s="1"/>
    </row>
    <row r="40" spans="1:18" ht="14.25" customHeight="1">
      <c r="A40" s="207" t="s">
        <v>174</v>
      </c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8"/>
      <c r="M40" s="208"/>
      <c r="N40" s="208"/>
      <c r="O40" s="208"/>
      <c r="P40" s="208"/>
      <c r="Q40" s="208"/>
      <c r="R40" s="208"/>
    </row>
    <row r="41" spans="1:18" ht="14.25" customHeight="1">
      <c r="K41" s="1"/>
      <c r="L41" s="1"/>
      <c r="M41" s="159"/>
      <c r="N41" s="160"/>
      <c r="P41" s="1"/>
      <c r="Q41" s="1"/>
      <c r="R41" s="1"/>
    </row>
    <row r="42" spans="1:18" ht="14.25" customHeight="1"/>
    <row r="43" spans="1:18" ht="14.25" customHeight="1"/>
    <row r="44" spans="1:18" ht="14.25" customHeight="1"/>
    <row r="45" spans="1:18" ht="14.25" customHeight="1"/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</sheetData>
  <mergeCells count="7">
    <mergeCell ref="J3:K3"/>
    <mergeCell ref="D12:E12"/>
    <mergeCell ref="H12:I12"/>
    <mergeCell ref="A1:E1"/>
    <mergeCell ref="A3:A4"/>
    <mergeCell ref="D3:E3"/>
    <mergeCell ref="H3:I3"/>
  </mergeCells>
  <pageMargins left="0.7" right="0.7" top="0.75" bottom="0.75" header="0.511811023622047" footer="0.511811023622047"/>
  <pageSetup paperSize="9" orientation="landscape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I104"/>
  <sheetViews>
    <sheetView zoomScaleNormal="100" workbookViewId="0">
      <pane ySplit="6" topLeftCell="A7" activePane="bottomLeft" state="frozen"/>
      <selection pane="bottomLeft" activeCell="G20" sqref="G20"/>
    </sheetView>
  </sheetViews>
  <sheetFormatPr defaultColWidth="14.44140625" defaultRowHeight="15" customHeight="1"/>
  <cols>
    <col min="1" max="58" width="9.109375" customWidth="1"/>
  </cols>
  <sheetData>
    <row r="1" spans="1:55" ht="14.25" customHeight="1">
      <c r="A1" s="150"/>
      <c r="B1" s="18" t="s">
        <v>175</v>
      </c>
      <c r="C1" s="159" t="s">
        <v>138</v>
      </c>
      <c r="D1" s="221">
        <f>IF(Landing!$C$9="",Landing!$C$15,MAX(0,Landing!$C$15+30*(1013-Landing!$C$9)))</f>
        <v>0</v>
      </c>
      <c r="E1" s="222"/>
      <c r="F1" s="222" t="s">
        <v>176</v>
      </c>
      <c r="G1" s="150">
        <f>IF('Take-off'!$C$9="",'Take-off'!$C$16,MAX(0,'Take-off'!$C$16+30*(1013-'Take-off'!$C$9)))</f>
        <v>0</v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W1" s="150"/>
      <c r="AX1" s="150"/>
      <c r="AY1" s="150"/>
      <c r="AZ1" s="150"/>
      <c r="BA1" s="150"/>
      <c r="BB1" s="150"/>
      <c r="BC1" s="150"/>
    </row>
    <row r="2" spans="1:55" ht="14.25" customHeight="1">
      <c r="A2" s="150"/>
      <c r="B2" s="18" t="s">
        <v>177</v>
      </c>
      <c r="C2" s="159" t="s">
        <v>139</v>
      </c>
      <c r="D2" s="221">
        <f>Landing!C8</f>
        <v>0</v>
      </c>
      <c r="E2" s="223"/>
      <c r="F2" s="150"/>
      <c r="G2" s="150">
        <f>MAX(  IF('Take-off'!C13='Dropdown lists'!B30, 'Take-off'!$C$8+5, 'Take-off'!$C$8),0)</f>
        <v>0</v>
      </c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W2" s="150"/>
      <c r="AX2" s="150"/>
      <c r="AY2" s="150"/>
      <c r="AZ2" s="150"/>
      <c r="BA2" s="150"/>
      <c r="BB2" s="150"/>
      <c r="BC2" s="150"/>
    </row>
    <row r="3" spans="1:55" ht="14.25" customHeight="1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W3" s="150"/>
      <c r="AX3" s="150"/>
      <c r="AY3" s="150"/>
      <c r="AZ3" s="150"/>
      <c r="BA3" s="150"/>
      <c r="BB3" s="150"/>
      <c r="BC3" s="150"/>
    </row>
    <row r="4" spans="1:55" ht="14.25" customHeight="1">
      <c r="H4" s="150"/>
      <c r="P4" s="150"/>
    </row>
    <row r="5" spans="1:55" ht="14.25" customHeight="1">
      <c r="H5" s="150"/>
      <c r="I5" s="273" t="s">
        <v>129</v>
      </c>
      <c r="J5" s="273"/>
      <c r="K5" s="273"/>
      <c r="L5" s="273"/>
      <c r="M5" s="273"/>
      <c r="N5" s="273"/>
      <c r="O5" s="273"/>
      <c r="P5" s="224"/>
    </row>
    <row r="6" spans="1:55" ht="14.25" customHeight="1">
      <c r="A6" s="1"/>
      <c r="B6" s="1"/>
      <c r="C6" s="52" t="s">
        <v>178</v>
      </c>
      <c r="D6" s="54"/>
      <c r="E6" s="1"/>
      <c r="F6" s="1"/>
      <c r="G6" s="1"/>
      <c r="H6" s="1"/>
      <c r="I6" s="1"/>
      <c r="J6" s="1"/>
      <c r="K6" s="52"/>
      <c r="L6" s="54"/>
      <c r="M6" s="1"/>
      <c r="N6" s="1"/>
      <c r="O6" s="1"/>
      <c r="P6" s="1"/>
    </row>
    <row r="7" spans="1:55" ht="14.25" customHeight="1">
      <c r="B7" s="159"/>
      <c r="C7" s="160"/>
      <c r="G7" s="1"/>
      <c r="H7" s="1"/>
      <c r="I7" s="1"/>
      <c r="J7" s="159"/>
      <c r="K7" s="160"/>
      <c r="O7" s="1"/>
      <c r="P7" s="1"/>
      <c r="Q7" s="1"/>
      <c r="R7" s="159"/>
      <c r="S7" s="160"/>
      <c r="W7" s="1"/>
      <c r="X7" s="1"/>
      <c r="Y7" s="1"/>
      <c r="Z7" s="159"/>
      <c r="AA7" s="160"/>
      <c r="AE7" s="1"/>
      <c r="AF7" s="1"/>
      <c r="AG7" s="1"/>
      <c r="AH7" s="159"/>
      <c r="AI7" s="160"/>
      <c r="AM7" s="1"/>
      <c r="AN7" s="1"/>
      <c r="AO7" s="1"/>
      <c r="AP7" s="159"/>
      <c r="AQ7" s="160"/>
      <c r="AU7" s="1"/>
      <c r="AV7" s="1"/>
      <c r="AW7" s="1"/>
      <c r="AX7" s="159"/>
      <c r="AY7" s="160"/>
    </row>
    <row r="8" spans="1:55" ht="14.25" customHeight="1">
      <c r="A8" s="274" t="s">
        <v>179</v>
      </c>
      <c r="B8" s="274"/>
      <c r="C8" s="274"/>
      <c r="D8" s="274"/>
      <c r="E8" s="274"/>
      <c r="F8" s="274"/>
      <c r="G8" s="1"/>
      <c r="H8" s="1"/>
      <c r="I8" s="1"/>
      <c r="J8" s="159"/>
      <c r="K8" s="160"/>
      <c r="O8" s="1"/>
      <c r="P8" s="1"/>
      <c r="Q8" s="1"/>
      <c r="R8" s="159"/>
      <c r="S8" s="160"/>
      <c r="W8" s="1"/>
      <c r="X8" s="1"/>
      <c r="Y8" s="1"/>
      <c r="Z8" s="159"/>
      <c r="AA8" s="160"/>
      <c r="AE8" s="1"/>
      <c r="AF8" s="1"/>
      <c r="AG8" s="1"/>
      <c r="AH8" s="159"/>
      <c r="AI8" s="160"/>
      <c r="AM8" s="1"/>
      <c r="AN8" s="1"/>
      <c r="AO8" s="1"/>
      <c r="AP8" s="159"/>
      <c r="AQ8" s="160"/>
      <c r="AU8" s="1"/>
      <c r="AV8" s="1"/>
      <c r="AW8" s="1"/>
      <c r="AX8" s="159"/>
      <c r="AY8" s="160"/>
    </row>
    <row r="9" spans="1:55" ht="14.25" customHeight="1">
      <c r="B9" s="159"/>
      <c r="C9" s="160"/>
      <c r="G9" s="1"/>
      <c r="H9" s="1"/>
      <c r="I9" s="1"/>
      <c r="J9" s="159"/>
      <c r="K9" s="160"/>
      <c r="O9" s="1"/>
      <c r="P9" s="1"/>
      <c r="Q9" s="1"/>
      <c r="R9" s="159"/>
      <c r="S9" s="160"/>
      <c r="W9" s="1"/>
      <c r="X9" s="1"/>
      <c r="Y9" s="1"/>
      <c r="Z9" s="159"/>
      <c r="AA9" s="160"/>
      <c r="AE9" s="1"/>
      <c r="AF9" s="1"/>
      <c r="AG9" s="1"/>
      <c r="AH9" s="159"/>
      <c r="AI9" s="160"/>
      <c r="AM9" s="1"/>
      <c r="AN9" s="1"/>
      <c r="AO9" s="1"/>
      <c r="AP9" s="159"/>
      <c r="AQ9" s="160"/>
      <c r="AU9" s="1"/>
      <c r="AV9" s="1"/>
      <c r="AW9" s="1"/>
      <c r="AX9" s="159"/>
      <c r="AY9" s="160"/>
    </row>
    <row r="10" spans="1:55" ht="14.25" customHeight="1">
      <c r="B10" s="275" t="s">
        <v>180</v>
      </c>
      <c r="C10" s="275"/>
      <c r="D10" s="275"/>
      <c r="E10" s="275"/>
      <c r="F10" s="275"/>
      <c r="G10" s="14"/>
      <c r="H10" s="14"/>
      <c r="I10" s="14"/>
      <c r="J10" s="14"/>
      <c r="K10" s="14"/>
      <c r="L10" s="14"/>
      <c r="M10" s="14"/>
      <c r="O10" s="1"/>
      <c r="P10" s="1"/>
      <c r="Q10" s="1"/>
      <c r="R10" s="159"/>
      <c r="S10" s="160"/>
      <c r="W10" s="1"/>
      <c r="X10" s="1"/>
      <c r="Y10" s="1"/>
      <c r="Z10" s="159"/>
      <c r="AA10" s="160"/>
      <c r="AE10" s="1"/>
      <c r="AF10" s="1"/>
      <c r="AG10" s="1"/>
      <c r="AH10" s="159"/>
      <c r="AI10" s="160"/>
      <c r="AM10" s="1"/>
      <c r="AN10" s="1"/>
      <c r="AO10" s="1"/>
      <c r="AP10" s="159"/>
      <c r="AQ10" s="160"/>
      <c r="AU10" s="1"/>
      <c r="AV10" s="1"/>
      <c r="AW10" s="1"/>
      <c r="AX10" s="159"/>
      <c r="AY10" s="160"/>
    </row>
    <row r="11" spans="1:55" ht="14.25" customHeight="1">
      <c r="B11" s="225">
        <v>-500</v>
      </c>
      <c r="C11" s="237">
        <v>0</v>
      </c>
      <c r="D11" s="226">
        <v>1000</v>
      </c>
      <c r="E11" s="47">
        <v>2000</v>
      </c>
      <c r="F11" s="47">
        <v>3000</v>
      </c>
      <c r="G11" s="227">
        <v>3500</v>
      </c>
      <c r="H11" s="159"/>
      <c r="I11" s="160"/>
      <c r="K11" s="159"/>
      <c r="L11" s="160"/>
      <c r="P11" s="1"/>
      <c r="Q11" s="1"/>
      <c r="R11" s="1"/>
      <c r="U11" s="1"/>
      <c r="V11" s="1"/>
      <c r="W11" s="1"/>
      <c r="X11" s="159"/>
      <c r="Y11" s="160"/>
      <c r="AC11" s="1"/>
      <c r="AD11" s="1"/>
      <c r="AE11" s="1"/>
      <c r="AF11" s="159"/>
      <c r="AG11" s="160"/>
      <c r="AK11" s="1"/>
      <c r="AL11" s="1"/>
      <c r="AM11" s="1"/>
      <c r="AN11" s="159"/>
      <c r="AO11" s="160"/>
      <c r="AS11" s="1"/>
      <c r="AT11" s="1"/>
      <c r="AU11" s="1"/>
      <c r="AV11" s="159"/>
      <c r="AW11" s="160"/>
    </row>
    <row r="12" spans="1:55" ht="14.25" customHeight="1" thickBot="1">
      <c r="A12">
        <v>-40</v>
      </c>
      <c r="B12" s="228">
        <v>1000</v>
      </c>
      <c r="C12" s="229">
        <v>1000</v>
      </c>
      <c r="D12" s="229">
        <v>1030</v>
      </c>
      <c r="E12" s="229">
        <v>1050</v>
      </c>
      <c r="F12" s="229">
        <v>1100</v>
      </c>
      <c r="G12" s="227">
        <v>99999</v>
      </c>
      <c r="H12" s="159"/>
      <c r="I12" s="160"/>
      <c r="K12" s="159"/>
      <c r="L12" s="160"/>
      <c r="P12" s="1"/>
      <c r="Q12" s="1"/>
      <c r="R12" s="1"/>
      <c r="U12" s="1"/>
      <c r="V12" s="1"/>
      <c r="W12" s="1"/>
      <c r="X12" s="159"/>
      <c r="Y12" s="160"/>
      <c r="AC12" s="1"/>
      <c r="AD12" s="1"/>
      <c r="AE12" s="1"/>
      <c r="AF12" s="159"/>
      <c r="AG12" s="160"/>
      <c r="AK12" s="1"/>
      <c r="AL12" s="1"/>
      <c r="AM12" s="1"/>
      <c r="AN12" s="159"/>
      <c r="AO12" s="160"/>
      <c r="AS12" s="1"/>
      <c r="AT12" s="1"/>
      <c r="AU12" s="1"/>
      <c r="AV12" s="159"/>
      <c r="AW12" s="160"/>
    </row>
    <row r="13" spans="1:55" ht="14.25" customHeight="1" thickBot="1">
      <c r="A13">
        <v>-30</v>
      </c>
      <c r="B13" s="230">
        <v>1000</v>
      </c>
      <c r="C13" s="30">
        <v>1000</v>
      </c>
      <c r="D13" s="30">
        <v>1030</v>
      </c>
      <c r="E13" s="30">
        <v>1050</v>
      </c>
      <c r="F13" s="30">
        <v>1100</v>
      </c>
      <c r="G13" s="227">
        <v>99999</v>
      </c>
      <c r="H13" s="159"/>
      <c r="I13" s="160"/>
      <c r="K13" s="159"/>
      <c r="L13" s="160"/>
      <c r="P13" s="1"/>
      <c r="Q13" s="1"/>
      <c r="R13" s="1"/>
      <c r="U13" s="1"/>
      <c r="V13" s="1"/>
      <c r="W13" s="1"/>
      <c r="X13" s="159"/>
      <c r="Y13" s="160"/>
      <c r="AC13" s="1"/>
      <c r="AD13" s="1"/>
      <c r="AE13" s="1"/>
      <c r="AF13" s="159"/>
      <c r="AG13" s="160"/>
      <c r="AK13" s="1"/>
      <c r="AL13" s="1"/>
      <c r="AM13" s="1"/>
      <c r="AN13" s="159"/>
      <c r="AO13" s="160"/>
      <c r="AS13" s="1"/>
      <c r="AT13" s="1"/>
      <c r="AU13" s="1"/>
      <c r="AV13" s="159"/>
      <c r="AW13" s="160"/>
    </row>
    <row r="14" spans="1:55" ht="14.25" customHeight="1">
      <c r="A14">
        <v>-20</v>
      </c>
      <c r="B14" s="230">
        <v>1000</v>
      </c>
      <c r="C14" s="30">
        <v>1000</v>
      </c>
      <c r="D14" s="231">
        <v>1030</v>
      </c>
      <c r="E14" s="30">
        <v>1050</v>
      </c>
      <c r="F14" s="30">
        <v>1100</v>
      </c>
      <c r="G14" s="227">
        <v>99999</v>
      </c>
      <c r="H14" s="159"/>
      <c r="I14" s="160"/>
      <c r="K14" s="159"/>
      <c r="L14" s="160"/>
      <c r="P14" s="1"/>
      <c r="Q14" s="1"/>
      <c r="R14" s="1"/>
      <c r="U14" s="1"/>
      <c r="V14" s="1"/>
      <c r="W14" s="1"/>
      <c r="X14" s="159"/>
      <c r="Y14" s="160"/>
      <c r="AC14" s="1"/>
      <c r="AD14" s="1"/>
      <c r="AE14" s="1"/>
      <c r="AF14" s="159"/>
      <c r="AG14" s="160"/>
      <c r="AK14" s="1"/>
      <c r="AL14" s="1"/>
      <c r="AM14" s="1"/>
      <c r="AN14" s="159"/>
      <c r="AO14" s="160"/>
      <c r="AS14" s="1"/>
      <c r="AT14" s="1"/>
      <c r="AU14" s="1"/>
      <c r="AV14" s="159"/>
      <c r="AW14" s="160"/>
    </row>
    <row r="15" spans="1:55" ht="14.25" customHeight="1">
      <c r="A15">
        <v>-10</v>
      </c>
      <c r="B15" s="230">
        <v>1025</v>
      </c>
      <c r="C15" s="30">
        <v>1025</v>
      </c>
      <c r="D15" s="231">
        <v>1050</v>
      </c>
      <c r="E15" s="30">
        <v>1100</v>
      </c>
      <c r="F15" s="30">
        <v>1130</v>
      </c>
      <c r="G15" s="2">
        <v>99999</v>
      </c>
      <c r="H15" s="159"/>
      <c r="I15" s="160"/>
      <c r="K15" s="159"/>
      <c r="L15" s="160"/>
      <c r="P15" s="1"/>
      <c r="Q15" s="1"/>
      <c r="R15" s="1"/>
      <c r="U15" s="1"/>
      <c r="V15" s="1"/>
      <c r="W15" s="1"/>
      <c r="X15" s="159"/>
      <c r="Y15" s="160"/>
      <c r="AC15" s="1"/>
      <c r="AD15" s="1"/>
      <c r="AE15" s="1"/>
      <c r="AF15" s="159"/>
      <c r="AG15" s="160"/>
      <c r="AK15" s="1"/>
      <c r="AL15" s="1"/>
      <c r="AM15" s="1"/>
      <c r="AN15" s="159"/>
      <c r="AO15" s="160"/>
      <c r="AS15" s="1"/>
      <c r="AT15" s="1"/>
      <c r="AU15" s="1"/>
      <c r="AV15" s="159"/>
      <c r="AW15" s="160"/>
    </row>
    <row r="16" spans="1:55" ht="14.25" customHeight="1">
      <c r="A16">
        <v>0</v>
      </c>
      <c r="B16" s="230">
        <v>1050</v>
      </c>
      <c r="C16" s="30">
        <v>1050</v>
      </c>
      <c r="D16" s="231">
        <v>1100</v>
      </c>
      <c r="E16" s="30">
        <v>1140</v>
      </c>
      <c r="F16" s="30">
        <v>1175</v>
      </c>
      <c r="G16" s="2">
        <v>99999</v>
      </c>
      <c r="H16" s="159"/>
      <c r="I16" s="160"/>
      <c r="K16" s="159"/>
      <c r="L16" s="160"/>
      <c r="P16" s="1"/>
      <c r="Q16" s="1"/>
      <c r="R16" s="1"/>
      <c r="U16" s="1"/>
      <c r="V16" s="1"/>
      <c r="W16" s="1"/>
      <c r="X16" s="159"/>
      <c r="Y16" s="160"/>
      <c r="AC16" s="1"/>
      <c r="AD16" s="1"/>
      <c r="AE16" s="1"/>
      <c r="AF16" s="159"/>
      <c r="AG16" s="160"/>
      <c r="AK16" s="1"/>
      <c r="AL16" s="1"/>
      <c r="AM16" s="1"/>
      <c r="AN16" s="159"/>
      <c r="AO16" s="160"/>
      <c r="AS16" s="1"/>
      <c r="AT16" s="1"/>
      <c r="AU16" s="1"/>
      <c r="AV16" s="159"/>
      <c r="AW16" s="160"/>
    </row>
    <row r="17" spans="1:53" ht="14.25" customHeight="1">
      <c r="A17">
        <v>10</v>
      </c>
      <c r="B17" s="230">
        <v>1100</v>
      </c>
      <c r="C17" s="30">
        <v>1100</v>
      </c>
      <c r="D17" s="231">
        <v>1140</v>
      </c>
      <c r="E17" s="30">
        <v>1175</v>
      </c>
      <c r="F17" s="30">
        <v>1225</v>
      </c>
      <c r="G17" s="2">
        <v>99999</v>
      </c>
      <c r="H17" s="159"/>
      <c r="I17" s="160"/>
      <c r="K17" s="159"/>
      <c r="L17" s="160"/>
      <c r="U17" s="1"/>
      <c r="V17" s="1"/>
      <c r="W17" s="1"/>
      <c r="X17" s="159"/>
      <c r="Y17" s="160"/>
      <c r="AC17" s="1"/>
      <c r="AD17" s="1"/>
      <c r="AE17" s="1"/>
      <c r="AF17" s="159"/>
      <c r="AG17" s="160"/>
      <c r="AK17" s="1"/>
      <c r="AL17" s="1"/>
      <c r="AM17" s="1"/>
      <c r="AN17" s="159"/>
      <c r="AO17" s="160"/>
      <c r="AS17" s="1"/>
      <c r="AT17" s="1"/>
      <c r="AU17" s="1"/>
      <c r="AV17" s="159"/>
      <c r="AW17" s="160"/>
    </row>
    <row r="18" spans="1:53" ht="14.25" customHeight="1" thickBot="1">
      <c r="A18">
        <v>20</v>
      </c>
      <c r="B18" s="232">
        <v>1130</v>
      </c>
      <c r="C18" s="234">
        <v>1130</v>
      </c>
      <c r="D18" s="233">
        <v>1175</v>
      </c>
      <c r="E18" s="234">
        <v>1225</v>
      </c>
      <c r="F18" s="234">
        <v>1270</v>
      </c>
      <c r="G18" s="2">
        <v>99999</v>
      </c>
      <c r="H18" s="159"/>
      <c r="I18" s="160"/>
      <c r="K18" s="159"/>
      <c r="L18" s="160"/>
      <c r="U18" s="1"/>
      <c r="V18" s="1"/>
      <c r="W18" s="1"/>
      <c r="X18" s="159"/>
      <c r="Y18" s="160"/>
      <c r="AC18" s="1"/>
      <c r="AD18" s="1"/>
      <c r="AE18" s="1"/>
      <c r="AF18" s="159"/>
      <c r="AG18" s="160"/>
      <c r="AK18" s="1"/>
      <c r="AL18" s="1"/>
      <c r="AM18" s="1"/>
      <c r="AN18" s="159"/>
      <c r="AO18" s="160"/>
      <c r="AS18" s="1"/>
      <c r="AT18" s="1"/>
      <c r="AU18" s="1"/>
      <c r="AV18" s="159"/>
      <c r="AW18" s="160"/>
    </row>
    <row r="19" spans="1:53" ht="14.25" customHeight="1" thickBot="1">
      <c r="A19">
        <v>30</v>
      </c>
      <c r="B19" s="232">
        <v>1175</v>
      </c>
      <c r="C19" s="234">
        <v>1175</v>
      </c>
      <c r="D19" s="233">
        <v>1225</v>
      </c>
      <c r="E19" s="234">
        <v>1260</v>
      </c>
      <c r="F19" s="234">
        <v>1320</v>
      </c>
      <c r="G19" s="2">
        <v>99999</v>
      </c>
      <c r="H19" s="159"/>
      <c r="I19" s="160"/>
      <c r="K19" s="159"/>
      <c r="L19" s="160"/>
      <c r="U19" s="1"/>
      <c r="V19" s="1"/>
      <c r="W19" s="1"/>
      <c r="X19" s="159"/>
      <c r="Y19" s="160"/>
      <c r="AC19" s="1"/>
      <c r="AD19" s="1"/>
      <c r="AE19" s="1"/>
      <c r="AF19" s="159"/>
      <c r="AG19" s="160"/>
      <c r="AK19" s="1"/>
      <c r="AL19" s="1"/>
      <c r="AM19" s="1"/>
      <c r="AN19" s="159"/>
      <c r="AO19" s="160"/>
      <c r="AS19" s="1"/>
      <c r="AT19" s="1"/>
      <c r="AU19" s="1"/>
      <c r="AV19" s="159"/>
      <c r="AW19" s="160"/>
    </row>
    <row r="20" spans="1:53" ht="14.25" customHeight="1" thickBot="1">
      <c r="A20">
        <v>40</v>
      </c>
      <c r="B20" s="232">
        <v>1210</v>
      </c>
      <c r="C20" s="234">
        <v>1210</v>
      </c>
      <c r="D20" s="233">
        <v>1250</v>
      </c>
      <c r="E20" s="234">
        <v>1300</v>
      </c>
      <c r="F20" s="234">
        <v>1350</v>
      </c>
      <c r="G20" s="2">
        <v>99999</v>
      </c>
      <c r="H20" s="159"/>
      <c r="I20" s="160"/>
      <c r="K20" s="159"/>
      <c r="L20" s="160"/>
      <c r="U20" s="1"/>
      <c r="V20" s="1"/>
      <c r="W20" s="1"/>
      <c r="X20" s="159"/>
      <c r="Y20" s="160"/>
      <c r="AC20" s="1"/>
      <c r="AD20" s="1"/>
      <c r="AE20" s="1"/>
      <c r="AF20" s="159"/>
      <c r="AG20" s="160"/>
      <c r="AK20" s="1"/>
      <c r="AL20" s="1"/>
      <c r="AM20" s="1"/>
      <c r="AN20" s="159"/>
      <c r="AO20" s="160"/>
      <c r="AS20" s="1"/>
      <c r="AT20" s="1"/>
      <c r="AU20" s="1"/>
      <c r="AV20" s="159"/>
      <c r="AW20" s="160"/>
    </row>
    <row r="21" spans="1:53" ht="14.25" customHeight="1">
      <c r="A21">
        <v>45</v>
      </c>
      <c r="B21" s="235">
        <v>99999</v>
      </c>
      <c r="C21" s="241">
        <v>99999</v>
      </c>
      <c r="D21" s="236">
        <v>99999</v>
      </c>
      <c r="E21" s="236">
        <v>99999</v>
      </c>
      <c r="F21" s="236">
        <v>99999</v>
      </c>
      <c r="G21" s="2">
        <v>99999</v>
      </c>
      <c r="H21" s="159"/>
      <c r="I21" s="160"/>
      <c r="K21" s="159"/>
      <c r="L21" s="160"/>
      <c r="P21" s="1"/>
      <c r="Q21" s="1"/>
      <c r="R21" s="1"/>
      <c r="U21" s="1"/>
      <c r="V21" s="1"/>
      <c r="W21" s="1"/>
      <c r="X21" s="159"/>
      <c r="Y21" s="160"/>
      <c r="AC21" s="1"/>
      <c r="AD21" s="1"/>
      <c r="AE21" s="1"/>
      <c r="AF21" s="159"/>
      <c r="AG21" s="160"/>
      <c r="AK21" s="1"/>
      <c r="AL21" s="1"/>
      <c r="AM21" s="1"/>
      <c r="AN21" s="159"/>
      <c r="AO21" s="160"/>
      <c r="AS21" s="1"/>
      <c r="AT21" s="1"/>
      <c r="AU21" s="1"/>
      <c r="AV21" s="159"/>
      <c r="AW21" s="160"/>
    </row>
    <row r="22" spans="1:53" ht="14.25" customHeight="1">
      <c r="B22" s="159"/>
      <c r="C22" s="160"/>
      <c r="G22" s="1"/>
      <c r="H22" s="1"/>
      <c r="I22" s="1"/>
      <c r="J22" s="159"/>
      <c r="K22" s="160"/>
      <c r="O22" s="1"/>
      <c r="P22" s="1"/>
      <c r="Q22" s="1"/>
      <c r="R22" s="159"/>
      <c r="S22" s="160"/>
      <c r="W22" s="1"/>
      <c r="X22" s="1"/>
      <c r="Y22" s="1"/>
      <c r="Z22" s="159"/>
      <c r="AA22" s="160"/>
      <c r="AE22" s="1"/>
      <c r="AF22" s="1"/>
      <c r="AG22" s="1"/>
      <c r="AH22" s="159"/>
      <c r="AI22" s="160"/>
      <c r="AM22" s="1"/>
      <c r="AN22" s="1"/>
      <c r="AO22" s="1"/>
      <c r="AP22" s="159"/>
      <c r="AQ22" s="160"/>
      <c r="AU22" s="1"/>
      <c r="AV22" s="1"/>
      <c r="AW22" s="1"/>
      <c r="AX22" s="159"/>
      <c r="AY22" s="160"/>
    </row>
    <row r="23" spans="1:53" ht="14.25" customHeight="1">
      <c r="B23" s="159" t="s">
        <v>138</v>
      </c>
      <c r="C23" s="160">
        <f>D1</f>
        <v>0</v>
      </c>
      <c r="D23" s="276" t="s">
        <v>181</v>
      </c>
      <c r="E23" s="276"/>
      <c r="G23" s="1"/>
      <c r="H23" s="1"/>
      <c r="I23" s="1"/>
      <c r="J23" s="159" t="s">
        <v>138</v>
      </c>
      <c r="K23" s="160">
        <f>G1</f>
        <v>0</v>
      </c>
      <c r="L23" s="276" t="s">
        <v>181</v>
      </c>
      <c r="M23" s="276"/>
      <c r="O23" s="1"/>
      <c r="P23" s="1"/>
      <c r="Q23" s="1"/>
      <c r="R23" s="159"/>
      <c r="S23" s="160"/>
      <c r="T23" s="276"/>
      <c r="U23" s="276"/>
      <c r="W23" s="1"/>
      <c r="X23" s="1"/>
      <c r="Y23" s="1"/>
      <c r="Z23" s="159"/>
      <c r="AA23" s="160"/>
      <c r="AB23" s="276"/>
      <c r="AC23" s="276"/>
      <c r="AE23" s="1"/>
      <c r="AF23" s="1"/>
      <c r="AG23" s="1"/>
      <c r="AH23" s="159"/>
      <c r="AI23" s="160"/>
      <c r="AJ23" s="276"/>
      <c r="AK23" s="276"/>
      <c r="AM23" s="1"/>
      <c r="AN23" s="1"/>
      <c r="AO23" s="1"/>
      <c r="AP23" s="159"/>
      <c r="AQ23" s="160"/>
      <c r="AR23" s="276"/>
      <c r="AS23" s="276"/>
      <c r="AU23" s="1"/>
      <c r="AV23" s="1"/>
      <c r="AW23" s="1"/>
      <c r="AX23" s="159"/>
      <c r="AY23" s="160"/>
      <c r="AZ23" s="276"/>
      <c r="BA23" s="276"/>
    </row>
    <row r="24" spans="1:53" ht="14.25" customHeight="1">
      <c r="B24" s="18" t="s">
        <v>182</v>
      </c>
      <c r="C24" s="161">
        <f>INDEX($B11:$G11,MATCH(C23,$B11:$G11,1))</f>
        <v>0</v>
      </c>
      <c r="D24" s="18" t="s">
        <v>136</v>
      </c>
      <c r="E24" s="49">
        <f>MATCH(MAX($A12:$A21),$A12:$A21,1)</f>
        <v>10</v>
      </c>
      <c r="G24" s="1"/>
      <c r="H24" s="1"/>
      <c r="I24" s="1"/>
      <c r="J24" s="18" t="s">
        <v>182</v>
      </c>
      <c r="K24" s="161">
        <f>INDEX($B11:$G11,MATCH(K23,$B11:$G11,1))</f>
        <v>0</v>
      </c>
      <c r="L24" s="18" t="s">
        <v>136</v>
      </c>
      <c r="M24" s="49">
        <f>MATCH(MAX($A12:$A21),$A12:$A21,1)</f>
        <v>10</v>
      </c>
      <c r="O24" s="1"/>
      <c r="P24" s="1"/>
      <c r="Q24" s="1"/>
      <c r="R24" s="18"/>
      <c r="S24" s="161"/>
      <c r="T24" s="18"/>
      <c r="U24" s="49"/>
      <c r="W24" s="1"/>
      <c r="X24" s="1"/>
      <c r="Y24" s="1"/>
      <c r="Z24" s="18"/>
      <c r="AA24" s="161"/>
      <c r="AB24" s="18"/>
      <c r="AC24" s="49"/>
      <c r="AE24" s="1"/>
      <c r="AF24" s="1"/>
      <c r="AG24" s="1"/>
      <c r="AH24" s="18"/>
      <c r="AI24" s="161"/>
      <c r="AJ24" s="18"/>
      <c r="AK24" s="49"/>
      <c r="AM24" s="1"/>
      <c r="AN24" s="1"/>
      <c r="AO24" s="1"/>
      <c r="AP24" s="18"/>
      <c r="AQ24" s="161"/>
      <c r="AR24" s="18"/>
      <c r="AS24" s="49"/>
      <c r="AU24" s="1"/>
      <c r="AV24" s="1"/>
      <c r="AW24" s="1"/>
      <c r="AX24" s="18"/>
      <c r="AY24" s="161"/>
      <c r="AZ24" s="18"/>
      <c r="BA24" s="49"/>
    </row>
    <row r="25" spans="1:53" ht="14.25" customHeight="1">
      <c r="B25" s="18" t="s">
        <v>183</v>
      </c>
      <c r="C25" s="161">
        <f t="array" ref="C25">INDEX($B11:$G11,IF(MATCH(C23,$B11:$G11,1)&lt;E25,MATCH(C23,$B11:$G11,1)+1,MATCH(C23,$B11:$G11,1)))</f>
        <v>1000</v>
      </c>
      <c r="D25" s="18" t="s">
        <v>137</v>
      </c>
      <c r="E25" s="49">
        <f>MATCH(MAX($B11:$G11),$B11:$G11,0)</f>
        <v>6</v>
      </c>
      <c r="G25" s="1"/>
      <c r="H25" s="1"/>
      <c r="I25" s="1"/>
      <c r="J25" s="18" t="s">
        <v>183</v>
      </c>
      <c r="K25" s="161">
        <f t="array" ref="K25">INDEX($B11:$G11,IF(MATCH(K23,$B11:$G11,1)&lt;M25,MATCH(K23,$B11:$G11,1)+1,MATCH(K23,$B11:$G11,1)))</f>
        <v>1000</v>
      </c>
      <c r="L25" s="18" t="s">
        <v>137</v>
      </c>
      <c r="M25" s="49">
        <f>MATCH(MAX($B11:$G11),$B11:$G11,0)</f>
        <v>6</v>
      </c>
      <c r="O25" s="1"/>
      <c r="P25" s="1"/>
      <c r="Q25" s="1"/>
      <c r="R25" s="18"/>
      <c r="S25" s="161"/>
      <c r="T25" s="18"/>
      <c r="U25" s="49"/>
      <c r="W25" s="1"/>
      <c r="X25" s="1"/>
      <c r="Y25" s="1"/>
      <c r="Z25" s="18"/>
      <c r="AA25" s="161"/>
      <c r="AB25" s="18"/>
      <c r="AC25" s="49"/>
      <c r="AE25" s="1"/>
      <c r="AF25" s="1"/>
      <c r="AG25" s="1"/>
      <c r="AH25" s="18"/>
      <c r="AI25" s="161"/>
      <c r="AJ25" s="18"/>
      <c r="AK25" s="49"/>
      <c r="AM25" s="1"/>
      <c r="AN25" s="1"/>
      <c r="AO25" s="1"/>
      <c r="AP25" s="18"/>
      <c r="AQ25" s="161"/>
      <c r="AR25" s="18"/>
      <c r="AS25" s="49"/>
      <c r="AU25" s="1"/>
      <c r="AV25" s="1"/>
      <c r="AW25" s="1"/>
      <c r="AX25" s="18"/>
      <c r="AY25" s="161"/>
      <c r="AZ25" s="18"/>
      <c r="BA25" s="49"/>
    </row>
    <row r="26" spans="1:53" ht="14.25" customHeight="1">
      <c r="B26" s="159" t="s">
        <v>139</v>
      </c>
      <c r="C26" s="205">
        <f>D2</f>
        <v>0</v>
      </c>
      <c r="D26" s="1"/>
      <c r="E26" s="1"/>
      <c r="G26" s="1"/>
      <c r="H26" s="1"/>
      <c r="I26" s="1"/>
      <c r="J26" s="159" t="s">
        <v>139</v>
      </c>
      <c r="K26" s="205">
        <f>G2</f>
        <v>0</v>
      </c>
      <c r="L26" s="1"/>
      <c r="M26" s="1"/>
      <c r="O26" s="1"/>
      <c r="P26" s="1"/>
      <c r="Q26" s="1"/>
      <c r="R26" s="159"/>
      <c r="S26" s="205"/>
      <c r="T26" s="1"/>
      <c r="U26" s="1"/>
      <c r="W26" s="1"/>
      <c r="X26" s="1"/>
      <c r="Y26" s="1"/>
      <c r="Z26" s="159"/>
      <c r="AA26" s="205"/>
      <c r="AB26" s="1"/>
      <c r="AC26" s="1"/>
      <c r="AE26" s="1"/>
      <c r="AF26" s="1"/>
      <c r="AG26" s="1"/>
      <c r="AH26" s="159"/>
      <c r="AI26" s="205"/>
      <c r="AJ26" s="1"/>
      <c r="AK26" s="1"/>
      <c r="AM26" s="1"/>
      <c r="AN26" s="1"/>
      <c r="AO26" s="1"/>
      <c r="AP26" s="159"/>
      <c r="AQ26" s="205"/>
      <c r="AR26" s="1"/>
      <c r="AS26" s="1"/>
      <c r="AU26" s="1"/>
      <c r="AV26" s="1"/>
      <c r="AW26" s="1"/>
      <c r="AX26" s="159"/>
      <c r="AY26" s="205"/>
      <c r="AZ26" s="1"/>
      <c r="BA26" s="1"/>
    </row>
    <row r="27" spans="1:53" ht="14.25" customHeight="1">
      <c r="B27" s="18" t="s">
        <v>140</v>
      </c>
      <c r="C27" s="161">
        <f>INDEX($A12:$A21,MATCH(C26,$A12:$A21,1))</f>
        <v>0</v>
      </c>
      <c r="D27" s="1"/>
      <c r="E27" s="40"/>
      <c r="G27" s="1"/>
      <c r="H27" s="1"/>
      <c r="I27" s="1"/>
      <c r="J27" s="18" t="s">
        <v>140</v>
      </c>
      <c r="K27" s="161">
        <f>INDEX($A12:$A21,MATCH(K26,$A12:$A21,1))</f>
        <v>0</v>
      </c>
      <c r="L27" s="1"/>
      <c r="M27" s="40"/>
      <c r="O27" s="1"/>
      <c r="P27" s="1"/>
      <c r="Q27" s="1"/>
      <c r="R27" s="18"/>
      <c r="S27" s="161"/>
      <c r="T27" s="1"/>
      <c r="U27" s="40"/>
      <c r="W27" s="1"/>
      <c r="X27" s="1"/>
      <c r="Y27" s="1"/>
      <c r="Z27" s="18"/>
      <c r="AA27" s="161"/>
      <c r="AB27" s="1"/>
      <c r="AC27" s="40"/>
      <c r="AE27" s="1"/>
      <c r="AF27" s="1"/>
      <c r="AG27" s="1"/>
      <c r="AH27" s="18"/>
      <c r="AI27" s="161"/>
      <c r="AJ27" s="1"/>
      <c r="AK27" s="40"/>
      <c r="AM27" s="1"/>
      <c r="AN27" s="1"/>
      <c r="AO27" s="1"/>
      <c r="AP27" s="18"/>
      <c r="AQ27" s="161"/>
      <c r="AR27" s="1"/>
      <c r="AS27" s="40"/>
      <c r="AU27" s="1"/>
      <c r="AV27" s="1"/>
      <c r="AW27" s="1"/>
      <c r="AX27" s="18"/>
      <c r="AY27" s="161"/>
      <c r="AZ27" s="1"/>
      <c r="BA27" s="40"/>
    </row>
    <row r="28" spans="1:53" ht="14.25" customHeight="1">
      <c r="B28" s="18" t="s">
        <v>141</v>
      </c>
      <c r="C28" s="161">
        <f t="array" ref="C28">INDEX($A12:$A21,IF(MATCH(C26,$A12:$A21,1)&lt;E24,MATCH(C26,$A12:$A21,1)+1,MATCH(C26,$A12:$A21,1)))</f>
        <v>10</v>
      </c>
      <c r="D28" s="1"/>
      <c r="E28" s="40"/>
      <c r="G28" s="1"/>
      <c r="H28" s="1"/>
      <c r="I28" s="1"/>
      <c r="J28" s="18" t="s">
        <v>141</v>
      </c>
      <c r="K28" s="161">
        <f t="array" ref="K28">INDEX($A12:$A21,IF(MATCH(K26,$A12:$A21,1)&lt;M24,MATCH(K26,$A12:$A21,1)+1,MATCH(K26,$A12:$A21,1)))</f>
        <v>10</v>
      </c>
      <c r="L28" s="1"/>
      <c r="M28" s="40"/>
      <c r="O28" s="1"/>
      <c r="P28" s="1"/>
      <c r="Q28" s="1"/>
      <c r="R28" s="18"/>
      <c r="S28" s="161"/>
      <c r="T28" s="1"/>
      <c r="U28" s="40"/>
      <c r="W28" s="1"/>
      <c r="X28" s="1"/>
      <c r="Y28" s="1"/>
      <c r="Z28" s="18"/>
      <c r="AA28" s="161"/>
      <c r="AB28" s="1"/>
      <c r="AC28" s="40"/>
      <c r="AE28" s="1"/>
      <c r="AF28" s="1"/>
      <c r="AG28" s="1"/>
      <c r="AH28" s="18"/>
      <c r="AI28" s="161"/>
      <c r="AJ28" s="1"/>
      <c r="AK28" s="40"/>
      <c r="AM28" s="1"/>
      <c r="AN28" s="1"/>
      <c r="AO28" s="1"/>
      <c r="AP28" s="18"/>
      <c r="AQ28" s="161"/>
      <c r="AR28" s="1"/>
      <c r="AS28" s="40"/>
      <c r="AU28" s="1"/>
      <c r="AV28" s="1"/>
      <c r="AW28" s="1"/>
      <c r="AX28" s="18"/>
      <c r="AY28" s="161"/>
      <c r="AZ28" s="1"/>
      <c r="BA28" s="40"/>
    </row>
    <row r="29" spans="1:53" ht="14.25" customHeight="1">
      <c r="B29" s="159" t="s">
        <v>142</v>
      </c>
      <c r="C29" s="160">
        <f>INDEX($B12:$G21,MATCH(C26,$A12:$A21,1),MATCH(C23,$B11:$G11,1))</f>
        <v>1050</v>
      </c>
      <c r="D29" s="1"/>
      <c r="E29" s="40"/>
      <c r="G29" s="1"/>
      <c r="H29" s="1"/>
      <c r="I29" s="1"/>
      <c r="J29" s="159" t="s">
        <v>142</v>
      </c>
      <c r="K29" s="160">
        <f>INDEX($B12:$G21,MATCH(K26,$A12:$A21,1),MATCH(K23,$B11:$G11,1))</f>
        <v>1050</v>
      </c>
      <c r="L29" s="1"/>
      <c r="M29" s="40"/>
      <c r="O29" s="1"/>
      <c r="P29" s="1"/>
      <c r="Q29" s="1"/>
      <c r="R29" s="159"/>
      <c r="S29" s="160"/>
      <c r="T29" s="1"/>
      <c r="U29" s="40"/>
      <c r="W29" s="1"/>
      <c r="X29" s="1"/>
      <c r="Y29" s="1"/>
      <c r="Z29" s="159"/>
      <c r="AA29" s="160"/>
      <c r="AB29" s="1"/>
      <c r="AC29" s="40"/>
      <c r="AE29" s="1"/>
      <c r="AF29" s="1"/>
      <c r="AG29" s="1"/>
      <c r="AH29" s="159"/>
      <c r="AI29" s="160"/>
      <c r="AJ29" s="1"/>
      <c r="AK29" s="40"/>
      <c r="AM29" s="1"/>
      <c r="AN29" s="1"/>
      <c r="AO29" s="1"/>
      <c r="AP29" s="159"/>
      <c r="AQ29" s="160"/>
      <c r="AR29" s="1"/>
      <c r="AS29" s="40"/>
      <c r="AU29" s="1"/>
      <c r="AV29" s="1"/>
      <c r="AW29" s="1"/>
      <c r="AX29" s="159"/>
      <c r="AY29" s="160"/>
      <c r="AZ29" s="1"/>
      <c r="BA29" s="40"/>
    </row>
    <row r="30" spans="1:53" ht="14.25" customHeight="1">
      <c r="B30" s="159" t="s">
        <v>184</v>
      </c>
      <c r="C30" s="160">
        <f t="array" ref="C30">INDEX($B12:$G21,MATCH(C26,$A12:$A21,1),IF(MATCH(C23,$B11:$G11,1)&lt;E25,MATCH(C23,$B11:$G11,1)+1,MATCH(C26,$A12:$A21,1)))</f>
        <v>1100</v>
      </c>
      <c r="E30" s="40"/>
      <c r="G30" s="1"/>
      <c r="H30" s="1"/>
      <c r="I30" s="1"/>
      <c r="J30" s="159" t="s">
        <v>184</v>
      </c>
      <c r="K30" s="160">
        <f t="array" ref="K30">INDEX($B12:$G21,MATCH(K26,$A12:$A21,1),IF(MATCH(K23,$B11:$G11,1)&lt;M25,MATCH(K23,$B11:$G11,1)+1,MATCH(K26,$A12:$A21,1)))</f>
        <v>1100</v>
      </c>
      <c r="M30" s="40"/>
      <c r="O30" s="1"/>
      <c r="P30" s="1"/>
      <c r="Q30" s="1"/>
      <c r="R30" s="159"/>
      <c r="S30" s="160"/>
      <c r="U30" s="40"/>
      <c r="W30" s="1"/>
      <c r="X30" s="1"/>
      <c r="Y30" s="1"/>
      <c r="Z30" s="159"/>
      <c r="AA30" s="160"/>
      <c r="AC30" s="40"/>
      <c r="AE30" s="1"/>
      <c r="AF30" s="1"/>
      <c r="AG30" s="1"/>
      <c r="AH30" s="159"/>
      <c r="AI30" s="160"/>
      <c r="AK30" s="40"/>
      <c r="AM30" s="1"/>
      <c r="AN30" s="1"/>
      <c r="AO30" s="1"/>
      <c r="AP30" s="159"/>
      <c r="AQ30" s="160"/>
      <c r="AS30" s="40"/>
      <c r="AU30" s="1"/>
      <c r="AV30" s="1"/>
      <c r="AW30" s="1"/>
      <c r="AX30" s="159"/>
      <c r="AY30" s="160"/>
      <c r="BA30" s="40"/>
    </row>
    <row r="31" spans="1:53" ht="14.25" customHeight="1">
      <c r="B31" s="159" t="s">
        <v>143</v>
      </c>
      <c r="C31" s="160">
        <f t="array" ref="C31">INDEX($B12:$G21,IF(MATCH(C26,$A12:$A21,1)&lt;E24,MATCH(C26,$A12:$A21,1)+1,MATCH(C26,$A12:$A21,1)),MATCH(C23,$B11:$G11,1))</f>
        <v>1100</v>
      </c>
      <c r="E31" s="40"/>
      <c r="G31" s="1"/>
      <c r="H31" s="1"/>
      <c r="I31" s="1"/>
      <c r="J31" s="159" t="s">
        <v>143</v>
      </c>
      <c r="K31" s="160">
        <f t="array" ref="K31">INDEX($B12:$G21,IF(MATCH(K26,$A12:$A21,1)&lt;M24,MATCH(K26,$A12:$A21,1)+1,MATCH(K26,$A12:$A21,1)),MATCH(K23,$B11:$G11,1))</f>
        <v>1100</v>
      </c>
      <c r="M31" s="40"/>
      <c r="O31" s="1"/>
      <c r="P31" s="1"/>
      <c r="Q31" s="1"/>
      <c r="R31" s="159"/>
      <c r="S31" s="160"/>
      <c r="U31" s="40"/>
      <c r="W31" s="1"/>
      <c r="X31" s="1"/>
      <c r="Y31" s="1"/>
      <c r="Z31" s="159"/>
      <c r="AA31" s="160"/>
      <c r="AC31" s="40"/>
      <c r="AE31" s="1"/>
      <c r="AF31" s="1"/>
      <c r="AG31" s="1"/>
      <c r="AH31" s="159"/>
      <c r="AI31" s="160"/>
      <c r="AK31" s="40"/>
      <c r="AM31" s="1"/>
      <c r="AN31" s="1"/>
      <c r="AO31" s="1"/>
      <c r="AP31" s="159"/>
      <c r="AQ31" s="160"/>
      <c r="AS31" s="40"/>
      <c r="AU31" s="1"/>
      <c r="AV31" s="1"/>
      <c r="AW31" s="1"/>
      <c r="AX31" s="159"/>
      <c r="AY31" s="160"/>
      <c r="BA31" s="40"/>
    </row>
    <row r="32" spans="1:53" ht="14.25" customHeight="1">
      <c r="B32" s="159" t="s">
        <v>185</v>
      </c>
      <c r="C32" s="160">
        <f t="array" ref="C32">INDEX($B12:$G21,IF(MATCH(C26,$A12:$A21,1)&lt;E24,MATCH(C26,$A12:$A21,1)+1,MATCH(C26,$A12:$A21,1)),IF(MATCH(C23,$B11:$G11,1)&lt;E25,MATCH(C23,$B11:$G11,1)+1,MATCH(C23,$B11:$G11,1)))</f>
        <v>1140</v>
      </c>
      <c r="G32" s="1"/>
      <c r="H32" s="1"/>
      <c r="I32" s="1"/>
      <c r="J32" s="159" t="s">
        <v>185</v>
      </c>
      <c r="K32" s="160">
        <f t="array" ref="K32">INDEX($B12:$G21,IF(MATCH(K26,$A12:$A21,1)&lt;M24,MATCH(K26,$A12:$A21,1)+1,MATCH(K26,$A12:$A21,1)),IF(MATCH(K23,$B11:$G11,1)&lt;M25,MATCH(K23,$B11:$G11,1)+1,MATCH(K23,$B11:$G11,1)))</f>
        <v>1140</v>
      </c>
      <c r="O32" s="1"/>
      <c r="P32" s="1"/>
      <c r="Q32" s="1"/>
      <c r="R32" s="159"/>
      <c r="S32" s="160"/>
      <c r="W32" s="1"/>
      <c r="X32" s="1"/>
      <c r="Y32" s="1"/>
      <c r="Z32" s="159"/>
      <c r="AA32" s="160"/>
      <c r="AE32" s="1"/>
      <c r="AF32" s="1"/>
      <c r="AG32" s="1"/>
      <c r="AH32" s="159"/>
      <c r="AI32" s="160"/>
      <c r="AM32" s="1"/>
      <c r="AN32" s="1"/>
      <c r="AO32" s="1"/>
      <c r="AP32" s="159"/>
      <c r="AQ32" s="160"/>
      <c r="AU32" s="1"/>
      <c r="AV32" s="1"/>
      <c r="AW32" s="1"/>
      <c r="AX32" s="159"/>
      <c r="AY32" s="160"/>
    </row>
    <row r="33" spans="1:51" ht="14.25" customHeight="1">
      <c r="B33" s="18" t="s">
        <v>186</v>
      </c>
      <c r="C33" s="161">
        <f>IFERROR(C29+(C23-C24)*(C30-C29)/(C25-C24),C29)</f>
        <v>1050</v>
      </c>
      <c r="G33" s="1"/>
      <c r="H33" s="1"/>
      <c r="I33" s="1"/>
      <c r="J33" s="18" t="s">
        <v>186</v>
      </c>
      <c r="K33" s="161">
        <f>IFERROR(K29+(K23-K24)*(K30-K29)/(K25-K24),K29)</f>
        <v>1050</v>
      </c>
      <c r="O33" s="1"/>
      <c r="P33" s="1"/>
      <c r="Q33" s="1"/>
      <c r="R33" s="18"/>
      <c r="S33" s="161"/>
      <c r="W33" s="1"/>
      <c r="X33" s="1"/>
      <c r="Y33" s="1"/>
      <c r="Z33" s="18"/>
      <c r="AA33" s="161"/>
      <c r="AE33" s="1"/>
      <c r="AF33" s="1"/>
      <c r="AG33" s="1"/>
      <c r="AH33" s="18"/>
      <c r="AI33" s="161"/>
      <c r="AM33" s="1"/>
      <c r="AN33" s="1"/>
      <c r="AO33" s="1"/>
      <c r="AP33" s="18"/>
      <c r="AQ33" s="161"/>
      <c r="AU33" s="1"/>
      <c r="AV33" s="1"/>
      <c r="AW33" s="1"/>
      <c r="AX33" s="18"/>
      <c r="AY33" s="161"/>
    </row>
    <row r="34" spans="1:51" ht="14.25" customHeight="1">
      <c r="B34" s="18" t="s">
        <v>187</v>
      </c>
      <c r="C34" s="161">
        <f>IFERROR(C31+(C23-C24)*(C32-C31)/(C25-C24),C31)</f>
        <v>1100</v>
      </c>
      <c r="G34" s="1"/>
      <c r="H34" s="1"/>
      <c r="I34" s="1"/>
      <c r="J34" s="18" t="s">
        <v>187</v>
      </c>
      <c r="K34" s="161">
        <f>IFERROR(K31+(K23-K24)*(K32-K31)/(K25-K24),K31)</f>
        <v>1100</v>
      </c>
      <c r="O34" s="1"/>
      <c r="P34" s="1"/>
      <c r="Q34" s="1"/>
      <c r="R34" s="18"/>
      <c r="S34" s="161"/>
      <c r="W34" s="1"/>
      <c r="X34" s="1"/>
      <c r="Y34" s="1"/>
      <c r="Z34" s="18"/>
      <c r="AA34" s="161"/>
      <c r="AE34" s="1"/>
      <c r="AF34" s="1"/>
      <c r="AG34" s="1"/>
      <c r="AH34" s="18"/>
      <c r="AI34" s="161"/>
      <c r="AM34" s="1"/>
      <c r="AN34" s="1"/>
      <c r="AO34" s="1"/>
      <c r="AP34" s="18"/>
      <c r="AQ34" s="161"/>
      <c r="AU34" s="1"/>
      <c r="AV34" s="1"/>
      <c r="AW34" s="1"/>
      <c r="AX34" s="18"/>
      <c r="AY34" s="161"/>
    </row>
    <row r="35" spans="1:51" ht="14.25" customHeight="1">
      <c r="B35" s="159" t="s">
        <v>188</v>
      </c>
      <c r="C35" s="160">
        <f>IFERROR(C33+(C26-C27)*(C34-C33)/(C28-C27),C33)</f>
        <v>1050</v>
      </c>
      <c r="G35" s="1"/>
      <c r="H35" s="1"/>
      <c r="I35" s="1"/>
      <c r="J35" s="159" t="s">
        <v>188</v>
      </c>
      <c r="K35" s="160">
        <f>IFERROR(K33+(K26-K27)*(K34-K33)/(K28-K27),K33)</f>
        <v>1050</v>
      </c>
      <c r="O35" s="1"/>
      <c r="P35" s="1"/>
      <c r="Q35" s="1"/>
      <c r="R35" s="159"/>
      <c r="S35" s="160"/>
      <c r="W35" s="1"/>
      <c r="X35" s="1"/>
      <c r="Y35" s="1"/>
      <c r="Z35" s="159"/>
      <c r="AA35" s="160"/>
      <c r="AE35" s="1"/>
      <c r="AF35" s="1"/>
      <c r="AG35" s="1"/>
      <c r="AH35" s="159"/>
      <c r="AI35" s="160"/>
      <c r="AM35" s="1"/>
      <c r="AN35" s="1"/>
      <c r="AO35" s="1"/>
      <c r="AP35" s="159"/>
      <c r="AQ35" s="160"/>
      <c r="AU35" s="1"/>
      <c r="AV35" s="1"/>
      <c r="AW35" s="1"/>
      <c r="AX35" s="159"/>
      <c r="AY35" s="160"/>
    </row>
    <row r="36" spans="1:51" ht="14.25" customHeight="1">
      <c r="B36" s="159"/>
      <c r="C36" s="160"/>
      <c r="G36" s="1"/>
      <c r="H36" s="1"/>
      <c r="I36" s="1"/>
      <c r="J36" s="159"/>
      <c r="K36" s="160"/>
      <c r="O36" s="1"/>
      <c r="P36" s="1"/>
      <c r="Q36" s="1"/>
      <c r="R36" s="159"/>
      <c r="S36" s="160"/>
      <c r="W36" s="1"/>
      <c r="X36" s="1"/>
      <c r="Y36" s="1"/>
      <c r="Z36" s="159"/>
      <c r="AA36" s="160"/>
      <c r="AE36" s="1"/>
      <c r="AF36" s="1"/>
      <c r="AG36" s="1"/>
      <c r="AH36" s="159"/>
      <c r="AI36" s="160"/>
      <c r="AM36" s="1"/>
      <c r="AN36" s="1"/>
      <c r="AO36" s="1"/>
      <c r="AP36" s="159"/>
      <c r="AQ36" s="160"/>
      <c r="AU36" s="1"/>
      <c r="AV36" s="1"/>
      <c r="AW36" s="1"/>
      <c r="AX36" s="159"/>
      <c r="AY36" s="160"/>
    </row>
    <row r="37" spans="1:51" ht="14.25" customHeight="1">
      <c r="B37" s="275" t="s">
        <v>189</v>
      </c>
      <c r="C37" s="275"/>
      <c r="D37" s="275"/>
      <c r="E37" s="275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"/>
      <c r="Q37" s="1"/>
      <c r="R37" s="159"/>
      <c r="S37" s="160"/>
      <c r="W37" s="1"/>
      <c r="X37" s="1"/>
      <c r="Y37" s="1"/>
      <c r="Z37" s="159"/>
      <c r="AA37" s="160"/>
      <c r="AE37" s="1"/>
      <c r="AF37" s="1"/>
      <c r="AG37" s="1"/>
      <c r="AH37" s="159"/>
      <c r="AI37" s="160"/>
      <c r="AM37" s="1"/>
      <c r="AN37" s="1"/>
      <c r="AO37" s="1"/>
      <c r="AP37" s="159"/>
      <c r="AQ37" s="160"/>
      <c r="AU37" s="1"/>
      <c r="AV37" s="1"/>
      <c r="AW37" s="1"/>
      <c r="AX37" s="159"/>
      <c r="AY37" s="160"/>
    </row>
    <row r="38" spans="1:51" ht="14.25" customHeight="1">
      <c r="B38" s="225">
        <v>1000</v>
      </c>
      <c r="C38" s="237">
        <v>1175</v>
      </c>
      <c r="D38" s="237">
        <v>1400</v>
      </c>
      <c r="E38" s="227">
        <v>2000</v>
      </c>
      <c r="F38" s="238"/>
      <c r="G38" s="160"/>
      <c r="I38" s="159"/>
      <c r="J38" s="160"/>
      <c r="N38" s="1"/>
      <c r="O38" s="1"/>
      <c r="P38" s="1"/>
      <c r="S38" s="1"/>
      <c r="T38" s="1"/>
      <c r="U38" s="1"/>
      <c r="V38" s="159"/>
      <c r="W38" s="160"/>
      <c r="AA38" s="1"/>
      <c r="AB38" s="1"/>
      <c r="AC38" s="1"/>
      <c r="AD38" s="159"/>
      <c r="AE38" s="160"/>
      <c r="AI38" s="1"/>
      <c r="AJ38" s="1"/>
      <c r="AK38" s="1"/>
      <c r="AL38" s="159"/>
      <c r="AM38" s="160"/>
      <c r="AQ38" s="1"/>
      <c r="AR38" s="1"/>
      <c r="AS38" s="1"/>
      <c r="AT38" s="159"/>
      <c r="AU38" s="160"/>
    </row>
    <row r="39" spans="1:51" ht="14.25" customHeight="1">
      <c r="A39">
        <v>9000</v>
      </c>
      <c r="B39" s="225">
        <v>840</v>
      </c>
      <c r="C39" s="237">
        <v>975</v>
      </c>
      <c r="D39" s="237">
        <v>1100</v>
      </c>
      <c r="E39" s="239">
        <v>99999</v>
      </c>
      <c r="F39" s="238"/>
      <c r="G39" s="160"/>
      <c r="H39" s="160"/>
      <c r="I39" s="160"/>
      <c r="J39" s="160"/>
      <c r="K39" s="160"/>
      <c r="L39" s="160"/>
      <c r="M39" s="160"/>
      <c r="N39" s="160"/>
      <c r="O39" s="160"/>
      <c r="P39" s="1"/>
      <c r="S39" s="1"/>
      <c r="T39" s="1"/>
      <c r="U39" s="1"/>
      <c r="V39" s="159"/>
      <c r="W39" s="160"/>
      <c r="AA39" s="1"/>
      <c r="AB39" s="1"/>
      <c r="AC39" s="1"/>
      <c r="AD39" s="159"/>
      <c r="AE39" s="160"/>
      <c r="AI39" s="1"/>
      <c r="AJ39" s="1"/>
      <c r="AK39" s="1"/>
      <c r="AL39" s="159"/>
      <c r="AM39" s="160"/>
      <c r="AQ39" s="1"/>
      <c r="AR39" s="1"/>
      <c r="AS39" s="1"/>
      <c r="AT39" s="159"/>
      <c r="AU39" s="160"/>
    </row>
    <row r="40" spans="1:51" ht="14.25" customHeight="1">
      <c r="A40">
        <v>9500</v>
      </c>
      <c r="B40" s="240">
        <v>870</v>
      </c>
      <c r="C40" s="14">
        <v>1000</v>
      </c>
      <c r="D40" s="14">
        <v>1140</v>
      </c>
      <c r="E40" s="239">
        <v>99999</v>
      </c>
      <c r="F40" s="238"/>
      <c r="G40" s="160"/>
      <c r="I40" s="159"/>
      <c r="J40" s="160"/>
      <c r="N40" s="1"/>
      <c r="O40" s="1"/>
      <c r="P40" s="1"/>
      <c r="S40" s="1"/>
      <c r="T40" s="1"/>
      <c r="U40" s="1"/>
      <c r="V40" s="159"/>
      <c r="W40" s="160"/>
      <c r="AA40" s="1"/>
      <c r="AB40" s="1"/>
      <c r="AC40" s="1"/>
      <c r="AD40" s="159"/>
      <c r="AE40" s="160"/>
      <c r="AI40" s="1"/>
      <c r="AJ40" s="1"/>
      <c r="AK40" s="1"/>
      <c r="AL40" s="159"/>
      <c r="AM40" s="160"/>
      <c r="AQ40" s="1"/>
      <c r="AR40" s="1"/>
      <c r="AS40" s="1"/>
      <c r="AT40" s="159"/>
      <c r="AU40" s="160"/>
    </row>
    <row r="41" spans="1:51" ht="14.25" customHeight="1">
      <c r="A41">
        <v>10000</v>
      </c>
      <c r="B41" s="240">
        <v>890</v>
      </c>
      <c r="C41" s="14">
        <v>1025</v>
      </c>
      <c r="D41" s="14">
        <v>1160</v>
      </c>
      <c r="E41" s="239">
        <v>99999</v>
      </c>
      <c r="F41" s="238"/>
      <c r="G41" s="160"/>
      <c r="I41" s="159"/>
      <c r="J41" s="160"/>
      <c r="N41" s="1"/>
      <c r="O41" s="1"/>
      <c r="P41" s="1"/>
      <c r="S41" s="1"/>
      <c r="T41" s="1"/>
      <c r="U41" s="1"/>
      <c r="V41" s="159"/>
      <c r="W41" s="160"/>
      <c r="AA41" s="1"/>
      <c r="AB41" s="1"/>
      <c r="AC41" s="1"/>
      <c r="AD41" s="159"/>
      <c r="AE41" s="160"/>
      <c r="AI41" s="1"/>
      <c r="AJ41" s="1"/>
      <c r="AK41" s="1"/>
      <c r="AL41" s="159"/>
      <c r="AM41" s="160"/>
      <c r="AQ41" s="1"/>
      <c r="AR41" s="1"/>
      <c r="AS41" s="1"/>
      <c r="AT41" s="159"/>
      <c r="AU41" s="160"/>
    </row>
    <row r="42" spans="1:51" ht="14.25" customHeight="1">
      <c r="A42">
        <v>10500</v>
      </c>
      <c r="B42" s="240">
        <v>920</v>
      </c>
      <c r="C42" s="14">
        <v>1060</v>
      </c>
      <c r="D42" s="14">
        <v>1200</v>
      </c>
      <c r="E42" s="239">
        <v>99999</v>
      </c>
      <c r="F42" s="238"/>
      <c r="G42" s="160"/>
      <c r="I42" s="159"/>
      <c r="J42" s="160"/>
      <c r="N42" s="1"/>
      <c r="O42" s="1"/>
      <c r="P42" s="1"/>
      <c r="S42" s="1"/>
      <c r="T42" s="1"/>
      <c r="U42" s="1"/>
      <c r="V42" s="159"/>
      <c r="W42" s="160"/>
      <c r="AA42" s="1"/>
      <c r="AB42" s="1"/>
      <c r="AC42" s="1"/>
      <c r="AD42" s="159"/>
      <c r="AE42" s="160"/>
      <c r="AI42" s="1"/>
      <c r="AJ42" s="1"/>
      <c r="AK42" s="1"/>
      <c r="AL42" s="159"/>
      <c r="AM42" s="160"/>
      <c r="AQ42" s="1"/>
      <c r="AR42" s="1"/>
      <c r="AS42" s="1"/>
      <c r="AT42" s="159"/>
      <c r="AU42" s="160"/>
    </row>
    <row r="43" spans="1:51" ht="14.25" customHeight="1">
      <c r="A43">
        <v>11000</v>
      </c>
      <c r="B43" s="240">
        <v>940</v>
      </c>
      <c r="C43" s="14">
        <v>1080</v>
      </c>
      <c r="D43" s="14">
        <v>1240</v>
      </c>
      <c r="E43" s="239">
        <v>99999</v>
      </c>
      <c r="F43" s="238"/>
      <c r="G43" s="160"/>
      <c r="I43" s="159"/>
      <c r="J43" s="160"/>
      <c r="N43" s="1"/>
      <c r="O43" s="1"/>
      <c r="P43" s="1"/>
      <c r="S43" s="1"/>
      <c r="T43" s="1"/>
      <c r="U43" s="1"/>
      <c r="V43" s="159"/>
      <c r="W43" s="160"/>
      <c r="AA43" s="1"/>
      <c r="AB43" s="1"/>
      <c r="AC43" s="1"/>
      <c r="AD43" s="159"/>
      <c r="AE43" s="160"/>
      <c r="AI43" s="1"/>
      <c r="AJ43" s="1"/>
      <c r="AK43" s="1"/>
      <c r="AL43" s="159"/>
      <c r="AM43" s="160"/>
      <c r="AQ43" s="1"/>
      <c r="AR43" s="1"/>
      <c r="AS43" s="1"/>
      <c r="AT43" s="159"/>
      <c r="AU43" s="160"/>
    </row>
    <row r="44" spans="1:51" ht="14.25" customHeight="1">
      <c r="A44">
        <v>11500</v>
      </c>
      <c r="B44" s="240">
        <v>950</v>
      </c>
      <c r="C44" s="14">
        <v>1110</v>
      </c>
      <c r="D44" s="14">
        <v>1320</v>
      </c>
      <c r="E44" s="239">
        <v>99999</v>
      </c>
      <c r="F44" s="238"/>
      <c r="G44" s="160"/>
      <c r="I44" s="159"/>
      <c r="J44" s="160"/>
      <c r="N44" s="1"/>
      <c r="O44" s="1"/>
      <c r="P44" s="1"/>
      <c r="S44" s="1"/>
      <c r="T44" s="1"/>
      <c r="U44" s="1"/>
      <c r="V44" s="159"/>
      <c r="W44" s="160"/>
      <c r="AA44" s="1"/>
      <c r="AB44" s="1"/>
      <c r="AC44" s="1"/>
      <c r="AD44" s="159"/>
      <c r="AE44" s="160"/>
      <c r="AI44" s="1"/>
      <c r="AJ44" s="1"/>
      <c r="AK44" s="1"/>
      <c r="AL44" s="159"/>
      <c r="AM44" s="160"/>
      <c r="AQ44" s="1"/>
      <c r="AR44" s="1"/>
      <c r="AS44" s="1"/>
      <c r="AT44" s="159"/>
      <c r="AU44" s="160"/>
    </row>
    <row r="45" spans="1:51" ht="14.25" customHeight="1">
      <c r="A45">
        <v>12000</v>
      </c>
      <c r="B45" s="240">
        <v>975</v>
      </c>
      <c r="C45" s="14">
        <v>1150</v>
      </c>
      <c r="D45" s="14">
        <v>1350</v>
      </c>
      <c r="E45" s="239">
        <v>99999</v>
      </c>
      <c r="F45" s="238"/>
      <c r="G45" s="160"/>
      <c r="I45" s="159"/>
      <c r="J45" s="160"/>
      <c r="N45" s="1"/>
      <c r="O45" s="1"/>
      <c r="P45" s="1"/>
      <c r="S45" s="1"/>
      <c r="T45" s="1"/>
      <c r="U45" s="1"/>
      <c r="V45" s="159"/>
      <c r="W45" s="160"/>
      <c r="AA45" s="1"/>
      <c r="AB45" s="1"/>
      <c r="AC45" s="1"/>
      <c r="AD45" s="159"/>
      <c r="AE45" s="160"/>
      <c r="AI45" s="1"/>
      <c r="AJ45" s="1"/>
      <c r="AK45" s="1"/>
      <c r="AL45" s="159"/>
      <c r="AM45" s="160"/>
      <c r="AQ45" s="1"/>
      <c r="AR45" s="1"/>
      <c r="AS45" s="1"/>
      <c r="AT45" s="159"/>
      <c r="AU45" s="160"/>
    </row>
    <row r="46" spans="1:51" ht="14.25" customHeight="1">
      <c r="A46">
        <v>12500</v>
      </c>
      <c r="B46" s="235">
        <v>1000</v>
      </c>
      <c r="C46" s="241">
        <v>1175</v>
      </c>
      <c r="D46" s="241">
        <v>1400</v>
      </c>
      <c r="E46" s="239">
        <v>99999</v>
      </c>
      <c r="F46" s="238"/>
      <c r="G46" s="160"/>
      <c r="I46" s="159"/>
      <c r="J46" s="160"/>
      <c r="N46" s="1"/>
      <c r="O46" s="1"/>
      <c r="P46" s="1"/>
      <c r="S46" s="1"/>
      <c r="T46" s="1"/>
      <c r="U46" s="1"/>
      <c r="V46" s="159"/>
      <c r="W46" s="160"/>
      <c r="AA46" s="1"/>
      <c r="AB46" s="1"/>
      <c r="AC46" s="1"/>
      <c r="AD46" s="159"/>
      <c r="AE46" s="160"/>
      <c r="AI46" s="1"/>
      <c r="AJ46" s="1"/>
      <c r="AK46" s="1"/>
      <c r="AL46" s="159"/>
      <c r="AM46" s="160"/>
      <c r="AQ46" s="1"/>
      <c r="AR46" s="1"/>
      <c r="AS46" s="1"/>
      <c r="AT46" s="159"/>
      <c r="AU46" s="160"/>
    </row>
    <row r="47" spans="1:51" ht="14.25" customHeight="1">
      <c r="B47" s="159"/>
      <c r="C47" s="160"/>
      <c r="G47" s="1"/>
      <c r="H47" s="1"/>
      <c r="I47" s="1"/>
      <c r="J47" s="159"/>
      <c r="K47" s="160"/>
      <c r="O47" s="54"/>
      <c r="P47" s="1"/>
      <c r="Q47" s="1"/>
      <c r="R47" s="159"/>
      <c r="S47" s="160"/>
      <c r="W47" s="1"/>
      <c r="X47" s="1"/>
      <c r="Y47" s="1"/>
      <c r="Z47" s="159"/>
      <c r="AA47" s="160"/>
      <c r="AE47" s="1"/>
      <c r="AF47" s="1"/>
      <c r="AG47" s="1"/>
      <c r="AH47" s="159"/>
      <c r="AI47" s="160"/>
      <c r="AM47" s="1"/>
      <c r="AN47" s="1"/>
      <c r="AO47" s="1"/>
      <c r="AP47" s="159"/>
      <c r="AQ47" s="160"/>
      <c r="AU47" s="1"/>
      <c r="AV47" s="1"/>
      <c r="AW47" s="1"/>
      <c r="AX47" s="159"/>
      <c r="AY47" s="160"/>
    </row>
    <row r="48" spans="1:51" ht="14.25" customHeight="1">
      <c r="B48" s="159" t="s">
        <v>138</v>
      </c>
      <c r="C48" s="160">
        <f>C35</f>
        <v>1050</v>
      </c>
      <c r="D48" s="276" t="s">
        <v>181</v>
      </c>
      <c r="E48" s="276"/>
      <c r="G48" s="1"/>
      <c r="H48" s="1"/>
      <c r="I48" s="1"/>
      <c r="J48" s="159" t="s">
        <v>138</v>
      </c>
      <c r="K48" s="160">
        <f>K35</f>
        <v>1050</v>
      </c>
      <c r="L48" s="276" t="s">
        <v>181</v>
      </c>
      <c r="M48" s="276"/>
      <c r="O48" s="54"/>
    </row>
    <row r="49" spans="1:51" ht="14.25" customHeight="1">
      <c r="B49" s="18" t="s">
        <v>182</v>
      </c>
      <c r="C49" s="161">
        <f>INDEX($B38:$E38,MATCH(C48,$B38:$E38,1))</f>
        <v>1000</v>
      </c>
      <c r="D49" s="18" t="s">
        <v>136</v>
      </c>
      <c r="E49" s="49">
        <f>MATCH(MAX($A39:$A46),$A39:$A46,1)</f>
        <v>8</v>
      </c>
      <c r="G49" s="1"/>
      <c r="H49" s="1"/>
      <c r="I49" s="1"/>
      <c r="J49" s="18" t="s">
        <v>182</v>
      </c>
      <c r="K49" s="161">
        <f>INDEX($B38:$E38,MATCH(K48,$B38:$E38,1))</f>
        <v>1000</v>
      </c>
      <c r="L49" s="18" t="s">
        <v>136</v>
      </c>
      <c r="M49" s="49">
        <f>MATCH(MAX($A39:$A46),$A39:$A46,1)</f>
        <v>8</v>
      </c>
      <c r="O49" s="54"/>
    </row>
    <row r="50" spans="1:51" ht="14.25" customHeight="1">
      <c r="B50" s="18" t="s">
        <v>183</v>
      </c>
      <c r="C50" s="161">
        <f t="array" ref="C50">INDEX($B38:$E38,IF(MATCH(C48,$B38:$E38,1)&lt;E50,MATCH(C48,$B38:$E38,1)+1,MATCH(C48,$B38:$E38,1)))</f>
        <v>1175</v>
      </c>
      <c r="D50" s="18" t="s">
        <v>137</v>
      </c>
      <c r="E50" s="49">
        <f>MATCH(MAX($B38:$E38),$B38:$E38,0)</f>
        <v>4</v>
      </c>
      <c r="G50" s="1"/>
      <c r="H50" s="1"/>
      <c r="I50" s="1"/>
      <c r="J50" s="18" t="s">
        <v>183</v>
      </c>
      <c r="K50" s="161">
        <f t="array" ref="K50">INDEX($B38:$E38,IF(MATCH(K48,$B38:$E38,1)&lt;M50,MATCH(K48,$B38:$E38,1)+1,MATCH(K48,$B38:$E38,1)))</f>
        <v>1175</v>
      </c>
      <c r="L50" s="18" t="s">
        <v>137</v>
      </c>
      <c r="M50" s="49">
        <f>MATCH(MAX($B38:$E38),$B38:$E38,0)</f>
        <v>4</v>
      </c>
      <c r="O50" s="54"/>
    </row>
    <row r="51" spans="1:51" ht="14.25" customHeight="1">
      <c r="B51" s="159" t="s">
        <v>139</v>
      </c>
      <c r="C51" s="205">
        <f>Landing!C11</f>
        <v>11000</v>
      </c>
      <c r="D51" s="1"/>
      <c r="E51" s="1"/>
      <c r="G51" s="1"/>
      <c r="H51" s="1"/>
      <c r="I51" s="1"/>
      <c r="J51" s="159" t="s">
        <v>139</v>
      </c>
      <c r="K51" s="205">
        <f>'Take-off'!C14</f>
        <v>12500</v>
      </c>
      <c r="L51" s="1"/>
      <c r="M51" s="1"/>
      <c r="O51" s="54"/>
    </row>
    <row r="52" spans="1:51" ht="14.25" customHeight="1">
      <c r="B52" s="18" t="s">
        <v>140</v>
      </c>
      <c r="C52" s="161">
        <f>INDEX($A39:$A46,MATCH(C51,$A39:$A46,1))</f>
        <v>11000</v>
      </c>
      <c r="D52" s="1"/>
      <c r="E52" s="40"/>
      <c r="G52" s="1"/>
      <c r="H52" s="1"/>
      <c r="I52" s="1"/>
      <c r="J52" s="18" t="s">
        <v>140</v>
      </c>
      <c r="K52" s="161">
        <f>INDEX($A39:$A46,MATCH(K51,$A39:$A46,1))</f>
        <v>12500</v>
      </c>
      <c r="L52" s="1"/>
      <c r="M52" s="40"/>
      <c r="O52" s="54"/>
    </row>
    <row r="53" spans="1:51" ht="14.25" customHeight="1">
      <c r="B53" s="18" t="s">
        <v>141</v>
      </c>
      <c r="C53" s="161">
        <f t="array" ref="C53">INDEX($A39:$A46,IF(MATCH(C51,$A39:$A46,1)&lt;E49,MATCH(C51,$A39:$A46,1)+1,MATCH(C51,$A39:$A46,1)))</f>
        <v>11500</v>
      </c>
      <c r="D53" s="1"/>
      <c r="E53" s="40"/>
      <c r="G53" s="1"/>
      <c r="H53" s="1"/>
      <c r="I53" s="1"/>
      <c r="J53" s="18" t="s">
        <v>141</v>
      </c>
      <c r="K53" s="161">
        <f t="array" ref="K53">INDEX($A39:$A46,IF(MATCH(K51,$A39:$A46,1)&lt;M49,MATCH(K51,$A39:$A46,1)+1,MATCH(K51,$A39:$A46,1)))</f>
        <v>12500</v>
      </c>
      <c r="L53" s="1"/>
      <c r="M53" s="40"/>
      <c r="O53" s="54"/>
    </row>
    <row r="54" spans="1:51" ht="14.25" customHeight="1">
      <c r="B54" s="159" t="s">
        <v>142</v>
      </c>
      <c r="C54" s="160">
        <f>INDEX($B39:$E46,MATCH(C51,$A39:$A46,1),MATCH(C48,$B38:$E38,1))</f>
        <v>940</v>
      </c>
      <c r="D54" s="1"/>
      <c r="E54" s="40"/>
      <c r="G54" s="1"/>
      <c r="H54" s="1"/>
      <c r="I54" s="1"/>
      <c r="J54" s="159" t="s">
        <v>142</v>
      </c>
      <c r="K54" s="160">
        <f>INDEX($B39:$E46,MATCH(K51,$A39:$A46,1),MATCH(K48,$B38:$E38,1))</f>
        <v>1000</v>
      </c>
      <c r="L54" s="1"/>
      <c r="M54" s="40"/>
      <c r="O54" s="54"/>
    </row>
    <row r="55" spans="1:51" ht="14.25" customHeight="1">
      <c r="B55" s="159" t="s">
        <v>184</v>
      </c>
      <c r="C55" s="160">
        <f t="array" ref="C55">INDEX($B39:$E46,MATCH(C51,$A39:$A46,1),IF(MATCH(C48,$B38:$E38,1)&lt;E50,MATCH(C48,$B38:$E38,1)+1,MATCH(C51,$A39:$A46,1)))</f>
        <v>1080</v>
      </c>
      <c r="E55" s="40"/>
      <c r="G55" s="1"/>
      <c r="H55" s="1"/>
      <c r="I55" s="1"/>
      <c r="J55" s="159" t="s">
        <v>184</v>
      </c>
      <c r="K55" s="160">
        <f t="array" ref="K55">INDEX($B39:$E46,MATCH(K51,$A39:$A46,1),IF(MATCH(K48,$B38:$E38,1)&lt;M50,MATCH(K48,$B38:$E38,1)+1,MATCH(K51,$A39:$A46,1)))</f>
        <v>1175</v>
      </c>
      <c r="M55" s="40"/>
      <c r="O55" s="11"/>
    </row>
    <row r="56" spans="1:51" ht="14.25" customHeight="1">
      <c r="B56" s="159" t="s">
        <v>143</v>
      </c>
      <c r="C56" s="160">
        <f t="array" ref="C56">INDEX($B39:$E46,IF(MATCH(C51,$A39:$A46,1)&lt;E49,MATCH(C51,$A39:$A46,1)+1,MATCH(C51,$A39:$A46,1)),MATCH(C48,$B38:$E38,1))</f>
        <v>950</v>
      </c>
      <c r="E56" s="40"/>
      <c r="G56" s="1"/>
      <c r="H56" s="1"/>
      <c r="I56" s="1"/>
      <c r="J56" s="159" t="s">
        <v>143</v>
      </c>
      <c r="K56" s="160">
        <f t="array" ref="K56">INDEX($B39:$E46,IF(MATCH(K51,$A39:$A46,1)&lt;M49,MATCH(K51,$A39:$A46,1)+1,MATCH(K51,$A39:$A46,1)),MATCH(K48,$B38:$E38,1))</f>
        <v>1000</v>
      </c>
      <c r="M56" s="40"/>
      <c r="O56" s="11"/>
    </row>
    <row r="57" spans="1:51" ht="14.25" customHeight="1">
      <c r="B57" s="159" t="s">
        <v>185</v>
      </c>
      <c r="C57" s="160">
        <f t="array" ref="C57">INDEX($B39:$E46,IF(MATCH(C51,$A39:$A46,1)&lt;E49,MATCH(C51,$A39:$A46,1)+1,MATCH(C51,$A39:$A46,1)),IF(MATCH(C48,$B38:$E38,1)&lt;E50,MATCH(C48,$B38:$E38,1)+1,MATCH(C48,$B38:$E38,1)))</f>
        <v>1110</v>
      </c>
      <c r="G57" s="1"/>
      <c r="H57" s="1"/>
      <c r="I57" s="1"/>
      <c r="J57" s="159" t="s">
        <v>185</v>
      </c>
      <c r="K57" s="160">
        <f t="array" ref="K57">INDEX($B39:$E46,IF(MATCH(K51,$A39:$A46,1)&lt;M49,MATCH(K51,$A39:$A46,1)+1,MATCH(K51,$A39:$A46,1)),IF(MATCH(K48,$B38:$E38,1)&lt;M50,MATCH(K48,$B38:$E38,1)+1,MATCH(K48,$B38:$E38,1)))</f>
        <v>1175</v>
      </c>
      <c r="O57" s="11"/>
    </row>
    <row r="58" spans="1:51" ht="14.25" customHeight="1">
      <c r="B58" s="18" t="s">
        <v>186</v>
      </c>
      <c r="C58" s="161">
        <f>IFERROR(C54+(C48-C49)*(C55-C54)/(C50-C49),C54)</f>
        <v>980</v>
      </c>
      <c r="G58" s="1"/>
      <c r="H58" s="1"/>
      <c r="I58" s="1"/>
      <c r="J58" s="18" t="s">
        <v>186</v>
      </c>
      <c r="K58" s="161">
        <f>IFERROR(K54+(K48-K49)*(K55-K54)/(K50-K49),K54)</f>
        <v>1050</v>
      </c>
      <c r="O58" s="11"/>
    </row>
    <row r="59" spans="1:51" ht="14.25" customHeight="1">
      <c r="B59" s="18" t="s">
        <v>187</v>
      </c>
      <c r="C59" s="161">
        <f>IFERROR(C56+(C48-C49)*(C57-C56)/(C50-C49),C56)</f>
        <v>995.71428571428567</v>
      </c>
      <c r="G59" s="1"/>
      <c r="H59" s="1"/>
      <c r="I59" s="1"/>
      <c r="J59" s="18" t="s">
        <v>187</v>
      </c>
      <c r="K59" s="161">
        <f>IFERROR(K56+(K48-K49)*(K57-K56)/(K50-K49),K56)</f>
        <v>1050</v>
      </c>
      <c r="O59" s="11"/>
    </row>
    <row r="60" spans="1:51" ht="14.25" customHeight="1">
      <c r="B60" s="159" t="s">
        <v>188</v>
      </c>
      <c r="C60" s="160">
        <f>IFERROR(C58+(C51-C52)*(C59-C58)/(C53-C52),C58)</f>
        <v>980</v>
      </c>
      <c r="G60" s="1"/>
      <c r="H60" s="1"/>
      <c r="I60" s="1"/>
      <c r="J60" s="159" t="s">
        <v>188</v>
      </c>
      <c r="K60" s="160">
        <f>IFERROR(K58+(K51-K52)*(K59-K58)/(K53-K52),K58)</f>
        <v>1050</v>
      </c>
      <c r="O60" s="11"/>
    </row>
    <row r="61" spans="1:51" ht="14.25" customHeight="1">
      <c r="B61" s="159"/>
      <c r="C61" s="160"/>
      <c r="G61" s="1"/>
      <c r="H61" s="1"/>
      <c r="I61" s="1"/>
      <c r="J61" s="159"/>
      <c r="K61" s="160"/>
      <c r="O61" s="11"/>
      <c r="P61" s="1"/>
      <c r="Q61" s="1"/>
      <c r="R61" s="159"/>
      <c r="S61" s="160"/>
      <c r="W61" s="1"/>
      <c r="X61" s="1"/>
      <c r="Y61" s="1"/>
      <c r="Z61" s="159"/>
      <c r="AA61" s="160"/>
      <c r="AE61" s="1"/>
      <c r="AF61" s="1"/>
      <c r="AG61" s="1"/>
      <c r="AH61" s="159"/>
      <c r="AI61" s="160"/>
      <c r="AM61" s="1"/>
      <c r="AN61" s="1"/>
      <c r="AO61" s="1"/>
      <c r="AP61" s="159"/>
      <c r="AQ61" s="160"/>
      <c r="AU61" s="1"/>
      <c r="AV61" s="1"/>
      <c r="AW61" s="1"/>
      <c r="AX61" s="159"/>
      <c r="AY61" s="160"/>
    </row>
    <row r="62" spans="1:51" ht="15" customHeight="1">
      <c r="B62" s="159"/>
      <c r="C62" s="160"/>
      <c r="G62" s="1"/>
      <c r="H62" s="1"/>
      <c r="I62" s="1"/>
      <c r="J62" s="159"/>
      <c r="K62" s="160"/>
      <c r="O62" s="1"/>
      <c r="P62" s="1"/>
      <c r="Q62" s="1"/>
      <c r="R62" s="159"/>
      <c r="S62" s="160"/>
      <c r="W62" s="1"/>
      <c r="X62" s="1"/>
      <c r="Y62" s="1"/>
      <c r="Z62" s="159"/>
      <c r="AA62" s="160"/>
      <c r="AE62" s="1"/>
      <c r="AF62" s="1"/>
      <c r="AG62" s="1"/>
      <c r="AH62" s="159"/>
      <c r="AI62" s="160"/>
      <c r="AM62" s="1"/>
      <c r="AN62" s="1"/>
      <c r="AO62" s="1"/>
      <c r="AP62" s="159"/>
      <c r="AQ62" s="160"/>
      <c r="AU62" s="1"/>
      <c r="AV62" s="1"/>
      <c r="AW62" s="1"/>
      <c r="AX62" s="159"/>
      <c r="AY62" s="160"/>
    </row>
    <row r="63" spans="1:51" ht="15" customHeight="1">
      <c r="B63" s="275" t="s">
        <v>190</v>
      </c>
      <c r="C63" s="275"/>
      <c r="D63" s="275"/>
      <c r="E63" s="275"/>
      <c r="F63" s="275"/>
      <c r="G63" s="14"/>
      <c r="H63" s="14"/>
      <c r="I63" s="14"/>
      <c r="J63" s="14"/>
      <c r="K63" s="14"/>
      <c r="L63" s="14"/>
      <c r="M63" s="14"/>
      <c r="N63" s="14"/>
      <c r="O63" s="14"/>
      <c r="P63" s="1"/>
      <c r="Q63" s="1"/>
      <c r="R63" s="159"/>
      <c r="S63" s="160"/>
      <c r="W63" s="1"/>
      <c r="X63" s="1"/>
      <c r="Y63" s="1"/>
      <c r="Z63" s="159"/>
      <c r="AA63" s="160"/>
      <c r="AE63" s="1"/>
      <c r="AF63" s="1"/>
      <c r="AG63" s="1"/>
      <c r="AH63" s="159"/>
      <c r="AI63" s="160"/>
      <c r="AM63" s="1"/>
      <c r="AN63" s="1"/>
      <c r="AO63" s="1"/>
      <c r="AP63" s="159"/>
      <c r="AQ63" s="160"/>
      <c r="AU63" s="1"/>
      <c r="AV63" s="1"/>
      <c r="AW63" s="1"/>
      <c r="AX63" s="159"/>
      <c r="AY63" s="160"/>
    </row>
    <row r="64" spans="1:51" ht="15" customHeight="1">
      <c r="A64" t="s">
        <v>42</v>
      </c>
      <c r="B64" s="225">
        <v>850</v>
      </c>
      <c r="C64" s="237">
        <v>1175</v>
      </c>
      <c r="D64" s="237">
        <v>1500</v>
      </c>
      <c r="E64" s="227">
        <v>2000</v>
      </c>
      <c r="F64" s="238"/>
      <c r="G64" s="160"/>
      <c r="I64" s="159"/>
      <c r="J64" s="160"/>
      <c r="N64" s="1"/>
      <c r="O64" s="1"/>
      <c r="P64" s="1"/>
      <c r="S64" s="1"/>
      <c r="T64" s="1"/>
      <c r="U64" s="1"/>
      <c r="V64" s="159"/>
      <c r="W64" s="160"/>
      <c r="AA64" s="1"/>
      <c r="AB64" s="1"/>
      <c r="AC64" s="1"/>
      <c r="AD64" s="159"/>
      <c r="AE64" s="160"/>
      <c r="AI64" s="1"/>
      <c r="AJ64" s="1"/>
      <c r="AK64" s="1"/>
      <c r="AL64" s="159"/>
      <c r="AM64" s="160"/>
      <c r="AQ64" s="1"/>
      <c r="AR64" s="1"/>
      <c r="AS64" s="1"/>
      <c r="AT64" s="159"/>
      <c r="AU64" s="160"/>
    </row>
    <row r="65" spans="1:53" ht="15" customHeight="1">
      <c r="A65">
        <v>-10</v>
      </c>
      <c r="B65" s="225">
        <v>1150</v>
      </c>
      <c r="C65" s="237">
        <v>1525</v>
      </c>
      <c r="D65" s="237">
        <v>1900</v>
      </c>
      <c r="E65" s="239">
        <v>99999</v>
      </c>
      <c r="F65" s="238"/>
      <c r="G65" s="160"/>
      <c r="H65" s="160"/>
      <c r="I65" s="160"/>
      <c r="J65" s="160"/>
      <c r="K65" s="160"/>
      <c r="L65" s="160"/>
      <c r="M65" s="160"/>
      <c r="N65" s="160"/>
      <c r="O65" s="160"/>
      <c r="P65" s="1"/>
      <c r="S65" s="1"/>
      <c r="T65" s="1"/>
      <c r="U65" s="1"/>
      <c r="V65" s="159"/>
      <c r="W65" s="160"/>
      <c r="AA65" s="1"/>
      <c r="AB65" s="1"/>
      <c r="AC65" s="1"/>
      <c r="AD65" s="159"/>
      <c r="AE65" s="160"/>
      <c r="AI65" s="1"/>
      <c r="AJ65" s="1"/>
      <c r="AK65" s="1"/>
      <c r="AL65" s="159"/>
      <c r="AM65" s="160"/>
      <c r="AQ65" s="1"/>
      <c r="AR65" s="1"/>
      <c r="AS65" s="1"/>
      <c r="AT65" s="159"/>
      <c r="AU65" s="160"/>
    </row>
    <row r="66" spans="1:53" ht="15" customHeight="1">
      <c r="A66">
        <v>0</v>
      </c>
      <c r="B66" s="240">
        <v>850</v>
      </c>
      <c r="C66" s="14">
        <v>1175</v>
      </c>
      <c r="D66" s="14">
        <v>1500</v>
      </c>
      <c r="E66" s="239">
        <v>99999</v>
      </c>
      <c r="F66" s="238"/>
      <c r="G66" s="160"/>
      <c r="I66" s="159"/>
      <c r="J66" s="160"/>
      <c r="N66" s="1"/>
      <c r="O66" s="1"/>
      <c r="P66" s="1"/>
      <c r="S66" s="1"/>
      <c r="T66" s="1"/>
      <c r="U66" s="1"/>
      <c r="V66" s="159"/>
      <c r="W66" s="160"/>
      <c r="AA66" s="1"/>
      <c r="AB66" s="1"/>
      <c r="AC66" s="1"/>
      <c r="AD66" s="159"/>
      <c r="AE66" s="160"/>
      <c r="AI66" s="1"/>
      <c r="AJ66" s="1"/>
      <c r="AK66" s="1"/>
      <c r="AL66" s="159"/>
      <c r="AM66" s="160"/>
      <c r="AQ66" s="1"/>
      <c r="AR66" s="1"/>
      <c r="AS66" s="1"/>
      <c r="AT66" s="159"/>
      <c r="AU66" s="160"/>
    </row>
    <row r="67" spans="1:53" ht="15" customHeight="1">
      <c r="A67">
        <v>30</v>
      </c>
      <c r="B67" s="235">
        <v>575</v>
      </c>
      <c r="C67" s="241">
        <v>850</v>
      </c>
      <c r="D67" s="241">
        <v>1140</v>
      </c>
      <c r="E67" s="239">
        <v>99999</v>
      </c>
      <c r="F67" s="238"/>
      <c r="G67" s="160"/>
      <c r="I67" s="159"/>
      <c r="J67" s="160"/>
      <c r="N67" s="1"/>
      <c r="O67" s="1"/>
      <c r="P67" s="1"/>
      <c r="S67" s="1"/>
      <c r="T67" s="1"/>
      <c r="U67" s="1"/>
      <c r="V67" s="159"/>
      <c r="W67" s="160"/>
      <c r="AA67" s="1"/>
      <c r="AB67" s="1"/>
      <c r="AC67" s="1"/>
      <c r="AD67" s="159"/>
      <c r="AE67" s="160"/>
      <c r="AI67" s="1"/>
      <c r="AJ67" s="1"/>
      <c r="AK67" s="1"/>
      <c r="AL67" s="159"/>
      <c r="AM67" s="160"/>
      <c r="AQ67" s="1"/>
      <c r="AR67" s="1"/>
      <c r="AS67" s="1"/>
      <c r="AT67" s="159"/>
      <c r="AU67" s="160"/>
    </row>
    <row r="68" spans="1:53" ht="15" customHeight="1">
      <c r="B68" s="159"/>
      <c r="C68" s="160"/>
      <c r="G68" s="1"/>
      <c r="H68" s="1"/>
      <c r="I68" s="1"/>
      <c r="J68" s="159"/>
      <c r="K68" s="160"/>
      <c r="O68" s="54"/>
      <c r="P68" s="1"/>
      <c r="Q68" s="1"/>
      <c r="R68" s="159"/>
      <c r="S68" s="160"/>
      <c r="W68" s="1"/>
      <c r="X68" s="1"/>
      <c r="Y68" s="1"/>
      <c r="Z68" s="159"/>
      <c r="AA68" s="160"/>
      <c r="AE68" s="1"/>
      <c r="AF68" s="1"/>
      <c r="AG68" s="1"/>
      <c r="AH68" s="159"/>
      <c r="AI68" s="160"/>
      <c r="AM68" s="1"/>
      <c r="AN68" s="1"/>
      <c r="AO68" s="1"/>
      <c r="AP68" s="159"/>
      <c r="AQ68" s="160"/>
      <c r="AU68" s="1"/>
      <c r="AV68" s="1"/>
      <c r="AW68" s="1"/>
      <c r="AX68" s="159"/>
      <c r="AY68" s="160"/>
    </row>
    <row r="69" spans="1:53" ht="15" customHeight="1">
      <c r="B69" s="159" t="s">
        <v>138</v>
      </c>
      <c r="C69" s="160">
        <f>C60</f>
        <v>980</v>
      </c>
      <c r="D69" s="276" t="s">
        <v>181</v>
      </c>
      <c r="E69" s="276"/>
      <c r="G69" s="1"/>
      <c r="H69" s="1"/>
      <c r="I69" s="1"/>
      <c r="J69" s="159" t="s">
        <v>138</v>
      </c>
      <c r="K69" s="160">
        <f>K60</f>
        <v>1050</v>
      </c>
      <c r="L69" s="276" t="s">
        <v>181</v>
      </c>
      <c r="M69" s="276"/>
      <c r="O69" s="54"/>
      <c r="P69" s="1"/>
      <c r="Q69" s="1"/>
      <c r="R69" s="159"/>
      <c r="S69" s="160"/>
      <c r="T69" s="276"/>
      <c r="U69" s="276"/>
      <c r="W69" s="1"/>
      <c r="X69" s="1"/>
      <c r="Y69" s="1"/>
      <c r="Z69" s="159"/>
      <c r="AA69" s="160"/>
      <c r="AB69" s="276"/>
      <c r="AC69" s="276"/>
      <c r="AE69" s="1"/>
      <c r="AF69" s="1"/>
      <c r="AG69" s="1"/>
      <c r="AH69" s="159"/>
      <c r="AI69" s="160"/>
      <c r="AJ69" s="276"/>
      <c r="AK69" s="276"/>
      <c r="AM69" s="1"/>
      <c r="AN69" s="1"/>
      <c r="AO69" s="1"/>
      <c r="AP69" s="159"/>
      <c r="AQ69" s="160"/>
      <c r="AR69" s="276"/>
      <c r="AS69" s="276"/>
      <c r="AU69" s="1"/>
      <c r="AV69" s="1"/>
      <c r="AW69" s="1"/>
      <c r="AX69" s="159"/>
      <c r="AY69" s="160"/>
      <c r="AZ69" s="276"/>
      <c r="BA69" s="276"/>
    </row>
    <row r="70" spans="1:53" ht="15" customHeight="1">
      <c r="B70" s="18" t="s">
        <v>182</v>
      </c>
      <c r="C70" s="161">
        <f>INDEX($B64:$E64,MATCH(C69,$B64:$E64,1))</f>
        <v>850</v>
      </c>
      <c r="D70" s="18" t="s">
        <v>136</v>
      </c>
      <c r="E70" s="49">
        <f>MATCH(MAX($A65:$A67),$A65:$A67,1)</f>
        <v>3</v>
      </c>
      <c r="G70" s="1"/>
      <c r="H70" s="1"/>
      <c r="I70" s="1"/>
      <c r="J70" s="18" t="s">
        <v>182</v>
      </c>
      <c r="K70" s="161">
        <f>INDEX($B64:$E64,MATCH(K69,$B64:$E64,1))</f>
        <v>850</v>
      </c>
      <c r="L70" s="18" t="s">
        <v>136</v>
      </c>
      <c r="M70" s="49">
        <f>MATCH(MAX($A65:$A67),$A65:$A67,1)</f>
        <v>3</v>
      </c>
      <c r="O70" s="54"/>
      <c r="P70" s="1"/>
      <c r="Q70" s="1"/>
      <c r="R70" s="18"/>
      <c r="S70" s="161"/>
      <c r="T70" s="18"/>
      <c r="U70" s="49"/>
      <c r="W70" s="1"/>
      <c r="X70" s="1"/>
      <c r="Y70" s="1"/>
      <c r="Z70" s="18"/>
      <c r="AA70" s="161"/>
      <c r="AB70" s="18"/>
      <c r="AC70" s="49"/>
      <c r="AE70" s="1"/>
      <c r="AF70" s="1"/>
      <c r="AG70" s="1"/>
      <c r="AH70" s="18"/>
      <c r="AI70" s="161"/>
      <c r="AJ70" s="18"/>
      <c r="AK70" s="49"/>
      <c r="AM70" s="1"/>
      <c r="AN70" s="1"/>
      <c r="AO70" s="1"/>
      <c r="AP70" s="18"/>
      <c r="AQ70" s="161"/>
      <c r="AR70" s="18"/>
      <c r="AS70" s="49"/>
      <c r="AU70" s="1"/>
      <c r="AV70" s="1"/>
      <c r="AW70" s="1"/>
      <c r="AX70" s="18"/>
      <c r="AY70" s="161"/>
      <c r="AZ70" s="18"/>
      <c r="BA70" s="49"/>
    </row>
    <row r="71" spans="1:53" ht="15" customHeight="1">
      <c r="B71" s="18" t="s">
        <v>183</v>
      </c>
      <c r="C71" s="161">
        <f t="array" ref="C71">INDEX($B64:$E64,IF(MATCH(C69,$B64:$E64,1)&lt;E71,MATCH(C69,$B64:$E64,1)+1,MATCH(C69,$B64:$E64,1)))</f>
        <v>1175</v>
      </c>
      <c r="D71" s="18" t="s">
        <v>137</v>
      </c>
      <c r="E71" s="49">
        <f>MATCH(MAX($B64:$E64),$B64:$E64,0)</f>
        <v>4</v>
      </c>
      <c r="G71" s="1"/>
      <c r="H71" s="1"/>
      <c r="I71" s="1"/>
      <c r="J71" s="18" t="s">
        <v>183</v>
      </c>
      <c r="K71" s="161">
        <f t="array" ref="K71">INDEX($B64:$E64,IF(MATCH(K69,$B64:$E64,1)&lt;M71,MATCH(K69,$B64:$E64,1)+1,MATCH(K69,$B64:$E64,1)))</f>
        <v>1175</v>
      </c>
      <c r="L71" s="18" t="s">
        <v>137</v>
      </c>
      <c r="M71" s="49">
        <f>MATCH(MAX($B64:$E64),$B64:$E64,0)</f>
        <v>4</v>
      </c>
      <c r="O71" s="54"/>
      <c r="P71" s="1"/>
      <c r="Q71" s="1"/>
      <c r="R71" s="18"/>
      <c r="S71" s="161"/>
      <c r="T71" s="18"/>
      <c r="U71" s="49"/>
      <c r="W71" s="1"/>
      <c r="X71" s="1"/>
      <c r="Y71" s="1"/>
      <c r="Z71" s="18"/>
      <c r="AA71" s="161"/>
      <c r="AB71" s="18"/>
      <c r="AC71" s="49"/>
      <c r="AE71" s="1"/>
      <c r="AF71" s="1"/>
      <c r="AG71" s="1"/>
      <c r="AH71" s="18"/>
      <c r="AI71" s="161"/>
      <c r="AJ71" s="18"/>
      <c r="AK71" s="49"/>
      <c r="AM71" s="1"/>
      <c r="AN71" s="1"/>
      <c r="AO71" s="1"/>
      <c r="AP71" s="18"/>
      <c r="AQ71" s="161"/>
      <c r="AR71" s="18"/>
      <c r="AS71" s="49"/>
      <c r="AU71" s="1"/>
      <c r="AV71" s="1"/>
      <c r="AW71" s="1"/>
      <c r="AX71" s="18"/>
      <c r="AY71" s="161"/>
      <c r="AZ71" s="18"/>
      <c r="BA71" s="49"/>
    </row>
    <row r="72" spans="1:53" ht="15" customHeight="1">
      <c r="B72" s="159" t="s">
        <v>139</v>
      </c>
      <c r="C72" s="205">
        <f>Landing!C21</f>
        <v>0</v>
      </c>
      <c r="D72" s="1"/>
      <c r="E72" s="1"/>
      <c r="G72" s="1"/>
      <c r="H72" s="1"/>
      <c r="I72" s="1"/>
      <c r="J72" s="159" t="s">
        <v>139</v>
      </c>
      <c r="K72" s="205">
        <f>'Take-off'!$C$24</f>
        <v>0</v>
      </c>
      <c r="L72" s="1"/>
      <c r="M72" s="1"/>
      <c r="O72" s="54"/>
      <c r="P72" s="1"/>
      <c r="Q72" s="1"/>
      <c r="R72" s="159"/>
      <c r="S72" s="205"/>
      <c r="T72" s="1"/>
      <c r="U72" s="1"/>
      <c r="W72" s="1"/>
      <c r="X72" s="1"/>
      <c r="Y72" s="1"/>
      <c r="Z72" s="159"/>
      <c r="AA72" s="205"/>
      <c r="AB72" s="1"/>
      <c r="AC72" s="1"/>
      <c r="AE72" s="1"/>
      <c r="AF72" s="1"/>
      <c r="AG72" s="1"/>
      <c r="AH72" s="159"/>
      <c r="AI72" s="205"/>
      <c r="AJ72" s="1"/>
      <c r="AK72" s="1"/>
      <c r="AM72" s="1"/>
      <c r="AN72" s="1"/>
      <c r="AO72" s="1"/>
      <c r="AP72" s="159"/>
      <c r="AQ72" s="205"/>
      <c r="AR72" s="1"/>
      <c r="AS72" s="1"/>
      <c r="AU72" s="1"/>
      <c r="AV72" s="1"/>
      <c r="AW72" s="1"/>
      <c r="AX72" s="159"/>
      <c r="AY72" s="205"/>
      <c r="AZ72" s="1"/>
      <c r="BA72" s="1"/>
    </row>
    <row r="73" spans="1:53" ht="15" customHeight="1">
      <c r="B73" s="18" t="s">
        <v>140</v>
      </c>
      <c r="C73" s="161">
        <f>INDEX($A65:$A67,MATCH(C72,$A65:$A67,1))</f>
        <v>0</v>
      </c>
      <c r="D73" s="1"/>
      <c r="E73" s="40"/>
      <c r="G73" s="1"/>
      <c r="H73" s="1"/>
      <c r="I73" s="1"/>
      <c r="J73" s="18" t="s">
        <v>140</v>
      </c>
      <c r="K73" s="161">
        <f>INDEX($A65:$A67,MATCH(K72,$A65:$A67,1))</f>
        <v>0</v>
      </c>
      <c r="L73" s="1"/>
      <c r="M73" s="40"/>
      <c r="O73" s="54"/>
      <c r="P73" s="1"/>
      <c r="Q73" s="1"/>
      <c r="R73" s="18"/>
      <c r="S73" s="161"/>
      <c r="T73" s="1"/>
      <c r="U73" s="40"/>
      <c r="W73" s="1"/>
      <c r="X73" s="1"/>
      <c r="Y73" s="1"/>
      <c r="Z73" s="18"/>
      <c r="AA73" s="161"/>
      <c r="AB73" s="1"/>
      <c r="AC73" s="40"/>
      <c r="AE73" s="1"/>
      <c r="AF73" s="1"/>
      <c r="AG73" s="1"/>
      <c r="AH73" s="18"/>
      <c r="AI73" s="161"/>
      <c r="AJ73" s="1"/>
      <c r="AK73" s="40"/>
      <c r="AM73" s="1"/>
      <c r="AN73" s="1"/>
      <c r="AO73" s="1"/>
      <c r="AP73" s="18"/>
      <c r="AQ73" s="161"/>
      <c r="AR73" s="1"/>
      <c r="AS73" s="40"/>
      <c r="AU73" s="1"/>
      <c r="AV73" s="1"/>
      <c r="AW73" s="1"/>
      <c r="AX73" s="18"/>
      <c r="AY73" s="161"/>
      <c r="AZ73" s="1"/>
      <c r="BA73" s="40"/>
    </row>
    <row r="74" spans="1:53" ht="15" customHeight="1">
      <c r="B74" s="18" t="s">
        <v>141</v>
      </c>
      <c r="C74" s="161">
        <f t="array" ref="C74">INDEX($A65:$A67,IF(MATCH(C72,$A65:$A67,1)&lt;E70,MATCH(C72,$A65:$A67,1)+1,MATCH(C72,$A65:$A67,1)))</f>
        <v>30</v>
      </c>
      <c r="D74" s="1"/>
      <c r="E74" s="40"/>
      <c r="G74" s="1"/>
      <c r="H74" s="1"/>
      <c r="I74" s="1"/>
      <c r="J74" s="18" t="s">
        <v>141</v>
      </c>
      <c r="K74" s="161">
        <f t="array" ref="K74">INDEX($A65:$A67,IF(MATCH(K72,$A65:$A67,1)&lt;M70,MATCH(K72,$A65:$A67,1)+1,MATCH(K72,$A65:$A67,1)))</f>
        <v>30</v>
      </c>
      <c r="L74" s="1"/>
      <c r="M74" s="40"/>
      <c r="O74" s="54"/>
      <c r="P74" s="1"/>
      <c r="Q74" s="1"/>
      <c r="R74" s="18"/>
      <c r="S74" s="161"/>
      <c r="T74" s="1"/>
      <c r="U74" s="40"/>
      <c r="W74" s="1"/>
      <c r="X74" s="1"/>
      <c r="Y74" s="1"/>
      <c r="Z74" s="18"/>
      <c r="AA74" s="161"/>
      <c r="AB74" s="1"/>
      <c r="AC74" s="40"/>
      <c r="AE74" s="1"/>
      <c r="AF74" s="1"/>
      <c r="AG74" s="1"/>
      <c r="AH74" s="18"/>
      <c r="AI74" s="161"/>
      <c r="AJ74" s="1"/>
      <c r="AK74" s="40"/>
      <c r="AM74" s="1"/>
      <c r="AN74" s="1"/>
      <c r="AO74" s="1"/>
      <c r="AP74" s="18"/>
      <c r="AQ74" s="161"/>
      <c r="AR74" s="1"/>
      <c r="AS74" s="40"/>
      <c r="AU74" s="1"/>
      <c r="AV74" s="1"/>
      <c r="AW74" s="1"/>
      <c r="AX74" s="18"/>
      <c r="AY74" s="161"/>
      <c r="AZ74" s="1"/>
      <c r="BA74" s="40"/>
    </row>
    <row r="75" spans="1:53" ht="15" customHeight="1">
      <c r="B75" s="159" t="s">
        <v>142</v>
      </c>
      <c r="C75" s="160">
        <f>INDEX($B65:$E67,MATCH(C72,$A65:$A67,1),MATCH(C69,$B64:$E64,1))</f>
        <v>850</v>
      </c>
      <c r="D75" s="1"/>
      <c r="E75" s="40"/>
      <c r="G75" s="1"/>
      <c r="H75" s="1"/>
      <c r="I75" s="1"/>
      <c r="J75" s="159" t="s">
        <v>142</v>
      </c>
      <c r="K75" s="160">
        <f>INDEX($B65:$E67,MATCH(K72,$A65:$A67,1),MATCH(K69,$B64:$E64,1))</f>
        <v>850</v>
      </c>
      <c r="L75" s="1"/>
      <c r="M75" s="40"/>
      <c r="O75" s="54"/>
      <c r="P75" s="1"/>
      <c r="Q75" s="1"/>
      <c r="R75" s="159"/>
      <c r="S75" s="160"/>
      <c r="T75" s="1"/>
      <c r="U75" s="40"/>
      <c r="W75" s="1"/>
      <c r="X75" s="1"/>
      <c r="Y75" s="1"/>
      <c r="Z75" s="159"/>
      <c r="AA75" s="160"/>
      <c r="AB75" s="1"/>
      <c r="AC75" s="40"/>
      <c r="AE75" s="1"/>
      <c r="AF75" s="1"/>
      <c r="AG75" s="1"/>
      <c r="AH75" s="159"/>
      <c r="AI75" s="160"/>
      <c r="AJ75" s="1"/>
      <c r="AK75" s="40"/>
      <c r="AM75" s="1"/>
      <c r="AN75" s="1"/>
      <c r="AO75" s="1"/>
      <c r="AP75" s="159"/>
      <c r="AQ75" s="160"/>
      <c r="AR75" s="1"/>
      <c r="AS75" s="40"/>
      <c r="AU75" s="1"/>
      <c r="AV75" s="1"/>
      <c r="AW75" s="1"/>
      <c r="AX75" s="159"/>
      <c r="AY75" s="160"/>
      <c r="AZ75" s="1"/>
      <c r="BA75" s="40"/>
    </row>
    <row r="76" spans="1:53" ht="15" customHeight="1">
      <c r="B76" s="159" t="s">
        <v>184</v>
      </c>
      <c r="C76" s="160">
        <f t="array" ref="C76">INDEX($B65:$E67,MATCH(C72,$A65:$A67,1),IF(MATCH(C69,$B64:$E64,1)&lt;E71,MATCH(C69,$B64:$E64,1)+1,MATCH(C72,$A65:$A67,1)))</f>
        <v>1175</v>
      </c>
      <c r="E76" s="40"/>
      <c r="G76" s="1"/>
      <c r="H76" s="1"/>
      <c r="I76" s="1"/>
      <c r="J76" s="159" t="s">
        <v>184</v>
      </c>
      <c r="K76" s="160">
        <f t="array" ref="K76">INDEX($B65:$E67,MATCH(K72,$A65:$A67,1),IF(MATCH(K69,$B64:$E64,1)&lt;M71,MATCH(K69,$B64:$E64,1)+1,MATCH(K72,$A65:$A67,1)))</f>
        <v>1175</v>
      </c>
      <c r="M76" s="40"/>
      <c r="O76" s="11"/>
      <c r="P76" s="1"/>
      <c r="Q76" s="1"/>
      <c r="R76" s="159"/>
      <c r="S76" s="160"/>
      <c r="U76" s="40"/>
      <c r="W76" s="1"/>
      <c r="X76" s="1"/>
      <c r="Y76" s="1"/>
      <c r="Z76" s="159"/>
      <c r="AA76" s="160"/>
      <c r="AC76" s="40"/>
      <c r="AE76" s="1"/>
      <c r="AF76" s="1"/>
      <c r="AG76" s="1"/>
      <c r="AH76" s="159"/>
      <c r="AI76" s="160"/>
      <c r="AK76" s="40"/>
      <c r="AM76" s="1"/>
      <c r="AN76" s="1"/>
      <c r="AO76" s="1"/>
      <c r="AP76" s="159"/>
      <c r="AQ76" s="160"/>
      <c r="AS76" s="40"/>
      <c r="AU76" s="1"/>
      <c r="AV76" s="1"/>
      <c r="AW76" s="1"/>
      <c r="AX76" s="159"/>
      <c r="AY76" s="160"/>
      <c r="BA76" s="40"/>
    </row>
    <row r="77" spans="1:53" ht="15" customHeight="1">
      <c r="B77" s="159" t="s">
        <v>143</v>
      </c>
      <c r="C77" s="160">
        <f t="array" ref="C77">INDEX($B65:$E67,IF(MATCH(C72,$A65:$A67,1)&lt;E70,MATCH(C72,$A65:$A67,1)+1,MATCH(C72,$A65:$A67,1)),MATCH(C69,$B64:$E64,1))</f>
        <v>575</v>
      </c>
      <c r="E77" s="40"/>
      <c r="G77" s="1"/>
      <c r="H77" s="1"/>
      <c r="I77" s="1"/>
      <c r="J77" s="159" t="s">
        <v>143</v>
      </c>
      <c r="K77" s="160">
        <f t="array" ref="K77">INDEX($B65:$E67,IF(MATCH(K72,$A65:$A67,1)&lt;M70,MATCH(K72,$A65:$A67,1)+1,MATCH(K72,$A65:$A67,1)),MATCH(K69,$B64:$E64,1))</f>
        <v>575</v>
      </c>
      <c r="M77" s="40"/>
      <c r="O77" s="11"/>
      <c r="P77" s="1"/>
      <c r="Q77" s="1"/>
      <c r="R77" s="159"/>
      <c r="S77" s="160"/>
      <c r="U77" s="40"/>
      <c r="W77" s="1"/>
      <c r="X77" s="1"/>
      <c r="Y77" s="1"/>
      <c r="Z77" s="159"/>
      <c r="AA77" s="160"/>
      <c r="AC77" s="40"/>
      <c r="AE77" s="1"/>
      <c r="AF77" s="1"/>
      <c r="AG77" s="1"/>
      <c r="AH77" s="159"/>
      <c r="AI77" s="160"/>
      <c r="AK77" s="40"/>
      <c r="AM77" s="1"/>
      <c r="AN77" s="1"/>
      <c r="AO77" s="1"/>
      <c r="AP77" s="159"/>
      <c r="AQ77" s="160"/>
      <c r="AS77" s="40"/>
      <c r="AU77" s="1"/>
      <c r="AV77" s="1"/>
      <c r="AW77" s="1"/>
      <c r="AX77" s="159"/>
      <c r="AY77" s="160"/>
      <c r="BA77" s="40"/>
    </row>
    <row r="78" spans="1:53" ht="15" customHeight="1">
      <c r="B78" s="159" t="s">
        <v>185</v>
      </c>
      <c r="C78" s="160">
        <f t="array" ref="C78">INDEX($B65:$E67,IF(MATCH(C72,$A65:$A67,1)&lt;E70,MATCH(C72,$A65:$A67,1)+1,MATCH(C72,$A65:$A67,1)),IF(MATCH(C69,$B64:$E64,1)&lt;E71,MATCH(C69,$B64:$E64,1)+1,MATCH(C69,$B64:$E64,1)))</f>
        <v>850</v>
      </c>
      <c r="G78" s="1"/>
      <c r="H78" s="1"/>
      <c r="I78" s="1"/>
      <c r="J78" s="159" t="s">
        <v>185</v>
      </c>
      <c r="K78" s="160">
        <f t="array" ref="K78">INDEX($B65:$E67,IF(MATCH(K72,$A65:$A67,1)&lt;M70,MATCH(K72,$A65:$A67,1)+1,MATCH(K72,$A65:$A67,1)),IF(MATCH(K69,$B64:$E64,1)&lt;M71,MATCH(K69,$B64:$E64,1)+1,MATCH(K69,$B64:$E64,1)))</f>
        <v>850</v>
      </c>
      <c r="O78" s="11"/>
      <c r="P78" s="1"/>
      <c r="Q78" s="1"/>
      <c r="R78" s="159"/>
      <c r="S78" s="160"/>
      <c r="W78" s="1"/>
      <c r="X78" s="1"/>
      <c r="Y78" s="1"/>
      <c r="Z78" s="159"/>
      <c r="AA78" s="160"/>
      <c r="AE78" s="1"/>
      <c r="AF78" s="1"/>
      <c r="AG78" s="1"/>
      <c r="AH78" s="159"/>
      <c r="AI78" s="160"/>
      <c r="AM78" s="1"/>
      <c r="AN78" s="1"/>
      <c r="AO78" s="1"/>
      <c r="AP78" s="159"/>
      <c r="AQ78" s="160"/>
      <c r="AU78" s="1"/>
      <c r="AV78" s="1"/>
      <c r="AW78" s="1"/>
      <c r="AX78" s="159"/>
      <c r="AY78" s="160"/>
    </row>
    <row r="79" spans="1:53" ht="15" customHeight="1">
      <c r="B79" s="18" t="s">
        <v>186</v>
      </c>
      <c r="C79" s="161">
        <f>IFERROR(C75+(C69-C70)*(C76-C75)/(C71-C70),C75)</f>
        <v>980</v>
      </c>
      <c r="G79" s="1"/>
      <c r="H79" s="1"/>
      <c r="I79" s="1"/>
      <c r="J79" s="18" t="s">
        <v>186</v>
      </c>
      <c r="K79" s="161">
        <f>IFERROR(K75+(K69-K70)*(K76-K75)/(K71-K70),K75)</f>
        <v>1050</v>
      </c>
      <c r="O79" s="11"/>
      <c r="P79" s="1"/>
      <c r="Q79" s="1"/>
      <c r="R79" s="18"/>
      <c r="S79" s="161"/>
      <c r="W79" s="1"/>
      <c r="X79" s="1"/>
      <c r="Y79" s="1"/>
      <c r="Z79" s="18"/>
      <c r="AA79" s="161"/>
      <c r="AE79" s="1"/>
      <c r="AF79" s="1"/>
      <c r="AG79" s="1"/>
      <c r="AH79" s="18"/>
      <c r="AI79" s="161"/>
      <c r="AM79" s="1"/>
      <c r="AN79" s="1"/>
      <c r="AO79" s="1"/>
      <c r="AP79" s="18"/>
      <c r="AQ79" s="161"/>
      <c r="AU79" s="1"/>
      <c r="AV79" s="1"/>
      <c r="AW79" s="1"/>
      <c r="AX79" s="18"/>
      <c r="AY79" s="161"/>
    </row>
    <row r="80" spans="1:53" ht="15" customHeight="1">
      <c r="B80" s="18" t="s">
        <v>187</v>
      </c>
      <c r="C80" s="161">
        <f>IFERROR(C77+(C69-C70)*(C78-C77)/(C71-C70),C77)</f>
        <v>685</v>
      </c>
      <c r="G80" s="1"/>
      <c r="H80" s="1"/>
      <c r="I80" s="1"/>
      <c r="J80" s="18" t="s">
        <v>187</v>
      </c>
      <c r="K80" s="161">
        <f>IFERROR(K77+(K69-K70)*(K78-K77)/(K71-K70),K77)</f>
        <v>744.23076923076928</v>
      </c>
      <c r="O80" s="11"/>
      <c r="P80" s="1"/>
      <c r="Q80" s="1"/>
      <c r="R80" s="18"/>
      <c r="S80" s="161"/>
      <c r="W80" s="1"/>
      <c r="X80" s="1"/>
      <c r="Y80" s="1"/>
      <c r="Z80" s="18"/>
      <c r="AA80" s="161"/>
      <c r="AE80" s="1"/>
      <c r="AF80" s="1"/>
      <c r="AG80" s="1"/>
      <c r="AH80" s="18"/>
      <c r="AI80" s="161"/>
      <c r="AM80" s="1"/>
      <c r="AN80" s="1"/>
      <c r="AO80" s="1"/>
      <c r="AP80" s="18"/>
      <c r="AQ80" s="161"/>
      <c r="AU80" s="1"/>
      <c r="AV80" s="1"/>
      <c r="AW80" s="1"/>
      <c r="AX80" s="18"/>
      <c r="AY80" s="161"/>
    </row>
    <row r="81" spans="1:61" ht="15" customHeight="1">
      <c r="B81" s="159" t="s">
        <v>188</v>
      </c>
      <c r="C81" s="160">
        <f>IFERROR(C79+(C72-C73)*(C80-C79)/(C74-C73),C79)</f>
        <v>980</v>
      </c>
      <c r="G81" s="1"/>
      <c r="H81" s="1"/>
      <c r="I81" s="1"/>
      <c r="J81" s="159" t="s">
        <v>188</v>
      </c>
      <c r="K81" s="160">
        <f>IFERROR(K79+(K72-K73)*(K80-K79)/(K74-K73),K79)</f>
        <v>1050</v>
      </c>
      <c r="O81" s="11"/>
      <c r="P81" s="1"/>
      <c r="Q81" s="1"/>
      <c r="R81" s="159"/>
      <c r="S81" s="160"/>
      <c r="W81" s="1"/>
      <c r="X81" s="1"/>
      <c r="Y81" s="1"/>
      <c r="Z81" s="159"/>
      <c r="AA81" s="160"/>
      <c r="AE81" s="1"/>
      <c r="AF81" s="1"/>
      <c r="AG81" s="1"/>
      <c r="AH81" s="159"/>
      <c r="AI81" s="160"/>
      <c r="AM81" s="1"/>
      <c r="AN81" s="1"/>
      <c r="AO81" s="1"/>
      <c r="AP81" s="159"/>
      <c r="AQ81" s="160"/>
      <c r="AU81" s="1"/>
      <c r="AV81" s="1"/>
      <c r="AW81" s="1"/>
      <c r="AX81" s="159"/>
      <c r="AY81" s="160"/>
    </row>
    <row r="82" spans="1:61" ht="15" customHeight="1">
      <c r="B82" s="159"/>
      <c r="C82" s="160"/>
      <c r="G82" s="1"/>
      <c r="H82" s="1"/>
      <c r="I82" s="1"/>
      <c r="J82" s="159"/>
      <c r="K82" s="160"/>
      <c r="O82" s="11"/>
      <c r="P82" s="1"/>
      <c r="Q82" s="1"/>
      <c r="R82" s="159"/>
      <c r="S82" s="160"/>
      <c r="W82" s="1"/>
      <c r="X82" s="1"/>
      <c r="Y82" s="1"/>
      <c r="Z82" s="159"/>
      <c r="AA82" s="160"/>
      <c r="AE82" s="1"/>
      <c r="AF82" s="1"/>
      <c r="AG82" s="1"/>
      <c r="AH82" s="159"/>
      <c r="AI82" s="160"/>
      <c r="AM82" s="1"/>
      <c r="AN82" s="1"/>
      <c r="AO82" s="1"/>
      <c r="AP82" s="159"/>
      <c r="AQ82" s="160"/>
      <c r="AU82" s="1"/>
      <c r="AV82" s="1"/>
      <c r="AW82" s="1"/>
      <c r="AX82" s="159"/>
      <c r="AY82" s="160"/>
    </row>
    <row r="83" spans="1:61" ht="15" customHeight="1">
      <c r="B83" s="275" t="s">
        <v>191</v>
      </c>
      <c r="C83" s="275"/>
      <c r="D83" s="275"/>
      <c r="E83" s="275"/>
      <c r="F83" s="275"/>
      <c r="G83" s="275"/>
      <c r="H83" s="275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W83" s="1"/>
      <c r="X83" s="1"/>
      <c r="Y83" s="1"/>
      <c r="Z83" s="159"/>
      <c r="AA83" s="160"/>
      <c r="AE83" s="1"/>
      <c r="AF83" s="1"/>
      <c r="AG83" s="1"/>
      <c r="AH83" s="159"/>
      <c r="AI83" s="160"/>
      <c r="AM83" s="1"/>
      <c r="AN83" s="1"/>
      <c r="AO83" s="1"/>
      <c r="AP83" s="159"/>
      <c r="AQ83" s="160"/>
      <c r="AU83" s="1"/>
      <c r="AV83" s="1"/>
      <c r="AW83" s="1"/>
      <c r="AX83" s="159"/>
      <c r="AY83" s="160"/>
    </row>
    <row r="84" spans="1:61" ht="15" customHeight="1">
      <c r="B84" s="225">
        <v>600</v>
      </c>
      <c r="C84" s="225">
        <v>850</v>
      </c>
      <c r="D84" s="237">
        <v>1125</v>
      </c>
      <c r="E84" s="237">
        <v>1250</v>
      </c>
      <c r="F84" s="237">
        <v>1400</v>
      </c>
      <c r="G84" s="237">
        <v>1650</v>
      </c>
      <c r="H84" s="237">
        <v>1900</v>
      </c>
      <c r="I84" s="237">
        <v>2150</v>
      </c>
      <c r="J84" s="227">
        <v>2200</v>
      </c>
      <c r="K84" s="238"/>
      <c r="L84" s="160"/>
      <c r="N84" s="159"/>
      <c r="O84" s="160"/>
      <c r="S84" s="1"/>
      <c r="T84" s="1"/>
      <c r="U84" s="1"/>
      <c r="X84" s="1"/>
      <c r="Y84" s="1"/>
      <c r="Z84" s="1"/>
      <c r="AA84" s="159"/>
      <c r="AB84" s="160"/>
      <c r="AF84" s="1"/>
      <c r="AG84" s="1"/>
      <c r="AH84" s="1"/>
      <c r="AI84" s="159"/>
      <c r="AJ84" s="160"/>
      <c r="AN84" s="1"/>
      <c r="AO84" s="1"/>
      <c r="AP84" s="1"/>
      <c r="AQ84" s="159"/>
      <c r="AR84" s="160"/>
      <c r="AV84" s="1"/>
      <c r="AW84" s="1"/>
      <c r="AX84" s="1"/>
      <c r="AY84" s="159"/>
      <c r="AZ84" s="160"/>
      <c r="BA84" s="1"/>
      <c r="BB84" s="1"/>
      <c r="BC84" s="159"/>
      <c r="BD84" s="160"/>
    </row>
    <row r="85" spans="1:61" ht="15" customHeight="1">
      <c r="A85">
        <v>0</v>
      </c>
      <c r="B85" s="225">
        <v>600</v>
      </c>
      <c r="C85" s="237">
        <v>850</v>
      </c>
      <c r="D85" s="237">
        <v>1125</v>
      </c>
      <c r="E85" s="237">
        <v>1250</v>
      </c>
      <c r="F85" s="237">
        <v>1400</v>
      </c>
      <c r="G85" s="237">
        <v>1650</v>
      </c>
      <c r="H85" s="237">
        <v>1900</v>
      </c>
      <c r="I85" s="237">
        <v>2150</v>
      </c>
      <c r="J85" s="239">
        <v>99999</v>
      </c>
      <c r="K85" s="238"/>
      <c r="L85" s="160"/>
      <c r="M85" s="160"/>
      <c r="N85" s="160"/>
      <c r="O85" s="160"/>
      <c r="P85" s="160"/>
      <c r="Q85" s="160"/>
      <c r="R85" s="160"/>
      <c r="S85" s="160"/>
      <c r="T85" s="160"/>
      <c r="U85" s="1"/>
      <c r="X85" s="1"/>
      <c r="Y85" s="1"/>
      <c r="Z85" s="1"/>
      <c r="AA85" s="159"/>
      <c r="AB85" s="160"/>
      <c r="AF85" s="1"/>
      <c r="AG85" s="1"/>
      <c r="AH85" s="1"/>
      <c r="AI85" s="159"/>
      <c r="AJ85" s="160"/>
      <c r="AN85" s="1"/>
      <c r="AO85" s="1"/>
      <c r="AP85" s="1"/>
      <c r="AQ85" s="159"/>
      <c r="AR85" s="160"/>
      <c r="AV85" s="1"/>
      <c r="AW85" s="1"/>
      <c r="AX85" s="1"/>
      <c r="AY85" s="159"/>
      <c r="AZ85" s="160"/>
      <c r="BA85" s="1"/>
      <c r="BB85" s="1"/>
      <c r="BC85" s="159"/>
      <c r="BD85" s="160"/>
    </row>
    <row r="86" spans="1:61" ht="15" customHeight="1">
      <c r="A86">
        <v>50</v>
      </c>
      <c r="B86" s="235">
        <v>1050</v>
      </c>
      <c r="C86" s="241">
        <v>1575</v>
      </c>
      <c r="D86" s="241">
        <v>2050</v>
      </c>
      <c r="E86" s="241">
        <v>2250</v>
      </c>
      <c r="F86" s="241">
        <v>2575</v>
      </c>
      <c r="G86" s="241">
        <v>3100</v>
      </c>
      <c r="H86" s="241">
        <v>3600</v>
      </c>
      <c r="I86" s="241">
        <v>4000</v>
      </c>
      <c r="J86" s="242">
        <v>99999</v>
      </c>
      <c r="K86" s="238"/>
      <c r="L86" s="160"/>
      <c r="N86" s="159"/>
      <c r="O86" s="160"/>
      <c r="S86" s="1"/>
      <c r="T86" s="1"/>
      <c r="U86" s="1"/>
      <c r="X86" s="1"/>
      <c r="Y86" s="1"/>
      <c r="Z86" s="1"/>
      <c r="AA86" s="159"/>
      <c r="AB86" s="160"/>
      <c r="AF86" s="1"/>
      <c r="AG86" s="1"/>
      <c r="AH86" s="1"/>
      <c r="AI86" s="159"/>
      <c r="AJ86" s="160"/>
      <c r="AN86" s="1"/>
      <c r="AO86" s="1"/>
      <c r="AP86" s="1"/>
      <c r="AQ86" s="159"/>
      <c r="AR86" s="160"/>
      <c r="AV86" s="1"/>
      <c r="AW86" s="1"/>
      <c r="AX86" s="1"/>
      <c r="AY86" s="159"/>
      <c r="AZ86" s="160"/>
      <c r="BA86" s="1"/>
      <c r="BB86" s="1"/>
      <c r="BC86" s="159"/>
      <c r="BD86" s="160"/>
    </row>
    <row r="87" spans="1:61" ht="15" customHeight="1">
      <c r="B87" s="159"/>
      <c r="C87" s="160"/>
      <c r="G87" s="1"/>
      <c r="H87" s="1"/>
      <c r="I87" s="1"/>
      <c r="J87" s="159"/>
      <c r="K87" s="160"/>
      <c r="O87" s="54"/>
      <c r="P87" s="1"/>
      <c r="Q87" s="1"/>
      <c r="R87" s="159"/>
      <c r="S87" s="160"/>
      <c r="W87" s="1"/>
      <c r="X87" s="1"/>
      <c r="Y87" s="1"/>
      <c r="Z87" s="159"/>
      <c r="AA87" s="160"/>
      <c r="AE87" s="1"/>
      <c r="AF87" s="1"/>
      <c r="AG87" s="1"/>
      <c r="AH87" s="159"/>
      <c r="AI87" s="160"/>
      <c r="AM87" s="1"/>
      <c r="AN87" s="1"/>
      <c r="AO87" s="1"/>
      <c r="AP87" s="159"/>
      <c r="AQ87" s="160"/>
      <c r="AU87" s="1"/>
      <c r="AV87" s="1"/>
      <c r="AW87" s="1"/>
      <c r="AX87" s="159"/>
      <c r="AY87" s="160"/>
      <c r="BF87" s="1"/>
      <c r="BG87" s="1"/>
      <c r="BH87" s="159"/>
      <c r="BI87" s="160"/>
    </row>
    <row r="88" spans="1:61" ht="15" customHeight="1">
      <c r="B88" s="159" t="s">
        <v>138</v>
      </c>
      <c r="C88" s="160">
        <f>C81</f>
        <v>980</v>
      </c>
      <c r="D88" s="276" t="s">
        <v>181</v>
      </c>
      <c r="E88" s="276"/>
      <c r="G88" s="1"/>
      <c r="H88" s="1"/>
      <c r="I88" s="1"/>
      <c r="J88" s="159" t="s">
        <v>138</v>
      </c>
      <c r="K88" s="160">
        <f>K81</f>
        <v>1050</v>
      </c>
      <c r="L88" s="276" t="s">
        <v>181</v>
      </c>
      <c r="M88" s="276"/>
      <c r="O88" s="54"/>
      <c r="P88" s="1"/>
    </row>
    <row r="89" spans="1:61" ht="15" customHeight="1">
      <c r="B89" s="18" t="s">
        <v>182</v>
      </c>
      <c r="C89" s="161">
        <f>INDEX($B84:$J84,MATCH(C88,$B84:$J84,1))</f>
        <v>850</v>
      </c>
      <c r="D89" s="18" t="s">
        <v>136</v>
      </c>
      <c r="E89" s="49">
        <f>MATCH(MAX($A85:$A86),$A85:$A86,1)</f>
        <v>2</v>
      </c>
      <c r="G89" s="1"/>
      <c r="H89" s="1"/>
      <c r="I89" s="1"/>
      <c r="J89" s="18" t="s">
        <v>182</v>
      </c>
      <c r="K89" s="161">
        <f>INDEX($B84:$J84,MATCH(K88,$B84:$J84,1))</f>
        <v>850</v>
      </c>
      <c r="L89" s="18" t="s">
        <v>136</v>
      </c>
      <c r="M89" s="49">
        <f>MATCH(MAX($A85:$A86),$A85:$A86,1)</f>
        <v>2</v>
      </c>
      <c r="O89" s="54"/>
      <c r="P89" s="1"/>
    </row>
    <row r="90" spans="1:61" ht="15" customHeight="1">
      <c r="B90" s="18" t="s">
        <v>183</v>
      </c>
      <c r="C90" s="161">
        <f t="array" ref="C90">INDEX($B84:$J84,IF(MATCH(C88,$B84:$J84,1)&lt;E90,MATCH(C88,$B84:$J84,1)+1,MATCH(C88,$B84:$J84,1)))</f>
        <v>1125</v>
      </c>
      <c r="D90" s="18" t="s">
        <v>137</v>
      </c>
      <c r="E90" s="49">
        <f>MATCH(MAX($B84:$J84),$B84:$J84,0)</f>
        <v>9</v>
      </c>
      <c r="G90" s="1"/>
      <c r="H90" s="1"/>
      <c r="I90" s="1"/>
      <c r="J90" s="18" t="s">
        <v>183</v>
      </c>
      <c r="K90" s="161">
        <f t="array" ref="K90">INDEX($B84:$J84,IF(MATCH(K88,$B84:$J84,1)&lt;M90,MATCH(K88,$B84:$J84,1)+1,MATCH(K88,$B84:$J84,1)))</f>
        <v>1125</v>
      </c>
      <c r="L90" s="18" t="s">
        <v>137</v>
      </c>
      <c r="M90" s="49">
        <f>MATCH(MAX($B84:$J84),$B84:$J84,0)</f>
        <v>9</v>
      </c>
      <c r="O90" s="54"/>
      <c r="P90" s="1"/>
    </row>
    <row r="91" spans="1:61" ht="15" customHeight="1">
      <c r="B91" s="159" t="s">
        <v>139</v>
      </c>
      <c r="C91" s="205">
        <v>50</v>
      </c>
      <c r="D91" s="1"/>
      <c r="E91" s="1"/>
      <c r="G91" s="1"/>
      <c r="H91" s="1"/>
      <c r="I91" s="1"/>
      <c r="J91" s="159" t="s">
        <v>139</v>
      </c>
      <c r="K91" s="205">
        <v>50</v>
      </c>
      <c r="L91" s="1"/>
      <c r="M91" s="1"/>
      <c r="O91" s="54"/>
      <c r="P91" s="1"/>
    </row>
    <row r="92" spans="1:61" ht="15" customHeight="1">
      <c r="B92" s="18" t="s">
        <v>140</v>
      </c>
      <c r="C92" s="161">
        <f>INDEX($A85:$A86,MATCH(C91,$A85:$A86,1))</f>
        <v>50</v>
      </c>
      <c r="D92" s="1"/>
      <c r="E92" s="40"/>
      <c r="G92" s="1"/>
      <c r="H92" s="1"/>
      <c r="I92" s="1"/>
      <c r="J92" s="18" t="s">
        <v>140</v>
      </c>
      <c r="K92" s="161">
        <f>INDEX($A85:$A86,MATCH(K91,$A85:$A86,1))</f>
        <v>50</v>
      </c>
      <c r="L92" s="1"/>
      <c r="M92" s="40"/>
      <c r="O92" s="54"/>
      <c r="P92" s="1"/>
    </row>
    <row r="93" spans="1:61" ht="15" customHeight="1">
      <c r="B93" s="18" t="s">
        <v>141</v>
      </c>
      <c r="C93" s="161">
        <f t="array" ref="C93">INDEX($A85:$A86,IF(MATCH(C91,$A85:$A86,1)&lt;E89,MATCH(C91,$A85:$A86,1)+1,MATCH(C91,$A85:$A86,1)))</f>
        <v>50</v>
      </c>
      <c r="D93" s="1"/>
      <c r="E93" s="40"/>
      <c r="G93" s="1"/>
      <c r="H93" s="1"/>
      <c r="I93" s="1"/>
      <c r="J93" s="18" t="s">
        <v>141</v>
      </c>
      <c r="K93" s="161">
        <f t="array" ref="K93">INDEX($A85:$A86,IF(MATCH(K91,$A85:$A86,1)&lt;M89,MATCH(K91,$A85:$A86,1)+1,MATCH(K91,$A85:$A86,1)))</f>
        <v>50</v>
      </c>
      <c r="L93" s="1"/>
      <c r="M93" s="40"/>
      <c r="O93" s="54"/>
      <c r="P93" s="1"/>
    </row>
    <row r="94" spans="1:61" ht="15" customHeight="1">
      <c r="B94" s="159" t="s">
        <v>142</v>
      </c>
      <c r="C94" s="160">
        <f>INDEX($B85:$J86,MATCH(C91,$A85:$A86,1),MATCH(C88,$B84:$J84,1))</f>
        <v>1575</v>
      </c>
      <c r="D94" s="1"/>
      <c r="E94" s="40"/>
      <c r="G94" s="1"/>
      <c r="H94" s="1"/>
      <c r="I94" s="1"/>
      <c r="J94" s="159" t="s">
        <v>142</v>
      </c>
      <c r="K94" s="160">
        <f>INDEX($B85:$J86,MATCH(K91,$A85:$A86,1),MATCH(K88,$B84:$J84,1))</f>
        <v>1575</v>
      </c>
      <c r="L94" s="1"/>
      <c r="M94" s="40"/>
      <c r="O94" s="54"/>
      <c r="P94" s="1"/>
    </row>
    <row r="95" spans="1:61" ht="15" customHeight="1">
      <c r="B95" s="159" t="s">
        <v>184</v>
      </c>
      <c r="C95" s="160">
        <f t="array" ref="C95">INDEX($B85:$J86,MATCH(C91,$A85:$A86,1),IF(MATCH(C88,$B84:$J84,1)&lt;E90,MATCH(C88,$B84:$J84,1)+1,MATCH(C91,$A85:$A86,1)))</f>
        <v>2050</v>
      </c>
      <c r="E95" s="40"/>
      <c r="G95" s="1"/>
      <c r="H95" s="1"/>
      <c r="I95" s="1"/>
      <c r="J95" s="159" t="s">
        <v>184</v>
      </c>
      <c r="K95" s="160">
        <f t="array" ref="K95">INDEX($B85:$J86,MATCH(K91,$A85:$A86,1),IF(MATCH(K88,$B84:$J84,1)&lt;M90,MATCH(K88,$B84:$J84,1)+1,MATCH(K91,$A85:$A86,1)))</f>
        <v>2050</v>
      </c>
      <c r="M95" s="40"/>
      <c r="O95" s="11"/>
      <c r="P95" s="1"/>
    </row>
    <row r="96" spans="1:61" ht="15" customHeight="1">
      <c r="B96" s="159" t="s">
        <v>143</v>
      </c>
      <c r="C96" s="160">
        <f t="array" ref="C96">INDEX($B85:$J86,IF(MATCH(C91,$A85:$A86,1)&lt;E89,MATCH(C91,$A85:$A86,1)+1,MATCH(C91,$A85:$A86,1)),MATCH(C88,$B84:$J84,1))</f>
        <v>1575</v>
      </c>
      <c r="E96" s="40"/>
      <c r="G96" s="1"/>
      <c r="H96" s="1"/>
      <c r="I96" s="1"/>
      <c r="J96" s="159" t="s">
        <v>143</v>
      </c>
      <c r="K96" s="160">
        <f t="array" ref="K96">INDEX($B85:$J86,IF(MATCH(K91,$A85:$A86,1)&lt;M89,MATCH(K91,$A85:$A86,1)+1,MATCH(K91,$A85:$A86,1)),MATCH(K88,$B84:$J84,1))</f>
        <v>1575</v>
      </c>
      <c r="M96" s="40"/>
      <c r="O96" s="11"/>
      <c r="P96" s="1"/>
    </row>
    <row r="97" spans="1:16" ht="15" customHeight="1">
      <c r="B97" s="159" t="s">
        <v>185</v>
      </c>
      <c r="C97" s="160">
        <f t="array" ref="C97">INDEX($B85:$J86,IF(MATCH(C91,$A85:$A86,1)&lt;E89,MATCH(C91,$A85:$A86,1)+1,MATCH(C91,$A85:$A86,1)),IF(MATCH(C88,$B84:$J84,1)&lt;E90,MATCH(C88,$B84:$J84,1)+1,MATCH(C88,$B84:$J84,1)))</f>
        <v>2050</v>
      </c>
      <c r="G97" s="1"/>
      <c r="H97" s="1"/>
      <c r="I97" s="1"/>
      <c r="J97" s="159" t="s">
        <v>185</v>
      </c>
      <c r="K97" s="160">
        <f t="array" ref="K97">INDEX($B85:$J86,IF(MATCH(K91,$A85:$A86,1)&lt;M89,MATCH(K91,$A85:$A86,1)+1,MATCH(K91,$A85:$A86,1)),IF(MATCH(K88,$B84:$J84,1)&lt;M90,MATCH(K88,$B84:$J84,1)+1,MATCH(K88,$B84:$J84,1)))</f>
        <v>2050</v>
      </c>
      <c r="O97" s="11"/>
      <c r="P97" s="1"/>
    </row>
    <row r="98" spans="1:16" ht="15" customHeight="1">
      <c r="B98" s="18" t="s">
        <v>186</v>
      </c>
      <c r="C98" s="161">
        <f>IFERROR(C94+(C88-C89)*(C95-C94)/(C90-C89),C94)</f>
        <v>1799.5454545454545</v>
      </c>
      <c r="G98" s="1"/>
      <c r="H98" s="1"/>
      <c r="I98" s="1"/>
      <c r="J98" s="18" t="s">
        <v>186</v>
      </c>
      <c r="K98" s="161">
        <f>IFERROR(K94+(K88-K89)*(K95-K94)/(K90-K89),K94)</f>
        <v>1920.4545454545455</v>
      </c>
      <c r="O98" s="11"/>
      <c r="P98" s="1"/>
    </row>
    <row r="99" spans="1:16" ht="15" customHeight="1">
      <c r="B99" s="18" t="s">
        <v>187</v>
      </c>
      <c r="C99" s="161">
        <f>IFERROR(C96+(C88-C89)*(C97-C96)/(C90-C89),C96)</f>
        <v>1799.5454545454545</v>
      </c>
      <c r="G99" s="1"/>
      <c r="H99" s="1"/>
      <c r="I99" s="1"/>
      <c r="J99" s="18" t="s">
        <v>187</v>
      </c>
      <c r="K99" s="161">
        <f>IFERROR(K96+(K88-K89)*(K97-K96)/(K90-K89),K96)</f>
        <v>1920.4545454545455</v>
      </c>
      <c r="O99" s="11"/>
      <c r="P99" s="1"/>
    </row>
    <row r="100" spans="1:16" ht="15" customHeight="1">
      <c r="B100" s="159" t="s">
        <v>188</v>
      </c>
      <c r="C100" s="160">
        <f>IFERROR(C98+(C91-C92)*(C99-C98)/(C93-C92),C98)</f>
        <v>1799.5454545454545</v>
      </c>
      <c r="G100" s="1"/>
      <c r="H100" s="1"/>
      <c r="I100" s="1"/>
      <c r="J100" s="159" t="s">
        <v>188</v>
      </c>
      <c r="K100" s="160">
        <f>IFERROR(K98+(K91-K92)*(K99-K98)/(K93-K92),K98)</f>
        <v>1920.4545454545455</v>
      </c>
      <c r="O100" s="11"/>
      <c r="P100" s="1"/>
    </row>
    <row r="102" spans="1:16" ht="15" customHeight="1">
      <c r="A102" t="s">
        <v>192</v>
      </c>
      <c r="C102">
        <f>C100/3.28</f>
        <v>548.64190687361418</v>
      </c>
      <c r="K102">
        <f>K100/3.28</f>
        <v>585.50443458980044</v>
      </c>
    </row>
    <row r="103" spans="1:16" ht="15" customHeight="1">
      <c r="B103" t="s">
        <v>163</v>
      </c>
      <c r="C103" s="40">
        <f>IF(Landing!$C$16&lt;0, ((-Landing!$C$16*5)%*C102),0 )</f>
        <v>0</v>
      </c>
      <c r="K103" s="40">
        <f>IF('Take-off'!$C$17&lt;0, ((-'Take-off'!$C$17*5)%*K102),0 )</f>
        <v>0</v>
      </c>
    </row>
    <row r="104" spans="1:16" ht="15" customHeight="1">
      <c r="B104" t="s">
        <v>164</v>
      </c>
      <c r="C104">
        <f>SUM(C102:C103)</f>
        <v>548.64190687361418</v>
      </c>
      <c r="K104">
        <f>SUM(K102:K103)</f>
        <v>585.50443458980044</v>
      </c>
    </row>
  </sheetData>
  <mergeCells count="24">
    <mergeCell ref="B83:H83"/>
    <mergeCell ref="D88:E88"/>
    <mergeCell ref="L88:M88"/>
    <mergeCell ref="T69:U69"/>
    <mergeCell ref="AB69:AC69"/>
    <mergeCell ref="AJ69:AK69"/>
    <mergeCell ref="AR69:AS69"/>
    <mergeCell ref="AZ69:BA69"/>
    <mergeCell ref="B37:E37"/>
    <mergeCell ref="D48:E48"/>
    <mergeCell ref="L48:M48"/>
    <mergeCell ref="B63:F63"/>
    <mergeCell ref="D69:E69"/>
    <mergeCell ref="L69:M69"/>
    <mergeCell ref="T23:U23"/>
    <mergeCell ref="AB23:AC23"/>
    <mergeCell ref="AJ23:AK23"/>
    <mergeCell ref="AR23:AS23"/>
    <mergeCell ref="AZ23:BA23"/>
    <mergeCell ref="I5:O5"/>
    <mergeCell ref="A8:F8"/>
    <mergeCell ref="B10:F10"/>
    <mergeCell ref="D23:E23"/>
    <mergeCell ref="L23:M23"/>
  </mergeCells>
  <conditionalFormatting sqref="B39:D46">
    <cfRule type="colorScale" priority="6">
      <colorScale>
        <cfvo type="min"/>
        <cfvo type="max"/>
        <color rgb="FFFCFCFF"/>
        <color rgb="FFF8696B"/>
      </colorScale>
    </cfRule>
  </conditionalFormatting>
  <conditionalFormatting sqref="B65:D67">
    <cfRule type="colorScale" priority="8">
      <colorScale>
        <cfvo type="min"/>
        <cfvo type="max"/>
        <color rgb="FFFCFCFF"/>
        <color rgb="FFF8696B"/>
      </colorScale>
    </cfRule>
  </conditionalFormatting>
  <conditionalFormatting sqref="B12:F20">
    <cfRule type="colorScale" priority="36">
      <colorScale>
        <cfvo type="min"/>
        <cfvo type="max"/>
        <color rgb="FFFCFCFF"/>
        <color rgb="FFF8696B"/>
      </colorScale>
    </cfRule>
  </conditionalFormatting>
  <conditionalFormatting sqref="B85:I86">
    <cfRule type="colorScale" priority="9">
      <colorScale>
        <cfvo type="min"/>
        <cfvo type="max"/>
        <color rgb="FFFCFCFF"/>
        <color rgb="FFF8696B"/>
      </colorScale>
    </cfRule>
  </conditionalFormatting>
  <conditionalFormatting sqref="I39:P4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5:P67">
    <cfRule type="colorScale" priority="4">
      <colorScale>
        <cfvo type="min"/>
        <cfvo type="max"/>
        <color rgb="FFFCFCFF"/>
        <color rgb="FFF8696B"/>
      </colorScale>
    </cfRule>
  </conditionalFormatting>
  <conditionalFormatting sqref="K12:R21">
    <cfRule type="colorScale" priority="2">
      <colorScale>
        <cfvo type="min"/>
        <cfvo type="max"/>
        <color rgb="FFFCFCFF"/>
        <color rgb="FFF8696B"/>
      </colorScale>
    </cfRule>
  </conditionalFormatting>
  <conditionalFormatting sqref="N85:U86">
    <cfRule type="colorScale" priority="7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C75"/>
  <sheetViews>
    <sheetView zoomScaleNormal="100" workbookViewId="0">
      <selection activeCell="B8" sqref="B8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50"/>
      <c r="B1" s="18" t="s">
        <v>175</v>
      </c>
      <c r="C1" s="159" t="s">
        <v>138</v>
      </c>
      <c r="D1" s="221">
        <f>IF('Take-off'!$C$9="",'Take-off'!$C$16,MAX(0,'Take-off'!$C$16+30*(1013-'Take-off'!$C$9)))</f>
        <v>0</v>
      </c>
      <c r="E1" s="222"/>
      <c r="F1" s="222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243"/>
      <c r="AW1" s="150"/>
      <c r="AX1" s="150"/>
      <c r="AY1" s="150"/>
      <c r="AZ1" s="150"/>
      <c r="BA1" s="150"/>
      <c r="BB1" s="150"/>
      <c r="BC1" s="150"/>
    </row>
    <row r="2" spans="1:55" ht="14.25" customHeight="1">
      <c r="A2" s="150"/>
      <c r="B2" s="18" t="s">
        <v>177</v>
      </c>
      <c r="C2" s="159" t="s">
        <v>139</v>
      </c>
      <c r="D2" s="221">
        <f>IF('Take-off'!C13='Dropdown lists'!B30, 'Take-off'!$C$8+6, 'Take-off'!$C$8)</f>
        <v>-35</v>
      </c>
      <c r="E2" s="223" t="s">
        <v>193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243"/>
      <c r="AW2" s="150"/>
      <c r="AX2" s="150"/>
      <c r="AY2" s="150"/>
      <c r="AZ2" s="150"/>
      <c r="BA2" s="150"/>
      <c r="BB2" s="150"/>
      <c r="BC2" s="150"/>
    </row>
    <row r="3" spans="1:55" ht="14.25" customHeight="1">
      <c r="A3" s="150"/>
      <c r="B3" s="303" t="s">
        <v>130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150"/>
      <c r="N3" s="150"/>
      <c r="O3" s="303" t="s">
        <v>194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150"/>
      <c r="AA3" s="150"/>
      <c r="AB3" s="303" t="s">
        <v>195</v>
      </c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150"/>
      <c r="AN3" s="150"/>
      <c r="AO3" s="150"/>
      <c r="AP3" s="150"/>
      <c r="AQ3" s="150"/>
      <c r="AR3" s="150"/>
      <c r="AS3" s="150"/>
      <c r="AT3" s="150"/>
      <c r="AU3" s="150"/>
      <c r="AV3" s="243"/>
      <c r="AW3" s="150"/>
      <c r="AX3" s="150"/>
      <c r="AY3" s="150"/>
      <c r="AZ3" s="150"/>
      <c r="BA3" s="150"/>
      <c r="BB3" s="150"/>
      <c r="BC3" s="150"/>
    </row>
    <row r="4" spans="1:55" ht="15" customHeight="1">
      <c r="B4" s="275" t="s">
        <v>196</v>
      </c>
      <c r="C4" s="275"/>
      <c r="D4" s="275"/>
      <c r="E4" s="275"/>
      <c r="F4" s="275"/>
      <c r="G4" s="14"/>
      <c r="H4" s="14"/>
      <c r="I4" s="14"/>
      <c r="J4" s="14"/>
      <c r="K4" s="14"/>
      <c r="L4" s="14"/>
      <c r="M4" s="14"/>
      <c r="O4" s="275" t="s">
        <v>196</v>
      </c>
      <c r="P4" s="275"/>
      <c r="Q4" s="275"/>
      <c r="R4" s="275"/>
      <c r="S4" s="275"/>
      <c r="T4" s="14"/>
      <c r="U4" s="14"/>
      <c r="V4" s="14"/>
      <c r="W4" s="14"/>
      <c r="X4" s="14"/>
      <c r="Y4" s="14"/>
      <c r="Z4" s="159"/>
      <c r="AB4" s="275" t="s">
        <v>196</v>
      </c>
      <c r="AC4" s="275"/>
      <c r="AD4" s="275"/>
      <c r="AE4" s="275"/>
      <c r="AF4" s="275"/>
      <c r="AG4" s="14"/>
      <c r="AH4" s="14"/>
      <c r="AI4" s="14"/>
      <c r="AJ4" s="14"/>
      <c r="AK4" s="14"/>
      <c r="AL4" s="14"/>
      <c r="AM4" s="1"/>
      <c r="AN4" s="1"/>
      <c r="AO4" s="1"/>
      <c r="AP4" s="159"/>
      <c r="AQ4" s="160"/>
      <c r="AU4" s="1"/>
      <c r="AV4" s="1"/>
      <c r="AW4" s="1"/>
      <c r="AX4" s="159"/>
      <c r="AY4" s="160"/>
    </row>
    <row r="5" spans="1:55" ht="15" customHeight="1">
      <c r="A5" t="s">
        <v>197</v>
      </c>
      <c r="B5" s="225">
        <v>-500</v>
      </c>
      <c r="C5" s="237">
        <v>0</v>
      </c>
      <c r="D5" s="226">
        <v>1000</v>
      </c>
      <c r="E5" s="47">
        <v>2000</v>
      </c>
      <c r="F5" s="47">
        <v>3000</v>
      </c>
      <c r="G5" s="227">
        <v>4000</v>
      </c>
      <c r="H5" s="159"/>
      <c r="I5" s="160"/>
      <c r="K5" s="159"/>
      <c r="L5" s="160"/>
      <c r="O5" t="s">
        <v>197</v>
      </c>
      <c r="P5" s="225">
        <v>0</v>
      </c>
      <c r="Q5" s="226">
        <v>1000</v>
      </c>
      <c r="R5" s="47">
        <v>2000</v>
      </c>
      <c r="S5" s="47">
        <v>3000</v>
      </c>
      <c r="T5" s="227">
        <v>4000</v>
      </c>
      <c r="U5" s="159"/>
      <c r="V5" s="160"/>
      <c r="W5" s="159"/>
      <c r="X5" s="160"/>
      <c r="AA5" t="s">
        <v>197</v>
      </c>
      <c r="AB5" s="225">
        <v>-500</v>
      </c>
      <c r="AC5" s="237">
        <v>0</v>
      </c>
      <c r="AD5" s="226">
        <v>1000</v>
      </c>
      <c r="AE5" s="47">
        <v>2000</v>
      </c>
      <c r="AF5" s="47">
        <v>3000</v>
      </c>
      <c r="AG5" s="227">
        <v>4000</v>
      </c>
      <c r="AH5" s="159"/>
      <c r="AI5" s="160"/>
      <c r="AK5" s="159"/>
      <c r="AL5" s="160"/>
      <c r="AN5" s="159"/>
      <c r="AO5" s="160"/>
      <c r="AS5" s="1"/>
      <c r="AT5" s="1"/>
      <c r="AU5" s="1"/>
      <c r="AV5" s="159"/>
      <c r="AW5" s="160"/>
    </row>
    <row r="6" spans="1:55" ht="15" customHeight="1">
      <c r="A6">
        <v>-40</v>
      </c>
      <c r="B6" s="225">
        <v>5600</v>
      </c>
      <c r="C6" s="237">
        <v>5600</v>
      </c>
      <c r="D6" s="226">
        <v>5600</v>
      </c>
      <c r="E6" s="47">
        <v>6000</v>
      </c>
      <c r="F6" s="47">
        <v>6400</v>
      </c>
      <c r="G6" s="227">
        <v>99999</v>
      </c>
      <c r="H6" s="159"/>
      <c r="I6" s="160"/>
      <c r="K6" s="159"/>
      <c r="L6" s="160"/>
      <c r="O6">
        <v>-30</v>
      </c>
      <c r="P6" s="225"/>
      <c r="Q6" s="226"/>
      <c r="R6" s="47"/>
      <c r="S6" s="47"/>
      <c r="T6" s="227">
        <v>99999</v>
      </c>
      <c r="U6" s="159"/>
      <c r="V6" s="160"/>
      <c r="W6" s="159"/>
      <c r="X6" s="160"/>
      <c r="AA6">
        <v>-40</v>
      </c>
      <c r="AB6" s="225">
        <v>4200</v>
      </c>
      <c r="AC6" s="237">
        <v>4200</v>
      </c>
      <c r="AD6" s="226">
        <v>4400</v>
      </c>
      <c r="AE6" s="47">
        <v>4600</v>
      </c>
      <c r="AF6" s="47">
        <v>4900</v>
      </c>
      <c r="AG6" s="227">
        <v>99999</v>
      </c>
      <c r="AH6" s="159"/>
      <c r="AI6" s="160"/>
      <c r="AK6" s="159"/>
      <c r="AL6" s="160"/>
      <c r="AN6" s="159"/>
      <c r="AO6" s="160"/>
      <c r="AS6" s="1"/>
      <c r="AT6" s="1"/>
      <c r="AU6" s="1"/>
      <c r="AV6" s="159"/>
      <c r="AW6" s="160"/>
    </row>
    <row r="7" spans="1:55" ht="15" customHeight="1">
      <c r="A7">
        <v>-30</v>
      </c>
      <c r="B7" s="240">
        <v>5600</v>
      </c>
      <c r="C7" s="14">
        <v>5600</v>
      </c>
      <c r="D7" s="217">
        <v>5600</v>
      </c>
      <c r="E7">
        <v>6000</v>
      </c>
      <c r="F7">
        <v>6400</v>
      </c>
      <c r="G7" s="2">
        <v>99999</v>
      </c>
      <c r="H7" s="159"/>
      <c r="I7" s="160"/>
      <c r="K7" s="159"/>
      <c r="L7" s="160"/>
      <c r="P7" s="240"/>
      <c r="Q7" s="217"/>
      <c r="T7" s="2"/>
      <c r="U7" s="159"/>
      <c r="V7" s="160"/>
      <c r="W7" s="159"/>
      <c r="X7" s="160"/>
      <c r="AA7">
        <v>-30</v>
      </c>
      <c r="AB7" s="240">
        <v>4200</v>
      </c>
      <c r="AC7" s="14">
        <v>4200</v>
      </c>
      <c r="AD7" s="217">
        <v>4400</v>
      </c>
      <c r="AE7">
        <v>4600</v>
      </c>
      <c r="AF7">
        <v>4900</v>
      </c>
      <c r="AG7" s="2">
        <v>99999</v>
      </c>
      <c r="AH7" s="159"/>
      <c r="AI7" s="160"/>
      <c r="AK7" s="159"/>
      <c r="AL7" s="160"/>
      <c r="AN7" s="159"/>
      <c r="AO7" s="160"/>
      <c r="AS7" s="1"/>
      <c r="AT7" s="1"/>
      <c r="AU7" s="1"/>
      <c r="AV7" s="159"/>
      <c r="AW7" s="160"/>
    </row>
    <row r="8" spans="1:55" ht="15" customHeight="1">
      <c r="A8">
        <v>-20</v>
      </c>
      <c r="B8" s="240">
        <v>5600</v>
      </c>
      <c r="C8" s="14">
        <v>5600</v>
      </c>
      <c r="D8" s="217">
        <v>5600</v>
      </c>
      <c r="E8">
        <v>6000</v>
      </c>
      <c r="F8">
        <v>6400</v>
      </c>
      <c r="G8" s="2">
        <v>99999</v>
      </c>
      <c r="H8" s="159"/>
      <c r="I8" s="160"/>
      <c r="K8" s="159"/>
      <c r="L8" s="160"/>
      <c r="O8">
        <v>-20</v>
      </c>
      <c r="P8" s="240"/>
      <c r="Q8" s="217"/>
      <c r="T8" s="2">
        <v>99999</v>
      </c>
      <c r="U8" s="159"/>
      <c r="V8" s="160"/>
      <c r="W8" s="159"/>
      <c r="X8" s="160"/>
      <c r="AA8">
        <v>-20</v>
      </c>
      <c r="AB8" s="240">
        <v>4200</v>
      </c>
      <c r="AC8" s="14">
        <v>4200</v>
      </c>
      <c r="AD8" s="217">
        <v>4400</v>
      </c>
      <c r="AE8">
        <v>4600</v>
      </c>
      <c r="AF8">
        <v>4900</v>
      </c>
      <c r="AG8" s="2">
        <v>99999</v>
      </c>
      <c r="AH8" s="159"/>
      <c r="AI8" s="160"/>
      <c r="AK8" s="159"/>
      <c r="AL8" s="160"/>
      <c r="AN8" s="159"/>
      <c r="AO8" s="160"/>
      <c r="AS8" s="1"/>
      <c r="AT8" s="1"/>
      <c r="AU8" s="1"/>
      <c r="AV8" s="159"/>
      <c r="AW8" s="160"/>
    </row>
    <row r="9" spans="1:55" ht="15" customHeight="1">
      <c r="A9">
        <v>-10</v>
      </c>
      <c r="B9" s="240">
        <v>5800</v>
      </c>
      <c r="C9" s="14">
        <v>5800</v>
      </c>
      <c r="D9" s="217">
        <v>6100</v>
      </c>
      <c r="E9">
        <v>6500</v>
      </c>
      <c r="F9">
        <v>6900</v>
      </c>
      <c r="G9" s="2">
        <v>99999</v>
      </c>
      <c r="H9" s="159"/>
      <c r="I9" s="160"/>
      <c r="K9" s="159"/>
      <c r="L9" s="160"/>
      <c r="O9">
        <v>-10</v>
      </c>
      <c r="P9" s="240"/>
      <c r="Q9" s="217"/>
      <c r="T9" s="2">
        <v>99999</v>
      </c>
      <c r="U9" s="159"/>
      <c r="V9" s="160"/>
      <c r="W9" s="159"/>
      <c r="X9" s="160"/>
      <c r="AA9">
        <v>-10</v>
      </c>
      <c r="AB9" s="240">
        <v>4400</v>
      </c>
      <c r="AC9" s="14">
        <v>4400</v>
      </c>
      <c r="AD9" s="217">
        <v>4700</v>
      </c>
      <c r="AE9">
        <v>5000</v>
      </c>
      <c r="AF9">
        <v>5200</v>
      </c>
      <c r="AG9" s="2">
        <v>99999</v>
      </c>
      <c r="AH9" s="159"/>
      <c r="AI9" s="160"/>
      <c r="AK9" s="159"/>
      <c r="AL9" s="160"/>
      <c r="AN9" s="159"/>
      <c r="AO9" s="160"/>
      <c r="AS9" s="1"/>
      <c r="AT9" s="1"/>
      <c r="AU9" s="1"/>
      <c r="AV9" s="159"/>
      <c r="AW9" s="160"/>
    </row>
    <row r="10" spans="1:55" ht="15" customHeight="1">
      <c r="A10">
        <v>0</v>
      </c>
      <c r="B10" s="240">
        <v>6170</v>
      </c>
      <c r="C10" s="14">
        <v>6170</v>
      </c>
      <c r="D10" s="217">
        <v>6500</v>
      </c>
      <c r="E10">
        <v>6900</v>
      </c>
      <c r="F10">
        <v>7400</v>
      </c>
      <c r="G10" s="2">
        <v>99999</v>
      </c>
      <c r="H10" s="159"/>
      <c r="I10" s="160"/>
      <c r="K10" s="159"/>
      <c r="L10" s="160"/>
      <c r="O10">
        <v>0</v>
      </c>
      <c r="P10" s="240"/>
      <c r="Q10" s="217"/>
      <c r="T10" s="2">
        <v>99999</v>
      </c>
      <c r="U10" s="159"/>
      <c r="V10" s="160"/>
      <c r="W10" s="159"/>
      <c r="X10" s="160"/>
      <c r="AA10">
        <v>0</v>
      </c>
      <c r="AB10" s="240">
        <v>4700</v>
      </c>
      <c r="AC10" s="14">
        <v>4700</v>
      </c>
      <c r="AD10" s="217">
        <v>5000</v>
      </c>
      <c r="AE10">
        <v>5300</v>
      </c>
      <c r="AF10">
        <v>5600</v>
      </c>
      <c r="AG10" s="2">
        <v>99999</v>
      </c>
      <c r="AH10" s="159"/>
      <c r="AI10" s="160"/>
      <c r="AK10" s="159"/>
      <c r="AL10" s="160"/>
      <c r="AN10" s="159"/>
      <c r="AO10" s="160"/>
      <c r="AS10" s="1"/>
      <c r="AT10" s="1"/>
      <c r="AU10" s="1"/>
      <c r="AV10" s="159"/>
      <c r="AW10" s="160"/>
    </row>
    <row r="11" spans="1:55" ht="15" customHeight="1">
      <c r="A11">
        <v>10</v>
      </c>
      <c r="B11" s="240">
        <v>6500</v>
      </c>
      <c r="C11" s="14">
        <v>6500</v>
      </c>
      <c r="D11" s="217">
        <v>6900</v>
      </c>
      <c r="E11">
        <v>7400</v>
      </c>
      <c r="F11">
        <v>7800</v>
      </c>
      <c r="G11" s="2">
        <v>99999</v>
      </c>
      <c r="H11" s="159"/>
      <c r="I11" s="160"/>
      <c r="K11" s="159"/>
      <c r="L11" s="160"/>
      <c r="O11">
        <v>10</v>
      </c>
      <c r="P11" s="240"/>
      <c r="Q11" s="217"/>
      <c r="T11" s="2">
        <v>99999</v>
      </c>
      <c r="U11" s="159"/>
      <c r="V11" s="160"/>
      <c r="W11" s="159"/>
      <c r="X11" s="160"/>
      <c r="AA11">
        <v>10</v>
      </c>
      <c r="AB11" s="240">
        <v>5000</v>
      </c>
      <c r="AC11" s="14">
        <v>5000</v>
      </c>
      <c r="AD11" s="217">
        <v>5300</v>
      </c>
      <c r="AE11">
        <v>5600</v>
      </c>
      <c r="AF11">
        <v>6000</v>
      </c>
      <c r="AG11" s="2">
        <v>99999</v>
      </c>
      <c r="AH11" s="159"/>
      <c r="AI11" s="160"/>
      <c r="AK11" s="159"/>
      <c r="AL11" s="160"/>
      <c r="AN11" s="159"/>
      <c r="AO11" s="160"/>
      <c r="AS11" s="1"/>
      <c r="AT11" s="1"/>
      <c r="AU11" s="1"/>
      <c r="AV11" s="159"/>
      <c r="AW11" s="160"/>
    </row>
    <row r="12" spans="1:55" ht="15" customHeight="1">
      <c r="A12">
        <v>20</v>
      </c>
      <c r="B12" s="240">
        <v>6900</v>
      </c>
      <c r="C12" s="14">
        <v>6900</v>
      </c>
      <c r="D12" s="217">
        <v>7400</v>
      </c>
      <c r="E12">
        <v>7850</v>
      </c>
      <c r="F12">
        <v>8400</v>
      </c>
      <c r="G12" s="2">
        <v>99999</v>
      </c>
      <c r="H12" s="159"/>
      <c r="I12" s="160"/>
      <c r="K12" s="159"/>
      <c r="L12" s="160"/>
      <c r="O12">
        <v>20</v>
      </c>
      <c r="P12" s="240"/>
      <c r="Q12" s="217"/>
      <c r="T12" s="2">
        <v>99999</v>
      </c>
      <c r="U12" s="159"/>
      <c r="V12" s="160"/>
      <c r="W12" s="159"/>
      <c r="X12" s="160"/>
      <c r="AA12">
        <v>20</v>
      </c>
      <c r="AB12" s="240">
        <v>5300</v>
      </c>
      <c r="AC12" s="14">
        <v>5300</v>
      </c>
      <c r="AD12" s="217">
        <v>5600</v>
      </c>
      <c r="AE12">
        <v>6000</v>
      </c>
      <c r="AF12">
        <v>6400</v>
      </c>
      <c r="AG12" s="2">
        <v>99999</v>
      </c>
      <c r="AH12" s="159"/>
      <c r="AI12" s="160"/>
      <c r="AK12" s="159"/>
      <c r="AL12" s="160"/>
      <c r="AN12" s="159"/>
      <c r="AO12" s="160"/>
      <c r="AS12" s="1"/>
      <c r="AT12" s="1"/>
      <c r="AU12" s="1"/>
      <c r="AV12" s="159"/>
      <c r="AW12" s="160"/>
    </row>
    <row r="13" spans="1:55" ht="15" customHeight="1">
      <c r="A13">
        <v>30</v>
      </c>
      <c r="B13" s="240">
        <v>7400</v>
      </c>
      <c r="C13" s="14">
        <v>7400</v>
      </c>
      <c r="D13" s="217">
        <v>8000</v>
      </c>
      <c r="E13">
        <v>8700</v>
      </c>
      <c r="F13">
        <v>9400</v>
      </c>
      <c r="G13" s="2">
        <v>99999</v>
      </c>
      <c r="H13" s="159"/>
      <c r="I13" s="160"/>
      <c r="K13" s="159"/>
      <c r="L13" s="160"/>
      <c r="O13">
        <v>30</v>
      </c>
      <c r="P13" s="240"/>
      <c r="Q13" s="217"/>
      <c r="T13" s="2">
        <v>99999</v>
      </c>
      <c r="U13" s="159"/>
      <c r="V13" s="160"/>
      <c r="W13" s="159"/>
      <c r="X13" s="160"/>
      <c r="AA13">
        <v>30</v>
      </c>
      <c r="AB13" s="240">
        <v>5600</v>
      </c>
      <c r="AC13" s="14">
        <v>5600</v>
      </c>
      <c r="AD13" s="217">
        <v>6000</v>
      </c>
      <c r="AE13">
        <v>6600</v>
      </c>
      <c r="AF13">
        <v>7500</v>
      </c>
      <c r="AG13" s="2">
        <v>99999</v>
      </c>
      <c r="AH13" s="159"/>
      <c r="AI13" s="160"/>
      <c r="AK13" s="159"/>
      <c r="AL13" s="160"/>
      <c r="AN13" s="159"/>
      <c r="AO13" s="160"/>
      <c r="AS13" s="1"/>
      <c r="AT13" s="1"/>
      <c r="AU13" s="1"/>
      <c r="AV13" s="159"/>
      <c r="AW13" s="160"/>
    </row>
    <row r="14" spans="1:55" ht="15" customHeight="1">
      <c r="A14">
        <v>40</v>
      </c>
      <c r="B14" s="240">
        <v>8200</v>
      </c>
      <c r="C14" s="14">
        <v>8200</v>
      </c>
      <c r="D14" s="217">
        <v>9000</v>
      </c>
      <c r="E14">
        <v>10000</v>
      </c>
      <c r="F14">
        <v>11200</v>
      </c>
      <c r="G14" s="2">
        <v>99999</v>
      </c>
      <c r="H14" s="159"/>
      <c r="I14" s="160"/>
      <c r="K14" s="159"/>
      <c r="L14" s="160"/>
      <c r="O14">
        <v>35</v>
      </c>
      <c r="P14" s="235">
        <v>99999</v>
      </c>
      <c r="Q14" s="236">
        <v>99999</v>
      </c>
      <c r="R14" s="236">
        <v>99999</v>
      </c>
      <c r="S14" s="236">
        <v>99999</v>
      </c>
      <c r="T14" s="244">
        <v>99999</v>
      </c>
      <c r="U14" s="159"/>
      <c r="V14" s="160"/>
      <c r="W14" s="159"/>
      <c r="X14" s="160"/>
      <c r="AA14">
        <v>40</v>
      </c>
      <c r="AB14" s="240">
        <v>6400</v>
      </c>
      <c r="AC14" s="14">
        <v>6400</v>
      </c>
      <c r="AD14" s="217">
        <v>7200</v>
      </c>
      <c r="AE14">
        <v>8100</v>
      </c>
      <c r="AF14">
        <v>9200</v>
      </c>
      <c r="AG14" s="2">
        <v>99999</v>
      </c>
      <c r="AH14" s="159"/>
      <c r="AI14" s="160"/>
      <c r="AK14" s="159"/>
      <c r="AL14" s="160"/>
      <c r="AN14" s="159"/>
      <c r="AO14" s="160"/>
      <c r="AS14" s="1"/>
      <c r="AT14" s="1"/>
      <c r="AU14" s="1"/>
      <c r="AV14" s="159"/>
      <c r="AW14" s="160"/>
    </row>
    <row r="15" spans="1:55" ht="15" customHeight="1">
      <c r="A15">
        <v>45</v>
      </c>
      <c r="B15" s="235">
        <v>99999</v>
      </c>
      <c r="C15" s="241">
        <v>99999</v>
      </c>
      <c r="D15" s="236">
        <v>99999</v>
      </c>
      <c r="E15" s="236">
        <v>99999</v>
      </c>
      <c r="F15" s="236">
        <v>99999</v>
      </c>
      <c r="G15" s="244">
        <v>99999</v>
      </c>
      <c r="H15" s="159"/>
      <c r="I15" s="160"/>
      <c r="K15" s="159"/>
      <c r="O15" s="159"/>
      <c r="P15" s="160"/>
      <c r="T15" s="1"/>
      <c r="U15" s="1"/>
      <c r="V15" s="1"/>
      <c r="W15" s="159"/>
      <c r="X15" s="160"/>
      <c r="AA15">
        <v>45</v>
      </c>
      <c r="AB15" s="235">
        <v>99999</v>
      </c>
      <c r="AC15" s="241">
        <v>99999</v>
      </c>
      <c r="AD15" s="236">
        <v>99999</v>
      </c>
      <c r="AE15" s="236">
        <v>99999</v>
      </c>
      <c r="AF15" s="236">
        <v>99999</v>
      </c>
      <c r="AG15" s="244">
        <v>99999</v>
      </c>
      <c r="AH15" s="159"/>
      <c r="AI15" s="160"/>
      <c r="AK15" s="159"/>
      <c r="AL15" s="160"/>
      <c r="AN15" s="1"/>
      <c r="AO15" s="1"/>
      <c r="AP15" s="1"/>
      <c r="AQ15" s="159"/>
      <c r="AR15" s="160"/>
      <c r="AV15" s="1"/>
      <c r="AW15" s="1"/>
      <c r="AX15" s="1"/>
      <c r="AY15" s="159"/>
      <c r="AZ15" s="160"/>
    </row>
    <row r="16" spans="1:55" ht="15" customHeight="1">
      <c r="B16" s="159"/>
      <c r="C16" s="160"/>
      <c r="G16" s="1"/>
      <c r="H16" s="1"/>
      <c r="I16" s="1"/>
      <c r="J16" s="159"/>
      <c r="K16" s="160"/>
      <c r="L16" s="14"/>
      <c r="O16" s="159" t="s">
        <v>138</v>
      </c>
      <c r="P16" s="160">
        <f>D1</f>
        <v>0</v>
      </c>
      <c r="Q16" s="276" t="s">
        <v>181</v>
      </c>
      <c r="R16" s="276"/>
      <c r="T16" s="1"/>
      <c r="U16" s="1"/>
      <c r="V16" s="1"/>
      <c r="W16" s="159"/>
      <c r="X16" s="160"/>
      <c r="Z16" s="159"/>
      <c r="AB16" s="159"/>
      <c r="AC16" s="160"/>
      <c r="AG16" s="1"/>
      <c r="AH16" s="1"/>
      <c r="AI16" s="1"/>
      <c r="AJ16" s="159"/>
      <c r="AK16" s="160"/>
      <c r="AM16" s="1"/>
      <c r="AN16" s="1"/>
      <c r="AO16" s="1"/>
      <c r="AP16" s="159"/>
      <c r="AQ16" s="160"/>
      <c r="AR16" s="276"/>
      <c r="AS16" s="276"/>
      <c r="AU16" s="1"/>
      <c r="AV16" s="1"/>
      <c r="AW16" s="1"/>
      <c r="AX16" s="159"/>
      <c r="AY16" s="160"/>
      <c r="AZ16" s="276"/>
      <c r="BA16" s="276"/>
    </row>
    <row r="17" spans="1:53" ht="15" customHeight="1">
      <c r="B17" s="159" t="s">
        <v>138</v>
      </c>
      <c r="C17" s="160">
        <f>D1</f>
        <v>0</v>
      </c>
      <c r="D17" s="276" t="s">
        <v>181</v>
      </c>
      <c r="E17" s="276"/>
      <c r="G17" s="1"/>
      <c r="H17" s="1"/>
      <c r="I17" s="1"/>
      <c r="J17" s="159"/>
      <c r="K17" s="160"/>
      <c r="L17" s="18"/>
      <c r="M17" s="49"/>
      <c r="O17" s="18" t="s">
        <v>182</v>
      </c>
      <c r="P17" s="161">
        <f>INDEX(P5:T5,MATCH(P16,P5:T5,1))</f>
        <v>0</v>
      </c>
      <c r="Q17" s="18" t="s">
        <v>136</v>
      </c>
      <c r="R17" s="49">
        <f>MATCH(MAX(O6:O14),O6:O14,1)</f>
        <v>9</v>
      </c>
      <c r="T17" s="1"/>
      <c r="U17" s="1"/>
      <c r="V17" s="1"/>
      <c r="W17" s="18"/>
      <c r="X17" s="161"/>
      <c r="Y17" s="14"/>
      <c r="Z17" s="159"/>
      <c r="AB17" s="159" t="s">
        <v>138</v>
      </c>
      <c r="AC17" s="160">
        <f>D1</f>
        <v>0</v>
      </c>
      <c r="AD17" s="276" t="s">
        <v>181</v>
      </c>
      <c r="AE17" s="276"/>
      <c r="AG17" s="1"/>
      <c r="AH17" s="1"/>
      <c r="AI17" s="1"/>
      <c r="AJ17" s="159"/>
      <c r="AK17" s="160"/>
      <c r="AL17" s="14"/>
      <c r="AM17" s="1"/>
      <c r="AN17" s="1"/>
      <c r="AO17" s="1"/>
      <c r="AP17" s="18"/>
      <c r="AQ17" s="161"/>
      <c r="AR17" s="18"/>
      <c r="AS17" s="49"/>
      <c r="AU17" s="1"/>
      <c r="AV17" s="1"/>
      <c r="AW17" s="1"/>
      <c r="AX17" s="18"/>
      <c r="AY17" s="161"/>
      <c r="AZ17" s="18"/>
      <c r="BA17" s="49"/>
    </row>
    <row r="18" spans="1:53" ht="15" customHeight="1">
      <c r="B18" s="18" t="s">
        <v>182</v>
      </c>
      <c r="C18" s="161">
        <f>INDEX(B5:G5,MATCH(C17,B5:G5,1))</f>
        <v>0</v>
      </c>
      <c r="D18" s="18" t="s">
        <v>136</v>
      </c>
      <c r="E18" s="49">
        <f>MATCH(MAX(A6:A15),A6:A15,1)</f>
        <v>10</v>
      </c>
      <c r="G18" s="1"/>
      <c r="H18" s="1"/>
      <c r="I18" s="1"/>
      <c r="J18" s="18"/>
      <c r="K18" s="161"/>
      <c r="L18" s="18"/>
      <c r="M18" s="49"/>
      <c r="O18" s="18" t="s">
        <v>183</v>
      </c>
      <c r="P18" s="161">
        <f t="array" ref="P18">INDEX(P5:T5,IF(MATCH(P16,P5:T5,1)&lt;R18,MATCH(P16,P5:T5,1)+1,MATCH(P16,P5:T5,1)))</f>
        <v>1000</v>
      </c>
      <c r="Q18" s="18" t="s">
        <v>137</v>
      </c>
      <c r="R18" s="49">
        <f>MATCH(MAX(P5:T5),P5:T5,0)</f>
        <v>5</v>
      </c>
      <c r="T18" s="1"/>
      <c r="U18" s="1"/>
      <c r="V18" s="1"/>
      <c r="W18" s="18"/>
      <c r="X18" s="161"/>
      <c r="Y18" s="18"/>
      <c r="Z18" s="18"/>
      <c r="AB18" s="18" t="s">
        <v>182</v>
      </c>
      <c r="AC18" s="161">
        <f>INDEX(AB5:AG5,MATCH(AC17,AB5:AG5,1))</f>
        <v>0</v>
      </c>
      <c r="AD18" s="18" t="s">
        <v>136</v>
      </c>
      <c r="AE18" s="49">
        <f>MATCH(MAX(AA6:AA15),AA6:AA15,1)</f>
        <v>10</v>
      </c>
      <c r="AG18" s="1"/>
      <c r="AH18" s="1"/>
      <c r="AI18" s="1"/>
      <c r="AJ18" s="18"/>
      <c r="AK18" s="161"/>
      <c r="AL18" s="18"/>
      <c r="AM18" s="1"/>
      <c r="AN18" s="1"/>
      <c r="AO18" s="1"/>
      <c r="AP18" s="18"/>
      <c r="AQ18" s="161"/>
      <c r="AR18" s="18"/>
      <c r="AS18" s="49"/>
      <c r="AU18" s="1"/>
      <c r="AV18" s="1"/>
      <c r="AW18" s="1"/>
      <c r="AX18" s="18"/>
      <c r="AY18" s="161"/>
      <c r="AZ18" s="18"/>
      <c r="BA18" s="49"/>
    </row>
    <row r="19" spans="1:53" ht="15" customHeight="1">
      <c r="B19" s="18" t="s">
        <v>183</v>
      </c>
      <c r="C19" s="161">
        <f t="array" ref="C19">INDEX(B5:G5,IF(MATCH(C17,B5:G5,1)&lt;E19,MATCH(C17,B5:G5,1)+1,MATCH(C17,B5:G5,1)))</f>
        <v>1000</v>
      </c>
      <c r="D19" s="18" t="s">
        <v>137</v>
      </c>
      <c r="E19" s="49">
        <f>MATCH(MAX(B5:G5),B5:G5,0)</f>
        <v>6</v>
      </c>
      <c r="G19" s="1"/>
      <c r="H19" s="1"/>
      <c r="I19" s="1"/>
      <c r="J19" s="18"/>
      <c r="K19" s="161"/>
      <c r="L19" s="1"/>
      <c r="M19" s="1"/>
      <c r="O19" s="159" t="s">
        <v>139</v>
      </c>
      <c r="P19" s="205">
        <f>D2</f>
        <v>-35</v>
      </c>
      <c r="Q19" s="1"/>
      <c r="R19" s="1"/>
      <c r="T19" s="1"/>
      <c r="U19" s="1"/>
      <c r="V19" s="1"/>
      <c r="W19" s="159"/>
      <c r="X19" s="205"/>
      <c r="Y19" s="18"/>
      <c r="Z19" s="18"/>
      <c r="AB19" s="18" t="s">
        <v>183</v>
      </c>
      <c r="AC19" s="161">
        <f t="array" ref="AC19">INDEX(AB5:AG5,IF(MATCH(AC17,AB5:AG5,1)&lt;AE19,MATCH(AC17,AB5:AG5,1)+1,MATCH(AC17,AB5:AG5,1)))</f>
        <v>1000</v>
      </c>
      <c r="AD19" s="18" t="s">
        <v>137</v>
      </c>
      <c r="AE19" s="49">
        <f>MATCH(MAX(AB5:AG5),AB5:AG5,0)</f>
        <v>6</v>
      </c>
      <c r="AG19" s="1"/>
      <c r="AH19" s="1"/>
      <c r="AI19" s="1"/>
      <c r="AJ19" s="18"/>
      <c r="AK19" s="161"/>
      <c r="AL19" s="18"/>
      <c r="AM19" s="1"/>
      <c r="AN19" s="1"/>
      <c r="AO19" s="1"/>
      <c r="AP19" s="159"/>
      <c r="AQ19" s="205"/>
      <c r="AR19" s="1"/>
      <c r="AS19" s="1"/>
      <c r="AU19" s="1"/>
      <c r="AV19" s="1"/>
      <c r="AW19" s="1"/>
      <c r="AX19" s="159"/>
      <c r="AY19" s="205"/>
      <c r="AZ19" s="1"/>
      <c r="BA19" s="1"/>
    </row>
    <row r="20" spans="1:53" ht="15" customHeight="1">
      <c r="B20" s="159" t="s">
        <v>139</v>
      </c>
      <c r="C20" s="205">
        <f>D2</f>
        <v>-35</v>
      </c>
      <c r="D20" s="1"/>
      <c r="E20" s="1"/>
      <c r="G20" s="1"/>
      <c r="H20" s="1"/>
      <c r="I20" s="1"/>
      <c r="J20" s="159"/>
      <c r="K20" s="205"/>
      <c r="L20" s="1"/>
      <c r="M20" s="40"/>
      <c r="O20" s="18" t="s">
        <v>140</v>
      </c>
      <c r="P20" s="161" t="e">
        <f>INDEX(O6:O14,MATCH(P19,O6:O14,1))</f>
        <v>#N/A</v>
      </c>
      <c r="Q20" s="1"/>
      <c r="R20" s="40"/>
      <c r="T20" s="1"/>
      <c r="U20" s="1"/>
      <c r="V20" s="1"/>
      <c r="W20" s="18"/>
      <c r="X20" s="161"/>
      <c r="Y20" s="1"/>
      <c r="Z20" s="159"/>
      <c r="AB20" s="159" t="s">
        <v>139</v>
      </c>
      <c r="AC20" s="205">
        <f>D2</f>
        <v>-35</v>
      </c>
      <c r="AD20" s="1"/>
      <c r="AE20" s="1"/>
      <c r="AG20" s="1"/>
      <c r="AH20" s="1"/>
      <c r="AI20" s="1"/>
      <c r="AJ20" s="159"/>
      <c r="AK20" s="205"/>
      <c r="AL20" s="1"/>
      <c r="AM20" s="1"/>
      <c r="AN20" s="1"/>
      <c r="AO20" s="1"/>
      <c r="AP20" s="18"/>
      <c r="AQ20" s="161"/>
      <c r="AR20" s="1"/>
      <c r="AS20" s="40"/>
      <c r="AU20" s="1"/>
      <c r="AV20" s="1"/>
      <c r="AW20" s="1"/>
      <c r="AX20" s="18"/>
      <c r="AY20" s="161"/>
      <c r="AZ20" s="1"/>
      <c r="BA20" s="40"/>
    </row>
    <row r="21" spans="1:53" ht="15" customHeight="1">
      <c r="B21" s="18" t="s">
        <v>140</v>
      </c>
      <c r="C21" s="161">
        <f>INDEX(A6:A15,MATCH(C20,A6:A15,1))</f>
        <v>-40</v>
      </c>
      <c r="D21" s="1"/>
      <c r="E21" s="40"/>
      <c r="G21" s="1"/>
      <c r="H21" s="1"/>
      <c r="I21" s="1"/>
      <c r="J21" s="18"/>
      <c r="K21" s="161"/>
      <c r="L21" s="1"/>
      <c r="M21" s="40"/>
      <c r="O21" s="18" t="s">
        <v>141</v>
      </c>
      <c r="P21" s="161" t="e">
        <f t="array" ref="P21">INDEX(O6:O14,IF(MATCH(P19,O6:O14,1)&lt;R17,MATCH(P19,O6:O14,1)+1,MATCH(P19,O6:O14,1)))</f>
        <v>#N/A</v>
      </c>
      <c r="Q21" s="1"/>
      <c r="R21" s="40"/>
      <c r="T21" s="1"/>
      <c r="U21" s="1"/>
      <c r="V21" s="1"/>
      <c r="W21" s="18"/>
      <c r="X21" s="161"/>
      <c r="Y21" s="1"/>
      <c r="Z21" s="18"/>
      <c r="AB21" s="18" t="s">
        <v>140</v>
      </c>
      <c r="AC21" s="161">
        <f>INDEX(AA6:AA15,MATCH(AC20,AA6:AA15,1))</f>
        <v>-40</v>
      </c>
      <c r="AD21" s="1"/>
      <c r="AE21" s="40"/>
      <c r="AG21" s="1"/>
      <c r="AH21" s="1"/>
      <c r="AI21" s="1"/>
      <c r="AJ21" s="18"/>
      <c r="AK21" s="161"/>
      <c r="AL21" s="1"/>
      <c r="AM21" s="1"/>
      <c r="AN21" s="1"/>
      <c r="AO21" s="1"/>
      <c r="AP21" s="18"/>
      <c r="AQ21" s="161"/>
      <c r="AR21" s="1"/>
      <c r="AS21" s="40"/>
      <c r="AU21" s="1"/>
      <c r="AV21" s="1"/>
      <c r="AW21" s="1"/>
      <c r="AX21" s="18"/>
      <c r="AY21" s="161"/>
      <c r="AZ21" s="1"/>
      <c r="BA21" s="40"/>
    </row>
    <row r="22" spans="1:53" ht="15" customHeight="1">
      <c r="B22" s="18" t="s">
        <v>141</v>
      </c>
      <c r="C22" s="161">
        <f t="array" ref="C22">INDEX(A6:A15,IF(MATCH(C20,A6:A15,1)&lt;E18,MATCH(C20,A6:A15,1)+1,MATCH(C20,A6:A15,1)))</f>
        <v>-30</v>
      </c>
      <c r="D22" s="1"/>
      <c r="E22" s="40"/>
      <c r="G22" s="1"/>
      <c r="H22" s="1"/>
      <c r="I22" s="1"/>
      <c r="J22" s="18"/>
      <c r="K22" s="161"/>
      <c r="L22" s="1"/>
      <c r="M22" s="40"/>
      <c r="O22" s="159" t="s">
        <v>142</v>
      </c>
      <c r="P22" s="160" t="e">
        <f>INDEX(P6:T14,MATCH(P19,O6:O14,1),MATCH(P16,P5:T5,1))</f>
        <v>#N/A</v>
      </c>
      <c r="Q22" s="1"/>
      <c r="R22" s="40"/>
      <c r="T22" s="1"/>
      <c r="U22" s="1"/>
      <c r="V22" s="1"/>
      <c r="W22" s="159"/>
      <c r="X22" s="160"/>
      <c r="Y22" s="1"/>
      <c r="Z22" s="18"/>
      <c r="AB22" s="18" t="s">
        <v>141</v>
      </c>
      <c r="AC22" s="161">
        <f t="array" ref="AC22">INDEX(AA6:AA15,IF(MATCH(AC20,AA6:AA15,1)&lt;AE18,MATCH(AC20,AA6:AA15,1)+1,MATCH(AC20,AA6:AA15,1)))</f>
        <v>-30</v>
      </c>
      <c r="AD22" s="1"/>
      <c r="AE22" s="40"/>
      <c r="AG22" s="1"/>
      <c r="AH22" s="1"/>
      <c r="AI22" s="1"/>
      <c r="AJ22" s="18"/>
      <c r="AK22" s="161"/>
      <c r="AL22" s="1"/>
      <c r="AM22" s="1"/>
      <c r="AN22" s="1"/>
      <c r="AO22" s="1"/>
      <c r="AP22" s="159"/>
      <c r="AQ22" s="160"/>
      <c r="AR22" s="1"/>
      <c r="AS22" s="40"/>
      <c r="AU22" s="1"/>
      <c r="AV22" s="1"/>
      <c r="AW22" s="1"/>
      <c r="AX22" s="159"/>
      <c r="AY22" s="160"/>
      <c r="AZ22" s="1"/>
      <c r="BA22" s="40"/>
    </row>
    <row r="23" spans="1:53" ht="15" customHeight="1">
      <c r="B23" s="159" t="s">
        <v>142</v>
      </c>
      <c r="C23" s="160">
        <f>INDEX(B6:G15,MATCH(C20,A6:A15,1),MATCH(C17,B5:G5,1))</f>
        <v>5600</v>
      </c>
      <c r="D23" s="1"/>
      <c r="E23" s="40"/>
      <c r="G23" s="1"/>
      <c r="H23" s="1"/>
      <c r="I23" s="1"/>
      <c r="J23" s="159"/>
      <c r="K23" s="160"/>
      <c r="M23" s="40"/>
      <c r="O23" s="159" t="s">
        <v>184</v>
      </c>
      <c r="P23" s="160" t="e">
        <f>INDEX(P6:T14,MATCH(P19,O6:O14,1),IF(MATCH(P16,P5:T5,1)&lt;R18,MATCH(P16,P5:T5,1)+1,MATCH(P19,O6:O14,1)))</f>
        <v>#N/A</v>
      </c>
      <c r="R23" s="40"/>
      <c r="T23" s="1"/>
      <c r="U23" s="1"/>
      <c r="V23" s="1"/>
      <c r="W23" s="159"/>
      <c r="X23" s="160"/>
      <c r="Y23" s="1"/>
      <c r="Z23" s="159"/>
      <c r="AB23" s="159" t="s">
        <v>142</v>
      </c>
      <c r="AC23" s="160">
        <f>INDEX(AB6:AG15,MATCH(AC20,AA6:AA15,1),MATCH(AC17,AB5:AG5,1))</f>
        <v>4200</v>
      </c>
      <c r="AD23" s="1"/>
      <c r="AE23" s="40"/>
      <c r="AG23" s="1"/>
      <c r="AH23" s="1"/>
      <c r="AI23" s="1"/>
      <c r="AJ23" s="159"/>
      <c r="AK23" s="160"/>
      <c r="AL23" s="1"/>
      <c r="AM23" s="1"/>
      <c r="AN23" s="1"/>
      <c r="AO23" s="1"/>
      <c r="AP23" s="159"/>
      <c r="AQ23" s="160"/>
      <c r="AS23" s="40"/>
      <c r="AU23" s="1"/>
      <c r="AV23" s="1"/>
      <c r="AW23" s="1"/>
      <c r="AX23" s="159"/>
      <c r="AY23" s="160"/>
      <c r="BA23" s="40"/>
    </row>
    <row r="24" spans="1:53" ht="15" customHeight="1">
      <c r="B24" s="159" t="s">
        <v>184</v>
      </c>
      <c r="C24" s="160">
        <f t="array" ref="C24">INDEX(B6:G15,MATCH(C20,A6:A15,1),IF(MATCH(C17,B5:G5,1)&lt;E19,MATCH(C17,B5:G5,1)+1,MATCH(C20,A6:A15,1)))</f>
        <v>5600</v>
      </c>
      <c r="E24" s="40"/>
      <c r="G24" s="1"/>
      <c r="H24" s="1"/>
      <c r="I24" s="1"/>
      <c r="J24" s="159"/>
      <c r="K24" s="160"/>
      <c r="M24" s="40"/>
      <c r="O24" s="159" t="s">
        <v>143</v>
      </c>
      <c r="P24" s="160" t="e">
        <f>INDEX(P6:T14,IF(MATCH(P19,O6:O14,1)&lt;R17,MATCH(P19,O6:O14,1)+1,MATCH(P19,O6:O14,1)),MATCH(P16,P5:T5,1))</f>
        <v>#N/A</v>
      </c>
      <c r="R24" s="40"/>
      <c r="T24" s="1"/>
      <c r="U24" s="1"/>
      <c r="V24" s="1"/>
      <c r="W24" s="159"/>
      <c r="X24" s="160"/>
      <c r="Z24" s="159"/>
      <c r="AB24" s="159" t="s">
        <v>184</v>
      </c>
      <c r="AC24" s="160">
        <f t="array" ref="AC24">INDEX(AB6:AG15,MATCH(AC20,AA6:AA15,1),IF(MATCH(AC17,AB5:AG5,1)&lt;AE19,MATCH(AC17,AB5:AG5,1)+1,MATCH(AC20,AA6:AA15,1)))</f>
        <v>4400</v>
      </c>
      <c r="AE24" s="40"/>
      <c r="AG24" s="1"/>
      <c r="AH24" s="1"/>
      <c r="AI24" s="1"/>
      <c r="AJ24" s="159"/>
      <c r="AK24" s="160"/>
      <c r="AM24" s="1"/>
      <c r="AN24" s="1"/>
      <c r="AO24" s="1"/>
      <c r="AP24" s="159"/>
      <c r="AQ24" s="160"/>
      <c r="AS24" s="40"/>
      <c r="AU24" s="1"/>
      <c r="AV24" s="1"/>
      <c r="AW24" s="1"/>
      <c r="AX24" s="159"/>
      <c r="AY24" s="160"/>
      <c r="BA24" s="40"/>
    </row>
    <row r="25" spans="1:53" ht="15" customHeight="1">
      <c r="B25" s="159" t="s">
        <v>143</v>
      </c>
      <c r="C25" s="160">
        <f t="array" ref="C25">INDEX(B6:G15,IF(MATCH(C20,A6:A15,1)&lt;E18,MATCH(C20,A6:A15,1)+1,MATCH(C20,A6:A15,1)),MATCH(C17,B5:G5,1))</f>
        <v>5600</v>
      </c>
      <c r="E25" s="40"/>
      <c r="G25" s="1"/>
      <c r="H25" s="1"/>
      <c r="I25" s="1"/>
      <c r="J25" s="159"/>
      <c r="K25" s="160"/>
      <c r="O25" s="159" t="s">
        <v>185</v>
      </c>
      <c r="P25" s="160" t="e">
        <f>INDEX(P6:T14,IF(MATCH(P19,O6:O14,1)&lt;R17,MATCH(P19,O6:O14,1)+1,MATCH(P19,O6:O14,1)),IF(MATCH(P16,P5:T5,1)&lt;R18,MATCH(P16,P5:T5,1)+1,MATCH(P16,P5:T5,1)))</f>
        <v>#N/A</v>
      </c>
      <c r="T25" s="1"/>
      <c r="U25" s="1"/>
      <c r="V25" s="1"/>
      <c r="W25" s="159"/>
      <c r="X25" s="160"/>
      <c r="Z25" s="159"/>
      <c r="AB25" s="159" t="s">
        <v>143</v>
      </c>
      <c r="AC25" s="160">
        <f t="array" ref="AC25">INDEX(AB6:AG15,IF(MATCH(AC20,AA6:AA15,1)&lt;AE18,MATCH(AC20,AA6:AA15,1)+1,MATCH(AC20,AA6:AA15,1)),MATCH(AC17,AB5:AG5,1))</f>
        <v>4200</v>
      </c>
      <c r="AE25" s="40"/>
      <c r="AG25" s="1"/>
      <c r="AH25" s="1"/>
      <c r="AI25" s="1"/>
      <c r="AJ25" s="159"/>
      <c r="AK25" s="160"/>
      <c r="AM25" s="1"/>
      <c r="AN25" s="1"/>
      <c r="AO25" s="1"/>
      <c r="AP25" s="159"/>
      <c r="AQ25" s="160"/>
      <c r="AU25" s="1"/>
      <c r="AV25" s="1"/>
      <c r="AW25" s="1"/>
      <c r="AX25" s="159"/>
      <c r="AY25" s="160"/>
    </row>
    <row r="26" spans="1:53" ht="15" customHeight="1">
      <c r="B26" s="159" t="s">
        <v>185</v>
      </c>
      <c r="C26" s="160">
        <f t="array" ref="C26">INDEX(B6:G15,IF(MATCH(C20,A6:A15,1)&lt;E18,MATCH(C20,A6:A15,1)+1,MATCH(C20,A6:A15,1)),IF(MATCH(C17,B5:G5,1)&lt;E19,MATCH(C17,B5:G5,1)+1,MATCH(C17,B5:G5,1)))</f>
        <v>5600</v>
      </c>
      <c r="G26" s="1"/>
      <c r="H26" s="1"/>
      <c r="I26" s="1"/>
      <c r="J26" s="159"/>
      <c r="K26" s="160"/>
      <c r="O26" s="18" t="s">
        <v>186</v>
      </c>
      <c r="P26" s="161" t="e">
        <f>IFERROR(P22+(P16-P17)*(P23-P22)/(P18-P17),P22)</f>
        <v>#N/A</v>
      </c>
      <c r="T26" s="1"/>
      <c r="U26" s="1"/>
      <c r="V26" s="1"/>
      <c r="W26" s="18"/>
      <c r="X26" s="161"/>
      <c r="Z26" s="159"/>
      <c r="AB26" s="159" t="s">
        <v>185</v>
      </c>
      <c r="AC26" s="160">
        <f t="array" ref="AC26">INDEX(AB6:AG15,IF(MATCH(AC20,AA6:AA15,1)&lt;AE18,MATCH(AC20,AA6:AA15,1)+1,MATCH(AC20,AA6:AA15,1)),IF(MATCH(AC17,AB5:AG5,1)&lt;AE19,MATCH(AC17,AB5:AG5,1)+1,MATCH(AC17,AB5:AG5,1)))</f>
        <v>4400</v>
      </c>
      <c r="AG26" s="1"/>
      <c r="AH26" s="1"/>
      <c r="AI26" s="1"/>
      <c r="AJ26" s="159"/>
      <c r="AK26" s="160"/>
      <c r="AM26" s="1"/>
      <c r="AN26" s="1"/>
      <c r="AO26" s="1"/>
      <c r="AP26" s="18"/>
      <c r="AQ26" s="161"/>
      <c r="AU26" s="1"/>
      <c r="AV26" s="1"/>
      <c r="AW26" s="1"/>
      <c r="AX26" s="18"/>
      <c r="AY26" s="161"/>
    </row>
    <row r="27" spans="1:53" ht="15" customHeight="1">
      <c r="B27" s="18" t="s">
        <v>186</v>
      </c>
      <c r="C27" s="161">
        <f>IFERROR(C23+(C17-C18)*(C24-C23)/(C19-C18),C23)</f>
        <v>5600</v>
      </c>
      <c r="G27" s="1"/>
      <c r="H27" s="1"/>
      <c r="I27" s="1"/>
      <c r="J27" s="18"/>
      <c r="K27" s="161"/>
      <c r="O27" s="18" t="s">
        <v>187</v>
      </c>
      <c r="P27" s="161" t="e">
        <f>IFERROR(P24+(P16-P17)*(P25-P24)/(P18-P17),P24)</f>
        <v>#N/A</v>
      </c>
      <c r="T27" s="1"/>
      <c r="U27" s="1"/>
      <c r="V27" s="1"/>
      <c r="W27" s="18"/>
      <c r="X27" s="161"/>
      <c r="Z27" s="18"/>
      <c r="AB27" s="18" t="s">
        <v>186</v>
      </c>
      <c r="AC27" s="161">
        <f>IFERROR(AC23+(AC17-AC18)*(AC24-AC23)/(AC19-AC18),AC23)</f>
        <v>4200</v>
      </c>
      <c r="AG27" s="1"/>
      <c r="AH27" s="1"/>
      <c r="AI27" s="1"/>
      <c r="AJ27" s="18"/>
      <c r="AK27" s="161"/>
      <c r="AM27" s="1"/>
      <c r="AN27" s="1"/>
      <c r="AO27" s="1"/>
      <c r="AP27" s="18"/>
      <c r="AQ27" s="161"/>
      <c r="AU27" s="1"/>
      <c r="AV27" s="1"/>
      <c r="AW27" s="1"/>
      <c r="AX27" s="18"/>
      <c r="AY27" s="161"/>
    </row>
    <row r="28" spans="1:53" ht="15" customHeight="1">
      <c r="B28" s="18" t="s">
        <v>187</v>
      </c>
      <c r="C28" s="161">
        <f>IFERROR(C25+(C17-C18)*(C26-C25)/(C19-C18),C25)</f>
        <v>5600</v>
      </c>
      <c r="G28" s="1"/>
      <c r="H28" s="1"/>
      <c r="I28" s="1"/>
      <c r="J28" s="18"/>
      <c r="K28" s="161"/>
      <c r="O28" s="159" t="s">
        <v>188</v>
      </c>
      <c r="P28" s="160" t="e">
        <f>IFERROR(P26+(P19-P20)*(P27-P26)/(P21-P20),P26)</f>
        <v>#N/A</v>
      </c>
      <c r="T28" s="1"/>
      <c r="U28" s="1"/>
      <c r="V28" s="1"/>
      <c r="W28" s="159"/>
      <c r="X28" s="160"/>
      <c r="Z28" s="18"/>
      <c r="AB28" s="18" t="s">
        <v>187</v>
      </c>
      <c r="AC28" s="161">
        <f>IFERROR(AC25+(AC17-AC18)*(AC26-AC25)/(AC19-AC18),AC25)</f>
        <v>4200</v>
      </c>
      <c r="AG28" s="1"/>
      <c r="AH28" s="1"/>
      <c r="AI28" s="1"/>
      <c r="AJ28" s="18"/>
      <c r="AK28" s="161"/>
      <c r="AM28" s="1"/>
      <c r="AN28" s="1"/>
      <c r="AO28" s="1"/>
      <c r="AP28" s="159"/>
      <c r="AQ28" s="160"/>
      <c r="AU28" s="1"/>
      <c r="AV28" s="1"/>
      <c r="AW28" s="1"/>
      <c r="AX28" s="159"/>
      <c r="AY28" s="160"/>
    </row>
    <row r="29" spans="1:53" ht="15" customHeight="1">
      <c r="B29" s="159" t="s">
        <v>188</v>
      </c>
      <c r="C29" s="160">
        <f>IFERROR(C27+(C20-C21)*(C28-C27)/(C22-C21),C27)</f>
        <v>5600</v>
      </c>
      <c r="G29" s="1"/>
      <c r="H29" s="1"/>
      <c r="I29" s="1"/>
      <c r="J29" s="159"/>
      <c r="K29" s="160"/>
      <c r="Z29" s="159"/>
      <c r="AB29" s="159" t="s">
        <v>188</v>
      </c>
      <c r="AC29" s="160">
        <f>IFERROR(AC27+(AC20-AC21)*(AC28-AC27)/(AC22-AC21),AC27)</f>
        <v>4200</v>
      </c>
      <c r="AG29" s="1"/>
      <c r="AH29" s="1"/>
      <c r="AI29" s="1"/>
      <c r="AJ29" s="159"/>
      <c r="AK29" s="160"/>
    </row>
    <row r="30" spans="1:53" ht="15" customHeight="1">
      <c r="L30" s="14"/>
      <c r="M30" s="14"/>
      <c r="O30" s="276" t="s">
        <v>189</v>
      </c>
      <c r="P30" s="276"/>
      <c r="Q30" s="276"/>
      <c r="R30" s="276"/>
      <c r="S30" s="276"/>
      <c r="T30" s="276"/>
      <c r="U30" s="14"/>
      <c r="V30" s="14"/>
      <c r="W30" s="14"/>
      <c r="X30" s="14"/>
    </row>
    <row r="31" spans="1:53" ht="15" customHeight="1">
      <c r="B31" s="276" t="s">
        <v>189</v>
      </c>
      <c r="C31" s="276"/>
      <c r="D31" s="276"/>
      <c r="E31" s="276"/>
      <c r="F31" s="276"/>
      <c r="G31" s="276"/>
      <c r="H31" s="14"/>
      <c r="I31" s="14"/>
      <c r="J31" s="14"/>
      <c r="K31" s="14"/>
      <c r="N31" t="s">
        <v>30</v>
      </c>
      <c r="O31" s="245">
        <v>2000</v>
      </c>
      <c r="P31" s="248">
        <v>3000</v>
      </c>
      <c r="Q31" s="247">
        <v>4000</v>
      </c>
      <c r="R31" s="227">
        <v>4500</v>
      </c>
      <c r="Y31" s="14"/>
      <c r="AB31" s="276" t="s">
        <v>189</v>
      </c>
      <c r="AC31" s="276"/>
      <c r="AD31" s="276"/>
      <c r="AE31" s="276"/>
      <c r="AF31" s="276"/>
      <c r="AG31" s="276"/>
      <c r="AH31" s="14"/>
      <c r="AI31" s="14"/>
      <c r="AJ31" s="14"/>
      <c r="AK31" s="14"/>
      <c r="AL31" s="14"/>
    </row>
    <row r="32" spans="1:53" ht="15" customHeight="1">
      <c r="A32" t="s">
        <v>30</v>
      </c>
      <c r="B32" s="245">
        <v>5600</v>
      </c>
      <c r="C32" s="246">
        <v>7000</v>
      </c>
      <c r="D32" s="246">
        <v>8400</v>
      </c>
      <c r="E32" s="246">
        <v>10000</v>
      </c>
      <c r="F32" s="247">
        <v>11400</v>
      </c>
      <c r="G32" s="227">
        <v>12000</v>
      </c>
      <c r="O32">
        <v>10000</v>
      </c>
      <c r="P32" s="225"/>
      <c r="Q32" s="226"/>
      <c r="R32" s="47"/>
      <c r="S32" s="227">
        <v>99999</v>
      </c>
      <c r="AC32" t="s">
        <v>30</v>
      </c>
      <c r="AD32" s="245">
        <v>4200</v>
      </c>
      <c r="AE32" s="248">
        <v>6400</v>
      </c>
      <c r="AF32" s="247">
        <v>8400</v>
      </c>
      <c r="AG32" s="247">
        <v>10400</v>
      </c>
      <c r="AH32" s="227">
        <v>11000</v>
      </c>
    </row>
    <row r="33" spans="1:38" ht="15" customHeight="1">
      <c r="A33">
        <v>9000</v>
      </c>
      <c r="B33" s="225">
        <v>2600</v>
      </c>
      <c r="C33" s="237">
        <v>3200</v>
      </c>
      <c r="D33" s="237">
        <v>3700</v>
      </c>
      <c r="E33" s="237">
        <v>4200</v>
      </c>
      <c r="F33" s="47">
        <v>4600</v>
      </c>
      <c r="G33" s="227">
        <v>99999</v>
      </c>
      <c r="O33">
        <v>11000</v>
      </c>
      <c r="P33" s="240"/>
      <c r="Q33" s="217"/>
      <c r="S33" s="2">
        <v>99999</v>
      </c>
      <c r="AC33">
        <v>9000</v>
      </c>
      <c r="AD33" s="225">
        <v>2400</v>
      </c>
      <c r="AE33" s="226">
        <v>3100</v>
      </c>
      <c r="AF33" s="47">
        <v>3700</v>
      </c>
      <c r="AG33" s="47">
        <v>4300</v>
      </c>
      <c r="AH33" s="227">
        <v>99999</v>
      </c>
    </row>
    <row r="34" spans="1:38" ht="15" customHeight="1">
      <c r="A34">
        <v>9500</v>
      </c>
      <c r="B34" s="240">
        <v>2900</v>
      </c>
      <c r="C34" s="14">
        <v>3600</v>
      </c>
      <c r="D34" s="14">
        <v>4100</v>
      </c>
      <c r="E34" s="14">
        <v>4600</v>
      </c>
      <c r="F34" s="14">
        <v>5200</v>
      </c>
      <c r="G34" s="2">
        <v>99999</v>
      </c>
      <c r="O34">
        <v>12000</v>
      </c>
      <c r="P34" s="240"/>
      <c r="Q34" s="217"/>
      <c r="S34" s="2">
        <v>99999</v>
      </c>
      <c r="AC34">
        <v>9500</v>
      </c>
      <c r="AD34" s="240">
        <v>2500</v>
      </c>
      <c r="AE34" s="217">
        <v>3400</v>
      </c>
      <c r="AF34">
        <v>4150</v>
      </c>
      <c r="AG34">
        <v>4800</v>
      </c>
      <c r="AH34" s="2">
        <v>99999</v>
      </c>
    </row>
    <row r="35" spans="1:38" ht="15" customHeight="1">
      <c r="A35">
        <v>10000</v>
      </c>
      <c r="B35" s="240">
        <v>3200</v>
      </c>
      <c r="C35" s="14">
        <v>4000</v>
      </c>
      <c r="D35" s="14">
        <v>4600</v>
      </c>
      <c r="E35" s="14">
        <v>5200</v>
      </c>
      <c r="F35" s="14">
        <v>5900</v>
      </c>
      <c r="G35" s="2">
        <v>99999</v>
      </c>
      <c r="O35">
        <v>13000</v>
      </c>
      <c r="P35" s="240"/>
      <c r="Q35" s="217"/>
      <c r="S35" s="2">
        <v>99999</v>
      </c>
      <c r="AC35">
        <v>10000</v>
      </c>
      <c r="AD35" s="240">
        <v>2700</v>
      </c>
      <c r="AE35" s="217">
        <v>3700</v>
      </c>
      <c r="AF35">
        <v>4600</v>
      </c>
      <c r="AG35">
        <v>5400</v>
      </c>
      <c r="AH35" s="2">
        <v>99999</v>
      </c>
    </row>
    <row r="36" spans="1:38" ht="15" customHeight="1">
      <c r="A36">
        <v>10500</v>
      </c>
      <c r="B36" s="240">
        <v>3600</v>
      </c>
      <c r="C36" s="14">
        <v>4400</v>
      </c>
      <c r="D36" s="14">
        <v>5200</v>
      </c>
      <c r="E36" s="14">
        <v>5900</v>
      </c>
      <c r="F36" s="14">
        <v>6700</v>
      </c>
      <c r="G36" s="2">
        <v>99999</v>
      </c>
      <c r="O36">
        <v>14000</v>
      </c>
      <c r="P36" s="240"/>
      <c r="Q36" s="217"/>
      <c r="S36" s="2">
        <v>99999</v>
      </c>
      <c r="AC36">
        <v>10500</v>
      </c>
      <c r="AD36" s="240">
        <v>3000</v>
      </c>
      <c r="AE36" s="217">
        <v>4150</v>
      </c>
      <c r="AF36">
        <v>5200</v>
      </c>
      <c r="AG36">
        <v>6000</v>
      </c>
      <c r="AH36" s="2">
        <v>99999</v>
      </c>
    </row>
    <row r="37" spans="1:38" ht="15" customHeight="1">
      <c r="A37">
        <v>11000</v>
      </c>
      <c r="B37" s="240">
        <v>4000</v>
      </c>
      <c r="C37" s="14">
        <v>5000</v>
      </c>
      <c r="D37" s="14">
        <v>5900</v>
      </c>
      <c r="E37" s="14">
        <v>6700</v>
      </c>
      <c r="F37" s="14">
        <v>7600</v>
      </c>
      <c r="G37" s="2">
        <v>99999</v>
      </c>
      <c r="O37">
        <v>15000</v>
      </c>
      <c r="P37" s="240"/>
      <c r="Q37" s="217"/>
      <c r="S37" s="2">
        <v>99999</v>
      </c>
      <c r="AC37">
        <v>11000</v>
      </c>
      <c r="AD37" s="240">
        <v>3200</v>
      </c>
      <c r="AE37" s="217">
        <v>4600</v>
      </c>
      <c r="AF37">
        <v>5800</v>
      </c>
      <c r="AG37">
        <v>6800</v>
      </c>
      <c r="AH37" s="2">
        <v>99999</v>
      </c>
    </row>
    <row r="38" spans="1:38" ht="15" customHeight="1">
      <c r="A38">
        <v>11500</v>
      </c>
      <c r="B38" s="240">
        <v>4500</v>
      </c>
      <c r="C38" s="14">
        <v>5600</v>
      </c>
      <c r="D38" s="14">
        <v>6600</v>
      </c>
      <c r="E38" s="14">
        <v>7700</v>
      </c>
      <c r="F38" s="14">
        <v>8800</v>
      </c>
      <c r="G38" s="2">
        <v>99999</v>
      </c>
      <c r="O38">
        <v>16000</v>
      </c>
      <c r="P38" s="240"/>
      <c r="Q38" s="217"/>
      <c r="S38" s="2">
        <v>99999</v>
      </c>
      <c r="AC38">
        <v>11500</v>
      </c>
      <c r="AD38" s="240">
        <v>3600</v>
      </c>
      <c r="AE38" s="217">
        <v>5150</v>
      </c>
      <c r="AF38">
        <v>6500</v>
      </c>
      <c r="AG38">
        <v>7800</v>
      </c>
      <c r="AH38" s="2">
        <v>99999</v>
      </c>
    </row>
    <row r="39" spans="1:38" ht="15" customHeight="1">
      <c r="A39">
        <v>12000</v>
      </c>
      <c r="B39" s="240">
        <v>5000</v>
      </c>
      <c r="C39" s="14">
        <v>6300</v>
      </c>
      <c r="D39" s="14">
        <v>7400</v>
      </c>
      <c r="E39" s="14">
        <v>8700</v>
      </c>
      <c r="F39" s="14">
        <v>10000</v>
      </c>
      <c r="G39" s="2">
        <v>99999</v>
      </c>
      <c r="O39">
        <v>16600</v>
      </c>
      <c r="P39" s="235"/>
      <c r="Q39" s="236"/>
      <c r="R39" s="249"/>
      <c r="S39" s="2">
        <v>99999</v>
      </c>
      <c r="AC39">
        <v>12000</v>
      </c>
      <c r="AD39" s="240">
        <v>3900</v>
      </c>
      <c r="AE39" s="217">
        <v>5700</v>
      </c>
      <c r="AF39">
        <v>7350</v>
      </c>
      <c r="AG39">
        <v>9000</v>
      </c>
      <c r="AH39" s="2">
        <v>99999</v>
      </c>
    </row>
    <row r="40" spans="1:38" ht="15" customHeight="1">
      <c r="A40">
        <v>12500</v>
      </c>
      <c r="B40" s="235">
        <v>5600</v>
      </c>
      <c r="C40" s="241">
        <v>7000</v>
      </c>
      <c r="D40" s="241">
        <v>8400</v>
      </c>
      <c r="E40" s="241">
        <v>10000</v>
      </c>
      <c r="F40" s="249">
        <v>11400</v>
      </c>
      <c r="G40" s="2">
        <v>99999</v>
      </c>
      <c r="O40">
        <v>16700</v>
      </c>
      <c r="P40" s="235">
        <v>99999</v>
      </c>
      <c r="Q40" s="236">
        <v>99999</v>
      </c>
      <c r="R40" s="236">
        <v>99999</v>
      </c>
      <c r="S40" s="250">
        <v>99999</v>
      </c>
      <c r="U40" s="217"/>
      <c r="V40" s="217"/>
      <c r="AC40">
        <v>12500</v>
      </c>
      <c r="AD40" s="235">
        <v>4200</v>
      </c>
      <c r="AE40" s="236">
        <v>6400</v>
      </c>
      <c r="AF40" s="249">
        <v>8400</v>
      </c>
      <c r="AG40" s="249">
        <v>10400</v>
      </c>
      <c r="AH40" s="2">
        <v>99999</v>
      </c>
    </row>
    <row r="41" spans="1:38" ht="15" customHeight="1">
      <c r="A41">
        <v>12600</v>
      </c>
      <c r="B41" s="235">
        <v>99999</v>
      </c>
      <c r="C41" s="241">
        <v>99999</v>
      </c>
      <c r="D41" s="241">
        <v>99999</v>
      </c>
      <c r="E41" s="241">
        <v>99999</v>
      </c>
      <c r="F41" s="236">
        <v>99999</v>
      </c>
      <c r="G41" s="250">
        <v>99999</v>
      </c>
      <c r="H41" s="217"/>
      <c r="I41" s="217"/>
      <c r="J41" s="217"/>
      <c r="K41" s="217"/>
      <c r="L41" s="11"/>
      <c r="P41" s="159"/>
      <c r="Q41" s="160"/>
      <c r="U41" s="1"/>
      <c r="V41" s="1"/>
      <c r="W41" s="1"/>
      <c r="X41" s="159"/>
      <c r="Y41" s="160"/>
      <c r="AC41">
        <v>12600</v>
      </c>
      <c r="AD41" s="235">
        <v>99999</v>
      </c>
      <c r="AE41" s="236">
        <v>99999</v>
      </c>
      <c r="AF41" s="236">
        <v>99999</v>
      </c>
      <c r="AG41" s="236">
        <v>99999</v>
      </c>
      <c r="AH41" s="250">
        <v>99999</v>
      </c>
      <c r="AI41" s="217"/>
    </row>
    <row r="42" spans="1:38" ht="15" customHeight="1">
      <c r="B42" s="159"/>
      <c r="C42" s="160"/>
      <c r="G42" s="1"/>
      <c r="H42" s="1"/>
      <c r="I42" s="1"/>
      <c r="J42" s="159"/>
      <c r="K42" s="160"/>
      <c r="L42" s="14"/>
      <c r="O42" s="159" t="s">
        <v>138</v>
      </c>
      <c r="P42" s="160" t="e">
        <f>P28</f>
        <v>#N/A</v>
      </c>
      <c r="Q42" s="276" t="s">
        <v>181</v>
      </c>
      <c r="R42" s="276"/>
      <c r="T42" s="1"/>
      <c r="U42" s="1"/>
      <c r="V42" s="1"/>
      <c r="W42" s="159"/>
      <c r="X42" s="160"/>
      <c r="AB42" s="159"/>
      <c r="AC42" s="160"/>
      <c r="AG42" s="1"/>
      <c r="AH42" s="1"/>
      <c r="AI42" s="1"/>
      <c r="AJ42" s="159"/>
      <c r="AK42" s="160"/>
    </row>
    <row r="43" spans="1:38" ht="15" customHeight="1">
      <c r="B43" s="159" t="s">
        <v>138</v>
      </c>
      <c r="C43" s="160">
        <f>C29</f>
        <v>5600</v>
      </c>
      <c r="D43" s="276" t="s">
        <v>181</v>
      </c>
      <c r="E43" s="276"/>
      <c r="G43" s="1"/>
      <c r="H43" s="1"/>
      <c r="I43" s="1"/>
      <c r="J43" s="159"/>
      <c r="K43" s="160"/>
      <c r="L43" s="18"/>
      <c r="M43" s="49"/>
      <c r="O43" s="18" t="s">
        <v>182</v>
      </c>
      <c r="P43" s="161" t="e">
        <f>INDEX(O31:R31,MATCH(P42,O31:R31,1))</f>
        <v>#N/A</v>
      </c>
      <c r="Q43" s="18" t="s">
        <v>136</v>
      </c>
      <c r="R43" s="49">
        <f>MATCH(MAX(O32:O40),O32:O40,1)</f>
        <v>9</v>
      </c>
      <c r="T43" s="1"/>
      <c r="U43" s="1"/>
      <c r="V43" s="1"/>
      <c r="W43" s="18"/>
      <c r="X43" s="161"/>
      <c r="Y43" s="14"/>
      <c r="AB43" s="159" t="s">
        <v>138</v>
      </c>
      <c r="AC43" s="160">
        <f>AC29</f>
        <v>4200</v>
      </c>
      <c r="AD43" s="276" t="s">
        <v>181</v>
      </c>
      <c r="AE43" s="276"/>
      <c r="AG43" s="1"/>
      <c r="AH43" s="1"/>
      <c r="AI43" s="1"/>
      <c r="AJ43" s="159"/>
      <c r="AK43" s="160"/>
      <c r="AL43" s="14"/>
    </row>
    <row r="44" spans="1:38" ht="15" customHeight="1">
      <c r="B44" s="18" t="s">
        <v>182</v>
      </c>
      <c r="C44" s="161">
        <f>INDEX(B32:G32,MATCH(C43,B32:G32,1))</f>
        <v>5600</v>
      </c>
      <c r="D44" s="18" t="s">
        <v>136</v>
      </c>
      <c r="E44" s="49">
        <f>MATCH(MAX(A33:A41),A33:A41,1)</f>
        <v>9</v>
      </c>
      <c r="G44" s="1"/>
      <c r="H44" s="1"/>
      <c r="I44" s="1"/>
      <c r="J44" s="18"/>
      <c r="K44" s="161"/>
      <c r="L44" s="18"/>
      <c r="M44" s="49"/>
      <c r="O44" s="18" t="s">
        <v>183</v>
      </c>
      <c r="P44" s="161" t="e">
        <f t="array" ref="P44">INDEX(O31:R31,IF(MATCH(P42,O31:R31,1)&lt;R44,MATCH(P42,O31:R31,1)+1,MATCH(P42,O31:R31,1)))</f>
        <v>#N/A</v>
      </c>
      <c r="Q44" s="18" t="s">
        <v>137</v>
      </c>
      <c r="R44" s="49">
        <f>MATCH(MAX(O31:R31),O31:R31,0)</f>
        <v>4</v>
      </c>
      <c r="T44" s="1"/>
      <c r="U44" s="1"/>
      <c r="V44" s="1"/>
      <c r="W44" s="18"/>
      <c r="X44" s="161"/>
      <c r="Y44" s="18"/>
      <c r="AB44" s="18" t="s">
        <v>182</v>
      </c>
      <c r="AC44" s="161">
        <f>INDEX(AD32:AH32,MATCH(AC43,AD32:AH32,1))</f>
        <v>4200</v>
      </c>
      <c r="AD44" s="18" t="s">
        <v>136</v>
      </c>
      <c r="AE44" s="49">
        <f>MATCH(MAX(AC33:AC41),AC33:AC41,1)</f>
        <v>9</v>
      </c>
      <c r="AG44" s="1"/>
      <c r="AH44" s="1"/>
      <c r="AI44" s="1"/>
      <c r="AJ44" s="18"/>
      <c r="AK44" s="161"/>
      <c r="AL44" s="18"/>
    </row>
    <row r="45" spans="1:38" ht="15" customHeight="1">
      <c r="B45" s="18" t="s">
        <v>183</v>
      </c>
      <c r="C45" s="161">
        <f t="array" ref="C45">INDEX(B32:G32,IF(MATCH(C43,B32:G32,1)&lt;E45,MATCH(C43,B32:G32,1)+1,MATCH(C43,B32:G32,1)))</f>
        <v>7000</v>
      </c>
      <c r="D45" s="18" t="s">
        <v>137</v>
      </c>
      <c r="E45" s="49">
        <f>MATCH(MAX(B32:G32),B32:G32,0)</f>
        <v>6</v>
      </c>
      <c r="G45" s="1"/>
      <c r="H45" s="1"/>
      <c r="I45" s="1"/>
      <c r="J45" s="18"/>
      <c r="K45" s="161"/>
      <c r="L45" s="1"/>
      <c r="M45" s="1"/>
      <c r="O45" s="159" t="s">
        <v>139</v>
      </c>
      <c r="P45" s="205">
        <f>'Take-off'!$C$14</f>
        <v>12500</v>
      </c>
      <c r="Q45" s="1"/>
      <c r="R45" s="1"/>
      <c r="T45" s="1"/>
      <c r="U45" s="1"/>
      <c r="V45" s="1"/>
      <c r="W45" s="159"/>
      <c r="X45" s="205"/>
      <c r="Y45" s="18"/>
      <c r="AB45" s="18" t="s">
        <v>183</v>
      </c>
      <c r="AC45" s="161">
        <f t="array" ref="AC45">INDEX(AD32:AH32,IF(MATCH(AC43,AD32:AH32,1)&lt;AE45,MATCH(AC43,AD32:AH32,1)+1,MATCH(AC43,AD32:AH32,1)))</f>
        <v>6400</v>
      </c>
      <c r="AD45" s="18" t="s">
        <v>137</v>
      </c>
      <c r="AE45" s="49">
        <f>MATCH(MAX(AD32:AH32),AD32:AH32,0)</f>
        <v>5</v>
      </c>
      <c r="AG45" s="1"/>
      <c r="AH45" s="1"/>
      <c r="AI45" s="1"/>
      <c r="AJ45" s="18"/>
      <c r="AK45" s="161"/>
      <c r="AL45" s="18"/>
    </row>
    <row r="46" spans="1:38" ht="15" customHeight="1">
      <c r="B46" s="159" t="s">
        <v>139</v>
      </c>
      <c r="C46" s="205">
        <f>'Take-off'!$C$14</f>
        <v>12500</v>
      </c>
      <c r="D46" s="1"/>
      <c r="E46" s="1"/>
      <c r="G46" s="1"/>
      <c r="H46" s="1"/>
      <c r="I46" s="1"/>
      <c r="J46" s="159"/>
      <c r="K46" s="205"/>
      <c r="L46" s="1"/>
      <c r="M46" s="40"/>
      <c r="O46" s="18" t="s">
        <v>140</v>
      </c>
      <c r="P46" s="161">
        <f>INDEX(O32:O40,MATCH(P45,O32:O40,1))</f>
        <v>12000</v>
      </c>
      <c r="Q46" s="1"/>
      <c r="R46" s="40"/>
      <c r="T46" s="1"/>
      <c r="U46" s="1"/>
      <c r="V46" s="1"/>
      <c r="W46" s="18"/>
      <c r="X46" s="161"/>
      <c r="Y46" s="1"/>
      <c r="AB46" s="159" t="s">
        <v>139</v>
      </c>
      <c r="AC46" s="205">
        <f>'Take-off'!$C$14</f>
        <v>12500</v>
      </c>
      <c r="AD46" s="1"/>
      <c r="AE46" s="1"/>
      <c r="AG46" s="1"/>
      <c r="AH46" s="1"/>
      <c r="AI46" s="1"/>
      <c r="AJ46" s="159"/>
      <c r="AK46" s="205"/>
      <c r="AL46" s="1"/>
    </row>
    <row r="47" spans="1:38" ht="15" customHeight="1">
      <c r="B47" s="18" t="s">
        <v>140</v>
      </c>
      <c r="C47" s="161">
        <f>INDEX(A33:A41,MATCH(C46,A33:A41,1))</f>
        <v>12500</v>
      </c>
      <c r="D47" s="1"/>
      <c r="E47" s="40"/>
      <c r="G47" s="1"/>
      <c r="H47" s="1"/>
      <c r="I47" s="1"/>
      <c r="J47" s="18"/>
      <c r="K47" s="161"/>
      <c r="L47" s="1"/>
      <c r="M47" s="40"/>
      <c r="O47" s="18" t="s">
        <v>141</v>
      </c>
      <c r="P47" s="161">
        <f t="array" ref="P47">INDEX(O32:O40,IF(MATCH(P45,O32:O40,1)&lt;R43,MATCH(P45,O32:O40,1)+1,MATCH(P45,O32:O40,1)))</f>
        <v>13000</v>
      </c>
      <c r="Q47" s="1"/>
      <c r="R47" s="40"/>
      <c r="T47" s="1"/>
      <c r="U47" s="1"/>
      <c r="V47" s="1"/>
      <c r="W47" s="18"/>
      <c r="X47" s="161"/>
      <c r="Y47" s="1"/>
      <c r="AB47" s="18" t="s">
        <v>140</v>
      </c>
      <c r="AC47" s="161">
        <f>INDEX(AC33:AC41,MATCH(AC46,AC33:AC41,1))</f>
        <v>12500</v>
      </c>
      <c r="AD47" s="1"/>
      <c r="AE47" s="40"/>
      <c r="AG47" s="1"/>
      <c r="AH47" s="1"/>
      <c r="AI47" s="1"/>
      <c r="AJ47" s="18"/>
      <c r="AK47" s="161"/>
      <c r="AL47" s="1"/>
    </row>
    <row r="48" spans="1:38" ht="15" customHeight="1">
      <c r="B48" s="18" t="s">
        <v>141</v>
      </c>
      <c r="C48" s="161">
        <f t="array" ref="C48">INDEX(A33:A41,IF(MATCH(C46,A33:A41,1)&lt;E44,MATCH(C46,A33:A41,1)+1,MATCH(C46,A33:A41,1)))</f>
        <v>12600</v>
      </c>
      <c r="D48" s="1"/>
      <c r="E48" s="40"/>
      <c r="G48" s="1"/>
      <c r="H48" s="1"/>
      <c r="I48" s="1"/>
      <c r="J48" s="18"/>
      <c r="K48" s="161"/>
      <c r="L48" s="1"/>
      <c r="M48" s="40"/>
      <c r="O48" s="159" t="s">
        <v>142</v>
      </c>
      <c r="P48" s="160" t="e">
        <f>INDEX(P32:S40,MATCH(P45,O32:O40,1),MATCH(P42,O31:R31,1))</f>
        <v>#N/A</v>
      </c>
      <c r="Q48" s="1"/>
      <c r="R48" s="40"/>
      <c r="T48" s="1"/>
      <c r="U48" s="1"/>
      <c r="V48" s="1"/>
      <c r="W48" s="159"/>
      <c r="X48" s="160"/>
      <c r="Y48" s="1"/>
      <c r="AB48" s="18" t="s">
        <v>141</v>
      </c>
      <c r="AC48" s="161">
        <f t="array" ref="AC48">INDEX(AC33:AC41,IF(MATCH(AC46,AC33:AC41,1)&lt;AE44,MATCH(AC46,AC33:AC41,1)+1,MATCH(AC46,AC33:AC41,1)))</f>
        <v>12600</v>
      </c>
      <c r="AD48" s="1"/>
      <c r="AE48" s="40"/>
      <c r="AG48" s="1"/>
      <c r="AH48" s="1"/>
      <c r="AI48" s="1"/>
      <c r="AJ48" s="18"/>
      <c r="AK48" s="161"/>
      <c r="AL48" s="1"/>
    </row>
    <row r="49" spans="1:42" ht="15" customHeight="1">
      <c r="B49" s="159" t="s">
        <v>142</v>
      </c>
      <c r="C49" s="160">
        <f>INDEX(B33:G41,MATCH(C46,A33:A41,1),MATCH(C43,B32:G32,1))</f>
        <v>5600</v>
      </c>
      <c r="D49" s="1"/>
      <c r="E49" s="40"/>
      <c r="G49" s="1"/>
      <c r="H49" s="1"/>
      <c r="I49" s="1"/>
      <c r="J49" s="159"/>
      <c r="K49" s="160"/>
      <c r="M49" s="40"/>
      <c r="O49" s="159" t="s">
        <v>184</v>
      </c>
      <c r="P49" s="160" t="e">
        <f t="array" ref="P49">INDEX(P32:S40,MATCH(P45,O32:O40,1),IF(MATCH(P42,O31:R31,1)&lt;R44,MATCH(P42,O31:R31,1)+1,MATCH(P45,O32:O40,1)))</f>
        <v>#N/A</v>
      </c>
      <c r="R49" s="40"/>
      <c r="T49" s="1"/>
      <c r="U49" s="1"/>
      <c r="V49" s="1"/>
      <c r="W49" s="159"/>
      <c r="X49" s="160"/>
      <c r="Y49" s="1"/>
      <c r="AB49" s="159" t="s">
        <v>142</v>
      </c>
      <c r="AC49" s="160">
        <f>INDEX(AD33:AH41,MATCH(AC46,AC33:AC41,1),MATCH(AC43,AD32:AH32,1))</f>
        <v>4200</v>
      </c>
      <c r="AD49" s="1"/>
      <c r="AE49" s="40"/>
      <c r="AG49" s="1"/>
      <c r="AH49" s="1"/>
      <c r="AI49" s="1"/>
      <c r="AJ49" s="159"/>
      <c r="AK49" s="160"/>
      <c r="AL49" s="1"/>
    </row>
    <row r="50" spans="1:42" ht="15" customHeight="1">
      <c r="B50" s="159" t="s">
        <v>184</v>
      </c>
      <c r="C50" s="160">
        <f t="array" ref="C50">INDEX(B33:G41,MATCH(C46,A33:A41,1),IF(MATCH(C43,B32:G32,1)&lt;E45,MATCH(C43,B32:G32,1)+1,MATCH(C46,A33:A41,1)))</f>
        <v>7000</v>
      </c>
      <c r="E50" s="40"/>
      <c r="G50" s="1"/>
      <c r="H50" s="1"/>
      <c r="I50" s="1"/>
      <c r="J50" s="159"/>
      <c r="K50" s="160"/>
      <c r="M50" s="40"/>
      <c r="O50" s="159" t="s">
        <v>143</v>
      </c>
      <c r="P50" s="160" t="e">
        <f t="array" ref="P50">INDEX(P32:S40,IF(MATCH(P45,O32:O40,1)&lt;R43,MATCH(P45,O32:O40,1)+1,MATCH(P45,O32:O40,1)),MATCH(P42,O31:R31,1))</f>
        <v>#N/A</v>
      </c>
      <c r="R50" s="40"/>
      <c r="T50" s="1"/>
      <c r="U50" s="1"/>
      <c r="V50" s="1"/>
      <c r="W50" s="159"/>
      <c r="X50" s="160"/>
      <c r="AB50" s="159" t="s">
        <v>184</v>
      </c>
      <c r="AC50" s="160">
        <f t="array" ref="AC50">INDEX(AD33:AH41,MATCH(AC46,AC33:AC41,1),IF(MATCH(AC43,AD32:AH32,1)&lt;AE45,MATCH(AC43,AD32:AH32,1)+1,MATCH(AC46,AC33:AC41,1)))</f>
        <v>6400</v>
      </c>
      <c r="AE50" s="40"/>
      <c r="AG50" s="1"/>
      <c r="AH50" s="1"/>
      <c r="AI50" s="1"/>
      <c r="AJ50" s="159"/>
      <c r="AK50" s="160"/>
    </row>
    <row r="51" spans="1:42" ht="15" customHeight="1">
      <c r="B51" s="159" t="s">
        <v>143</v>
      </c>
      <c r="C51" s="160">
        <f t="array" ref="C51">INDEX(B33:G41,IF(MATCH(C46,A33:A41,1)&lt;E44,MATCH(C46,A33:A41,1)+1,MATCH(C46,A33:A41,1)),MATCH(C43,B32:G32,1))</f>
        <v>99999</v>
      </c>
      <c r="E51" s="40"/>
      <c r="G51" s="1"/>
      <c r="H51" s="1"/>
      <c r="I51" s="1"/>
      <c r="J51" s="159"/>
      <c r="K51" s="160"/>
      <c r="O51" s="159" t="s">
        <v>185</v>
      </c>
      <c r="P51" s="160" t="e">
        <f t="array" ref="P51">INDEX(P32:S40,IF(MATCH(P45,O32:O40,1)&lt;R43,MATCH(P45,O32:O40,1)+1,MATCH(P45,O32:O40,1)),IF(MATCH(P42,O31:R31,1)&lt;R44,MATCH(P42,O31:R31,1)+1,MATCH(P42,O31:R31,1)))</f>
        <v>#N/A</v>
      </c>
      <c r="T51" s="1"/>
      <c r="U51" s="1"/>
      <c r="V51" s="1"/>
      <c r="W51" s="159"/>
      <c r="X51" s="160"/>
      <c r="AB51" s="159" t="s">
        <v>143</v>
      </c>
      <c r="AC51" s="160">
        <f t="array" ref="AC51">INDEX(AD33:AH41,IF(MATCH(AC46,AC33:AC41,1)&lt;AE44,MATCH(AC46,AC33:AC41,1)+1,MATCH(AC46,AC33:AC41,1)),MATCH(AC43,AD32:AH32,1))</f>
        <v>99999</v>
      </c>
      <c r="AE51" s="40"/>
      <c r="AG51" s="1"/>
      <c r="AH51" s="1"/>
      <c r="AI51" s="1"/>
      <c r="AJ51" s="159"/>
      <c r="AK51" s="160"/>
    </row>
    <row r="52" spans="1:42" ht="15" customHeight="1">
      <c r="B52" s="159" t="s">
        <v>185</v>
      </c>
      <c r="C52" s="160">
        <f t="array" ref="C52">INDEX(B33:G41,IF(MATCH(C46,A33:A41,1)&lt;E44,MATCH(C46,A33:A41,1)+1,MATCH(C46,A33:A41,1)),IF(MATCH(C43,B32:G32,1)&lt;E45,MATCH(C43,B32:G32,1)+1,MATCH(C43,B32:G32,1)))</f>
        <v>99999</v>
      </c>
      <c r="G52" s="1"/>
      <c r="H52" s="1"/>
      <c r="I52" s="1"/>
      <c r="J52" s="159"/>
      <c r="K52" s="160"/>
      <c r="O52" s="18" t="s">
        <v>186</v>
      </c>
      <c r="P52" s="161" t="e">
        <f>IFERROR(P48+(P42-P43)*(P49-P48)/(P44-P43),P48)</f>
        <v>#N/A</v>
      </c>
      <c r="T52" s="1"/>
      <c r="U52" s="1"/>
      <c r="V52" s="1"/>
      <c r="W52" s="18"/>
      <c r="X52" s="161"/>
      <c r="AB52" s="159" t="s">
        <v>185</v>
      </c>
      <c r="AC52" s="160">
        <f t="array" ref="AC52">INDEX(AD33:AH41,IF(MATCH(AC46,AC33:AC41,1)&lt;AE44,MATCH(AC46,AC33:AC41,1)+1,MATCH(AC46,AC33:AC41,1)),IF(MATCH(AC43,AD32:AH32,1)&lt;AE45,MATCH(AC43,AD32:AH32,1)+1,MATCH(AC43,AD32:AH32,1)))</f>
        <v>99999</v>
      </c>
      <c r="AG52" s="1"/>
      <c r="AH52" s="1"/>
      <c r="AI52" s="1"/>
      <c r="AJ52" s="159"/>
      <c r="AK52" s="160"/>
    </row>
    <row r="53" spans="1:42" ht="15" customHeight="1">
      <c r="B53" s="18" t="s">
        <v>186</v>
      </c>
      <c r="C53" s="161">
        <f>IFERROR(C49+(C43-C44)*(C50-C49)/(C45-C44),C49)</f>
        <v>5600</v>
      </c>
      <c r="G53" s="1"/>
      <c r="H53" s="1"/>
      <c r="I53" s="1"/>
      <c r="J53" s="18"/>
      <c r="K53" s="161"/>
      <c r="O53" s="18" t="s">
        <v>187</v>
      </c>
      <c r="P53" s="161" t="e">
        <f>IFERROR(P50+(P42-P43)*(P51-P50)/(P44-P43),P50)</f>
        <v>#N/A</v>
      </c>
      <c r="T53" s="1"/>
      <c r="U53" s="1"/>
      <c r="V53" s="1"/>
      <c r="W53" s="18"/>
      <c r="X53" s="161"/>
      <c r="AB53" s="18" t="s">
        <v>186</v>
      </c>
      <c r="AC53" s="161">
        <f>IFERROR(AC49+(AC43-AC44)*(AC50-AC49)/(AC45-AC44),AC49)</f>
        <v>4200</v>
      </c>
      <c r="AG53" s="1"/>
      <c r="AH53" s="1"/>
      <c r="AI53" s="1"/>
      <c r="AJ53" s="18"/>
      <c r="AK53" s="161"/>
    </row>
    <row r="54" spans="1:42" ht="15" customHeight="1">
      <c r="B54" s="18" t="s">
        <v>187</v>
      </c>
      <c r="C54" s="161">
        <f>IFERROR(C51+(C43-C44)*(C52-C51)/(C45-C44),C51)</f>
        <v>99999</v>
      </c>
      <c r="G54" s="1"/>
      <c r="H54" s="1"/>
      <c r="I54" s="1"/>
      <c r="J54" s="18"/>
      <c r="K54" s="161"/>
      <c r="O54" s="159" t="s">
        <v>188</v>
      </c>
      <c r="P54" s="160" t="e">
        <f>IFERROR(P52+(P45-P46)*(P53-P52)/(P47-P46),P52)</f>
        <v>#N/A</v>
      </c>
      <c r="T54" s="1"/>
      <c r="U54" s="1"/>
      <c r="V54" s="1"/>
      <c r="W54" s="159"/>
      <c r="X54" s="160"/>
      <c r="AB54" s="18" t="s">
        <v>187</v>
      </c>
      <c r="AC54" s="161">
        <f>IFERROR(AC51+(AC43-AC44)*(AC52-AC51)/(AC45-AC44),AC51)</f>
        <v>99999</v>
      </c>
      <c r="AG54" s="1"/>
      <c r="AH54" s="1"/>
      <c r="AI54" s="1"/>
      <c r="AJ54" s="18"/>
      <c r="AK54" s="161"/>
    </row>
    <row r="55" spans="1:42" ht="15" customHeight="1">
      <c r="B55" s="159" t="s">
        <v>188</v>
      </c>
      <c r="C55" s="160">
        <f>IFERROR(C53+(C46-C47)*(C54-C53)/(C48-C47),C53)</f>
        <v>5600</v>
      </c>
      <c r="G55" s="1"/>
      <c r="H55" s="1"/>
      <c r="I55" s="1"/>
      <c r="J55" s="159"/>
      <c r="K55" s="160"/>
      <c r="AB55" s="159" t="s">
        <v>188</v>
      </c>
      <c r="AC55" s="160">
        <f>IFERROR(AC53+(AC46-AC47)*(AC54-AC53)/(AC48-AC47),AC53)</f>
        <v>4200</v>
      </c>
      <c r="AG55" s="1"/>
      <c r="AH55" s="1"/>
      <c r="AI55" s="1"/>
      <c r="AJ55" s="159"/>
      <c r="AK55" s="160"/>
    </row>
    <row r="56" spans="1:42" ht="15" customHeight="1">
      <c r="L56" s="14"/>
      <c r="M56" s="14"/>
      <c r="O56" s="276" t="s">
        <v>190</v>
      </c>
      <c r="P56" s="276"/>
      <c r="Q56" s="276"/>
      <c r="R56" s="276"/>
      <c r="S56" s="276"/>
      <c r="T56" s="276"/>
      <c r="U56" s="276"/>
      <c r="V56" s="276"/>
      <c r="W56" s="14"/>
      <c r="X56" s="14"/>
    </row>
    <row r="57" spans="1:42" ht="15" customHeight="1">
      <c r="B57" s="276" t="s">
        <v>190</v>
      </c>
      <c r="C57" s="276"/>
      <c r="D57" s="276"/>
      <c r="E57" s="276"/>
      <c r="F57" s="276"/>
      <c r="G57" s="276"/>
      <c r="H57" s="276"/>
      <c r="I57" s="276"/>
      <c r="J57" s="14"/>
      <c r="K57" s="14"/>
      <c r="L57" s="11"/>
      <c r="N57" t="s">
        <v>42</v>
      </c>
      <c r="O57" s="225">
        <v>2000</v>
      </c>
      <c r="P57" s="237">
        <v>3000</v>
      </c>
      <c r="Q57" s="237">
        <v>4000</v>
      </c>
      <c r="R57" s="237">
        <v>5000</v>
      </c>
      <c r="S57" s="237">
        <v>6000</v>
      </c>
      <c r="T57" s="237">
        <v>7000</v>
      </c>
      <c r="U57" s="237">
        <v>8000</v>
      </c>
      <c r="V57" s="237">
        <v>9000</v>
      </c>
      <c r="W57" s="227">
        <v>10000</v>
      </c>
      <c r="Y57" s="14"/>
      <c r="AB57" s="276" t="s">
        <v>190</v>
      </c>
      <c r="AC57" s="276"/>
      <c r="AD57" s="276"/>
      <c r="AE57" s="276"/>
      <c r="AF57" s="276"/>
      <c r="AG57" s="276"/>
      <c r="AH57" s="276"/>
      <c r="AI57" s="276"/>
      <c r="AJ57" s="14"/>
      <c r="AK57" s="14"/>
      <c r="AL57" s="14"/>
      <c r="AO57" s="11"/>
    </row>
    <row r="58" spans="1:42" ht="15" customHeight="1">
      <c r="A58" t="s">
        <v>42</v>
      </c>
      <c r="B58" s="237">
        <v>2600</v>
      </c>
      <c r="C58" s="237">
        <v>4000</v>
      </c>
      <c r="D58" s="237">
        <v>5600</v>
      </c>
      <c r="E58" s="237">
        <v>7000</v>
      </c>
      <c r="F58" s="226">
        <v>8500</v>
      </c>
      <c r="G58" s="226">
        <v>10000</v>
      </c>
      <c r="H58" s="226">
        <v>11400</v>
      </c>
      <c r="I58" s="227">
        <v>12000</v>
      </c>
      <c r="J58" s="11"/>
      <c r="K58" s="11"/>
      <c r="L58" s="14"/>
      <c r="N58">
        <v>-10</v>
      </c>
      <c r="O58" s="225"/>
      <c r="P58" s="237"/>
      <c r="Q58" s="237"/>
      <c r="R58" s="237"/>
      <c r="S58" s="237"/>
      <c r="T58" s="237"/>
      <c r="U58" s="237"/>
      <c r="V58" s="237"/>
      <c r="W58" s="239">
        <v>99999</v>
      </c>
      <c r="AB58" t="s">
        <v>42</v>
      </c>
      <c r="AC58" s="225">
        <v>2400</v>
      </c>
      <c r="AD58" s="237">
        <v>3400</v>
      </c>
      <c r="AE58" s="237">
        <v>4400</v>
      </c>
      <c r="AF58" s="237">
        <v>5600</v>
      </c>
      <c r="AG58" s="237">
        <v>6600</v>
      </c>
      <c r="AH58" s="237">
        <v>7600</v>
      </c>
      <c r="AI58" s="237">
        <v>8700</v>
      </c>
      <c r="AJ58" s="237">
        <v>9800</v>
      </c>
      <c r="AK58" s="237">
        <v>10800</v>
      </c>
      <c r="AL58" s="239">
        <v>11000</v>
      </c>
      <c r="AP58" s="14"/>
    </row>
    <row r="59" spans="1:42" ht="15" customHeight="1">
      <c r="A59">
        <v>-10</v>
      </c>
      <c r="B59" s="225">
        <v>3100</v>
      </c>
      <c r="C59" s="237">
        <v>4800</v>
      </c>
      <c r="D59" s="237">
        <v>6600</v>
      </c>
      <c r="E59" s="237">
        <v>8200</v>
      </c>
      <c r="F59" s="237">
        <v>9800</v>
      </c>
      <c r="G59" s="237">
        <v>11600</v>
      </c>
      <c r="H59" s="237">
        <v>13200</v>
      </c>
      <c r="I59" s="239">
        <v>99999</v>
      </c>
      <c r="J59" s="14"/>
      <c r="K59" s="14"/>
      <c r="L59" s="14"/>
      <c r="N59">
        <v>0</v>
      </c>
      <c r="O59" s="240"/>
      <c r="P59" s="14"/>
      <c r="Q59" s="14"/>
      <c r="R59" s="14"/>
      <c r="S59" s="14"/>
      <c r="T59" s="14"/>
      <c r="U59" s="14"/>
      <c r="V59" s="14"/>
      <c r="W59" s="239">
        <v>99999</v>
      </c>
      <c r="AB59">
        <v>-10</v>
      </c>
      <c r="AC59" s="225">
        <v>2800</v>
      </c>
      <c r="AD59" s="237">
        <v>4000</v>
      </c>
      <c r="AE59" s="237">
        <v>5200</v>
      </c>
      <c r="AF59" s="237">
        <v>6400</v>
      </c>
      <c r="AG59" s="237">
        <v>7500</v>
      </c>
      <c r="AH59" s="237">
        <v>8900</v>
      </c>
      <c r="AI59" s="237">
        <v>10200</v>
      </c>
      <c r="AJ59" s="237">
        <v>11300</v>
      </c>
      <c r="AK59" s="237">
        <v>12400</v>
      </c>
      <c r="AL59" s="239">
        <v>99999</v>
      </c>
      <c r="AP59" s="14"/>
    </row>
    <row r="60" spans="1:42" ht="15" customHeight="1">
      <c r="A60">
        <v>0</v>
      </c>
      <c r="B60" s="240">
        <v>2600</v>
      </c>
      <c r="C60" s="14">
        <v>4000</v>
      </c>
      <c r="D60" s="14">
        <v>5600</v>
      </c>
      <c r="E60" s="14">
        <v>7000</v>
      </c>
      <c r="F60" s="14">
        <v>8500</v>
      </c>
      <c r="G60" s="14">
        <v>10000</v>
      </c>
      <c r="H60" s="14">
        <v>11400</v>
      </c>
      <c r="I60" s="239">
        <v>99999</v>
      </c>
      <c r="J60" s="14"/>
      <c r="K60" s="14"/>
      <c r="L60" s="14"/>
      <c r="N60">
        <v>30</v>
      </c>
      <c r="O60" s="235"/>
      <c r="P60" s="241"/>
      <c r="Q60" s="241"/>
      <c r="R60" s="241"/>
      <c r="S60" s="241"/>
      <c r="T60" s="241"/>
      <c r="U60" s="241"/>
      <c r="V60" s="241"/>
      <c r="W60" s="251">
        <v>99999</v>
      </c>
      <c r="AB60">
        <v>0</v>
      </c>
      <c r="AC60" s="240">
        <v>2400</v>
      </c>
      <c r="AD60" s="14">
        <v>3400</v>
      </c>
      <c r="AE60" s="14">
        <v>4400</v>
      </c>
      <c r="AF60" s="14">
        <v>5600</v>
      </c>
      <c r="AG60" s="14">
        <v>6600</v>
      </c>
      <c r="AH60" s="14">
        <v>7600</v>
      </c>
      <c r="AI60" s="14">
        <v>8700</v>
      </c>
      <c r="AJ60" s="14">
        <v>9800</v>
      </c>
      <c r="AK60" s="14">
        <v>10800</v>
      </c>
      <c r="AL60" s="252">
        <v>99999</v>
      </c>
      <c r="AP60" s="14"/>
    </row>
    <row r="61" spans="1:42" ht="15" customHeight="1">
      <c r="A61">
        <v>30</v>
      </c>
      <c r="B61" s="235">
        <v>2200</v>
      </c>
      <c r="C61" s="241">
        <v>3400</v>
      </c>
      <c r="D61" s="241">
        <v>4600</v>
      </c>
      <c r="E61" s="241">
        <v>5900</v>
      </c>
      <c r="F61" s="241">
        <v>7100</v>
      </c>
      <c r="G61" s="241">
        <v>8400</v>
      </c>
      <c r="H61" s="241">
        <v>9700</v>
      </c>
      <c r="I61" s="251">
        <v>99999</v>
      </c>
      <c r="J61" s="14"/>
      <c r="K61" s="14"/>
      <c r="L61" s="159"/>
      <c r="M61" s="160"/>
      <c r="Q61" s="159"/>
      <c r="R61" s="160"/>
      <c r="V61" s="1"/>
      <c r="W61" s="1"/>
      <c r="X61" s="1"/>
      <c r="AB61">
        <v>30</v>
      </c>
      <c r="AC61" s="235">
        <v>2000</v>
      </c>
      <c r="AD61" s="241">
        <v>2800</v>
      </c>
      <c r="AE61" s="241">
        <v>3700</v>
      </c>
      <c r="AF61" s="241">
        <v>4600</v>
      </c>
      <c r="AG61" s="241">
        <v>5500</v>
      </c>
      <c r="AH61" s="241">
        <v>6400</v>
      </c>
      <c r="AI61" s="241">
        <v>7200</v>
      </c>
      <c r="AJ61" s="241">
        <v>8250</v>
      </c>
      <c r="AK61" s="241">
        <v>9200</v>
      </c>
      <c r="AL61" s="242">
        <v>99999</v>
      </c>
      <c r="AN61" s="160"/>
    </row>
    <row r="62" spans="1:42" ht="15" customHeight="1">
      <c r="B62" s="159"/>
      <c r="C62" s="160"/>
      <c r="G62" s="1"/>
      <c r="H62" s="1"/>
      <c r="I62" s="1"/>
      <c r="J62" s="1"/>
      <c r="K62" s="1"/>
      <c r="L62" s="159"/>
      <c r="M62" s="160"/>
      <c r="N62" s="14"/>
      <c r="O62" s="159" t="s">
        <v>138</v>
      </c>
      <c r="P62" s="160" t="e">
        <f>P54</f>
        <v>#N/A</v>
      </c>
      <c r="Q62" s="276" t="s">
        <v>181</v>
      </c>
      <c r="R62" s="276"/>
      <c r="V62" s="1"/>
      <c r="W62" s="1"/>
      <c r="X62" s="1"/>
      <c r="Y62" s="159"/>
      <c r="Z62" s="160"/>
      <c r="AD62" s="159"/>
      <c r="AE62" s="160"/>
      <c r="AI62" s="1"/>
      <c r="AJ62" s="1"/>
      <c r="AK62" s="1"/>
      <c r="AL62" s="159"/>
      <c r="AM62" s="160"/>
      <c r="AN62" s="14"/>
    </row>
    <row r="63" spans="1:42" ht="15" customHeight="1">
      <c r="B63" s="159" t="s">
        <v>138</v>
      </c>
      <c r="C63" s="160">
        <f>C55</f>
        <v>5600</v>
      </c>
      <c r="D63" s="276" t="s">
        <v>181</v>
      </c>
      <c r="E63" s="276"/>
      <c r="G63" s="1"/>
      <c r="H63" s="1"/>
      <c r="I63" s="1"/>
      <c r="J63" s="1"/>
      <c r="K63" s="1"/>
      <c r="L63" s="18"/>
      <c r="M63" s="161"/>
      <c r="N63" s="18"/>
      <c r="O63" s="18" t="s">
        <v>182</v>
      </c>
      <c r="P63" s="161" t="e">
        <f>INDEX(O57:W57,MATCH(P62,O57:W57,1))</f>
        <v>#N/A</v>
      </c>
      <c r="Q63" s="18" t="s">
        <v>136</v>
      </c>
      <c r="R63" s="49">
        <f>MATCH(MAX(N58:N60),N58:N60,1)</f>
        <v>3</v>
      </c>
      <c r="V63" s="1"/>
      <c r="W63" s="1"/>
      <c r="X63" s="1"/>
      <c r="Y63" s="159"/>
      <c r="Z63" s="160"/>
      <c r="AA63" s="14"/>
      <c r="AC63" s="159" t="s">
        <v>138</v>
      </c>
      <c r="AD63" s="160">
        <f>AC55</f>
        <v>4200</v>
      </c>
      <c r="AE63" s="73" t="s">
        <v>181</v>
      </c>
      <c r="AI63" s="1"/>
      <c r="AJ63" s="1"/>
      <c r="AK63" s="1"/>
      <c r="AL63" s="159"/>
      <c r="AM63" s="161"/>
      <c r="AN63" s="18"/>
    </row>
    <row r="64" spans="1:42" ht="15" customHeight="1">
      <c r="B64" s="18" t="s">
        <v>182</v>
      </c>
      <c r="C64" s="161">
        <f>INDEX(B58:I58,MATCH(C63,B58:I58,1))</f>
        <v>5600</v>
      </c>
      <c r="D64" s="18" t="s">
        <v>136</v>
      </c>
      <c r="E64" s="49">
        <f>MATCH(MAX(A59:A61),A59:A61,1)</f>
        <v>3</v>
      </c>
      <c r="G64" s="1"/>
      <c r="H64" s="1"/>
      <c r="I64" s="1"/>
      <c r="J64" s="1"/>
      <c r="K64" s="1"/>
      <c r="L64" s="18"/>
      <c r="M64" s="161"/>
      <c r="N64" s="18"/>
      <c r="O64" s="18" t="s">
        <v>183</v>
      </c>
      <c r="P64" s="161" t="e">
        <f t="array" ref="P64">INDEX(O57:W57,IF(MATCH(P62,O57:W57,1)&lt;R64,MATCH(P62,O57:W57,1)+1,MATCH(P62,O57:W57,1)))</f>
        <v>#N/A</v>
      </c>
      <c r="Q64" s="18" t="s">
        <v>137</v>
      </c>
      <c r="R64" s="49">
        <f>MATCH(MAX(O57:W57),O57:W57,0)</f>
        <v>9</v>
      </c>
      <c r="V64" s="1"/>
      <c r="W64" s="1"/>
      <c r="X64" s="1"/>
      <c r="Y64" s="18"/>
      <c r="Z64" s="161"/>
      <c r="AA64" s="18"/>
      <c r="AC64" s="18" t="s">
        <v>182</v>
      </c>
      <c r="AD64" s="161">
        <f>INDEX(AC58:AL58,MATCH(AD63,AC58:AL58,1))</f>
        <v>3400</v>
      </c>
      <c r="AE64" s="18" t="s">
        <v>136</v>
      </c>
      <c r="AF64" s="49">
        <f>MATCH(MAX(AB59:AB61),AB59:AB61,1)</f>
        <v>3</v>
      </c>
      <c r="AI64" s="1"/>
      <c r="AJ64" s="1"/>
      <c r="AK64" s="1"/>
      <c r="AL64" s="18"/>
      <c r="AM64" s="161"/>
      <c r="AN64" s="18"/>
    </row>
    <row r="65" spans="2:40" ht="15" customHeight="1">
      <c r="B65" s="18" t="s">
        <v>183</v>
      </c>
      <c r="C65" s="161">
        <f t="array" ref="C65">INDEX(B58:I58,IF(MATCH(C63,B58:I58,1)&lt;E65,MATCH(C63,B58:I58,1)+1,MATCH(C63,B58:I58,1)))</f>
        <v>7000</v>
      </c>
      <c r="D65" s="18" t="s">
        <v>137</v>
      </c>
      <c r="E65" s="49">
        <f>MATCH(MAX(B58:I58),B58:I58,0)</f>
        <v>8</v>
      </c>
      <c r="G65" s="1"/>
      <c r="H65" s="1"/>
      <c r="I65" s="1"/>
      <c r="J65" s="1"/>
      <c r="K65" s="1"/>
      <c r="L65" s="159"/>
      <c r="M65" s="205"/>
      <c r="N65" s="1"/>
      <c r="O65" s="159" t="s">
        <v>139</v>
      </c>
      <c r="P65" s="205">
        <f>'Take-off'!$C$24</f>
        <v>0</v>
      </c>
      <c r="Q65" s="1"/>
      <c r="R65" s="1"/>
      <c r="V65" s="1"/>
      <c r="W65" s="1"/>
      <c r="X65" s="1"/>
      <c r="Y65" s="18"/>
      <c r="Z65" s="161"/>
      <c r="AA65" s="18"/>
      <c r="AC65" s="18" t="s">
        <v>183</v>
      </c>
      <c r="AD65" s="161">
        <f t="array" ref="AD65">INDEX(AC58:AL58,IF(MATCH(AD63,AC58:AL58,1)&lt;AF65,MATCH(AD63,AC58:AL58,1)+1,MATCH(AD63,AC58:AL58,1)))</f>
        <v>4400</v>
      </c>
      <c r="AE65" s="18" t="s">
        <v>137</v>
      </c>
      <c r="AF65" s="49">
        <f>MATCH(MAX(AC58:AL58),AC58:AL58,0)</f>
        <v>10</v>
      </c>
      <c r="AI65" s="1"/>
      <c r="AJ65" s="1"/>
      <c r="AK65" s="1"/>
      <c r="AL65" s="18"/>
      <c r="AM65" s="205"/>
      <c r="AN65" s="1"/>
    </row>
    <row r="66" spans="2:40" ht="15" customHeight="1">
      <c r="B66" s="159" t="s">
        <v>139</v>
      </c>
      <c r="C66" s="205">
        <f>'Take-off'!$C$24</f>
        <v>0</v>
      </c>
      <c r="D66" s="1"/>
      <c r="E66" s="1"/>
      <c r="G66" s="1"/>
      <c r="H66" s="1"/>
      <c r="I66" s="1"/>
      <c r="J66" s="1"/>
      <c r="K66" s="1"/>
      <c r="L66" s="18"/>
      <c r="M66" s="161"/>
      <c r="N66" s="1"/>
      <c r="O66" s="18" t="s">
        <v>140</v>
      </c>
      <c r="P66" s="161">
        <f>INDEX(N58:N60,MATCH(P65,N58:N60,1))</f>
        <v>0</v>
      </c>
      <c r="Q66" s="1"/>
      <c r="R66" s="40"/>
      <c r="V66" s="1"/>
      <c r="W66" s="1"/>
      <c r="X66" s="1"/>
      <c r="Y66" s="159"/>
      <c r="Z66" s="205"/>
      <c r="AA66" s="1"/>
      <c r="AC66" s="159" t="s">
        <v>139</v>
      </c>
      <c r="AD66" s="205">
        <f>'Take-off'!$C$24</f>
        <v>0</v>
      </c>
      <c r="AE66" s="1"/>
      <c r="AF66" s="1"/>
      <c r="AI66" s="1"/>
      <c r="AJ66" s="1"/>
      <c r="AK66" s="1"/>
      <c r="AL66" s="159"/>
      <c r="AM66" s="161"/>
      <c r="AN66" s="1"/>
    </row>
    <row r="67" spans="2:40" ht="15" customHeight="1">
      <c r="B67" s="18" t="s">
        <v>140</v>
      </c>
      <c r="C67" s="161">
        <f>INDEX(A59:A61,MATCH(C66,A59:A61,1))</f>
        <v>0</v>
      </c>
      <c r="D67" s="1"/>
      <c r="E67" s="40"/>
      <c r="G67" s="1"/>
      <c r="H67" s="1"/>
      <c r="I67" s="1"/>
      <c r="J67" s="1"/>
      <c r="K67" s="1"/>
      <c r="L67" s="18"/>
      <c r="M67" s="161"/>
      <c r="N67" s="1"/>
      <c r="O67" s="18" t="s">
        <v>141</v>
      </c>
      <c r="P67" s="161">
        <f t="array" ref="P67">INDEX(N58:N60,IF(MATCH(P65,N58:N60,1)&lt;R63,MATCH(P65,N58:N60,1)+1,MATCH(P65,N58:N60,1)))</f>
        <v>30</v>
      </c>
      <c r="Q67" s="1"/>
      <c r="R67" s="40"/>
      <c r="V67" s="1"/>
      <c r="W67" s="1"/>
      <c r="X67" s="1"/>
      <c r="Y67" s="18"/>
      <c r="Z67" s="161"/>
      <c r="AA67" s="1"/>
      <c r="AC67" s="18" t="s">
        <v>140</v>
      </c>
      <c r="AD67" s="161">
        <f>INDEX(AB59:AB61,MATCH(AD66,AB59:AB61,1))</f>
        <v>0</v>
      </c>
      <c r="AE67" s="1"/>
      <c r="AF67" s="40"/>
      <c r="AI67" s="1"/>
      <c r="AJ67" s="1"/>
      <c r="AK67" s="1"/>
      <c r="AL67" s="18"/>
      <c r="AM67" s="161"/>
      <c r="AN67" s="1"/>
    </row>
    <row r="68" spans="2:40" ht="15" customHeight="1">
      <c r="B68" s="18" t="s">
        <v>141</v>
      </c>
      <c r="C68" s="161">
        <f t="array" ref="C68">INDEX(A59:A61,IF(MATCH(C66,A59:A61,1)&lt;E64,MATCH(C66,A59:A61,1)+1,MATCH(C66,A59:A61,1)))</f>
        <v>30</v>
      </c>
      <c r="D68" s="1"/>
      <c r="E68" s="40"/>
      <c r="G68" s="1"/>
      <c r="H68" s="1"/>
      <c r="I68" s="1"/>
      <c r="J68" s="1"/>
      <c r="K68" s="1"/>
      <c r="L68" s="159"/>
      <c r="M68" s="160"/>
      <c r="N68" s="1"/>
      <c r="O68" s="159" t="s">
        <v>142</v>
      </c>
      <c r="P68" s="160" t="e">
        <f>INDEX(O58:W60,MATCH(P65,N58:N60,1),MATCH(P62,O57:W57,1))</f>
        <v>#N/A</v>
      </c>
      <c r="Q68" s="1"/>
      <c r="R68" s="40"/>
      <c r="V68" s="1"/>
      <c r="W68" s="1"/>
      <c r="X68" s="1"/>
      <c r="Y68" s="18"/>
      <c r="Z68" s="161"/>
      <c r="AA68" s="1"/>
      <c r="AC68" s="18" t="s">
        <v>141</v>
      </c>
      <c r="AD68" s="161">
        <f t="array" ref="AD68">INDEX(AB59:AB61,IF(MATCH(AD66,AB59:AB61,1)&lt;AF64,MATCH(AD66,AB59:AB61,1)+1,MATCH(AD66,AB59:AB61,1)))</f>
        <v>30</v>
      </c>
      <c r="AE68" s="1"/>
      <c r="AF68" s="40"/>
      <c r="AI68" s="1"/>
      <c r="AJ68" s="1"/>
      <c r="AK68" s="1"/>
      <c r="AL68" s="18"/>
      <c r="AM68" s="160"/>
      <c r="AN68" s="1"/>
    </row>
    <row r="69" spans="2:40" ht="15" customHeight="1">
      <c r="B69" s="159" t="s">
        <v>142</v>
      </c>
      <c r="C69" s="160">
        <f>INDEX(B59:I61,MATCH(C66,A59:A61,1),MATCH(C63,B58:I58,1))</f>
        <v>5600</v>
      </c>
      <c r="D69" s="1"/>
      <c r="E69" s="40"/>
      <c r="G69" s="1"/>
      <c r="H69" s="1"/>
      <c r="I69" s="1"/>
      <c r="J69" s="1"/>
      <c r="K69" s="1"/>
      <c r="L69" s="159"/>
      <c r="M69" s="160"/>
      <c r="O69" s="159" t="s">
        <v>184</v>
      </c>
      <c r="P69" s="160" t="e">
        <f t="array" ref="P69">INDEX(O58:W60,MATCH(P65,N58:N60,1),IF(MATCH(P62,O57:W57,1)&lt;R64,MATCH(P62,O57:W57,1)+1,MATCH(P65,N58:N60,1)))</f>
        <v>#N/A</v>
      </c>
      <c r="R69" s="40"/>
      <c r="V69" s="1"/>
      <c r="W69" s="1"/>
      <c r="X69" s="1"/>
      <c r="Y69" s="159"/>
      <c r="Z69" s="160"/>
      <c r="AA69" s="1"/>
      <c r="AC69" s="159" t="s">
        <v>142</v>
      </c>
      <c r="AD69" s="160">
        <f>INDEX(AC59:AL61,MATCH(AD66,AB59:AB61,1),MATCH(AD63,AC58:AL58,1))</f>
        <v>3400</v>
      </c>
      <c r="AE69" s="1"/>
      <c r="AF69" s="40"/>
      <c r="AI69" s="1"/>
      <c r="AJ69" s="1"/>
      <c r="AK69" s="1"/>
      <c r="AL69" s="159"/>
      <c r="AM69" s="160"/>
    </row>
    <row r="70" spans="2:40" ht="15" customHeight="1">
      <c r="B70" s="159" t="s">
        <v>184</v>
      </c>
      <c r="C70" s="160">
        <f t="array" ref="C70">INDEX(B59:I61,MATCH(C66,A59:A61,1),IF(MATCH(C63,B58:I58,1)&lt;E65,MATCH(C63,B58:I58,1)+1,MATCH(C66,A59:A61,1)))</f>
        <v>7000</v>
      </c>
      <c r="E70" s="40"/>
      <c r="G70" s="1"/>
      <c r="H70" s="1"/>
      <c r="I70" s="1"/>
      <c r="J70" s="1"/>
      <c r="K70" s="1"/>
      <c r="L70" s="159"/>
      <c r="M70" s="160"/>
      <c r="O70" s="159" t="s">
        <v>143</v>
      </c>
      <c r="P70" s="160" t="e">
        <f t="array" ref="P70">INDEX(O58:W60,IF(MATCH(P65,N58:N60,1)&lt;R63,MATCH(P65,N58:N60,1)+1,MATCH(P65,N58:N60,1)),MATCH(P62,O57:W57,1))</f>
        <v>#N/A</v>
      </c>
      <c r="R70" s="40"/>
      <c r="V70" s="1"/>
      <c r="W70" s="1"/>
      <c r="X70" s="1"/>
      <c r="Y70" s="159"/>
      <c r="Z70" s="160"/>
      <c r="AC70" s="159" t="s">
        <v>184</v>
      </c>
      <c r="AD70" s="160">
        <f t="array" ref="AD70">INDEX(AC59:AL61,MATCH(AD66,AB59:AB61,1),IF(MATCH(AD63,AC58:AL58,1)&lt;AF65,MATCH(AD63,AC58:AL58,1)+1,MATCH(AD66,AB59:AB61,1)))</f>
        <v>4400</v>
      </c>
      <c r="AF70" s="40"/>
      <c r="AI70" s="1"/>
      <c r="AJ70" s="1"/>
      <c r="AK70" s="1"/>
      <c r="AL70" s="159"/>
      <c r="AM70" s="160"/>
    </row>
    <row r="71" spans="2:40" ht="15" customHeight="1">
      <c r="B71" s="159" t="s">
        <v>143</v>
      </c>
      <c r="C71" s="160">
        <f t="array" ref="C71">INDEX(B59:I61,IF(MATCH(C66,A59:A61,1)&lt;E64,MATCH(C66,A59:A61,1)+1,MATCH(C66,A59:A61,1)),MATCH(C63,B58:I58,1))</f>
        <v>4600</v>
      </c>
      <c r="E71" s="40"/>
      <c r="G71" s="1"/>
      <c r="H71" s="1"/>
      <c r="I71" s="1"/>
      <c r="J71" s="1"/>
      <c r="K71" s="1"/>
      <c r="L71" s="159"/>
      <c r="M71" s="160"/>
      <c r="O71" s="159" t="s">
        <v>185</v>
      </c>
      <c r="P71" s="160" t="e">
        <f t="array" ref="P71">INDEX(O58:W60,IF(MATCH(P65,N58:N60,1)&lt;R63,MATCH(P65,N58:N60,1)+1,MATCH(P65,N58:N60,1)),IF(MATCH(P62,O57:W57,1)&lt;R64,MATCH(P62,O57:W57,1)+1,MATCH(P62,O57:W57,1)))</f>
        <v>#N/A</v>
      </c>
      <c r="V71" s="1"/>
      <c r="W71" s="1"/>
      <c r="X71" s="1"/>
      <c r="Y71" s="159"/>
      <c r="Z71" s="160"/>
      <c r="AC71" s="159" t="s">
        <v>143</v>
      </c>
      <c r="AD71" s="160">
        <f t="array" ref="AD71">INDEX(AC59:AL61,IF(MATCH(AD66,AB59:AB61,1)&lt;AF64,MATCH(AD66,AB59:AB61,1)+1,MATCH(AD66,AB59:AB61,1)),MATCH(AD63,AC58:AL58,1))</f>
        <v>2800</v>
      </c>
      <c r="AF71" s="40"/>
      <c r="AI71" s="1"/>
      <c r="AJ71" s="1"/>
      <c r="AK71" s="1"/>
      <c r="AL71" s="159"/>
      <c r="AM71" s="160"/>
    </row>
    <row r="72" spans="2:40" ht="15" customHeight="1">
      <c r="B72" s="159" t="s">
        <v>185</v>
      </c>
      <c r="C72" s="160">
        <f t="array" ref="C72">INDEX(B59:I61,IF(MATCH(C66,A59:A61,1)&lt;E64,MATCH(C66,A59:A61,1)+1,MATCH(C66,A59:A61,1)),IF(MATCH(C63,B58:I58,1)&lt;E65,MATCH(C63,B58:I58,1)+1,MATCH(C63,B58:I58,1)))</f>
        <v>5900</v>
      </c>
      <c r="G72" s="1"/>
      <c r="H72" s="1"/>
      <c r="I72" s="1"/>
      <c r="J72" s="1"/>
      <c r="K72" s="1"/>
      <c r="L72" s="18"/>
      <c r="M72" s="161"/>
      <c r="O72" s="18" t="s">
        <v>186</v>
      </c>
      <c r="P72" s="161" t="e">
        <f>IFERROR(P68+(P62-P63)*(P69-P68)/(P64-P63),P68)</f>
        <v>#N/A</v>
      </c>
      <c r="V72" s="1"/>
      <c r="W72" s="1"/>
      <c r="X72" s="1"/>
      <c r="Y72" s="159"/>
      <c r="Z72" s="160"/>
      <c r="AC72" s="159" t="s">
        <v>185</v>
      </c>
      <c r="AD72" s="160">
        <f t="array" ref="AD72">INDEX(AC59:AL61,IF(MATCH(AD66,AB59:AB61,1)&lt;AF64,MATCH(AD66,AB59:AB61,1)+1,MATCH(AD66,AB59:AB61,1)),IF(MATCH(AD63,AC58:AL58,1)&lt;AF65,MATCH(AD63,AC58:AL58,1)+1,MATCH(AD63,AC58:AL58,1)))</f>
        <v>3700</v>
      </c>
      <c r="AI72" s="1"/>
      <c r="AJ72" s="1"/>
      <c r="AK72" s="1"/>
      <c r="AL72" s="159"/>
      <c r="AM72" s="161"/>
    </row>
    <row r="73" spans="2:40" ht="15" customHeight="1">
      <c r="B73" s="18" t="s">
        <v>186</v>
      </c>
      <c r="C73" s="161">
        <f>IFERROR(C69+(C63-C64)*(C70-C69)/(C65-C64),C69)</f>
        <v>5600</v>
      </c>
      <c r="G73" s="1"/>
      <c r="H73" s="1"/>
      <c r="I73" s="1"/>
      <c r="J73" s="1"/>
      <c r="K73" s="1"/>
      <c r="L73" s="18"/>
      <c r="M73" s="161"/>
      <c r="O73" s="18" t="s">
        <v>187</v>
      </c>
      <c r="P73" s="161" t="e">
        <f>IFERROR(P70+(P62-P63)*(P71-P70)/(P64-P63),P70)</f>
        <v>#N/A</v>
      </c>
      <c r="V73" s="1"/>
      <c r="W73" s="1"/>
      <c r="X73" s="1"/>
      <c r="Y73" s="18"/>
      <c r="Z73" s="161"/>
      <c r="AC73" s="18" t="s">
        <v>186</v>
      </c>
      <c r="AD73" s="161">
        <f>IFERROR(AD69+(AD63-AD64)*(AD70-AD69)/(AD65-AD64),AD69)</f>
        <v>4200</v>
      </c>
      <c r="AI73" s="1"/>
      <c r="AJ73" s="1"/>
      <c r="AK73" s="1"/>
      <c r="AL73" s="18"/>
      <c r="AM73" s="161"/>
    </row>
    <row r="74" spans="2:40" ht="15" customHeight="1">
      <c r="B74" s="18" t="s">
        <v>187</v>
      </c>
      <c r="C74" s="161">
        <f>IFERROR(C71+(C63-C64)*(C72-C71)/(C65-C64),C71)</f>
        <v>4600</v>
      </c>
      <c r="G74" s="1"/>
      <c r="H74" s="1"/>
      <c r="I74" s="1"/>
      <c r="J74" s="1"/>
      <c r="K74" s="1"/>
      <c r="L74" s="159"/>
      <c r="M74" s="160"/>
      <c r="O74" s="159" t="s">
        <v>188</v>
      </c>
      <c r="P74" s="160" t="e">
        <f>IFERROR(P72+(P65-P66)*(P73-P72)/(P67-P66),P72)</f>
        <v>#N/A</v>
      </c>
      <c r="V74" s="1"/>
      <c r="W74" s="1"/>
      <c r="X74" s="1"/>
      <c r="Y74" s="18"/>
      <c r="Z74" s="161"/>
      <c r="AC74" s="18" t="s">
        <v>187</v>
      </c>
      <c r="AD74" s="161">
        <f>IFERROR(AD71+(AD63-AD64)*(AD72-AD71)/(AD65-AD64),AD71)</f>
        <v>3520</v>
      </c>
      <c r="AI74" s="1"/>
      <c r="AJ74" s="1"/>
      <c r="AK74" s="1"/>
      <c r="AL74" s="18"/>
      <c r="AM74" s="160"/>
    </row>
    <row r="75" spans="2:40" ht="15" customHeight="1">
      <c r="B75" s="159" t="s">
        <v>188</v>
      </c>
      <c r="C75" s="160">
        <f>IFERROR(C73+(C66-C67)*(C74-C73)/(C68-C67),C73)</f>
        <v>5600</v>
      </c>
      <c r="G75" s="1"/>
      <c r="H75" s="1"/>
      <c r="I75" s="1"/>
      <c r="J75" s="1"/>
      <c r="K75" s="1"/>
      <c r="Y75" s="159"/>
      <c r="Z75" s="160"/>
      <c r="AC75" s="159" t="s">
        <v>188</v>
      </c>
      <c r="AD75" s="160">
        <f>IFERROR(AD73+(AD66-AD67)*(AD74-AD73)/(AD68-AD67),AD73)</f>
        <v>4200</v>
      </c>
      <c r="AI75" s="1"/>
      <c r="AJ75" s="1"/>
      <c r="AK75" s="1"/>
      <c r="AL75" s="159"/>
    </row>
  </sheetData>
  <mergeCells count="22">
    <mergeCell ref="B57:I57"/>
    <mergeCell ref="O56:V56"/>
    <mergeCell ref="AB57:AI57"/>
    <mergeCell ref="D63:E63"/>
    <mergeCell ref="Q62:R62"/>
    <mergeCell ref="B31:G31"/>
    <mergeCell ref="O30:T30"/>
    <mergeCell ref="AB31:AG31"/>
    <mergeCell ref="D43:E43"/>
    <mergeCell ref="Q42:R42"/>
    <mergeCell ref="AD43:AE43"/>
    <mergeCell ref="D17:E17"/>
    <mergeCell ref="Q16:R16"/>
    <mergeCell ref="AR16:AS16"/>
    <mergeCell ref="AZ16:BA16"/>
    <mergeCell ref="AD17:AE17"/>
    <mergeCell ref="B3:L3"/>
    <mergeCell ref="O3:Y3"/>
    <mergeCell ref="AB3:AL3"/>
    <mergeCell ref="B4:F4"/>
    <mergeCell ref="O4:S4"/>
    <mergeCell ref="AB4:AF4"/>
  </mergeCells>
  <conditionalFormatting sqref="B6:F14">
    <cfRule type="colorScale" priority="27">
      <colorScale>
        <cfvo type="min"/>
        <cfvo type="max"/>
        <color rgb="FFFCFCFF"/>
        <color rgb="FFF8696B"/>
      </colorScale>
    </cfRule>
  </conditionalFormatting>
  <conditionalFormatting sqref="B33:F40">
    <cfRule type="colorScale" priority="28">
      <colorScale>
        <cfvo type="min"/>
        <cfvo type="max"/>
        <color rgb="FFFCFCFF"/>
        <color rgb="FFF8696B"/>
      </colorScale>
    </cfRule>
  </conditionalFormatting>
  <conditionalFormatting sqref="B59:H61">
    <cfRule type="colorScale" priority="10">
      <colorScale>
        <cfvo type="min"/>
        <cfvo type="max"/>
        <color rgb="FFFCFCFF"/>
        <color rgb="FFF8696B"/>
      </colorScale>
    </cfRule>
  </conditionalFormatting>
  <conditionalFormatting sqref="K6:N12 L13:N14 K13:K15">
    <cfRule type="colorScale" priority="6">
      <colorScale>
        <cfvo type="min"/>
        <cfvo type="max"/>
        <color rgb="FFFCFCFF"/>
        <color rgb="FFF8696B"/>
      </colorScale>
    </cfRule>
  </conditionalFormatting>
  <conditionalFormatting sqref="O58:V60">
    <cfRule type="colorScale" priority="8">
      <colorScale>
        <cfvo type="min"/>
        <cfvo type="max"/>
        <color rgb="FFFCFCFF"/>
        <color rgb="FFF8696B"/>
      </colorScale>
    </cfRule>
  </conditionalFormatting>
  <conditionalFormatting sqref="P32:R39">
    <cfRule type="colorScale" priority="7">
      <colorScale>
        <cfvo type="min"/>
        <cfvo type="max"/>
        <color rgb="FFFCFCFF"/>
        <color rgb="FFF8696B"/>
      </colorScale>
    </cfRule>
  </conditionalFormatting>
  <conditionalFormatting sqref="P6:S13">
    <cfRule type="colorScale" priority="3">
      <colorScale>
        <cfvo type="min"/>
        <cfvo type="max"/>
        <color rgb="FFFCFCFF"/>
        <color rgb="FFF8696B"/>
      </colorScale>
    </cfRule>
  </conditionalFormatting>
  <conditionalFormatting sqref="W6:Y14 Y15">
    <cfRule type="colorScale" priority="4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24">
      <colorScale>
        <cfvo type="min"/>
        <cfvo type="max"/>
        <color rgb="FFFCFCFF"/>
        <color rgb="FFF8696B"/>
      </colorScale>
    </cfRule>
  </conditionalFormatting>
  <conditionalFormatting sqref="AC59:AK61">
    <cfRule type="colorScale" priority="13">
      <colorScale>
        <cfvo type="min"/>
        <cfvo type="max"/>
        <color rgb="FFFCFCFF"/>
        <color rgb="FFF8696B"/>
      </colorScale>
    </cfRule>
  </conditionalFormatting>
  <conditionalFormatting sqref="AD33:AG40">
    <cfRule type="colorScale" priority="12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11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C75"/>
  <sheetViews>
    <sheetView zoomScaleNormal="100" workbookViewId="0">
      <selection activeCell="A14" sqref="A14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50"/>
      <c r="B1" s="18" t="s">
        <v>175</v>
      </c>
      <c r="C1" s="159" t="s">
        <v>138</v>
      </c>
      <c r="D1" s="221">
        <f>IF('Take-off'!$C$9="",'Take-off'!$C$16,MAX(0,'Take-off'!$C$16+30*(1013-'Take-off'!$C$9)))</f>
        <v>0</v>
      </c>
      <c r="E1" s="222"/>
      <c r="F1" s="222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243"/>
      <c r="AW1" s="150"/>
      <c r="AX1" s="150"/>
      <c r="AY1" s="150"/>
      <c r="AZ1" s="150"/>
      <c r="BA1" s="150"/>
      <c r="BB1" s="150"/>
      <c r="BC1" s="150"/>
    </row>
    <row r="2" spans="1:55" ht="14.25" customHeight="1">
      <c r="A2" s="150"/>
      <c r="B2" s="18" t="s">
        <v>177</v>
      </c>
      <c r="C2" s="159" t="s">
        <v>139</v>
      </c>
      <c r="D2" s="221">
        <f>'Take-off'!$C$8</f>
        <v>-35</v>
      </c>
      <c r="E2" s="223" t="s">
        <v>193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243"/>
      <c r="AW2" s="150"/>
      <c r="AX2" s="150"/>
      <c r="AY2" s="150"/>
      <c r="AZ2" s="150"/>
      <c r="BA2" s="150"/>
      <c r="BB2" s="150"/>
      <c r="BC2" s="150"/>
    </row>
    <row r="3" spans="1:55" ht="14.25" customHeight="1">
      <c r="A3" s="150"/>
      <c r="B3" s="303" t="s">
        <v>130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150"/>
      <c r="N3" s="150"/>
      <c r="O3" s="303" t="s">
        <v>194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150"/>
      <c r="AA3" s="150"/>
      <c r="AB3" s="303" t="s">
        <v>195</v>
      </c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150"/>
      <c r="AN3" s="150"/>
      <c r="AO3" s="150"/>
      <c r="AP3" s="150"/>
      <c r="AQ3" s="150"/>
      <c r="AR3" s="150"/>
      <c r="AS3" s="150"/>
      <c r="AT3" s="150"/>
      <c r="AU3" s="150"/>
      <c r="AV3" s="243"/>
      <c r="AW3" s="150"/>
      <c r="AX3" s="150"/>
      <c r="AY3" s="150"/>
      <c r="AZ3" s="150"/>
      <c r="BA3" s="150"/>
      <c r="BB3" s="150"/>
      <c r="BC3" s="150"/>
    </row>
    <row r="4" spans="1:55" ht="15" customHeight="1">
      <c r="B4" s="275" t="s">
        <v>196</v>
      </c>
      <c r="C4" s="275"/>
      <c r="D4" s="275"/>
      <c r="E4" s="275"/>
      <c r="F4" s="275"/>
      <c r="G4" s="14"/>
      <c r="H4" s="14"/>
      <c r="I4" s="14"/>
      <c r="J4" s="14"/>
      <c r="K4" s="14"/>
      <c r="L4" s="14"/>
      <c r="M4" s="14"/>
      <c r="O4" s="275" t="s">
        <v>196</v>
      </c>
      <c r="P4" s="275"/>
      <c r="Q4" s="275"/>
      <c r="R4" s="275"/>
      <c r="S4" s="275"/>
      <c r="T4" s="14"/>
      <c r="U4" s="14"/>
      <c r="V4" s="14"/>
      <c r="W4" s="14"/>
      <c r="X4" s="14"/>
      <c r="Y4" s="14"/>
      <c r="Z4" s="159"/>
      <c r="AB4" s="275" t="s">
        <v>196</v>
      </c>
      <c r="AC4" s="275"/>
      <c r="AD4" s="275"/>
      <c r="AE4" s="275"/>
      <c r="AF4" s="275"/>
      <c r="AG4" s="14"/>
      <c r="AH4" s="14"/>
      <c r="AI4" s="14"/>
      <c r="AJ4" s="14"/>
      <c r="AK4" s="14"/>
      <c r="AL4" s="14"/>
      <c r="AM4" s="1"/>
      <c r="AN4" s="1"/>
      <c r="AO4" s="1"/>
      <c r="AP4" s="159"/>
      <c r="AQ4" s="160"/>
      <c r="AU4" s="1"/>
      <c r="AV4" s="1"/>
      <c r="AW4" s="1"/>
      <c r="AX4" s="159"/>
      <c r="AY4" s="160"/>
    </row>
    <row r="5" spans="1:55" ht="15" customHeight="1">
      <c r="A5" t="s">
        <v>197</v>
      </c>
      <c r="B5" s="225">
        <v>-500</v>
      </c>
      <c r="C5" s="237">
        <v>0</v>
      </c>
      <c r="D5" s="226">
        <v>1000</v>
      </c>
      <c r="E5" s="47">
        <v>2000</v>
      </c>
      <c r="F5" s="47">
        <v>3000</v>
      </c>
      <c r="G5" s="227">
        <v>4000</v>
      </c>
      <c r="H5" s="159"/>
      <c r="I5" s="160"/>
      <c r="K5" s="159"/>
      <c r="N5" t="s">
        <v>197</v>
      </c>
      <c r="O5" s="225">
        <v>0</v>
      </c>
      <c r="P5" s="226">
        <v>1000</v>
      </c>
      <c r="Q5" s="47">
        <v>2000</v>
      </c>
      <c r="R5" s="47">
        <v>3000</v>
      </c>
      <c r="S5" s="227">
        <v>4000</v>
      </c>
      <c r="T5" s="159"/>
      <c r="U5" s="160"/>
      <c r="W5" s="159"/>
      <c r="X5" s="160"/>
      <c r="AA5" t="s">
        <v>197</v>
      </c>
      <c r="AB5" s="225">
        <v>-500</v>
      </c>
      <c r="AC5" s="237">
        <v>0</v>
      </c>
      <c r="AD5" s="226">
        <v>1000</v>
      </c>
      <c r="AE5" s="47">
        <v>2000</v>
      </c>
      <c r="AF5" s="47">
        <v>3000</v>
      </c>
      <c r="AG5" s="227">
        <v>4000</v>
      </c>
      <c r="AH5" s="159"/>
      <c r="AI5" s="160"/>
      <c r="AK5" s="159"/>
      <c r="AL5" s="160"/>
      <c r="AN5" s="159"/>
      <c r="AO5" s="160"/>
      <c r="AS5" s="1"/>
      <c r="AT5" s="1"/>
      <c r="AU5" s="1"/>
      <c r="AV5" s="159"/>
      <c r="AW5" s="160"/>
    </row>
    <row r="6" spans="1:55" ht="15" customHeight="1">
      <c r="A6">
        <v>-40</v>
      </c>
      <c r="B6" s="225">
        <v>2950</v>
      </c>
      <c r="C6" s="237">
        <v>2950</v>
      </c>
      <c r="D6" s="226">
        <v>3100</v>
      </c>
      <c r="E6" s="47">
        <v>3175</v>
      </c>
      <c r="F6" s="47">
        <v>3300</v>
      </c>
      <c r="G6" s="227">
        <v>99999</v>
      </c>
      <c r="H6" s="159"/>
      <c r="I6" s="160"/>
      <c r="K6" s="159"/>
      <c r="N6">
        <v>-30</v>
      </c>
      <c r="O6" s="225"/>
      <c r="P6" s="226"/>
      <c r="Q6" s="47"/>
      <c r="R6" s="47"/>
      <c r="S6" s="227">
        <v>99999</v>
      </c>
      <c r="T6" s="159"/>
      <c r="U6" s="160"/>
      <c r="W6" s="159"/>
      <c r="X6" s="160"/>
      <c r="AA6">
        <v>-40</v>
      </c>
      <c r="AB6" s="225">
        <v>3000</v>
      </c>
      <c r="AC6" s="237">
        <v>3000</v>
      </c>
      <c r="AD6" s="226">
        <v>3100</v>
      </c>
      <c r="AE6" s="47">
        <v>3200</v>
      </c>
      <c r="AF6" s="47">
        <v>3350</v>
      </c>
      <c r="AG6" s="227">
        <v>99999</v>
      </c>
      <c r="AH6" s="159"/>
      <c r="AI6" s="160"/>
      <c r="AK6" s="159"/>
      <c r="AL6" s="160"/>
      <c r="AN6" s="159"/>
      <c r="AO6" s="160"/>
      <c r="AS6" s="1"/>
      <c r="AT6" s="1"/>
      <c r="AU6" s="1"/>
      <c r="AV6" s="159"/>
      <c r="AW6" s="160"/>
    </row>
    <row r="7" spans="1:55" ht="15" customHeight="1">
      <c r="A7">
        <v>-30</v>
      </c>
      <c r="B7" s="240">
        <v>2950</v>
      </c>
      <c r="C7" s="14">
        <v>2950</v>
      </c>
      <c r="D7" s="217">
        <v>3100</v>
      </c>
      <c r="E7">
        <v>3175</v>
      </c>
      <c r="F7">
        <v>3300</v>
      </c>
      <c r="G7" s="2">
        <v>99999</v>
      </c>
      <c r="H7" s="159"/>
      <c r="I7" s="160"/>
      <c r="K7" s="159"/>
      <c r="O7" s="240"/>
      <c r="P7" s="217"/>
      <c r="S7" s="2"/>
      <c r="T7" s="159"/>
      <c r="U7" s="160"/>
      <c r="W7" s="159"/>
      <c r="X7" s="160"/>
      <c r="AA7">
        <v>-30</v>
      </c>
      <c r="AB7" s="240">
        <v>3000</v>
      </c>
      <c r="AC7" s="14">
        <v>3000</v>
      </c>
      <c r="AD7" s="217">
        <v>3100</v>
      </c>
      <c r="AE7">
        <v>3200</v>
      </c>
      <c r="AF7">
        <v>3350</v>
      </c>
      <c r="AG7" s="2">
        <v>99999</v>
      </c>
      <c r="AH7" s="159"/>
      <c r="AI7" s="160"/>
      <c r="AK7" s="159"/>
      <c r="AL7" s="160"/>
      <c r="AN7" s="159"/>
      <c r="AO7" s="160"/>
      <c r="AS7" s="1"/>
      <c r="AT7" s="1"/>
      <c r="AU7" s="1"/>
      <c r="AV7" s="159"/>
      <c r="AW7" s="160"/>
    </row>
    <row r="8" spans="1:55" ht="15" customHeight="1">
      <c r="A8">
        <v>-20</v>
      </c>
      <c r="B8" s="240">
        <v>2950</v>
      </c>
      <c r="C8" s="14">
        <v>2950</v>
      </c>
      <c r="D8" s="217">
        <v>3100</v>
      </c>
      <c r="E8">
        <v>3175</v>
      </c>
      <c r="F8">
        <v>3300</v>
      </c>
      <c r="G8" s="2">
        <v>99999</v>
      </c>
      <c r="H8" s="159"/>
      <c r="I8" s="160"/>
      <c r="K8" s="159"/>
      <c r="N8">
        <v>-20</v>
      </c>
      <c r="O8" s="240"/>
      <c r="P8" s="217"/>
      <c r="S8" s="2">
        <v>99999</v>
      </c>
      <c r="T8" s="159"/>
      <c r="U8" s="160"/>
      <c r="W8" s="159"/>
      <c r="X8" s="160"/>
      <c r="AA8">
        <v>-20</v>
      </c>
      <c r="AB8" s="240">
        <v>3000</v>
      </c>
      <c r="AC8" s="14">
        <v>3000</v>
      </c>
      <c r="AD8" s="217">
        <v>3100</v>
      </c>
      <c r="AE8">
        <v>3200</v>
      </c>
      <c r="AF8">
        <v>3350</v>
      </c>
      <c r="AG8" s="2">
        <v>99999</v>
      </c>
      <c r="AH8" s="159"/>
      <c r="AI8" s="160"/>
      <c r="AK8" s="159"/>
      <c r="AL8" s="160"/>
      <c r="AN8" s="159"/>
      <c r="AO8" s="160"/>
      <c r="AS8" s="1"/>
      <c r="AT8" s="1"/>
      <c r="AU8" s="1"/>
      <c r="AV8" s="159"/>
      <c r="AW8" s="160"/>
    </row>
    <row r="9" spans="1:55" ht="15" customHeight="1">
      <c r="A9">
        <v>-10</v>
      </c>
      <c r="B9" s="240">
        <v>3050</v>
      </c>
      <c r="C9" s="14">
        <v>3050</v>
      </c>
      <c r="D9" s="217">
        <v>3150</v>
      </c>
      <c r="E9">
        <v>3300</v>
      </c>
      <c r="F9">
        <v>3450</v>
      </c>
      <c r="G9" s="2">
        <v>99999</v>
      </c>
      <c r="H9" s="159"/>
      <c r="I9" s="160"/>
      <c r="K9" s="159"/>
      <c r="N9">
        <v>-10</v>
      </c>
      <c r="O9" s="240"/>
      <c r="P9" s="217"/>
      <c r="S9" s="2">
        <v>99999</v>
      </c>
      <c r="T9" s="159"/>
      <c r="U9" s="160"/>
      <c r="W9" s="159"/>
      <c r="X9" s="160"/>
      <c r="AA9">
        <v>-10</v>
      </c>
      <c r="AB9" s="240">
        <v>3050</v>
      </c>
      <c r="AC9" s="14">
        <v>3050</v>
      </c>
      <c r="AD9" s="217">
        <v>3200</v>
      </c>
      <c r="AE9">
        <v>3300</v>
      </c>
      <c r="AF9">
        <v>3450</v>
      </c>
      <c r="AG9" s="2">
        <v>99999</v>
      </c>
      <c r="AH9" s="159"/>
      <c r="AI9" s="160"/>
      <c r="AK9" s="159"/>
      <c r="AL9" s="160"/>
      <c r="AN9" s="159"/>
      <c r="AO9" s="160"/>
      <c r="AS9" s="1"/>
      <c r="AT9" s="1"/>
      <c r="AU9" s="1"/>
      <c r="AV9" s="159"/>
      <c r="AW9" s="160"/>
    </row>
    <row r="10" spans="1:55" ht="15" customHeight="1">
      <c r="A10">
        <v>0</v>
      </c>
      <c r="B10" s="240">
        <v>3150</v>
      </c>
      <c r="C10" s="14">
        <v>3150</v>
      </c>
      <c r="D10" s="217">
        <v>3300</v>
      </c>
      <c r="E10">
        <v>3450</v>
      </c>
      <c r="F10">
        <v>3600</v>
      </c>
      <c r="G10" s="2">
        <v>99999</v>
      </c>
      <c r="H10" s="159"/>
      <c r="I10" s="160"/>
      <c r="K10" s="159"/>
      <c r="N10">
        <v>0</v>
      </c>
      <c r="O10" s="240"/>
      <c r="P10" s="217"/>
      <c r="S10" s="2">
        <v>99999</v>
      </c>
      <c r="T10" s="159"/>
      <c r="U10" s="160"/>
      <c r="W10" s="159"/>
      <c r="X10" s="160"/>
      <c r="AA10">
        <v>0</v>
      </c>
      <c r="AB10" s="240">
        <v>3200</v>
      </c>
      <c r="AC10" s="14">
        <v>3200</v>
      </c>
      <c r="AD10" s="217">
        <v>3350</v>
      </c>
      <c r="AE10">
        <v>3500</v>
      </c>
      <c r="AF10">
        <v>3600</v>
      </c>
      <c r="AG10" s="2">
        <v>99999</v>
      </c>
      <c r="AH10" s="159"/>
      <c r="AI10" s="160"/>
      <c r="AK10" s="159"/>
      <c r="AL10" s="160"/>
      <c r="AN10" s="159"/>
      <c r="AO10" s="160"/>
      <c r="AS10" s="1"/>
      <c r="AT10" s="1"/>
      <c r="AU10" s="1"/>
      <c r="AV10" s="159"/>
      <c r="AW10" s="160"/>
    </row>
    <row r="11" spans="1:55" ht="15" customHeight="1">
      <c r="A11">
        <v>10</v>
      </c>
      <c r="B11" s="240">
        <v>3300</v>
      </c>
      <c r="C11" s="14">
        <v>3300</v>
      </c>
      <c r="D11" s="217">
        <v>3450</v>
      </c>
      <c r="E11">
        <v>3620</v>
      </c>
      <c r="F11">
        <v>3800</v>
      </c>
      <c r="G11" s="2">
        <v>99999</v>
      </c>
      <c r="H11" s="159"/>
      <c r="I11" s="160"/>
      <c r="K11" s="159"/>
      <c r="N11">
        <v>10</v>
      </c>
      <c r="O11" s="240"/>
      <c r="P11" s="217"/>
      <c r="S11" s="2">
        <v>99999</v>
      </c>
      <c r="T11" s="159"/>
      <c r="U11" s="160"/>
      <c r="W11" s="159"/>
      <c r="X11" s="160"/>
      <c r="AA11">
        <v>10</v>
      </c>
      <c r="AB11" s="240">
        <v>3350</v>
      </c>
      <c r="AC11" s="14">
        <v>3350</v>
      </c>
      <c r="AD11" s="217">
        <v>3450</v>
      </c>
      <c r="AE11">
        <v>3600</v>
      </c>
      <c r="AF11">
        <v>3800</v>
      </c>
      <c r="AG11" s="2">
        <v>99999</v>
      </c>
      <c r="AH11" s="159"/>
      <c r="AI11" s="160"/>
      <c r="AK11" s="159"/>
      <c r="AL11" s="160"/>
      <c r="AN11" s="159"/>
      <c r="AO11" s="160"/>
      <c r="AS11" s="1"/>
      <c r="AT11" s="1"/>
      <c r="AU11" s="1"/>
      <c r="AV11" s="159"/>
      <c r="AW11" s="160"/>
    </row>
    <row r="12" spans="1:55" ht="15" customHeight="1">
      <c r="A12">
        <v>20</v>
      </c>
      <c r="B12" s="240">
        <v>3450</v>
      </c>
      <c r="C12" s="14">
        <v>3450</v>
      </c>
      <c r="D12" s="217">
        <v>3620</v>
      </c>
      <c r="E12">
        <v>3800</v>
      </c>
      <c r="F12">
        <v>4000</v>
      </c>
      <c r="G12" s="2">
        <v>99999</v>
      </c>
      <c r="H12" s="159"/>
      <c r="I12" s="160"/>
      <c r="K12" s="159"/>
      <c r="N12">
        <v>20</v>
      </c>
      <c r="O12" s="240"/>
      <c r="P12" s="217"/>
      <c r="S12" s="2">
        <v>99999</v>
      </c>
      <c r="T12" s="159"/>
      <c r="U12" s="160"/>
      <c r="W12" s="159"/>
      <c r="X12" s="160"/>
      <c r="AA12">
        <v>20</v>
      </c>
      <c r="AB12" s="240">
        <v>3450</v>
      </c>
      <c r="AC12" s="14">
        <v>3450</v>
      </c>
      <c r="AD12" s="217">
        <v>3650</v>
      </c>
      <c r="AE12">
        <v>3800</v>
      </c>
      <c r="AF12">
        <v>4000</v>
      </c>
      <c r="AG12" s="2">
        <v>99999</v>
      </c>
      <c r="AH12" s="159"/>
      <c r="AI12" s="160"/>
      <c r="AK12" s="159"/>
      <c r="AL12" s="160"/>
      <c r="AN12" s="159"/>
      <c r="AO12" s="160"/>
      <c r="AS12" s="1"/>
      <c r="AT12" s="1"/>
      <c r="AU12" s="1"/>
      <c r="AV12" s="159"/>
      <c r="AW12" s="160"/>
    </row>
    <row r="13" spans="1:55" ht="15" customHeight="1">
      <c r="A13">
        <v>30</v>
      </c>
      <c r="B13" s="240">
        <v>3630</v>
      </c>
      <c r="C13" s="14">
        <v>3630</v>
      </c>
      <c r="D13" s="217">
        <v>3800</v>
      </c>
      <c r="E13">
        <v>4000</v>
      </c>
      <c r="F13">
        <v>4200</v>
      </c>
      <c r="G13" s="2">
        <v>99999</v>
      </c>
      <c r="H13" s="159"/>
      <c r="I13" s="160"/>
      <c r="K13" s="159"/>
      <c r="N13">
        <v>30</v>
      </c>
      <c r="O13" s="240"/>
      <c r="P13" s="217"/>
      <c r="S13" s="2">
        <v>99999</v>
      </c>
      <c r="T13" s="159"/>
      <c r="U13" s="160"/>
      <c r="W13" s="159"/>
      <c r="X13" s="160"/>
      <c r="AA13">
        <v>30</v>
      </c>
      <c r="AB13" s="240">
        <v>3600</v>
      </c>
      <c r="AC13" s="14">
        <v>3600</v>
      </c>
      <c r="AD13" s="217">
        <v>3800</v>
      </c>
      <c r="AE13">
        <v>3950</v>
      </c>
      <c r="AF13">
        <v>4250</v>
      </c>
      <c r="AG13" s="2">
        <v>99999</v>
      </c>
      <c r="AH13" s="159"/>
      <c r="AI13" s="160"/>
      <c r="AK13" s="159"/>
      <c r="AL13" s="160"/>
      <c r="AN13" s="159"/>
      <c r="AO13" s="160"/>
      <c r="AS13" s="1"/>
      <c r="AT13" s="1"/>
      <c r="AU13" s="1"/>
      <c r="AV13" s="159"/>
      <c r="AW13" s="160"/>
    </row>
    <row r="14" spans="1:55" ht="15" customHeight="1">
      <c r="A14">
        <v>40</v>
      </c>
      <c r="B14" s="240">
        <v>3850</v>
      </c>
      <c r="C14" s="14">
        <v>3850</v>
      </c>
      <c r="D14" s="217">
        <v>4000</v>
      </c>
      <c r="E14">
        <v>4370</v>
      </c>
      <c r="F14">
        <v>4550</v>
      </c>
      <c r="G14" s="2">
        <v>99999</v>
      </c>
      <c r="H14" s="159"/>
      <c r="I14" s="160"/>
      <c r="K14" s="159"/>
      <c r="N14">
        <v>35</v>
      </c>
      <c r="O14" s="235">
        <v>99999</v>
      </c>
      <c r="P14" s="236">
        <v>99999</v>
      </c>
      <c r="Q14" s="236">
        <v>99999</v>
      </c>
      <c r="R14" s="236">
        <v>99999</v>
      </c>
      <c r="S14" s="244">
        <v>99999</v>
      </c>
      <c r="T14" s="159"/>
      <c r="U14" s="160"/>
      <c r="W14" s="159"/>
      <c r="X14" s="160"/>
      <c r="AA14">
        <v>40</v>
      </c>
      <c r="AB14" s="240">
        <v>3850</v>
      </c>
      <c r="AC14" s="14">
        <v>3850</v>
      </c>
      <c r="AD14" s="217">
        <v>4050</v>
      </c>
      <c r="AE14">
        <v>4250</v>
      </c>
      <c r="AF14">
        <v>4500</v>
      </c>
      <c r="AG14" s="2">
        <v>99999</v>
      </c>
      <c r="AH14" s="159"/>
      <c r="AI14" s="160"/>
      <c r="AK14" s="159"/>
      <c r="AL14" s="160"/>
      <c r="AN14" s="159"/>
      <c r="AO14" s="160"/>
      <c r="AS14" s="1"/>
      <c r="AT14" s="1"/>
      <c r="AU14" s="1"/>
      <c r="AV14" s="159"/>
      <c r="AW14" s="160"/>
    </row>
    <row r="15" spans="1:55" ht="15" customHeight="1">
      <c r="A15">
        <v>45</v>
      </c>
      <c r="B15" s="235">
        <v>99999</v>
      </c>
      <c r="C15" s="241">
        <v>99999</v>
      </c>
      <c r="D15" s="236">
        <v>99999</v>
      </c>
      <c r="E15" s="236">
        <v>99999</v>
      </c>
      <c r="F15" s="236">
        <v>99999</v>
      </c>
      <c r="G15" s="244">
        <v>99999</v>
      </c>
      <c r="H15" s="159"/>
      <c r="I15" s="160"/>
      <c r="K15" s="159"/>
      <c r="O15" s="159"/>
      <c r="P15" s="160"/>
      <c r="T15" s="1"/>
      <c r="U15" s="1"/>
      <c r="V15" s="1"/>
      <c r="W15" s="159"/>
      <c r="X15" s="160"/>
      <c r="AA15">
        <v>45</v>
      </c>
      <c r="AB15" s="235">
        <v>99999</v>
      </c>
      <c r="AC15" s="241">
        <v>99999</v>
      </c>
      <c r="AD15" s="236">
        <v>99999</v>
      </c>
      <c r="AE15" s="236">
        <v>99999</v>
      </c>
      <c r="AF15" s="236">
        <v>99999</v>
      </c>
      <c r="AG15" s="244">
        <v>99999</v>
      </c>
      <c r="AH15" s="159"/>
      <c r="AI15" s="160"/>
      <c r="AK15" s="159"/>
      <c r="AL15" s="160"/>
      <c r="AN15" s="1"/>
      <c r="AO15" s="1"/>
      <c r="AP15" s="1"/>
      <c r="AQ15" s="159"/>
      <c r="AR15" s="160"/>
      <c r="AV15" s="1"/>
      <c r="AW15" s="1"/>
      <c r="AX15" s="1"/>
      <c r="AY15" s="159"/>
      <c r="AZ15" s="160"/>
    </row>
    <row r="16" spans="1:55" ht="15" customHeight="1">
      <c r="B16" s="159"/>
      <c r="C16" s="160"/>
      <c r="G16" s="1"/>
      <c r="H16" s="1"/>
      <c r="I16" s="1"/>
      <c r="J16" s="159"/>
      <c r="K16" s="160"/>
      <c r="L16" s="14"/>
      <c r="O16" s="159" t="s">
        <v>138</v>
      </c>
      <c r="P16" s="160">
        <f>D1</f>
        <v>0</v>
      </c>
      <c r="Q16" s="276" t="s">
        <v>181</v>
      </c>
      <c r="R16" s="276"/>
      <c r="T16" s="1"/>
      <c r="U16" s="1"/>
      <c r="V16" s="1"/>
      <c r="W16" s="159"/>
      <c r="X16" s="160"/>
      <c r="Z16" s="159"/>
      <c r="AB16" s="159"/>
      <c r="AC16" s="160"/>
      <c r="AG16" s="1"/>
      <c r="AH16" s="1"/>
      <c r="AI16" s="1"/>
      <c r="AJ16" s="159"/>
      <c r="AK16" s="160"/>
      <c r="AL16" s="14"/>
      <c r="AM16" s="1"/>
      <c r="AN16" s="1"/>
      <c r="AO16" s="1"/>
      <c r="AP16" s="159"/>
      <c r="AQ16" s="160"/>
      <c r="AR16" s="276"/>
      <c r="AS16" s="276"/>
      <c r="AU16" s="1"/>
      <c r="AV16" s="1"/>
      <c r="AW16" s="1"/>
      <c r="AX16" s="159"/>
      <c r="AY16" s="160"/>
      <c r="AZ16" s="276"/>
      <c r="BA16" s="276"/>
    </row>
    <row r="17" spans="1:53" ht="15" customHeight="1">
      <c r="B17" s="159" t="s">
        <v>138</v>
      </c>
      <c r="C17" s="160">
        <f>D1</f>
        <v>0</v>
      </c>
      <c r="D17" s="276" t="s">
        <v>181</v>
      </c>
      <c r="E17" s="276"/>
      <c r="G17" s="1"/>
      <c r="H17" s="1"/>
      <c r="I17" s="1"/>
      <c r="J17" s="159"/>
      <c r="K17" s="160"/>
      <c r="L17" s="18"/>
      <c r="M17" s="49"/>
      <c r="O17" s="18" t="s">
        <v>182</v>
      </c>
      <c r="P17" s="161">
        <f>INDEX(O5:S5,MATCH(P16,O5:S5,1))</f>
        <v>0</v>
      </c>
      <c r="Q17" s="18" t="s">
        <v>136</v>
      </c>
      <c r="R17" s="49">
        <f>MATCH(MAX(N6:N14),N6:N14,1)</f>
        <v>9</v>
      </c>
      <c r="T17" s="1"/>
      <c r="U17" s="1"/>
      <c r="V17" s="1"/>
      <c r="W17" s="18"/>
      <c r="X17" s="161"/>
      <c r="Y17" s="14"/>
      <c r="Z17" s="159"/>
      <c r="AB17" s="159" t="s">
        <v>138</v>
      </c>
      <c r="AC17" s="160">
        <f>D1</f>
        <v>0</v>
      </c>
      <c r="AD17" s="276" t="s">
        <v>181</v>
      </c>
      <c r="AE17" s="276"/>
      <c r="AG17" s="1"/>
      <c r="AH17" s="1"/>
      <c r="AI17" s="1"/>
      <c r="AJ17" s="159"/>
      <c r="AK17" s="161"/>
      <c r="AL17" s="18"/>
      <c r="AM17" s="1"/>
      <c r="AN17" s="1"/>
      <c r="AO17" s="1"/>
      <c r="AP17" s="18"/>
      <c r="AQ17" s="161"/>
      <c r="AR17" s="18"/>
      <c r="AS17" s="49"/>
      <c r="AU17" s="1"/>
      <c r="AV17" s="1"/>
      <c r="AW17" s="1"/>
      <c r="AX17" s="18"/>
      <c r="AY17" s="161"/>
      <c r="AZ17" s="18"/>
      <c r="BA17" s="49"/>
    </row>
    <row r="18" spans="1:53" ht="15" customHeight="1">
      <c r="B18" s="18" t="s">
        <v>182</v>
      </c>
      <c r="C18" s="161">
        <f>INDEX(B5:G5,MATCH(C17,B5:G5,1))</f>
        <v>0</v>
      </c>
      <c r="D18" s="18" t="s">
        <v>136</v>
      </c>
      <c r="E18" s="49">
        <f>MATCH(MAX(A6:A15),A6:A15,1)</f>
        <v>10</v>
      </c>
      <c r="G18" s="1"/>
      <c r="H18" s="1"/>
      <c r="I18" s="1"/>
      <c r="J18" s="18"/>
      <c r="K18" s="161"/>
      <c r="L18" s="18"/>
      <c r="M18" s="49"/>
      <c r="O18" s="18" t="s">
        <v>183</v>
      </c>
      <c r="P18" s="161">
        <f t="array" ref="P18">INDEX(O5:S5,IF(MATCH(P16,O5:S5,1)&lt;R18,MATCH(P16,O5:S5,1)+1,MATCH(P16,O5:S5,1)))</f>
        <v>1000</v>
      </c>
      <c r="Q18" s="18" t="s">
        <v>137</v>
      </c>
      <c r="R18" s="49">
        <f>MATCH(MAX(O5:S5),O5:S5,0)</f>
        <v>5</v>
      </c>
      <c r="T18" s="1"/>
      <c r="U18" s="1"/>
      <c r="V18" s="1"/>
      <c r="W18" s="18"/>
      <c r="X18" s="161"/>
      <c r="Y18" s="18"/>
      <c r="Z18" s="18"/>
      <c r="AB18" s="18" t="s">
        <v>182</v>
      </c>
      <c r="AC18" s="161">
        <f>INDEX(AB5:AG5,MATCH(AC17,AB5:AG5,1))</f>
        <v>0</v>
      </c>
      <c r="AD18" s="18" t="s">
        <v>136</v>
      </c>
      <c r="AE18" s="49">
        <f>MATCH(MAX(AA6:AA15),AA6:AA15,1)</f>
        <v>10</v>
      </c>
      <c r="AG18" s="1"/>
      <c r="AH18" s="1"/>
      <c r="AI18" s="1"/>
      <c r="AJ18" s="18"/>
      <c r="AK18" s="161"/>
      <c r="AL18" s="18"/>
      <c r="AM18" s="1"/>
      <c r="AN18" s="1"/>
      <c r="AO18" s="1"/>
      <c r="AP18" s="18"/>
      <c r="AQ18" s="161"/>
      <c r="AR18" s="18"/>
      <c r="AS18" s="49"/>
      <c r="AU18" s="1"/>
      <c r="AV18" s="1"/>
      <c r="AW18" s="1"/>
      <c r="AX18" s="18"/>
      <c r="AY18" s="161"/>
      <c r="AZ18" s="18"/>
      <c r="BA18" s="49"/>
    </row>
    <row r="19" spans="1:53" ht="15" customHeight="1">
      <c r="B19" s="18" t="s">
        <v>183</v>
      </c>
      <c r="C19" s="161">
        <f t="array" ref="C19">INDEX(B5:G5,IF(MATCH(C17,B5:G5,1)&lt;E19,MATCH(C17,B5:G5,1)+1,MATCH(C17,B5:G5,1)))</f>
        <v>1000</v>
      </c>
      <c r="D19" s="18" t="s">
        <v>137</v>
      </c>
      <c r="E19" s="49">
        <f>MATCH(MAX(B5:G5),B5:G5,0)</f>
        <v>6</v>
      </c>
      <c r="G19" s="1"/>
      <c r="H19" s="1"/>
      <c r="I19" s="1"/>
      <c r="J19" s="18"/>
      <c r="K19" s="161"/>
      <c r="L19" s="1"/>
      <c r="M19" s="1"/>
      <c r="O19" s="159" t="s">
        <v>139</v>
      </c>
      <c r="P19" s="205">
        <f>D2</f>
        <v>-35</v>
      </c>
      <c r="Q19" s="1"/>
      <c r="R19" s="1"/>
      <c r="T19" s="1"/>
      <c r="U19" s="1"/>
      <c r="V19" s="1"/>
      <c r="W19" s="159"/>
      <c r="X19" s="205"/>
      <c r="Y19" s="18"/>
      <c r="Z19" s="18"/>
      <c r="AB19" s="18" t="s">
        <v>183</v>
      </c>
      <c r="AC19" s="161">
        <f t="array" ref="AC19">INDEX(AB5:AG5,IF(MATCH(AC17,AB5:AG5,1)&lt;AE19,MATCH(AC17,AB5:AG5,1)+1,MATCH(AC17,AB5:AG5,1)))</f>
        <v>1000</v>
      </c>
      <c r="AD19" s="18" t="s">
        <v>137</v>
      </c>
      <c r="AE19" s="49">
        <f>MATCH(MAX(AB5:AG5),AB5:AG5,0)</f>
        <v>6</v>
      </c>
      <c r="AG19" s="1"/>
      <c r="AH19" s="1"/>
      <c r="AI19" s="1"/>
      <c r="AJ19" s="18"/>
      <c r="AK19" s="205"/>
      <c r="AL19" s="1"/>
      <c r="AM19" s="1"/>
      <c r="AN19" s="1"/>
      <c r="AO19" s="1"/>
      <c r="AP19" s="159"/>
      <c r="AQ19" s="205"/>
      <c r="AR19" s="1"/>
      <c r="AS19" s="1"/>
      <c r="AU19" s="1"/>
      <c r="AV19" s="1"/>
      <c r="AW19" s="1"/>
      <c r="AX19" s="159"/>
      <c r="AY19" s="205"/>
      <c r="AZ19" s="1"/>
      <c r="BA19" s="1"/>
    </row>
    <row r="20" spans="1:53" ht="15" customHeight="1">
      <c r="B20" s="159" t="s">
        <v>139</v>
      </c>
      <c r="C20" s="205">
        <f>D2</f>
        <v>-35</v>
      </c>
      <c r="D20" s="1"/>
      <c r="E20" s="1"/>
      <c r="G20" s="1"/>
      <c r="H20" s="1"/>
      <c r="I20" s="1"/>
      <c r="J20" s="159"/>
      <c r="K20" s="205"/>
      <c r="L20" s="1"/>
      <c r="M20" s="40"/>
      <c r="O20" s="18" t="s">
        <v>140</v>
      </c>
      <c r="P20" s="161" t="e">
        <f>INDEX(N6:N14,MATCH(P19,N6:N14,1))</f>
        <v>#N/A</v>
      </c>
      <c r="Q20" s="1"/>
      <c r="R20" s="40"/>
      <c r="T20" s="1"/>
      <c r="U20" s="1"/>
      <c r="V20" s="1"/>
      <c r="W20" s="18"/>
      <c r="X20" s="161"/>
      <c r="Y20" s="1"/>
      <c r="Z20" s="159"/>
      <c r="AB20" s="159" t="s">
        <v>139</v>
      </c>
      <c r="AC20" s="205">
        <f>D2</f>
        <v>-35</v>
      </c>
      <c r="AD20" s="1"/>
      <c r="AE20" s="1"/>
      <c r="AG20" s="1"/>
      <c r="AH20" s="1"/>
      <c r="AI20" s="1"/>
      <c r="AJ20" s="159"/>
      <c r="AK20" s="161"/>
      <c r="AL20" s="1"/>
      <c r="AM20" s="1"/>
      <c r="AN20" s="1"/>
      <c r="AO20" s="1"/>
      <c r="AP20" s="18"/>
      <c r="AQ20" s="161"/>
      <c r="AR20" s="1"/>
      <c r="AS20" s="40"/>
      <c r="AU20" s="1"/>
      <c r="AV20" s="1"/>
      <c r="AW20" s="1"/>
      <c r="AX20" s="18"/>
      <c r="AY20" s="161"/>
      <c r="AZ20" s="1"/>
      <c r="BA20" s="40"/>
    </row>
    <row r="21" spans="1:53" ht="15" customHeight="1">
      <c r="B21" s="18" t="s">
        <v>140</v>
      </c>
      <c r="C21" s="161">
        <f>INDEX(A6:A15,MATCH(C20,A6:A15,1))</f>
        <v>-40</v>
      </c>
      <c r="D21" s="1"/>
      <c r="E21" s="40"/>
      <c r="G21" s="1"/>
      <c r="H21" s="1"/>
      <c r="I21" s="1"/>
      <c r="J21" s="18"/>
      <c r="K21" s="161"/>
      <c r="L21" s="1"/>
      <c r="M21" s="40"/>
      <c r="O21" s="18" t="s">
        <v>141</v>
      </c>
      <c r="P21" s="161" t="e">
        <f t="array" ref="P21">INDEX(N6:N14,IF(MATCH(P19,N6:N14,1)&lt;R17,MATCH(P19,N6:N14,1)+1,MATCH(P19,N6:N14,1)))</f>
        <v>#N/A</v>
      </c>
      <c r="Q21" s="1"/>
      <c r="R21" s="40"/>
      <c r="T21" s="1"/>
      <c r="U21" s="1"/>
      <c r="V21" s="1"/>
      <c r="W21" s="18"/>
      <c r="X21" s="161"/>
      <c r="Y21" s="1"/>
      <c r="Z21" s="18"/>
      <c r="AB21" s="18" t="s">
        <v>140</v>
      </c>
      <c r="AC21" s="161">
        <f>INDEX(AA6:AA15,MATCH(AC20,AA6:AA15,1))</f>
        <v>-40</v>
      </c>
      <c r="AD21" s="1"/>
      <c r="AE21" s="40"/>
      <c r="AG21" s="1"/>
      <c r="AH21" s="1"/>
      <c r="AI21" s="1"/>
      <c r="AJ21" s="18"/>
      <c r="AK21" s="161"/>
      <c r="AL21" s="1"/>
      <c r="AM21" s="1"/>
      <c r="AN21" s="1"/>
      <c r="AO21" s="1"/>
      <c r="AP21" s="18"/>
      <c r="AQ21" s="161"/>
      <c r="AR21" s="1"/>
      <c r="AS21" s="40"/>
      <c r="AU21" s="1"/>
      <c r="AV21" s="1"/>
      <c r="AW21" s="1"/>
      <c r="AX21" s="18"/>
      <c r="AY21" s="161"/>
      <c r="AZ21" s="1"/>
      <c r="BA21" s="40"/>
    </row>
    <row r="22" spans="1:53" ht="15" customHeight="1">
      <c r="B22" s="18" t="s">
        <v>141</v>
      </c>
      <c r="C22" s="161">
        <f t="array" ref="C22">INDEX(A6:A15,IF(MATCH(C20,A6:A15,1)&lt;E18,MATCH(C20,A6:A15,1)+1,MATCH(C20,A6:A15,1)))</f>
        <v>-30</v>
      </c>
      <c r="D22" s="1"/>
      <c r="E22" s="40"/>
      <c r="G22" s="1"/>
      <c r="H22" s="1"/>
      <c r="I22" s="1"/>
      <c r="J22" s="18"/>
      <c r="K22" s="161"/>
      <c r="L22" s="1"/>
      <c r="M22" s="40"/>
      <c r="O22" s="159" t="s">
        <v>142</v>
      </c>
      <c r="P22" s="160" t="e">
        <f>INDEX(O6:S14,MATCH(P19,N6:N14,1),MATCH(P16,O5:S5,1))</f>
        <v>#N/A</v>
      </c>
      <c r="Q22" s="1"/>
      <c r="R22" s="40"/>
      <c r="T22" s="1"/>
      <c r="U22" s="1"/>
      <c r="V22" s="1"/>
      <c r="W22" s="159"/>
      <c r="X22" s="160"/>
      <c r="Y22" s="1"/>
      <c r="Z22" s="18"/>
      <c r="AB22" s="18" t="s">
        <v>141</v>
      </c>
      <c r="AC22" s="161">
        <f t="array" ref="AC22">INDEX(AA6:AA15,IF(MATCH(AC20,AA6:AA15,1)&lt;AE18,MATCH(AC20,AA6:AA15,1)+1,MATCH(AC20,AA6:AA15,1)))</f>
        <v>-30</v>
      </c>
      <c r="AD22" s="1"/>
      <c r="AE22" s="40"/>
      <c r="AG22" s="1"/>
      <c r="AH22" s="1"/>
      <c r="AI22" s="1"/>
      <c r="AJ22" s="18"/>
      <c r="AK22" s="160"/>
      <c r="AL22" s="1"/>
      <c r="AM22" s="1"/>
      <c r="AN22" s="1"/>
      <c r="AO22" s="1"/>
      <c r="AP22" s="159"/>
      <c r="AQ22" s="160"/>
      <c r="AR22" s="1"/>
      <c r="AS22" s="40"/>
      <c r="AU22" s="1"/>
      <c r="AV22" s="1"/>
      <c r="AW22" s="1"/>
      <c r="AX22" s="159"/>
      <c r="AY22" s="160"/>
      <c r="AZ22" s="1"/>
      <c r="BA22" s="40"/>
    </row>
    <row r="23" spans="1:53" ht="15" customHeight="1">
      <c r="B23" s="159" t="s">
        <v>142</v>
      </c>
      <c r="C23" s="160">
        <f>INDEX(B6:G15,MATCH(C20,A6:A15,1),MATCH(C17,B5:G5,1))</f>
        <v>2950</v>
      </c>
      <c r="D23" s="1"/>
      <c r="E23" s="40"/>
      <c r="G23" s="1"/>
      <c r="H23" s="1"/>
      <c r="I23" s="1"/>
      <c r="J23" s="159"/>
      <c r="K23" s="160"/>
      <c r="M23" s="40"/>
      <c r="O23" s="159" t="s">
        <v>184</v>
      </c>
      <c r="P23" s="160" t="e">
        <f>INDEX(O6:S14,MATCH(P19,N6:N14,1),IF(MATCH(P16,O5:S5,1)&lt;R18,MATCH(P16,O5:S5,1)+1,MATCH(P19,N6:N14,1)))</f>
        <v>#N/A</v>
      </c>
      <c r="R23" s="40"/>
      <c r="T23" s="1"/>
      <c r="U23" s="1"/>
      <c r="V23" s="1"/>
      <c r="W23" s="159"/>
      <c r="X23" s="160"/>
      <c r="Y23" s="1"/>
      <c r="Z23" s="159"/>
      <c r="AB23" s="159" t="s">
        <v>142</v>
      </c>
      <c r="AC23" s="160">
        <f>INDEX(AB6:AG15,MATCH(AC20,AA6:AA15,1),MATCH(AC17,AB5:AG5,1))</f>
        <v>3000</v>
      </c>
      <c r="AD23" s="1"/>
      <c r="AE23" s="40"/>
      <c r="AG23" s="1"/>
      <c r="AH23" s="1"/>
      <c r="AI23" s="1"/>
      <c r="AJ23" s="159"/>
      <c r="AK23" s="160"/>
      <c r="AM23" s="1"/>
      <c r="AN23" s="1"/>
      <c r="AO23" s="1"/>
      <c r="AP23" s="159"/>
      <c r="AQ23" s="160"/>
      <c r="AS23" s="40"/>
      <c r="AU23" s="1"/>
      <c r="AV23" s="1"/>
      <c r="AW23" s="1"/>
      <c r="AX23" s="159"/>
      <c r="AY23" s="160"/>
      <c r="BA23" s="40"/>
    </row>
    <row r="24" spans="1:53" ht="15" customHeight="1">
      <c r="B24" s="159" t="s">
        <v>184</v>
      </c>
      <c r="C24" s="160">
        <f t="array" ref="C24">INDEX(B6:G15,MATCH(C20,A6:A15,1),IF(MATCH(C17,B5:G5,1)&lt;E19,MATCH(C17,B5:G5,1)+1,MATCH(C20,A6:A15,1)))</f>
        <v>3100</v>
      </c>
      <c r="E24" s="40"/>
      <c r="G24" s="1"/>
      <c r="H24" s="1"/>
      <c r="I24" s="1"/>
      <c r="J24" s="159"/>
      <c r="K24" s="160"/>
      <c r="M24" s="40"/>
      <c r="O24" s="159" t="s">
        <v>143</v>
      </c>
      <c r="P24" s="160" t="e">
        <f>INDEX(O6:S14,IF(MATCH(P19,N6:N14,1)&lt;R17,MATCH(P19,N6:N14,1)+1,MATCH(P19,N6:N14,1)),MATCH(P16,O5:S5,1))</f>
        <v>#N/A</v>
      </c>
      <c r="R24" s="40"/>
      <c r="T24" s="1"/>
      <c r="U24" s="1"/>
      <c r="V24" s="1"/>
      <c r="W24" s="159"/>
      <c r="X24" s="160"/>
      <c r="Z24" s="159"/>
      <c r="AB24" s="159" t="s">
        <v>184</v>
      </c>
      <c r="AC24" s="160">
        <f t="array" ref="AC24">INDEX(AB6:AG15,MATCH(AC20,AA6:AA15,1),IF(MATCH(AC17,AB5:AG5,1)&lt;AE19,MATCH(AC17,AB5:AG5,1)+1,MATCH(AC20,AA6:AA15,1)))</f>
        <v>3100</v>
      </c>
      <c r="AE24" s="40"/>
      <c r="AG24" s="1"/>
      <c r="AH24" s="1"/>
      <c r="AI24" s="1"/>
      <c r="AJ24" s="159"/>
      <c r="AK24" s="160"/>
      <c r="AM24" s="1"/>
      <c r="AN24" s="1"/>
      <c r="AO24" s="1"/>
      <c r="AP24" s="159"/>
      <c r="AQ24" s="160"/>
      <c r="AS24" s="40"/>
      <c r="AU24" s="1"/>
      <c r="AV24" s="1"/>
      <c r="AW24" s="1"/>
      <c r="AX24" s="159"/>
      <c r="AY24" s="160"/>
      <c r="BA24" s="40"/>
    </row>
    <row r="25" spans="1:53" ht="15" customHeight="1">
      <c r="B25" s="159" t="s">
        <v>143</v>
      </c>
      <c r="C25" s="160">
        <f t="array" ref="C25">INDEX(B6:G15,IF(MATCH(C20,A6:A15,1)&lt;E18,MATCH(C20,A6:A15,1)+1,MATCH(C20,A6:A15,1)),MATCH(C17,B5:G5,1))</f>
        <v>2950</v>
      </c>
      <c r="E25" s="40"/>
      <c r="G25" s="1"/>
      <c r="H25" s="1"/>
      <c r="I25" s="1"/>
      <c r="J25" s="159"/>
      <c r="K25" s="160"/>
      <c r="O25" s="159" t="s">
        <v>185</v>
      </c>
      <c r="P25" s="160" t="e">
        <f>INDEX(O6:S14,IF(MATCH(P19,N6:N14,1)&lt;R17,MATCH(P19,N6:N14,1)+1,MATCH(P19,N6:N14,1)),IF(MATCH(P16,O5:S5,1)&lt;R18,MATCH(P16,O5:S5,1)+1,MATCH(P16,O5:S5,1)))</f>
        <v>#N/A</v>
      </c>
      <c r="T25" s="1"/>
      <c r="U25" s="1"/>
      <c r="V25" s="1"/>
      <c r="W25" s="159"/>
      <c r="X25" s="160"/>
      <c r="Z25" s="159"/>
      <c r="AB25" s="159" t="s">
        <v>143</v>
      </c>
      <c r="AC25" s="160">
        <f t="array" ref="AC25">INDEX(AB6:AG15,IF(MATCH(AC20,AA6:AA15,1)&lt;AE18,MATCH(AC20,AA6:AA15,1)+1,MATCH(AC20,AA6:AA15,1)),MATCH(AC17,AB5:AG5,1))</f>
        <v>3000</v>
      </c>
      <c r="AE25" s="40"/>
      <c r="AG25" s="1"/>
      <c r="AH25" s="1"/>
      <c r="AI25" s="1"/>
      <c r="AJ25" s="159"/>
      <c r="AK25" s="160"/>
      <c r="AM25" s="1"/>
      <c r="AN25" s="1"/>
      <c r="AO25" s="1"/>
      <c r="AP25" s="159"/>
      <c r="AQ25" s="160"/>
      <c r="AU25" s="1"/>
      <c r="AV25" s="1"/>
      <c r="AW25" s="1"/>
      <c r="AX25" s="159"/>
      <c r="AY25" s="160"/>
    </row>
    <row r="26" spans="1:53" ht="15" customHeight="1">
      <c r="B26" s="159" t="s">
        <v>185</v>
      </c>
      <c r="C26" s="160">
        <f t="array" ref="C26">INDEX(B6:G15,IF(MATCH(C20,A6:A15,1)&lt;E18,MATCH(C20,A6:A15,1)+1,MATCH(C20,A6:A15,1)),IF(MATCH(C17,B5:G5,1)&lt;E19,MATCH(C17,B5:G5,1)+1,MATCH(C17,B5:G5,1)))</f>
        <v>3100</v>
      </c>
      <c r="G26" s="1"/>
      <c r="H26" s="1"/>
      <c r="I26" s="1"/>
      <c r="J26" s="159"/>
      <c r="K26" s="160"/>
      <c r="O26" s="18" t="s">
        <v>186</v>
      </c>
      <c r="P26" s="161" t="e">
        <f>IFERROR(P22+(P16-P17)*(P23-P22)/(P18-P17),P22)</f>
        <v>#N/A</v>
      </c>
      <c r="T26" s="1"/>
      <c r="U26" s="1"/>
      <c r="V26" s="1"/>
      <c r="W26" s="18"/>
      <c r="X26" s="161"/>
      <c r="Z26" s="159"/>
      <c r="AB26" s="159" t="s">
        <v>185</v>
      </c>
      <c r="AC26" s="160">
        <f t="array" ref="AC26">INDEX(AB6:AG15,IF(MATCH(AC20,AA6:AA15,1)&lt;AE18,MATCH(AC20,AA6:AA15,1)+1,MATCH(AC20,AA6:AA15,1)),IF(MATCH(AC17,AB5:AG5,1)&lt;AE19,MATCH(AC17,AB5:AG5,1)+1,MATCH(AC17,AB5:AG5,1)))</f>
        <v>3100</v>
      </c>
      <c r="AG26" s="1"/>
      <c r="AH26" s="1"/>
      <c r="AI26" s="1"/>
      <c r="AJ26" s="159"/>
      <c r="AK26" s="161"/>
      <c r="AM26" s="1"/>
      <c r="AN26" s="1"/>
      <c r="AO26" s="1"/>
      <c r="AP26" s="18"/>
      <c r="AQ26" s="161"/>
      <c r="AU26" s="1"/>
      <c r="AV26" s="1"/>
      <c r="AW26" s="1"/>
      <c r="AX26" s="18"/>
      <c r="AY26" s="161"/>
    </row>
    <row r="27" spans="1:53" ht="15" customHeight="1">
      <c r="B27" s="18" t="s">
        <v>186</v>
      </c>
      <c r="C27" s="161">
        <f>IFERROR(C23+(C17-C18)*(C24-C23)/(C19-C18),C23)</f>
        <v>2950</v>
      </c>
      <c r="G27" s="1"/>
      <c r="H27" s="1"/>
      <c r="I27" s="1"/>
      <c r="J27" s="18"/>
      <c r="K27" s="161"/>
      <c r="O27" s="18" t="s">
        <v>187</v>
      </c>
      <c r="P27" s="161" t="e">
        <f>IFERROR(P24+(P16-P17)*(P25-P24)/(P18-P17),P24)</f>
        <v>#N/A</v>
      </c>
      <c r="T27" s="1"/>
      <c r="U27" s="1"/>
      <c r="V27" s="1"/>
      <c r="W27" s="18"/>
      <c r="X27" s="161"/>
      <c r="Z27" s="18"/>
      <c r="AB27" s="18" t="s">
        <v>186</v>
      </c>
      <c r="AC27" s="161">
        <f>IFERROR(AC23+(AC17-AC18)*(AC24-AC23)/(AC19-AC18),AC23)</f>
        <v>3000</v>
      </c>
      <c r="AG27" s="1"/>
      <c r="AH27" s="1"/>
      <c r="AI27" s="1"/>
      <c r="AJ27" s="18"/>
      <c r="AK27" s="161"/>
      <c r="AM27" s="1"/>
      <c r="AN27" s="1"/>
      <c r="AO27" s="1"/>
      <c r="AP27" s="18"/>
      <c r="AQ27" s="161"/>
      <c r="AU27" s="1"/>
      <c r="AV27" s="1"/>
      <c r="AW27" s="1"/>
      <c r="AX27" s="18"/>
      <c r="AY27" s="161"/>
    </row>
    <row r="28" spans="1:53" ht="15" customHeight="1">
      <c r="B28" s="18" t="s">
        <v>187</v>
      </c>
      <c r="C28" s="161">
        <f>IFERROR(C25+(C17-C18)*(C26-C25)/(C19-C18),C25)</f>
        <v>2950</v>
      </c>
      <c r="G28" s="1"/>
      <c r="H28" s="1"/>
      <c r="I28" s="1"/>
      <c r="J28" s="18"/>
      <c r="K28" s="161"/>
      <c r="O28" s="159" t="s">
        <v>188</v>
      </c>
      <c r="P28" s="160" t="e">
        <f>IFERROR(P26+(P19-P20)*(P27-P26)/(P21-P20),P26)</f>
        <v>#N/A</v>
      </c>
      <c r="T28" s="1"/>
      <c r="U28" s="1"/>
      <c r="V28" s="1"/>
      <c r="W28" s="159"/>
      <c r="X28" s="160"/>
      <c r="Z28" s="18"/>
      <c r="AB28" s="18" t="s">
        <v>187</v>
      </c>
      <c r="AC28" s="161">
        <f>IFERROR(AC25+(AC17-AC18)*(AC26-AC25)/(AC19-AC18),AC25)</f>
        <v>3000</v>
      </c>
      <c r="AG28" s="1"/>
      <c r="AH28" s="1"/>
      <c r="AI28" s="1"/>
      <c r="AJ28" s="18"/>
      <c r="AK28" s="160"/>
      <c r="AM28" s="1"/>
      <c r="AN28" s="1"/>
      <c r="AO28" s="1"/>
      <c r="AP28" s="159"/>
      <c r="AQ28" s="160"/>
      <c r="AU28" s="1"/>
      <c r="AV28" s="1"/>
      <c r="AW28" s="1"/>
      <c r="AX28" s="159"/>
      <c r="AY28" s="160"/>
    </row>
    <row r="29" spans="1:53" ht="15" customHeight="1">
      <c r="B29" s="159" t="s">
        <v>188</v>
      </c>
      <c r="C29" s="160">
        <f>IFERROR(C27+(C20-C21)*(C28-C27)/(C22-C21),C27)</f>
        <v>2950</v>
      </c>
      <c r="G29" s="1"/>
      <c r="H29" s="1"/>
      <c r="I29" s="1"/>
      <c r="J29" s="159"/>
      <c r="K29" s="160"/>
      <c r="Z29" s="159"/>
      <c r="AB29" s="159" t="s">
        <v>188</v>
      </c>
      <c r="AC29" s="160">
        <f>IFERROR(AC27+(AC20-AC21)*(AC28-AC27)/(AC22-AC21),AC27)</f>
        <v>3000</v>
      </c>
      <c r="AG29" s="1"/>
      <c r="AH29" s="1"/>
      <c r="AI29" s="1"/>
      <c r="AJ29" s="159"/>
    </row>
    <row r="30" spans="1:53" ht="15" customHeight="1">
      <c r="L30" s="14"/>
      <c r="M30" s="14"/>
      <c r="O30" s="276" t="s">
        <v>189</v>
      </c>
      <c r="P30" s="276"/>
      <c r="Q30" s="276"/>
      <c r="R30" s="276"/>
      <c r="S30" s="276"/>
      <c r="T30" s="276"/>
      <c r="U30" s="14"/>
      <c r="V30" s="14"/>
      <c r="W30" s="14"/>
      <c r="X30" s="14"/>
      <c r="AK30" s="14"/>
      <c r="AL30" s="14"/>
    </row>
    <row r="31" spans="1:53" ht="15" customHeight="1">
      <c r="B31" s="276" t="s">
        <v>189</v>
      </c>
      <c r="C31" s="276"/>
      <c r="D31" s="276"/>
      <c r="E31" s="276"/>
      <c r="F31" s="276"/>
      <c r="G31" s="276"/>
      <c r="H31" s="14"/>
      <c r="I31" s="14"/>
      <c r="J31" s="14"/>
      <c r="K31" s="14"/>
      <c r="N31" t="s">
        <v>30</v>
      </c>
      <c r="O31" s="245">
        <v>3600</v>
      </c>
      <c r="P31" s="248">
        <v>4300</v>
      </c>
      <c r="Q31" s="247">
        <v>5000</v>
      </c>
      <c r="R31" s="247">
        <v>5700</v>
      </c>
      <c r="S31" s="227">
        <v>6000</v>
      </c>
      <c r="Y31" s="14"/>
      <c r="AB31" s="276" t="s">
        <v>189</v>
      </c>
      <c r="AC31" s="276"/>
      <c r="AD31" s="276"/>
      <c r="AE31" s="276"/>
      <c r="AF31" s="276"/>
      <c r="AG31" s="276"/>
      <c r="AH31" s="14"/>
      <c r="AI31" s="14"/>
      <c r="AJ31" s="14"/>
    </row>
    <row r="32" spans="1:53" ht="15" customHeight="1">
      <c r="A32" t="s">
        <v>30</v>
      </c>
      <c r="B32" s="245">
        <v>2950</v>
      </c>
      <c r="C32" s="248">
        <v>3430</v>
      </c>
      <c r="D32" s="247">
        <v>3900</v>
      </c>
      <c r="E32" s="247">
        <v>4300</v>
      </c>
      <c r="F32" s="247">
        <v>4750</v>
      </c>
      <c r="G32" s="227">
        <v>5000</v>
      </c>
      <c r="N32">
        <v>10000</v>
      </c>
      <c r="O32" s="225"/>
      <c r="P32" s="226"/>
      <c r="Q32" s="47"/>
      <c r="R32" s="47"/>
      <c r="S32" s="227">
        <v>99999</v>
      </c>
      <c r="AA32" t="s">
        <v>30</v>
      </c>
      <c r="AB32" s="245">
        <v>3000</v>
      </c>
      <c r="AC32" s="248">
        <v>3450</v>
      </c>
      <c r="AD32" s="247">
        <v>3900</v>
      </c>
      <c r="AE32" s="247">
        <v>4350</v>
      </c>
      <c r="AF32" s="227">
        <v>5000</v>
      </c>
    </row>
    <row r="33" spans="1:38" ht="15" customHeight="1">
      <c r="A33">
        <v>9000</v>
      </c>
      <c r="B33" s="225">
        <v>2580</v>
      </c>
      <c r="C33" s="226">
        <v>2950</v>
      </c>
      <c r="D33" s="47">
        <v>3300</v>
      </c>
      <c r="E33" s="47">
        <v>3600</v>
      </c>
      <c r="F33" s="47">
        <v>3950</v>
      </c>
      <c r="G33" s="227">
        <v>99999</v>
      </c>
      <c r="N33">
        <v>11000</v>
      </c>
      <c r="O33" s="240"/>
      <c r="P33" s="217"/>
      <c r="S33" s="2">
        <v>99999</v>
      </c>
      <c r="AA33">
        <v>9000</v>
      </c>
      <c r="AB33" s="225">
        <v>2650</v>
      </c>
      <c r="AC33" s="226">
        <v>3000</v>
      </c>
      <c r="AD33" s="47">
        <v>3350</v>
      </c>
      <c r="AE33" s="47">
        <v>3700</v>
      </c>
      <c r="AF33" s="227">
        <v>99999</v>
      </c>
    </row>
    <row r="34" spans="1:38" ht="15" customHeight="1">
      <c r="A34">
        <v>9500</v>
      </c>
      <c r="B34" s="240">
        <v>2600</v>
      </c>
      <c r="C34" s="217">
        <v>3000</v>
      </c>
      <c r="D34">
        <v>3350</v>
      </c>
      <c r="E34">
        <v>3700</v>
      </c>
      <c r="F34">
        <v>4100</v>
      </c>
      <c r="G34" s="2">
        <v>99999</v>
      </c>
      <c r="N34">
        <v>12000</v>
      </c>
      <c r="O34" s="240"/>
      <c r="P34" s="217"/>
      <c r="S34" s="2">
        <v>99999</v>
      </c>
      <c r="AA34">
        <v>9500</v>
      </c>
      <c r="AB34" s="240">
        <v>2700</v>
      </c>
      <c r="AC34" s="217">
        <v>3050</v>
      </c>
      <c r="AD34">
        <v>3400</v>
      </c>
      <c r="AE34">
        <v>3770</v>
      </c>
      <c r="AF34" s="2">
        <v>99999</v>
      </c>
    </row>
    <row r="35" spans="1:38" ht="15" customHeight="1">
      <c r="A35">
        <v>10000</v>
      </c>
      <c r="B35" s="240">
        <v>2670</v>
      </c>
      <c r="C35" s="217">
        <v>3100</v>
      </c>
      <c r="D35">
        <v>3450</v>
      </c>
      <c r="E35">
        <v>3800</v>
      </c>
      <c r="F35">
        <v>4200</v>
      </c>
      <c r="G35" s="2">
        <v>99999</v>
      </c>
      <c r="N35">
        <v>13000</v>
      </c>
      <c r="O35" s="240"/>
      <c r="P35" s="217"/>
      <c r="S35" s="2">
        <v>99999</v>
      </c>
      <c r="AA35">
        <v>10000</v>
      </c>
      <c r="AB35" s="240">
        <v>2710</v>
      </c>
      <c r="AC35" s="217">
        <v>3100</v>
      </c>
      <c r="AD35">
        <v>3500</v>
      </c>
      <c r="AE35">
        <v>3850</v>
      </c>
      <c r="AF35" s="2">
        <v>99999</v>
      </c>
    </row>
    <row r="36" spans="1:38" ht="15" customHeight="1">
      <c r="A36">
        <v>10500</v>
      </c>
      <c r="B36" s="240">
        <v>2700</v>
      </c>
      <c r="C36" s="217">
        <v>3130</v>
      </c>
      <c r="D36">
        <v>3500</v>
      </c>
      <c r="E36">
        <v>3900</v>
      </c>
      <c r="F36">
        <v>4300</v>
      </c>
      <c r="G36" s="2">
        <v>99999</v>
      </c>
      <c r="N36">
        <v>14000</v>
      </c>
      <c r="O36" s="240"/>
      <c r="P36" s="217"/>
      <c r="S36" s="2">
        <v>99999</v>
      </c>
      <c r="AA36">
        <v>10500</v>
      </c>
      <c r="AB36" s="240">
        <v>2770</v>
      </c>
      <c r="AC36" s="217">
        <v>3180</v>
      </c>
      <c r="AD36">
        <v>3550</v>
      </c>
      <c r="AE36">
        <v>3950</v>
      </c>
      <c r="AF36" s="2">
        <v>99999</v>
      </c>
    </row>
    <row r="37" spans="1:38" ht="15" customHeight="1">
      <c r="A37">
        <v>11000</v>
      </c>
      <c r="B37" s="240">
        <v>2750</v>
      </c>
      <c r="C37" s="217">
        <v>3200</v>
      </c>
      <c r="D37">
        <v>3600</v>
      </c>
      <c r="E37">
        <v>4000</v>
      </c>
      <c r="F37">
        <v>4400</v>
      </c>
      <c r="G37" s="2">
        <v>99999</v>
      </c>
      <c r="N37">
        <v>15000</v>
      </c>
      <c r="O37" s="240"/>
      <c r="P37" s="217"/>
      <c r="S37" s="2">
        <v>99999</v>
      </c>
      <c r="AA37">
        <v>11000</v>
      </c>
      <c r="AB37" s="240">
        <v>2800</v>
      </c>
      <c r="AC37" s="217">
        <v>3220</v>
      </c>
      <c r="AD37">
        <v>3650</v>
      </c>
      <c r="AE37">
        <v>4000</v>
      </c>
      <c r="AF37" s="2">
        <v>99999</v>
      </c>
    </row>
    <row r="38" spans="1:38" ht="15" customHeight="1">
      <c r="A38">
        <v>11500</v>
      </c>
      <c r="B38" s="240">
        <v>2800</v>
      </c>
      <c r="C38" s="217">
        <v>3250</v>
      </c>
      <c r="D38">
        <v>3700</v>
      </c>
      <c r="E38">
        <v>4100</v>
      </c>
      <c r="F38">
        <v>4500</v>
      </c>
      <c r="G38" s="2">
        <v>99999</v>
      </c>
      <c r="N38">
        <v>16000</v>
      </c>
      <c r="O38" s="240"/>
      <c r="P38" s="217"/>
      <c r="S38" s="2">
        <v>99999</v>
      </c>
      <c r="AA38">
        <v>11500</v>
      </c>
      <c r="AB38" s="240">
        <v>2900</v>
      </c>
      <c r="AC38" s="217">
        <v>3300</v>
      </c>
      <c r="AD38">
        <v>3700</v>
      </c>
      <c r="AE38">
        <v>4100</v>
      </c>
      <c r="AF38" s="2">
        <v>99999</v>
      </c>
    </row>
    <row r="39" spans="1:38" ht="15" customHeight="1">
      <c r="A39">
        <v>12000</v>
      </c>
      <c r="B39" s="240">
        <v>2900</v>
      </c>
      <c r="C39" s="217">
        <v>3350</v>
      </c>
      <c r="D39">
        <v>3800</v>
      </c>
      <c r="E39">
        <v>4200</v>
      </c>
      <c r="F39">
        <v>4650</v>
      </c>
      <c r="G39" s="2">
        <v>99999</v>
      </c>
      <c r="N39">
        <v>16600</v>
      </c>
      <c r="O39" s="235"/>
      <c r="P39" s="236"/>
      <c r="Q39" s="249"/>
      <c r="R39" s="249"/>
      <c r="S39" s="2">
        <v>99999</v>
      </c>
      <c r="AA39">
        <v>12000</v>
      </c>
      <c r="AB39" s="240">
        <v>2950</v>
      </c>
      <c r="AC39" s="217">
        <v>3350</v>
      </c>
      <c r="AD39">
        <v>3800</v>
      </c>
      <c r="AE39">
        <v>4250</v>
      </c>
      <c r="AF39" s="2">
        <v>99999</v>
      </c>
    </row>
    <row r="40" spans="1:38" ht="15" customHeight="1">
      <c r="A40">
        <v>12500</v>
      </c>
      <c r="B40" s="235">
        <v>2950</v>
      </c>
      <c r="C40" s="236">
        <v>3430</v>
      </c>
      <c r="D40" s="249">
        <v>3900</v>
      </c>
      <c r="E40" s="249">
        <v>4300</v>
      </c>
      <c r="F40" s="249">
        <v>4750</v>
      </c>
      <c r="G40" s="2">
        <v>99999</v>
      </c>
      <c r="L40" s="217"/>
      <c r="M40" s="11"/>
      <c r="N40">
        <v>16700</v>
      </c>
      <c r="O40" s="235">
        <v>99999</v>
      </c>
      <c r="P40" s="236">
        <v>99999</v>
      </c>
      <c r="Q40" s="236">
        <v>99999</v>
      </c>
      <c r="R40" s="236">
        <v>99999</v>
      </c>
      <c r="S40" s="250">
        <v>99999</v>
      </c>
      <c r="T40" s="217"/>
      <c r="U40" s="217"/>
      <c r="V40" s="217"/>
      <c r="W40" s="217"/>
      <c r="X40" s="217"/>
      <c r="AA40">
        <v>12500</v>
      </c>
      <c r="AB40" s="235">
        <v>3000</v>
      </c>
      <c r="AC40" s="236">
        <v>3450</v>
      </c>
      <c r="AD40" s="249">
        <v>3900</v>
      </c>
      <c r="AE40" s="249">
        <v>4350</v>
      </c>
      <c r="AF40" s="2">
        <v>99999</v>
      </c>
      <c r="AK40" s="217"/>
    </row>
    <row r="41" spans="1:38" ht="15" customHeight="1">
      <c r="A41">
        <v>12600</v>
      </c>
      <c r="B41" s="235">
        <v>99999</v>
      </c>
      <c r="C41" s="236">
        <v>99999</v>
      </c>
      <c r="D41" s="236">
        <v>99999</v>
      </c>
      <c r="E41" s="236">
        <v>99999</v>
      </c>
      <c r="F41" s="236">
        <v>99999</v>
      </c>
      <c r="G41" s="250">
        <v>99999</v>
      </c>
      <c r="H41" s="217"/>
      <c r="I41" s="217"/>
      <c r="J41" s="217"/>
      <c r="K41" s="217"/>
      <c r="O41" s="159"/>
      <c r="P41" s="160"/>
      <c r="T41" s="1"/>
      <c r="U41" s="1"/>
      <c r="V41" s="1"/>
      <c r="W41" s="159"/>
      <c r="X41" s="160"/>
      <c r="AA41">
        <v>12600</v>
      </c>
      <c r="AB41" s="235">
        <v>99999</v>
      </c>
      <c r="AC41" s="236">
        <v>99999</v>
      </c>
      <c r="AD41" s="236">
        <v>99999</v>
      </c>
      <c r="AE41" s="236">
        <v>99999</v>
      </c>
      <c r="AF41" s="250">
        <v>99999</v>
      </c>
      <c r="AG41" s="217"/>
      <c r="AH41" s="217"/>
      <c r="AI41" s="217"/>
      <c r="AJ41" s="217"/>
      <c r="AK41" s="160"/>
    </row>
    <row r="42" spans="1:38" ht="15" customHeight="1">
      <c r="B42" s="159"/>
      <c r="C42" s="160"/>
      <c r="G42" s="1"/>
      <c r="H42" s="1"/>
      <c r="I42" s="1"/>
      <c r="J42" s="159"/>
      <c r="K42" s="160"/>
      <c r="L42" s="14"/>
      <c r="O42" s="159" t="s">
        <v>138</v>
      </c>
      <c r="P42" s="160" t="e">
        <f>P28</f>
        <v>#N/A</v>
      </c>
      <c r="Q42" s="276" t="s">
        <v>181</v>
      </c>
      <c r="R42" s="276"/>
      <c r="T42" s="1"/>
      <c r="U42" s="1"/>
      <c r="V42" s="1"/>
      <c r="W42" s="159"/>
      <c r="X42" s="160"/>
      <c r="AB42" s="159"/>
      <c r="AC42" s="160"/>
      <c r="AG42" s="1"/>
      <c r="AH42" s="1"/>
      <c r="AI42" s="1"/>
      <c r="AJ42" s="159"/>
      <c r="AK42" s="160"/>
      <c r="AL42" s="14"/>
    </row>
    <row r="43" spans="1:38" ht="15" customHeight="1">
      <c r="B43" s="159" t="s">
        <v>138</v>
      </c>
      <c r="C43" s="160">
        <f>C29</f>
        <v>2950</v>
      </c>
      <c r="D43" s="276" t="s">
        <v>181</v>
      </c>
      <c r="E43" s="276"/>
      <c r="G43" s="1"/>
      <c r="H43" s="1"/>
      <c r="I43" s="1"/>
      <c r="J43" s="159"/>
      <c r="K43" s="160"/>
      <c r="L43" s="18"/>
      <c r="M43" s="49"/>
      <c r="O43" s="18" t="s">
        <v>182</v>
      </c>
      <c r="P43" s="161" t="e">
        <f>INDEX(O31:S31,MATCH(P42,O31:S31,1))</f>
        <v>#N/A</v>
      </c>
      <c r="Q43" s="18" t="s">
        <v>136</v>
      </c>
      <c r="R43" s="49">
        <f>MATCH(MAX(N32:N40),N32:N40,1)</f>
        <v>9</v>
      </c>
      <c r="T43" s="1"/>
      <c r="U43" s="1"/>
      <c r="V43" s="1"/>
      <c r="W43" s="18"/>
      <c r="X43" s="161"/>
      <c r="Y43" s="14"/>
      <c r="AB43" s="159" t="s">
        <v>138</v>
      </c>
      <c r="AC43" s="160">
        <f>AC29</f>
        <v>3000</v>
      </c>
      <c r="AD43" s="276" t="s">
        <v>181</v>
      </c>
      <c r="AE43" s="276"/>
      <c r="AG43" s="1"/>
      <c r="AH43" s="1"/>
      <c r="AI43" s="1"/>
      <c r="AJ43" s="159"/>
      <c r="AK43" s="161"/>
      <c r="AL43" s="18"/>
    </row>
    <row r="44" spans="1:38" ht="15" customHeight="1">
      <c r="B44" s="18" t="s">
        <v>182</v>
      </c>
      <c r="C44" s="161">
        <f>INDEX(B32:G32,MATCH(C43,B32:G32,1))</f>
        <v>2950</v>
      </c>
      <c r="D44" s="18" t="s">
        <v>136</v>
      </c>
      <c r="E44" s="49">
        <f>MATCH(MAX(A33:A41),A33:A41,1)</f>
        <v>9</v>
      </c>
      <c r="G44" s="1"/>
      <c r="H44" s="1"/>
      <c r="I44" s="1"/>
      <c r="J44" s="18"/>
      <c r="K44" s="161"/>
      <c r="L44" s="18"/>
      <c r="M44" s="49"/>
      <c r="O44" s="18" t="s">
        <v>183</v>
      </c>
      <c r="P44" s="161" t="e">
        <f t="array" ref="P44">INDEX(O31:S31,IF(MATCH(P42,O31:S31,1)&lt;R44,MATCH(P42,O31:S31,1)+1,MATCH(P42,O31:S31,1)))</f>
        <v>#N/A</v>
      </c>
      <c r="Q44" s="18" t="s">
        <v>137</v>
      </c>
      <c r="R44" s="49">
        <f>MATCH(MAX(O31:S31),O31:S31,0)</f>
        <v>5</v>
      </c>
      <c r="T44" s="1"/>
      <c r="U44" s="1"/>
      <c r="V44" s="1"/>
      <c r="W44" s="18"/>
      <c r="X44" s="161"/>
      <c r="Y44" s="18"/>
      <c r="AB44" s="18" t="s">
        <v>182</v>
      </c>
      <c r="AC44" s="161">
        <f>INDEX(AB32:AF32,MATCH(AC43,AB32:AF32,1))</f>
        <v>3000</v>
      </c>
      <c r="AD44" s="18" t="s">
        <v>136</v>
      </c>
      <c r="AE44" s="49">
        <f>MATCH(MAX(AA33:AA41),AA33:AA41,1)</f>
        <v>9</v>
      </c>
      <c r="AG44" s="1"/>
      <c r="AH44" s="1"/>
      <c r="AI44" s="1"/>
      <c r="AJ44" s="18"/>
      <c r="AK44" s="161"/>
      <c r="AL44" s="18"/>
    </row>
    <row r="45" spans="1:38" ht="15" customHeight="1">
      <c r="B45" s="18" t="s">
        <v>183</v>
      </c>
      <c r="C45" s="161">
        <f t="array" ref="C45">INDEX(B32:G32,IF(MATCH(C43,B32:G32,1)&lt;E45,MATCH(C43,B32:G32,1)+1,MATCH(C43,B32:G32,1)))</f>
        <v>3430</v>
      </c>
      <c r="D45" s="18" t="s">
        <v>137</v>
      </c>
      <c r="E45" s="49">
        <f>MATCH(MAX(B32:G32),B32:G32,0)</f>
        <v>6</v>
      </c>
      <c r="G45" s="1"/>
      <c r="H45" s="1"/>
      <c r="I45" s="1"/>
      <c r="J45" s="18"/>
      <c r="K45" s="161"/>
      <c r="L45" s="1"/>
      <c r="M45" s="1"/>
      <c r="O45" s="159" t="s">
        <v>139</v>
      </c>
      <c r="P45" s="205">
        <f>'Take-off'!$C$14</f>
        <v>12500</v>
      </c>
      <c r="Q45" s="1"/>
      <c r="R45" s="1"/>
      <c r="T45" s="1"/>
      <c r="U45" s="1"/>
      <c r="V45" s="1"/>
      <c r="W45" s="159"/>
      <c r="X45" s="205"/>
      <c r="Y45" s="18"/>
      <c r="AB45" s="18" t="s">
        <v>183</v>
      </c>
      <c r="AC45" s="161">
        <f t="array" ref="AC45">INDEX(AB32:AF32,IF(MATCH(AC43,AB32:AF32,1)&lt;AE45,MATCH(AC43,AB32:AF32,1)+1,MATCH(AC43,AB32:AF32,1)))</f>
        <v>3450</v>
      </c>
      <c r="AD45" s="18" t="s">
        <v>137</v>
      </c>
      <c r="AE45" s="49">
        <f>MATCH(MAX(AB32:AF32),AB32:AF32,0)</f>
        <v>5</v>
      </c>
      <c r="AG45" s="1"/>
      <c r="AH45" s="1"/>
      <c r="AI45" s="1"/>
      <c r="AJ45" s="18"/>
      <c r="AK45" s="205"/>
      <c r="AL45" s="1"/>
    </row>
    <row r="46" spans="1:38" ht="15" customHeight="1">
      <c r="B46" s="159" t="s">
        <v>139</v>
      </c>
      <c r="C46" s="205">
        <f>'Take-off'!$C$14</f>
        <v>12500</v>
      </c>
      <c r="D46" s="1"/>
      <c r="E46" s="1"/>
      <c r="G46" s="1"/>
      <c r="H46" s="1"/>
      <c r="I46" s="1"/>
      <c r="J46" s="159"/>
      <c r="K46" s="205"/>
      <c r="L46" s="1"/>
      <c r="M46" s="40"/>
      <c r="O46" s="18" t="s">
        <v>140</v>
      </c>
      <c r="P46" s="161">
        <f>INDEX(N32:N40,MATCH(P45,N32:N40,1))</f>
        <v>12000</v>
      </c>
      <c r="Q46" s="1"/>
      <c r="R46" s="40"/>
      <c r="T46" s="1"/>
      <c r="U46" s="1"/>
      <c r="V46" s="1"/>
      <c r="W46" s="18"/>
      <c r="X46" s="161"/>
      <c r="Y46" s="1"/>
      <c r="AB46" s="159" t="s">
        <v>139</v>
      </c>
      <c r="AC46" s="205">
        <f>'Take-off'!$C$14</f>
        <v>12500</v>
      </c>
      <c r="AD46" s="1"/>
      <c r="AE46" s="1"/>
      <c r="AG46" s="1"/>
      <c r="AH46" s="1"/>
      <c r="AI46" s="1"/>
      <c r="AJ46" s="159"/>
      <c r="AK46" s="161"/>
      <c r="AL46" s="1"/>
    </row>
    <row r="47" spans="1:38" ht="15" customHeight="1">
      <c r="B47" s="18" t="s">
        <v>140</v>
      </c>
      <c r="C47" s="161">
        <f>INDEX(A33:A41,MATCH(C46,A33:A41,1))</f>
        <v>12500</v>
      </c>
      <c r="D47" s="1"/>
      <c r="E47" s="40"/>
      <c r="G47" s="1"/>
      <c r="H47" s="1"/>
      <c r="I47" s="1"/>
      <c r="J47" s="18"/>
      <c r="K47" s="161"/>
      <c r="L47" s="1"/>
      <c r="M47" s="40"/>
      <c r="O47" s="18" t="s">
        <v>141</v>
      </c>
      <c r="P47" s="161">
        <f t="array" ref="P47">INDEX(N32:N40,IF(MATCH(P45,N32:N40,1)&lt;R43,MATCH(P45,N32:N40,1)+1,MATCH(P45,N32:N40,1)))</f>
        <v>13000</v>
      </c>
      <c r="Q47" s="1"/>
      <c r="R47" s="40"/>
      <c r="T47" s="1"/>
      <c r="U47" s="1"/>
      <c r="V47" s="1"/>
      <c r="W47" s="18"/>
      <c r="X47" s="161"/>
      <c r="Y47" s="1"/>
      <c r="AB47" s="18" t="s">
        <v>140</v>
      </c>
      <c r="AC47" s="161">
        <f>INDEX(AA33:AA41,MATCH(AC46,AA33:AA41,1))</f>
        <v>12500</v>
      </c>
      <c r="AD47" s="1"/>
      <c r="AE47" s="40"/>
      <c r="AG47" s="1"/>
      <c r="AH47" s="1"/>
      <c r="AI47" s="1"/>
      <c r="AJ47" s="18"/>
      <c r="AK47" s="161"/>
      <c r="AL47" s="1"/>
    </row>
    <row r="48" spans="1:38" ht="15" customHeight="1">
      <c r="B48" s="18" t="s">
        <v>141</v>
      </c>
      <c r="C48" s="161">
        <f t="array" ref="C48">INDEX(A33:A41,IF(MATCH(C46,A33:A41,1)&lt;E44,MATCH(C46,A33:A41,1)+1,MATCH(C46,A33:A41,1)))</f>
        <v>12600</v>
      </c>
      <c r="D48" s="1"/>
      <c r="E48" s="40"/>
      <c r="G48" s="1"/>
      <c r="H48" s="1"/>
      <c r="I48" s="1"/>
      <c r="J48" s="18"/>
      <c r="K48" s="161"/>
      <c r="L48" s="1"/>
      <c r="M48" s="40"/>
      <c r="O48" s="159" t="s">
        <v>142</v>
      </c>
      <c r="P48" s="160" t="e">
        <f>INDEX(O32:S40,MATCH(P45,N32:N40,1),MATCH(P42,O31:S31,1))</f>
        <v>#N/A</v>
      </c>
      <c r="Q48" s="1"/>
      <c r="R48" s="40"/>
      <c r="T48" s="1"/>
      <c r="U48" s="1"/>
      <c r="V48" s="1"/>
      <c r="W48" s="159"/>
      <c r="X48" s="160"/>
      <c r="Y48" s="1"/>
      <c r="AB48" s="18" t="s">
        <v>141</v>
      </c>
      <c r="AC48" s="161">
        <f t="array" ref="AC48">INDEX(AA33:AA41,IF(MATCH(AC46,AA33:AA41,1)&lt;AE44,MATCH(AC46,AA33:AA41,1)+1,MATCH(AC46,AA33:AA41,1)))</f>
        <v>12600</v>
      </c>
      <c r="AD48" s="1"/>
      <c r="AE48" s="40"/>
      <c r="AG48" s="1"/>
      <c r="AH48" s="1"/>
      <c r="AI48" s="1"/>
      <c r="AJ48" s="18"/>
      <c r="AK48" s="160"/>
      <c r="AL48" s="1"/>
    </row>
    <row r="49" spans="1:38" ht="15" customHeight="1">
      <c r="B49" s="159" t="s">
        <v>142</v>
      </c>
      <c r="C49" s="160">
        <f>INDEX(B33:G41,MATCH(C46,A33:A41,1),MATCH(C43,B32:G32,1))</f>
        <v>2950</v>
      </c>
      <c r="D49" s="1"/>
      <c r="E49" s="40"/>
      <c r="G49" s="1"/>
      <c r="H49" s="1"/>
      <c r="I49" s="1"/>
      <c r="J49" s="159"/>
      <c r="K49" s="160"/>
      <c r="M49" s="40"/>
      <c r="O49" s="159" t="s">
        <v>184</v>
      </c>
      <c r="P49" s="160" t="e">
        <f t="array" ref="P49">INDEX(O32:S40,MATCH(P45,N32:N40,1),IF(MATCH(P42,O31:S31,1)&lt;R44,MATCH(P42,O31:S31,1)+1,MATCH(P45,N32:N40,1)))</f>
        <v>#N/A</v>
      </c>
      <c r="R49" s="40"/>
      <c r="T49" s="1"/>
      <c r="U49" s="1"/>
      <c r="V49" s="1"/>
      <c r="W49" s="159"/>
      <c r="X49" s="160"/>
      <c r="Y49" s="1"/>
      <c r="AB49" s="159" t="s">
        <v>142</v>
      </c>
      <c r="AC49" s="160">
        <f>INDEX(AB33:AF41,MATCH(AC46,AA33:AA41,1),MATCH(AC43,AB32:AF32,1))</f>
        <v>3000</v>
      </c>
      <c r="AD49" s="1"/>
      <c r="AE49" s="40"/>
      <c r="AG49" s="1"/>
      <c r="AH49" s="1"/>
      <c r="AI49" s="1"/>
      <c r="AJ49" s="159"/>
      <c r="AK49" s="160"/>
    </row>
    <row r="50" spans="1:38" ht="15" customHeight="1">
      <c r="B50" s="159" t="s">
        <v>184</v>
      </c>
      <c r="C50" s="160">
        <f t="array" ref="C50">INDEX(B33:G41,MATCH(C46,A33:A41,1),IF(MATCH(C43,B32:G32,1)&lt;E45,MATCH(C43,B32:G32,1)+1,MATCH(C46,A33:A41,1)))</f>
        <v>3430</v>
      </c>
      <c r="E50" s="40"/>
      <c r="G50" s="1"/>
      <c r="H50" s="1"/>
      <c r="I50" s="1"/>
      <c r="J50" s="159"/>
      <c r="K50" s="160"/>
      <c r="M50" s="40"/>
      <c r="O50" s="159" t="s">
        <v>143</v>
      </c>
      <c r="P50" s="160" t="e">
        <f t="array" ref="P50">INDEX(O32:S40,IF(MATCH(P45,N32:N40,1)&lt;R43,MATCH(P45,N32:N40,1)+1,MATCH(P45,N32:N40,1)),MATCH(P42,O31:S31,1))</f>
        <v>#N/A</v>
      </c>
      <c r="R50" s="40"/>
      <c r="T50" s="1"/>
      <c r="U50" s="1"/>
      <c r="V50" s="1"/>
      <c r="W50" s="159"/>
      <c r="X50" s="160"/>
      <c r="AB50" s="159" t="s">
        <v>184</v>
      </c>
      <c r="AC50" s="160">
        <f t="array" ref="AC50">INDEX(AB33:AF41,MATCH(AC46,AA33:AA41,1),IF(MATCH(AC43,AB32:AF32,1)&lt;AE45,MATCH(AC43,AB32:AF32,1)+1,MATCH(AC46,AA33:AA41,1)))</f>
        <v>3450</v>
      </c>
      <c r="AE50" s="40"/>
      <c r="AG50" s="1"/>
      <c r="AH50" s="1"/>
      <c r="AI50" s="1"/>
      <c r="AJ50" s="159"/>
      <c r="AK50" s="160"/>
    </row>
    <row r="51" spans="1:38" ht="15" customHeight="1">
      <c r="B51" s="159" t="s">
        <v>143</v>
      </c>
      <c r="C51" s="160">
        <f t="array" ref="C51">INDEX(B33:G41,IF(MATCH(C46,A33:A41,1)&lt;E44,MATCH(C46,A33:A41,1)+1,MATCH(C46,A33:A41,1)),MATCH(C43,B32:G32,1))</f>
        <v>99999</v>
      </c>
      <c r="E51" s="40"/>
      <c r="G51" s="1"/>
      <c r="H51" s="1"/>
      <c r="I51" s="1"/>
      <c r="J51" s="159"/>
      <c r="K51" s="160"/>
      <c r="O51" s="159" t="s">
        <v>185</v>
      </c>
      <c r="P51" s="160" t="e">
        <f t="array" ref="P51">INDEX(O32:S40,IF(MATCH(P45,N32:N40,1)&lt;R43,MATCH(P45,N32:N40,1)+1,MATCH(P45,N32:N40,1)),IF(MATCH(P42,O31:S31,1)&lt;R44,MATCH(P42,O31:S31,1)+1,MATCH(P42,O31:S31,1)))</f>
        <v>#N/A</v>
      </c>
      <c r="T51" s="1"/>
      <c r="U51" s="1"/>
      <c r="V51" s="1"/>
      <c r="W51" s="159"/>
      <c r="X51" s="160"/>
      <c r="AB51" s="159" t="s">
        <v>143</v>
      </c>
      <c r="AC51" s="160">
        <f t="array" ref="AC51">INDEX(AB33:AF41,IF(MATCH(AC46,AA33:AA41,1)&lt;AE44,MATCH(AC46,AA33:AA41,1)+1,MATCH(AC46,AA33:AA41,1)),MATCH(AC43,AB32:AF32,1))</f>
        <v>99999</v>
      </c>
      <c r="AE51" s="40"/>
      <c r="AG51" s="1"/>
      <c r="AH51" s="1"/>
      <c r="AI51" s="1"/>
      <c r="AJ51" s="159"/>
      <c r="AK51" s="160"/>
    </row>
    <row r="52" spans="1:38" ht="15" customHeight="1">
      <c r="B52" s="159" t="s">
        <v>185</v>
      </c>
      <c r="C52" s="160">
        <f t="array" ref="C52">INDEX(B33:G41,IF(MATCH(C46,A33:A41,1)&lt;E44,MATCH(C46,A33:A41,1)+1,MATCH(C46,A33:A41,1)),IF(MATCH(C43,B32:G32,1)&lt;E45,MATCH(C43,B32:G32,1)+1,MATCH(C43,B32:G32,1)))</f>
        <v>99999</v>
      </c>
      <c r="G52" s="1"/>
      <c r="H52" s="1"/>
      <c r="I52" s="1"/>
      <c r="J52" s="159"/>
      <c r="K52" s="160"/>
      <c r="O52" s="18" t="s">
        <v>186</v>
      </c>
      <c r="P52" s="161" t="e">
        <f>IFERROR(P48+(P42-P43)*(P49-P48)/(P44-P43),P48)</f>
        <v>#N/A</v>
      </c>
      <c r="T52" s="1"/>
      <c r="U52" s="1"/>
      <c r="V52" s="1"/>
      <c r="W52" s="18"/>
      <c r="X52" s="161"/>
      <c r="AB52" s="159" t="s">
        <v>185</v>
      </c>
      <c r="AC52" s="160">
        <f t="array" ref="AC52">INDEX(AB33:AF41,IF(MATCH(AC46,AA33:AA41,1)&lt;AE44,MATCH(AC46,AA33:AA41,1)+1,MATCH(AC46,AA33:AA41,1)),IF(MATCH(AC43,AB32:AF32,1)&lt;AE45,MATCH(AC43,AB32:AF32,1)+1,MATCH(AC43,AB32:AF32,1)))</f>
        <v>99999</v>
      </c>
      <c r="AG52" s="1"/>
      <c r="AH52" s="1"/>
      <c r="AI52" s="1"/>
      <c r="AJ52" s="159"/>
      <c r="AK52" s="161"/>
    </row>
    <row r="53" spans="1:38" ht="15" customHeight="1">
      <c r="B53" s="18" t="s">
        <v>186</v>
      </c>
      <c r="C53" s="161">
        <f>IFERROR(C49+(C43-C44)*(C50-C49)/(C45-C44),C49)</f>
        <v>2950</v>
      </c>
      <c r="G53" s="1"/>
      <c r="H53" s="1"/>
      <c r="I53" s="1"/>
      <c r="J53" s="18"/>
      <c r="K53" s="161"/>
      <c r="O53" s="18" t="s">
        <v>187</v>
      </c>
      <c r="P53" s="161" t="e">
        <f>IFERROR(P50+(P42-P43)*(P51-P50)/(P44-P43),P50)</f>
        <v>#N/A</v>
      </c>
      <c r="T53" s="1"/>
      <c r="U53" s="1"/>
      <c r="V53" s="1"/>
      <c r="W53" s="18"/>
      <c r="X53" s="161"/>
      <c r="AB53" s="18" t="s">
        <v>186</v>
      </c>
      <c r="AC53" s="161">
        <f>IFERROR(AC49+(AC43-AC44)*(AC50-AC49)/(AC45-AC44),AC49)</f>
        <v>3000</v>
      </c>
      <c r="AG53" s="1"/>
      <c r="AH53" s="1"/>
      <c r="AI53" s="1"/>
      <c r="AJ53" s="18"/>
      <c r="AK53" s="161"/>
    </row>
    <row r="54" spans="1:38" ht="15" customHeight="1">
      <c r="B54" s="18" t="s">
        <v>187</v>
      </c>
      <c r="C54" s="161">
        <f>IFERROR(C51+(C43-C44)*(C52-C51)/(C45-C44),C51)</f>
        <v>99999</v>
      </c>
      <c r="G54" s="1"/>
      <c r="H54" s="1"/>
      <c r="I54" s="1"/>
      <c r="J54" s="18"/>
      <c r="K54" s="161"/>
      <c r="O54" s="159" t="s">
        <v>188</v>
      </c>
      <c r="P54" s="160" t="e">
        <f>IFERROR(P52+(P45-P46)*(P53-P52)/(P47-P46),P52)</f>
        <v>#N/A</v>
      </c>
      <c r="T54" s="1"/>
      <c r="U54" s="1"/>
      <c r="V54" s="1"/>
      <c r="W54" s="159"/>
      <c r="X54" s="160"/>
      <c r="AB54" s="18" t="s">
        <v>187</v>
      </c>
      <c r="AC54" s="161">
        <f>IFERROR(AC51+(AC43-AC44)*(AC52-AC51)/(AC45-AC44),AC51)</f>
        <v>99999</v>
      </c>
      <c r="AG54" s="1"/>
      <c r="AH54" s="1"/>
      <c r="AI54" s="1"/>
      <c r="AJ54" s="18"/>
      <c r="AK54" s="160"/>
    </row>
    <row r="55" spans="1:38" ht="15" customHeight="1">
      <c r="B55" s="159" t="s">
        <v>188</v>
      </c>
      <c r="C55" s="160">
        <f>IFERROR(C53+(C46-C47)*(C54-C53)/(C48-C47),C53)</f>
        <v>2950</v>
      </c>
      <c r="G55" s="1"/>
      <c r="H55" s="1"/>
      <c r="I55" s="1"/>
      <c r="J55" s="159"/>
      <c r="K55" s="160"/>
      <c r="AB55" s="159" t="s">
        <v>188</v>
      </c>
      <c r="AC55" s="160">
        <f>IFERROR(AC53+(AC46-AC47)*(AC54-AC53)/(AC48-AC47),AC53)</f>
        <v>3000</v>
      </c>
      <c r="AG55" s="1"/>
      <c r="AH55" s="1"/>
      <c r="AI55" s="1"/>
      <c r="AJ55" s="159"/>
    </row>
    <row r="56" spans="1:38" ht="15" customHeight="1">
      <c r="L56" s="14"/>
      <c r="M56" s="14"/>
      <c r="O56" s="276" t="s">
        <v>190</v>
      </c>
      <c r="P56" s="276"/>
      <c r="Q56" s="276"/>
      <c r="R56" s="276"/>
      <c r="S56" s="276"/>
      <c r="T56" s="276"/>
      <c r="U56" s="276"/>
      <c r="V56" s="276"/>
      <c r="W56" s="14"/>
      <c r="X56" s="14"/>
      <c r="AK56" s="14"/>
      <c r="AL56" s="14"/>
    </row>
    <row r="57" spans="1:38" ht="15" customHeight="1">
      <c r="B57" s="276" t="s">
        <v>190</v>
      </c>
      <c r="C57" s="276"/>
      <c r="D57" s="276"/>
      <c r="E57" s="276"/>
      <c r="F57" s="276"/>
      <c r="G57" s="276"/>
      <c r="H57" s="276"/>
      <c r="I57" s="276"/>
      <c r="J57" s="14"/>
      <c r="K57" s="14"/>
      <c r="N57" t="s">
        <v>42</v>
      </c>
      <c r="O57" s="225">
        <v>2400</v>
      </c>
      <c r="P57" s="237">
        <v>2800</v>
      </c>
      <c r="Q57" s="237">
        <v>3500</v>
      </c>
      <c r="R57" s="237">
        <v>4350</v>
      </c>
      <c r="S57" s="237">
        <v>5100</v>
      </c>
      <c r="T57" s="237">
        <v>5900</v>
      </c>
      <c r="U57" s="227">
        <v>6000</v>
      </c>
      <c r="Y57" s="14"/>
      <c r="AB57" s="276" t="s">
        <v>190</v>
      </c>
      <c r="AC57" s="276"/>
      <c r="AD57" s="276"/>
      <c r="AE57" s="276"/>
      <c r="AF57" s="276"/>
      <c r="AG57" s="276"/>
      <c r="AH57" s="276"/>
      <c r="AI57" s="276"/>
      <c r="AJ57" s="14"/>
    </row>
    <row r="58" spans="1:38" ht="15" customHeight="1">
      <c r="A58" t="s">
        <v>42</v>
      </c>
      <c r="B58" s="237">
        <v>2600</v>
      </c>
      <c r="C58" s="237">
        <v>3000</v>
      </c>
      <c r="D58" s="237">
        <v>3500</v>
      </c>
      <c r="E58" s="237">
        <v>3950</v>
      </c>
      <c r="F58" s="226">
        <v>4400</v>
      </c>
      <c r="G58" s="226">
        <v>4850</v>
      </c>
      <c r="H58" s="226">
        <v>5300</v>
      </c>
      <c r="I58" s="237">
        <v>5700</v>
      </c>
      <c r="J58" s="227">
        <v>6500</v>
      </c>
      <c r="N58">
        <v>-10</v>
      </c>
      <c r="O58" s="225"/>
      <c r="P58" s="237"/>
      <c r="Q58" s="237"/>
      <c r="R58" s="237"/>
      <c r="S58" s="237"/>
      <c r="T58" s="237"/>
      <c r="U58" s="239">
        <v>99999</v>
      </c>
      <c r="AA58" t="s">
        <v>42</v>
      </c>
      <c r="AB58" s="225">
        <v>2650</v>
      </c>
      <c r="AC58" s="237">
        <v>3100</v>
      </c>
      <c r="AD58" s="237">
        <v>3600</v>
      </c>
      <c r="AE58" s="237">
        <v>4000</v>
      </c>
      <c r="AF58" s="237">
        <v>4450</v>
      </c>
      <c r="AG58" s="237">
        <v>4900</v>
      </c>
      <c r="AH58" s="237">
        <v>5400</v>
      </c>
      <c r="AI58" s="239">
        <v>5500</v>
      </c>
      <c r="AJ58" s="11"/>
    </row>
    <row r="59" spans="1:38" ht="15" customHeight="1">
      <c r="A59">
        <v>-10</v>
      </c>
      <c r="B59" s="225">
        <v>3250</v>
      </c>
      <c r="C59" s="237">
        <v>3800</v>
      </c>
      <c r="D59" s="237">
        <v>4350</v>
      </c>
      <c r="E59" s="237">
        <v>4900</v>
      </c>
      <c r="F59" s="237">
        <v>5400</v>
      </c>
      <c r="G59" s="237">
        <v>6000</v>
      </c>
      <c r="H59" s="237">
        <v>6500</v>
      </c>
      <c r="I59" s="237">
        <v>7000</v>
      </c>
      <c r="J59" s="239">
        <v>99999</v>
      </c>
      <c r="N59">
        <v>0</v>
      </c>
      <c r="O59" s="240"/>
      <c r="P59" s="14"/>
      <c r="Q59" s="14"/>
      <c r="R59" s="14"/>
      <c r="S59" s="14"/>
      <c r="T59" s="14"/>
      <c r="U59" s="239">
        <v>99999</v>
      </c>
      <c r="AA59">
        <v>-10</v>
      </c>
      <c r="AB59" s="225">
        <v>3350</v>
      </c>
      <c r="AC59" s="237">
        <v>3900</v>
      </c>
      <c r="AD59" s="237">
        <v>4500</v>
      </c>
      <c r="AE59" s="237">
        <v>5000</v>
      </c>
      <c r="AF59" s="237">
        <v>5550</v>
      </c>
      <c r="AG59" s="237">
        <v>6100</v>
      </c>
      <c r="AH59" s="237">
        <v>6600</v>
      </c>
      <c r="AI59" s="239">
        <v>99999</v>
      </c>
      <c r="AJ59" s="14"/>
    </row>
    <row r="60" spans="1:38" ht="15" customHeight="1">
      <c r="A60">
        <v>0</v>
      </c>
      <c r="B60" s="240">
        <v>2600</v>
      </c>
      <c r="C60" s="14">
        <v>3000</v>
      </c>
      <c r="D60" s="14">
        <v>3500</v>
      </c>
      <c r="E60" s="14">
        <v>3950</v>
      </c>
      <c r="F60" s="14">
        <v>4400</v>
      </c>
      <c r="G60" s="14">
        <v>4850</v>
      </c>
      <c r="H60" s="14">
        <v>5300</v>
      </c>
      <c r="I60" s="14">
        <v>5700</v>
      </c>
      <c r="J60" s="239">
        <v>99999</v>
      </c>
      <c r="N60">
        <v>30</v>
      </c>
      <c r="O60" s="235"/>
      <c r="P60" s="241"/>
      <c r="Q60" s="241"/>
      <c r="R60" s="241"/>
      <c r="S60" s="241"/>
      <c r="T60" s="241"/>
      <c r="U60" s="251">
        <v>99999</v>
      </c>
      <c r="AA60">
        <v>0</v>
      </c>
      <c r="AB60" s="240">
        <v>2650</v>
      </c>
      <c r="AC60" s="14">
        <v>3100</v>
      </c>
      <c r="AD60" s="14">
        <v>3600</v>
      </c>
      <c r="AE60" s="14">
        <v>4000</v>
      </c>
      <c r="AF60" s="14">
        <v>4450</v>
      </c>
      <c r="AG60" s="14">
        <v>4900</v>
      </c>
      <c r="AH60" s="14">
        <v>5400</v>
      </c>
      <c r="AI60" s="252">
        <v>99999</v>
      </c>
      <c r="AJ60" s="14"/>
    </row>
    <row r="61" spans="1:38" ht="15" customHeight="1">
      <c r="A61">
        <v>30</v>
      </c>
      <c r="B61" s="235">
        <v>2000</v>
      </c>
      <c r="C61" s="241">
        <v>2300</v>
      </c>
      <c r="D61" s="241">
        <v>2650</v>
      </c>
      <c r="E61" s="241">
        <v>3050</v>
      </c>
      <c r="F61" s="241">
        <v>3400</v>
      </c>
      <c r="G61" s="241">
        <v>3800</v>
      </c>
      <c r="H61" s="241">
        <v>4150</v>
      </c>
      <c r="I61" s="241">
        <v>4500</v>
      </c>
      <c r="J61" s="251">
        <v>99999</v>
      </c>
      <c r="O61" s="159"/>
      <c r="P61" s="160"/>
      <c r="T61" s="1"/>
      <c r="U61" s="1"/>
      <c r="V61" s="1"/>
      <c r="W61" s="159"/>
      <c r="X61" s="160"/>
      <c r="AA61">
        <v>30</v>
      </c>
      <c r="AB61" s="235">
        <v>1950</v>
      </c>
      <c r="AC61" s="241">
        <v>2300</v>
      </c>
      <c r="AD61" s="241">
        <v>2650</v>
      </c>
      <c r="AE61" s="241">
        <v>3000</v>
      </c>
      <c r="AF61" s="241">
        <v>3400</v>
      </c>
      <c r="AG61" s="241">
        <v>3800</v>
      </c>
      <c r="AH61" s="241">
        <v>4100</v>
      </c>
      <c r="AI61" s="242">
        <v>99999</v>
      </c>
      <c r="AJ61" s="14"/>
      <c r="AK61" s="160"/>
    </row>
    <row r="62" spans="1:38" ht="15" customHeight="1">
      <c r="B62" s="159"/>
      <c r="C62" s="160"/>
      <c r="G62" s="1"/>
      <c r="H62" s="1"/>
      <c r="I62" s="1"/>
      <c r="J62" s="159"/>
      <c r="K62" s="160"/>
      <c r="L62" s="14"/>
      <c r="O62" s="159" t="s">
        <v>138</v>
      </c>
      <c r="P62" s="160" t="e">
        <f>P54</f>
        <v>#N/A</v>
      </c>
      <c r="Q62" s="276" t="s">
        <v>181</v>
      </c>
      <c r="R62" s="276"/>
      <c r="T62" s="1"/>
      <c r="U62" s="1"/>
      <c r="V62" s="1"/>
      <c r="W62" s="159"/>
      <c r="X62" s="160"/>
      <c r="AB62" s="159"/>
      <c r="AC62" s="160"/>
      <c r="AG62" s="1"/>
      <c r="AH62" s="1"/>
      <c r="AI62" s="1"/>
      <c r="AJ62" s="159"/>
      <c r="AK62" s="160"/>
      <c r="AL62" s="14"/>
    </row>
    <row r="63" spans="1:38" ht="15" customHeight="1">
      <c r="B63" s="159" t="s">
        <v>138</v>
      </c>
      <c r="C63" s="160">
        <f>C55</f>
        <v>2950</v>
      </c>
      <c r="D63" s="276" t="s">
        <v>181</v>
      </c>
      <c r="E63" s="276"/>
      <c r="G63" s="1"/>
      <c r="H63" s="1"/>
      <c r="I63" s="1"/>
      <c r="J63" s="159"/>
      <c r="K63" s="160"/>
      <c r="L63" s="18"/>
      <c r="M63" s="49"/>
      <c r="O63" s="18" t="s">
        <v>182</v>
      </c>
      <c r="P63" s="161" t="e">
        <f>INDEX(O57:U57,MATCH(P62,O57:U57,1))</f>
        <v>#N/A</v>
      </c>
      <c r="Q63" s="18" t="s">
        <v>136</v>
      </c>
      <c r="R63" s="49">
        <f>MATCH(MAX(N58:N60),N58:N60,1)</f>
        <v>3</v>
      </c>
      <c r="T63" s="1"/>
      <c r="U63" s="1"/>
      <c r="V63" s="1"/>
      <c r="W63" s="18"/>
      <c r="X63" s="161"/>
      <c r="Y63" s="14"/>
      <c r="AB63" s="159" t="s">
        <v>138</v>
      </c>
      <c r="AC63" s="160">
        <f>AC55</f>
        <v>3000</v>
      </c>
      <c r="AD63" s="276" t="s">
        <v>181</v>
      </c>
      <c r="AE63" s="276"/>
      <c r="AG63" s="1"/>
      <c r="AH63" s="1"/>
      <c r="AI63" s="1"/>
      <c r="AJ63" s="159"/>
      <c r="AK63" s="161"/>
      <c r="AL63" s="18"/>
    </row>
    <row r="64" spans="1:38" ht="15" customHeight="1">
      <c r="B64" s="18" t="s">
        <v>182</v>
      </c>
      <c r="C64" s="161">
        <f>INDEX(B58:J58,MATCH(C63,B58:J58,1))</f>
        <v>2600</v>
      </c>
      <c r="D64" s="18" t="s">
        <v>136</v>
      </c>
      <c r="E64" s="49">
        <f>MATCH(MAX(A59:A61),A59:A61,1)</f>
        <v>3</v>
      </c>
      <c r="G64" s="1"/>
      <c r="H64" s="1"/>
      <c r="I64" s="1"/>
      <c r="J64" s="18"/>
      <c r="K64" s="161"/>
      <c r="L64" s="18"/>
      <c r="M64" s="49"/>
      <c r="O64" s="18" t="s">
        <v>183</v>
      </c>
      <c r="P64" s="161" t="e">
        <f t="array" ref="P64">INDEX(O57:U57,IF(MATCH(P62,O57:U57,1)&lt;R64,MATCH(P62,O57:U57,1)+1,MATCH(P62,O57:U57,1)))</f>
        <v>#N/A</v>
      </c>
      <c r="Q64" s="18" t="s">
        <v>137</v>
      </c>
      <c r="R64" s="49">
        <f>MATCH(MAX(O57:U57),O57:U57,0)</f>
        <v>7</v>
      </c>
      <c r="T64" s="1"/>
      <c r="U64" s="1"/>
      <c r="V64" s="1"/>
      <c r="W64" s="18"/>
      <c r="X64" s="161"/>
      <c r="Y64" s="18"/>
      <c r="AB64" s="18" t="s">
        <v>182</v>
      </c>
      <c r="AC64" s="161">
        <f>INDEX(AB58:AI58,MATCH(AC63,AB58:AI58,1))</f>
        <v>2650</v>
      </c>
      <c r="AD64" s="18" t="s">
        <v>136</v>
      </c>
      <c r="AE64" s="49">
        <f>MATCH(MAX(AA59:AA61),AA59:AA61,1)</f>
        <v>3</v>
      </c>
      <c r="AG64" s="1"/>
      <c r="AH64" s="1"/>
      <c r="AI64" s="1"/>
      <c r="AJ64" s="18"/>
      <c r="AK64" s="161"/>
      <c r="AL64" s="18"/>
    </row>
    <row r="65" spans="2:38" ht="15" customHeight="1">
      <c r="B65" s="18" t="s">
        <v>183</v>
      </c>
      <c r="C65" s="161">
        <f t="array" ref="C65">INDEX(B58:J58,IF(MATCH(C63,B58:J58,1)&lt;E65,MATCH(C63,B58:J58,1)+1,MATCH(C63,B58:J58,1)))</f>
        <v>3000</v>
      </c>
      <c r="D65" s="18" t="s">
        <v>137</v>
      </c>
      <c r="E65" s="49">
        <f>MATCH(MAX(B58:J58),B58:J58,0)</f>
        <v>9</v>
      </c>
      <c r="G65" s="1"/>
      <c r="H65" s="1"/>
      <c r="I65" s="1"/>
      <c r="J65" s="18"/>
      <c r="K65" s="161"/>
      <c r="L65" s="1"/>
      <c r="M65" s="1"/>
      <c r="O65" s="159" t="s">
        <v>139</v>
      </c>
      <c r="P65" s="205">
        <f>'Take-off'!$C$24</f>
        <v>0</v>
      </c>
      <c r="Q65" s="1"/>
      <c r="R65" s="1"/>
      <c r="T65" s="1"/>
      <c r="U65" s="1"/>
      <c r="V65" s="1"/>
      <c r="W65" s="159"/>
      <c r="X65" s="205"/>
      <c r="Y65" s="18"/>
      <c r="AB65" s="18" t="s">
        <v>183</v>
      </c>
      <c r="AC65" s="161">
        <f t="array" ref="AC65">INDEX(AB58:AI58,IF(MATCH(AC63,AB58:AI58,1)&lt;AE65,MATCH(AC63,AB58:AI58,1)+1,MATCH(AC63,AB58:AI58,1)))</f>
        <v>3100</v>
      </c>
      <c r="AD65" s="18" t="s">
        <v>137</v>
      </c>
      <c r="AE65" s="49">
        <f>MATCH(MAX(AB58:AI58),AB58:AI58,0)</f>
        <v>8</v>
      </c>
      <c r="AG65" s="1"/>
      <c r="AH65" s="1"/>
      <c r="AI65" s="1"/>
      <c r="AJ65" s="18"/>
      <c r="AK65" s="205"/>
      <c r="AL65" s="1"/>
    </row>
    <row r="66" spans="2:38" ht="15" customHeight="1">
      <c r="B66" s="159" t="s">
        <v>139</v>
      </c>
      <c r="C66" s="205">
        <f>'Take-off'!$C$24</f>
        <v>0</v>
      </c>
      <c r="D66" s="1"/>
      <c r="E66" s="1"/>
      <c r="G66" s="1"/>
      <c r="H66" s="1"/>
      <c r="I66" s="1"/>
      <c r="J66" s="159"/>
      <c r="K66" s="205"/>
      <c r="L66" s="1"/>
      <c r="M66" s="40"/>
      <c r="O66" s="18" t="s">
        <v>140</v>
      </c>
      <c r="P66" s="161">
        <f>INDEX(N58:N60,MATCH(P65,N58:N60,1))</f>
        <v>0</v>
      </c>
      <c r="Q66" s="1"/>
      <c r="R66" s="40"/>
      <c r="T66" s="1"/>
      <c r="U66" s="1"/>
      <c r="V66" s="1"/>
      <c r="W66" s="18"/>
      <c r="X66" s="161"/>
      <c r="Y66" s="1"/>
      <c r="AB66" s="159" t="s">
        <v>139</v>
      </c>
      <c r="AC66" s="205">
        <f>'Take-off'!$C$24</f>
        <v>0</v>
      </c>
      <c r="AD66" s="1"/>
      <c r="AE66" s="1"/>
      <c r="AG66" s="1"/>
      <c r="AH66" s="1"/>
      <c r="AI66" s="1"/>
      <c r="AJ66" s="159"/>
      <c r="AK66" s="161"/>
      <c r="AL66" s="1"/>
    </row>
    <row r="67" spans="2:38" ht="15" customHeight="1">
      <c r="B67" s="18" t="s">
        <v>140</v>
      </c>
      <c r="C67" s="161">
        <f>INDEX(A59:A61,MATCH(C66,A59:A61,1))</f>
        <v>0</v>
      </c>
      <c r="D67" s="1"/>
      <c r="E67" s="40"/>
      <c r="G67" s="1"/>
      <c r="H67" s="1"/>
      <c r="I67" s="1"/>
      <c r="J67" s="18"/>
      <c r="K67" s="161"/>
      <c r="L67" s="1"/>
      <c r="M67" s="40"/>
      <c r="O67" s="18" t="s">
        <v>141</v>
      </c>
      <c r="P67" s="161">
        <f t="array" ref="P67">INDEX(N58:N60,IF(MATCH(P65,N58:N60,1)&lt;R63,MATCH(P65,N58:N60,1)+1,MATCH(P65,N58:N60,1)))</f>
        <v>30</v>
      </c>
      <c r="Q67" s="1"/>
      <c r="R67" s="40"/>
      <c r="T67" s="1"/>
      <c r="U67" s="1"/>
      <c r="V67" s="1"/>
      <c r="W67" s="18"/>
      <c r="X67" s="161"/>
      <c r="Y67" s="1"/>
      <c r="AB67" s="18" t="s">
        <v>140</v>
      </c>
      <c r="AC67" s="161">
        <f>INDEX(AA59:AA61,MATCH(AC66,AA59:AA61,1))</f>
        <v>0</v>
      </c>
      <c r="AD67" s="1"/>
      <c r="AE67" s="40"/>
      <c r="AG67" s="1"/>
      <c r="AH67" s="1"/>
      <c r="AI67" s="1"/>
      <c r="AJ67" s="18"/>
      <c r="AK67" s="161"/>
      <c r="AL67" s="1"/>
    </row>
    <row r="68" spans="2:38" ht="15" customHeight="1">
      <c r="B68" s="18" t="s">
        <v>141</v>
      </c>
      <c r="C68" s="161">
        <f t="array" ref="C68">INDEX(A59:A61,IF(MATCH(C66,A59:A61,1)&lt;E64,MATCH(C66,A59:A61,1)+1,MATCH(C66,A59:A61,1)))</f>
        <v>30</v>
      </c>
      <c r="D68" s="1"/>
      <c r="E68" s="40"/>
      <c r="G68" s="1"/>
      <c r="H68" s="1"/>
      <c r="I68" s="1"/>
      <c r="J68" s="18"/>
      <c r="K68" s="161"/>
      <c r="L68" s="1"/>
      <c r="M68" s="40"/>
      <c r="O68" s="159" t="s">
        <v>142</v>
      </c>
      <c r="P68" s="160" t="e">
        <f>INDEX(O58:U60,MATCH(P65,N58:N60,1),MATCH(P62,O57:U57,1))</f>
        <v>#N/A</v>
      </c>
      <c r="Q68" s="1"/>
      <c r="R68" s="40"/>
      <c r="T68" s="1"/>
      <c r="U68" s="1"/>
      <c r="V68" s="1"/>
      <c r="W68" s="159"/>
      <c r="X68" s="160"/>
      <c r="Y68" s="1"/>
      <c r="AB68" s="18" t="s">
        <v>141</v>
      </c>
      <c r="AC68" s="161">
        <f t="array" ref="AC68">INDEX(AA59:AA61,IF(MATCH(AC66,AA59:AA61,1)&lt;AE64,MATCH(AC66,AA59:AA61,1)+1,MATCH(AC66,AA59:AA61,1)))</f>
        <v>30</v>
      </c>
      <c r="AD68" s="1"/>
      <c r="AE68" s="40"/>
      <c r="AG68" s="1"/>
      <c r="AH68" s="1"/>
      <c r="AI68" s="1"/>
      <c r="AJ68" s="18"/>
      <c r="AK68" s="160"/>
      <c r="AL68" s="1"/>
    </row>
    <row r="69" spans="2:38" ht="15" customHeight="1">
      <c r="B69" s="159" t="s">
        <v>142</v>
      </c>
      <c r="C69" s="160">
        <f>INDEX(B59:J61,MATCH(C66,A59:A61,1),MATCH(C63,B58:J58,1))</f>
        <v>2600</v>
      </c>
      <c r="D69" s="1"/>
      <c r="E69" s="40"/>
      <c r="G69" s="1"/>
      <c r="H69" s="1"/>
      <c r="I69" s="1"/>
      <c r="J69" s="159"/>
      <c r="K69" s="160"/>
      <c r="M69" s="40"/>
      <c r="O69" s="159" t="s">
        <v>184</v>
      </c>
      <c r="P69" s="160" t="e">
        <f t="array" ref="P69">INDEX(O58:U60,MATCH(P65,N58:N60,1),IF(MATCH(P62,O57:U57,1)&lt;R64,MATCH(P62,O57:U57,1)+1,MATCH(P65,N58:N60,1)))</f>
        <v>#N/A</v>
      </c>
      <c r="R69" s="40"/>
      <c r="T69" s="1"/>
      <c r="U69" s="1"/>
      <c r="V69" s="1"/>
      <c r="W69" s="159"/>
      <c r="X69" s="160"/>
      <c r="Y69" s="1"/>
      <c r="AB69" s="159" t="s">
        <v>142</v>
      </c>
      <c r="AC69" s="160">
        <f>INDEX(AB59:AI61,MATCH(AC66,AA59:AA61,1),MATCH(AC63,AB58:AI58,1))</f>
        <v>2650</v>
      </c>
      <c r="AD69" s="1"/>
      <c r="AE69" s="40"/>
      <c r="AG69" s="1"/>
      <c r="AH69" s="1"/>
      <c r="AI69" s="1"/>
      <c r="AJ69" s="159"/>
      <c r="AK69" s="160"/>
    </row>
    <row r="70" spans="2:38" ht="15" customHeight="1">
      <c r="B70" s="159" t="s">
        <v>184</v>
      </c>
      <c r="C70" s="160">
        <f t="array" ref="C70">INDEX(B59:J61,MATCH(C66,A59:A61,1),IF(MATCH(C63,B58:J58,1)&lt;E65,MATCH(C63,B58:J58,1)+1,MATCH(C66,A59:A61,1)))</f>
        <v>3000</v>
      </c>
      <c r="E70" s="40"/>
      <c r="G70" s="1"/>
      <c r="H70" s="1"/>
      <c r="I70" s="1"/>
      <c r="J70" s="159"/>
      <c r="K70" s="160"/>
      <c r="M70" s="40"/>
      <c r="O70" s="159" t="s">
        <v>143</v>
      </c>
      <c r="P70" s="160" t="e">
        <f t="array" ref="P70">INDEX(O58:U60,IF(MATCH(P65,N58:N60,1)&lt;R63,MATCH(P65,N58:N60,1)+1,MATCH(P65,N58:N60,1)),MATCH(P62,O57:U57,1))</f>
        <v>#N/A</v>
      </c>
      <c r="R70" s="40"/>
      <c r="T70" s="1"/>
      <c r="U70" s="1"/>
      <c r="V70" s="1"/>
      <c r="W70" s="159"/>
      <c r="X70" s="160"/>
      <c r="AB70" s="159" t="s">
        <v>184</v>
      </c>
      <c r="AC70" s="160">
        <f t="array" ref="AC70">INDEX(AB59:AI61,MATCH(AC66,AA59:AA61,1),IF(MATCH(AC63,AB58:AI58,1)&lt;AE65,MATCH(AC63,AB58:AI58,1)+1,MATCH(AC66,AA59:AA61,1)))</f>
        <v>3100</v>
      </c>
      <c r="AE70" s="40"/>
      <c r="AG70" s="1"/>
      <c r="AH70" s="1"/>
      <c r="AI70" s="1"/>
      <c r="AJ70" s="159"/>
      <c r="AK70" s="160"/>
    </row>
    <row r="71" spans="2:38" ht="15" customHeight="1">
      <c r="B71" s="159" t="s">
        <v>143</v>
      </c>
      <c r="C71" s="160">
        <f t="array" ref="C71">INDEX(B59:J61,IF(MATCH(C66,A59:A61,1)&lt;E64,MATCH(C66,A59:A61,1)+1,MATCH(C66,A59:A61,1)),MATCH(C63,B58:J58,1))</f>
        <v>2000</v>
      </c>
      <c r="E71" s="40"/>
      <c r="G71" s="1"/>
      <c r="H71" s="1"/>
      <c r="I71" s="1"/>
      <c r="J71" s="159"/>
      <c r="K71" s="160"/>
      <c r="O71" s="159" t="s">
        <v>185</v>
      </c>
      <c r="P71" s="160" t="e">
        <f t="array" ref="P71">INDEX(O58:U60,IF(MATCH(P65,N58:N60,1)&lt;R63,MATCH(P65,N58:N60,1)+1,MATCH(P65,N58:N60,1)),IF(MATCH(P62,O57:U57,1)&lt;R64,MATCH(P62,O57:U57,1)+1,MATCH(P62,O57:U57,1)))</f>
        <v>#N/A</v>
      </c>
      <c r="T71" s="1"/>
      <c r="U71" s="1"/>
      <c r="V71" s="1"/>
      <c r="W71" s="159"/>
      <c r="X71" s="160"/>
      <c r="AB71" s="159" t="s">
        <v>143</v>
      </c>
      <c r="AC71" s="160">
        <f t="array" ref="AC71">INDEX(AB59:AI61,IF(MATCH(AC66,AA59:AA61,1)&lt;AE64,MATCH(AC66,AA59:AA61,1)+1,MATCH(AC66,AA59:AA61,1)),MATCH(AC63,AB58:AI58,1))</f>
        <v>1950</v>
      </c>
      <c r="AE71" s="40"/>
      <c r="AG71" s="1"/>
      <c r="AH71" s="1"/>
      <c r="AI71" s="1"/>
      <c r="AJ71" s="159"/>
      <c r="AK71" s="160"/>
    </row>
    <row r="72" spans="2:38" ht="15" customHeight="1">
      <c r="B72" s="159" t="s">
        <v>185</v>
      </c>
      <c r="C72" s="160">
        <f t="array" ref="C72">INDEX(B59:J61,IF(MATCH(C66,A59:A61,1)&lt;E64,MATCH(C66,A59:A61,1)+1,MATCH(C66,A59:A61,1)),IF(MATCH(C63,B58:J58,1)&lt;E65,MATCH(C63,B58:J58,1)+1,MATCH(C63,B58:J58,1)))</f>
        <v>2300</v>
      </c>
      <c r="G72" s="1"/>
      <c r="H72" s="1"/>
      <c r="I72" s="1"/>
      <c r="J72" s="159"/>
      <c r="K72" s="160"/>
      <c r="O72" s="18" t="s">
        <v>186</v>
      </c>
      <c r="P72" s="161" t="e">
        <f>IFERROR(P68+(P62-P63)*(P69-P68)/(P64-P63),P68)</f>
        <v>#N/A</v>
      </c>
      <c r="T72" s="1"/>
      <c r="U72" s="1"/>
      <c r="V72" s="1"/>
      <c r="W72" s="18"/>
      <c r="X72" s="161"/>
      <c r="AB72" s="159" t="s">
        <v>185</v>
      </c>
      <c r="AC72" s="160">
        <f t="array" ref="AC72">INDEX(AB59:AI61,IF(MATCH(AC66,AA59:AA61,1)&lt;AE64,MATCH(AC66,AA59:AA61,1)+1,MATCH(AC66,AA59:AA61,1)),IF(MATCH(AC63,AB58:AI58,1)&lt;AE65,MATCH(AC63,AB58:AI58,1)+1,MATCH(AC63,AB58:AI58,1)))</f>
        <v>2300</v>
      </c>
      <c r="AG72" s="1"/>
      <c r="AH72" s="1"/>
      <c r="AI72" s="1"/>
      <c r="AJ72" s="159"/>
      <c r="AK72" s="161"/>
    </row>
    <row r="73" spans="2:38" ht="15" customHeight="1">
      <c r="B73" s="18" t="s">
        <v>186</v>
      </c>
      <c r="C73" s="161">
        <f>IFERROR(C69+(C63-C64)*(C70-C69)/(C65-C64),C69)</f>
        <v>2950</v>
      </c>
      <c r="G73" s="1"/>
      <c r="H73" s="1"/>
      <c r="I73" s="1"/>
      <c r="J73" s="18"/>
      <c r="K73" s="161"/>
      <c r="O73" s="18" t="s">
        <v>187</v>
      </c>
      <c r="P73" s="161" t="e">
        <f>IFERROR(P70+(P62-P63)*(P71-P70)/(P64-P63),P70)</f>
        <v>#N/A</v>
      </c>
      <c r="T73" s="1"/>
      <c r="U73" s="1"/>
      <c r="V73" s="1"/>
      <c r="W73" s="18"/>
      <c r="X73" s="161"/>
      <c r="AB73" s="18" t="s">
        <v>186</v>
      </c>
      <c r="AC73" s="161">
        <f>IFERROR(AC69+(AC63-AC64)*(AC70-AC69)/(AC65-AC64),AC69)</f>
        <v>3000</v>
      </c>
      <c r="AG73" s="1"/>
      <c r="AH73" s="1"/>
      <c r="AI73" s="1"/>
      <c r="AJ73" s="18"/>
      <c r="AK73" s="161"/>
    </row>
    <row r="74" spans="2:38" ht="15" customHeight="1">
      <c r="B74" s="18" t="s">
        <v>187</v>
      </c>
      <c r="C74" s="161">
        <f>IFERROR(C71+(C63-C64)*(C72-C71)/(C65-C64),C71)</f>
        <v>2262.5</v>
      </c>
      <c r="G74" s="1"/>
      <c r="H74" s="1"/>
      <c r="I74" s="1"/>
      <c r="J74" s="18"/>
      <c r="K74" s="161"/>
      <c r="O74" s="159" t="s">
        <v>188</v>
      </c>
      <c r="P74" s="160" t="e">
        <f>IFERROR(P72+(P65-P66)*(P73-P72)/(P67-P66),P72)</f>
        <v>#N/A</v>
      </c>
      <c r="T74" s="1"/>
      <c r="U74" s="1"/>
      <c r="V74" s="1"/>
      <c r="W74" s="159"/>
      <c r="X74" s="160"/>
      <c r="AB74" s="18" t="s">
        <v>187</v>
      </c>
      <c r="AC74" s="161">
        <f>IFERROR(AC71+(AC63-AC64)*(AC72-AC71)/(AC65-AC64),AC71)</f>
        <v>2222.2222222222222</v>
      </c>
      <c r="AG74" s="1"/>
      <c r="AH74" s="1"/>
      <c r="AI74" s="1"/>
      <c r="AJ74" s="18"/>
      <c r="AK74" s="160"/>
    </row>
    <row r="75" spans="2:38" ht="15" customHeight="1">
      <c r="B75" s="159" t="s">
        <v>188</v>
      </c>
      <c r="C75" s="160">
        <f>IFERROR(C73+(C66-C67)*(C74-C73)/(C68-C67),C73)</f>
        <v>2950</v>
      </c>
      <c r="G75" s="1"/>
      <c r="H75" s="1"/>
      <c r="I75" s="1"/>
      <c r="J75" s="159"/>
      <c r="K75" s="160"/>
      <c r="AB75" s="159" t="s">
        <v>188</v>
      </c>
      <c r="AC75" s="160">
        <f>IFERROR(AC73+(AC66-AC67)*(AC74-AC73)/(AC68-AC67),AC73)</f>
        <v>3000</v>
      </c>
      <c r="AG75" s="1"/>
      <c r="AH75" s="1"/>
      <c r="AI75" s="1"/>
      <c r="AJ75" s="159"/>
    </row>
  </sheetData>
  <mergeCells count="23">
    <mergeCell ref="AD63:AE63"/>
    <mergeCell ref="AD43:AE43"/>
    <mergeCell ref="B57:I57"/>
    <mergeCell ref="O56:V56"/>
    <mergeCell ref="AB57:AI57"/>
    <mergeCell ref="D63:E63"/>
    <mergeCell ref="Q62:R62"/>
    <mergeCell ref="B31:G31"/>
    <mergeCell ref="O30:T30"/>
    <mergeCell ref="AB31:AG31"/>
    <mergeCell ref="D43:E43"/>
    <mergeCell ref="Q42:R42"/>
    <mergeCell ref="D17:E17"/>
    <mergeCell ref="Q16:R16"/>
    <mergeCell ref="AR16:AS16"/>
    <mergeCell ref="AZ16:BA16"/>
    <mergeCell ref="AD17:AE17"/>
    <mergeCell ref="B3:L3"/>
    <mergeCell ref="O3:Y3"/>
    <mergeCell ref="AB3:AL3"/>
    <mergeCell ref="B4:F4"/>
    <mergeCell ref="O4:S4"/>
    <mergeCell ref="AB4:AF4"/>
  </mergeCells>
  <conditionalFormatting sqref="B6:F14">
    <cfRule type="colorScale" priority="22">
      <colorScale>
        <cfvo type="min"/>
        <cfvo type="max"/>
        <color rgb="FFFCFCFF"/>
        <color rgb="FFF8696B"/>
      </colorScale>
    </cfRule>
  </conditionalFormatting>
  <conditionalFormatting sqref="B33:F40">
    <cfRule type="colorScale" priority="9">
      <colorScale>
        <cfvo type="min"/>
        <cfvo type="max"/>
        <color rgb="FFFCFCFF"/>
        <color rgb="FFF8696B"/>
      </colorScale>
    </cfRule>
  </conditionalFormatting>
  <conditionalFormatting sqref="B59:I61">
    <cfRule type="colorScale" priority="11">
      <colorScale>
        <cfvo type="min"/>
        <cfvo type="max"/>
        <color rgb="FFFCFCFF"/>
        <color rgb="FFF8696B"/>
      </colorScale>
    </cfRule>
  </conditionalFormatting>
  <conditionalFormatting sqref="K6:M12 L13:M14 K13:K15">
    <cfRule type="colorScale" priority="20">
      <colorScale>
        <cfvo type="min"/>
        <cfvo type="max"/>
        <color rgb="FFFCFCFF"/>
        <color rgb="FFF8696B"/>
      </colorScale>
    </cfRule>
  </conditionalFormatting>
  <conditionalFormatting sqref="O6:R13">
    <cfRule type="colorScale" priority="5">
      <colorScale>
        <cfvo type="min"/>
        <cfvo type="max"/>
        <color rgb="FFFCFCFF"/>
        <color rgb="FFF8696B"/>
      </colorScale>
    </cfRule>
  </conditionalFormatting>
  <conditionalFormatting sqref="O32:R39">
    <cfRule type="colorScale" priority="10">
      <colorScale>
        <cfvo type="min"/>
        <cfvo type="max"/>
        <color rgb="FFFCFCFF"/>
        <color rgb="FFF8696B"/>
      </colorScale>
    </cfRule>
  </conditionalFormatting>
  <conditionalFormatting sqref="O58:T60">
    <cfRule type="colorScale" priority="12">
      <colorScale>
        <cfvo type="min"/>
        <cfvo type="max"/>
        <color rgb="FFFCFCFF"/>
        <color rgb="FFF8696B"/>
      </colorScale>
    </cfRule>
  </conditionalFormatting>
  <conditionalFormatting sqref="W6:Y14 Y15">
    <cfRule type="colorScale" priority="6">
      <colorScale>
        <cfvo type="min"/>
        <cfvo type="max"/>
        <color rgb="FFFCFCFF"/>
        <color rgb="FFF8696B"/>
      </colorScale>
    </cfRule>
  </conditionalFormatting>
  <conditionalFormatting sqref="AB33:AE40">
    <cfRule type="colorScale" priority="4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21">
      <colorScale>
        <cfvo type="min"/>
        <cfvo type="max"/>
        <color rgb="FFFCFCFF"/>
        <color rgb="FFF8696B"/>
      </colorScale>
    </cfRule>
  </conditionalFormatting>
  <conditionalFormatting sqref="AB59:AH61">
    <cfRule type="colorScale" priority="13">
      <colorScale>
        <cfvo type="min"/>
        <cfvo type="max"/>
        <color rgb="FFFCFCFF"/>
        <color rgb="FFF8696B"/>
      </colorScale>
    </cfRule>
  </conditionalFormatting>
  <conditionalFormatting sqref="AK6:AM14 AK15">
    <cfRule type="colorScale" priority="3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C56"/>
  <sheetViews>
    <sheetView topLeftCell="A34" zoomScaleNormal="100" workbookViewId="0">
      <selection activeCell="U33" sqref="U33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50"/>
      <c r="B1" s="18" t="s">
        <v>175</v>
      </c>
      <c r="C1" s="159" t="s">
        <v>138</v>
      </c>
      <c r="D1" s="221">
        <f>IF(Landing!$C$9="",Landing!$C$15,MAX(0,Landing!$C$15+30*(1013-Landing!$C$9)))</f>
        <v>0</v>
      </c>
      <c r="F1" s="222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243"/>
      <c r="AW1" s="150"/>
      <c r="AX1" s="150"/>
      <c r="AY1" s="150"/>
      <c r="AZ1" s="150"/>
      <c r="BA1" s="150"/>
      <c r="BB1" s="150"/>
      <c r="BC1" s="150"/>
    </row>
    <row r="2" spans="1:55" ht="14.25" customHeight="1">
      <c r="A2" s="150"/>
      <c r="B2" s="18" t="s">
        <v>177</v>
      </c>
      <c r="C2" s="159" t="s">
        <v>139</v>
      </c>
      <c r="D2" s="221">
        <f>Landing!C8</f>
        <v>0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AM2" s="150"/>
      <c r="AN2" s="150"/>
      <c r="AO2" s="150"/>
      <c r="AP2" s="150"/>
      <c r="AQ2" s="150"/>
      <c r="AR2" s="150"/>
      <c r="AS2" s="150"/>
      <c r="AT2" s="150"/>
      <c r="AU2" s="150"/>
      <c r="AV2" s="243"/>
      <c r="AW2" s="150"/>
      <c r="AX2" s="150"/>
      <c r="AY2" s="150"/>
      <c r="AZ2" s="150"/>
      <c r="BA2" s="150"/>
      <c r="BB2" s="150"/>
      <c r="BC2" s="150"/>
    </row>
    <row r="3" spans="1:55" ht="14.25" customHeight="1">
      <c r="A3" s="150"/>
      <c r="B3" s="303" t="s">
        <v>198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150"/>
      <c r="AM3" s="150"/>
      <c r="AN3" s="150"/>
      <c r="AO3" s="150"/>
      <c r="AP3" s="150"/>
      <c r="AQ3" s="150"/>
      <c r="AR3" s="150"/>
      <c r="AS3" s="150"/>
      <c r="AT3" s="150"/>
      <c r="AU3" s="150"/>
      <c r="AV3" s="243"/>
      <c r="AW3" s="150"/>
      <c r="AX3" s="150"/>
      <c r="AY3" s="150"/>
      <c r="AZ3" s="150"/>
      <c r="BA3" s="150"/>
      <c r="BB3" s="150"/>
      <c r="BC3" s="150"/>
    </row>
    <row r="4" spans="1:55" ht="15" customHeight="1">
      <c r="B4" s="275" t="s">
        <v>196</v>
      </c>
      <c r="C4" s="275"/>
      <c r="D4" s="275"/>
      <c r="E4" s="275"/>
      <c r="F4" s="275"/>
      <c r="G4" s="14"/>
      <c r="H4" s="14"/>
      <c r="I4" s="14"/>
      <c r="J4" s="14"/>
      <c r="K4" s="14"/>
      <c r="L4" s="14"/>
      <c r="M4" s="14"/>
      <c r="AM4" s="1"/>
      <c r="AN4" s="1"/>
      <c r="AO4" s="1"/>
      <c r="AP4" s="159"/>
      <c r="AQ4" s="160"/>
      <c r="AU4" s="1"/>
      <c r="AV4" s="1"/>
      <c r="AW4" s="1"/>
      <c r="AX4" s="159"/>
      <c r="AY4" s="160"/>
    </row>
    <row r="5" spans="1:55" ht="15" customHeight="1" thickBot="1">
      <c r="A5" t="s">
        <v>197</v>
      </c>
      <c r="B5" s="225">
        <v>-500</v>
      </c>
      <c r="C5" s="237">
        <v>0</v>
      </c>
      <c r="D5" s="226">
        <v>1000</v>
      </c>
      <c r="E5" s="47">
        <v>2000</v>
      </c>
      <c r="F5" s="47">
        <v>3000</v>
      </c>
      <c r="G5" s="227">
        <v>4000</v>
      </c>
      <c r="H5" s="159"/>
      <c r="I5" s="160"/>
      <c r="K5" s="159"/>
      <c r="L5" s="160"/>
      <c r="AN5" s="159"/>
      <c r="AO5" s="160"/>
      <c r="AS5" s="1"/>
      <c r="AT5" s="1"/>
      <c r="AU5" s="1"/>
      <c r="AV5" s="159"/>
      <c r="AW5" s="160"/>
    </row>
    <row r="6" spans="1:55" ht="15" customHeight="1">
      <c r="A6">
        <v>-40</v>
      </c>
      <c r="B6" s="253">
        <v>740</v>
      </c>
      <c r="C6" s="254">
        <v>740</v>
      </c>
      <c r="D6" s="254">
        <v>730</v>
      </c>
      <c r="E6" s="255">
        <v>720</v>
      </c>
      <c r="F6" s="255">
        <v>710</v>
      </c>
      <c r="G6" s="227">
        <v>-999</v>
      </c>
      <c r="H6" s="159"/>
      <c r="I6" s="160"/>
      <c r="K6" s="159"/>
      <c r="L6" s="160"/>
      <c r="AN6" s="159"/>
      <c r="AO6" s="160"/>
      <c r="AS6" s="1"/>
      <c r="AT6" s="1"/>
      <c r="AU6" s="1"/>
      <c r="AV6" s="159"/>
      <c r="AW6" s="160"/>
    </row>
    <row r="7" spans="1:55" ht="15" customHeight="1">
      <c r="A7">
        <v>-30</v>
      </c>
      <c r="B7" s="256">
        <v>740</v>
      </c>
      <c r="C7" s="257">
        <v>740</v>
      </c>
      <c r="D7" s="257">
        <v>730</v>
      </c>
      <c r="E7" s="168">
        <v>720</v>
      </c>
      <c r="F7" s="168">
        <v>710</v>
      </c>
      <c r="G7" s="2">
        <v>-999</v>
      </c>
      <c r="H7" s="159"/>
      <c r="I7" s="160"/>
      <c r="K7" s="159"/>
      <c r="L7" s="160"/>
      <c r="AN7" s="159"/>
      <c r="AO7" s="160"/>
      <c r="AS7" s="1"/>
      <c r="AT7" s="1"/>
      <c r="AU7" s="1"/>
      <c r="AV7" s="159"/>
      <c r="AW7" s="160"/>
    </row>
    <row r="8" spans="1:55" ht="15" customHeight="1">
      <c r="A8">
        <v>-20</v>
      </c>
      <c r="B8" s="256">
        <v>740</v>
      </c>
      <c r="C8" s="257">
        <v>740</v>
      </c>
      <c r="D8" s="257">
        <v>730</v>
      </c>
      <c r="E8" s="168">
        <v>720</v>
      </c>
      <c r="F8" s="168">
        <v>710</v>
      </c>
      <c r="G8" s="2">
        <v>-999</v>
      </c>
      <c r="H8" s="159"/>
      <c r="I8" s="160"/>
      <c r="K8" s="159"/>
      <c r="L8" s="160"/>
      <c r="AN8" s="159"/>
      <c r="AO8" s="160"/>
      <c r="AS8" s="1"/>
      <c r="AT8" s="1"/>
      <c r="AU8" s="1"/>
      <c r="AV8" s="159"/>
      <c r="AW8" s="160"/>
    </row>
    <row r="9" spans="1:55" ht="15" customHeight="1">
      <c r="A9">
        <v>-10</v>
      </c>
      <c r="B9" s="256">
        <v>735</v>
      </c>
      <c r="C9" s="257">
        <v>735</v>
      </c>
      <c r="D9" s="257">
        <v>720</v>
      </c>
      <c r="E9" s="168">
        <v>710</v>
      </c>
      <c r="F9" s="168">
        <v>700</v>
      </c>
      <c r="G9" s="2">
        <v>-999</v>
      </c>
      <c r="H9" s="159"/>
      <c r="I9" s="160"/>
      <c r="K9" s="159"/>
      <c r="L9" s="160"/>
      <c r="AN9" s="159"/>
      <c r="AO9" s="160"/>
      <c r="AS9" s="1"/>
      <c r="AT9" s="1"/>
      <c r="AU9" s="1"/>
      <c r="AV9" s="159"/>
      <c r="AW9" s="160"/>
    </row>
    <row r="10" spans="1:55" ht="15" customHeight="1">
      <c r="A10">
        <v>0</v>
      </c>
      <c r="B10" s="256">
        <v>720</v>
      </c>
      <c r="C10" s="257">
        <v>720</v>
      </c>
      <c r="D10" s="257">
        <v>710</v>
      </c>
      <c r="E10" s="168">
        <v>700</v>
      </c>
      <c r="F10" s="168">
        <v>690</v>
      </c>
      <c r="G10" s="2">
        <v>-999</v>
      </c>
      <c r="H10" s="159"/>
      <c r="I10" s="160"/>
      <c r="K10" s="159"/>
      <c r="L10" s="160"/>
      <c r="AN10" s="159"/>
      <c r="AO10" s="160"/>
      <c r="AS10" s="1"/>
      <c r="AT10" s="1"/>
      <c r="AU10" s="1"/>
      <c r="AV10" s="159"/>
      <c r="AW10" s="160"/>
    </row>
    <row r="11" spans="1:55" ht="15" customHeight="1">
      <c r="A11">
        <v>10</v>
      </c>
      <c r="B11" s="256">
        <v>710</v>
      </c>
      <c r="C11" s="257">
        <v>710</v>
      </c>
      <c r="D11" s="257">
        <v>700</v>
      </c>
      <c r="E11" s="168">
        <v>690</v>
      </c>
      <c r="F11" s="168">
        <v>675</v>
      </c>
      <c r="G11" s="2">
        <v>-999</v>
      </c>
      <c r="H11" s="159"/>
      <c r="I11" s="160"/>
      <c r="K11" s="159"/>
      <c r="L11" s="160"/>
      <c r="AN11" s="159"/>
      <c r="AO11" s="160"/>
      <c r="AS11" s="1"/>
      <c r="AT11" s="1"/>
      <c r="AU11" s="1"/>
      <c r="AV11" s="159"/>
      <c r="AW11" s="160"/>
    </row>
    <row r="12" spans="1:55" ht="15" customHeight="1">
      <c r="A12">
        <v>20</v>
      </c>
      <c r="B12" s="256">
        <v>700</v>
      </c>
      <c r="C12" s="257">
        <v>700</v>
      </c>
      <c r="D12" s="257">
        <v>690</v>
      </c>
      <c r="E12" s="168">
        <v>675</v>
      </c>
      <c r="F12" s="168">
        <v>650</v>
      </c>
      <c r="G12" s="2">
        <v>-999</v>
      </c>
      <c r="H12" s="159"/>
      <c r="I12" s="160"/>
      <c r="K12" s="159"/>
      <c r="L12" s="160"/>
      <c r="AN12" s="159"/>
      <c r="AO12" s="160"/>
      <c r="AS12" s="1"/>
      <c r="AT12" s="1"/>
      <c r="AU12" s="1"/>
      <c r="AV12" s="159"/>
      <c r="AW12" s="160"/>
    </row>
    <row r="13" spans="1:55" ht="15" customHeight="1">
      <c r="A13">
        <v>30</v>
      </c>
      <c r="B13" s="256">
        <v>690</v>
      </c>
      <c r="C13" s="257">
        <v>690</v>
      </c>
      <c r="D13" s="257">
        <v>660</v>
      </c>
      <c r="E13" s="168">
        <v>625</v>
      </c>
      <c r="F13" s="168">
        <v>580</v>
      </c>
      <c r="G13" s="2">
        <v>-999</v>
      </c>
      <c r="H13" s="159"/>
      <c r="I13" s="160"/>
      <c r="K13" s="159"/>
      <c r="L13" s="160"/>
      <c r="AN13" s="159"/>
      <c r="AO13" s="160"/>
      <c r="AS13" s="1"/>
      <c r="AT13" s="1"/>
      <c r="AU13" s="1"/>
      <c r="AV13" s="159"/>
      <c r="AW13" s="160"/>
    </row>
    <row r="14" spans="1:55" ht="15" customHeight="1">
      <c r="A14">
        <v>40</v>
      </c>
      <c r="B14" s="256">
        <v>620</v>
      </c>
      <c r="C14" s="257">
        <v>620</v>
      </c>
      <c r="D14" s="257">
        <v>580</v>
      </c>
      <c r="E14" s="168">
        <v>540</v>
      </c>
      <c r="F14" s="168">
        <v>490</v>
      </c>
      <c r="G14" s="2">
        <v>-999</v>
      </c>
      <c r="H14" s="159"/>
      <c r="I14" s="160"/>
      <c r="K14" s="159"/>
      <c r="L14" s="160"/>
      <c r="AN14" s="159"/>
      <c r="AO14" s="160"/>
      <c r="AS14" s="1"/>
      <c r="AT14" s="1"/>
      <c r="AU14" s="1"/>
      <c r="AV14" s="159"/>
      <c r="AW14" s="160"/>
    </row>
    <row r="15" spans="1:55" ht="15" customHeight="1">
      <c r="A15">
        <v>45</v>
      </c>
      <c r="B15" s="235">
        <v>-999</v>
      </c>
      <c r="C15" s="241">
        <v>-999</v>
      </c>
      <c r="D15" s="236">
        <v>-999</v>
      </c>
      <c r="E15" s="236">
        <v>-999</v>
      </c>
      <c r="F15" s="236">
        <v>-999</v>
      </c>
      <c r="G15" s="244">
        <v>-999</v>
      </c>
      <c r="H15" s="159"/>
      <c r="I15" s="160"/>
      <c r="K15" s="159"/>
      <c r="L15" s="160"/>
      <c r="AN15" s="159"/>
      <c r="AO15" s="160"/>
      <c r="AS15" s="1"/>
      <c r="AT15" s="1"/>
      <c r="AU15" s="1"/>
      <c r="AV15" s="159"/>
      <c r="AW15" s="160"/>
    </row>
    <row r="16" spans="1:55" ht="15" customHeight="1">
      <c r="B16" s="159"/>
      <c r="C16" s="160"/>
      <c r="G16" s="1"/>
      <c r="H16" s="1"/>
      <c r="I16" s="1"/>
      <c r="J16" s="159"/>
      <c r="K16" s="160"/>
      <c r="AM16" s="1"/>
      <c r="AN16" s="1"/>
      <c r="AO16" s="1"/>
      <c r="AP16" s="159"/>
      <c r="AQ16" s="160"/>
      <c r="AU16" s="1"/>
      <c r="AV16" s="1"/>
      <c r="AW16" s="1"/>
      <c r="AX16" s="159"/>
      <c r="AY16" s="160"/>
    </row>
    <row r="17" spans="1:53" ht="15" customHeight="1">
      <c r="B17" s="159" t="s">
        <v>138</v>
      </c>
      <c r="C17" s="160">
        <f>D1</f>
        <v>0</v>
      </c>
      <c r="D17" s="276" t="s">
        <v>181</v>
      </c>
      <c r="E17" s="276"/>
      <c r="G17" s="1"/>
      <c r="H17" s="1"/>
      <c r="I17" s="1"/>
      <c r="J17" s="159"/>
      <c r="K17" s="160"/>
      <c r="L17" s="14"/>
      <c r="AM17" s="1"/>
      <c r="AN17" s="1"/>
      <c r="AO17" s="1"/>
      <c r="AP17" s="159"/>
      <c r="AQ17" s="160"/>
      <c r="AR17" s="276"/>
      <c r="AS17" s="276"/>
      <c r="AU17" s="1"/>
      <c r="AV17" s="1"/>
      <c r="AW17" s="1"/>
      <c r="AX17" s="159"/>
      <c r="AY17" s="160"/>
      <c r="AZ17" s="276"/>
      <c r="BA17" s="276"/>
    </row>
    <row r="18" spans="1:53" ht="15" customHeight="1">
      <c r="B18" s="18" t="s">
        <v>182</v>
      </c>
      <c r="C18" s="161">
        <f>INDEX(B5:G5,MATCH(C17,B5:G5,1))</f>
        <v>0</v>
      </c>
      <c r="D18" s="18" t="s">
        <v>136</v>
      </c>
      <c r="E18" s="49">
        <f>MATCH(MAX(A6:A15),A6:A15,1)</f>
        <v>10</v>
      </c>
      <c r="G18" s="1"/>
      <c r="H18" s="1"/>
      <c r="I18" s="1"/>
      <c r="J18" s="18"/>
      <c r="K18" s="161"/>
      <c r="L18" s="18"/>
      <c r="M18" s="49"/>
      <c r="AM18" s="1"/>
      <c r="AN18" s="1"/>
      <c r="AO18" s="1"/>
      <c r="AP18" s="18"/>
      <c r="AQ18" s="161"/>
      <c r="AR18" s="18"/>
      <c r="AS18" s="49"/>
      <c r="AU18" s="1"/>
      <c r="AV18" s="1"/>
      <c r="AW18" s="1"/>
      <c r="AX18" s="18"/>
      <c r="AY18" s="161"/>
      <c r="AZ18" s="18"/>
      <c r="BA18" s="49"/>
    </row>
    <row r="19" spans="1:53" ht="15" customHeight="1">
      <c r="B19" s="18" t="s">
        <v>183</v>
      </c>
      <c r="C19" s="161">
        <f t="array" ref="C19">INDEX(B5:G5,IF(MATCH(C17,B5:G5,1)&lt;E19,MATCH(C17,B5:G5,1)+1,MATCH(C17,B5:G5,1)))</f>
        <v>1000</v>
      </c>
      <c r="D19" s="18" t="s">
        <v>137</v>
      </c>
      <c r="E19" s="49">
        <f>MATCH(MAX(B5:G5),B5:G5,0)</f>
        <v>6</v>
      </c>
      <c r="G19" s="1"/>
      <c r="H19" s="1"/>
      <c r="I19" s="1"/>
      <c r="J19" s="18"/>
      <c r="K19" s="161"/>
      <c r="L19" s="18"/>
      <c r="M19" s="49"/>
      <c r="AM19" s="1"/>
      <c r="AN19" s="1"/>
      <c r="AO19" s="1"/>
      <c r="AP19" s="18"/>
      <c r="AQ19" s="161"/>
      <c r="AR19" s="18"/>
      <c r="AS19" s="49"/>
      <c r="AU19" s="1"/>
      <c r="AV19" s="1"/>
      <c r="AW19" s="1"/>
      <c r="AX19" s="18"/>
      <c r="AY19" s="161"/>
      <c r="AZ19" s="18"/>
      <c r="BA19" s="49"/>
    </row>
    <row r="20" spans="1:53" ht="15" customHeight="1">
      <c r="B20" s="159" t="s">
        <v>139</v>
      </c>
      <c r="C20" s="205">
        <f>D2</f>
        <v>0</v>
      </c>
      <c r="D20" s="1"/>
      <c r="E20" s="1"/>
      <c r="G20" s="1"/>
      <c r="H20" s="1"/>
      <c r="I20" s="1"/>
      <c r="J20" s="159"/>
      <c r="K20" s="205"/>
      <c r="L20" s="1"/>
      <c r="M20" s="1"/>
      <c r="AM20" s="1"/>
      <c r="AN20" s="1"/>
      <c r="AO20" s="1"/>
      <c r="AP20" s="159"/>
      <c r="AQ20" s="205"/>
      <c r="AR20" s="1"/>
      <c r="AS20" s="1"/>
      <c r="AU20" s="1"/>
      <c r="AV20" s="1"/>
      <c r="AW20" s="1"/>
      <c r="AX20" s="159"/>
      <c r="AY20" s="205"/>
      <c r="AZ20" s="1"/>
      <c r="BA20" s="1"/>
    </row>
    <row r="21" spans="1:53" ht="15" customHeight="1">
      <c r="B21" s="18" t="s">
        <v>140</v>
      </c>
      <c r="C21" s="161">
        <f>INDEX(A6:A15,MATCH(C20,A6:A15,1))</f>
        <v>0</v>
      </c>
      <c r="D21" s="1"/>
      <c r="E21" s="40"/>
      <c r="G21" s="1"/>
      <c r="H21" s="1"/>
      <c r="I21" s="1"/>
      <c r="J21" s="18"/>
      <c r="K21" s="161"/>
      <c r="L21" s="1"/>
      <c r="M21" s="40"/>
      <c r="AM21" s="1"/>
      <c r="AN21" s="1"/>
      <c r="AO21" s="1"/>
      <c r="AP21" s="18"/>
      <c r="AQ21" s="161"/>
      <c r="AR21" s="1"/>
      <c r="AS21" s="40"/>
      <c r="AU21" s="1"/>
      <c r="AV21" s="1"/>
      <c r="AW21" s="1"/>
      <c r="AX21" s="18"/>
      <c r="AY21" s="161"/>
      <c r="AZ21" s="1"/>
      <c r="BA21" s="40"/>
    </row>
    <row r="22" spans="1:53" ht="15" customHeight="1">
      <c r="B22" s="18" t="s">
        <v>141</v>
      </c>
      <c r="C22" s="161">
        <f t="array" ref="C22">INDEX(A6:A15,IF(MATCH(C20,A6:A15,1)&lt;E18,MATCH(C20,A6:A15,1)+1,MATCH(C20,A6:A15,1)))</f>
        <v>10</v>
      </c>
      <c r="D22" s="1"/>
      <c r="E22" s="40"/>
      <c r="G22" s="1"/>
      <c r="H22" s="1"/>
      <c r="I22" s="1"/>
      <c r="J22" s="18"/>
      <c r="K22" s="161"/>
      <c r="L22" s="1"/>
      <c r="M22" s="40"/>
      <c r="AM22" s="1"/>
      <c r="AN22" s="1"/>
      <c r="AO22" s="1"/>
      <c r="AP22" s="18"/>
      <c r="AQ22" s="161"/>
      <c r="AR22" s="1"/>
      <c r="AS22" s="40"/>
      <c r="AU22" s="1"/>
      <c r="AV22" s="1"/>
      <c r="AW22" s="1"/>
      <c r="AX22" s="18"/>
      <c r="AY22" s="161"/>
      <c r="AZ22" s="1"/>
      <c r="BA22" s="40"/>
    </row>
    <row r="23" spans="1:53" ht="15" customHeight="1">
      <c r="B23" s="159" t="s">
        <v>142</v>
      </c>
      <c r="C23" s="160">
        <f>INDEX(B6:G15,MATCH(C20,A6:A15,1),MATCH(C17,B5:G5,1))</f>
        <v>720</v>
      </c>
      <c r="D23" s="1"/>
      <c r="E23" s="40"/>
      <c r="G23" s="1"/>
      <c r="H23" s="1"/>
      <c r="I23" s="1"/>
      <c r="J23" s="159"/>
      <c r="K23" s="160"/>
      <c r="L23" s="1"/>
      <c r="M23" s="40"/>
      <c r="AM23" s="1"/>
      <c r="AN23" s="1"/>
      <c r="AO23" s="1"/>
      <c r="AP23" s="159"/>
      <c r="AQ23" s="160"/>
      <c r="AR23" s="1"/>
      <c r="AS23" s="40"/>
      <c r="AU23" s="1"/>
      <c r="AV23" s="1"/>
      <c r="AW23" s="1"/>
      <c r="AX23" s="159"/>
      <c r="AY23" s="160"/>
      <c r="AZ23" s="1"/>
      <c r="BA23" s="40"/>
    </row>
    <row r="24" spans="1:53" ht="15" customHeight="1">
      <c r="B24" s="159" t="s">
        <v>184</v>
      </c>
      <c r="C24" s="160">
        <f t="array" ref="C24">INDEX(B6:G15,MATCH(C20,A6:A15,1),IF(MATCH(C17,B5:G5,1)&lt;E19,MATCH(C17,B5:G5,1)+1,MATCH(C20,A6:A15,1)))</f>
        <v>710</v>
      </c>
      <c r="E24" s="40"/>
      <c r="G24" s="1"/>
      <c r="H24" s="1"/>
      <c r="I24" s="1"/>
      <c r="J24" s="159"/>
      <c r="K24" s="160"/>
      <c r="M24" s="40"/>
      <c r="AM24" s="1"/>
      <c r="AN24" s="1"/>
      <c r="AO24" s="1"/>
      <c r="AP24" s="159"/>
      <c r="AQ24" s="160"/>
      <c r="AS24" s="40"/>
      <c r="AU24" s="1"/>
      <c r="AV24" s="1"/>
      <c r="AW24" s="1"/>
      <c r="AX24" s="159"/>
      <c r="AY24" s="160"/>
      <c r="BA24" s="40"/>
    </row>
    <row r="25" spans="1:53" ht="15" customHeight="1">
      <c r="B25" s="159" t="s">
        <v>143</v>
      </c>
      <c r="C25" s="160">
        <f t="array" ref="C25">INDEX(B6:G15,IF(MATCH(C20,A6:A15,1)&lt;E18,MATCH(C20,A6:A15,1)+1,MATCH(C20,A6:A15,1)),MATCH(C17,B5:G5,1))</f>
        <v>710</v>
      </c>
      <c r="E25" s="40"/>
      <c r="G25" s="1"/>
      <c r="H25" s="1"/>
      <c r="I25" s="1"/>
      <c r="J25" s="159"/>
      <c r="K25" s="160"/>
      <c r="M25" s="40"/>
      <c r="AM25" s="1"/>
      <c r="AN25" s="1"/>
      <c r="AO25" s="1"/>
      <c r="AP25" s="159"/>
      <c r="AQ25" s="160"/>
      <c r="AS25" s="40"/>
      <c r="AU25" s="1"/>
      <c r="AV25" s="1"/>
      <c r="AW25" s="1"/>
      <c r="AX25" s="159"/>
      <c r="AY25" s="160"/>
      <c r="BA25" s="40"/>
    </row>
    <row r="26" spans="1:53" ht="15" customHeight="1">
      <c r="B26" s="159" t="s">
        <v>185</v>
      </c>
      <c r="C26" s="160">
        <f t="array" ref="C26">INDEX(B6:G15,IF(MATCH(C20,A6:A15,1)&lt;E18,MATCH(C20,A6:A15,1)+1,MATCH(C20,A6:A15,1)),IF(MATCH(C17,B5:G5,1)&lt;E19,MATCH(C17,B5:G5,1)+1,MATCH(C17,B5:G5,1)))</f>
        <v>700</v>
      </c>
      <c r="G26" s="1"/>
      <c r="H26" s="1"/>
      <c r="I26" s="1"/>
      <c r="J26" s="159"/>
      <c r="K26" s="160"/>
      <c r="AM26" s="1"/>
      <c r="AN26" s="1"/>
      <c r="AO26" s="1"/>
      <c r="AP26" s="159"/>
      <c r="AQ26" s="160"/>
      <c r="AU26" s="1"/>
      <c r="AV26" s="1"/>
      <c r="AW26" s="1"/>
      <c r="AX26" s="159"/>
      <c r="AY26" s="160"/>
    </row>
    <row r="27" spans="1:53" ht="15" customHeight="1">
      <c r="B27" s="18" t="s">
        <v>186</v>
      </c>
      <c r="C27" s="161">
        <f>IFERROR(C23+(C17-C18)*(C24-C23)/(C19-C18),C23)</f>
        <v>720</v>
      </c>
      <c r="G27" s="1"/>
      <c r="H27" s="1"/>
      <c r="I27" s="1"/>
      <c r="J27" s="18"/>
      <c r="K27" s="161"/>
      <c r="AM27" s="1"/>
      <c r="AN27" s="1"/>
      <c r="AO27" s="1"/>
      <c r="AP27" s="18"/>
      <c r="AQ27" s="161"/>
      <c r="AU27" s="1"/>
      <c r="AV27" s="1"/>
      <c r="AW27" s="1"/>
      <c r="AX27" s="18"/>
      <c r="AY27" s="161"/>
    </row>
    <row r="28" spans="1:53" ht="15" customHeight="1">
      <c r="B28" s="18" t="s">
        <v>187</v>
      </c>
      <c r="C28" s="161">
        <f>IFERROR(C25+(C17-C18)*(C26-C25)/(C19-C18),C25)</f>
        <v>710</v>
      </c>
      <c r="G28" s="1"/>
      <c r="H28" s="1"/>
      <c r="I28" s="1"/>
      <c r="J28" s="18"/>
      <c r="K28" s="161"/>
      <c r="AM28" s="1"/>
      <c r="AN28" s="1"/>
      <c r="AO28" s="1"/>
      <c r="AP28" s="18"/>
      <c r="AQ28" s="161"/>
      <c r="AU28" s="1"/>
      <c r="AV28" s="1"/>
      <c r="AW28" s="1"/>
      <c r="AX28" s="18"/>
      <c r="AY28" s="161"/>
    </row>
    <row r="29" spans="1:53" ht="15" customHeight="1">
      <c r="B29" s="159" t="s">
        <v>188</v>
      </c>
      <c r="C29" s="160">
        <f>IFERROR(C27+(C20-C21)*(C28-C27)/(C22-C21),C27)</f>
        <v>720</v>
      </c>
      <c r="G29" s="1"/>
      <c r="H29" s="1"/>
      <c r="I29" s="1"/>
      <c r="J29" s="159"/>
      <c r="K29" s="160"/>
      <c r="AM29" s="1"/>
      <c r="AN29" s="1"/>
      <c r="AO29" s="1"/>
      <c r="AP29" s="159"/>
      <c r="AQ29" s="160"/>
      <c r="AU29" s="1"/>
      <c r="AV29" s="1"/>
      <c r="AW29" s="1"/>
      <c r="AX29" s="159"/>
      <c r="AY29" s="160"/>
    </row>
    <row r="31" spans="1:53" ht="15" customHeight="1" thickBot="1">
      <c r="B31" s="311" t="s">
        <v>199</v>
      </c>
      <c r="C31" s="311"/>
      <c r="D31" s="311"/>
      <c r="E31" s="311"/>
      <c r="F31" s="311"/>
      <c r="G31" s="311"/>
      <c r="H31" s="14"/>
      <c r="I31" s="14"/>
      <c r="J31" s="14"/>
      <c r="K31" s="14"/>
      <c r="L31" s="14"/>
      <c r="M31" s="14"/>
      <c r="O31" s="311" t="s">
        <v>200</v>
      </c>
      <c r="P31" s="311"/>
      <c r="Q31" s="311"/>
      <c r="R31" s="311"/>
      <c r="S31" s="311"/>
      <c r="T31" s="311"/>
      <c r="U31" s="14"/>
      <c r="V31" s="14"/>
      <c r="W31" s="14"/>
      <c r="X31" s="14"/>
      <c r="Y31" s="14"/>
      <c r="AH31" s="14"/>
      <c r="AI31" s="14"/>
      <c r="AJ31" s="14"/>
      <c r="AK31" s="14"/>
      <c r="AL31" s="14"/>
    </row>
    <row r="32" spans="1:53" ht="15" customHeight="1" thickBot="1">
      <c r="A32" t="s">
        <v>30</v>
      </c>
      <c r="B32" s="245">
        <v>410</v>
      </c>
      <c r="C32" s="246">
        <v>530</v>
      </c>
      <c r="D32" s="248">
        <v>640</v>
      </c>
      <c r="E32" s="248">
        <v>750</v>
      </c>
      <c r="F32" s="227">
        <v>900</v>
      </c>
      <c r="P32" t="s">
        <v>30</v>
      </c>
      <c r="Q32" s="245">
        <v>320</v>
      </c>
      <c r="R32" s="246">
        <v>440</v>
      </c>
      <c r="S32" s="246">
        <v>550</v>
      </c>
      <c r="T32" s="246">
        <v>640</v>
      </c>
      <c r="U32" s="246">
        <v>710</v>
      </c>
      <c r="V32" s="246">
        <v>760</v>
      </c>
      <c r="W32" s="246">
        <v>1000</v>
      </c>
      <c r="X32" s="227">
        <v>1200</v>
      </c>
    </row>
    <row r="33" spans="1:44" ht="15" customHeight="1">
      <c r="A33">
        <v>9000</v>
      </c>
      <c r="B33" s="253">
        <v>920</v>
      </c>
      <c r="C33" s="254">
        <v>1000</v>
      </c>
      <c r="D33" s="254">
        <v>1000</v>
      </c>
      <c r="E33" s="254">
        <v>1000</v>
      </c>
      <c r="F33" s="227">
        <v>-999</v>
      </c>
      <c r="P33">
        <v>1</v>
      </c>
      <c r="Q33" s="258">
        <v>2</v>
      </c>
      <c r="R33" s="259">
        <v>3</v>
      </c>
      <c r="S33" s="259">
        <v>4</v>
      </c>
      <c r="T33" s="259">
        <v>5</v>
      </c>
      <c r="U33" s="259">
        <v>6</v>
      </c>
      <c r="V33" s="259">
        <v>7</v>
      </c>
      <c r="W33" s="259">
        <v>7</v>
      </c>
      <c r="X33" s="227">
        <v>7</v>
      </c>
    </row>
    <row r="34" spans="1:44" ht="15" customHeight="1">
      <c r="A34">
        <v>9500</v>
      </c>
      <c r="B34" s="256">
        <v>820</v>
      </c>
      <c r="C34" s="257">
        <v>950</v>
      </c>
      <c r="D34" s="257">
        <v>1000</v>
      </c>
      <c r="E34" s="257">
        <v>1000</v>
      </c>
      <c r="F34" s="2">
        <v>-999</v>
      </c>
      <c r="O34" s="159"/>
      <c r="P34" s="160"/>
      <c r="T34" s="1"/>
      <c r="U34" s="1"/>
      <c r="V34" s="1"/>
      <c r="W34" s="159"/>
      <c r="X34" s="160"/>
    </row>
    <row r="35" spans="1:44" ht="15" customHeight="1">
      <c r="A35">
        <v>10000</v>
      </c>
      <c r="B35" s="256">
        <v>740</v>
      </c>
      <c r="C35" s="257">
        <v>860</v>
      </c>
      <c r="D35" s="257">
        <v>980</v>
      </c>
      <c r="E35" s="257">
        <v>1000</v>
      </c>
      <c r="F35" s="2">
        <v>-999</v>
      </c>
      <c r="O35" s="159" t="s">
        <v>138</v>
      </c>
      <c r="P35" s="160">
        <f>C56</f>
        <v>802.72727272727275</v>
      </c>
      <c r="Q35" s="276" t="s">
        <v>181</v>
      </c>
      <c r="R35" s="276"/>
      <c r="T35" s="1"/>
      <c r="U35" s="1"/>
      <c r="V35" s="1"/>
      <c r="W35" s="159"/>
      <c r="X35" s="160"/>
      <c r="Y35" s="14"/>
    </row>
    <row r="36" spans="1:44" ht="15" customHeight="1">
      <c r="A36">
        <v>10500</v>
      </c>
      <c r="B36" s="256">
        <v>670</v>
      </c>
      <c r="C36" s="257">
        <v>780</v>
      </c>
      <c r="D36" s="257">
        <v>910</v>
      </c>
      <c r="E36" s="257">
        <v>1000</v>
      </c>
      <c r="F36" s="2">
        <v>-999</v>
      </c>
      <c r="O36" s="18" t="s">
        <v>182</v>
      </c>
      <c r="P36" s="161">
        <f>INDEX(Q32:X32,MATCH(P35,Q32:X32,1))</f>
        <v>760</v>
      </c>
      <c r="Q36" s="18" t="s">
        <v>136</v>
      </c>
      <c r="R36" s="49">
        <f>MATCH(MAX(P33),P33,1)</f>
        <v>1</v>
      </c>
      <c r="T36" s="1"/>
      <c r="U36" s="1"/>
      <c r="V36" s="1"/>
      <c r="W36" s="18"/>
      <c r="X36" s="161"/>
      <c r="Y36" s="18"/>
    </row>
    <row r="37" spans="1:44" ht="15" customHeight="1">
      <c r="A37">
        <v>11000</v>
      </c>
      <c r="B37" s="256">
        <v>595</v>
      </c>
      <c r="C37" s="257">
        <v>710</v>
      </c>
      <c r="D37" s="257">
        <v>830</v>
      </c>
      <c r="E37" s="257">
        <v>930</v>
      </c>
      <c r="F37" s="2">
        <v>-999</v>
      </c>
      <c r="O37" s="18" t="s">
        <v>183</v>
      </c>
      <c r="P37" s="161">
        <f t="array" ref="P37">INDEX(Q32:X32,IF(MATCH(P35,Q32:X32,1)&lt;R37,MATCH(P35,Q32:X32,1)+1,MATCH(P35,Q32:X32,1)))</f>
        <v>1000</v>
      </c>
      <c r="Q37" s="18" t="s">
        <v>137</v>
      </c>
      <c r="R37" s="49">
        <f>MATCH(MAX(Q32:X32),Q32:X32,0)</f>
        <v>8</v>
      </c>
      <c r="T37" s="1"/>
      <c r="U37" s="1"/>
      <c r="V37" s="1"/>
      <c r="W37" s="18"/>
      <c r="X37" s="161"/>
      <c r="Y37" s="18"/>
    </row>
    <row r="38" spans="1:44" ht="15" customHeight="1">
      <c r="A38">
        <v>11500</v>
      </c>
      <c r="B38" s="256">
        <v>530</v>
      </c>
      <c r="C38" s="257">
        <v>640</v>
      </c>
      <c r="D38" s="257">
        <v>760</v>
      </c>
      <c r="E38" s="257">
        <v>860</v>
      </c>
      <c r="F38" s="2">
        <v>-999</v>
      </c>
      <c r="O38" s="159" t="s">
        <v>139</v>
      </c>
      <c r="P38" s="205">
        <v>1</v>
      </c>
      <c r="Q38" s="1"/>
      <c r="R38" s="1"/>
      <c r="T38" s="1"/>
      <c r="U38" s="1"/>
      <c r="V38" s="1"/>
      <c r="W38" s="159"/>
      <c r="X38" s="205"/>
      <c r="Y38" s="1"/>
    </row>
    <row r="39" spans="1:44" ht="15" customHeight="1">
      <c r="A39">
        <v>12000</v>
      </c>
      <c r="B39" s="256">
        <v>460</v>
      </c>
      <c r="C39" s="257">
        <v>580</v>
      </c>
      <c r="D39" s="257">
        <v>700</v>
      </c>
      <c r="E39" s="257">
        <v>800</v>
      </c>
      <c r="F39" s="2">
        <v>-999</v>
      </c>
      <c r="O39" s="18" t="s">
        <v>140</v>
      </c>
      <c r="P39" s="161">
        <f>INDEX(P33,MATCH(P38,P33,1))</f>
        <v>1</v>
      </c>
      <c r="Q39" s="1"/>
      <c r="R39" s="40"/>
      <c r="T39" s="1"/>
      <c r="U39" s="1"/>
      <c r="V39" s="1"/>
      <c r="W39" s="18"/>
      <c r="X39" s="161"/>
      <c r="Y39" s="1"/>
    </row>
    <row r="40" spans="1:44" ht="15" customHeight="1" thickBot="1">
      <c r="A40">
        <v>12500</v>
      </c>
      <c r="B40" s="260">
        <v>410</v>
      </c>
      <c r="C40" s="261">
        <v>530</v>
      </c>
      <c r="D40" s="261">
        <v>640</v>
      </c>
      <c r="E40" s="261">
        <v>750</v>
      </c>
      <c r="F40" s="2">
        <v>-999</v>
      </c>
      <c r="O40" s="18" t="s">
        <v>141</v>
      </c>
      <c r="P40" s="161">
        <f t="array" ref="P40">INDEX(P33,IF(MATCH(P38,P33,1)&lt;R36,MATCH(P38,P33,1)+1,MATCH(P38,P33,1)))</f>
        <v>1</v>
      </c>
      <c r="Q40" s="1"/>
      <c r="R40" s="40"/>
      <c r="T40" s="1"/>
      <c r="U40" s="1"/>
      <c r="V40" s="1"/>
      <c r="W40" s="18"/>
      <c r="X40" s="161"/>
      <c r="Y40" s="1"/>
    </row>
    <row r="41" spans="1:44" ht="15" customHeight="1" thickBot="1">
      <c r="A41">
        <v>12600</v>
      </c>
      <c r="B41" s="235">
        <v>-999</v>
      </c>
      <c r="C41" s="241">
        <v>-999</v>
      </c>
      <c r="D41" s="236">
        <v>-999</v>
      </c>
      <c r="E41" s="236">
        <v>-999</v>
      </c>
      <c r="F41" s="250">
        <v>-999</v>
      </c>
      <c r="G41" s="217"/>
      <c r="H41" s="1"/>
      <c r="I41" s="1"/>
      <c r="J41" s="217"/>
      <c r="K41" s="217"/>
      <c r="L41" s="217"/>
      <c r="M41" s="217"/>
      <c r="O41" s="159" t="s">
        <v>142</v>
      </c>
      <c r="P41" s="160">
        <f>INDEX(Q33:X33,MATCH(P38,P33,1),MATCH(P35,Q32:X32,1))</f>
        <v>7</v>
      </c>
      <c r="Q41" s="1"/>
      <c r="R41" s="40"/>
      <c r="T41" s="1"/>
      <c r="U41" s="1"/>
      <c r="V41" s="1"/>
      <c r="W41" s="159"/>
      <c r="X41" s="160"/>
      <c r="Y41" s="1"/>
      <c r="AB41" s="217"/>
      <c r="AC41" s="217"/>
      <c r="AD41" s="217"/>
      <c r="AE41" s="217"/>
      <c r="AN41" s="217"/>
      <c r="AO41" s="217"/>
      <c r="AP41" s="217"/>
      <c r="AQ41" s="217"/>
      <c r="AR41" s="217"/>
    </row>
    <row r="42" spans="1:44" ht="15" customHeight="1">
      <c r="B42" s="159"/>
      <c r="C42" s="160"/>
      <c r="G42" s="1"/>
      <c r="H42" s="1"/>
      <c r="I42" s="1"/>
      <c r="J42" s="159"/>
      <c r="K42" s="160"/>
      <c r="O42" s="159" t="s">
        <v>184</v>
      </c>
      <c r="P42" s="160">
        <f t="array" ref="P42">INDEX(Q33:X33,MATCH(P38,P33,1),IF(MATCH(P35,Q32:X32,1)&lt;R37,MATCH(P35,Q32:X32,1)+1,MATCH(P38,P33,1)))</f>
        <v>7</v>
      </c>
      <c r="R42" s="40"/>
      <c r="T42" s="1"/>
      <c r="U42" s="1"/>
      <c r="V42" s="1"/>
      <c r="W42" s="159"/>
      <c r="X42" s="160"/>
    </row>
    <row r="43" spans="1:44" ht="15" customHeight="1">
      <c r="B43" s="159" t="s">
        <v>138</v>
      </c>
      <c r="C43" s="160">
        <f>C29</f>
        <v>720</v>
      </c>
      <c r="D43" s="276" t="s">
        <v>181</v>
      </c>
      <c r="E43" s="276"/>
      <c r="G43" s="1"/>
      <c r="H43" s="1"/>
      <c r="I43" s="1"/>
      <c r="J43" s="159"/>
      <c r="K43" s="160"/>
      <c r="L43" s="14"/>
      <c r="O43" s="159" t="s">
        <v>143</v>
      </c>
      <c r="P43" s="160">
        <f t="array" ref="P43">INDEX(Q33:X33,IF(MATCH(P38,P33,1)&lt;R36,MATCH(P38,P33,1)+1,MATCH(P38,P33,1)),MATCH(P35,Q32:X32,1))</f>
        <v>7</v>
      </c>
      <c r="R43" s="40"/>
      <c r="T43" s="1"/>
      <c r="U43" s="1"/>
      <c r="V43" s="1"/>
      <c r="W43" s="159"/>
      <c r="X43" s="160"/>
      <c r="AG43" s="1"/>
      <c r="AH43" s="1"/>
      <c r="AI43" s="1"/>
      <c r="AJ43" s="159"/>
      <c r="AK43" s="160"/>
      <c r="AL43" s="14"/>
    </row>
    <row r="44" spans="1:44" ht="15" customHeight="1">
      <c r="B44" s="18" t="s">
        <v>182</v>
      </c>
      <c r="C44" s="161">
        <f>INDEX(B32:F32,MATCH(C43,B32:F32,1))</f>
        <v>640</v>
      </c>
      <c r="D44" s="18" t="s">
        <v>136</v>
      </c>
      <c r="E44" s="49">
        <f>MATCH(MAX(A33:A41),A33:A41,1)</f>
        <v>9</v>
      </c>
      <c r="G44" s="1"/>
      <c r="H44" s="1"/>
      <c r="I44" s="1"/>
      <c r="J44" s="18"/>
      <c r="K44" s="161"/>
      <c r="L44" s="18"/>
      <c r="M44" s="49"/>
      <c r="O44" s="159" t="s">
        <v>185</v>
      </c>
      <c r="P44" s="160">
        <f t="array" ref="P44">INDEX(Q33:X33,IF(MATCH(P38,P33,1)&lt;R36,MATCH(P38,P33,1)+1,MATCH(P38,P33,1)),IF(MATCH(P35,Q32:X32,1)&lt;R37,MATCH(P35,Q32:X32,1)+1,MATCH(P35,Q32:X32,1)))</f>
        <v>7</v>
      </c>
      <c r="T44" s="1"/>
      <c r="U44" s="1"/>
      <c r="V44" s="1"/>
      <c r="W44" s="159"/>
      <c r="X44" s="160"/>
      <c r="AG44" s="1"/>
      <c r="AH44" s="1"/>
      <c r="AI44" s="1"/>
      <c r="AJ44" s="18"/>
      <c r="AK44" s="161"/>
      <c r="AL44" s="18"/>
    </row>
    <row r="45" spans="1:44" ht="15" customHeight="1">
      <c r="B45" s="18" t="s">
        <v>183</v>
      </c>
      <c r="C45" s="161">
        <f t="array" ref="C45">INDEX(B32:F32,IF(MATCH(C43,B32:F32,1)&lt;E45,MATCH(C43,B32:F32,1)+1,MATCH(C43,B32:F32,1)))</f>
        <v>750</v>
      </c>
      <c r="D45" s="18" t="s">
        <v>137</v>
      </c>
      <c r="E45" s="49">
        <f>MATCH(MAX(B32:F32),B32:F32,0)</f>
        <v>5</v>
      </c>
      <c r="G45" s="1"/>
      <c r="H45" s="1"/>
      <c r="I45" s="1"/>
      <c r="J45" s="18"/>
      <c r="K45" s="161"/>
      <c r="L45" s="18"/>
      <c r="M45" s="49"/>
      <c r="O45" s="18" t="s">
        <v>186</v>
      </c>
      <c r="P45" s="161">
        <f>IFERROR(P41+(P35-P36)*(P42-P41)/(P37-P36),P41)</f>
        <v>7</v>
      </c>
      <c r="T45" s="1"/>
      <c r="U45" s="1"/>
      <c r="V45" s="1"/>
      <c r="W45" s="18"/>
      <c r="X45" s="161"/>
      <c r="AG45" s="1"/>
      <c r="AH45" s="1"/>
      <c r="AI45" s="1"/>
      <c r="AJ45" s="18"/>
      <c r="AK45" s="161"/>
      <c r="AL45" s="18"/>
    </row>
    <row r="46" spans="1:44" ht="15" customHeight="1">
      <c r="B46" s="159" t="s">
        <v>139</v>
      </c>
      <c r="C46" s="205">
        <f>Landing!C11</f>
        <v>11000</v>
      </c>
      <c r="D46" s="1"/>
      <c r="E46" s="1"/>
      <c r="G46" s="1"/>
      <c r="H46" s="1"/>
      <c r="I46" s="1"/>
      <c r="J46" s="159"/>
      <c r="K46" s="205"/>
      <c r="L46" s="1"/>
      <c r="M46" s="1"/>
      <c r="O46" s="18" t="s">
        <v>187</v>
      </c>
      <c r="P46" s="161">
        <f>IFERROR(P43+(P35-P36)*(P44-P43)/(P37-P36),P43)</f>
        <v>7</v>
      </c>
      <c r="T46" s="1"/>
      <c r="U46" s="1"/>
      <c r="V46" s="1"/>
      <c r="W46" s="18"/>
      <c r="X46" s="161"/>
      <c r="AG46" s="1"/>
      <c r="AH46" s="1"/>
      <c r="AI46" s="1"/>
      <c r="AJ46" s="159"/>
      <c r="AK46" s="205"/>
      <c r="AL46" s="1"/>
    </row>
    <row r="47" spans="1:44" ht="15" customHeight="1">
      <c r="B47" s="18" t="s">
        <v>140</v>
      </c>
      <c r="C47" s="161">
        <f>INDEX(A33:A41,MATCH(C46,A33:A41,1))</f>
        <v>11000</v>
      </c>
      <c r="D47" s="1"/>
      <c r="E47" s="40"/>
      <c r="G47" s="1"/>
      <c r="H47" s="1"/>
      <c r="I47" s="1"/>
      <c r="J47" s="18"/>
      <c r="K47" s="161"/>
      <c r="L47" s="1"/>
      <c r="M47" s="40"/>
      <c r="O47" s="159" t="s">
        <v>188</v>
      </c>
      <c r="P47" s="205">
        <f>IFERROR(P45+(P38-P39)*(P46-P45)/(P40-P39),P45)</f>
        <v>7</v>
      </c>
      <c r="T47" s="1"/>
      <c r="U47" s="1"/>
      <c r="V47" s="1"/>
      <c r="W47" s="159"/>
      <c r="X47" s="160"/>
      <c r="AG47" s="1"/>
      <c r="AH47" s="1"/>
      <c r="AI47" s="1"/>
      <c r="AJ47" s="18"/>
      <c r="AK47" s="161"/>
      <c r="AL47" s="1"/>
    </row>
    <row r="48" spans="1:44" ht="15" customHeight="1">
      <c r="B48" s="18" t="s">
        <v>141</v>
      </c>
      <c r="C48" s="161">
        <f t="array" ref="C48">INDEX(A33:A41,IF(MATCH(C46,A33:A41,1)&lt;E44,MATCH(C46,A33:A41,1)+1,MATCH(C46,A33:A41,1)))</f>
        <v>11500</v>
      </c>
      <c r="D48" s="1"/>
      <c r="E48" s="40"/>
      <c r="G48" s="1"/>
      <c r="H48" s="1"/>
      <c r="I48" s="1"/>
      <c r="J48" s="18"/>
      <c r="K48" s="161"/>
      <c r="L48" s="1"/>
      <c r="M48" s="40"/>
      <c r="AG48" s="1"/>
      <c r="AH48" s="1"/>
      <c r="AI48" s="1"/>
      <c r="AJ48" s="18"/>
      <c r="AK48" s="161"/>
      <c r="AL48" s="1"/>
    </row>
    <row r="49" spans="2:38" ht="15" customHeight="1">
      <c r="B49" s="159" t="s">
        <v>142</v>
      </c>
      <c r="C49" s="160">
        <f>INDEX(B33:F41,MATCH(C46,A33:A41,1),MATCH(C43,B32:F32,1))</f>
        <v>830</v>
      </c>
      <c r="D49" s="1"/>
      <c r="E49" s="40"/>
      <c r="G49" s="1"/>
      <c r="H49" s="1"/>
      <c r="I49" s="1"/>
      <c r="J49" s="159"/>
      <c r="K49" s="160"/>
      <c r="L49" s="1"/>
      <c r="M49" s="40"/>
      <c r="AG49" s="1"/>
      <c r="AH49" s="1"/>
      <c r="AI49" s="1"/>
      <c r="AJ49" s="159"/>
      <c r="AK49" s="160"/>
      <c r="AL49" s="1"/>
    </row>
    <row r="50" spans="2:38" ht="15" customHeight="1">
      <c r="B50" s="159" t="s">
        <v>184</v>
      </c>
      <c r="C50" s="160">
        <f t="array" ref="C50">INDEX(B33:F41,MATCH(C46,A33:A41,1),IF(MATCH(C43,B32:F32,1)&lt;E45,MATCH(C43,B32:F32,1)+1,MATCH(C46,A33:A41,1)))</f>
        <v>930</v>
      </c>
      <c r="E50" s="40"/>
      <c r="G50" s="1"/>
      <c r="H50" s="1"/>
      <c r="I50" s="1"/>
      <c r="J50" s="159"/>
      <c r="K50" s="160"/>
      <c r="M50" s="40"/>
      <c r="AG50" s="1"/>
      <c r="AH50" s="1"/>
      <c r="AI50" s="1"/>
      <c r="AJ50" s="159"/>
      <c r="AK50" s="160"/>
    </row>
    <row r="51" spans="2:38" ht="15" customHeight="1">
      <c r="B51" s="159" t="s">
        <v>143</v>
      </c>
      <c r="C51" s="160">
        <f t="array" ref="C51">INDEX(B33:F41,IF(MATCH(C46,A33:A41,1)&lt;E44,MATCH(C46,A33:A41,1)+1,MATCH(C46,A33:A41,1)),MATCH(C43,B32:F32,1))</f>
        <v>760</v>
      </c>
      <c r="E51" s="40"/>
      <c r="G51" s="1"/>
      <c r="H51" s="1"/>
      <c r="I51" s="1"/>
      <c r="J51" s="159"/>
      <c r="K51" s="160"/>
      <c r="M51" s="40"/>
      <c r="AG51" s="1"/>
      <c r="AH51" s="1"/>
      <c r="AI51" s="1"/>
      <c r="AJ51" s="159"/>
      <c r="AK51" s="160"/>
    </row>
    <row r="52" spans="2:38" ht="15" customHeight="1">
      <c r="B52" s="159" t="s">
        <v>185</v>
      </c>
      <c r="C52" s="160">
        <f t="array" ref="C52">INDEX(B33:F41,IF(MATCH(C46,A33:A41,1)&lt;E44,MATCH(C46,A33:A41,1)+1,MATCH(C46,A33:A41,1)),IF(MATCH(C43,B32:F32,1)&lt;E45,MATCH(C43,B32:F32,1)+1,MATCH(C43,B32:F32,1)))</f>
        <v>860</v>
      </c>
      <c r="G52" s="1"/>
      <c r="H52" s="1"/>
      <c r="I52" s="1"/>
      <c r="J52" s="159"/>
      <c r="K52" s="160"/>
      <c r="AG52" s="1"/>
      <c r="AH52" s="1"/>
      <c r="AI52" s="1"/>
      <c r="AJ52" s="159"/>
      <c r="AK52" s="160"/>
    </row>
    <row r="53" spans="2:38" ht="15" customHeight="1">
      <c r="B53" s="18" t="s">
        <v>186</v>
      </c>
      <c r="C53" s="161">
        <f>IFERROR(C49+(C43-C44)*(C50-C49)/(C45-C44),C49)</f>
        <v>902.72727272727275</v>
      </c>
      <c r="G53" s="1"/>
      <c r="H53" s="1"/>
      <c r="I53" s="1"/>
      <c r="J53" s="18"/>
      <c r="K53" s="161"/>
      <c r="AG53" s="1"/>
      <c r="AH53" s="1"/>
      <c r="AI53" s="1"/>
      <c r="AJ53" s="18"/>
      <c r="AK53" s="161"/>
    </row>
    <row r="54" spans="2:38" ht="15" customHeight="1">
      <c r="B54" s="18" t="s">
        <v>187</v>
      </c>
      <c r="C54" s="161">
        <f>IFERROR(C51+(C43-C44)*(C52-C51)/(C45-C44),C51)</f>
        <v>832.72727272727275</v>
      </c>
      <c r="G54" s="1"/>
      <c r="H54" s="1"/>
      <c r="I54" s="1"/>
      <c r="J54" s="18"/>
      <c r="K54" s="161"/>
      <c r="AG54" s="1"/>
      <c r="AH54" s="1"/>
      <c r="AI54" s="1"/>
      <c r="AJ54" s="18"/>
      <c r="AK54" s="161"/>
    </row>
    <row r="55" spans="2:38" ht="15" customHeight="1">
      <c r="B55" s="159" t="s">
        <v>188</v>
      </c>
      <c r="C55" s="262">
        <f>IFERROR(C53+(C46-C47)*(C54-C53)/(C48-C47),C53)</f>
        <v>902.72727272727275</v>
      </c>
      <c r="G55" s="1"/>
      <c r="J55" s="159"/>
      <c r="K55" s="160"/>
      <c r="AG55" s="1"/>
      <c r="AH55" s="1"/>
      <c r="AI55" s="1"/>
      <c r="AJ55" s="159"/>
      <c r="AK55" s="160"/>
    </row>
    <row r="56" spans="2:38" ht="15" customHeight="1">
      <c r="B56" t="s">
        <v>201</v>
      </c>
      <c r="C56" s="22">
        <f>C55-100</f>
        <v>802.72727272727275</v>
      </c>
    </row>
  </sheetData>
  <mergeCells count="9">
    <mergeCell ref="D43:E43"/>
    <mergeCell ref="B3:L3"/>
    <mergeCell ref="B4:F4"/>
    <mergeCell ref="D17:E17"/>
    <mergeCell ref="AR17:AS17"/>
    <mergeCell ref="AZ17:BA17"/>
    <mergeCell ref="B31:G31"/>
    <mergeCell ref="O31:T31"/>
    <mergeCell ref="Q35:R35"/>
  </mergeCells>
  <conditionalFormatting sqref="B33:E40">
    <cfRule type="colorScale" priority="34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32">
      <colorScale>
        <cfvo type="min"/>
        <cfvo type="max"/>
        <color rgb="FFFCFCFF"/>
        <color rgb="FFF8696B"/>
      </colorScale>
    </cfRule>
  </conditionalFormatting>
  <conditionalFormatting sqref="K6:N15">
    <cfRule type="colorScale" priority="3">
      <colorScale>
        <cfvo type="min"/>
        <cfvo type="max"/>
        <color rgb="FFFCFCFF"/>
        <color rgb="FFF8696B"/>
      </colorScale>
    </cfRule>
  </conditionalFormatting>
  <conditionalFormatting sqref="Q33:W33">
    <cfRule type="colorScale" priority="35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C57"/>
  <sheetViews>
    <sheetView topLeftCell="A22" zoomScaleNormal="100" workbookViewId="0">
      <selection activeCell="AE16" sqref="AE16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50"/>
      <c r="B1" s="18" t="s">
        <v>175</v>
      </c>
      <c r="C1" s="159" t="s">
        <v>138</v>
      </c>
      <c r="D1" s="221">
        <f>IF('Take-off'!$C$9="",'Take-off'!$C$16,MAX(0,'Take-off'!$C$16+30*(1013-'Take-off'!$C$9)))+35</f>
        <v>35</v>
      </c>
      <c r="F1" s="222" t="s">
        <v>202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243"/>
      <c r="AW1" s="150"/>
      <c r="AX1" s="150"/>
      <c r="AY1" s="150"/>
      <c r="AZ1" s="150"/>
      <c r="BA1" s="150"/>
      <c r="BB1" s="150"/>
      <c r="BC1" s="150"/>
    </row>
    <row r="2" spans="1:55" ht="14.25" customHeight="1">
      <c r="A2" s="150"/>
      <c r="B2" s="18" t="s">
        <v>177</v>
      </c>
      <c r="C2" s="159" t="s">
        <v>139</v>
      </c>
      <c r="D2" s="221">
        <f>IF('Take-off'!$C$13='Dropdown lists'!$B$30, 'Take-off'!$C$8+10, 'Take-off'!$C$8)</f>
        <v>-35</v>
      </c>
      <c r="E2" s="223" t="s">
        <v>193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243"/>
      <c r="AW2" s="150"/>
      <c r="AX2" s="150"/>
      <c r="AY2" s="150"/>
      <c r="AZ2" s="150"/>
      <c r="BA2" s="150"/>
      <c r="BB2" s="150"/>
      <c r="BC2" s="150"/>
    </row>
    <row r="3" spans="1:55" ht="14.25" customHeight="1">
      <c r="A3" s="150"/>
      <c r="B3" s="303" t="s">
        <v>198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150"/>
      <c r="N3" s="150"/>
      <c r="O3" s="303" t="s">
        <v>203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150"/>
      <c r="AA3" s="150"/>
      <c r="AB3" s="303" t="s">
        <v>204</v>
      </c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150"/>
      <c r="AN3" s="150"/>
      <c r="AO3" s="150"/>
      <c r="AP3" s="150"/>
      <c r="AQ3" s="150"/>
      <c r="AR3" s="150"/>
      <c r="AS3" s="150"/>
      <c r="AT3" s="150"/>
      <c r="AU3" s="150"/>
      <c r="AV3" s="243"/>
      <c r="AW3" s="150"/>
      <c r="AX3" s="150"/>
      <c r="AY3" s="150"/>
      <c r="AZ3" s="150"/>
      <c r="BA3" s="150"/>
      <c r="BB3" s="150"/>
      <c r="BC3" s="150"/>
    </row>
    <row r="4" spans="1:55" ht="15" customHeight="1">
      <c r="B4" s="275" t="s">
        <v>196</v>
      </c>
      <c r="C4" s="275"/>
      <c r="D4" s="275"/>
      <c r="E4" s="275"/>
      <c r="F4" s="275"/>
      <c r="G4" s="14"/>
      <c r="H4" s="14"/>
      <c r="I4" s="14"/>
      <c r="J4" s="14"/>
      <c r="K4" s="14"/>
      <c r="L4" s="14"/>
      <c r="M4" s="14"/>
      <c r="O4" s="275" t="s">
        <v>196</v>
      </c>
      <c r="P4" s="275"/>
      <c r="Q4" s="275"/>
      <c r="R4" s="275"/>
      <c r="S4" s="275"/>
      <c r="T4" s="14"/>
      <c r="U4" s="14"/>
      <c r="V4" s="14"/>
      <c r="W4" s="14"/>
      <c r="X4" s="14"/>
      <c r="Y4" s="14"/>
      <c r="Z4" s="159"/>
      <c r="AB4" s="275" t="s">
        <v>196</v>
      </c>
      <c r="AC4" s="275"/>
      <c r="AD4" s="275"/>
      <c r="AE4" s="275"/>
      <c r="AF4" s="275"/>
      <c r="AG4" s="14"/>
      <c r="AH4" s="14"/>
      <c r="AI4" s="14"/>
      <c r="AJ4" s="14"/>
      <c r="AK4" s="14"/>
      <c r="AL4" s="14"/>
      <c r="AM4" s="1"/>
      <c r="AN4" s="1"/>
      <c r="AO4" s="1"/>
      <c r="AP4" s="159"/>
      <c r="AQ4" s="160"/>
      <c r="AU4" s="1"/>
      <c r="AV4" s="1"/>
      <c r="AW4" s="1"/>
      <c r="AX4" s="159"/>
      <c r="AY4" s="160"/>
    </row>
    <row r="5" spans="1:55" ht="15" customHeight="1">
      <c r="A5" t="s">
        <v>197</v>
      </c>
      <c r="B5" s="225">
        <v>-500</v>
      </c>
      <c r="C5" s="237">
        <v>0</v>
      </c>
      <c r="D5" s="226">
        <v>1000</v>
      </c>
      <c r="E5" s="47">
        <v>2000</v>
      </c>
      <c r="F5" s="47">
        <v>3000</v>
      </c>
      <c r="G5" s="227">
        <v>4000</v>
      </c>
      <c r="H5" s="159"/>
      <c r="I5" s="160"/>
      <c r="K5" s="159"/>
      <c r="L5" s="160"/>
      <c r="O5" t="s">
        <v>197</v>
      </c>
      <c r="P5" s="225">
        <v>0</v>
      </c>
      <c r="Q5" s="226">
        <v>1000</v>
      </c>
      <c r="R5" s="47">
        <v>2000</v>
      </c>
      <c r="S5" s="47">
        <v>3000</v>
      </c>
      <c r="T5" s="227">
        <v>4000</v>
      </c>
      <c r="U5" s="159"/>
      <c r="V5" s="160"/>
      <c r="X5" s="159"/>
      <c r="AA5" t="s">
        <v>197</v>
      </c>
      <c r="AB5" s="225">
        <v>-500</v>
      </c>
      <c r="AC5" s="237">
        <v>0</v>
      </c>
      <c r="AD5" s="226">
        <v>1000</v>
      </c>
      <c r="AE5" s="47">
        <v>2000</v>
      </c>
      <c r="AF5" s="47">
        <v>3000</v>
      </c>
      <c r="AG5" s="227">
        <v>4000</v>
      </c>
      <c r="AH5" s="159"/>
      <c r="AI5" s="160"/>
      <c r="AK5" s="159"/>
      <c r="AL5" s="160"/>
      <c r="AN5" s="159"/>
      <c r="AO5" s="160"/>
      <c r="AS5" s="1"/>
      <c r="AT5" s="1"/>
      <c r="AU5" s="1"/>
      <c r="AV5" s="159"/>
      <c r="AW5" s="160"/>
    </row>
    <row r="6" spans="1:55" ht="15" customHeight="1">
      <c r="A6">
        <v>-40</v>
      </c>
      <c r="B6" s="253">
        <v>5.4</v>
      </c>
      <c r="C6" s="254">
        <v>5.4</v>
      </c>
      <c r="D6" s="254">
        <v>5.2</v>
      </c>
      <c r="E6" s="255">
        <v>5</v>
      </c>
      <c r="F6" s="255">
        <v>4.8</v>
      </c>
      <c r="G6" s="227">
        <v>-99</v>
      </c>
      <c r="H6" s="159"/>
      <c r="I6" s="160"/>
      <c r="K6" s="159"/>
      <c r="L6" s="160"/>
      <c r="O6">
        <v>-30</v>
      </c>
      <c r="P6" s="258"/>
      <c r="Q6" s="259"/>
      <c r="R6" s="263"/>
      <c r="S6" s="263"/>
      <c r="T6" s="227">
        <v>99999</v>
      </c>
      <c r="U6" s="159"/>
      <c r="V6" s="160"/>
      <c r="X6" s="159"/>
      <c r="AA6">
        <v>-40</v>
      </c>
      <c r="AB6" s="258">
        <v>4.2</v>
      </c>
      <c r="AC6" s="259">
        <v>4.2</v>
      </c>
      <c r="AD6" s="259">
        <v>4</v>
      </c>
      <c r="AE6" s="263">
        <v>3.9</v>
      </c>
      <c r="AF6" s="263">
        <v>3.6</v>
      </c>
      <c r="AG6" s="227">
        <v>-99</v>
      </c>
      <c r="AH6" s="159"/>
      <c r="AI6" s="160"/>
      <c r="AK6" s="159"/>
      <c r="AL6" s="160"/>
      <c r="AN6" s="159"/>
      <c r="AO6" s="160"/>
      <c r="AS6" s="1"/>
      <c r="AT6" s="1"/>
      <c r="AU6" s="1"/>
      <c r="AV6" s="159"/>
      <c r="AW6" s="160"/>
    </row>
    <row r="7" spans="1:55" ht="15" customHeight="1">
      <c r="A7">
        <v>-30</v>
      </c>
      <c r="B7" s="256">
        <v>5.4</v>
      </c>
      <c r="C7" s="257">
        <v>5.4</v>
      </c>
      <c r="D7" s="257">
        <v>5.2</v>
      </c>
      <c r="E7" s="168">
        <v>5</v>
      </c>
      <c r="F7" s="168">
        <v>4.8</v>
      </c>
      <c r="G7" s="2">
        <v>-99</v>
      </c>
      <c r="H7" s="159"/>
      <c r="I7" s="160"/>
      <c r="K7" s="159"/>
      <c r="L7" s="160"/>
      <c r="P7" s="264"/>
      <c r="Q7" s="265"/>
      <c r="R7" s="22"/>
      <c r="S7" s="22"/>
      <c r="T7" s="2"/>
      <c r="U7" s="159"/>
      <c r="V7" s="160"/>
      <c r="X7" s="159"/>
      <c r="AA7">
        <v>-30</v>
      </c>
      <c r="AB7" s="264">
        <v>4.2</v>
      </c>
      <c r="AC7" s="265">
        <v>4.2</v>
      </c>
      <c r="AD7" s="265">
        <v>4</v>
      </c>
      <c r="AE7" s="22">
        <v>3.9</v>
      </c>
      <c r="AF7" s="22">
        <v>3.6</v>
      </c>
      <c r="AG7" s="2">
        <v>-99</v>
      </c>
      <c r="AH7" s="159"/>
      <c r="AI7" s="160"/>
      <c r="AK7" s="159"/>
      <c r="AL7" s="160"/>
      <c r="AN7" s="159"/>
      <c r="AO7" s="160"/>
      <c r="AS7" s="1"/>
      <c r="AT7" s="1"/>
      <c r="AU7" s="1"/>
      <c r="AV7" s="159"/>
      <c r="AW7" s="160"/>
    </row>
    <row r="8" spans="1:55" ht="15" customHeight="1">
      <c r="A8">
        <v>-20</v>
      </c>
      <c r="B8" s="256">
        <v>5.4</v>
      </c>
      <c r="C8" s="257">
        <v>5.4</v>
      </c>
      <c r="D8" s="257">
        <v>5.2</v>
      </c>
      <c r="E8" s="168">
        <v>5</v>
      </c>
      <c r="F8" s="168">
        <v>4.8</v>
      </c>
      <c r="G8" s="2">
        <v>-99</v>
      </c>
      <c r="H8" s="159"/>
      <c r="I8" s="160"/>
      <c r="K8" s="159"/>
      <c r="L8" s="160"/>
      <c r="O8">
        <v>-20</v>
      </c>
      <c r="P8" s="264"/>
      <c r="Q8" s="265"/>
      <c r="R8" s="22"/>
      <c r="S8" s="22"/>
      <c r="T8" s="2">
        <v>99999</v>
      </c>
      <c r="U8" s="159"/>
      <c r="V8" s="160"/>
      <c r="X8" s="159"/>
      <c r="AA8">
        <v>-20</v>
      </c>
      <c r="AB8" s="264">
        <v>4.2</v>
      </c>
      <c r="AC8" s="265">
        <v>4.2</v>
      </c>
      <c r="AD8" s="265">
        <v>4</v>
      </c>
      <c r="AE8" s="22">
        <v>3.9</v>
      </c>
      <c r="AF8" s="22">
        <v>3.6</v>
      </c>
      <c r="AG8" s="2">
        <v>-99</v>
      </c>
      <c r="AH8" s="159"/>
      <c r="AI8" s="160"/>
      <c r="AK8" s="159"/>
      <c r="AL8" s="160"/>
      <c r="AN8" s="159"/>
      <c r="AO8" s="160"/>
      <c r="AS8" s="1"/>
      <c r="AT8" s="1"/>
      <c r="AU8" s="1"/>
      <c r="AV8" s="159"/>
      <c r="AW8" s="160"/>
    </row>
    <row r="9" spans="1:55" ht="15" customHeight="1">
      <c r="A9">
        <v>-10</v>
      </c>
      <c r="B9" s="256">
        <v>5.3</v>
      </c>
      <c r="C9" s="257">
        <v>5.3</v>
      </c>
      <c r="D9" s="257">
        <v>5.0999999999999996</v>
      </c>
      <c r="E9" s="168">
        <v>4.9000000000000004</v>
      </c>
      <c r="F9" s="168">
        <v>4.7</v>
      </c>
      <c r="G9" s="2">
        <v>-99</v>
      </c>
      <c r="H9" s="159"/>
      <c r="I9" s="160"/>
      <c r="K9" s="159"/>
      <c r="L9" s="160"/>
      <c r="O9">
        <v>-10</v>
      </c>
      <c r="P9" s="264"/>
      <c r="Q9" s="265"/>
      <c r="R9" s="22"/>
      <c r="S9" s="22"/>
      <c r="T9" s="2">
        <v>99999</v>
      </c>
      <c r="U9" s="159"/>
      <c r="V9" s="160"/>
      <c r="X9" s="159"/>
      <c r="AA9">
        <v>-10</v>
      </c>
      <c r="AB9" s="264">
        <v>4.0999999999999996</v>
      </c>
      <c r="AC9" s="265">
        <v>4.0999999999999996</v>
      </c>
      <c r="AD9" s="265">
        <v>3.9</v>
      </c>
      <c r="AE9" s="22">
        <v>3.6</v>
      </c>
      <c r="AF9" s="22">
        <v>3.4</v>
      </c>
      <c r="AG9" s="2">
        <v>-99</v>
      </c>
      <c r="AH9" s="159"/>
      <c r="AI9" s="160"/>
      <c r="AK9" s="159"/>
      <c r="AL9" s="160"/>
      <c r="AN9" s="159"/>
      <c r="AO9" s="160"/>
      <c r="AS9" s="1"/>
      <c r="AT9" s="1"/>
      <c r="AU9" s="1"/>
      <c r="AV9" s="159"/>
      <c r="AW9" s="160"/>
    </row>
    <row r="10" spans="1:55" ht="15" customHeight="1">
      <c r="A10">
        <v>0</v>
      </c>
      <c r="B10" s="256">
        <v>5.0999999999999996</v>
      </c>
      <c r="C10" s="257">
        <v>5.0999999999999996</v>
      </c>
      <c r="D10" s="257">
        <v>4.9000000000000004</v>
      </c>
      <c r="E10" s="168">
        <v>4.6500000000000004</v>
      </c>
      <c r="F10" s="168">
        <v>4.4000000000000004</v>
      </c>
      <c r="G10" s="2">
        <v>-99</v>
      </c>
      <c r="H10" s="159"/>
      <c r="I10" s="160"/>
      <c r="K10" s="159"/>
      <c r="L10" s="160"/>
      <c r="O10">
        <v>0</v>
      </c>
      <c r="P10" s="264"/>
      <c r="Q10" s="265"/>
      <c r="R10" s="22"/>
      <c r="S10" s="22"/>
      <c r="T10" s="2">
        <v>99999</v>
      </c>
      <c r="U10" s="159"/>
      <c r="V10" s="160"/>
      <c r="X10" s="159"/>
      <c r="AA10">
        <v>0</v>
      </c>
      <c r="AB10" s="264">
        <v>3.8</v>
      </c>
      <c r="AC10" s="265">
        <v>3.8</v>
      </c>
      <c r="AD10" s="265">
        <v>3.6</v>
      </c>
      <c r="AE10" s="22">
        <v>3.4</v>
      </c>
      <c r="AF10" s="22">
        <v>3.2</v>
      </c>
      <c r="AG10" s="2">
        <v>-99</v>
      </c>
      <c r="AH10" s="159"/>
      <c r="AI10" s="160"/>
      <c r="AK10" s="159"/>
      <c r="AL10" s="160"/>
      <c r="AN10" s="159"/>
      <c r="AO10" s="160"/>
      <c r="AS10" s="1"/>
      <c r="AT10" s="1"/>
      <c r="AU10" s="1"/>
      <c r="AV10" s="159"/>
      <c r="AW10" s="160"/>
    </row>
    <row r="11" spans="1:55" ht="15" customHeight="1">
      <c r="A11">
        <v>10</v>
      </c>
      <c r="B11" s="256">
        <v>4.9000000000000004</v>
      </c>
      <c r="C11" s="257">
        <v>4.9000000000000004</v>
      </c>
      <c r="D11" s="257">
        <v>4.7</v>
      </c>
      <c r="E11" s="168">
        <v>4.5</v>
      </c>
      <c r="F11" s="168">
        <v>4.2</v>
      </c>
      <c r="G11" s="2">
        <v>-99</v>
      </c>
      <c r="H11" s="159"/>
      <c r="I11" s="160"/>
      <c r="K11" s="159"/>
      <c r="L11" s="160"/>
      <c r="O11">
        <v>10</v>
      </c>
      <c r="P11" s="264"/>
      <c r="Q11" s="265"/>
      <c r="R11" s="22"/>
      <c r="S11" s="22"/>
      <c r="T11" s="2">
        <v>99999</v>
      </c>
      <c r="U11" s="159"/>
      <c r="V11" s="160"/>
      <c r="X11" s="159"/>
      <c r="AA11">
        <v>10</v>
      </c>
      <c r="AB11" s="264">
        <v>3.6</v>
      </c>
      <c r="AC11" s="265">
        <v>3.6</v>
      </c>
      <c r="AD11" s="265">
        <v>3.4</v>
      </c>
      <c r="AE11" s="22">
        <v>3.2</v>
      </c>
      <c r="AF11" s="22">
        <v>2.9</v>
      </c>
      <c r="AG11" s="2">
        <v>-99</v>
      </c>
      <c r="AH11" s="159"/>
      <c r="AI11" s="160"/>
      <c r="AK11" s="159"/>
      <c r="AL11" s="160"/>
      <c r="AN11" s="159"/>
      <c r="AO11" s="160"/>
      <c r="AS11" s="1"/>
      <c r="AT11" s="1"/>
      <c r="AU11" s="1"/>
      <c r="AV11" s="159"/>
      <c r="AW11" s="160"/>
    </row>
    <row r="12" spans="1:55" ht="15" customHeight="1">
      <c r="A12">
        <v>20</v>
      </c>
      <c r="B12" s="256">
        <v>4.7</v>
      </c>
      <c r="C12" s="257">
        <v>4.7</v>
      </c>
      <c r="D12" s="257">
        <v>4.5</v>
      </c>
      <c r="E12" s="168">
        <v>4.3</v>
      </c>
      <c r="F12" s="168">
        <v>3.9</v>
      </c>
      <c r="G12" s="2">
        <v>-99</v>
      </c>
      <c r="H12" s="159"/>
      <c r="I12" s="160"/>
      <c r="K12" s="159"/>
      <c r="L12" s="160"/>
      <c r="O12">
        <v>20</v>
      </c>
      <c r="P12" s="264"/>
      <c r="Q12" s="265"/>
      <c r="R12" s="22"/>
      <c r="S12" s="22"/>
      <c r="T12" s="2">
        <v>99999</v>
      </c>
      <c r="U12" s="159"/>
      <c r="V12" s="160"/>
      <c r="X12" s="159"/>
      <c r="AA12">
        <v>20</v>
      </c>
      <c r="AB12" s="264">
        <v>3.4</v>
      </c>
      <c r="AC12" s="265">
        <v>3.4</v>
      </c>
      <c r="AD12" s="265">
        <v>3.2</v>
      </c>
      <c r="AE12" s="22">
        <v>3</v>
      </c>
      <c r="AF12" s="22">
        <v>2.5</v>
      </c>
      <c r="AG12" s="2">
        <v>-99</v>
      </c>
      <c r="AH12" s="159"/>
      <c r="AI12" s="160"/>
      <c r="AK12" s="159"/>
      <c r="AL12" s="160"/>
      <c r="AN12" s="159"/>
      <c r="AO12" s="160"/>
      <c r="AS12" s="1"/>
      <c r="AT12" s="1"/>
      <c r="AU12" s="1"/>
      <c r="AV12" s="159"/>
      <c r="AW12" s="160"/>
    </row>
    <row r="13" spans="1:55" ht="15" customHeight="1">
      <c r="A13">
        <v>24</v>
      </c>
      <c r="B13" s="256">
        <v>4.5999999999999996</v>
      </c>
      <c r="C13" s="257">
        <v>4.5999999999999996</v>
      </c>
      <c r="D13" s="257">
        <v>4.4000000000000004</v>
      </c>
      <c r="E13" s="168">
        <v>4.2</v>
      </c>
      <c r="F13" s="168">
        <v>3.8</v>
      </c>
      <c r="G13" s="2">
        <v>-99</v>
      </c>
      <c r="H13" s="159"/>
      <c r="I13" s="160"/>
      <c r="K13" s="159"/>
      <c r="L13" s="160"/>
      <c r="P13" s="264"/>
      <c r="Q13" s="265"/>
      <c r="R13" s="22"/>
      <c r="S13" s="22"/>
      <c r="T13" s="2"/>
      <c r="U13" s="159"/>
      <c r="V13" s="160"/>
      <c r="X13" s="159"/>
      <c r="AA13">
        <v>24</v>
      </c>
      <c r="AB13" s="264">
        <v>3.35</v>
      </c>
      <c r="AC13" s="265">
        <v>3.35</v>
      </c>
      <c r="AD13" s="265">
        <v>3.35</v>
      </c>
      <c r="AE13" s="22">
        <v>2.9</v>
      </c>
      <c r="AF13" s="22">
        <v>2.4</v>
      </c>
      <c r="AG13" s="2">
        <v>-99</v>
      </c>
      <c r="AH13" s="159"/>
      <c r="AI13" s="160"/>
      <c r="AK13" s="159"/>
      <c r="AL13" s="160"/>
      <c r="AN13" s="159"/>
      <c r="AO13" s="160"/>
      <c r="AS13" s="1"/>
      <c r="AT13" s="1"/>
      <c r="AU13" s="1"/>
      <c r="AV13" s="159"/>
      <c r="AW13" s="160"/>
    </row>
    <row r="14" spans="1:55" ht="15" customHeight="1">
      <c r="A14">
        <v>30</v>
      </c>
      <c r="B14" s="256">
        <v>4.5</v>
      </c>
      <c r="C14" s="257">
        <v>4.5</v>
      </c>
      <c r="D14" s="257">
        <v>4.0999999999999996</v>
      </c>
      <c r="E14" s="168">
        <v>3.7</v>
      </c>
      <c r="F14" s="168">
        <v>3.35</v>
      </c>
      <c r="G14" s="2">
        <v>-99</v>
      </c>
      <c r="H14" s="159"/>
      <c r="I14" s="160"/>
      <c r="K14" s="159"/>
      <c r="L14" s="160"/>
      <c r="O14">
        <v>30</v>
      </c>
      <c r="P14" s="264"/>
      <c r="Q14" s="265"/>
      <c r="R14" s="22"/>
      <c r="S14" s="22"/>
      <c r="T14" s="2">
        <v>99999</v>
      </c>
      <c r="U14" s="159"/>
      <c r="V14" s="160"/>
      <c r="X14" s="159"/>
      <c r="AA14">
        <v>30</v>
      </c>
      <c r="AB14" s="264">
        <v>3.2</v>
      </c>
      <c r="AC14" s="265">
        <v>3.2</v>
      </c>
      <c r="AD14" s="265">
        <v>2.8</v>
      </c>
      <c r="AE14" s="22">
        <v>2.4</v>
      </c>
      <c r="AF14" s="22">
        <v>2</v>
      </c>
      <c r="AG14" s="2">
        <v>-99</v>
      </c>
      <c r="AH14" s="159"/>
      <c r="AI14" s="160"/>
      <c r="AK14" s="159"/>
      <c r="AL14" s="160"/>
      <c r="AN14" s="159"/>
      <c r="AO14" s="160"/>
      <c r="AS14" s="1"/>
      <c r="AT14" s="1"/>
      <c r="AU14" s="1"/>
      <c r="AV14" s="159"/>
      <c r="AW14" s="160"/>
    </row>
    <row r="15" spans="1:55" ht="15" customHeight="1">
      <c r="A15">
        <v>40</v>
      </c>
      <c r="B15" s="256">
        <v>3.7</v>
      </c>
      <c r="C15" s="257">
        <v>3.7</v>
      </c>
      <c r="D15" s="257">
        <v>3.4</v>
      </c>
      <c r="E15" s="168">
        <v>3</v>
      </c>
      <c r="F15" s="168">
        <v>2.6</v>
      </c>
      <c r="G15" s="2">
        <v>-99</v>
      </c>
      <c r="H15" s="159"/>
      <c r="I15" s="160"/>
      <c r="K15" s="159"/>
      <c r="L15" s="160"/>
      <c r="P15" s="264"/>
      <c r="Q15" s="265"/>
      <c r="R15" s="22"/>
      <c r="S15" s="22"/>
      <c r="T15" s="2"/>
      <c r="U15" s="159"/>
      <c r="V15" s="160"/>
      <c r="X15" s="159"/>
      <c r="AA15">
        <v>40</v>
      </c>
      <c r="AB15" s="264">
        <v>2.4</v>
      </c>
      <c r="AC15" s="265">
        <v>2.4</v>
      </c>
      <c r="AD15" s="265">
        <v>2</v>
      </c>
      <c r="AE15" s="22">
        <v>1.6</v>
      </c>
      <c r="AF15" s="22">
        <v>1</v>
      </c>
      <c r="AG15" s="2">
        <v>-99</v>
      </c>
      <c r="AH15" s="159"/>
      <c r="AI15" s="160"/>
      <c r="AK15" s="159"/>
      <c r="AL15" s="160"/>
      <c r="AN15" s="159"/>
      <c r="AO15" s="160"/>
      <c r="AS15" s="1"/>
      <c r="AT15" s="1"/>
      <c r="AU15" s="1"/>
      <c r="AV15" s="159"/>
      <c r="AW15" s="160"/>
    </row>
    <row r="16" spans="1:55" ht="15" customHeight="1">
      <c r="A16">
        <v>45</v>
      </c>
      <c r="B16" s="235">
        <v>-99</v>
      </c>
      <c r="C16" s="241">
        <v>-99</v>
      </c>
      <c r="D16" s="236">
        <v>-99</v>
      </c>
      <c r="E16" s="236">
        <v>-99</v>
      </c>
      <c r="F16" s="236">
        <v>-99</v>
      </c>
      <c r="G16" s="244">
        <v>-99</v>
      </c>
      <c r="H16" s="159"/>
      <c r="I16" s="160"/>
      <c r="K16" s="159"/>
      <c r="L16" s="160"/>
      <c r="O16">
        <v>35</v>
      </c>
      <c r="P16" s="235">
        <v>99999</v>
      </c>
      <c r="Q16" s="236">
        <v>99999</v>
      </c>
      <c r="R16" s="236">
        <v>99999</v>
      </c>
      <c r="S16" s="236">
        <v>99999</v>
      </c>
      <c r="T16" s="244">
        <v>99999</v>
      </c>
      <c r="U16" s="159"/>
      <c r="V16" s="160"/>
      <c r="X16" s="159"/>
      <c r="AA16">
        <v>45</v>
      </c>
      <c r="AB16" s="235">
        <v>-99</v>
      </c>
      <c r="AC16" s="241">
        <v>-99</v>
      </c>
      <c r="AD16" s="236">
        <v>-99</v>
      </c>
      <c r="AE16" s="236">
        <v>-99</v>
      </c>
      <c r="AF16" s="236">
        <v>-99</v>
      </c>
      <c r="AG16" s="244">
        <v>-99</v>
      </c>
      <c r="AH16" s="159"/>
      <c r="AI16" s="160"/>
      <c r="AK16" s="159"/>
      <c r="AL16" s="160"/>
      <c r="AN16" s="159"/>
      <c r="AO16" s="160"/>
      <c r="AS16" s="1"/>
      <c r="AT16" s="1"/>
      <c r="AU16" s="1"/>
      <c r="AV16" s="159"/>
      <c r="AW16" s="160"/>
    </row>
    <row r="17" spans="2:53" ht="15" customHeight="1">
      <c r="B17" s="159"/>
      <c r="C17" s="160"/>
      <c r="G17" s="1"/>
      <c r="H17" s="1"/>
      <c r="I17" s="1"/>
      <c r="J17" s="159"/>
      <c r="K17" s="160"/>
      <c r="O17" s="159"/>
      <c r="P17" s="160"/>
      <c r="T17" s="1"/>
      <c r="U17" s="1"/>
      <c r="V17" s="1"/>
      <c r="W17" s="159"/>
      <c r="X17" s="160"/>
      <c r="Z17" s="159"/>
      <c r="AB17" s="159"/>
      <c r="AC17" s="160"/>
      <c r="AG17" s="1"/>
      <c r="AH17" s="1"/>
      <c r="AI17" s="1"/>
      <c r="AJ17" s="159"/>
      <c r="AK17" s="160"/>
      <c r="AM17" s="1"/>
      <c r="AN17" s="1"/>
      <c r="AO17" s="1"/>
      <c r="AP17" s="159"/>
      <c r="AQ17" s="160"/>
      <c r="AU17" s="1"/>
      <c r="AV17" s="1"/>
      <c r="AW17" s="1"/>
      <c r="AX17" s="159"/>
      <c r="AY17" s="160"/>
    </row>
    <row r="18" spans="2:53" ht="15" customHeight="1">
      <c r="B18" s="159" t="s">
        <v>138</v>
      </c>
      <c r="C18" s="160">
        <f>D1</f>
        <v>35</v>
      </c>
      <c r="D18" s="276" t="s">
        <v>181</v>
      </c>
      <c r="E18" s="276"/>
      <c r="G18" s="1"/>
      <c r="H18" s="1"/>
      <c r="I18" s="1"/>
      <c r="J18" s="159"/>
      <c r="K18" s="160"/>
      <c r="L18" s="14"/>
      <c r="O18" s="159" t="s">
        <v>138</v>
      </c>
      <c r="P18" s="160">
        <f>D1</f>
        <v>35</v>
      </c>
      <c r="Q18" s="276" t="s">
        <v>181</v>
      </c>
      <c r="R18" s="276"/>
      <c r="T18" s="1"/>
      <c r="U18" s="1"/>
      <c r="V18" s="1"/>
      <c r="W18" s="159"/>
      <c r="X18" s="160"/>
      <c r="Y18" s="14"/>
      <c r="Z18" s="159"/>
      <c r="AB18" s="159" t="s">
        <v>138</v>
      </c>
      <c r="AC18" s="160">
        <f>D1</f>
        <v>35</v>
      </c>
      <c r="AD18" s="276" t="s">
        <v>181</v>
      </c>
      <c r="AE18" s="276"/>
      <c r="AG18" s="1"/>
      <c r="AH18" s="1"/>
      <c r="AI18" s="1"/>
      <c r="AJ18" s="159"/>
      <c r="AK18" s="160"/>
      <c r="AL18" s="14"/>
      <c r="AM18" s="1"/>
      <c r="AN18" s="1"/>
      <c r="AO18" s="1"/>
      <c r="AP18" s="159"/>
      <c r="AQ18" s="160"/>
      <c r="AR18" s="276"/>
      <c r="AS18" s="276"/>
      <c r="AU18" s="1"/>
      <c r="AV18" s="1"/>
      <c r="AW18" s="1"/>
      <c r="AX18" s="159"/>
      <c r="AY18" s="160"/>
      <c r="AZ18" s="276"/>
      <c r="BA18" s="276"/>
    </row>
    <row r="19" spans="2:53" ht="15" customHeight="1">
      <c r="B19" s="18" t="s">
        <v>182</v>
      </c>
      <c r="C19" s="161">
        <f>INDEX(B5:G5,MATCH(C18,B5:G5,1))</f>
        <v>0</v>
      </c>
      <c r="D19" s="18" t="s">
        <v>136</v>
      </c>
      <c r="E19" s="49">
        <f>MATCH(MAX(A6:A16),A6:A16,1)</f>
        <v>11</v>
      </c>
      <c r="G19" s="1"/>
      <c r="H19" s="1"/>
      <c r="I19" s="1"/>
      <c r="J19" s="18"/>
      <c r="K19" s="161"/>
      <c r="L19" s="18"/>
      <c r="M19" s="49"/>
      <c r="O19" s="18" t="s">
        <v>182</v>
      </c>
      <c r="P19" s="161">
        <f>INDEX(P5:T5,MATCH(P18,P5:T5,1))</f>
        <v>0</v>
      </c>
      <c r="Q19" s="18" t="s">
        <v>136</v>
      </c>
      <c r="R19" s="49">
        <f>MATCH(MAX(O6:O16),O6:O16,1)</f>
        <v>11</v>
      </c>
      <c r="T19" s="1"/>
      <c r="U19" s="1"/>
      <c r="V19" s="1"/>
      <c r="W19" s="18"/>
      <c r="X19" s="161"/>
      <c r="Y19" s="18"/>
      <c r="Z19" s="18"/>
      <c r="AB19" s="18" t="s">
        <v>182</v>
      </c>
      <c r="AC19" s="161">
        <f>INDEX(AB5:AG5,MATCH(AC18,AB5:AG5,1))</f>
        <v>0</v>
      </c>
      <c r="AD19" s="18" t="s">
        <v>136</v>
      </c>
      <c r="AE19" s="49">
        <f>MATCH(MAX(AA6:AA16),AA6:AA16,1)</f>
        <v>11</v>
      </c>
      <c r="AG19" s="1"/>
      <c r="AH19" s="1"/>
      <c r="AI19" s="1"/>
      <c r="AJ19" s="18"/>
      <c r="AK19" s="161"/>
      <c r="AL19" s="18"/>
      <c r="AM19" s="1"/>
      <c r="AN19" s="1"/>
      <c r="AO19" s="1"/>
      <c r="AP19" s="18"/>
      <c r="AQ19" s="161"/>
      <c r="AR19" s="18"/>
      <c r="AS19" s="49"/>
      <c r="AU19" s="1"/>
      <c r="AV19" s="1"/>
      <c r="AW19" s="1"/>
      <c r="AX19" s="18"/>
      <c r="AY19" s="161"/>
      <c r="AZ19" s="18"/>
      <c r="BA19" s="49"/>
    </row>
    <row r="20" spans="2:53" ht="15" customHeight="1">
      <c r="B20" s="18" t="s">
        <v>183</v>
      </c>
      <c r="C20" s="161">
        <f t="array" ref="C20">INDEX(B5:G5,IF(MATCH(C18,B5:G5,1)&lt;E20,MATCH(C18,B5:G5,1)+1,MATCH(C18,B5:G5,1)))</f>
        <v>1000</v>
      </c>
      <c r="D20" s="18" t="s">
        <v>137</v>
      </c>
      <c r="E20" s="49">
        <f>MATCH(MAX(B5:G5),B5:G5,0)</f>
        <v>6</v>
      </c>
      <c r="G20" s="1"/>
      <c r="H20" s="1"/>
      <c r="I20" s="1"/>
      <c r="J20" s="18"/>
      <c r="K20" s="161"/>
      <c r="L20" s="18"/>
      <c r="M20" s="49"/>
      <c r="O20" s="18" t="s">
        <v>183</v>
      </c>
      <c r="P20" s="161">
        <f t="array" ref="P20">INDEX(P5:T5,IF(MATCH(P18,P5:T5,1)&lt;R20,MATCH(P18,P5:T5,1)+1,MATCH(P18,P5:T5,1)))</f>
        <v>1000</v>
      </c>
      <c r="Q20" s="18" t="s">
        <v>137</v>
      </c>
      <c r="R20" s="49">
        <f>MATCH(MAX(P5:T5),P5:T5,0)</f>
        <v>5</v>
      </c>
      <c r="T20" s="1"/>
      <c r="U20" s="1"/>
      <c r="V20" s="1"/>
      <c r="W20" s="18"/>
      <c r="X20" s="161"/>
      <c r="Y20" s="18"/>
      <c r="Z20" s="18"/>
      <c r="AB20" s="18" t="s">
        <v>183</v>
      </c>
      <c r="AC20" s="161">
        <f t="array" ref="AC20">INDEX(AB5:AG5,IF(MATCH(AC18,AB5:AG5,1)&lt;AE20,MATCH(AC18,AB5:AG5,1)+1,MATCH(AC18,AB5:AG5,1)))</f>
        <v>1000</v>
      </c>
      <c r="AD20" s="18" t="s">
        <v>137</v>
      </c>
      <c r="AE20" s="49">
        <f>MATCH(MAX(AB5:AG5),AB5:AG5,0)</f>
        <v>6</v>
      </c>
      <c r="AG20" s="1"/>
      <c r="AH20" s="1"/>
      <c r="AI20" s="1"/>
      <c r="AJ20" s="18"/>
      <c r="AK20" s="161"/>
      <c r="AL20" s="18"/>
      <c r="AM20" s="1"/>
      <c r="AN20" s="1"/>
      <c r="AO20" s="1"/>
      <c r="AP20" s="18"/>
      <c r="AQ20" s="161"/>
      <c r="AR20" s="18"/>
      <c r="AS20" s="49"/>
      <c r="AU20" s="1"/>
      <c r="AV20" s="1"/>
      <c r="AW20" s="1"/>
      <c r="AX20" s="18"/>
      <c r="AY20" s="161"/>
      <c r="AZ20" s="18"/>
      <c r="BA20" s="49"/>
    </row>
    <row r="21" spans="2:53" ht="15" customHeight="1">
      <c r="B21" s="159" t="s">
        <v>139</v>
      </c>
      <c r="C21" s="205">
        <f>D2</f>
        <v>-35</v>
      </c>
      <c r="D21" s="1"/>
      <c r="E21" s="1"/>
      <c r="G21" s="1"/>
      <c r="H21" s="1"/>
      <c r="I21" s="1"/>
      <c r="J21" s="159"/>
      <c r="K21" s="205"/>
      <c r="L21" s="1"/>
      <c r="M21" s="1"/>
      <c r="O21" s="159" t="s">
        <v>139</v>
      </c>
      <c r="P21" s="205">
        <f>D2</f>
        <v>-35</v>
      </c>
      <c r="Q21" s="1"/>
      <c r="R21" s="1"/>
      <c r="T21" s="1"/>
      <c r="U21" s="1"/>
      <c r="V21" s="1"/>
      <c r="W21" s="159"/>
      <c r="X21" s="205"/>
      <c r="Y21" s="1"/>
      <c r="Z21" s="159"/>
      <c r="AB21" s="159" t="s">
        <v>139</v>
      </c>
      <c r="AC21" s="205">
        <f>D2</f>
        <v>-35</v>
      </c>
      <c r="AD21" s="1"/>
      <c r="AE21" s="1"/>
      <c r="AG21" s="1"/>
      <c r="AH21" s="1"/>
      <c r="AI21" s="1"/>
      <c r="AJ21" s="159"/>
      <c r="AK21" s="205"/>
      <c r="AL21" s="1"/>
      <c r="AM21" s="1"/>
      <c r="AN21" s="1"/>
      <c r="AO21" s="1"/>
      <c r="AP21" s="159"/>
      <c r="AQ21" s="205"/>
      <c r="AR21" s="1"/>
      <c r="AS21" s="1"/>
      <c r="AU21" s="1"/>
      <c r="AV21" s="1"/>
      <c r="AW21" s="1"/>
      <c r="AX21" s="159"/>
      <c r="AY21" s="205"/>
      <c r="AZ21" s="1"/>
      <c r="BA21" s="1"/>
    </row>
    <row r="22" spans="2:53" ht="15" customHeight="1">
      <c r="B22" s="18" t="s">
        <v>140</v>
      </c>
      <c r="C22" s="161">
        <f>INDEX(A6:A16,MATCH(C21,A6:A16,1))</f>
        <v>-40</v>
      </c>
      <c r="D22" s="1"/>
      <c r="E22" s="40"/>
      <c r="G22" s="1"/>
      <c r="H22" s="1"/>
      <c r="I22" s="1"/>
      <c r="J22" s="18"/>
      <c r="K22" s="161"/>
      <c r="L22" s="1"/>
      <c r="M22" s="40"/>
      <c r="O22" s="18" t="s">
        <v>140</v>
      </c>
      <c r="P22" s="161" t="e">
        <f>INDEX(O6:O16,MATCH(P21,O6:O16,1))</f>
        <v>#N/A</v>
      </c>
      <c r="Q22" s="1"/>
      <c r="R22" s="40"/>
      <c r="T22" s="1"/>
      <c r="U22" s="1"/>
      <c r="V22" s="1"/>
      <c r="W22" s="18"/>
      <c r="X22" s="161"/>
      <c r="Y22" s="1"/>
      <c r="Z22" s="18"/>
      <c r="AB22" s="18" t="s">
        <v>140</v>
      </c>
      <c r="AC22" s="161">
        <f>INDEX(AA6:AA16,MATCH(AC21,AA6:AA16,1))</f>
        <v>-40</v>
      </c>
      <c r="AD22" s="1"/>
      <c r="AE22" s="40"/>
      <c r="AG22" s="1"/>
      <c r="AH22" s="1"/>
      <c r="AI22" s="1"/>
      <c r="AJ22" s="18"/>
      <c r="AK22" s="161"/>
      <c r="AL22" s="1"/>
      <c r="AM22" s="1"/>
      <c r="AN22" s="1"/>
      <c r="AO22" s="1"/>
      <c r="AP22" s="18"/>
      <c r="AQ22" s="161"/>
      <c r="AR22" s="1"/>
      <c r="AS22" s="40"/>
      <c r="AU22" s="1"/>
      <c r="AV22" s="1"/>
      <c r="AW22" s="1"/>
      <c r="AX22" s="18"/>
      <c r="AY22" s="161"/>
      <c r="AZ22" s="1"/>
      <c r="BA22" s="40"/>
    </row>
    <row r="23" spans="2:53" ht="15" customHeight="1">
      <c r="B23" s="18" t="s">
        <v>141</v>
      </c>
      <c r="C23" s="161">
        <f t="array" ref="C23">INDEX(A6:A16,IF(MATCH(C21,A6:A16,1)&lt;E19,MATCH(C21,A6:A16,1)+1,MATCH(C21,A6:A16,1)))</f>
        <v>-30</v>
      </c>
      <c r="D23" s="1"/>
      <c r="E23" s="40"/>
      <c r="G23" s="1"/>
      <c r="H23" s="1"/>
      <c r="I23" s="1"/>
      <c r="J23" s="18"/>
      <c r="K23" s="161"/>
      <c r="L23" s="1"/>
      <c r="M23" s="40"/>
      <c r="O23" s="18" t="s">
        <v>141</v>
      </c>
      <c r="P23" s="161" t="e">
        <f t="array" ref="P23">INDEX(O6:O16,IF(MATCH(P21,O6:O16,1)&lt;R19,MATCH(P21,O6:O16,1)+1,MATCH(P21,O6:O16,1)))</f>
        <v>#N/A</v>
      </c>
      <c r="Q23" s="1"/>
      <c r="R23" s="40"/>
      <c r="T23" s="1"/>
      <c r="U23" s="1"/>
      <c r="V23" s="1"/>
      <c r="W23" s="18"/>
      <c r="X23" s="161"/>
      <c r="Y23" s="1"/>
      <c r="Z23" s="18"/>
      <c r="AB23" s="18" t="s">
        <v>141</v>
      </c>
      <c r="AC23" s="161">
        <f t="array" ref="AC23">INDEX(AA6:AA16,IF(MATCH(AC21,AA6:AA16,1)&lt;AE19,MATCH(AC21,AA6:AA16,1)+1,MATCH(AC21,AA6:AA16,1)))</f>
        <v>-30</v>
      </c>
      <c r="AD23" s="1"/>
      <c r="AE23" s="40"/>
      <c r="AG23" s="1"/>
      <c r="AH23" s="1"/>
      <c r="AI23" s="1"/>
      <c r="AJ23" s="18"/>
      <c r="AK23" s="161"/>
      <c r="AL23" s="1"/>
      <c r="AM23" s="1"/>
      <c r="AN23" s="1"/>
      <c r="AO23" s="1"/>
      <c r="AP23" s="18"/>
      <c r="AQ23" s="161"/>
      <c r="AR23" s="1"/>
      <c r="AS23" s="40"/>
      <c r="AU23" s="1"/>
      <c r="AV23" s="1"/>
      <c r="AW23" s="1"/>
      <c r="AX23" s="18"/>
      <c r="AY23" s="161"/>
      <c r="AZ23" s="1"/>
      <c r="BA23" s="40"/>
    </row>
    <row r="24" spans="2:53" ht="15" customHeight="1">
      <c r="B24" s="159" t="s">
        <v>142</v>
      </c>
      <c r="C24" s="160">
        <f>INDEX(B6:G16,MATCH(C21,A6:A16,1),MATCH(C18,B5:G5,1))</f>
        <v>5.4</v>
      </c>
      <c r="D24" s="1"/>
      <c r="E24" s="40"/>
      <c r="G24" s="1"/>
      <c r="H24" s="1"/>
      <c r="I24" s="1"/>
      <c r="J24" s="159"/>
      <c r="K24" s="160"/>
      <c r="L24" s="1"/>
      <c r="M24" s="40"/>
      <c r="O24" s="159" t="s">
        <v>142</v>
      </c>
      <c r="P24" s="160" t="e">
        <f>INDEX(P6:T16,MATCH(P21,O6:O16,1),MATCH(P18,P5:T5,1))</f>
        <v>#N/A</v>
      </c>
      <c r="Q24" s="1"/>
      <c r="R24" s="40"/>
      <c r="T24" s="1"/>
      <c r="U24" s="1"/>
      <c r="V24" s="1"/>
      <c r="W24" s="159"/>
      <c r="X24" s="160"/>
      <c r="Y24" s="1"/>
      <c r="Z24" s="159"/>
      <c r="AB24" s="159" t="s">
        <v>142</v>
      </c>
      <c r="AC24" s="160">
        <f>INDEX(AB6:AG16,MATCH(AC21,AA6:AA16,1),MATCH(AC18,AB5:AG5,1))</f>
        <v>4.2</v>
      </c>
      <c r="AD24" s="1"/>
      <c r="AE24" s="40"/>
      <c r="AG24" s="1"/>
      <c r="AH24" s="1"/>
      <c r="AI24" s="1"/>
      <c r="AJ24" s="159"/>
      <c r="AK24" s="160"/>
      <c r="AL24" s="1"/>
      <c r="AM24" s="1"/>
      <c r="AN24" s="1"/>
      <c r="AO24" s="1"/>
      <c r="AP24" s="159"/>
      <c r="AQ24" s="160"/>
      <c r="AR24" s="1"/>
      <c r="AS24" s="40"/>
      <c r="AU24" s="1"/>
      <c r="AV24" s="1"/>
      <c r="AW24" s="1"/>
      <c r="AX24" s="159"/>
      <c r="AY24" s="160"/>
      <c r="AZ24" s="1"/>
      <c r="BA24" s="40"/>
    </row>
    <row r="25" spans="2:53" ht="15" customHeight="1">
      <c r="B25" s="159" t="s">
        <v>184</v>
      </c>
      <c r="C25" s="160">
        <f t="array" ref="C25">INDEX(B6:G16,MATCH(C21,A6:A16,1),IF(MATCH(C18,B5:G5,1)&lt;E20,MATCH(C18,B5:G5,1)+1,MATCH(C21,A6:A16,1)))</f>
        <v>5.2</v>
      </c>
      <c r="E25" s="40"/>
      <c r="G25" s="1"/>
      <c r="H25" s="1"/>
      <c r="I25" s="1"/>
      <c r="J25" s="159"/>
      <c r="K25" s="160"/>
      <c r="M25" s="40"/>
      <c r="O25" s="159" t="s">
        <v>184</v>
      </c>
      <c r="P25" s="160" t="e">
        <f>INDEX(P6:T16,MATCH(P21,O6:O16,1),IF(MATCH(P18,P5:T5,1)&lt;R20,MATCH(P18,P5:T5,1)+1,MATCH(P21,O6:O16,1)))</f>
        <v>#N/A</v>
      </c>
      <c r="R25" s="40"/>
      <c r="T25" s="1"/>
      <c r="U25" s="1"/>
      <c r="V25" s="1"/>
      <c r="W25" s="159"/>
      <c r="X25" s="160"/>
      <c r="Z25" s="159"/>
      <c r="AB25" s="159" t="s">
        <v>184</v>
      </c>
      <c r="AC25" s="160">
        <f t="array" ref="AC25">INDEX(AB6:AG16,MATCH(AC21,AA6:AA16,1),IF(MATCH(AC18,AB5:AG5,1)&lt;AE20,MATCH(AC18,AB5:AG5,1)+1,MATCH(AC21,AA6:AA16,1)))</f>
        <v>4</v>
      </c>
      <c r="AE25" s="40"/>
      <c r="AG25" s="1"/>
      <c r="AH25" s="1"/>
      <c r="AI25" s="1"/>
      <c r="AJ25" s="159"/>
      <c r="AK25" s="160"/>
      <c r="AM25" s="1"/>
      <c r="AN25" s="1"/>
      <c r="AO25" s="1"/>
      <c r="AP25" s="159"/>
      <c r="AQ25" s="160"/>
      <c r="AS25" s="40"/>
      <c r="AU25" s="1"/>
      <c r="AV25" s="1"/>
      <c r="AW25" s="1"/>
      <c r="AX25" s="159"/>
      <c r="AY25" s="160"/>
      <c r="BA25" s="40"/>
    </row>
    <row r="26" spans="2:53" ht="15" customHeight="1">
      <c r="B26" s="159" t="s">
        <v>143</v>
      </c>
      <c r="C26" s="160">
        <f t="array" ref="C26">INDEX(B6:G16,IF(MATCH(C21,A6:A16,1)&lt;E19,MATCH(C21,A6:A16,1)+1,MATCH(C21,A6:A16,1)),MATCH(C18,B5:G5,1))</f>
        <v>5.4</v>
      </c>
      <c r="E26" s="40"/>
      <c r="G26" s="1"/>
      <c r="H26" s="1"/>
      <c r="I26" s="1"/>
      <c r="J26" s="159"/>
      <c r="K26" s="160"/>
      <c r="M26" s="40"/>
      <c r="O26" s="159" t="s">
        <v>143</v>
      </c>
      <c r="P26" s="160" t="e">
        <f>INDEX(P6:T16,IF(MATCH(P21,O6:O16,1)&lt;R19,MATCH(P21,O6:O16,1)+1,MATCH(P21,O6:O16,1)),MATCH(P18,P5:T5,1))</f>
        <v>#N/A</v>
      </c>
      <c r="R26" s="40"/>
      <c r="T26" s="1"/>
      <c r="U26" s="1"/>
      <c r="V26" s="1"/>
      <c r="W26" s="159"/>
      <c r="X26" s="160"/>
      <c r="Z26" s="159"/>
      <c r="AB26" s="159" t="s">
        <v>143</v>
      </c>
      <c r="AC26" s="160">
        <f t="array" ref="AC26">INDEX(AB6:AG16,IF(MATCH(AC21,AA6:AA16,1)&lt;AE19,MATCH(AC21,AA6:AA16,1)+1,MATCH(AC21,AA6:AA16,1)),MATCH(AC18,AB5:AG5,1))</f>
        <v>4.2</v>
      </c>
      <c r="AE26" s="40"/>
      <c r="AG26" s="1"/>
      <c r="AH26" s="1"/>
      <c r="AI26" s="1"/>
      <c r="AJ26" s="159"/>
      <c r="AK26" s="160"/>
      <c r="AM26" s="1"/>
      <c r="AN26" s="1"/>
      <c r="AO26" s="1"/>
      <c r="AP26" s="159"/>
      <c r="AQ26" s="160"/>
      <c r="AS26" s="40"/>
      <c r="AU26" s="1"/>
      <c r="AV26" s="1"/>
      <c r="AW26" s="1"/>
      <c r="AX26" s="159"/>
      <c r="AY26" s="160"/>
      <c r="BA26" s="40"/>
    </row>
    <row r="27" spans="2:53" ht="15" customHeight="1">
      <c r="B27" s="159" t="s">
        <v>185</v>
      </c>
      <c r="C27" s="160">
        <f t="array" ref="C27">INDEX(B6:G16,IF(MATCH(C21,A6:A16,1)&lt;E19,MATCH(C21,A6:A16,1)+1,MATCH(C21,A6:A16,1)),IF(MATCH(C18,B5:G5,1)&lt;E20,MATCH(C18,B5:G5,1)+1,MATCH(C18,B5:G5,1)))</f>
        <v>5.2</v>
      </c>
      <c r="G27" s="1"/>
      <c r="H27" s="1"/>
      <c r="I27" s="1"/>
      <c r="J27" s="159"/>
      <c r="K27" s="160"/>
      <c r="O27" s="159" t="s">
        <v>185</v>
      </c>
      <c r="P27" s="160" t="e">
        <f>INDEX(P6:T16,IF(MATCH(P21,O6:O16,1)&lt;R19,MATCH(P21,O6:O16,1)+1,MATCH(P21,O6:O16,1)),IF(MATCH(P18,P5:T5,1)&lt;R20,MATCH(P18,P5:T5,1)+1,MATCH(P18,P5:T5,1)))</f>
        <v>#N/A</v>
      </c>
      <c r="T27" s="1"/>
      <c r="U27" s="1"/>
      <c r="V27" s="1"/>
      <c r="W27" s="159"/>
      <c r="X27" s="160"/>
      <c r="Z27" s="159"/>
      <c r="AB27" s="159" t="s">
        <v>185</v>
      </c>
      <c r="AC27" s="160">
        <f t="array" ref="AC27">INDEX(AB6:AG16,IF(MATCH(AC21,AA6:AA16,1)&lt;AE19,MATCH(AC21,AA6:AA16,1)+1,MATCH(AC21,AA6:AA16,1)),IF(MATCH(AC18,AB5:AG5,1)&lt;AE20,MATCH(AC18,AB5:AG5,1)+1,MATCH(AC18,AB5:AG5,1)))</f>
        <v>4</v>
      </c>
      <c r="AG27" s="1"/>
      <c r="AH27" s="1"/>
      <c r="AI27" s="1"/>
      <c r="AJ27" s="159"/>
      <c r="AK27" s="160"/>
      <c r="AM27" s="1"/>
      <c r="AN27" s="1"/>
      <c r="AO27" s="1"/>
      <c r="AP27" s="159"/>
      <c r="AQ27" s="160"/>
      <c r="AU27" s="1"/>
      <c r="AV27" s="1"/>
      <c r="AW27" s="1"/>
      <c r="AX27" s="159"/>
      <c r="AY27" s="160"/>
    </row>
    <row r="28" spans="2:53" ht="15" customHeight="1">
      <c r="B28" s="18" t="s">
        <v>186</v>
      </c>
      <c r="C28" s="161">
        <f>IFERROR(C24+(C18-C19)*(C25-C24)/(C20-C19),C24)</f>
        <v>5.3930000000000007</v>
      </c>
      <c r="G28" s="1"/>
      <c r="H28" s="1"/>
      <c r="I28" s="1"/>
      <c r="J28" s="18"/>
      <c r="K28" s="161"/>
      <c r="O28" s="18" t="s">
        <v>186</v>
      </c>
      <c r="P28" s="161" t="e">
        <f>IFERROR(P24+(P18-P19)*(P25-P24)/(P20-P19),P24)</f>
        <v>#N/A</v>
      </c>
      <c r="T28" s="1"/>
      <c r="U28" s="1"/>
      <c r="V28" s="1"/>
      <c r="W28" s="18"/>
      <c r="X28" s="161"/>
      <c r="Z28" s="18"/>
      <c r="AB28" s="18" t="s">
        <v>186</v>
      </c>
      <c r="AC28" s="161">
        <f>IFERROR(AC24+(AC18-AC19)*(AC25-AC24)/(AC20-AC19),AC24)</f>
        <v>4.1930000000000005</v>
      </c>
      <c r="AG28" s="1"/>
      <c r="AH28" s="1"/>
      <c r="AI28" s="1"/>
      <c r="AJ28" s="18"/>
      <c r="AK28" s="161"/>
      <c r="AM28" s="1"/>
      <c r="AN28" s="1"/>
      <c r="AO28" s="1"/>
      <c r="AP28" s="18"/>
      <c r="AQ28" s="161"/>
      <c r="AU28" s="1"/>
      <c r="AV28" s="1"/>
      <c r="AW28" s="1"/>
      <c r="AX28" s="18"/>
      <c r="AY28" s="161"/>
    </row>
    <row r="29" spans="2:53" ht="15" customHeight="1">
      <c r="B29" s="18" t="s">
        <v>187</v>
      </c>
      <c r="C29" s="161">
        <f>IFERROR(C26+(C18-C19)*(C27-C26)/(C20-C19),C26)</f>
        <v>5.3930000000000007</v>
      </c>
      <c r="G29" s="1"/>
      <c r="H29" s="1"/>
      <c r="I29" s="1"/>
      <c r="J29" s="18"/>
      <c r="K29" s="161"/>
      <c r="O29" s="18" t="s">
        <v>187</v>
      </c>
      <c r="P29" s="161" t="e">
        <f>IFERROR(P26+(P18-P19)*(P27-P26)/(P20-P19),P26)</f>
        <v>#N/A</v>
      </c>
      <c r="T29" s="1"/>
      <c r="U29" s="1"/>
      <c r="V29" s="1"/>
      <c r="W29" s="18"/>
      <c r="X29" s="161"/>
      <c r="Z29" s="18"/>
      <c r="AB29" s="18" t="s">
        <v>187</v>
      </c>
      <c r="AC29" s="161">
        <f>IFERROR(AC26+(AC18-AC19)*(AC27-AC26)/(AC20-AC19),AC26)</f>
        <v>4.1930000000000005</v>
      </c>
      <c r="AG29" s="1"/>
      <c r="AH29" s="1"/>
      <c r="AI29" s="1"/>
      <c r="AJ29" s="18"/>
      <c r="AK29" s="161"/>
      <c r="AM29" s="1"/>
      <c r="AN29" s="1"/>
      <c r="AO29" s="1"/>
      <c r="AP29" s="18"/>
      <c r="AQ29" s="161"/>
      <c r="AU29" s="1"/>
      <c r="AV29" s="1"/>
      <c r="AW29" s="1"/>
      <c r="AX29" s="18"/>
      <c r="AY29" s="161"/>
    </row>
    <row r="30" spans="2:53" ht="15" customHeight="1">
      <c r="B30" s="159" t="s">
        <v>188</v>
      </c>
      <c r="C30" s="160">
        <f>IFERROR(C28+(C21-C22)*(C29-C28)/(C23-C22),C28)</f>
        <v>5.3930000000000007</v>
      </c>
      <c r="G30" s="1"/>
      <c r="H30" s="1"/>
      <c r="I30" s="1"/>
      <c r="J30" s="159"/>
      <c r="K30" s="160"/>
      <c r="O30" s="159" t="s">
        <v>188</v>
      </c>
      <c r="P30" s="160" t="e">
        <f>IFERROR(P28+(P21-P22)*(P29-P28)/(P23-P22),P28)</f>
        <v>#N/A</v>
      </c>
      <c r="T30" s="1"/>
      <c r="U30" s="1"/>
      <c r="V30" s="1"/>
      <c r="W30" s="159"/>
      <c r="X30" s="160"/>
      <c r="Z30" s="159"/>
      <c r="AB30" s="159" t="s">
        <v>188</v>
      </c>
      <c r="AC30" s="160">
        <f>IFERROR(AC28+(AC21-AC22)*(AC29-AC28)/(AC23-AC22),AC28)</f>
        <v>4.1930000000000005</v>
      </c>
      <c r="AG30" s="1"/>
      <c r="AH30" s="1"/>
      <c r="AI30" s="1"/>
      <c r="AJ30" s="159"/>
      <c r="AK30" s="160"/>
      <c r="AM30" s="1"/>
      <c r="AN30" s="1"/>
      <c r="AO30" s="1"/>
      <c r="AP30" s="159"/>
      <c r="AQ30" s="160"/>
      <c r="AU30" s="1"/>
      <c r="AV30" s="1"/>
      <c r="AW30" s="1"/>
      <c r="AX30" s="159"/>
      <c r="AY30" s="160"/>
    </row>
    <row r="32" spans="2:53" ht="15" customHeight="1">
      <c r="B32" s="276" t="s">
        <v>205</v>
      </c>
      <c r="C32" s="276"/>
      <c r="D32" s="276"/>
      <c r="E32" s="276"/>
      <c r="F32" s="276"/>
      <c r="G32" s="276"/>
      <c r="H32" s="14"/>
      <c r="I32" s="14"/>
      <c r="J32" s="14"/>
      <c r="K32" s="14"/>
      <c r="L32" s="14"/>
      <c r="M32" s="14"/>
      <c r="O32" s="276" t="s">
        <v>189</v>
      </c>
      <c r="P32" s="276"/>
      <c r="Q32" s="276"/>
      <c r="R32" s="276"/>
      <c r="S32" s="276"/>
      <c r="T32" s="276"/>
      <c r="U32" s="14"/>
      <c r="V32" s="14"/>
      <c r="W32" s="14"/>
      <c r="X32" s="14"/>
      <c r="Y32" s="14"/>
      <c r="AB32" s="276" t="s">
        <v>189</v>
      </c>
      <c r="AC32" s="276"/>
      <c r="AD32" s="276"/>
      <c r="AE32" s="276"/>
      <c r="AF32" s="276"/>
      <c r="AG32" s="276"/>
      <c r="AH32" s="14"/>
      <c r="AI32" s="14"/>
      <c r="AJ32" s="14"/>
      <c r="AK32" s="14"/>
      <c r="AL32" s="14"/>
    </row>
    <row r="33" spans="1:38" ht="15" customHeight="1">
      <c r="A33" t="s">
        <v>30</v>
      </c>
      <c r="B33" s="245">
        <v>2.5</v>
      </c>
      <c r="C33" s="266">
        <v>3.5</v>
      </c>
      <c r="D33" s="247">
        <v>4.5</v>
      </c>
      <c r="E33" s="247">
        <v>5.6</v>
      </c>
      <c r="F33" s="227">
        <v>6</v>
      </c>
      <c r="N33" t="s">
        <v>30</v>
      </c>
      <c r="O33" s="245">
        <v>1</v>
      </c>
      <c r="P33" s="248">
        <v>2</v>
      </c>
      <c r="Q33" s="247">
        <v>3</v>
      </c>
      <c r="R33" s="247">
        <v>4</v>
      </c>
      <c r="S33" s="227">
        <v>5</v>
      </c>
      <c r="Z33" t="s">
        <v>30</v>
      </c>
      <c r="AA33" s="267">
        <v>0.3</v>
      </c>
      <c r="AB33" s="266">
        <v>1.2</v>
      </c>
      <c r="AC33" s="268">
        <v>2.2000000000000002</v>
      </c>
      <c r="AD33" s="268">
        <v>3.5</v>
      </c>
      <c r="AE33" s="268">
        <v>4.7</v>
      </c>
      <c r="AF33" s="227">
        <v>5</v>
      </c>
    </row>
    <row r="34" spans="1:38" ht="15" customHeight="1">
      <c r="A34">
        <v>9000</v>
      </c>
      <c r="B34" s="253">
        <v>6.2</v>
      </c>
      <c r="C34" s="254">
        <v>7.7</v>
      </c>
      <c r="D34" s="255">
        <v>9.1999999999999993</v>
      </c>
      <c r="E34" s="255">
        <v>10.6</v>
      </c>
      <c r="F34" s="227">
        <v>0</v>
      </c>
      <c r="N34">
        <v>10000</v>
      </c>
      <c r="O34" s="258"/>
      <c r="P34" s="259"/>
      <c r="Q34" s="263"/>
      <c r="R34" s="263"/>
      <c r="S34" s="227">
        <v>99999</v>
      </c>
      <c r="Z34">
        <v>9000</v>
      </c>
      <c r="AA34" s="258">
        <v>4.2</v>
      </c>
      <c r="AB34" s="259">
        <v>5.5</v>
      </c>
      <c r="AC34" s="263">
        <v>7</v>
      </c>
      <c r="AD34" s="263">
        <v>8.6999999999999993</v>
      </c>
      <c r="AE34" s="263">
        <v>10</v>
      </c>
      <c r="AF34" s="227">
        <v>99999</v>
      </c>
    </row>
    <row r="35" spans="1:38" ht="15" customHeight="1">
      <c r="A35">
        <v>9500</v>
      </c>
      <c r="B35" s="256">
        <v>5.6</v>
      </c>
      <c r="C35" s="257">
        <v>6.9</v>
      </c>
      <c r="D35" s="168">
        <v>8.3000000000000007</v>
      </c>
      <c r="E35" s="168">
        <v>9.6999999999999993</v>
      </c>
      <c r="F35" s="2">
        <v>0</v>
      </c>
      <c r="N35">
        <v>11000</v>
      </c>
      <c r="O35" s="264"/>
      <c r="P35" s="265"/>
      <c r="Q35" s="22"/>
      <c r="R35" s="22"/>
      <c r="S35" s="2">
        <v>99999</v>
      </c>
      <c r="Z35">
        <v>9500</v>
      </c>
      <c r="AA35" s="264">
        <v>3.4</v>
      </c>
      <c r="AB35" s="265">
        <v>4.5999999999999996</v>
      </c>
      <c r="AC35" s="22">
        <v>6.1</v>
      </c>
      <c r="AD35" s="22">
        <v>7.6</v>
      </c>
      <c r="AE35" s="22">
        <v>9</v>
      </c>
      <c r="AF35" s="2">
        <v>99999</v>
      </c>
    </row>
    <row r="36" spans="1:38" ht="15" customHeight="1">
      <c r="A36">
        <v>10000</v>
      </c>
      <c r="B36" s="256">
        <v>5</v>
      </c>
      <c r="C36" s="257">
        <v>6.2</v>
      </c>
      <c r="D36" s="168">
        <v>7.6</v>
      </c>
      <c r="E36" s="168">
        <v>9</v>
      </c>
      <c r="F36" s="2">
        <v>0</v>
      </c>
      <c r="N36">
        <v>12000</v>
      </c>
      <c r="O36" s="264"/>
      <c r="P36" s="265"/>
      <c r="Q36" s="22"/>
      <c r="R36" s="22"/>
      <c r="S36" s="2">
        <v>99999</v>
      </c>
      <c r="Z36">
        <v>10000</v>
      </c>
      <c r="AA36" s="264">
        <v>2.8</v>
      </c>
      <c r="AB36" s="265">
        <v>4</v>
      </c>
      <c r="AC36" s="22">
        <v>5.35</v>
      </c>
      <c r="AD36" s="22">
        <v>6.8</v>
      </c>
      <c r="AE36" s="22">
        <v>8.1999999999999993</v>
      </c>
      <c r="AF36" s="2">
        <v>99999</v>
      </c>
    </row>
    <row r="37" spans="1:38" ht="15" customHeight="1">
      <c r="A37">
        <v>10500</v>
      </c>
      <c r="B37" s="256">
        <v>4.4000000000000004</v>
      </c>
      <c r="C37" s="257">
        <v>5.6</v>
      </c>
      <c r="D37" s="168">
        <v>6.8</v>
      </c>
      <c r="E37" s="168">
        <v>8.1999999999999993</v>
      </c>
      <c r="F37" s="2">
        <v>0</v>
      </c>
      <c r="N37">
        <v>13000</v>
      </c>
      <c r="O37" s="264"/>
      <c r="P37" s="265"/>
      <c r="Q37" s="22"/>
      <c r="R37" s="22"/>
      <c r="S37" s="2">
        <v>99999</v>
      </c>
      <c r="Z37">
        <v>10500</v>
      </c>
      <c r="AA37" s="264">
        <v>2.2000000000000002</v>
      </c>
      <c r="AB37" s="265">
        <v>3.3</v>
      </c>
      <c r="AC37" s="22">
        <v>4.5999999999999996</v>
      </c>
      <c r="AD37" s="22">
        <v>6</v>
      </c>
      <c r="AE37" s="22">
        <v>7.4</v>
      </c>
      <c r="AF37" s="2">
        <v>99999</v>
      </c>
    </row>
    <row r="38" spans="1:38" ht="15" customHeight="1">
      <c r="A38">
        <v>11000</v>
      </c>
      <c r="B38" s="256">
        <v>3.9</v>
      </c>
      <c r="C38" s="257">
        <v>5</v>
      </c>
      <c r="D38" s="168">
        <v>6.2</v>
      </c>
      <c r="E38" s="168">
        <v>7.5</v>
      </c>
      <c r="F38" s="2">
        <v>0</v>
      </c>
      <c r="N38">
        <v>14000</v>
      </c>
      <c r="O38" s="264"/>
      <c r="P38" s="265"/>
      <c r="Q38" s="22"/>
      <c r="R38" s="22"/>
      <c r="S38" s="2">
        <v>99999</v>
      </c>
      <c r="Z38">
        <v>11000</v>
      </c>
      <c r="AA38" s="264">
        <v>1.6</v>
      </c>
      <c r="AB38" s="265">
        <v>2.8</v>
      </c>
      <c r="AC38" s="22">
        <v>4</v>
      </c>
      <c r="AD38" s="22">
        <v>5.3</v>
      </c>
      <c r="AE38" s="22">
        <v>6.6</v>
      </c>
      <c r="AF38" s="2">
        <v>99999</v>
      </c>
    </row>
    <row r="39" spans="1:38" ht="15" customHeight="1">
      <c r="A39">
        <v>11500</v>
      </c>
      <c r="B39" s="256">
        <v>3.4</v>
      </c>
      <c r="C39" s="257">
        <v>4.5</v>
      </c>
      <c r="D39" s="168">
        <v>5.6</v>
      </c>
      <c r="E39" s="168">
        <v>6.9</v>
      </c>
      <c r="F39" s="2">
        <v>0</v>
      </c>
      <c r="N39">
        <v>15000</v>
      </c>
      <c r="O39" s="264"/>
      <c r="P39" s="265"/>
      <c r="Q39" s="22"/>
      <c r="R39" s="22"/>
      <c r="S39" s="2">
        <v>99999</v>
      </c>
      <c r="Z39">
        <v>11500</v>
      </c>
      <c r="AA39" s="264">
        <v>1.2</v>
      </c>
      <c r="AB39" s="265">
        <v>2.2000000000000002</v>
      </c>
      <c r="AC39" s="22">
        <v>3.4</v>
      </c>
      <c r="AD39" s="22">
        <v>4.5999999999999996</v>
      </c>
      <c r="AE39" s="22">
        <v>6</v>
      </c>
      <c r="AF39" s="2">
        <v>99999</v>
      </c>
    </row>
    <row r="40" spans="1:38" ht="15" customHeight="1">
      <c r="A40">
        <v>12000</v>
      </c>
      <c r="B40" s="256">
        <v>2.9</v>
      </c>
      <c r="C40" s="257">
        <v>4</v>
      </c>
      <c r="D40" s="168">
        <v>5.0999999999999996</v>
      </c>
      <c r="E40" s="168">
        <v>6.2</v>
      </c>
      <c r="F40" s="2">
        <v>0</v>
      </c>
      <c r="N40">
        <v>16000</v>
      </c>
      <c r="O40" s="264"/>
      <c r="P40" s="265"/>
      <c r="Q40" s="22"/>
      <c r="R40" s="22"/>
      <c r="S40" s="2">
        <v>99999</v>
      </c>
      <c r="Z40">
        <v>12000</v>
      </c>
      <c r="AA40" s="264">
        <v>0.7</v>
      </c>
      <c r="AB40" s="265">
        <v>1.7</v>
      </c>
      <c r="AC40" s="22">
        <v>2.8</v>
      </c>
      <c r="AD40" s="22">
        <v>4</v>
      </c>
      <c r="AE40" s="22">
        <v>5.3</v>
      </c>
      <c r="AF40" s="2">
        <v>99999</v>
      </c>
    </row>
    <row r="41" spans="1:38" ht="15" customHeight="1">
      <c r="A41">
        <v>12500</v>
      </c>
      <c r="B41" s="260">
        <v>2.5</v>
      </c>
      <c r="C41" s="261">
        <v>3.5</v>
      </c>
      <c r="D41" s="269">
        <v>4.5</v>
      </c>
      <c r="E41" s="269">
        <v>5.6</v>
      </c>
      <c r="F41" s="2">
        <v>0</v>
      </c>
      <c r="N41">
        <v>16600</v>
      </c>
      <c r="O41" s="270"/>
      <c r="P41" s="271"/>
      <c r="Q41" s="272"/>
      <c r="R41" s="272"/>
      <c r="S41" s="2">
        <v>99999</v>
      </c>
      <c r="Z41">
        <v>12500</v>
      </c>
      <c r="AA41" s="270">
        <v>0.3</v>
      </c>
      <c r="AB41" s="271">
        <v>1.2</v>
      </c>
      <c r="AC41" s="272">
        <v>2.2000000000000002</v>
      </c>
      <c r="AD41" s="272">
        <v>3.5</v>
      </c>
      <c r="AE41" s="272">
        <v>4.7</v>
      </c>
      <c r="AF41" s="2">
        <v>99999</v>
      </c>
    </row>
    <row r="42" spans="1:38" ht="15" customHeight="1">
      <c r="A42">
        <v>12600</v>
      </c>
      <c r="B42" s="235">
        <v>0</v>
      </c>
      <c r="C42" s="236">
        <v>0</v>
      </c>
      <c r="D42" s="236">
        <v>0</v>
      </c>
      <c r="E42" s="236">
        <v>0</v>
      </c>
      <c r="F42" s="250">
        <v>0</v>
      </c>
      <c r="G42" s="217"/>
      <c r="H42" s="217"/>
      <c r="I42" s="217"/>
      <c r="J42" s="217"/>
      <c r="K42" s="217"/>
      <c r="L42" s="11"/>
      <c r="N42">
        <v>16700</v>
      </c>
      <c r="O42" s="235">
        <v>99999</v>
      </c>
      <c r="P42" s="236">
        <v>99999</v>
      </c>
      <c r="Q42" s="236">
        <v>99999</v>
      </c>
      <c r="R42" s="236">
        <v>99999</v>
      </c>
      <c r="S42" s="250">
        <v>99999</v>
      </c>
      <c r="T42" s="217"/>
      <c r="U42" s="217"/>
      <c r="V42" s="217"/>
      <c r="W42" s="217"/>
      <c r="Z42">
        <v>12600</v>
      </c>
      <c r="AA42" s="235">
        <v>99999</v>
      </c>
      <c r="AB42" s="236">
        <v>99999</v>
      </c>
      <c r="AC42" s="236">
        <v>99999</v>
      </c>
      <c r="AD42" s="236">
        <v>99999</v>
      </c>
      <c r="AE42" s="236">
        <v>99999</v>
      </c>
      <c r="AF42" s="250">
        <v>99999</v>
      </c>
      <c r="AG42" s="217"/>
      <c r="AH42" s="217"/>
      <c r="AI42" s="217"/>
      <c r="AJ42" s="217"/>
      <c r="AK42" s="217"/>
    </row>
    <row r="43" spans="1:38" ht="15" customHeight="1">
      <c r="B43" s="159"/>
      <c r="C43" s="160"/>
      <c r="G43" s="1"/>
      <c r="H43" s="1"/>
      <c r="I43" s="1"/>
      <c r="J43" s="159"/>
      <c r="K43" s="160"/>
      <c r="O43" s="159"/>
      <c r="P43" s="160"/>
      <c r="T43" s="1"/>
      <c r="U43" s="1"/>
      <c r="V43" s="1"/>
      <c r="W43" s="159"/>
      <c r="X43" s="160"/>
      <c r="AB43" s="159"/>
      <c r="AC43" s="160"/>
      <c r="AG43" s="1"/>
      <c r="AH43" s="1"/>
      <c r="AI43" s="1"/>
      <c r="AJ43" s="159"/>
      <c r="AK43" s="160"/>
    </row>
    <row r="44" spans="1:38" ht="15" customHeight="1">
      <c r="B44" s="159" t="s">
        <v>138</v>
      </c>
      <c r="C44" s="160">
        <f>C30</f>
        <v>5.3930000000000007</v>
      </c>
      <c r="D44" s="276" t="s">
        <v>181</v>
      </c>
      <c r="E44" s="276"/>
      <c r="G44" s="1"/>
      <c r="H44" s="1"/>
      <c r="I44" s="1"/>
      <c r="J44" s="159"/>
      <c r="K44" s="160"/>
      <c r="L44" s="14"/>
      <c r="O44" s="159" t="s">
        <v>138</v>
      </c>
      <c r="P44" s="160" t="e">
        <f>P30</f>
        <v>#N/A</v>
      </c>
      <c r="Q44" s="276" t="s">
        <v>181</v>
      </c>
      <c r="R44" s="276"/>
      <c r="T44" s="1"/>
      <c r="U44" s="1"/>
      <c r="V44" s="1"/>
      <c r="W44" s="159"/>
      <c r="X44" s="160"/>
      <c r="Y44" s="14"/>
      <c r="AB44" s="159" t="s">
        <v>138</v>
      </c>
      <c r="AC44" s="160">
        <f>AC30</f>
        <v>4.1930000000000005</v>
      </c>
      <c r="AD44" s="276" t="s">
        <v>181</v>
      </c>
      <c r="AE44" s="276"/>
      <c r="AG44" s="1"/>
      <c r="AH44" s="1"/>
      <c r="AI44" s="1"/>
      <c r="AJ44" s="159"/>
      <c r="AK44" s="160"/>
      <c r="AL44" s="14"/>
    </row>
    <row r="45" spans="1:38" ht="15" customHeight="1">
      <c r="B45" s="18" t="s">
        <v>182</v>
      </c>
      <c r="C45" s="161">
        <f>INDEX(B33:F33,MATCH(C44,B33:F33,1))</f>
        <v>4.5</v>
      </c>
      <c r="D45" s="18" t="s">
        <v>136</v>
      </c>
      <c r="E45" s="49">
        <f>MATCH(MAX(A34:A42),A34:A42,1)</f>
        <v>9</v>
      </c>
      <c r="G45" s="1"/>
      <c r="H45" s="1"/>
      <c r="I45" s="1"/>
      <c r="J45" s="18"/>
      <c r="K45" s="161"/>
      <c r="L45" s="18"/>
      <c r="M45" s="49"/>
      <c r="O45" s="18" t="s">
        <v>182</v>
      </c>
      <c r="P45" s="161" t="e">
        <f>INDEX(O33:S33,MATCH(P44,O33:S33,1))</f>
        <v>#N/A</v>
      </c>
      <c r="Q45" s="18" t="s">
        <v>136</v>
      </c>
      <c r="R45" s="49">
        <f>MATCH(MAX(N34:N42),N34:N42,1)</f>
        <v>9</v>
      </c>
      <c r="T45" s="1"/>
      <c r="U45" s="1"/>
      <c r="V45" s="1"/>
      <c r="W45" s="18"/>
      <c r="X45" s="161"/>
      <c r="Y45" s="18"/>
      <c r="AB45" s="18" t="s">
        <v>182</v>
      </c>
      <c r="AC45" s="161">
        <f>INDEX(AA33:AF33,MATCH(AC44,AA33:AF33,1))</f>
        <v>3.5</v>
      </c>
      <c r="AD45" s="18" t="s">
        <v>136</v>
      </c>
      <c r="AE45" s="49">
        <f>MATCH(MAX(Z34:Z42),Z34:Z42,1)</f>
        <v>9</v>
      </c>
      <c r="AG45" s="1"/>
      <c r="AH45" s="1"/>
      <c r="AI45" s="1"/>
      <c r="AJ45" s="18"/>
      <c r="AK45" s="161"/>
      <c r="AL45" s="18"/>
    </row>
    <row r="46" spans="1:38" ht="15" customHeight="1">
      <c r="B46" s="18" t="s">
        <v>183</v>
      </c>
      <c r="C46" s="161">
        <f t="array" ref="C46">INDEX(B33:F33,IF(MATCH(C44,B33:F33,1)&lt;E46,MATCH(C44,B33:F33,1)+1,MATCH(C44,B33:F33,1)))</f>
        <v>5.6</v>
      </c>
      <c r="D46" s="18" t="s">
        <v>137</v>
      </c>
      <c r="E46" s="49">
        <f>MATCH(MAX(B33:F33),B33:F33,0)</f>
        <v>5</v>
      </c>
      <c r="G46" s="1"/>
      <c r="H46" s="1"/>
      <c r="I46" s="1"/>
      <c r="J46" s="18"/>
      <c r="K46" s="161"/>
      <c r="L46" s="18"/>
      <c r="M46" s="49"/>
      <c r="O46" s="18" t="s">
        <v>183</v>
      </c>
      <c r="P46" s="161" t="e">
        <f t="array" ref="P46">INDEX(O33:S33,IF(MATCH(P44,O33:S33,1)&lt;R46,MATCH(P44,O33:S33,1)+1,MATCH(P44,O33:S33,1)))</f>
        <v>#N/A</v>
      </c>
      <c r="Q46" s="18" t="s">
        <v>137</v>
      </c>
      <c r="R46" s="49">
        <f>MATCH(MAX(O33:S33),O33:S33,0)</f>
        <v>5</v>
      </c>
      <c r="T46" s="1"/>
      <c r="U46" s="1"/>
      <c r="V46" s="1"/>
      <c r="W46" s="18"/>
      <c r="X46" s="161"/>
      <c r="Y46" s="18"/>
      <c r="AB46" s="18" t="s">
        <v>183</v>
      </c>
      <c r="AC46" s="161">
        <f t="array" ref="AC46">INDEX(AA33:AF33,IF(MATCH(AC44,AA33:AF33,1)&lt;AE46,MATCH(AC44,AA33:AF33,1)+1,MATCH(AC44,AA33:AF33,1)))</f>
        <v>4.7</v>
      </c>
      <c r="AD46" s="18" t="s">
        <v>137</v>
      </c>
      <c r="AE46" s="49">
        <f>MATCH(MAX(AA33:AF33),AA33:AF33,0)</f>
        <v>6</v>
      </c>
      <c r="AG46" s="1"/>
      <c r="AH46" s="1"/>
      <c r="AI46" s="1"/>
      <c r="AJ46" s="18"/>
      <c r="AK46" s="161"/>
      <c r="AL46" s="18"/>
    </row>
    <row r="47" spans="1:38" ht="15" customHeight="1">
      <c r="B47" s="159" t="s">
        <v>139</v>
      </c>
      <c r="C47" s="205">
        <f>'Take-off'!$C$14</f>
        <v>12500</v>
      </c>
      <c r="D47" s="1"/>
      <c r="E47" s="1"/>
      <c r="G47" s="1"/>
      <c r="H47" s="1"/>
      <c r="I47" s="1"/>
      <c r="J47" s="159"/>
      <c r="K47" s="205"/>
      <c r="L47" s="1"/>
      <c r="M47" s="1"/>
      <c r="O47" s="159" t="s">
        <v>139</v>
      </c>
      <c r="P47" s="205">
        <f>'Take-off'!$C$14</f>
        <v>12500</v>
      </c>
      <c r="Q47" s="1"/>
      <c r="R47" s="1"/>
      <c r="T47" s="1"/>
      <c r="U47" s="1"/>
      <c r="V47" s="1"/>
      <c r="W47" s="159"/>
      <c r="X47" s="205"/>
      <c r="Y47" s="1"/>
      <c r="AB47" s="159" t="s">
        <v>139</v>
      </c>
      <c r="AC47" s="205">
        <f>'Take-off'!$C$14</f>
        <v>12500</v>
      </c>
      <c r="AD47" s="1"/>
      <c r="AE47" s="1"/>
      <c r="AG47" s="1"/>
      <c r="AH47" s="1"/>
      <c r="AI47" s="1"/>
      <c r="AJ47" s="159"/>
      <c r="AK47" s="205"/>
      <c r="AL47" s="1"/>
    </row>
    <row r="48" spans="1:38" ht="15" customHeight="1">
      <c r="B48" s="18" t="s">
        <v>140</v>
      </c>
      <c r="C48" s="161">
        <f>INDEX(A34:A42,MATCH(C47,A34:A42,1))</f>
        <v>12500</v>
      </c>
      <c r="D48" s="1"/>
      <c r="E48" s="40"/>
      <c r="G48" s="1"/>
      <c r="H48" s="1"/>
      <c r="I48" s="1"/>
      <c r="J48" s="18"/>
      <c r="K48" s="161"/>
      <c r="L48" s="1"/>
      <c r="M48" s="40"/>
      <c r="O48" s="18" t="s">
        <v>140</v>
      </c>
      <c r="P48" s="161">
        <f>INDEX(N34:N42,MATCH(P47,N34:N42,1))</f>
        <v>12000</v>
      </c>
      <c r="Q48" s="1"/>
      <c r="R48" s="40"/>
      <c r="T48" s="1"/>
      <c r="U48" s="1"/>
      <c r="V48" s="1"/>
      <c r="W48" s="18"/>
      <c r="X48" s="161"/>
      <c r="Y48" s="1"/>
      <c r="AB48" s="18" t="s">
        <v>140</v>
      </c>
      <c r="AC48" s="161">
        <f>INDEX(Z34:Z42,MATCH(AC47,Z34:Z42,1))</f>
        <v>12500</v>
      </c>
      <c r="AD48" s="1"/>
      <c r="AE48" s="40"/>
      <c r="AG48" s="1"/>
      <c r="AH48" s="1"/>
      <c r="AI48" s="1"/>
      <c r="AJ48" s="18"/>
      <c r="AK48" s="161"/>
      <c r="AL48" s="1"/>
    </row>
    <row r="49" spans="2:38" ht="15" customHeight="1">
      <c r="B49" s="18" t="s">
        <v>141</v>
      </c>
      <c r="C49" s="161">
        <f t="array" ref="C49">INDEX(A34:A42,IF(MATCH(C47,A34:A42,1)&lt;E45,MATCH(C47,A34:A42,1)+1,MATCH(C47,A34:A42,1)))</f>
        <v>12600</v>
      </c>
      <c r="D49" s="1"/>
      <c r="E49" s="40"/>
      <c r="G49" s="1"/>
      <c r="H49" s="1"/>
      <c r="I49" s="1"/>
      <c r="J49" s="18"/>
      <c r="K49" s="161"/>
      <c r="L49" s="1"/>
      <c r="M49" s="40"/>
      <c r="O49" s="18" t="s">
        <v>141</v>
      </c>
      <c r="P49" s="161">
        <f t="array" ref="P49">INDEX(N34:N42,IF(MATCH(P47,N34:N42,1)&lt;R45,MATCH(P47,N34:N42,1)+1,MATCH(P47,N34:N42,1)))</f>
        <v>13000</v>
      </c>
      <c r="Q49" s="1"/>
      <c r="R49" s="40"/>
      <c r="T49" s="1"/>
      <c r="U49" s="1"/>
      <c r="V49" s="1"/>
      <c r="W49" s="18"/>
      <c r="X49" s="161"/>
      <c r="Y49" s="1"/>
      <c r="AB49" s="18" t="s">
        <v>141</v>
      </c>
      <c r="AC49" s="161">
        <f t="array" ref="AC49">INDEX(Z34:Z42,IF(MATCH(AC47,Z34:Z42,1)&lt;AE45,MATCH(AC47,Z34:Z42,1)+1,MATCH(AC47,Z34:Z42,1)))</f>
        <v>12600</v>
      </c>
      <c r="AD49" s="1"/>
      <c r="AE49" s="40"/>
      <c r="AG49" s="1"/>
      <c r="AH49" s="1"/>
      <c r="AI49" s="1"/>
      <c r="AJ49" s="18"/>
      <c r="AK49" s="161"/>
      <c r="AL49" s="1"/>
    </row>
    <row r="50" spans="2:38" ht="15" customHeight="1">
      <c r="B50" s="159" t="s">
        <v>142</v>
      </c>
      <c r="C50" s="160">
        <f>INDEX(B34:F42,MATCH(C47,A34:A42,1),MATCH(C44,B33:F33,1))</f>
        <v>4.5</v>
      </c>
      <c r="D50" s="1"/>
      <c r="E50" s="40"/>
      <c r="G50" s="1"/>
      <c r="H50" s="1"/>
      <c r="I50" s="1"/>
      <c r="J50" s="159"/>
      <c r="K50" s="160"/>
      <c r="L50" s="1"/>
      <c r="M50" s="40"/>
      <c r="O50" s="159" t="s">
        <v>142</v>
      </c>
      <c r="P50" s="160" t="e">
        <f>INDEX(O34:S42,MATCH(P47,N34:N42,1),MATCH(P44,O33:S33,1))</f>
        <v>#N/A</v>
      </c>
      <c r="Q50" s="1"/>
      <c r="R50" s="40"/>
      <c r="T50" s="1"/>
      <c r="U50" s="1"/>
      <c r="V50" s="1"/>
      <c r="W50" s="159"/>
      <c r="X50" s="160"/>
      <c r="Y50" s="1"/>
      <c r="AB50" s="159" t="s">
        <v>142</v>
      </c>
      <c r="AC50" s="160">
        <f>INDEX(AA34:AF42,MATCH(AC47,Z34:Z42,1),MATCH(AC44,AA33:AF33,1))</f>
        <v>3.5</v>
      </c>
      <c r="AD50" s="1"/>
      <c r="AE50" s="40"/>
      <c r="AG50" s="1"/>
      <c r="AH50" s="1"/>
      <c r="AI50" s="1"/>
      <c r="AJ50" s="159"/>
      <c r="AK50" s="160"/>
      <c r="AL50" s="1"/>
    </row>
    <row r="51" spans="2:38" ht="15" customHeight="1">
      <c r="B51" s="159" t="s">
        <v>184</v>
      </c>
      <c r="C51" s="160">
        <f t="array" ref="C51">INDEX(B34:F42,MATCH(C47,A34:A42,1),IF(MATCH(C44,B33:F33,1)&lt;E46,MATCH(C44,B33:F33,1)+1,MATCH(C47,A34:A42,1)))</f>
        <v>5.6</v>
      </c>
      <c r="E51" s="40"/>
      <c r="G51" s="1"/>
      <c r="H51" s="1"/>
      <c r="I51" s="1"/>
      <c r="J51" s="159"/>
      <c r="K51" s="160"/>
      <c r="M51" s="40"/>
      <c r="O51" s="159" t="s">
        <v>184</v>
      </c>
      <c r="P51" s="160" t="e">
        <f t="array" ref="P51">INDEX(O34:S42,MATCH(P47,N34:N42,1),IF(MATCH(P44,O33:S33,1)&lt;R46,MATCH(P44,O33:S33,1)+1,MATCH(P47,N34:N42,1)))</f>
        <v>#N/A</v>
      </c>
      <c r="R51" s="40"/>
      <c r="T51" s="1"/>
      <c r="U51" s="1"/>
      <c r="V51" s="1"/>
      <c r="W51" s="159"/>
      <c r="X51" s="160"/>
      <c r="AB51" s="159" t="s">
        <v>184</v>
      </c>
      <c r="AC51" s="160">
        <f t="array" ref="AC51">INDEX(AA34:AF42,MATCH(AC47,Z34:Z42,1),IF(MATCH(AC44,AA33:AF33,1)&lt;AE46,MATCH(AC44,AA33:AF33,1)+1,MATCH(AC47,Z34:Z42,1)))</f>
        <v>4.7</v>
      </c>
      <c r="AE51" s="40"/>
      <c r="AG51" s="1"/>
      <c r="AH51" s="1"/>
      <c r="AI51" s="1"/>
      <c r="AJ51" s="159"/>
      <c r="AK51" s="160"/>
    </row>
    <row r="52" spans="2:38" ht="15" customHeight="1">
      <c r="B52" s="159" t="s">
        <v>143</v>
      </c>
      <c r="C52" s="160">
        <f t="array" ref="C52">INDEX(B34:F42,IF(MATCH(C47,A34:A42,1)&lt;E45,MATCH(C47,A34:A42,1)+1,MATCH(C47,A34:A42,1)),MATCH(C44,B33:F33,1))</f>
        <v>0</v>
      </c>
      <c r="E52" s="40"/>
      <c r="G52" s="1"/>
      <c r="H52" s="1"/>
      <c r="I52" s="1"/>
      <c r="J52" s="159"/>
      <c r="K52" s="160"/>
      <c r="M52" s="40"/>
      <c r="O52" s="159" t="s">
        <v>143</v>
      </c>
      <c r="P52" s="160" t="e">
        <f t="array" ref="P52">INDEX(O34:S42,IF(MATCH(P47,N34:N42,1)&lt;R45,MATCH(P47,N34:N42,1)+1,MATCH(P47,N34:N42,1)),MATCH(P44,O33:S33,1))</f>
        <v>#N/A</v>
      </c>
      <c r="R52" s="40"/>
      <c r="T52" s="1"/>
      <c r="U52" s="1"/>
      <c r="V52" s="1"/>
      <c r="W52" s="159"/>
      <c r="X52" s="160"/>
      <c r="AB52" s="159" t="s">
        <v>143</v>
      </c>
      <c r="AC52" s="160">
        <f t="array" ref="AC52">INDEX(AA34:AF42,IF(MATCH(AC47,Z34:Z42,1)&lt;AE45,MATCH(AC47,Z34:Z42,1)+1,MATCH(AC47,Z34:Z42,1)),MATCH(AC44,AA33:AF33,1))</f>
        <v>99999</v>
      </c>
      <c r="AE52" s="40"/>
      <c r="AG52" s="1"/>
      <c r="AH52" s="1"/>
      <c r="AI52" s="1"/>
      <c r="AJ52" s="159"/>
      <c r="AK52" s="160"/>
    </row>
    <row r="53" spans="2:38" ht="15" customHeight="1">
      <c r="B53" s="159" t="s">
        <v>185</v>
      </c>
      <c r="C53" s="160">
        <f t="array" ref="C53">INDEX(B34:F42,IF(MATCH(C47,A34:A42,1)&lt;E45,MATCH(C47,A34:A42,1)+1,MATCH(C47,A34:A42,1)),IF(MATCH(C44,B33:F33,1)&lt;E46,MATCH(C44,B33:F33,1)+1,MATCH(C44,B33:F33,1)))</f>
        <v>0</v>
      </c>
      <c r="G53" s="1"/>
      <c r="H53" s="1"/>
      <c r="I53" s="1"/>
      <c r="J53" s="159"/>
      <c r="K53" s="160"/>
      <c r="O53" s="159" t="s">
        <v>185</v>
      </c>
      <c r="P53" s="160" t="e">
        <f t="array" ref="P53">INDEX(O34:S42,IF(MATCH(P47,N34:N42,1)&lt;R45,MATCH(P47,N34:N42,1)+1,MATCH(P47,N34:N42,1)),IF(MATCH(P44,O33:S33,1)&lt;R46,MATCH(P44,O33:S33,1)+1,MATCH(P44,O33:S33,1)))</f>
        <v>#N/A</v>
      </c>
      <c r="T53" s="1"/>
      <c r="U53" s="1"/>
      <c r="V53" s="1"/>
      <c r="W53" s="159"/>
      <c r="X53" s="160"/>
      <c r="AB53" s="159" t="s">
        <v>185</v>
      </c>
      <c r="AC53" s="160">
        <f t="array" ref="AC53">INDEX(AA34:AF42,IF(MATCH(AC47,Z34:Z42,1)&lt;AE45,MATCH(AC47,Z34:Z42,1)+1,MATCH(AC47,Z34:Z42,1)),IF(MATCH(AC44,AA33:AF33,1)&lt;AE46,MATCH(AC44,AA33:AF33,1)+1,MATCH(AC44,AA33:AF33,1)))</f>
        <v>99999</v>
      </c>
      <c r="AG53" s="1"/>
      <c r="AH53" s="1"/>
      <c r="AI53" s="1"/>
      <c r="AJ53" s="159"/>
      <c r="AK53" s="160"/>
    </row>
    <row r="54" spans="2:38" ht="15" customHeight="1">
      <c r="B54" s="18" t="s">
        <v>186</v>
      </c>
      <c r="C54" s="161">
        <f>IFERROR(C50+(C44-C45)*(C51-C50)/(C46-C45),C50)</f>
        <v>5.3930000000000007</v>
      </c>
      <c r="G54" s="1"/>
      <c r="H54" s="1"/>
      <c r="I54" s="1"/>
      <c r="J54" s="18"/>
      <c r="K54" s="161"/>
      <c r="O54" s="18" t="s">
        <v>186</v>
      </c>
      <c r="P54" s="161" t="e">
        <f>IFERROR(P50+(P44-P45)*(P51-P50)/(P46-P45),P50)</f>
        <v>#N/A</v>
      </c>
      <c r="T54" s="1"/>
      <c r="U54" s="1"/>
      <c r="V54" s="1"/>
      <c r="W54" s="18"/>
      <c r="X54" s="161"/>
      <c r="AB54" s="18" t="s">
        <v>186</v>
      </c>
      <c r="AC54" s="161">
        <f>IFERROR(AC50+(AC44-AC45)*(AC51-AC50)/(AC46-AC45),AC50)</f>
        <v>4.1930000000000005</v>
      </c>
      <c r="AG54" s="1"/>
      <c r="AH54" s="1"/>
      <c r="AI54" s="1"/>
      <c r="AJ54" s="18"/>
      <c r="AK54" s="161"/>
    </row>
    <row r="55" spans="2:38" ht="15" customHeight="1">
      <c r="B55" s="18" t="s">
        <v>187</v>
      </c>
      <c r="C55" s="161">
        <f>IFERROR(C52+(C44-C45)*(C53-C52)/(C46-C45),C52)</f>
        <v>0</v>
      </c>
      <c r="G55" s="1"/>
      <c r="H55" s="1"/>
      <c r="I55" s="1"/>
      <c r="J55" s="18"/>
      <c r="K55" s="161"/>
      <c r="O55" s="18" t="s">
        <v>187</v>
      </c>
      <c r="P55" s="161" t="e">
        <f>IFERROR(P52+(P44-P45)*(P53-P52)/(P46-P45),P52)</f>
        <v>#N/A</v>
      </c>
      <c r="T55" s="1"/>
      <c r="U55" s="1"/>
      <c r="V55" s="1"/>
      <c r="W55" s="18"/>
      <c r="X55" s="161"/>
      <c r="AB55" s="18" t="s">
        <v>187</v>
      </c>
      <c r="AC55" s="161">
        <f>IFERROR(AC52+(AC44-AC45)*(AC53-AC52)/(AC46-AC45),AC52)</f>
        <v>99999</v>
      </c>
      <c r="AG55" s="1"/>
      <c r="AH55" s="1"/>
      <c r="AI55" s="1"/>
      <c r="AJ55" s="18"/>
      <c r="AK55" s="161"/>
    </row>
    <row r="56" spans="2:38" ht="15" customHeight="1">
      <c r="B56" s="159" t="s">
        <v>188</v>
      </c>
      <c r="C56" s="262">
        <f>IFERROR(C54+(C47-C48)*(C55-C54)/(C49-C48),C54)</f>
        <v>5.3930000000000007</v>
      </c>
      <c r="G56" s="1"/>
      <c r="H56" s="1"/>
      <c r="I56" s="1"/>
      <c r="J56" s="159"/>
      <c r="K56" s="160"/>
      <c r="O56" s="159" t="s">
        <v>188</v>
      </c>
      <c r="P56" s="160" t="e">
        <f>IFERROR(P54+(P47-P48)*(P55-P54)/(P49-P48),P54)</f>
        <v>#N/A</v>
      </c>
      <c r="T56" s="1"/>
      <c r="U56" s="1"/>
      <c r="V56" s="1"/>
      <c r="W56" s="159"/>
      <c r="X56" s="160"/>
      <c r="AB56" s="159" t="s">
        <v>188</v>
      </c>
      <c r="AC56" s="160">
        <f>IFERROR(AC54+(AC47-AC48)*(AC55-AC54)/(AC49-AC48),AC54)</f>
        <v>4.1930000000000005</v>
      </c>
      <c r="AG56" s="1"/>
      <c r="AH56" s="1"/>
      <c r="AI56" s="1"/>
      <c r="AJ56" s="159"/>
      <c r="AK56" s="160"/>
    </row>
    <row r="57" spans="2:38" ht="15" customHeight="1">
      <c r="C57" s="22"/>
      <c r="O57" t="s">
        <v>201</v>
      </c>
      <c r="P57" t="e">
        <f>IF('Take-off'!$C$13='Dropdown lists'!$B$30,P56 -0.8, P56)</f>
        <v>#N/A</v>
      </c>
    </row>
  </sheetData>
  <mergeCells count="17">
    <mergeCell ref="B32:G32"/>
    <mergeCell ref="O32:T32"/>
    <mergeCell ref="AB32:AG32"/>
    <mergeCell ref="D44:E44"/>
    <mergeCell ref="Q44:R44"/>
    <mergeCell ref="AD44:AE44"/>
    <mergeCell ref="D18:E18"/>
    <mergeCell ref="Q18:R18"/>
    <mergeCell ref="AD18:AE18"/>
    <mergeCell ref="AR18:AS18"/>
    <mergeCell ref="AZ18:BA18"/>
    <mergeCell ref="B3:L3"/>
    <mergeCell ref="O3:Y3"/>
    <mergeCell ref="AB3:AL3"/>
    <mergeCell ref="B4:F4"/>
    <mergeCell ref="O4:S4"/>
    <mergeCell ref="AB4:AF4"/>
  </mergeCells>
  <conditionalFormatting sqref="B34:E41">
    <cfRule type="colorScale" priority="9">
      <colorScale>
        <cfvo type="min"/>
        <cfvo type="max"/>
        <color rgb="FFFCFCFF"/>
        <color rgb="FFF8696B"/>
      </colorScale>
    </cfRule>
  </conditionalFormatting>
  <conditionalFormatting sqref="B6:F15">
    <cfRule type="colorScale" priority="29">
      <colorScale>
        <cfvo type="min"/>
        <cfvo type="max"/>
        <color rgb="FFFCFCFF"/>
        <color rgb="FFF8696B"/>
      </colorScale>
    </cfRule>
  </conditionalFormatting>
  <conditionalFormatting sqref="K6:N16">
    <cfRule type="colorScale" priority="7">
      <colorScale>
        <cfvo type="min"/>
        <cfvo type="max"/>
        <color rgb="FFFCFCFF"/>
        <color rgb="FFF8696B"/>
      </colorScale>
    </cfRule>
  </conditionalFormatting>
  <conditionalFormatting sqref="O34:R41">
    <cfRule type="colorScale" priority="8">
      <colorScale>
        <cfvo type="min"/>
        <cfvo type="max"/>
        <color rgb="FFFCFCFF"/>
        <color rgb="FFF8696B"/>
      </colorScale>
    </cfRule>
  </conditionalFormatting>
  <conditionalFormatting sqref="P6:S15">
    <cfRule type="colorScale" priority="4">
      <colorScale>
        <cfvo type="min"/>
        <cfvo type="max"/>
        <color rgb="FFFCFCFF"/>
        <color rgb="FFF8696B"/>
      </colorScale>
    </cfRule>
  </conditionalFormatting>
  <conditionalFormatting sqref="X6:Y16">
    <cfRule type="colorScale" priority="31">
      <colorScale>
        <cfvo type="min"/>
        <cfvo type="max"/>
        <color rgb="FFFCFCFF"/>
        <color rgb="FFF8696B"/>
      </colorScale>
    </cfRule>
  </conditionalFormatting>
  <conditionalFormatting sqref="AA34:AE41">
    <cfRule type="colorScale" priority="10">
      <colorScale>
        <cfvo type="min"/>
        <cfvo type="max"/>
        <color rgb="FFFCFCFF"/>
        <color rgb="FFF8696B"/>
      </colorScale>
    </cfRule>
  </conditionalFormatting>
  <conditionalFormatting sqref="AB6:AF15">
    <cfRule type="colorScale" priority="30">
      <colorScale>
        <cfvo type="min"/>
        <cfvo type="max"/>
        <color rgb="FFFCFCFF"/>
        <color rgb="FFF8696B"/>
      </colorScale>
    </cfRule>
  </conditionalFormatting>
  <conditionalFormatting sqref="AK6:AM16">
    <cfRule type="colorScale" priority="3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C96"/>
  <sheetViews>
    <sheetView zoomScaleNormal="100" workbookViewId="0">
      <selection activeCell="A6" sqref="A6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50"/>
      <c r="B1" s="18" t="s">
        <v>175</v>
      </c>
      <c r="C1" s="159" t="s">
        <v>138</v>
      </c>
      <c r="D1" s="221">
        <f>IF('Take-off'!$C$9="",'Take-off'!$C$16,MAX(0,'Take-off'!$C$16+30*(1013-'Take-off'!$C$9)))</f>
        <v>0</v>
      </c>
      <c r="E1" s="222"/>
      <c r="F1" s="222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243"/>
      <c r="AW1" s="150"/>
      <c r="AX1" s="150"/>
      <c r="AY1" s="150"/>
      <c r="AZ1" s="150"/>
      <c r="BA1" s="150"/>
      <c r="BB1" s="150"/>
      <c r="BC1" s="150"/>
    </row>
    <row r="2" spans="1:55" ht="14.25" customHeight="1">
      <c r="A2" s="150"/>
      <c r="B2" s="18" t="s">
        <v>177</v>
      </c>
      <c r="C2" s="159" t="s">
        <v>139</v>
      </c>
      <c r="D2" s="221">
        <f>IF('Take-off'!$C$13='Dropdown lists'!$B$30, 'Take-off'!$C$8+10, 'Take-off'!$C$8)</f>
        <v>-35</v>
      </c>
      <c r="E2" s="223" t="s">
        <v>193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243"/>
      <c r="AW2" s="150"/>
      <c r="AX2" s="150"/>
      <c r="AY2" s="150"/>
      <c r="AZ2" s="150"/>
      <c r="BA2" s="150"/>
      <c r="BB2" s="150"/>
      <c r="BC2" s="150"/>
    </row>
    <row r="3" spans="1:55" ht="14.25" customHeight="1">
      <c r="A3" s="150"/>
      <c r="B3" s="303" t="s">
        <v>206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150"/>
      <c r="N3" s="150"/>
      <c r="O3" s="303" t="s">
        <v>207</v>
      </c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150"/>
      <c r="AA3" s="150"/>
      <c r="AB3" s="303" t="s">
        <v>208</v>
      </c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150"/>
      <c r="AN3" s="150"/>
      <c r="AO3" s="150"/>
      <c r="AP3" s="150"/>
      <c r="AQ3" s="150"/>
      <c r="AR3" s="150"/>
      <c r="AS3" s="150"/>
      <c r="AT3" s="150"/>
      <c r="AU3" s="150"/>
      <c r="AV3" s="243"/>
      <c r="AW3" s="150"/>
      <c r="AX3" s="150"/>
      <c r="AY3" s="150"/>
      <c r="AZ3" s="150"/>
      <c r="BA3" s="150"/>
      <c r="BB3" s="150"/>
      <c r="BC3" s="150"/>
    </row>
    <row r="4" spans="1:55" ht="15" customHeight="1">
      <c r="B4" s="275" t="s">
        <v>196</v>
      </c>
      <c r="C4" s="275"/>
      <c r="D4" s="275"/>
      <c r="E4" s="275"/>
      <c r="F4" s="275"/>
      <c r="G4" s="14"/>
      <c r="H4" s="14"/>
      <c r="I4" s="14"/>
      <c r="J4" s="14"/>
      <c r="K4" s="14"/>
      <c r="L4" s="14"/>
      <c r="M4" s="14"/>
      <c r="O4" s="275" t="s">
        <v>196</v>
      </c>
      <c r="P4" s="275"/>
      <c r="Q4" s="275"/>
      <c r="R4" s="275"/>
      <c r="S4" s="275"/>
      <c r="T4" s="14"/>
      <c r="U4" s="14"/>
      <c r="V4" s="14"/>
      <c r="W4" s="14"/>
      <c r="X4" s="14"/>
      <c r="Y4" s="14"/>
      <c r="Z4" s="159"/>
      <c r="AB4" s="275" t="s">
        <v>196</v>
      </c>
      <c r="AC4" s="275"/>
      <c r="AD4" s="275"/>
      <c r="AE4" s="275"/>
      <c r="AF4" s="275"/>
      <c r="AG4" s="14"/>
      <c r="AH4" s="14"/>
      <c r="AI4" s="14"/>
      <c r="AJ4" s="14"/>
      <c r="AK4" s="14"/>
      <c r="AL4" s="14"/>
      <c r="AM4" s="1"/>
      <c r="AN4" s="1"/>
      <c r="AO4" s="1"/>
      <c r="AP4" s="159"/>
      <c r="AQ4" s="160"/>
      <c r="AU4" s="1"/>
      <c r="AV4" s="1"/>
      <c r="AW4" s="1"/>
      <c r="AX4" s="159"/>
      <c r="AY4" s="160"/>
    </row>
    <row r="5" spans="1:55" ht="15" customHeight="1">
      <c r="A5" t="s">
        <v>197</v>
      </c>
      <c r="B5" s="225">
        <v>-500</v>
      </c>
      <c r="C5" s="237">
        <v>0</v>
      </c>
      <c r="D5" s="226">
        <v>1000</v>
      </c>
      <c r="E5" s="47">
        <v>2000</v>
      </c>
      <c r="F5" s="47">
        <v>3000</v>
      </c>
      <c r="G5" s="227">
        <v>4000</v>
      </c>
      <c r="H5" s="159"/>
      <c r="I5" s="160"/>
      <c r="J5" s="159"/>
      <c r="K5" s="160"/>
      <c r="N5" t="s">
        <v>197</v>
      </c>
      <c r="O5" s="225">
        <v>0</v>
      </c>
      <c r="P5" s="226">
        <v>1000</v>
      </c>
      <c r="Q5" s="47">
        <v>2000</v>
      </c>
      <c r="R5" s="47">
        <v>3000</v>
      </c>
      <c r="S5" s="227">
        <v>4000</v>
      </c>
      <c r="T5" s="159"/>
      <c r="U5" s="160"/>
      <c r="W5" s="159"/>
      <c r="X5" s="160"/>
      <c r="AA5" t="s">
        <v>197</v>
      </c>
      <c r="AB5" s="225">
        <v>-500</v>
      </c>
      <c r="AC5" s="237">
        <v>0</v>
      </c>
      <c r="AD5" s="226">
        <v>1000</v>
      </c>
      <c r="AE5" s="47">
        <v>2000</v>
      </c>
      <c r="AF5" s="47">
        <v>3000</v>
      </c>
      <c r="AG5" s="227">
        <v>4000</v>
      </c>
      <c r="AH5" s="159"/>
      <c r="AI5" s="160"/>
      <c r="AK5" s="159"/>
      <c r="AL5" s="160"/>
      <c r="AN5" s="159"/>
      <c r="AO5" s="160"/>
      <c r="AS5" s="1"/>
      <c r="AT5" s="1"/>
      <c r="AU5" s="1"/>
      <c r="AV5" s="159"/>
      <c r="AW5" s="160"/>
    </row>
    <row r="6" spans="1:55" ht="15" customHeight="1">
      <c r="A6">
        <v>-40</v>
      </c>
      <c r="B6" s="225">
        <v>1600</v>
      </c>
      <c r="C6" s="237">
        <v>1600</v>
      </c>
      <c r="D6" s="226">
        <v>1650</v>
      </c>
      <c r="E6" s="47">
        <v>1750</v>
      </c>
      <c r="F6" s="47">
        <v>1800</v>
      </c>
      <c r="G6" s="227">
        <v>99999</v>
      </c>
      <c r="H6" s="159"/>
      <c r="I6" s="160"/>
      <c r="J6" s="159"/>
      <c r="K6" s="160"/>
      <c r="N6">
        <v>-30</v>
      </c>
      <c r="O6" s="225"/>
      <c r="P6" s="226"/>
      <c r="Q6" s="47"/>
      <c r="R6" s="47"/>
      <c r="S6" s="227">
        <v>99999</v>
      </c>
      <c r="T6" s="159"/>
      <c r="U6" s="160"/>
      <c r="W6" s="159"/>
      <c r="X6" s="160"/>
      <c r="AA6">
        <v>-40</v>
      </c>
      <c r="AB6" s="225">
        <v>1580</v>
      </c>
      <c r="AC6" s="237">
        <v>1580</v>
      </c>
      <c r="AD6" s="226">
        <v>1650</v>
      </c>
      <c r="AE6" s="47">
        <v>1700</v>
      </c>
      <c r="AF6" s="47">
        <v>1800</v>
      </c>
      <c r="AG6" s="227">
        <v>99999</v>
      </c>
      <c r="AH6" s="159"/>
      <c r="AI6" s="160"/>
      <c r="AK6" s="159"/>
      <c r="AL6" s="160"/>
      <c r="AN6" s="159"/>
      <c r="AO6" s="160"/>
      <c r="AS6" s="1"/>
      <c r="AT6" s="1"/>
      <c r="AU6" s="1"/>
      <c r="AV6" s="159"/>
      <c r="AW6" s="160"/>
    </row>
    <row r="7" spans="1:55" ht="15" customHeight="1">
      <c r="A7">
        <v>-30</v>
      </c>
      <c r="B7" s="240">
        <v>1600</v>
      </c>
      <c r="C7" s="14">
        <v>1600</v>
      </c>
      <c r="D7" s="217">
        <v>1650</v>
      </c>
      <c r="E7">
        <v>1750</v>
      </c>
      <c r="F7">
        <v>1800</v>
      </c>
      <c r="G7" s="2">
        <v>99999</v>
      </c>
      <c r="H7" s="159"/>
      <c r="I7" s="160"/>
      <c r="J7" s="159"/>
      <c r="K7" s="160"/>
      <c r="O7" s="240"/>
      <c r="P7" s="217"/>
      <c r="S7" s="2"/>
      <c r="T7" s="159"/>
      <c r="U7" s="160"/>
      <c r="W7" s="159"/>
      <c r="X7" s="160"/>
      <c r="AA7">
        <v>-30</v>
      </c>
      <c r="AB7" s="240">
        <v>1580</v>
      </c>
      <c r="AC7" s="14">
        <v>1580</v>
      </c>
      <c r="AD7" s="217">
        <v>1650</v>
      </c>
      <c r="AE7">
        <v>1700</v>
      </c>
      <c r="AF7">
        <v>1800</v>
      </c>
      <c r="AG7" s="2">
        <v>99999</v>
      </c>
      <c r="AH7" s="159"/>
      <c r="AI7" s="160"/>
      <c r="AK7" s="159"/>
      <c r="AL7" s="160"/>
      <c r="AN7" s="159"/>
      <c r="AO7" s="160"/>
      <c r="AS7" s="1"/>
      <c r="AT7" s="1"/>
      <c r="AU7" s="1"/>
      <c r="AV7" s="159"/>
      <c r="AW7" s="160"/>
    </row>
    <row r="8" spans="1:55" ht="15" customHeight="1">
      <c r="A8">
        <v>-20</v>
      </c>
      <c r="B8" s="240">
        <v>1600</v>
      </c>
      <c r="C8" s="14">
        <v>1600</v>
      </c>
      <c r="D8" s="217">
        <v>1650</v>
      </c>
      <c r="E8">
        <v>1750</v>
      </c>
      <c r="F8">
        <v>1800</v>
      </c>
      <c r="G8" s="2">
        <v>99999</v>
      </c>
      <c r="H8" s="159"/>
      <c r="I8" s="160"/>
      <c r="J8" s="159"/>
      <c r="K8" s="160"/>
      <c r="N8">
        <v>-20</v>
      </c>
      <c r="O8" s="240"/>
      <c r="P8" s="217"/>
      <c r="S8" s="2">
        <v>99999</v>
      </c>
      <c r="T8" s="159"/>
      <c r="U8" s="160"/>
      <c r="W8" s="159"/>
      <c r="X8" s="160"/>
      <c r="AA8">
        <v>-20</v>
      </c>
      <c r="AB8" s="240">
        <v>1580</v>
      </c>
      <c r="AC8" s="14">
        <v>1580</v>
      </c>
      <c r="AD8" s="217">
        <v>1650</v>
      </c>
      <c r="AE8">
        <v>1700</v>
      </c>
      <c r="AF8">
        <v>1800</v>
      </c>
      <c r="AG8" s="2">
        <v>99999</v>
      </c>
      <c r="AH8" s="159"/>
      <c r="AI8" s="160"/>
      <c r="AK8" s="159"/>
      <c r="AL8" s="160"/>
      <c r="AN8" s="159"/>
      <c r="AO8" s="160"/>
      <c r="AS8" s="1"/>
      <c r="AT8" s="1"/>
      <c r="AU8" s="1"/>
      <c r="AV8" s="159"/>
      <c r="AW8" s="160"/>
    </row>
    <row r="9" spans="1:55" ht="15" customHeight="1">
      <c r="A9">
        <v>-10</v>
      </c>
      <c r="B9" s="240">
        <v>1650</v>
      </c>
      <c r="C9" s="14">
        <v>1650</v>
      </c>
      <c r="D9" s="217">
        <v>1750</v>
      </c>
      <c r="E9">
        <v>1850</v>
      </c>
      <c r="F9">
        <v>1950</v>
      </c>
      <c r="G9" s="2">
        <v>99999</v>
      </c>
      <c r="H9" s="159"/>
      <c r="I9" s="160"/>
      <c r="J9" s="159"/>
      <c r="K9" s="160"/>
      <c r="N9">
        <v>-10</v>
      </c>
      <c r="O9" s="240"/>
      <c r="P9" s="217"/>
      <c r="S9" s="2">
        <v>99999</v>
      </c>
      <c r="T9" s="159"/>
      <c r="U9" s="160"/>
      <c r="W9" s="159"/>
      <c r="X9" s="160"/>
      <c r="AA9">
        <v>-10</v>
      </c>
      <c r="AB9" s="240">
        <v>1600</v>
      </c>
      <c r="AC9" s="14">
        <v>1600</v>
      </c>
      <c r="AD9" s="217">
        <v>1700</v>
      </c>
      <c r="AE9">
        <v>1750</v>
      </c>
      <c r="AF9">
        <v>1900</v>
      </c>
      <c r="AG9" s="2">
        <v>99999</v>
      </c>
      <c r="AH9" s="159"/>
      <c r="AI9" s="160"/>
      <c r="AK9" s="159"/>
      <c r="AL9" s="160"/>
      <c r="AN9" s="159"/>
      <c r="AO9" s="160"/>
      <c r="AS9" s="1"/>
      <c r="AT9" s="1"/>
      <c r="AU9" s="1"/>
      <c r="AV9" s="159"/>
      <c r="AW9" s="160"/>
    </row>
    <row r="10" spans="1:55" ht="15" customHeight="1">
      <c r="A10">
        <v>0</v>
      </c>
      <c r="B10" s="240">
        <v>1750</v>
      </c>
      <c r="C10" s="14">
        <v>1750</v>
      </c>
      <c r="D10" s="217">
        <v>1850</v>
      </c>
      <c r="E10">
        <v>1950</v>
      </c>
      <c r="F10">
        <v>2100</v>
      </c>
      <c r="G10" s="2">
        <v>99999</v>
      </c>
      <c r="H10" s="159"/>
      <c r="I10" s="160"/>
      <c r="J10" s="159"/>
      <c r="K10" s="160"/>
      <c r="N10">
        <v>0</v>
      </c>
      <c r="O10" s="240"/>
      <c r="P10" s="217"/>
      <c r="S10" s="2">
        <v>99999</v>
      </c>
      <c r="T10" s="159"/>
      <c r="U10" s="160"/>
      <c r="W10" s="159"/>
      <c r="X10" s="160"/>
      <c r="AA10">
        <v>0</v>
      </c>
      <c r="AB10" s="240">
        <v>1700</v>
      </c>
      <c r="AC10" s="14">
        <v>1700</v>
      </c>
      <c r="AD10" s="217">
        <v>1800</v>
      </c>
      <c r="AE10">
        <v>1880</v>
      </c>
      <c r="AF10">
        <v>2000</v>
      </c>
      <c r="AG10" s="2">
        <v>99999</v>
      </c>
      <c r="AH10" s="159"/>
      <c r="AI10" s="160"/>
      <c r="AK10" s="159"/>
      <c r="AL10" s="160"/>
      <c r="AN10" s="159"/>
      <c r="AO10" s="160"/>
      <c r="AS10" s="1"/>
      <c r="AT10" s="1"/>
      <c r="AU10" s="1"/>
      <c r="AV10" s="159"/>
      <c r="AW10" s="160"/>
    </row>
    <row r="11" spans="1:55" ht="15" customHeight="1">
      <c r="A11">
        <v>10</v>
      </c>
      <c r="B11" s="240">
        <v>1850</v>
      </c>
      <c r="C11" s="14">
        <v>1850</v>
      </c>
      <c r="D11" s="217">
        <v>1990</v>
      </c>
      <c r="E11">
        <v>2100</v>
      </c>
      <c r="F11">
        <v>2220</v>
      </c>
      <c r="G11" s="2">
        <v>99999</v>
      </c>
      <c r="H11" s="159"/>
      <c r="I11" s="160"/>
      <c r="J11" s="159"/>
      <c r="K11" s="160"/>
      <c r="N11">
        <v>10</v>
      </c>
      <c r="O11" s="240"/>
      <c r="P11" s="217"/>
      <c r="S11" s="2">
        <v>99999</v>
      </c>
      <c r="T11" s="159"/>
      <c r="U11" s="160"/>
      <c r="W11" s="159"/>
      <c r="X11" s="160"/>
      <c r="AA11">
        <v>10</v>
      </c>
      <c r="AB11" s="240">
        <v>1800</v>
      </c>
      <c r="AC11" s="14">
        <v>1800</v>
      </c>
      <c r="AD11" s="217">
        <v>1900</v>
      </c>
      <c r="AE11">
        <v>2000</v>
      </c>
      <c r="AF11">
        <v>2100</v>
      </c>
      <c r="AG11" s="2">
        <v>99999</v>
      </c>
      <c r="AH11" s="159"/>
      <c r="AI11" s="160"/>
      <c r="AK11" s="159"/>
      <c r="AL11" s="160"/>
      <c r="AN11" s="159"/>
      <c r="AO11" s="160"/>
      <c r="AS11" s="1"/>
      <c r="AT11" s="1"/>
      <c r="AU11" s="1"/>
      <c r="AV11" s="159"/>
      <c r="AW11" s="160"/>
    </row>
    <row r="12" spans="1:55" ht="15" customHeight="1">
      <c r="A12">
        <v>20</v>
      </c>
      <c r="B12" s="240">
        <v>1960</v>
      </c>
      <c r="C12" s="14">
        <v>1960</v>
      </c>
      <c r="D12" s="217">
        <v>2100</v>
      </c>
      <c r="E12">
        <v>2230</v>
      </c>
      <c r="F12">
        <v>2350</v>
      </c>
      <c r="G12" s="2">
        <v>99999</v>
      </c>
      <c r="H12" s="159"/>
      <c r="I12" s="160"/>
      <c r="J12" s="159"/>
      <c r="K12" s="160"/>
      <c r="N12">
        <v>20</v>
      </c>
      <c r="O12" s="240"/>
      <c r="P12" s="217"/>
      <c r="S12" s="2">
        <v>99999</v>
      </c>
      <c r="T12" s="159"/>
      <c r="U12" s="160"/>
      <c r="W12" s="159"/>
      <c r="X12" s="160"/>
      <c r="AA12">
        <v>20</v>
      </c>
      <c r="AB12" s="240">
        <v>1900</v>
      </c>
      <c r="AC12" s="14">
        <v>1900</v>
      </c>
      <c r="AD12" s="217">
        <v>2000</v>
      </c>
      <c r="AE12">
        <v>2150</v>
      </c>
      <c r="AF12">
        <v>2300</v>
      </c>
      <c r="AG12" s="2">
        <v>99999</v>
      </c>
      <c r="AH12" s="159"/>
      <c r="AI12" s="160"/>
      <c r="AK12" s="159"/>
      <c r="AL12" s="160"/>
      <c r="AN12" s="159"/>
      <c r="AO12" s="160"/>
      <c r="AS12" s="1"/>
      <c r="AT12" s="1"/>
      <c r="AU12" s="1"/>
      <c r="AV12" s="159"/>
      <c r="AW12" s="160"/>
    </row>
    <row r="13" spans="1:55" ht="15" customHeight="1">
      <c r="A13">
        <v>30</v>
      </c>
      <c r="B13" s="240">
        <v>2100</v>
      </c>
      <c r="C13" s="14">
        <v>2100</v>
      </c>
      <c r="D13" s="217">
        <v>2250</v>
      </c>
      <c r="E13">
        <v>2400</v>
      </c>
      <c r="F13">
        <v>2550</v>
      </c>
      <c r="G13" s="2">
        <v>99999</v>
      </c>
      <c r="H13" s="159"/>
      <c r="I13" s="160"/>
      <c r="J13" s="159"/>
      <c r="K13" s="160"/>
      <c r="O13" s="240"/>
      <c r="P13" s="217"/>
      <c r="S13" s="2"/>
      <c r="T13" s="159"/>
      <c r="U13" s="160"/>
      <c r="W13" s="159"/>
      <c r="X13" s="160"/>
      <c r="AA13">
        <v>30</v>
      </c>
      <c r="AB13" s="240">
        <v>2050</v>
      </c>
      <c r="AC13" s="14">
        <v>2050</v>
      </c>
      <c r="AD13" s="217">
        <v>2200</v>
      </c>
      <c r="AE13">
        <v>2350</v>
      </c>
      <c r="AF13">
        <v>2500</v>
      </c>
      <c r="AG13" s="2">
        <v>99999</v>
      </c>
      <c r="AH13" s="159"/>
      <c r="AI13" s="160"/>
      <c r="AK13" s="159"/>
      <c r="AL13" s="160"/>
      <c r="AN13" s="159"/>
      <c r="AO13" s="160"/>
      <c r="AS13" s="1"/>
      <c r="AT13" s="1"/>
      <c r="AU13" s="1"/>
      <c r="AV13" s="159"/>
      <c r="AW13" s="160"/>
    </row>
    <row r="14" spans="1:55" ht="15" customHeight="1">
      <c r="A14">
        <v>40</v>
      </c>
      <c r="B14" s="240">
        <v>2300</v>
      </c>
      <c r="C14" s="14">
        <v>2300</v>
      </c>
      <c r="D14" s="217">
        <v>2470</v>
      </c>
      <c r="E14">
        <v>2650</v>
      </c>
      <c r="F14">
        <v>2875</v>
      </c>
      <c r="G14" s="2">
        <v>99999</v>
      </c>
      <c r="H14" s="159"/>
      <c r="I14" s="160"/>
      <c r="J14" s="159"/>
      <c r="K14" s="160"/>
      <c r="N14">
        <v>30</v>
      </c>
      <c r="O14" s="240"/>
      <c r="P14" s="217"/>
      <c r="S14" s="2">
        <v>99999</v>
      </c>
      <c r="T14" s="159"/>
      <c r="U14" s="160"/>
      <c r="W14" s="159"/>
      <c r="X14" s="160"/>
      <c r="AA14">
        <v>40</v>
      </c>
      <c r="AB14" s="240">
        <v>2200</v>
      </c>
      <c r="AC14" s="14">
        <v>2200</v>
      </c>
      <c r="AD14" s="217">
        <v>2400</v>
      </c>
      <c r="AE14">
        <v>2550</v>
      </c>
      <c r="AF14">
        <v>2750</v>
      </c>
      <c r="AG14" s="2">
        <v>99999</v>
      </c>
      <c r="AH14" s="159"/>
      <c r="AI14" s="160"/>
      <c r="AK14" s="159"/>
      <c r="AL14" s="160"/>
      <c r="AN14" s="159"/>
      <c r="AO14" s="160"/>
      <c r="AS14" s="1"/>
      <c r="AT14" s="1"/>
      <c r="AU14" s="1"/>
      <c r="AV14" s="159"/>
      <c r="AW14" s="160"/>
    </row>
    <row r="15" spans="1:55" ht="15" customHeight="1">
      <c r="A15">
        <v>45</v>
      </c>
      <c r="B15" s="235">
        <v>99999</v>
      </c>
      <c r="C15" s="241">
        <v>99999</v>
      </c>
      <c r="D15" s="236">
        <v>99999</v>
      </c>
      <c r="E15" s="236">
        <v>99999</v>
      </c>
      <c r="F15" s="236">
        <v>99999</v>
      </c>
      <c r="G15" s="244">
        <v>99999</v>
      </c>
      <c r="H15" s="159"/>
      <c r="I15" s="160"/>
      <c r="J15" s="159"/>
      <c r="K15" s="160"/>
      <c r="N15">
        <v>35</v>
      </c>
      <c r="O15" s="235">
        <v>99999</v>
      </c>
      <c r="P15" s="236">
        <v>99999</v>
      </c>
      <c r="Q15" s="236">
        <v>99999</v>
      </c>
      <c r="R15" s="236">
        <v>99999</v>
      </c>
      <c r="S15" s="244">
        <v>99999</v>
      </c>
      <c r="T15" s="159"/>
      <c r="U15" s="160"/>
      <c r="W15" s="159"/>
      <c r="X15" s="160"/>
      <c r="AA15">
        <v>45</v>
      </c>
      <c r="AB15" s="235">
        <v>99999</v>
      </c>
      <c r="AC15" s="241">
        <v>99999</v>
      </c>
      <c r="AD15" s="236">
        <v>99999</v>
      </c>
      <c r="AE15" s="236">
        <v>99999</v>
      </c>
      <c r="AF15" s="236">
        <v>99999</v>
      </c>
      <c r="AG15" s="244">
        <v>99999</v>
      </c>
      <c r="AH15" s="159"/>
      <c r="AI15" s="160"/>
      <c r="AK15" s="159"/>
      <c r="AL15" s="160"/>
      <c r="AN15" s="159"/>
      <c r="AO15" s="160"/>
      <c r="AS15" s="1"/>
      <c r="AT15" s="1"/>
      <c r="AU15" s="1"/>
      <c r="AV15" s="159"/>
      <c r="AW15" s="160"/>
    </row>
    <row r="16" spans="1:55" ht="15" customHeight="1">
      <c r="B16" s="159"/>
      <c r="C16" s="160"/>
      <c r="G16" s="1"/>
      <c r="H16" s="1"/>
      <c r="I16" s="1"/>
      <c r="J16" s="159"/>
      <c r="K16" s="160"/>
      <c r="O16" s="159"/>
      <c r="P16" s="160"/>
      <c r="T16" s="1"/>
      <c r="U16" s="1"/>
      <c r="V16" s="1"/>
      <c r="W16" s="159"/>
      <c r="X16" s="160"/>
      <c r="Z16" s="159"/>
      <c r="AB16" s="159"/>
      <c r="AC16" s="160"/>
      <c r="AG16" s="1"/>
      <c r="AH16" s="1"/>
      <c r="AI16" s="1"/>
      <c r="AJ16" s="159"/>
      <c r="AK16" s="160"/>
      <c r="AM16" s="1"/>
      <c r="AN16" s="1"/>
      <c r="AO16" s="1"/>
      <c r="AP16" s="159"/>
      <c r="AQ16" s="160"/>
      <c r="AU16" s="1"/>
      <c r="AV16" s="1"/>
      <c r="AW16" s="1"/>
      <c r="AX16" s="159"/>
      <c r="AY16" s="160"/>
    </row>
    <row r="17" spans="1:53" ht="15" customHeight="1">
      <c r="B17" s="159" t="s">
        <v>138</v>
      </c>
      <c r="C17" s="160">
        <f>D1</f>
        <v>0</v>
      </c>
      <c r="D17" s="276" t="s">
        <v>181</v>
      </c>
      <c r="E17" s="276"/>
      <c r="G17" s="1"/>
      <c r="H17" s="1"/>
      <c r="I17" s="1"/>
      <c r="J17" s="159"/>
      <c r="K17" s="160"/>
      <c r="L17" s="14"/>
      <c r="O17" s="159" t="s">
        <v>138</v>
      </c>
      <c r="P17" s="160">
        <f>D1</f>
        <v>0</v>
      </c>
      <c r="Q17" s="276" t="s">
        <v>181</v>
      </c>
      <c r="R17" s="276"/>
      <c r="T17" s="1"/>
      <c r="U17" s="1"/>
      <c r="V17" s="1"/>
      <c r="W17" s="159"/>
      <c r="X17" s="160"/>
      <c r="Y17" s="14"/>
      <c r="Z17" s="159"/>
      <c r="AB17" s="159" t="s">
        <v>138</v>
      </c>
      <c r="AC17" s="160">
        <f>D1</f>
        <v>0</v>
      </c>
      <c r="AD17" s="276" t="s">
        <v>181</v>
      </c>
      <c r="AE17" s="276"/>
      <c r="AG17" s="1"/>
      <c r="AH17" s="1"/>
      <c r="AI17" s="1"/>
      <c r="AJ17" s="159"/>
      <c r="AK17" s="160"/>
      <c r="AL17" s="14"/>
      <c r="AM17" s="1"/>
      <c r="AN17" s="1"/>
      <c r="AO17" s="1"/>
      <c r="AP17" s="159"/>
      <c r="AQ17" s="160"/>
      <c r="AR17" s="276"/>
      <c r="AS17" s="276"/>
      <c r="AU17" s="1"/>
      <c r="AV17" s="1"/>
      <c r="AW17" s="1"/>
      <c r="AX17" s="159"/>
      <c r="AY17" s="160"/>
      <c r="AZ17" s="276"/>
      <c r="BA17" s="276"/>
    </row>
    <row r="18" spans="1:53" ht="15" customHeight="1">
      <c r="B18" s="18" t="s">
        <v>182</v>
      </c>
      <c r="C18" s="161">
        <f>INDEX(B5:G5,MATCH(C17,B5:G5,1))</f>
        <v>0</v>
      </c>
      <c r="D18" s="18" t="s">
        <v>136</v>
      </c>
      <c r="E18" s="49">
        <f>MATCH(MAX(A6:A15),A6:A15,1)</f>
        <v>10</v>
      </c>
      <c r="G18" s="1"/>
      <c r="H18" s="1"/>
      <c r="I18" s="1"/>
      <c r="J18" s="18"/>
      <c r="K18" s="161"/>
      <c r="L18" s="18"/>
      <c r="M18" s="49"/>
      <c r="O18" s="18" t="s">
        <v>182</v>
      </c>
      <c r="P18" s="161">
        <f>INDEX(O5:S5,MATCH(P17,O5:S5,1))</f>
        <v>0</v>
      </c>
      <c r="Q18" s="18" t="s">
        <v>136</v>
      </c>
      <c r="R18" s="49">
        <f>MATCH(MAX(N6:N15),N6:N15,1)</f>
        <v>10</v>
      </c>
      <c r="T18" s="1"/>
      <c r="U18" s="1"/>
      <c r="V18" s="1"/>
      <c r="W18" s="18"/>
      <c r="X18" s="161"/>
      <c r="Y18" s="18"/>
      <c r="Z18" s="18"/>
      <c r="AB18" s="18" t="s">
        <v>182</v>
      </c>
      <c r="AC18" s="161">
        <f>INDEX(AB5:AG5,MATCH(AC17,AB5:AG5,1))</f>
        <v>0</v>
      </c>
      <c r="AD18" s="18" t="s">
        <v>136</v>
      </c>
      <c r="AE18" s="49">
        <f>MATCH(MAX(AA6:AA15),AA6:AA15,1)</f>
        <v>10</v>
      </c>
      <c r="AG18" s="1"/>
      <c r="AH18" s="1"/>
      <c r="AI18" s="1"/>
      <c r="AJ18" s="18"/>
      <c r="AK18" s="161"/>
      <c r="AL18" s="18"/>
      <c r="AM18" s="1"/>
      <c r="AN18" s="1"/>
      <c r="AO18" s="1"/>
      <c r="AP18" s="18"/>
      <c r="AQ18" s="161"/>
      <c r="AR18" s="18"/>
      <c r="AS18" s="49"/>
      <c r="AU18" s="1"/>
      <c r="AV18" s="1"/>
      <c r="AW18" s="1"/>
      <c r="AX18" s="18"/>
      <c r="AY18" s="161"/>
      <c r="AZ18" s="18"/>
      <c r="BA18" s="49"/>
    </row>
    <row r="19" spans="1:53" ht="15" customHeight="1">
      <c r="B19" s="18" t="s">
        <v>183</v>
      </c>
      <c r="C19" s="161">
        <f t="array" ref="C19">INDEX(B5:G5,IF(MATCH(C17,B5:G5,1)&lt;E19,MATCH(C17,B5:G5,1)+1,MATCH(C17,B5:G5,1)))</f>
        <v>1000</v>
      </c>
      <c r="D19" s="18" t="s">
        <v>137</v>
      </c>
      <c r="E19" s="49">
        <f>MATCH(MAX(B5:G5),B5:G5,0)</f>
        <v>6</v>
      </c>
      <c r="G19" s="1"/>
      <c r="H19" s="1"/>
      <c r="I19" s="1"/>
      <c r="J19" s="18"/>
      <c r="K19" s="161"/>
      <c r="L19" s="18"/>
      <c r="M19" s="49"/>
      <c r="O19" s="18" t="s">
        <v>183</v>
      </c>
      <c r="P19" s="161">
        <f t="array" ref="P19">INDEX(O5:S5,IF(MATCH(P17,O5:S5,1)&lt;R19,MATCH(P17,O5:S5,1)+1,MATCH(P17,O5:S5,1)))</f>
        <v>1000</v>
      </c>
      <c r="Q19" s="18" t="s">
        <v>137</v>
      </c>
      <c r="R19" s="49">
        <f>MATCH(MAX(O5:S5),O5:S5,0)</f>
        <v>5</v>
      </c>
      <c r="T19" s="1"/>
      <c r="U19" s="1"/>
      <c r="V19" s="1"/>
      <c r="W19" s="18"/>
      <c r="X19" s="161"/>
      <c r="Y19" s="18"/>
      <c r="Z19" s="18"/>
      <c r="AB19" s="18" t="s">
        <v>183</v>
      </c>
      <c r="AC19" s="161">
        <f t="array" ref="AC19">INDEX(AB5:AG5,IF(MATCH(AC17,AB5:AG5,1)&lt;AE19,MATCH(AC17,AB5:AG5,1)+1,MATCH(AC17,AB5:AG5,1)))</f>
        <v>1000</v>
      </c>
      <c r="AD19" s="18" t="s">
        <v>137</v>
      </c>
      <c r="AE19" s="49">
        <f>MATCH(MAX(AB5:AG5),AB5:AG5,0)</f>
        <v>6</v>
      </c>
      <c r="AG19" s="1"/>
      <c r="AH19" s="1"/>
      <c r="AI19" s="1"/>
      <c r="AJ19" s="18"/>
      <c r="AK19" s="161"/>
      <c r="AL19" s="18"/>
      <c r="AM19" s="1"/>
      <c r="AN19" s="1"/>
      <c r="AO19" s="1"/>
      <c r="AP19" s="18"/>
      <c r="AQ19" s="161"/>
      <c r="AR19" s="18"/>
      <c r="AS19" s="49"/>
      <c r="AU19" s="1"/>
      <c r="AV19" s="1"/>
      <c r="AW19" s="1"/>
      <c r="AX19" s="18"/>
      <c r="AY19" s="161"/>
      <c r="AZ19" s="18"/>
      <c r="BA19" s="49"/>
    </row>
    <row r="20" spans="1:53" ht="15" customHeight="1">
      <c r="B20" s="159" t="s">
        <v>139</v>
      </c>
      <c r="C20" s="205">
        <f>D2</f>
        <v>-35</v>
      </c>
      <c r="D20" s="1"/>
      <c r="E20" s="1"/>
      <c r="G20" s="1"/>
      <c r="H20" s="1"/>
      <c r="I20" s="1"/>
      <c r="J20" s="159"/>
      <c r="K20" s="205"/>
      <c r="L20" s="1"/>
      <c r="M20" s="1"/>
      <c r="O20" s="159" t="s">
        <v>139</v>
      </c>
      <c r="P20" s="205">
        <f>D2</f>
        <v>-35</v>
      </c>
      <c r="Q20" s="1"/>
      <c r="R20" s="1"/>
      <c r="T20" s="1"/>
      <c r="U20" s="1"/>
      <c r="V20" s="1"/>
      <c r="W20" s="159"/>
      <c r="X20" s="205"/>
      <c r="Y20" s="1"/>
      <c r="Z20" s="159"/>
      <c r="AB20" s="159" t="s">
        <v>139</v>
      </c>
      <c r="AC20" s="205">
        <f>D2</f>
        <v>-35</v>
      </c>
      <c r="AD20" s="1"/>
      <c r="AE20" s="1"/>
      <c r="AG20" s="1"/>
      <c r="AH20" s="1"/>
      <c r="AI20" s="1"/>
      <c r="AJ20" s="159"/>
      <c r="AK20" s="205"/>
      <c r="AL20" s="1"/>
      <c r="AM20" s="1"/>
      <c r="AN20" s="1"/>
      <c r="AO20" s="1"/>
      <c r="AP20" s="159"/>
      <c r="AQ20" s="205"/>
      <c r="AR20" s="1"/>
      <c r="AS20" s="1"/>
      <c r="AU20" s="1"/>
      <c r="AV20" s="1"/>
      <c r="AW20" s="1"/>
      <c r="AX20" s="159"/>
      <c r="AY20" s="205"/>
      <c r="AZ20" s="1"/>
      <c r="BA20" s="1"/>
    </row>
    <row r="21" spans="1:53" ht="15" customHeight="1">
      <c r="B21" s="18" t="s">
        <v>140</v>
      </c>
      <c r="C21" s="161">
        <f>INDEX(A6:A15,MATCH(C20,A6:A15,1))</f>
        <v>-40</v>
      </c>
      <c r="D21" s="1"/>
      <c r="E21" s="40"/>
      <c r="G21" s="1"/>
      <c r="H21" s="1"/>
      <c r="I21" s="1"/>
      <c r="J21" s="18"/>
      <c r="K21" s="161"/>
      <c r="L21" s="1"/>
      <c r="M21" s="40"/>
      <c r="O21" s="18" t="s">
        <v>140</v>
      </c>
      <c r="P21" s="161" t="e">
        <f>INDEX(N6:N15,MATCH(P20,N6:N15,1))</f>
        <v>#N/A</v>
      </c>
      <c r="Q21" s="1"/>
      <c r="R21" s="40"/>
      <c r="T21" s="1"/>
      <c r="U21" s="1"/>
      <c r="V21" s="1"/>
      <c r="W21" s="18"/>
      <c r="X21" s="161"/>
      <c r="Y21" s="1"/>
      <c r="Z21" s="18"/>
      <c r="AB21" s="18" t="s">
        <v>140</v>
      </c>
      <c r="AC21" s="161">
        <f>INDEX(AA6:AA15,MATCH(AC20,AA6:AA15,1))</f>
        <v>-40</v>
      </c>
      <c r="AD21" s="1"/>
      <c r="AE21" s="40"/>
      <c r="AG21" s="1"/>
      <c r="AH21" s="1"/>
      <c r="AI21" s="1"/>
      <c r="AJ21" s="18"/>
      <c r="AK21" s="161"/>
      <c r="AL21" s="1"/>
      <c r="AM21" s="1"/>
      <c r="AN21" s="1"/>
      <c r="AO21" s="1"/>
      <c r="AP21" s="18"/>
      <c r="AQ21" s="161"/>
      <c r="AR21" s="1"/>
      <c r="AS21" s="40"/>
      <c r="AU21" s="1"/>
      <c r="AV21" s="1"/>
      <c r="AW21" s="1"/>
      <c r="AX21" s="18"/>
      <c r="AY21" s="161"/>
      <c r="AZ21" s="1"/>
      <c r="BA21" s="40"/>
    </row>
    <row r="22" spans="1:53" ht="15" customHeight="1">
      <c r="B22" s="18" t="s">
        <v>141</v>
      </c>
      <c r="C22" s="161">
        <f t="array" ref="C22">INDEX(A6:A15,IF(MATCH(C20,A6:A15,1)&lt;E18,MATCH(C20,A6:A15,1)+1,MATCH(C20,A6:A15,1)))</f>
        <v>-30</v>
      </c>
      <c r="D22" s="1"/>
      <c r="E22" s="40"/>
      <c r="G22" s="1"/>
      <c r="H22" s="1"/>
      <c r="I22" s="1"/>
      <c r="J22" s="18"/>
      <c r="K22" s="161"/>
      <c r="L22" s="1"/>
      <c r="M22" s="40"/>
      <c r="O22" s="18" t="s">
        <v>141</v>
      </c>
      <c r="P22" s="161" t="e">
        <f t="array" ref="P22">INDEX(N6:N15,IF(MATCH(P20,N6:N15,1)&lt;R18,MATCH(P20,N6:N15,1)+1,MATCH(P20,N6:N15,1)))</f>
        <v>#N/A</v>
      </c>
      <c r="Q22" s="1"/>
      <c r="R22" s="40"/>
      <c r="T22" s="1"/>
      <c r="U22" s="1"/>
      <c r="V22" s="1"/>
      <c r="W22" s="18"/>
      <c r="X22" s="161"/>
      <c r="Y22" s="1"/>
      <c r="Z22" s="18"/>
      <c r="AB22" s="18" t="s">
        <v>141</v>
      </c>
      <c r="AC22" s="161">
        <f t="array" ref="AC22">INDEX(AA6:AA15,IF(MATCH(AC20,AA6:AA15,1)&lt;AE18,MATCH(AC20,AA6:AA15,1)+1,MATCH(AC20,AA6:AA15,1)))</f>
        <v>-30</v>
      </c>
      <c r="AD22" s="1"/>
      <c r="AE22" s="40"/>
      <c r="AG22" s="1"/>
      <c r="AH22" s="1"/>
      <c r="AI22" s="1"/>
      <c r="AJ22" s="18"/>
      <c r="AK22" s="161"/>
      <c r="AL22" s="1"/>
      <c r="AM22" s="1"/>
      <c r="AN22" s="1"/>
      <c r="AO22" s="1"/>
      <c r="AP22" s="18"/>
      <c r="AQ22" s="161"/>
      <c r="AR22" s="1"/>
      <c r="AS22" s="40"/>
      <c r="AU22" s="1"/>
      <c r="AV22" s="1"/>
      <c r="AW22" s="1"/>
      <c r="AX22" s="18"/>
      <c r="AY22" s="161"/>
      <c r="AZ22" s="1"/>
      <c r="BA22" s="40"/>
    </row>
    <row r="23" spans="1:53" ht="15" customHeight="1">
      <c r="B23" s="159" t="s">
        <v>142</v>
      </c>
      <c r="C23" s="160">
        <f>INDEX(B6:G15,MATCH(C20,A6:A15,1),MATCH(C17,B5:G5,1))</f>
        <v>1600</v>
      </c>
      <c r="D23" s="1"/>
      <c r="E23" s="40"/>
      <c r="G23" s="1"/>
      <c r="H23" s="1"/>
      <c r="I23" s="1"/>
      <c r="J23" s="159"/>
      <c r="K23" s="160"/>
      <c r="L23" s="1"/>
      <c r="M23" s="40"/>
      <c r="O23" s="159" t="s">
        <v>142</v>
      </c>
      <c r="P23" s="160" t="e">
        <f>INDEX(O6:S15,MATCH(P20,N6:N15,1),MATCH(P17,O5:S5,1))</f>
        <v>#N/A</v>
      </c>
      <c r="Q23" s="1"/>
      <c r="R23" s="40"/>
      <c r="T23" s="1"/>
      <c r="U23" s="1"/>
      <c r="V23" s="1"/>
      <c r="W23" s="159"/>
      <c r="X23" s="160"/>
      <c r="Y23" s="1"/>
      <c r="Z23" s="159"/>
      <c r="AB23" s="159" t="s">
        <v>142</v>
      </c>
      <c r="AC23" s="160">
        <f>INDEX(AB6:AG15,MATCH(AC20,AA6:AA15,1),MATCH(AC17,AB5:AG5,1))</f>
        <v>1580</v>
      </c>
      <c r="AD23" s="1"/>
      <c r="AE23" s="40"/>
      <c r="AG23" s="1"/>
      <c r="AH23" s="1"/>
      <c r="AI23" s="1"/>
      <c r="AJ23" s="159"/>
      <c r="AK23" s="160"/>
      <c r="AL23" s="1"/>
      <c r="AM23" s="1"/>
      <c r="AN23" s="1"/>
      <c r="AO23" s="1"/>
      <c r="AP23" s="159"/>
      <c r="AQ23" s="160"/>
      <c r="AR23" s="1"/>
      <c r="AS23" s="40"/>
      <c r="AU23" s="1"/>
      <c r="AV23" s="1"/>
      <c r="AW23" s="1"/>
      <c r="AX23" s="159"/>
      <c r="AY23" s="160"/>
      <c r="AZ23" s="1"/>
      <c r="BA23" s="40"/>
    </row>
    <row r="24" spans="1:53" ht="15" customHeight="1">
      <c r="B24" s="159" t="s">
        <v>184</v>
      </c>
      <c r="C24" s="160">
        <f t="array" ref="C24">INDEX(B6:G15,MATCH(C20,A6:A15,1),IF(MATCH(C17,B5:G5,1)&lt;E19,MATCH(C17,B5:G5,1)+1,MATCH(C20,A6:A15,1)))</f>
        <v>1650</v>
      </c>
      <c r="E24" s="40"/>
      <c r="G24" s="1"/>
      <c r="H24" s="1"/>
      <c r="I24" s="1"/>
      <c r="J24" s="159"/>
      <c r="K24" s="160"/>
      <c r="M24" s="40"/>
      <c r="O24" s="159" t="s">
        <v>184</v>
      </c>
      <c r="P24" s="160" t="e">
        <f>INDEX(O6:S15,MATCH(P20,N6:N15,1),IF(MATCH(P17,O5:S5,1)&lt;R19,MATCH(P17,O5:S5,1)+1,MATCH(P20,N6:N15,1)))</f>
        <v>#N/A</v>
      </c>
      <c r="R24" s="40"/>
      <c r="T24" s="1"/>
      <c r="U24" s="1"/>
      <c r="V24" s="1"/>
      <c r="W24" s="159"/>
      <c r="X24" s="160"/>
      <c r="Z24" s="159"/>
      <c r="AB24" s="159" t="s">
        <v>184</v>
      </c>
      <c r="AC24" s="160">
        <f t="array" ref="AC24">INDEX(AB6:AG15,MATCH(AC20,AA6:AA15,1),IF(MATCH(AC17,AB5:AG5,1)&lt;AE19,MATCH(AC17,AB5:AG5,1)+1,MATCH(AC20,AA6:AA15,1)))</f>
        <v>1650</v>
      </c>
      <c r="AE24" s="40"/>
      <c r="AG24" s="1"/>
      <c r="AH24" s="1"/>
      <c r="AI24" s="1"/>
      <c r="AJ24" s="159"/>
      <c r="AK24" s="160"/>
      <c r="AM24" s="1"/>
      <c r="AN24" s="1"/>
      <c r="AO24" s="1"/>
      <c r="AP24" s="159"/>
      <c r="AQ24" s="160"/>
      <c r="AS24" s="40"/>
      <c r="AU24" s="1"/>
      <c r="AV24" s="1"/>
      <c r="AW24" s="1"/>
      <c r="AX24" s="159"/>
      <c r="AY24" s="160"/>
      <c r="BA24" s="40"/>
    </row>
    <row r="25" spans="1:53" ht="15" customHeight="1">
      <c r="B25" s="159" t="s">
        <v>143</v>
      </c>
      <c r="C25" s="160">
        <f t="array" ref="C25">INDEX(B6:G15,IF(MATCH(C20,A6:A15,1)&lt;E18,MATCH(C20,A6:A15,1)+1,MATCH(C20,A6:A15,1)),MATCH(C17,B5:G5,1))</f>
        <v>1600</v>
      </c>
      <c r="E25" s="40"/>
      <c r="G25" s="1"/>
      <c r="H25" s="1"/>
      <c r="I25" s="1"/>
      <c r="J25" s="159"/>
      <c r="K25" s="160"/>
      <c r="M25" s="40"/>
      <c r="O25" s="159" t="s">
        <v>143</v>
      </c>
      <c r="P25" s="160" t="e">
        <f>INDEX(O6:S15,IF(MATCH(P20,N6:N15,1)&lt;R18,MATCH(P20,N6:N15,1)+1,MATCH(P20,N6:N15,1)),MATCH(P17,O5:S5,1))</f>
        <v>#N/A</v>
      </c>
      <c r="R25" s="40"/>
      <c r="T25" s="1"/>
      <c r="U25" s="1"/>
      <c r="V25" s="1"/>
      <c r="W25" s="159"/>
      <c r="X25" s="160"/>
      <c r="Z25" s="159"/>
      <c r="AB25" s="159" t="s">
        <v>143</v>
      </c>
      <c r="AC25" s="160">
        <f t="array" ref="AC25">INDEX(AB6:AG15,IF(MATCH(AC20,AA6:AA15,1)&lt;AE18,MATCH(AC20,AA6:AA15,1)+1,MATCH(AC20,AA6:AA15,1)),MATCH(AC17,AB5:AG5,1))</f>
        <v>1580</v>
      </c>
      <c r="AE25" s="40"/>
      <c r="AG25" s="1"/>
      <c r="AH25" s="1"/>
      <c r="AI25" s="1"/>
      <c r="AJ25" s="159"/>
      <c r="AK25" s="160"/>
      <c r="AM25" s="1"/>
      <c r="AN25" s="1"/>
      <c r="AO25" s="1"/>
      <c r="AP25" s="159"/>
      <c r="AQ25" s="160"/>
      <c r="AS25" s="40"/>
      <c r="AU25" s="1"/>
      <c r="AV25" s="1"/>
      <c r="AW25" s="1"/>
      <c r="AX25" s="159"/>
      <c r="AY25" s="160"/>
      <c r="BA25" s="40"/>
    </row>
    <row r="26" spans="1:53" ht="15" customHeight="1">
      <c r="B26" s="159" t="s">
        <v>185</v>
      </c>
      <c r="C26" s="160">
        <f t="array" ref="C26">INDEX(B6:G15,IF(MATCH(C20,A6:A15,1)&lt;E18,MATCH(C20,A6:A15,1)+1,MATCH(C20,A6:A15,1)),IF(MATCH(C17,B5:G5,1)&lt;E19,MATCH(C17,B5:G5,1)+1,MATCH(C17,B5:G5,1)))</f>
        <v>1650</v>
      </c>
      <c r="G26" s="1"/>
      <c r="H26" s="1"/>
      <c r="I26" s="1"/>
      <c r="J26" s="159"/>
      <c r="K26" s="160"/>
      <c r="O26" s="159" t="s">
        <v>185</v>
      </c>
      <c r="P26" s="160" t="e">
        <f>INDEX(O6:S15,IF(MATCH(P20,N6:N15,1)&lt;R18,MATCH(P20,N6:N15,1)+1,MATCH(P20,N6:N15,1)),IF(MATCH(P17,O5:S5,1)&lt;R19,MATCH(P17,O5:S5,1)+1,MATCH(P17,O5:S5,1)))</f>
        <v>#N/A</v>
      </c>
      <c r="T26" s="1"/>
      <c r="U26" s="1"/>
      <c r="V26" s="1"/>
      <c r="W26" s="159"/>
      <c r="X26" s="160"/>
      <c r="Z26" s="159"/>
      <c r="AB26" s="159" t="s">
        <v>185</v>
      </c>
      <c r="AC26" s="160">
        <f t="array" ref="AC26">INDEX(AB6:AG15,IF(MATCH(AC20,AA6:AA15,1)&lt;AE18,MATCH(AC20,AA6:AA15,1)+1,MATCH(AC20,AA6:AA15,1)),IF(MATCH(AC17,AB5:AG5,1)&lt;AE19,MATCH(AC17,AB5:AG5,1)+1,MATCH(AC17,AB5:AG5,1)))</f>
        <v>1650</v>
      </c>
      <c r="AG26" s="1"/>
      <c r="AH26" s="1"/>
      <c r="AI26" s="1"/>
      <c r="AJ26" s="159"/>
      <c r="AK26" s="160"/>
      <c r="AM26" s="1"/>
      <c r="AN26" s="1"/>
      <c r="AO26" s="1"/>
      <c r="AP26" s="159"/>
      <c r="AQ26" s="160"/>
      <c r="AU26" s="1"/>
      <c r="AV26" s="1"/>
      <c r="AW26" s="1"/>
      <c r="AX26" s="159"/>
      <c r="AY26" s="160"/>
    </row>
    <row r="27" spans="1:53" ht="15" customHeight="1">
      <c r="B27" s="18" t="s">
        <v>186</v>
      </c>
      <c r="C27" s="161">
        <f>IFERROR(C23+(C17-C18)*(C24-C23)/(C19-C18),C23)</f>
        <v>1600</v>
      </c>
      <c r="G27" s="1"/>
      <c r="H27" s="1"/>
      <c r="I27" s="1"/>
      <c r="J27" s="18"/>
      <c r="K27" s="161"/>
      <c r="O27" s="18" t="s">
        <v>186</v>
      </c>
      <c r="P27" s="161" t="e">
        <f>IFERROR(P23+(P17-P18)*(P24-P23)/(P19-P18),P23)</f>
        <v>#N/A</v>
      </c>
      <c r="T27" s="1"/>
      <c r="U27" s="1"/>
      <c r="V27" s="1"/>
      <c r="W27" s="18"/>
      <c r="X27" s="161"/>
      <c r="Z27" s="18"/>
      <c r="AB27" s="18" t="s">
        <v>186</v>
      </c>
      <c r="AC27" s="161">
        <f>IFERROR(AC23+(AC17-AC18)*(AC24-AC23)/(AC19-AC18),AC23)</f>
        <v>1580</v>
      </c>
      <c r="AG27" s="1"/>
      <c r="AH27" s="1"/>
      <c r="AI27" s="1"/>
      <c r="AJ27" s="18"/>
      <c r="AK27" s="161"/>
      <c r="AM27" s="1"/>
      <c r="AN27" s="1"/>
      <c r="AO27" s="1"/>
      <c r="AP27" s="18"/>
      <c r="AQ27" s="161"/>
      <c r="AU27" s="1"/>
      <c r="AV27" s="1"/>
      <c r="AW27" s="1"/>
      <c r="AX27" s="18"/>
      <c r="AY27" s="161"/>
    </row>
    <row r="28" spans="1:53" ht="15" customHeight="1">
      <c r="B28" s="18" t="s">
        <v>187</v>
      </c>
      <c r="C28" s="161">
        <f>IFERROR(C25+(C17-C18)*(C26-C25)/(C19-C18),C25)</f>
        <v>1600</v>
      </c>
      <c r="G28" s="1"/>
      <c r="H28" s="1"/>
      <c r="I28" s="1"/>
      <c r="J28" s="18"/>
      <c r="K28" s="161"/>
      <c r="O28" s="18" t="s">
        <v>187</v>
      </c>
      <c r="P28" s="161" t="e">
        <f>IFERROR(P25+(P17-P18)*(P26-P25)/(P19-P18),P25)</f>
        <v>#N/A</v>
      </c>
      <c r="T28" s="1"/>
      <c r="U28" s="1"/>
      <c r="V28" s="1"/>
      <c r="W28" s="18"/>
      <c r="X28" s="161"/>
      <c r="Z28" s="18"/>
      <c r="AB28" s="18" t="s">
        <v>187</v>
      </c>
      <c r="AC28" s="161">
        <f>IFERROR(AC25+(AC17-AC18)*(AC26-AC25)/(AC19-AC18),AC25)</f>
        <v>1580</v>
      </c>
      <c r="AG28" s="1"/>
      <c r="AH28" s="1"/>
      <c r="AI28" s="1"/>
      <c r="AJ28" s="18"/>
      <c r="AK28" s="161"/>
      <c r="AM28" s="1"/>
      <c r="AN28" s="1"/>
      <c r="AO28" s="1"/>
      <c r="AP28" s="18"/>
      <c r="AQ28" s="161"/>
      <c r="AU28" s="1"/>
      <c r="AV28" s="1"/>
      <c r="AW28" s="1"/>
      <c r="AX28" s="18"/>
      <c r="AY28" s="161"/>
    </row>
    <row r="29" spans="1:53" ht="15" customHeight="1">
      <c r="B29" s="159" t="s">
        <v>188</v>
      </c>
      <c r="C29" s="160">
        <f>IFERROR(C27+(C20-C21)*(C28-C27)/(C22-C21),C27)</f>
        <v>1600</v>
      </c>
      <c r="G29" s="1"/>
      <c r="H29" s="1"/>
      <c r="I29" s="1"/>
      <c r="J29" s="159"/>
      <c r="K29" s="160"/>
      <c r="O29" s="159" t="s">
        <v>188</v>
      </c>
      <c r="P29" s="160" t="e">
        <f>IFERROR(P27+(P20-P21)*(P28-P27)/(P22-P21),P27)</f>
        <v>#N/A</v>
      </c>
      <c r="T29" s="1"/>
      <c r="U29" s="1"/>
      <c r="V29" s="1"/>
      <c r="W29" s="159"/>
      <c r="X29" s="160"/>
      <c r="Z29" s="159"/>
      <c r="AB29" s="159" t="s">
        <v>188</v>
      </c>
      <c r="AC29" s="160">
        <f>IFERROR(AC27+(AC20-AC21)*(AC28-AC27)/(AC22-AC21),AC27)</f>
        <v>1580</v>
      </c>
      <c r="AG29" s="1"/>
      <c r="AH29" s="1"/>
      <c r="AI29" s="1"/>
      <c r="AJ29" s="159"/>
      <c r="AK29" s="160"/>
      <c r="AM29" s="1"/>
      <c r="AN29" s="1"/>
      <c r="AO29" s="1"/>
      <c r="AP29" s="159"/>
      <c r="AQ29" s="160"/>
      <c r="AU29" s="1"/>
      <c r="AV29" s="1"/>
      <c r="AW29" s="1"/>
      <c r="AX29" s="159"/>
      <c r="AY29" s="160"/>
    </row>
    <row r="31" spans="1:53" ht="15" customHeight="1">
      <c r="B31" s="276" t="s">
        <v>189</v>
      </c>
      <c r="C31" s="276"/>
      <c r="D31" s="276"/>
      <c r="E31" s="276"/>
      <c r="F31" s="276"/>
      <c r="G31" s="276"/>
      <c r="H31" s="14"/>
      <c r="I31" s="14"/>
      <c r="J31" s="14"/>
      <c r="K31" s="14"/>
      <c r="L31" s="14"/>
      <c r="M31" s="14"/>
      <c r="O31" s="276" t="s">
        <v>189</v>
      </c>
      <c r="P31" s="276"/>
      <c r="Q31" s="276"/>
      <c r="R31" s="276"/>
      <c r="S31" s="276"/>
      <c r="T31" s="276"/>
      <c r="U31" s="14"/>
      <c r="V31" s="14"/>
      <c r="W31" s="14"/>
      <c r="X31" s="14"/>
      <c r="Y31" s="14"/>
      <c r="AB31" s="276" t="s">
        <v>189</v>
      </c>
      <c r="AC31" s="276"/>
      <c r="AD31" s="276"/>
      <c r="AE31" s="276"/>
      <c r="AF31" s="276"/>
      <c r="AG31" s="276"/>
      <c r="AH31" s="14"/>
      <c r="AI31" s="14"/>
      <c r="AJ31" s="14"/>
      <c r="AK31" s="14"/>
      <c r="AL31" s="14"/>
    </row>
    <row r="32" spans="1:53" ht="15" customHeight="1">
      <c r="A32" t="s">
        <v>30</v>
      </c>
      <c r="B32" s="245">
        <v>1600</v>
      </c>
      <c r="C32" s="248">
        <v>2050</v>
      </c>
      <c r="D32" s="247">
        <v>2500</v>
      </c>
      <c r="E32" s="247">
        <v>2950</v>
      </c>
      <c r="F32" s="247">
        <v>3400</v>
      </c>
      <c r="G32" s="227">
        <v>4000</v>
      </c>
      <c r="N32" t="s">
        <v>30</v>
      </c>
      <c r="O32" s="245">
        <v>1900</v>
      </c>
      <c r="P32" s="248">
        <v>2350</v>
      </c>
      <c r="Q32" s="247">
        <v>2850</v>
      </c>
      <c r="R32" s="247">
        <v>3350</v>
      </c>
      <c r="S32" s="227">
        <v>4500</v>
      </c>
      <c r="AA32" t="s">
        <v>30</v>
      </c>
      <c r="AB32" s="245">
        <v>1550</v>
      </c>
      <c r="AC32" s="248">
        <v>2000</v>
      </c>
      <c r="AD32" s="247">
        <v>2500</v>
      </c>
      <c r="AE32" s="247">
        <v>3050</v>
      </c>
      <c r="AF32" s="227">
        <v>3500</v>
      </c>
    </row>
    <row r="33" spans="1:38" ht="15" customHeight="1">
      <c r="A33">
        <v>9000</v>
      </c>
      <c r="B33" s="225">
        <v>1200</v>
      </c>
      <c r="C33" s="226">
        <v>1500</v>
      </c>
      <c r="D33" s="47">
        <v>1800</v>
      </c>
      <c r="E33" s="47">
        <v>2100</v>
      </c>
      <c r="F33" s="47">
        <v>2410</v>
      </c>
      <c r="G33" s="227">
        <v>99999</v>
      </c>
      <c r="N33">
        <v>10000</v>
      </c>
      <c r="O33" s="225"/>
      <c r="P33" s="226"/>
      <c r="Q33" s="47"/>
      <c r="R33" s="47"/>
      <c r="S33" s="227">
        <v>99999</v>
      </c>
      <c r="AA33">
        <v>9000</v>
      </c>
      <c r="AB33" s="225">
        <v>1200</v>
      </c>
      <c r="AC33" s="226">
        <v>1500</v>
      </c>
      <c r="AD33" s="47">
        <v>1850</v>
      </c>
      <c r="AE33" s="47">
        <v>2200</v>
      </c>
      <c r="AF33" s="227">
        <v>99999</v>
      </c>
    </row>
    <row r="34" spans="1:38" ht="15" customHeight="1">
      <c r="A34">
        <v>9500</v>
      </c>
      <c r="B34" s="240">
        <v>1250</v>
      </c>
      <c r="C34" s="217">
        <v>1600</v>
      </c>
      <c r="D34">
        <v>1900</v>
      </c>
      <c r="E34">
        <v>2250</v>
      </c>
      <c r="F34">
        <v>2580</v>
      </c>
      <c r="G34" s="2">
        <v>99999</v>
      </c>
      <c r="N34">
        <v>11000</v>
      </c>
      <c r="O34" s="240"/>
      <c r="P34" s="217"/>
      <c r="S34" s="2">
        <v>99999</v>
      </c>
      <c r="AA34">
        <v>9500</v>
      </c>
      <c r="AB34" s="240">
        <v>1210</v>
      </c>
      <c r="AC34" s="217">
        <v>1550</v>
      </c>
      <c r="AD34">
        <v>1950</v>
      </c>
      <c r="AE34">
        <v>2300</v>
      </c>
      <c r="AF34" s="2">
        <v>99999</v>
      </c>
    </row>
    <row r="35" spans="1:38" ht="15" customHeight="1">
      <c r="A35">
        <v>10000</v>
      </c>
      <c r="B35" s="240">
        <v>1300</v>
      </c>
      <c r="C35" s="217">
        <v>1650</v>
      </c>
      <c r="D35">
        <v>2000</v>
      </c>
      <c r="E35">
        <v>2350</v>
      </c>
      <c r="F35">
        <v>2700</v>
      </c>
      <c r="G35" s="2">
        <v>99999</v>
      </c>
      <c r="N35">
        <v>12000</v>
      </c>
      <c r="O35" s="240"/>
      <c r="P35" s="217"/>
      <c r="S35" s="2">
        <v>99999</v>
      </c>
      <c r="AA35">
        <v>10000</v>
      </c>
      <c r="AB35" s="240">
        <v>1290</v>
      </c>
      <c r="AC35" s="217">
        <v>1650</v>
      </c>
      <c r="AD35">
        <v>2050</v>
      </c>
      <c r="AE35">
        <v>2400</v>
      </c>
      <c r="AF35" s="2">
        <v>99999</v>
      </c>
    </row>
    <row r="36" spans="1:38" ht="15" customHeight="1">
      <c r="A36">
        <v>10500</v>
      </c>
      <c r="B36" s="240">
        <v>1400</v>
      </c>
      <c r="C36" s="217">
        <v>1750</v>
      </c>
      <c r="D36">
        <v>2100</v>
      </c>
      <c r="E36">
        <v>2500</v>
      </c>
      <c r="F36">
        <v>2850</v>
      </c>
      <c r="G36" s="2">
        <v>99999</v>
      </c>
      <c r="N36">
        <v>13000</v>
      </c>
      <c r="O36" s="240"/>
      <c r="P36" s="217"/>
      <c r="S36" s="2">
        <v>99999</v>
      </c>
      <c r="AA36">
        <v>10500</v>
      </c>
      <c r="AB36" s="240">
        <v>1350</v>
      </c>
      <c r="AC36" s="217">
        <v>1700</v>
      </c>
      <c r="AD36">
        <v>2150</v>
      </c>
      <c r="AE36">
        <v>2550</v>
      </c>
      <c r="AF36" s="2">
        <v>99999</v>
      </c>
    </row>
    <row r="37" spans="1:38" ht="15" customHeight="1">
      <c r="A37">
        <v>11000</v>
      </c>
      <c r="B37" s="240">
        <v>1450</v>
      </c>
      <c r="C37" s="217">
        <v>1800</v>
      </c>
      <c r="D37">
        <v>2200</v>
      </c>
      <c r="E37">
        <v>2600</v>
      </c>
      <c r="F37">
        <v>3000</v>
      </c>
      <c r="G37" s="2">
        <v>99999</v>
      </c>
      <c r="N37">
        <v>14000</v>
      </c>
      <c r="O37" s="240"/>
      <c r="P37" s="217"/>
      <c r="S37" s="2">
        <v>99999</v>
      </c>
      <c r="AA37">
        <v>11000</v>
      </c>
      <c r="AB37" s="240">
        <v>1400</v>
      </c>
      <c r="AC37" s="217">
        <v>1800</v>
      </c>
      <c r="AD37">
        <v>2250</v>
      </c>
      <c r="AE37">
        <v>2650</v>
      </c>
      <c r="AF37" s="2">
        <v>99999</v>
      </c>
    </row>
    <row r="38" spans="1:38" ht="15" customHeight="1">
      <c r="A38">
        <v>11500</v>
      </c>
      <c r="B38" s="240">
        <v>1500</v>
      </c>
      <c r="C38" s="217">
        <v>1900</v>
      </c>
      <c r="D38">
        <v>2300</v>
      </c>
      <c r="E38">
        <v>2700</v>
      </c>
      <c r="F38">
        <v>3120</v>
      </c>
      <c r="G38" s="2">
        <v>99999</v>
      </c>
      <c r="N38">
        <v>15000</v>
      </c>
      <c r="O38" s="240"/>
      <c r="P38" s="217"/>
      <c r="S38" s="2">
        <v>99999</v>
      </c>
      <c r="AA38">
        <v>11500</v>
      </c>
      <c r="AB38" s="240">
        <v>1450</v>
      </c>
      <c r="AC38" s="217">
        <v>1850</v>
      </c>
      <c r="AD38">
        <v>2300</v>
      </c>
      <c r="AE38">
        <v>2800</v>
      </c>
      <c r="AF38" s="2">
        <v>99999</v>
      </c>
    </row>
    <row r="39" spans="1:38" ht="15" customHeight="1">
      <c r="A39">
        <v>12000</v>
      </c>
      <c r="B39" s="240">
        <v>1550</v>
      </c>
      <c r="C39" s="217">
        <v>1990</v>
      </c>
      <c r="D39">
        <v>2400</v>
      </c>
      <c r="E39">
        <v>2830</v>
      </c>
      <c r="F39">
        <v>3300</v>
      </c>
      <c r="G39" s="2">
        <v>99999</v>
      </c>
      <c r="N39">
        <v>16000</v>
      </c>
      <c r="O39" s="240"/>
      <c r="P39" s="217"/>
      <c r="S39" s="2">
        <v>99999</v>
      </c>
      <c r="AA39">
        <v>12000</v>
      </c>
      <c r="AB39" s="240">
        <v>1500</v>
      </c>
      <c r="AC39" s="217">
        <v>1950</v>
      </c>
      <c r="AD39">
        <v>2400</v>
      </c>
      <c r="AE39">
        <v>2900</v>
      </c>
      <c r="AF39" s="2">
        <v>99999</v>
      </c>
    </row>
    <row r="40" spans="1:38" ht="15" customHeight="1">
      <c r="A40">
        <v>12500</v>
      </c>
      <c r="B40" s="235">
        <v>1600</v>
      </c>
      <c r="C40" s="236">
        <v>2050</v>
      </c>
      <c r="D40" s="249">
        <v>2500</v>
      </c>
      <c r="E40" s="249">
        <v>2950</v>
      </c>
      <c r="F40" s="249">
        <v>3400</v>
      </c>
      <c r="G40" s="2">
        <v>99999</v>
      </c>
      <c r="N40">
        <v>16600</v>
      </c>
      <c r="O40" s="235"/>
      <c r="P40" s="236"/>
      <c r="Q40" s="249"/>
      <c r="R40" s="249"/>
      <c r="S40" s="2">
        <v>99999</v>
      </c>
      <c r="AA40">
        <v>12500</v>
      </c>
      <c r="AB40" s="235">
        <v>1550</v>
      </c>
      <c r="AC40" s="236">
        <v>2000</v>
      </c>
      <c r="AD40" s="249">
        <v>2500</v>
      </c>
      <c r="AE40" s="249">
        <v>3050</v>
      </c>
      <c r="AF40" s="2">
        <v>99999</v>
      </c>
    </row>
    <row r="41" spans="1:38" ht="15" customHeight="1">
      <c r="A41">
        <v>12600</v>
      </c>
      <c r="B41" s="235">
        <v>99999</v>
      </c>
      <c r="C41" s="236">
        <v>99999</v>
      </c>
      <c r="D41" s="236">
        <v>99999</v>
      </c>
      <c r="E41" s="236">
        <v>99999</v>
      </c>
      <c r="F41" s="236">
        <v>99999</v>
      </c>
      <c r="G41" s="250">
        <v>99999</v>
      </c>
      <c r="H41" s="217"/>
      <c r="I41" s="217"/>
      <c r="J41" s="217"/>
      <c r="K41" s="217"/>
      <c r="L41" s="217"/>
      <c r="M41" s="11"/>
      <c r="N41">
        <v>16700</v>
      </c>
      <c r="O41" s="235">
        <v>99999</v>
      </c>
      <c r="P41" s="236">
        <v>99999</v>
      </c>
      <c r="Q41" s="236">
        <v>99999</v>
      </c>
      <c r="R41" s="236">
        <v>99999</v>
      </c>
      <c r="S41" s="250">
        <v>99999</v>
      </c>
      <c r="T41" s="217"/>
      <c r="U41" s="217"/>
      <c r="V41" s="217"/>
      <c r="W41" s="217"/>
      <c r="X41" s="217"/>
      <c r="AA41">
        <v>12600</v>
      </c>
      <c r="AB41" s="235">
        <v>99999</v>
      </c>
      <c r="AC41" s="236">
        <v>99999</v>
      </c>
      <c r="AD41" s="236">
        <v>99999</v>
      </c>
      <c r="AE41" s="236">
        <v>99999</v>
      </c>
      <c r="AF41" s="250">
        <v>99999</v>
      </c>
      <c r="AG41" s="217"/>
      <c r="AH41" s="217"/>
      <c r="AI41" s="217"/>
      <c r="AJ41" s="217"/>
      <c r="AK41" s="217"/>
    </row>
    <row r="42" spans="1:38" ht="15" customHeight="1">
      <c r="B42" s="159"/>
      <c r="C42" s="160"/>
      <c r="G42" s="1"/>
      <c r="H42" s="1"/>
      <c r="I42" s="1"/>
      <c r="J42" s="159"/>
      <c r="K42" s="160"/>
      <c r="O42" s="159"/>
      <c r="P42" s="160"/>
      <c r="T42" s="1"/>
      <c r="U42" s="1"/>
      <c r="V42" s="1"/>
      <c r="W42" s="159"/>
      <c r="X42" s="160"/>
      <c r="AB42" s="159"/>
      <c r="AC42" s="160"/>
      <c r="AG42" s="1"/>
      <c r="AH42" s="1"/>
      <c r="AI42" s="1"/>
      <c r="AJ42" s="159"/>
      <c r="AK42" s="160"/>
    </row>
    <row r="43" spans="1:38" ht="15" customHeight="1">
      <c r="B43" s="159" t="s">
        <v>138</v>
      </c>
      <c r="C43" s="160">
        <f>C29</f>
        <v>1600</v>
      </c>
      <c r="D43" s="276" t="s">
        <v>181</v>
      </c>
      <c r="E43" s="276"/>
      <c r="G43" s="1"/>
      <c r="H43" s="1"/>
      <c r="I43" s="1"/>
      <c r="J43" s="159"/>
      <c r="K43" s="160"/>
      <c r="L43" s="14"/>
      <c r="O43" s="159" t="s">
        <v>138</v>
      </c>
      <c r="P43" s="160" t="e">
        <f>P29</f>
        <v>#N/A</v>
      </c>
      <c r="Q43" s="276" t="s">
        <v>181</v>
      </c>
      <c r="R43" s="276"/>
      <c r="T43" s="1"/>
      <c r="U43" s="1"/>
      <c r="V43" s="1"/>
      <c r="W43" s="159"/>
      <c r="X43" s="160"/>
      <c r="Y43" s="14"/>
      <c r="AB43" s="159" t="s">
        <v>138</v>
      </c>
      <c r="AC43" s="160">
        <f>AC29</f>
        <v>1580</v>
      </c>
      <c r="AD43" s="276" t="s">
        <v>181</v>
      </c>
      <c r="AE43" s="276"/>
      <c r="AG43" s="1"/>
      <c r="AH43" s="1"/>
      <c r="AI43" s="1"/>
      <c r="AJ43" s="159"/>
      <c r="AK43" s="160"/>
      <c r="AL43" s="14"/>
    </row>
    <row r="44" spans="1:38" ht="15" customHeight="1">
      <c r="B44" s="18" t="s">
        <v>182</v>
      </c>
      <c r="C44" s="161">
        <f>INDEX(B32:G32,MATCH(C43,B32:G32,1))</f>
        <v>1600</v>
      </c>
      <c r="D44" s="18" t="s">
        <v>136</v>
      </c>
      <c r="E44" s="49">
        <f>MATCH(MAX(A33:A41),A33:A41,1)</f>
        <v>9</v>
      </c>
      <c r="G44" s="1"/>
      <c r="H44" s="1"/>
      <c r="I44" s="1"/>
      <c r="J44" s="18"/>
      <c r="K44" s="161"/>
      <c r="L44" s="18"/>
      <c r="M44" s="49"/>
      <c r="O44" s="18" t="s">
        <v>182</v>
      </c>
      <c r="P44" s="161" t="e">
        <f>INDEX(O32:S32,MATCH(P43,O32:S32,1))</f>
        <v>#N/A</v>
      </c>
      <c r="Q44" s="18" t="s">
        <v>136</v>
      </c>
      <c r="R44" s="49">
        <f>MATCH(MAX(N33:N41),N33:N41,1)</f>
        <v>9</v>
      </c>
      <c r="T44" s="1"/>
      <c r="U44" s="1"/>
      <c r="V44" s="1"/>
      <c r="W44" s="18"/>
      <c r="X44" s="161"/>
      <c r="Y44" s="18"/>
      <c r="AB44" s="18" t="s">
        <v>182</v>
      </c>
      <c r="AC44" s="161">
        <f>INDEX(AB32:AF32,MATCH(AC43,AB32:AF32,1))</f>
        <v>1550</v>
      </c>
      <c r="AD44" s="18" t="s">
        <v>136</v>
      </c>
      <c r="AE44" s="49">
        <f>MATCH(MAX(AA33:AA41),AA33:AA41,1)</f>
        <v>9</v>
      </c>
      <c r="AG44" s="1"/>
      <c r="AH44" s="1"/>
      <c r="AI44" s="1"/>
      <c r="AJ44" s="18"/>
      <c r="AK44" s="161"/>
      <c r="AL44" s="18"/>
    </row>
    <row r="45" spans="1:38" ht="15" customHeight="1">
      <c r="B45" s="18" t="s">
        <v>183</v>
      </c>
      <c r="C45" s="161">
        <f t="array" ref="C45">INDEX(B32:G32,IF(MATCH(C43,B32:G32,1)&lt;E45,MATCH(C43,B32:G32,1)+1,MATCH(C43,B32:G32,1)))</f>
        <v>2050</v>
      </c>
      <c r="D45" s="18" t="s">
        <v>137</v>
      </c>
      <c r="E45" s="49">
        <f>MATCH(MAX(B32:G32),B32:G32,0)</f>
        <v>6</v>
      </c>
      <c r="G45" s="1"/>
      <c r="H45" s="1"/>
      <c r="I45" s="1"/>
      <c r="J45" s="18"/>
      <c r="K45" s="161"/>
      <c r="L45" s="18"/>
      <c r="M45" s="49"/>
      <c r="O45" s="18" t="s">
        <v>183</v>
      </c>
      <c r="P45" s="161" t="e">
        <f t="array" ref="P45">INDEX(O32:S32,IF(MATCH(P43,O32:S32,1)&lt;R45,MATCH(P43,O32:S32,1)+1,MATCH(P43,O32:S32,1)))</f>
        <v>#N/A</v>
      </c>
      <c r="Q45" s="18" t="s">
        <v>137</v>
      </c>
      <c r="R45" s="49">
        <f>MATCH(MAX(O32:S32),O32:S32,0)</f>
        <v>5</v>
      </c>
      <c r="T45" s="1"/>
      <c r="U45" s="1"/>
      <c r="V45" s="1"/>
      <c r="W45" s="18"/>
      <c r="X45" s="161"/>
      <c r="Y45" s="18"/>
      <c r="AB45" s="18" t="s">
        <v>183</v>
      </c>
      <c r="AC45" s="161">
        <f t="array" ref="AC45">INDEX(AB32:AF32,IF(MATCH(AC43,AB32:AF32,1)&lt;AE45,MATCH(AC43,AB32:AF32,1)+1,MATCH(AC43,AB32:AF32,1)))</f>
        <v>2000</v>
      </c>
      <c r="AD45" s="18" t="s">
        <v>137</v>
      </c>
      <c r="AE45" s="49">
        <f>MATCH(MAX(AB32:AF32),AB32:AF32,0)</f>
        <v>5</v>
      </c>
      <c r="AG45" s="1"/>
      <c r="AH45" s="1"/>
      <c r="AI45" s="1"/>
      <c r="AJ45" s="18"/>
      <c r="AK45" s="161"/>
      <c r="AL45" s="18"/>
    </row>
    <row r="46" spans="1:38" ht="15" customHeight="1">
      <c r="B46" s="159" t="s">
        <v>139</v>
      </c>
      <c r="C46" s="205">
        <f>'Take-off'!$C$14</f>
        <v>12500</v>
      </c>
      <c r="D46" s="1"/>
      <c r="E46" s="1"/>
      <c r="G46" s="1"/>
      <c r="H46" s="1"/>
      <c r="I46" s="1"/>
      <c r="J46" s="159"/>
      <c r="K46" s="205"/>
      <c r="L46" s="1"/>
      <c r="M46" s="1"/>
      <c r="O46" s="159" t="s">
        <v>139</v>
      </c>
      <c r="P46" s="205">
        <f>'Take-off'!$C$14</f>
        <v>12500</v>
      </c>
      <c r="Q46" s="1"/>
      <c r="R46" s="1"/>
      <c r="T46" s="1"/>
      <c r="U46" s="1"/>
      <c r="V46" s="1"/>
      <c r="W46" s="159"/>
      <c r="X46" s="205"/>
      <c r="Y46" s="1"/>
      <c r="AB46" s="159" t="s">
        <v>139</v>
      </c>
      <c r="AC46" s="205">
        <f>'Take-off'!$C$14</f>
        <v>12500</v>
      </c>
      <c r="AD46" s="1"/>
      <c r="AE46" s="1"/>
      <c r="AG46" s="1"/>
      <c r="AH46" s="1"/>
      <c r="AI46" s="1"/>
      <c r="AJ46" s="159"/>
      <c r="AK46" s="205"/>
      <c r="AL46" s="1"/>
    </row>
    <row r="47" spans="1:38" ht="15" customHeight="1">
      <c r="B47" s="18" t="s">
        <v>140</v>
      </c>
      <c r="C47" s="161">
        <f>INDEX(A33:A41,MATCH(C46,A33:A41,1))</f>
        <v>12500</v>
      </c>
      <c r="D47" s="1"/>
      <c r="E47" s="40"/>
      <c r="G47" s="1"/>
      <c r="H47" s="1"/>
      <c r="I47" s="1"/>
      <c r="J47" s="18"/>
      <c r="K47" s="161"/>
      <c r="L47" s="1"/>
      <c r="M47" s="40"/>
      <c r="O47" s="18" t="s">
        <v>140</v>
      </c>
      <c r="P47" s="161">
        <f>INDEX(N33:N41,MATCH(P46,N33:N41,1))</f>
        <v>12000</v>
      </c>
      <c r="Q47" s="1"/>
      <c r="R47" s="40"/>
      <c r="T47" s="1"/>
      <c r="U47" s="1"/>
      <c r="V47" s="1"/>
      <c r="W47" s="18"/>
      <c r="X47" s="161"/>
      <c r="Y47" s="1"/>
      <c r="AB47" s="18" t="s">
        <v>140</v>
      </c>
      <c r="AC47" s="161">
        <f>INDEX(AA33:AA41,MATCH(AC46,AA33:AA41,1))</f>
        <v>12500</v>
      </c>
      <c r="AD47" s="1"/>
      <c r="AE47" s="40"/>
      <c r="AG47" s="1"/>
      <c r="AH47" s="1"/>
      <c r="AI47" s="1"/>
      <c r="AJ47" s="18"/>
      <c r="AK47" s="161"/>
      <c r="AL47" s="1"/>
    </row>
    <row r="48" spans="1:38" ht="15" customHeight="1">
      <c r="B48" s="18" t="s">
        <v>141</v>
      </c>
      <c r="C48" s="161">
        <f t="array" ref="C48">INDEX(A33:A41,IF(MATCH(C46,A33:A41,1)&lt;E44,MATCH(C46,A33:A41,1)+1,MATCH(C46,A33:A41,1)))</f>
        <v>12600</v>
      </c>
      <c r="D48" s="1"/>
      <c r="E48" s="40"/>
      <c r="G48" s="1"/>
      <c r="H48" s="1"/>
      <c r="I48" s="1"/>
      <c r="J48" s="18"/>
      <c r="K48" s="161"/>
      <c r="L48" s="1"/>
      <c r="M48" s="40"/>
      <c r="O48" s="18" t="s">
        <v>141</v>
      </c>
      <c r="P48" s="161">
        <f t="array" ref="P48">INDEX(N33:N41,IF(MATCH(P46,N33:N41,1)&lt;R44,MATCH(P46,N33:N41,1)+1,MATCH(P46,N33:N41,1)))</f>
        <v>13000</v>
      </c>
      <c r="Q48" s="1"/>
      <c r="R48" s="40"/>
      <c r="T48" s="1"/>
      <c r="U48" s="1"/>
      <c r="V48" s="1"/>
      <c r="W48" s="18"/>
      <c r="X48" s="161"/>
      <c r="Y48" s="1"/>
      <c r="AB48" s="18" t="s">
        <v>141</v>
      </c>
      <c r="AC48" s="161">
        <f t="array" ref="AC48">INDEX(AA33:AA41,IF(MATCH(AC46,AA33:AA41,1)&lt;AE44,MATCH(AC46,AA33:AA41,1)+1,MATCH(AC46,AA33:AA41,1)))</f>
        <v>12600</v>
      </c>
      <c r="AD48" s="1"/>
      <c r="AE48" s="40"/>
      <c r="AG48" s="1"/>
      <c r="AH48" s="1"/>
      <c r="AI48" s="1"/>
      <c r="AJ48" s="18"/>
      <c r="AK48" s="161"/>
      <c r="AL48" s="1"/>
    </row>
    <row r="49" spans="1:38" ht="15" customHeight="1">
      <c r="B49" s="159" t="s">
        <v>142</v>
      </c>
      <c r="C49" s="160">
        <f>INDEX(B33:G41,MATCH(C46,A33:A41,1),MATCH(C43,B32:G32,1))</f>
        <v>1600</v>
      </c>
      <c r="D49" s="1"/>
      <c r="E49" s="40"/>
      <c r="G49" s="1"/>
      <c r="H49" s="1"/>
      <c r="I49" s="1"/>
      <c r="J49" s="159"/>
      <c r="K49" s="160"/>
      <c r="L49" s="1"/>
      <c r="M49" s="40"/>
      <c r="O49" s="159" t="s">
        <v>142</v>
      </c>
      <c r="P49" s="160" t="e">
        <f>INDEX(O33:S41,MATCH(P46,N33:N41,1),MATCH(P43,O32:S32,1))</f>
        <v>#N/A</v>
      </c>
      <c r="Q49" s="1"/>
      <c r="R49" s="40"/>
      <c r="T49" s="1"/>
      <c r="U49" s="1"/>
      <c r="V49" s="1"/>
      <c r="W49" s="159"/>
      <c r="X49" s="160"/>
      <c r="Y49" s="1"/>
      <c r="AB49" s="159" t="s">
        <v>142</v>
      </c>
      <c r="AC49" s="160">
        <f>INDEX(AB33:AF41,MATCH(AC46,AA33:AA41,1),MATCH(AC43,AB32:AF32,1))</f>
        <v>1550</v>
      </c>
      <c r="AD49" s="1"/>
      <c r="AE49" s="40"/>
      <c r="AG49" s="1"/>
      <c r="AH49" s="1"/>
      <c r="AI49" s="1"/>
      <c r="AJ49" s="159"/>
      <c r="AK49" s="160"/>
      <c r="AL49" s="1"/>
    </row>
    <row r="50" spans="1:38" ht="15" customHeight="1">
      <c r="B50" s="159" t="s">
        <v>184</v>
      </c>
      <c r="C50" s="160">
        <f t="array" ref="C50">INDEX(B33:G41,MATCH(C46,A33:A41,1),IF(MATCH(C43,B32:G32,1)&lt;E45,MATCH(C43,B32:G32,1)+1,MATCH(C46,A33:A41,1)))</f>
        <v>2050</v>
      </c>
      <c r="E50" s="40"/>
      <c r="G50" s="1"/>
      <c r="H50" s="1"/>
      <c r="I50" s="1"/>
      <c r="J50" s="159"/>
      <c r="K50" s="160"/>
      <c r="M50" s="40"/>
      <c r="O50" s="159" t="s">
        <v>184</v>
      </c>
      <c r="P50" s="160" t="e">
        <f t="array" ref="P50">INDEX(O33:S41,MATCH(P46,N33:N41,1),IF(MATCH(P43,O32:S32,1)&lt;R45,MATCH(P43,O32:S32,1)+1,MATCH(P46,N33:N41,1)))</f>
        <v>#N/A</v>
      </c>
      <c r="R50" s="40"/>
      <c r="T50" s="1"/>
      <c r="U50" s="1"/>
      <c r="V50" s="1"/>
      <c r="W50" s="159"/>
      <c r="X50" s="160"/>
      <c r="AB50" s="159" t="s">
        <v>184</v>
      </c>
      <c r="AC50" s="160">
        <f t="array" ref="AC50">INDEX(AB33:AF41,MATCH(AC46,AA33:AA41,1),IF(MATCH(AC43,AB32:AF32,1)&lt;AE45,MATCH(AC43,AB32:AF32,1)+1,MATCH(AC46,AA33:AA41,1)))</f>
        <v>2000</v>
      </c>
      <c r="AE50" s="40"/>
      <c r="AG50" s="1"/>
      <c r="AH50" s="1"/>
      <c r="AI50" s="1"/>
      <c r="AJ50" s="159"/>
      <c r="AK50" s="160"/>
    </row>
    <row r="51" spans="1:38" ht="15" customHeight="1">
      <c r="B51" s="159" t="s">
        <v>143</v>
      </c>
      <c r="C51" s="160">
        <f t="array" ref="C51">INDEX(B33:G41,IF(MATCH(C46,A33:A41,1)&lt;E44,MATCH(C46,A33:A41,1)+1,MATCH(C46,A33:A41,1)),MATCH(C43,B32:G32,1))</f>
        <v>99999</v>
      </c>
      <c r="E51" s="40"/>
      <c r="G51" s="1"/>
      <c r="H51" s="1"/>
      <c r="I51" s="1"/>
      <c r="J51" s="159"/>
      <c r="K51" s="160"/>
      <c r="M51" s="40"/>
      <c r="O51" s="159" t="s">
        <v>143</v>
      </c>
      <c r="P51" s="160" t="e">
        <f t="array" ref="P51">INDEX(O33:S41,IF(MATCH(P46,N33:N41,1)&lt;R44,MATCH(P46,N33:N41,1)+1,MATCH(P46,N33:N41,1)),MATCH(P43,O32:S32,1))</f>
        <v>#N/A</v>
      </c>
      <c r="R51" s="40"/>
      <c r="T51" s="1"/>
      <c r="U51" s="1"/>
      <c r="V51" s="1"/>
      <c r="W51" s="159"/>
      <c r="X51" s="160"/>
      <c r="AB51" s="159" t="s">
        <v>143</v>
      </c>
      <c r="AC51" s="160">
        <f t="array" ref="AC51">INDEX(AB33:AF41,IF(MATCH(AC46,AA33:AA41,1)&lt;AE44,MATCH(AC46,AA33:AA41,1)+1,MATCH(AC46,AA33:AA41,1)),MATCH(AC43,AB32:AF32,1))</f>
        <v>99999</v>
      </c>
      <c r="AE51" s="40"/>
      <c r="AG51" s="1"/>
      <c r="AH51" s="1"/>
      <c r="AI51" s="1"/>
      <c r="AJ51" s="159"/>
      <c r="AK51" s="160"/>
    </row>
    <row r="52" spans="1:38" ht="15" customHeight="1">
      <c r="B52" s="159" t="s">
        <v>185</v>
      </c>
      <c r="C52" s="160">
        <f t="array" ref="C52">INDEX(B33:G41,IF(MATCH(C46,A33:A41,1)&lt;E44,MATCH(C46,A33:A41,1)+1,MATCH(C46,A33:A41,1)),IF(MATCH(C43,B32:G32,1)&lt;E45,MATCH(C43,B32:G32,1)+1,MATCH(C43,B32:G32,1)))</f>
        <v>99999</v>
      </c>
      <c r="G52" s="1"/>
      <c r="H52" s="1"/>
      <c r="I52" s="1"/>
      <c r="J52" s="159"/>
      <c r="K52" s="160"/>
      <c r="O52" s="159" t="s">
        <v>185</v>
      </c>
      <c r="P52" s="160" t="e">
        <f t="array" ref="P52">INDEX(O33:S41,IF(MATCH(P46,N33:N41,1)&lt;R44,MATCH(P46,N33:N41,1)+1,MATCH(P46,N33:N41,1)),IF(MATCH(P43,O32:S32,1)&lt;R45,MATCH(P43,O32:S32,1)+1,MATCH(P43,O32:S32,1)))</f>
        <v>#N/A</v>
      </c>
      <c r="T52" s="1"/>
      <c r="U52" s="1"/>
      <c r="V52" s="1"/>
      <c r="W52" s="159"/>
      <c r="X52" s="160"/>
      <c r="AB52" s="159" t="s">
        <v>185</v>
      </c>
      <c r="AC52" s="160">
        <f t="array" ref="AC52">INDEX(AB33:AF41,IF(MATCH(AC46,AA33:AA41,1)&lt;AE44,MATCH(AC46,AA33:AA41,1)+1,MATCH(AC46,AA33:AA41,1)),IF(MATCH(AC43,AB32:AF32,1)&lt;AE45,MATCH(AC43,AB32:AF32,1)+1,MATCH(AC43,AB32:AF32,1)))</f>
        <v>99999</v>
      </c>
      <c r="AG52" s="1"/>
      <c r="AH52" s="1"/>
      <c r="AI52" s="1"/>
      <c r="AJ52" s="159"/>
      <c r="AK52" s="160"/>
    </row>
    <row r="53" spans="1:38" ht="15" customHeight="1">
      <c r="B53" s="18" t="s">
        <v>186</v>
      </c>
      <c r="C53" s="161">
        <f>IFERROR(C49+(C43-C44)*(C50-C49)/(C45-C44),C49)</f>
        <v>1600</v>
      </c>
      <c r="G53" s="1"/>
      <c r="H53" s="1"/>
      <c r="I53" s="1"/>
      <c r="J53" s="18"/>
      <c r="K53" s="161"/>
      <c r="O53" s="18" t="s">
        <v>186</v>
      </c>
      <c r="P53" s="161" t="e">
        <f>IFERROR(P49+(P43-P44)*(P50-P49)/(P45-P44),P49)</f>
        <v>#N/A</v>
      </c>
      <c r="T53" s="1"/>
      <c r="U53" s="1"/>
      <c r="V53" s="1"/>
      <c r="W53" s="18"/>
      <c r="X53" s="161"/>
      <c r="AB53" s="18" t="s">
        <v>186</v>
      </c>
      <c r="AC53" s="161">
        <f>IFERROR(AC49+(AC43-AC44)*(AC50-AC49)/(AC45-AC44),AC49)</f>
        <v>1580</v>
      </c>
      <c r="AG53" s="1"/>
      <c r="AH53" s="1"/>
      <c r="AI53" s="1"/>
      <c r="AJ53" s="18"/>
      <c r="AK53" s="161"/>
    </row>
    <row r="54" spans="1:38" ht="15" customHeight="1">
      <c r="B54" s="18" t="s">
        <v>187</v>
      </c>
      <c r="C54" s="161">
        <f>IFERROR(C51+(C43-C44)*(C52-C51)/(C45-C44),C51)</f>
        <v>99999</v>
      </c>
      <c r="G54" s="1"/>
      <c r="H54" s="1"/>
      <c r="I54" s="1"/>
      <c r="J54" s="18"/>
      <c r="K54" s="161"/>
      <c r="O54" s="18" t="s">
        <v>187</v>
      </c>
      <c r="P54" s="161" t="e">
        <f>IFERROR(P51+(P43-P44)*(P52-P51)/(P45-P44),P51)</f>
        <v>#N/A</v>
      </c>
      <c r="T54" s="1"/>
      <c r="U54" s="1"/>
      <c r="V54" s="1"/>
      <c r="W54" s="18"/>
      <c r="X54" s="161"/>
      <c r="AB54" s="18" t="s">
        <v>187</v>
      </c>
      <c r="AC54" s="161">
        <f>IFERROR(AC51+(AC43-AC44)*(AC52-AC51)/(AC45-AC44),AC51)</f>
        <v>99999</v>
      </c>
      <c r="AG54" s="1"/>
      <c r="AH54" s="1"/>
      <c r="AI54" s="1"/>
      <c r="AJ54" s="18"/>
      <c r="AK54" s="161"/>
    </row>
    <row r="55" spans="1:38" ht="15" customHeight="1">
      <c r="B55" s="159" t="s">
        <v>188</v>
      </c>
      <c r="C55" s="160">
        <f>IFERROR(C53+(C46-C47)*(C54-C53)/(C48-C47),C53)</f>
        <v>1600</v>
      </c>
      <c r="G55" s="1"/>
      <c r="H55" s="1"/>
      <c r="I55" s="1"/>
      <c r="J55" s="159"/>
      <c r="K55" s="160"/>
      <c r="O55" s="159" t="s">
        <v>188</v>
      </c>
      <c r="P55" s="160" t="e">
        <f>IFERROR(P53+(P46-P47)*(P54-P53)/(P48-P47),P53)</f>
        <v>#N/A</v>
      </c>
      <c r="T55" s="1"/>
      <c r="U55" s="1"/>
      <c r="V55" s="1"/>
      <c r="W55" s="159"/>
      <c r="X55" s="160"/>
      <c r="AB55" s="159" t="s">
        <v>188</v>
      </c>
      <c r="AC55" s="160">
        <f>IFERROR(AC53+(AC46-AC47)*(AC54-AC53)/(AC48-AC47),AC53)</f>
        <v>1580</v>
      </c>
      <c r="AG55" s="1"/>
      <c r="AH55" s="1"/>
      <c r="AI55" s="1"/>
      <c r="AJ55" s="159"/>
      <c r="AK55" s="160"/>
    </row>
    <row r="57" spans="1:38" ht="15" customHeight="1">
      <c r="B57" s="276" t="s">
        <v>190</v>
      </c>
      <c r="C57" s="276"/>
      <c r="D57" s="276"/>
      <c r="E57" s="276"/>
      <c r="F57" s="276"/>
      <c r="G57" s="276"/>
      <c r="H57" s="276"/>
      <c r="I57" s="276"/>
      <c r="J57" s="14"/>
      <c r="K57" s="14"/>
      <c r="L57" s="14"/>
      <c r="M57" s="14"/>
      <c r="O57" s="276" t="s">
        <v>190</v>
      </c>
      <c r="P57" s="276"/>
      <c r="Q57" s="276"/>
      <c r="R57" s="276"/>
      <c r="S57" s="276"/>
      <c r="T57" s="276"/>
      <c r="U57" s="276"/>
      <c r="V57" s="276"/>
      <c r="W57" s="14"/>
      <c r="X57" s="14"/>
      <c r="Y57" s="14"/>
      <c r="AB57" s="276" t="s">
        <v>190</v>
      </c>
      <c r="AC57" s="276"/>
      <c r="AD57" s="276"/>
      <c r="AE57" s="276"/>
      <c r="AF57" s="276"/>
      <c r="AG57" s="276"/>
      <c r="AH57" s="276"/>
      <c r="AI57" s="276"/>
      <c r="AJ57" s="14"/>
      <c r="AK57" s="14"/>
      <c r="AL57" s="14"/>
    </row>
    <row r="58" spans="1:38" ht="15" customHeight="1">
      <c r="A58" t="s">
        <v>42</v>
      </c>
      <c r="B58" s="225">
        <v>1200</v>
      </c>
      <c r="C58" s="237">
        <v>1600</v>
      </c>
      <c r="D58" s="225">
        <v>2100</v>
      </c>
      <c r="E58" s="237">
        <v>2550</v>
      </c>
      <c r="F58" s="237">
        <v>3050</v>
      </c>
      <c r="G58" s="237">
        <v>3500</v>
      </c>
      <c r="H58" s="227">
        <v>4000</v>
      </c>
      <c r="I58" s="11"/>
      <c r="J58" s="11"/>
      <c r="K58" s="11"/>
      <c r="N58" t="s">
        <v>42</v>
      </c>
      <c r="O58" s="225">
        <v>1000</v>
      </c>
      <c r="P58" s="237">
        <v>1200</v>
      </c>
      <c r="Q58" s="237">
        <v>1500</v>
      </c>
      <c r="R58" s="237">
        <v>2000</v>
      </c>
      <c r="S58" s="237">
        <v>2500</v>
      </c>
      <c r="T58" s="237">
        <v>3000</v>
      </c>
      <c r="U58" s="237">
        <v>3500</v>
      </c>
      <c r="V58" s="227">
        <v>5000</v>
      </c>
      <c r="AA58" t="s">
        <v>42</v>
      </c>
      <c r="AB58" s="225">
        <v>950</v>
      </c>
      <c r="AC58" s="237">
        <v>1400</v>
      </c>
      <c r="AD58" s="237">
        <v>1850</v>
      </c>
      <c r="AE58" s="237">
        <v>2350</v>
      </c>
      <c r="AF58" s="237">
        <v>2850</v>
      </c>
      <c r="AG58" s="237">
        <v>3300</v>
      </c>
      <c r="AH58" s="227">
        <v>4000</v>
      </c>
    </row>
    <row r="59" spans="1:38" ht="15" customHeight="1">
      <c r="A59">
        <v>-10</v>
      </c>
      <c r="B59" s="225">
        <v>1450</v>
      </c>
      <c r="C59" s="237">
        <v>1950</v>
      </c>
      <c r="D59" s="225">
        <v>2500</v>
      </c>
      <c r="E59" s="237">
        <v>3050</v>
      </c>
      <c r="F59" s="237">
        <v>3600</v>
      </c>
      <c r="G59" s="237">
        <v>4200</v>
      </c>
      <c r="H59" s="239">
        <v>99999</v>
      </c>
      <c r="I59" s="14"/>
      <c r="J59" s="14"/>
      <c r="K59" s="14"/>
      <c r="N59">
        <v>-10</v>
      </c>
      <c r="O59" s="225"/>
      <c r="P59" s="237"/>
      <c r="Q59" s="237"/>
      <c r="R59" s="237"/>
      <c r="S59" s="237"/>
      <c r="T59" s="237"/>
      <c r="U59" s="237"/>
      <c r="V59" s="239">
        <v>99999</v>
      </c>
      <c r="AA59">
        <v>-10</v>
      </c>
      <c r="AB59" s="225">
        <v>1200</v>
      </c>
      <c r="AC59" s="237">
        <v>1750</v>
      </c>
      <c r="AD59" s="237">
        <v>2300</v>
      </c>
      <c r="AE59" s="237">
        <v>2900</v>
      </c>
      <c r="AF59" s="237">
        <v>3400</v>
      </c>
      <c r="AG59" s="237">
        <v>3950</v>
      </c>
      <c r="AH59" s="239">
        <v>99999</v>
      </c>
    </row>
    <row r="60" spans="1:38" ht="15" customHeight="1">
      <c r="A60">
        <v>0</v>
      </c>
      <c r="B60" s="240">
        <v>1200</v>
      </c>
      <c r="C60" s="14">
        <v>1600</v>
      </c>
      <c r="D60" s="240">
        <v>2100</v>
      </c>
      <c r="E60" s="14">
        <v>2550</v>
      </c>
      <c r="F60" s="14">
        <v>3050</v>
      </c>
      <c r="G60" s="14">
        <v>3500</v>
      </c>
      <c r="H60" s="239">
        <v>99999</v>
      </c>
      <c r="I60" s="14"/>
      <c r="J60" s="14"/>
      <c r="K60" s="14"/>
      <c r="N60">
        <v>0</v>
      </c>
      <c r="O60" s="240"/>
      <c r="P60" s="14"/>
      <c r="Q60" s="14"/>
      <c r="R60" s="14"/>
      <c r="S60" s="14"/>
      <c r="T60" s="14"/>
      <c r="U60" s="14"/>
      <c r="V60" s="239">
        <v>99999</v>
      </c>
      <c r="AA60">
        <v>0</v>
      </c>
      <c r="AB60" s="240">
        <v>950</v>
      </c>
      <c r="AC60" s="14">
        <v>1400</v>
      </c>
      <c r="AD60" s="14">
        <v>1850</v>
      </c>
      <c r="AE60" s="14">
        <v>2350</v>
      </c>
      <c r="AF60" s="14">
        <v>2850</v>
      </c>
      <c r="AG60" s="14">
        <v>3300</v>
      </c>
      <c r="AH60" s="239">
        <v>99999</v>
      </c>
    </row>
    <row r="61" spans="1:38" ht="15" customHeight="1">
      <c r="A61">
        <v>30</v>
      </c>
      <c r="B61" s="235">
        <v>1000</v>
      </c>
      <c r="C61" s="241">
        <v>1250</v>
      </c>
      <c r="D61" s="235">
        <v>1650</v>
      </c>
      <c r="E61" s="241">
        <v>2010</v>
      </c>
      <c r="F61" s="241">
        <v>2420</v>
      </c>
      <c r="G61" s="241">
        <v>2850</v>
      </c>
      <c r="H61" s="251">
        <v>99999</v>
      </c>
      <c r="I61" s="14"/>
      <c r="J61" s="14"/>
      <c r="K61" s="14"/>
      <c r="N61">
        <v>30</v>
      </c>
      <c r="O61" s="235"/>
      <c r="P61" s="241"/>
      <c r="Q61" s="241"/>
      <c r="R61" s="241"/>
      <c r="S61" s="241"/>
      <c r="T61" s="241"/>
      <c r="U61" s="241"/>
      <c r="V61" s="251">
        <v>99999</v>
      </c>
      <c r="AA61">
        <v>30</v>
      </c>
      <c r="AB61" s="235">
        <v>750</v>
      </c>
      <c r="AC61" s="241">
        <v>1100</v>
      </c>
      <c r="AD61" s="241">
        <v>1450</v>
      </c>
      <c r="AE61" s="241">
        <v>1850</v>
      </c>
      <c r="AF61" s="241">
        <v>2250</v>
      </c>
      <c r="AG61" s="241">
        <v>2700</v>
      </c>
      <c r="AH61" s="251">
        <v>99999</v>
      </c>
    </row>
    <row r="62" spans="1:38" ht="15" customHeight="1">
      <c r="B62" s="159"/>
      <c r="C62" s="160"/>
      <c r="G62" s="1"/>
      <c r="H62" s="1"/>
      <c r="I62" s="1"/>
      <c r="J62" s="159"/>
      <c r="K62" s="160"/>
      <c r="O62" s="159"/>
      <c r="P62" s="160"/>
      <c r="T62" s="1"/>
      <c r="U62" s="1"/>
      <c r="V62" s="1"/>
      <c r="W62" s="159"/>
      <c r="X62" s="160"/>
      <c r="AB62" s="159"/>
      <c r="AC62" s="160"/>
      <c r="AG62" s="1"/>
      <c r="AH62" s="1"/>
      <c r="AI62" s="1"/>
      <c r="AJ62" s="159"/>
      <c r="AK62" s="160"/>
    </row>
    <row r="63" spans="1:38" ht="15" customHeight="1">
      <c r="B63" s="159" t="s">
        <v>138</v>
      </c>
      <c r="C63" s="160">
        <f>C55</f>
        <v>1600</v>
      </c>
      <c r="D63" s="276" t="s">
        <v>181</v>
      </c>
      <c r="E63" s="276"/>
      <c r="G63" s="1"/>
      <c r="H63" s="1"/>
      <c r="I63" s="1"/>
      <c r="J63" s="159"/>
      <c r="K63" s="160"/>
      <c r="L63" s="14"/>
      <c r="O63" s="159" t="s">
        <v>138</v>
      </c>
      <c r="P63" s="160" t="e">
        <f>P55</f>
        <v>#N/A</v>
      </c>
      <c r="Q63" s="276" t="s">
        <v>181</v>
      </c>
      <c r="R63" s="276"/>
      <c r="T63" s="1"/>
      <c r="U63" s="1"/>
      <c r="V63" s="1"/>
      <c r="W63" s="159"/>
      <c r="X63" s="160"/>
      <c r="Y63" s="14"/>
      <c r="AB63" s="159" t="s">
        <v>138</v>
      </c>
      <c r="AC63" s="160">
        <f>AC55</f>
        <v>1580</v>
      </c>
      <c r="AD63" s="276" t="s">
        <v>181</v>
      </c>
      <c r="AE63" s="276"/>
      <c r="AG63" s="1"/>
      <c r="AH63" s="1"/>
      <c r="AI63" s="1"/>
      <c r="AJ63" s="159"/>
      <c r="AK63" s="160"/>
      <c r="AL63" s="14"/>
    </row>
    <row r="64" spans="1:38" ht="15" customHeight="1">
      <c r="B64" s="18" t="s">
        <v>182</v>
      </c>
      <c r="C64" s="161">
        <f>INDEX($B58:$H58,MATCH(C63,$B58:$H58,1))</f>
        <v>1600</v>
      </c>
      <c r="D64" s="18" t="s">
        <v>136</v>
      </c>
      <c r="E64" s="49">
        <f>MATCH(MAX($A59:$A61),$A59:$A61,1)</f>
        <v>3</v>
      </c>
      <c r="G64" s="1"/>
      <c r="H64" s="1"/>
      <c r="I64" s="1"/>
      <c r="J64" s="18"/>
      <c r="K64" s="161"/>
      <c r="L64" s="18"/>
      <c r="M64" s="49"/>
      <c r="O64" s="18" t="s">
        <v>182</v>
      </c>
      <c r="P64" s="161" t="e">
        <f>INDEX($O58:$V58,MATCH(P63,$O58:$V58,1))</f>
        <v>#N/A</v>
      </c>
      <c r="Q64" s="18" t="s">
        <v>136</v>
      </c>
      <c r="R64" s="49">
        <f>MATCH(MAX($N59:$N61),$N59:$N61,1)</f>
        <v>3</v>
      </c>
      <c r="T64" s="1"/>
      <c r="U64" s="1"/>
      <c r="V64" s="1"/>
      <c r="W64" s="18"/>
      <c r="X64" s="161"/>
      <c r="Y64" s="18"/>
      <c r="AB64" s="18" t="s">
        <v>182</v>
      </c>
      <c r="AC64" s="161">
        <f>INDEX($AB58:$AH58,MATCH(AC63,$AB58:$AH58,1))</f>
        <v>1400</v>
      </c>
      <c r="AD64" s="18" t="s">
        <v>136</v>
      </c>
      <c r="AE64" s="49">
        <f>MATCH(MAX($AA59:$AA61),$AA59:$AA61,1)</f>
        <v>3</v>
      </c>
      <c r="AG64" s="1"/>
      <c r="AH64" s="1"/>
      <c r="AI64" s="1"/>
      <c r="AJ64" s="18"/>
      <c r="AK64" s="161"/>
      <c r="AL64" s="18"/>
    </row>
    <row r="65" spans="1:38" ht="15" customHeight="1">
      <c r="B65" s="18" t="s">
        <v>183</v>
      </c>
      <c r="C65" s="161">
        <f t="array" ref="C65">INDEX($B58:$H58,IF(MATCH(C63,$B58:$H58,1)&lt;E65,MATCH(C63,$B58:$H58,1)+1,MATCH(C63,$B58:$H58,1)))</f>
        <v>2100</v>
      </c>
      <c r="D65" s="18" t="s">
        <v>137</v>
      </c>
      <c r="E65" s="49">
        <f>MATCH(MAX($B58:$H58),$B58:$H58,0)</f>
        <v>7</v>
      </c>
      <c r="G65" s="1"/>
      <c r="H65" s="1"/>
      <c r="I65" s="1"/>
      <c r="J65" s="18"/>
      <c r="K65" s="161"/>
      <c r="L65" s="18"/>
      <c r="M65" s="49"/>
      <c r="O65" s="18" t="s">
        <v>183</v>
      </c>
      <c r="P65" s="161" t="e">
        <f t="array" ref="P65">INDEX($O58:$V58,IF(MATCH(P63,$O58:$V58,1)&lt;R65,MATCH(P63,$O58:$V58,1)+1,MATCH(P63,$O58:$V58,1)))</f>
        <v>#N/A</v>
      </c>
      <c r="Q65" s="18" t="s">
        <v>137</v>
      </c>
      <c r="R65" s="49">
        <f>MATCH(MAX($O58:$V58),$O58:$V58,0)</f>
        <v>8</v>
      </c>
      <c r="T65" s="1"/>
      <c r="U65" s="1"/>
      <c r="V65" s="1"/>
      <c r="W65" s="18"/>
      <c r="X65" s="161"/>
      <c r="Y65" s="18"/>
      <c r="AB65" s="18" t="s">
        <v>183</v>
      </c>
      <c r="AC65" s="161">
        <f t="array" ref="AC65">INDEX($AB58:$AH58,IF(MATCH(AC63,$AB58:$AH58,1)&lt;AE65,MATCH(AC63,$AB58:$AH58,1)+1,MATCH(AC63,$AB58:$AH58,1)))</f>
        <v>1850</v>
      </c>
      <c r="AD65" s="18" t="s">
        <v>137</v>
      </c>
      <c r="AE65" s="49">
        <f>MATCH(MAX($AB58:$AH58),$AB58:$AH58,0)</f>
        <v>7</v>
      </c>
      <c r="AG65" s="1"/>
      <c r="AH65" s="1"/>
      <c r="AI65" s="1"/>
      <c r="AJ65" s="18"/>
      <c r="AK65" s="161"/>
      <c r="AL65" s="18"/>
    </row>
    <row r="66" spans="1:38" ht="15" customHeight="1">
      <c r="B66" s="159" t="s">
        <v>139</v>
      </c>
      <c r="C66" s="205">
        <f>'Take-off'!$C$24</f>
        <v>0</v>
      </c>
      <c r="D66" s="1"/>
      <c r="E66" s="1"/>
      <c r="G66" s="1"/>
      <c r="H66" s="1"/>
      <c r="I66" s="1"/>
      <c r="J66" s="159"/>
      <c r="K66" s="205"/>
      <c r="L66" s="1"/>
      <c r="M66" s="1"/>
      <c r="O66" s="159" t="s">
        <v>139</v>
      </c>
      <c r="P66" s="205">
        <f>'Take-off'!$C$24</f>
        <v>0</v>
      </c>
      <c r="Q66" s="1"/>
      <c r="R66" s="1"/>
      <c r="T66" s="1"/>
      <c r="U66" s="1"/>
      <c r="V66" s="1"/>
      <c r="W66" s="159"/>
      <c r="X66" s="205"/>
      <c r="Y66" s="1"/>
      <c r="AB66" s="159" t="s">
        <v>139</v>
      </c>
      <c r="AC66" s="205">
        <f>'Take-off'!$C$24</f>
        <v>0</v>
      </c>
      <c r="AD66" s="1"/>
      <c r="AE66" s="1"/>
      <c r="AG66" s="1"/>
      <c r="AH66" s="1"/>
      <c r="AI66" s="1"/>
      <c r="AJ66" s="159"/>
      <c r="AK66" s="205"/>
      <c r="AL66" s="1"/>
    </row>
    <row r="67" spans="1:38" ht="15" customHeight="1">
      <c r="B67" s="18" t="s">
        <v>140</v>
      </c>
      <c r="C67" s="161">
        <f>INDEX($A59:$A61,MATCH(C66,$A59:$A61,1))</f>
        <v>0</v>
      </c>
      <c r="D67" s="1"/>
      <c r="E67" s="40"/>
      <c r="G67" s="1"/>
      <c r="H67" s="1"/>
      <c r="I67" s="1"/>
      <c r="J67" s="18"/>
      <c r="K67" s="161"/>
      <c r="L67" s="1"/>
      <c r="M67" s="40"/>
      <c r="O67" s="18" t="s">
        <v>140</v>
      </c>
      <c r="P67" s="161">
        <f>INDEX($N59:$N61,MATCH(P66,$N59:$N61,1))</f>
        <v>0</v>
      </c>
      <c r="Q67" s="1"/>
      <c r="R67" s="40"/>
      <c r="T67" s="1"/>
      <c r="U67" s="1"/>
      <c r="V67" s="1"/>
      <c r="W67" s="18"/>
      <c r="X67" s="161"/>
      <c r="Y67" s="1"/>
      <c r="AB67" s="18" t="s">
        <v>140</v>
      </c>
      <c r="AC67" s="161">
        <f>INDEX($AA59:$AA61,MATCH(AC66,$AA59:$AA61,1))</f>
        <v>0</v>
      </c>
      <c r="AD67" s="1"/>
      <c r="AE67" s="40"/>
      <c r="AG67" s="1"/>
      <c r="AH67" s="1"/>
      <c r="AI67" s="1"/>
      <c r="AJ67" s="18"/>
      <c r="AK67" s="161"/>
      <c r="AL67" s="1"/>
    </row>
    <row r="68" spans="1:38" ht="15" customHeight="1">
      <c r="B68" s="18" t="s">
        <v>141</v>
      </c>
      <c r="C68" s="161">
        <f t="array" ref="C68">INDEX($A59:$A61,IF(MATCH(C66,$A59:$A61,1)&lt;E64,MATCH(C66,$A59:$A61,1)+1,MATCH(C66,$A59:$A61,1)))</f>
        <v>30</v>
      </c>
      <c r="D68" s="1"/>
      <c r="E68" s="40"/>
      <c r="G68" s="1"/>
      <c r="H68" s="1"/>
      <c r="I68" s="1"/>
      <c r="J68" s="18"/>
      <c r="K68" s="161"/>
      <c r="L68" s="1"/>
      <c r="M68" s="40"/>
      <c r="O68" s="18" t="s">
        <v>141</v>
      </c>
      <c r="P68" s="161">
        <f t="array" ref="P68">INDEX($N59:$N61,IF(MATCH(P66,$N59:$N61,1)&lt;R64,MATCH(P66,$N59:$N61,1)+1,MATCH(P66,$N59:$N61,1)))</f>
        <v>30</v>
      </c>
      <c r="Q68" s="1"/>
      <c r="R68" s="40"/>
      <c r="T68" s="1"/>
      <c r="U68" s="1"/>
      <c r="V68" s="1"/>
      <c r="W68" s="18"/>
      <c r="X68" s="161"/>
      <c r="Y68" s="1"/>
      <c r="AB68" s="18" t="s">
        <v>141</v>
      </c>
      <c r="AC68" s="161">
        <f t="array" ref="AC68">INDEX($AA59:$AA61,IF(MATCH(AC66,$AA59:$AA61,1)&lt;AE64,MATCH(AC66,$AA59:$AA61,1)+1,MATCH(AC66,$AA59:$AA61,1)))</f>
        <v>30</v>
      </c>
      <c r="AD68" s="1"/>
      <c r="AE68" s="40"/>
      <c r="AG68" s="1"/>
      <c r="AH68" s="1"/>
      <c r="AI68" s="1"/>
      <c r="AJ68" s="18"/>
      <c r="AK68" s="161"/>
      <c r="AL68" s="1"/>
    </row>
    <row r="69" spans="1:38" ht="15" customHeight="1">
      <c r="B69" s="159" t="s">
        <v>142</v>
      </c>
      <c r="C69" s="160">
        <f>INDEX($B59:$H61,MATCH(C66,$A59:$A61,1),MATCH(C63,$B58:$H58,1))</f>
        <v>1600</v>
      </c>
      <c r="D69" s="1"/>
      <c r="E69" s="40"/>
      <c r="G69" s="1"/>
      <c r="H69" s="1"/>
      <c r="I69" s="1"/>
      <c r="J69" s="159"/>
      <c r="K69" s="160"/>
      <c r="L69" s="1"/>
      <c r="M69" s="40"/>
      <c r="O69" s="159" t="s">
        <v>142</v>
      </c>
      <c r="P69" s="160" t="e">
        <f>INDEX($O59:$V61,MATCH(P66,$N59:$N61,1),MATCH(P63,$O58:$V58,1))</f>
        <v>#N/A</v>
      </c>
      <c r="Q69" s="1"/>
      <c r="R69" s="40"/>
      <c r="T69" s="1"/>
      <c r="U69" s="1"/>
      <c r="V69" s="1"/>
      <c r="W69" s="159"/>
      <c r="X69" s="160"/>
      <c r="Y69" s="1"/>
      <c r="AB69" s="159" t="s">
        <v>142</v>
      </c>
      <c r="AC69" s="160">
        <f>INDEX($AB59:$AH61,MATCH(AC66,$AA59:$AA61,1),MATCH(AC63,$AB58:$AH58,1))</f>
        <v>1400</v>
      </c>
      <c r="AD69" s="1"/>
      <c r="AE69" s="40"/>
      <c r="AG69" s="1"/>
      <c r="AH69" s="1"/>
      <c r="AI69" s="1"/>
      <c r="AJ69" s="159"/>
      <c r="AK69" s="160"/>
      <c r="AL69" s="1"/>
    </row>
    <row r="70" spans="1:38" ht="15" customHeight="1">
      <c r="B70" s="159" t="s">
        <v>184</v>
      </c>
      <c r="C70" s="160">
        <f t="array" ref="C70">INDEX($B59:$H61,MATCH(C66,$A59:$A61,1),IF(MATCH(C63,$B58:$H58,1)&lt;E65,MATCH(C63,$B58:$H58,1)+1,MATCH(C66,$A59:$A61,1)))</f>
        <v>2100</v>
      </c>
      <c r="E70" s="40"/>
      <c r="G70" s="1"/>
      <c r="H70" s="1"/>
      <c r="I70" s="1"/>
      <c r="J70" s="159"/>
      <c r="K70" s="160"/>
      <c r="M70" s="40"/>
      <c r="O70" s="159" t="s">
        <v>184</v>
      </c>
      <c r="P70" s="160" t="e">
        <f t="array" ref="P70">INDEX($O59:$V61,MATCH(P66,$N59:$N61,1),IF(MATCH(P63,$O58:$V58,1)&lt;R65,MATCH(P63,$O58:$V58,1)+1,MATCH(P66,$N59:$N61,1)))</f>
        <v>#N/A</v>
      </c>
      <c r="R70" s="40"/>
      <c r="T70" s="1"/>
      <c r="U70" s="1"/>
      <c r="V70" s="1"/>
      <c r="W70" s="159"/>
      <c r="X70" s="160"/>
      <c r="AB70" s="159" t="s">
        <v>184</v>
      </c>
      <c r="AC70" s="160">
        <f t="array" ref="AC70">INDEX($AB59:$AH61,MATCH(AC66,$AA59:$AA61,1),IF(MATCH(AC63,$AB58:$AH58,1)&lt;AE65,MATCH(AC63,$AB58:$AH58,1)+1,MATCH(AC66,$AB59:$AH61,1)))</f>
        <v>1850</v>
      </c>
      <c r="AE70" s="40"/>
      <c r="AG70" s="1"/>
      <c r="AH70" s="1"/>
      <c r="AI70" s="1"/>
      <c r="AJ70" s="159"/>
      <c r="AK70" s="160"/>
    </row>
    <row r="71" spans="1:38" ht="15" customHeight="1">
      <c r="B71" s="159" t="s">
        <v>143</v>
      </c>
      <c r="C71" s="160">
        <f t="array" ref="C71">INDEX($B59:$H61,IF(MATCH(C66,$A59:$A61,1)&lt;E64,MATCH(C66,$A59:$A61,1)+1,MATCH(C66,$A59:$A61,1)),MATCH(C63,$B58:$H58,1))</f>
        <v>1250</v>
      </c>
      <c r="E71" s="40"/>
      <c r="G71" s="1"/>
      <c r="H71" s="1"/>
      <c r="I71" s="1"/>
      <c r="J71" s="159"/>
      <c r="K71" s="160"/>
      <c r="M71" s="40"/>
      <c r="O71" s="159" t="s">
        <v>143</v>
      </c>
      <c r="P71" s="160" t="e">
        <f t="array" ref="P71">INDEX($O59:$V61,IF(MATCH(P66,$N59:$N61,1)&lt;R64,MATCH(P66,$N59:$N61,1)+1,MATCH(P66,$N59:$N61,1)),MATCH(P63,$O58:$V58,1))</f>
        <v>#N/A</v>
      </c>
      <c r="R71" s="40"/>
      <c r="T71" s="1"/>
      <c r="U71" s="1"/>
      <c r="V71" s="1"/>
      <c r="W71" s="159"/>
      <c r="X71" s="160"/>
      <c r="AB71" s="159" t="s">
        <v>143</v>
      </c>
      <c r="AC71" s="160">
        <f t="array" ref="AC71">INDEX($AB59:$AH61,IF(MATCH(AC66,$AA59:$AA61,1)&lt;AE64,MATCH(AC66,$AA59:$AA61,1)+1,MATCH(AC66,$AA59:$AA61,1)),MATCH(AC63,$AB58:$AH58,1))</f>
        <v>1100</v>
      </c>
      <c r="AE71" s="40"/>
      <c r="AG71" s="1"/>
      <c r="AH71" s="1"/>
      <c r="AI71" s="1"/>
      <c r="AJ71" s="159"/>
      <c r="AK71" s="160"/>
    </row>
    <row r="72" spans="1:38" ht="15" customHeight="1">
      <c r="B72" s="159" t="s">
        <v>185</v>
      </c>
      <c r="C72" s="160">
        <f t="array" ref="C72">INDEX($B59:$H61,IF(MATCH(C66,$A59:$A61,1)&lt;E64,MATCH(C66,$A59:$A61,1)+1,MATCH(C66,$A59:$A61,1)),IF(MATCH(C63,$B58:$H58,1)&lt;E65,MATCH(C63,$B58:$H58,1)+1,MATCH(C63,$B58:$H58,1)))</f>
        <v>1650</v>
      </c>
      <c r="G72" s="1"/>
      <c r="H72" s="1"/>
      <c r="I72" s="1"/>
      <c r="J72" s="159"/>
      <c r="K72" s="160"/>
      <c r="O72" s="159" t="s">
        <v>185</v>
      </c>
      <c r="P72" s="160" t="e">
        <f t="array" ref="P72">INDEX($O59:$V61,IF(MATCH(P66,$N59:$N61,1)&lt;R64,MATCH(P66,$N59:$N61,1)+1,MATCH(P66,$N59:$N61,1)),IF(MATCH(P63,$O58:$V58,1)&lt;R65,MATCH(P63,$O58:$V58,1)+1,MATCH(P63,$O58:$V58,1)))</f>
        <v>#N/A</v>
      </c>
      <c r="T72" s="1"/>
      <c r="U72" s="1"/>
      <c r="V72" s="1"/>
      <c r="W72" s="159"/>
      <c r="X72" s="160"/>
      <c r="AB72" s="159" t="s">
        <v>185</v>
      </c>
      <c r="AC72" s="160">
        <f t="array" ref="AC72">INDEX($AB59:$AH61,IF(MATCH(AC66,$AA59:$AA61,1)&lt;AE64,MATCH(AC66,$AA59:$AA61,1)+1,MATCH(AC66,$AA59:$AA61,1)),IF(MATCH(AC63,$AB58:$AH58,1)&lt;AE65,MATCH(AC63,$AB58:$AH58,1)+1,MATCH(AC63,$AB58:$AH58,1)))</f>
        <v>1450</v>
      </c>
      <c r="AG72" s="1"/>
      <c r="AH72" s="1"/>
      <c r="AI72" s="1"/>
      <c r="AJ72" s="159"/>
      <c r="AK72" s="160"/>
    </row>
    <row r="73" spans="1:38" ht="15" customHeight="1">
      <c r="B73" s="18" t="s">
        <v>186</v>
      </c>
      <c r="C73" s="161">
        <f>IFERROR(C69+(C63-C64)*(C70-C69)/(C65-C64),C69)</f>
        <v>1600</v>
      </c>
      <c r="G73" s="1"/>
      <c r="H73" s="1"/>
      <c r="I73" s="1"/>
      <c r="J73" s="18"/>
      <c r="K73" s="161"/>
      <c r="O73" s="18" t="s">
        <v>186</v>
      </c>
      <c r="P73" s="161" t="e">
        <f>IFERROR(P69+(P63-P64)*(P70-P69)/(P65-P64),P69)</f>
        <v>#N/A</v>
      </c>
      <c r="T73" s="1"/>
      <c r="U73" s="1"/>
      <c r="V73" s="1"/>
      <c r="W73" s="18"/>
      <c r="X73" s="161"/>
      <c r="AB73" s="18" t="s">
        <v>186</v>
      </c>
      <c r="AC73" s="161">
        <f>IFERROR(AC69+(AC63-AC64)*(AC70-AC69)/(AC65-AC64),AC69)</f>
        <v>1580</v>
      </c>
      <c r="AG73" s="1"/>
      <c r="AH73" s="1"/>
      <c r="AI73" s="1"/>
      <c r="AJ73" s="18"/>
      <c r="AK73" s="161"/>
    </row>
    <row r="74" spans="1:38" ht="15" customHeight="1">
      <c r="B74" s="18" t="s">
        <v>187</v>
      </c>
      <c r="C74" s="161">
        <f>IFERROR(C71+(C63-C64)*(C72-C71)/(C65-C64),C71)</f>
        <v>1250</v>
      </c>
      <c r="G74" s="1"/>
      <c r="H74" s="1"/>
      <c r="I74" s="1"/>
      <c r="J74" s="18"/>
      <c r="K74" s="161"/>
      <c r="O74" s="18" t="s">
        <v>187</v>
      </c>
      <c r="P74" s="161" t="e">
        <f>IFERROR(P71+(P63-P64)*(P72-P71)/(P65-P64),P71)</f>
        <v>#N/A</v>
      </c>
      <c r="T74" s="1"/>
      <c r="U74" s="1"/>
      <c r="V74" s="1"/>
      <c r="W74" s="18"/>
      <c r="X74" s="161"/>
      <c r="AB74" s="18" t="s">
        <v>187</v>
      </c>
      <c r="AC74" s="161">
        <f>IFERROR(AC71+(AC63-AC64)*(AC72-AC71)/(AC65-AC64),AC71)</f>
        <v>1240</v>
      </c>
      <c r="AG74" s="1"/>
      <c r="AH74" s="1"/>
      <c r="AI74" s="1"/>
      <c r="AJ74" s="18"/>
      <c r="AK74" s="161"/>
    </row>
    <row r="75" spans="1:38" ht="15" customHeight="1">
      <c r="B75" s="159" t="s">
        <v>188</v>
      </c>
      <c r="C75" s="160">
        <f>IFERROR(C73+(C66-C67)*(C74-C73)/(C68-C67),C73)</f>
        <v>1600</v>
      </c>
      <c r="G75" s="1"/>
      <c r="H75" s="1"/>
      <c r="I75" s="1"/>
      <c r="J75" s="159"/>
      <c r="K75" s="160"/>
      <c r="O75" s="159" t="s">
        <v>188</v>
      </c>
      <c r="P75" s="160" t="e">
        <f>IFERROR(P73+(P66-P67)*(P74-P73)/(P68-P67),P73)</f>
        <v>#N/A</v>
      </c>
      <c r="T75" s="1"/>
      <c r="U75" s="1"/>
      <c r="V75" s="1"/>
      <c r="W75" s="159"/>
      <c r="X75" s="160"/>
      <c r="AB75" s="159" t="s">
        <v>188</v>
      </c>
      <c r="AC75" s="160">
        <f>IFERROR(AC73+(AC66-AC67)*(AC74-AC73)/(AC68-AC67),AC73)</f>
        <v>1580</v>
      </c>
      <c r="AG75" s="1"/>
      <c r="AH75" s="1"/>
      <c r="AI75" s="1"/>
      <c r="AJ75" s="159"/>
      <c r="AK75" s="160"/>
    </row>
    <row r="77" spans="1:38" ht="15" customHeight="1">
      <c r="B77" s="275" t="s">
        <v>191</v>
      </c>
      <c r="C77" s="275"/>
      <c r="D77" s="275"/>
      <c r="E77" s="275"/>
      <c r="F77" s="275"/>
      <c r="G77" s="275"/>
      <c r="H77" s="275"/>
      <c r="I77" s="275"/>
      <c r="O77" s="275" t="s">
        <v>191</v>
      </c>
      <c r="P77" s="275"/>
      <c r="Q77" s="275"/>
      <c r="R77" s="275"/>
      <c r="S77" s="275"/>
      <c r="T77" s="275"/>
      <c r="U77" s="275"/>
      <c r="V77" s="275"/>
      <c r="AB77" s="275" t="s">
        <v>191</v>
      </c>
      <c r="AC77" s="275"/>
      <c r="AD77" s="275"/>
      <c r="AE77" s="275"/>
      <c r="AF77" s="275"/>
      <c r="AG77" s="275"/>
      <c r="AH77" s="275"/>
      <c r="AI77" s="275"/>
    </row>
    <row r="78" spans="1:38" ht="15" customHeight="1">
      <c r="A78" t="s">
        <v>28</v>
      </c>
      <c r="B78" s="225">
        <v>1200</v>
      </c>
      <c r="C78" s="237">
        <v>1600</v>
      </c>
      <c r="D78" s="237">
        <v>1950</v>
      </c>
      <c r="E78" s="237">
        <v>2300</v>
      </c>
      <c r="F78" s="237">
        <v>2700</v>
      </c>
      <c r="G78" s="237">
        <v>3050</v>
      </c>
      <c r="H78" s="237">
        <v>3450</v>
      </c>
      <c r="I78" s="237">
        <v>3850</v>
      </c>
      <c r="J78" s="237">
        <v>4300</v>
      </c>
      <c r="K78" s="227">
        <v>4500</v>
      </c>
      <c r="L78" s="11"/>
      <c r="N78" t="s">
        <v>28</v>
      </c>
      <c r="O78" s="225">
        <v>1000</v>
      </c>
      <c r="P78" s="237">
        <v>1600</v>
      </c>
      <c r="Q78" s="237">
        <v>2200</v>
      </c>
      <c r="R78" s="237">
        <v>2800</v>
      </c>
      <c r="S78" s="237">
        <v>3400</v>
      </c>
      <c r="T78" s="237">
        <v>4000</v>
      </c>
      <c r="U78" s="237">
        <v>4600</v>
      </c>
      <c r="V78" s="227">
        <v>5000</v>
      </c>
      <c r="AA78" t="s">
        <v>28</v>
      </c>
      <c r="AB78" s="225">
        <v>750</v>
      </c>
      <c r="AC78" s="237">
        <v>1100</v>
      </c>
      <c r="AD78" s="237">
        <v>1450</v>
      </c>
      <c r="AE78" s="237">
        <v>1850</v>
      </c>
      <c r="AF78" s="237">
        <v>2200</v>
      </c>
      <c r="AG78" s="237">
        <v>2600</v>
      </c>
      <c r="AH78" s="237">
        <v>2950</v>
      </c>
      <c r="AI78" s="237">
        <v>3300</v>
      </c>
      <c r="AJ78" s="237">
        <v>3700</v>
      </c>
      <c r="AK78" s="237">
        <v>4100</v>
      </c>
      <c r="AL78" s="227">
        <v>4500</v>
      </c>
    </row>
    <row r="79" spans="1:38" ht="15" customHeight="1">
      <c r="A79">
        <v>0</v>
      </c>
      <c r="B79" s="225">
        <v>1200</v>
      </c>
      <c r="C79" s="237">
        <v>1600</v>
      </c>
      <c r="D79" s="237">
        <v>1950</v>
      </c>
      <c r="E79" s="237">
        <v>2300</v>
      </c>
      <c r="F79" s="237">
        <v>2700</v>
      </c>
      <c r="G79" s="237">
        <v>3050</v>
      </c>
      <c r="H79" s="237">
        <v>3450</v>
      </c>
      <c r="I79" s="237">
        <v>3850</v>
      </c>
      <c r="J79" s="237">
        <v>4300</v>
      </c>
      <c r="K79" s="239">
        <v>99999</v>
      </c>
      <c r="L79" s="14"/>
      <c r="N79">
        <v>0</v>
      </c>
      <c r="O79" s="225"/>
      <c r="P79" s="237"/>
      <c r="Q79" s="237"/>
      <c r="R79" s="237"/>
      <c r="S79" s="237"/>
      <c r="T79" s="237"/>
      <c r="U79" s="237"/>
      <c r="V79" s="239">
        <v>99999</v>
      </c>
      <c r="AA79">
        <v>0</v>
      </c>
      <c r="AB79" s="225">
        <v>750</v>
      </c>
      <c r="AC79" s="237">
        <v>1100</v>
      </c>
      <c r="AD79" s="237">
        <v>1450</v>
      </c>
      <c r="AE79" s="237">
        <v>1850</v>
      </c>
      <c r="AF79" s="237">
        <v>2200</v>
      </c>
      <c r="AG79" s="237">
        <v>2600</v>
      </c>
      <c r="AH79" s="237">
        <v>2950</v>
      </c>
      <c r="AI79" s="237">
        <v>3300</v>
      </c>
      <c r="AJ79" s="237">
        <v>3700</v>
      </c>
      <c r="AK79" s="237">
        <v>4100</v>
      </c>
      <c r="AL79" s="239">
        <v>99999</v>
      </c>
    </row>
    <row r="80" spans="1:38" ht="15" customHeight="1">
      <c r="A80">
        <v>50</v>
      </c>
      <c r="B80" s="235">
        <v>2200</v>
      </c>
      <c r="C80" s="241">
        <v>2750</v>
      </c>
      <c r="D80" s="241">
        <v>3350</v>
      </c>
      <c r="E80" s="241">
        <v>3950</v>
      </c>
      <c r="F80" s="241">
        <v>4110</v>
      </c>
      <c r="G80" s="241">
        <v>5350</v>
      </c>
      <c r="H80" s="241">
        <v>6100</v>
      </c>
      <c r="I80" s="241">
        <v>6900</v>
      </c>
      <c r="J80" s="241">
        <v>7850</v>
      </c>
      <c r="K80" s="239">
        <v>99999</v>
      </c>
      <c r="L80" s="14"/>
      <c r="N80">
        <v>50</v>
      </c>
      <c r="O80" s="235"/>
      <c r="P80" s="241"/>
      <c r="Q80" s="241"/>
      <c r="R80" s="241"/>
      <c r="S80" s="241"/>
      <c r="T80" s="241"/>
      <c r="U80" s="241"/>
      <c r="V80" s="239">
        <v>99999</v>
      </c>
      <c r="AA80">
        <v>50</v>
      </c>
      <c r="AB80" s="235">
        <v>1150</v>
      </c>
      <c r="AC80" s="241">
        <v>1600</v>
      </c>
      <c r="AD80" s="241">
        <v>2100</v>
      </c>
      <c r="AE80" s="241">
        <v>2600</v>
      </c>
      <c r="AF80" s="241">
        <v>3100</v>
      </c>
      <c r="AG80" s="241">
        <v>3650</v>
      </c>
      <c r="AH80" s="241">
        <v>4150</v>
      </c>
      <c r="AI80" s="241">
        <v>4700</v>
      </c>
      <c r="AJ80" s="241">
        <v>5250</v>
      </c>
      <c r="AK80" s="241">
        <v>5800</v>
      </c>
      <c r="AL80" s="239">
        <v>99999</v>
      </c>
    </row>
    <row r="81" spans="2:35" ht="15" customHeight="1">
      <c r="B81" s="159"/>
      <c r="C81" s="160"/>
      <c r="G81" s="1"/>
      <c r="H81" s="1"/>
      <c r="I81" s="1"/>
      <c r="O81" s="159"/>
      <c r="P81" s="160"/>
      <c r="T81" s="1"/>
      <c r="U81" s="1"/>
      <c r="V81" s="1"/>
      <c r="AB81" s="159"/>
      <c r="AC81" s="160"/>
      <c r="AG81" s="1"/>
      <c r="AH81" s="1"/>
      <c r="AI81" s="1"/>
    </row>
    <row r="82" spans="2:35" ht="15" customHeight="1">
      <c r="B82" s="159" t="s">
        <v>138</v>
      </c>
      <c r="C82" s="160">
        <f>C75</f>
        <v>1600</v>
      </c>
      <c r="D82" s="276" t="s">
        <v>181</v>
      </c>
      <c r="E82" s="276"/>
      <c r="G82" s="1"/>
      <c r="H82" s="1"/>
      <c r="I82" s="1"/>
      <c r="O82" s="159" t="s">
        <v>138</v>
      </c>
      <c r="P82" s="160" t="e">
        <f>P75</f>
        <v>#N/A</v>
      </c>
      <c r="Q82" s="276" t="s">
        <v>181</v>
      </c>
      <c r="R82" s="276"/>
      <c r="T82" s="1"/>
      <c r="U82" s="1"/>
      <c r="V82" s="1"/>
      <c r="AB82" s="159" t="s">
        <v>138</v>
      </c>
      <c r="AC82" s="160">
        <f>AC75</f>
        <v>1580</v>
      </c>
      <c r="AD82" s="276" t="s">
        <v>181</v>
      </c>
      <c r="AE82" s="276"/>
      <c r="AG82" s="1"/>
      <c r="AH82" s="1"/>
      <c r="AI82" s="1"/>
    </row>
    <row r="83" spans="2:35" ht="15" customHeight="1">
      <c r="B83" s="18" t="s">
        <v>182</v>
      </c>
      <c r="C83" s="161">
        <f>INDEX($B78:$K78,MATCH(C82,$B78:$K78,1))</f>
        <v>1600</v>
      </c>
      <c r="D83" s="18" t="s">
        <v>136</v>
      </c>
      <c r="E83" s="49">
        <f>MATCH(MAX($A79:$A80),$A79:$A80,1)</f>
        <v>2</v>
      </c>
      <c r="G83" s="1"/>
      <c r="H83" s="1"/>
      <c r="I83" s="1"/>
      <c r="O83" s="18" t="s">
        <v>182</v>
      </c>
      <c r="P83" s="161" t="e">
        <f>INDEX($O78:$V78,MATCH(P82,$O78:$V78,1))</f>
        <v>#N/A</v>
      </c>
      <c r="Q83" s="18" t="s">
        <v>136</v>
      </c>
      <c r="R83" s="49">
        <f>MATCH(MAX($N79:$N80),$N79:$N80,1)</f>
        <v>2</v>
      </c>
      <c r="T83" s="1"/>
      <c r="U83" s="1"/>
      <c r="V83" s="1"/>
      <c r="AB83" s="18" t="s">
        <v>182</v>
      </c>
      <c r="AC83" s="161">
        <f>INDEX($AB78:$AL78,MATCH(AC82,$AB78:$AL78,1))</f>
        <v>1450</v>
      </c>
      <c r="AD83" s="18" t="s">
        <v>136</v>
      </c>
      <c r="AE83" s="49">
        <f>MATCH(MAX($AA79:$AA80),$AA79:$AA80,1)</f>
        <v>2</v>
      </c>
      <c r="AG83" s="1"/>
      <c r="AH83" s="1"/>
      <c r="AI83" s="1"/>
    </row>
    <row r="84" spans="2:35" ht="15" customHeight="1">
      <c r="B84" s="18" t="s">
        <v>183</v>
      </c>
      <c r="C84" s="161">
        <f t="array" ref="C84">INDEX($B78:$K78,IF(MATCH(C82,$B78:$K78,1)&lt;E84,MATCH(C82,$B78:$K78,1)+1,MATCH(C82,$B78:$K78,1)))</f>
        <v>1950</v>
      </c>
      <c r="D84" s="18" t="s">
        <v>137</v>
      </c>
      <c r="E84" s="49">
        <f>MATCH(MAX($B78:$K78),$B78:$K78,0)</f>
        <v>10</v>
      </c>
      <c r="G84" s="1"/>
      <c r="H84" s="1"/>
      <c r="I84" s="1"/>
      <c r="O84" s="18" t="s">
        <v>183</v>
      </c>
      <c r="P84" s="161" t="e">
        <f t="array" ref="P84">INDEX($O78:$V78,IF(MATCH(P82,$O78:$V78,1)&lt;R84,MATCH(P82,$O78:$V78,1)+1,MATCH(P82,$O78:$V78,1)))</f>
        <v>#N/A</v>
      </c>
      <c r="Q84" s="18" t="s">
        <v>137</v>
      </c>
      <c r="R84" s="49">
        <f>MATCH(MAX($O78:$V78),$O78:$V78,0)</f>
        <v>8</v>
      </c>
      <c r="T84" s="1"/>
      <c r="U84" s="1"/>
      <c r="V84" s="1"/>
      <c r="AB84" s="18" t="s">
        <v>183</v>
      </c>
      <c r="AC84" s="161">
        <f t="array" ref="AC84">INDEX($AB78:$AL78,IF(MATCH(AC82,$AB78:$AL78,1)&lt;AE84,MATCH(AC82,$AB78:$AL78,1)+1,MATCH(AC82,$AB78:$AL78,1)))</f>
        <v>1850</v>
      </c>
      <c r="AD84" s="18" t="s">
        <v>137</v>
      </c>
      <c r="AE84" s="49">
        <f>MATCH(MAX($AB78:$AL78),$AB78:$AL78,0)</f>
        <v>11</v>
      </c>
      <c r="AG84" s="1"/>
      <c r="AH84" s="1"/>
      <c r="AI84" s="1"/>
    </row>
    <row r="85" spans="2:35" ht="15" customHeight="1">
      <c r="B85" s="159" t="s">
        <v>139</v>
      </c>
      <c r="C85" s="205">
        <v>50</v>
      </c>
      <c r="D85" s="1"/>
      <c r="E85" s="1"/>
      <c r="G85" s="1"/>
      <c r="H85" s="1"/>
      <c r="I85" s="1"/>
      <c r="O85" s="159" t="s">
        <v>139</v>
      </c>
      <c r="P85" s="205">
        <v>50</v>
      </c>
      <c r="Q85" s="1"/>
      <c r="R85" s="1"/>
      <c r="T85" s="1"/>
      <c r="U85" s="1"/>
      <c r="V85" s="1"/>
      <c r="AB85" s="159" t="s">
        <v>139</v>
      </c>
      <c r="AC85" s="205">
        <v>50</v>
      </c>
      <c r="AD85" s="1"/>
      <c r="AE85" s="1"/>
      <c r="AG85" s="1"/>
      <c r="AH85" s="1"/>
      <c r="AI85" s="1"/>
    </row>
    <row r="86" spans="2:35" ht="15" customHeight="1">
      <c r="B86" s="18" t="s">
        <v>140</v>
      </c>
      <c r="C86" s="161">
        <f>INDEX($A79:$A80,MATCH(C85,$A79:$A80,1))</f>
        <v>50</v>
      </c>
      <c r="D86" s="1"/>
      <c r="E86" s="40"/>
      <c r="G86" s="1"/>
      <c r="H86" s="1"/>
      <c r="I86" s="1"/>
      <c r="O86" s="18" t="s">
        <v>140</v>
      </c>
      <c r="P86" s="161">
        <f>INDEX($N79:$N80,MATCH(P85,$N79:$N80,1))</f>
        <v>50</v>
      </c>
      <c r="Q86" s="1"/>
      <c r="R86" s="40"/>
      <c r="T86" s="1"/>
      <c r="U86" s="1"/>
      <c r="V86" s="1"/>
      <c r="AB86" s="18" t="s">
        <v>140</v>
      </c>
      <c r="AC86" s="161">
        <f>INDEX($AA79:$AA80,MATCH(AC85,$AA79:$AA80,1))</f>
        <v>50</v>
      </c>
      <c r="AD86" s="1"/>
      <c r="AE86" s="40"/>
      <c r="AG86" s="1"/>
      <c r="AH86" s="1"/>
      <c r="AI86" s="1"/>
    </row>
    <row r="87" spans="2:35" ht="15" customHeight="1">
      <c r="B87" s="18" t="s">
        <v>141</v>
      </c>
      <c r="C87" s="161">
        <f t="array" ref="C87">INDEX($A79:$A80,IF(MATCH(C85,$A79:$A80,1)&lt;E83,MATCH(C85,$A79:$A80,1)+1,MATCH(C85,$A79:$A80,1)))</f>
        <v>50</v>
      </c>
      <c r="D87" s="1"/>
      <c r="E87" s="40"/>
      <c r="G87" s="1"/>
      <c r="H87" s="1"/>
      <c r="I87" s="1"/>
      <c r="O87" s="18" t="s">
        <v>141</v>
      </c>
      <c r="P87" s="161">
        <f t="array" ref="P87">INDEX($N79:$N80,IF(MATCH(P85,$N79:$N80,1)&lt;R83,MATCH(P85,$N79:$N80,1)+1,MATCH(P85,$N79:$N80,1)))</f>
        <v>50</v>
      </c>
      <c r="Q87" s="1"/>
      <c r="R87" s="40"/>
      <c r="T87" s="1"/>
      <c r="U87" s="1"/>
      <c r="V87" s="1"/>
      <c r="AB87" s="18" t="s">
        <v>141</v>
      </c>
      <c r="AC87" s="161">
        <f t="array" ref="AC87">INDEX($AA79:$AA80,IF(MATCH(AC85,$AA79:$AA80,1)&lt;AE83,MATCH(AC85,$AA79:$AA80,1)+1,MATCH(AC85,$AA79:$AA80,1)))</f>
        <v>50</v>
      </c>
      <c r="AD87" s="1"/>
      <c r="AE87" s="40"/>
      <c r="AG87" s="1"/>
      <c r="AH87" s="1"/>
      <c r="AI87" s="1"/>
    </row>
    <row r="88" spans="2:35" ht="15" customHeight="1">
      <c r="B88" s="159" t="s">
        <v>142</v>
      </c>
      <c r="C88" s="160">
        <f>INDEX($B79:$K80,MATCH(C85,$A79:$A80,1),MATCH(C82,$B78:$K78,1))</f>
        <v>2750</v>
      </c>
      <c r="D88" s="1"/>
      <c r="E88" s="40"/>
      <c r="G88" s="1"/>
      <c r="H88" s="1"/>
      <c r="I88" s="1"/>
      <c r="O88" s="159" t="s">
        <v>142</v>
      </c>
      <c r="P88" s="160" t="e">
        <f>INDEX($O79:$V80,MATCH(P85,$N79:$N80,1),MATCH(P82,$O78:$V78,1))</f>
        <v>#N/A</v>
      </c>
      <c r="Q88" s="1"/>
      <c r="R88" s="40"/>
      <c r="T88" s="1"/>
      <c r="U88" s="1"/>
      <c r="V88" s="1"/>
      <c r="AB88" s="159" t="s">
        <v>142</v>
      </c>
      <c r="AC88" s="160">
        <f>INDEX($AB79:$AL80,MATCH(AC85,$AA79:$AA80,1),MATCH(AC82,$AB78:$AL78,1))</f>
        <v>2100</v>
      </c>
      <c r="AD88" s="1"/>
      <c r="AE88" s="40"/>
      <c r="AG88" s="1"/>
      <c r="AH88" s="1"/>
      <c r="AI88" s="1"/>
    </row>
    <row r="89" spans="2:35" ht="15" customHeight="1">
      <c r="B89" s="159" t="s">
        <v>184</v>
      </c>
      <c r="C89" s="160">
        <f t="array" ref="C89">INDEX($B79:$K80,MATCH(C85,$A79:$A80,1),IF(MATCH(C82,$B78:$K78,1)&lt;E84,MATCH(C82,$B78:$K78,1)+1,MATCH(C85,$A79:$A80,1)))</f>
        <v>3350</v>
      </c>
      <c r="E89" s="40"/>
      <c r="G89" s="1"/>
      <c r="H89" s="1"/>
      <c r="I89" s="1"/>
      <c r="O89" s="159" t="s">
        <v>184</v>
      </c>
      <c r="P89" s="160" t="e">
        <f t="array" ref="P89">INDEX($O79:$V80,MATCH(P85,$N79:$N80,1),IF(MATCH(P82,$O78:$V78,1)&lt;R84,MATCH(P82,$O78:$V78,1)+1,MATCH(P85,$N79:$N80,1)))</f>
        <v>#N/A</v>
      </c>
      <c r="R89" s="40"/>
      <c r="T89" s="1"/>
      <c r="U89" s="1"/>
      <c r="V89" s="1"/>
      <c r="AB89" s="159" t="s">
        <v>184</v>
      </c>
      <c r="AC89" s="160">
        <f t="array" ref="AC89">INDEX($AB79:$AL80,MATCH(AC85,$AA79:$AA80,1),IF(MATCH(AC82,$AB78:$AL78,1)&lt;AE84,MATCH(AC82,$AB78:$AL78,1)+1,MATCH(AC85,$AA79:$AA80,1)))</f>
        <v>2600</v>
      </c>
      <c r="AE89" s="40"/>
      <c r="AG89" s="1"/>
      <c r="AH89" s="1"/>
      <c r="AI89" s="1"/>
    </row>
    <row r="90" spans="2:35" ht="15" customHeight="1">
      <c r="B90" s="159" t="s">
        <v>143</v>
      </c>
      <c r="C90" s="160">
        <f t="array" ref="C90">INDEX($B79:$K80,IF(MATCH(C85,$A79:$A80,1)&lt;E83,MATCH(C85,$A79:$A80,1)+1,MATCH(C85,$A79:$A80,1)),MATCH(C82,$B78:$K78,1))</f>
        <v>2750</v>
      </c>
      <c r="E90" s="40"/>
      <c r="G90" s="1"/>
      <c r="H90" s="1"/>
      <c r="I90" s="1"/>
      <c r="O90" s="159" t="s">
        <v>143</v>
      </c>
      <c r="P90" s="160" t="e">
        <f t="array" ref="P90">INDEX($O79:$V80,IF(MATCH(P85,$N79:$N80,1)&lt;R83,MATCH(P85,$N79:$N80,1)+1,MATCH(P85,$N79:$N80,1)),MATCH(P82,$O78:$V78,1))</f>
        <v>#N/A</v>
      </c>
      <c r="R90" s="40"/>
      <c r="T90" s="1"/>
      <c r="U90" s="1"/>
      <c r="V90" s="1"/>
      <c r="AB90" s="159" t="s">
        <v>143</v>
      </c>
      <c r="AC90" s="160">
        <f t="array" ref="AC90">INDEX($AB79:$AL80,IF(MATCH(AC85,$AA79:$AA80,1)&lt;AE83,MATCH(AC85,$AA79:$AA80,1)+1,MATCH(AC85,$AA79:$AA80,1)),MATCH(AC82,$AB78:$AL78,1))</f>
        <v>2100</v>
      </c>
      <c r="AE90" s="40"/>
      <c r="AG90" s="1"/>
      <c r="AH90" s="1"/>
      <c r="AI90" s="1"/>
    </row>
    <row r="91" spans="2:35" ht="15" customHeight="1">
      <c r="B91" s="159" t="s">
        <v>185</v>
      </c>
      <c r="C91" s="160">
        <f t="array" ref="C91">INDEX($B79:$K80,IF(MATCH(C85,$A79:$A80,1)&lt;E83,MATCH(C85,$A79:$A80,1)+1,MATCH(C85,$A79:$A80,1)),IF(MATCH(C82,$B78:$K78,1)&lt;E84,MATCH(C82,$B78:$K78,1)+1,MATCH(C82,$B78:$K78,1)))</f>
        <v>3350</v>
      </c>
      <c r="G91" s="1"/>
      <c r="H91" s="1"/>
      <c r="I91" s="1"/>
      <c r="O91" s="159" t="s">
        <v>185</v>
      </c>
      <c r="P91" s="160" t="e">
        <f t="array" ref="P91">INDEX($O79:$V80,IF(MATCH(P85,$N79:$N80,1)&lt;R83,MATCH(P85,$N79:$N80,1)+1,MATCH(P85,$N79:$N80,1)),IF(MATCH(P82,$O78:$V78,1)&lt;R84,MATCH(P82,$O78:$V78,1)+1,MATCH(P82,$O78:$V78,1)))</f>
        <v>#N/A</v>
      </c>
      <c r="T91" s="1"/>
      <c r="U91" s="1"/>
      <c r="V91" s="1"/>
      <c r="AB91" s="159" t="s">
        <v>185</v>
      </c>
      <c r="AC91" s="160">
        <f t="array" ref="AC91">INDEX($AB79:$AL80,IF(MATCH(AC85,$AA79:$AA80,1)&lt;AE83,MATCH(AC85,$AA79:$AA80,1)+1,MATCH(AC85,$AA79:$AA80,1)),IF(MATCH(AC82,$AB78:$AL78,1)&lt;AE84,MATCH(AC82,$AB78:$AL78,1)+1,MATCH(AC82,$AB78:$AL78,1)))</f>
        <v>2600</v>
      </c>
      <c r="AG91" s="1"/>
      <c r="AH91" s="1"/>
      <c r="AI91" s="1"/>
    </row>
    <row r="92" spans="2:35" ht="15" customHeight="1">
      <c r="B92" s="18" t="s">
        <v>186</v>
      </c>
      <c r="C92" s="161">
        <f>IFERROR(C88+(C82-C83)*(C89-C88)/(C84-C83),C88)</f>
        <v>2750</v>
      </c>
      <c r="G92" s="1"/>
      <c r="H92" s="1"/>
      <c r="I92" s="1"/>
      <c r="O92" s="18" t="s">
        <v>186</v>
      </c>
      <c r="P92" s="161" t="e">
        <f>IFERROR(P88+(P82-P83)*(P89-P88)/(P84-P83),P88)</f>
        <v>#N/A</v>
      </c>
      <c r="T92" s="1"/>
      <c r="U92" s="1"/>
      <c r="V92" s="1"/>
      <c r="AB92" s="18" t="s">
        <v>186</v>
      </c>
      <c r="AC92" s="161">
        <f>IFERROR(AC88+(AC82-AC83)*(AC89-AC88)/(AC84-AC83),AC88)</f>
        <v>2262.5</v>
      </c>
      <c r="AG92" s="1"/>
      <c r="AH92" s="1"/>
      <c r="AI92" s="1"/>
    </row>
    <row r="93" spans="2:35" ht="15" customHeight="1">
      <c r="B93" s="18" t="s">
        <v>187</v>
      </c>
      <c r="C93" s="161">
        <f>IFERROR(C90+(C82-C83)*(C91-C90)/(C84-C83),C90)</f>
        <v>2750</v>
      </c>
      <c r="G93" s="1"/>
      <c r="H93" s="1"/>
      <c r="I93" s="1"/>
      <c r="O93" s="18" t="s">
        <v>187</v>
      </c>
      <c r="P93" s="161" t="e">
        <f>IFERROR(P90+(P82-P83)*(P91-P90)/(P84-P83),P90)</f>
        <v>#N/A</v>
      </c>
      <c r="T93" s="1"/>
      <c r="U93" s="1"/>
      <c r="V93" s="1"/>
      <c r="AB93" s="18" t="s">
        <v>187</v>
      </c>
      <c r="AC93" s="161">
        <f>IFERROR(AC90+(AC82-AC83)*(AC91-AC90)/(AC84-AC83),AC90)</f>
        <v>2262.5</v>
      </c>
      <c r="AG93" s="1"/>
      <c r="AH93" s="1"/>
      <c r="AI93" s="1"/>
    </row>
    <row r="94" spans="2:35" ht="15" customHeight="1">
      <c r="B94" s="159" t="s">
        <v>188</v>
      </c>
      <c r="C94" s="160">
        <f>IFERROR(C92+(C85-C86)*(C93-C92)/(C87-C86),C92)</f>
        <v>2750</v>
      </c>
      <c r="G94" s="1"/>
      <c r="H94" s="1"/>
      <c r="I94" s="1"/>
      <c r="O94" s="159" t="s">
        <v>188</v>
      </c>
      <c r="P94" s="160" t="e">
        <f>IFERROR(P92+(P85-P86)*(P93-P92)/(P87-P86),P92)</f>
        <v>#N/A</v>
      </c>
      <c r="T94" s="1"/>
      <c r="U94" s="1"/>
      <c r="V94" s="1"/>
      <c r="AB94" s="159" t="s">
        <v>188</v>
      </c>
      <c r="AC94" s="160">
        <f>IFERROR(AC92+(AC85-AC86)*(AC93-AC92)/(AC87-AC86),AC92)</f>
        <v>2262.5</v>
      </c>
      <c r="AG94" s="1"/>
      <c r="AH94" s="1"/>
      <c r="AI94" s="1"/>
    </row>
    <row r="95" spans="2:35" ht="15" customHeight="1">
      <c r="B95" t="s">
        <v>147</v>
      </c>
      <c r="C95" s="211"/>
      <c r="O95" t="s">
        <v>147</v>
      </c>
      <c r="P95" s="211">
        <v>1.1499999999999999</v>
      </c>
      <c r="AC95" s="211"/>
    </row>
    <row r="96" spans="2:35" ht="15" customHeight="1">
      <c r="B96" t="s">
        <v>192</v>
      </c>
      <c r="C96" s="21"/>
      <c r="O96" t="s">
        <v>192</v>
      </c>
      <c r="P96" s="21" t="e">
        <f>(P94*P95)/3.28</f>
        <v>#N/A</v>
      </c>
      <c r="AC96" s="21"/>
    </row>
  </sheetData>
  <mergeCells count="29">
    <mergeCell ref="B77:I77"/>
    <mergeCell ref="O77:V77"/>
    <mergeCell ref="AB77:AI77"/>
    <mergeCell ref="D82:E82"/>
    <mergeCell ref="Q82:R82"/>
    <mergeCell ref="AD82:AE82"/>
    <mergeCell ref="B57:I57"/>
    <mergeCell ref="O57:V57"/>
    <mergeCell ref="AB57:AI57"/>
    <mergeCell ref="D63:E63"/>
    <mergeCell ref="Q63:R63"/>
    <mergeCell ref="AD63:AE63"/>
    <mergeCell ref="B31:G31"/>
    <mergeCell ref="O31:T31"/>
    <mergeCell ref="AB31:AG31"/>
    <mergeCell ref="D43:E43"/>
    <mergeCell ref="Q43:R43"/>
    <mergeCell ref="AD43:AE43"/>
    <mergeCell ref="D17:E17"/>
    <mergeCell ref="Q17:R17"/>
    <mergeCell ref="AD17:AE17"/>
    <mergeCell ref="AR17:AS17"/>
    <mergeCell ref="AZ17:BA17"/>
    <mergeCell ref="B3:L3"/>
    <mergeCell ref="O3:Y3"/>
    <mergeCell ref="AB3:AL3"/>
    <mergeCell ref="B4:F4"/>
    <mergeCell ref="O4:S4"/>
    <mergeCell ref="AB4:AF4"/>
  </mergeCells>
  <conditionalFormatting sqref="B6:F14">
    <cfRule type="colorScale" priority="17">
      <colorScale>
        <cfvo type="min"/>
        <cfvo type="max"/>
        <color rgb="FFFCFCFF"/>
        <color rgb="FFF8696B"/>
      </colorScale>
    </cfRule>
  </conditionalFormatting>
  <conditionalFormatting sqref="B33:F40">
    <cfRule type="colorScale" priority="9">
      <colorScale>
        <cfvo type="min"/>
        <cfvo type="max"/>
        <color rgb="FFFCFCFF"/>
        <color rgb="FFF8696B"/>
      </colorScale>
    </cfRule>
  </conditionalFormatting>
  <conditionalFormatting sqref="B59:G61">
    <cfRule type="colorScale" priority="13">
      <colorScale>
        <cfvo type="min"/>
        <cfvo type="max"/>
        <color rgb="FFFCFCFF"/>
        <color rgb="FFF8696B"/>
      </colorScale>
    </cfRule>
  </conditionalFormatting>
  <conditionalFormatting sqref="B79:J80">
    <cfRule type="colorScale" priority="14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8">
      <colorScale>
        <cfvo type="min"/>
        <cfvo type="max"/>
        <color rgb="FFFCFCFF"/>
        <color rgb="FFF8696B"/>
      </colorScale>
    </cfRule>
  </conditionalFormatting>
  <conditionalFormatting sqref="O6:R14">
    <cfRule type="colorScale" priority="5">
      <colorScale>
        <cfvo type="min"/>
        <cfvo type="max"/>
        <color rgb="FFFCFCFF"/>
        <color rgb="FFF8696B"/>
      </colorScale>
    </cfRule>
  </conditionalFormatting>
  <conditionalFormatting sqref="O33:R40">
    <cfRule type="colorScale" priority="10">
      <colorScale>
        <cfvo type="min"/>
        <cfvo type="max"/>
        <color rgb="FFFCFCFF"/>
        <color rgb="FFF8696B"/>
      </colorScale>
    </cfRule>
  </conditionalFormatting>
  <conditionalFormatting sqref="O59:U61">
    <cfRule type="colorScale" priority="12">
      <colorScale>
        <cfvo type="min"/>
        <cfvo type="max"/>
        <color rgb="FFFCFCFF"/>
        <color rgb="FFF8696B"/>
      </colorScale>
    </cfRule>
  </conditionalFormatting>
  <conditionalFormatting sqref="O79:U80">
    <cfRule type="colorScale" priority="11">
      <colorScale>
        <cfvo type="min"/>
        <cfvo type="max"/>
        <color rgb="FFFCFCFF"/>
        <color rgb="FFF8696B"/>
      </colorScale>
    </cfRule>
  </conditionalFormatting>
  <conditionalFormatting sqref="W6:Y15">
    <cfRule type="colorScale" priority="6">
      <colorScale>
        <cfvo type="min"/>
        <cfvo type="max"/>
        <color rgb="FFFCFCFF"/>
        <color rgb="FFF8696B"/>
      </colorScale>
    </cfRule>
  </conditionalFormatting>
  <conditionalFormatting sqref="AB33:AE40">
    <cfRule type="colorScale" priority="4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18">
      <colorScale>
        <cfvo type="min"/>
        <cfvo type="max"/>
        <color rgb="FFFCFCFF"/>
        <color rgb="FFF8696B"/>
      </colorScale>
    </cfRule>
  </conditionalFormatting>
  <conditionalFormatting sqref="AB59:AG61">
    <cfRule type="colorScale" priority="15">
      <colorScale>
        <cfvo type="min"/>
        <cfvo type="max"/>
        <color rgb="FFFCFCFF"/>
        <color rgb="FFF8696B"/>
      </colorScale>
    </cfRule>
  </conditionalFormatting>
  <conditionalFormatting sqref="AB79:AK80">
    <cfRule type="colorScale" priority="16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3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cfe074-6702-4f56-92d6-0bfcd31daee5" xsi:nil="true"/>
    <lcf76f155ced4ddcb4097134ff3c332f xmlns="ad7783eb-294a-4872-a790-54a40834584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ECFDACB9C317E44B65EE510FC845ADF" ma:contentTypeVersion="13" ma:contentTypeDescription="Skapa ett nytt dokument." ma:contentTypeScope="" ma:versionID="1c9e161efc84c4d21ee7504099ada50c">
  <xsd:schema xmlns:xsd="http://www.w3.org/2001/XMLSchema" xmlns:xs="http://www.w3.org/2001/XMLSchema" xmlns:p="http://schemas.microsoft.com/office/2006/metadata/properties" xmlns:ns2="ad7783eb-294a-4872-a790-54a408345846" xmlns:ns3="79cfe074-6702-4f56-92d6-0bfcd31daee5" targetNamespace="http://schemas.microsoft.com/office/2006/metadata/properties" ma:root="true" ma:fieldsID="3e090ab344d7c3dd95f938bb7d7ad82f" ns2:_="" ns3:_="">
    <xsd:import namespace="ad7783eb-294a-4872-a790-54a408345846"/>
    <xsd:import namespace="79cfe074-6702-4f56-92d6-0bfcd31dae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783eb-294a-4872-a790-54a408345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1c7cd0a3-83bd-4856-8d22-fbbffddc11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fe074-6702-4f56-92d6-0bfcd31daee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a3a947-3e01-40ba-a188-cdf810524933}" ma:internalName="TaxCatchAll" ma:showField="CatchAllData" ma:web="79cfe074-6702-4f56-92d6-0bfcd31dae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0126D6-4A57-45E8-A7B9-6496E810A2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3F323B-B742-41BA-8404-8F3FAA51DA98}">
  <ds:schemaRefs>
    <ds:schemaRef ds:uri="http://schemas.microsoft.com/office/2006/metadata/properties"/>
    <ds:schemaRef ds:uri="http://schemas.microsoft.com/office/infopath/2007/PartnerControls"/>
    <ds:schemaRef ds:uri="79cfe074-6702-4f56-92d6-0bfcd31daee5"/>
    <ds:schemaRef ds:uri="ad7783eb-294a-4872-a790-54a408345846"/>
  </ds:schemaRefs>
</ds:datastoreItem>
</file>

<file path=customXml/itemProps3.xml><?xml version="1.0" encoding="utf-8"?>
<ds:datastoreItem xmlns:ds="http://schemas.openxmlformats.org/officeDocument/2006/customXml" ds:itemID="{15C3B2C2-999B-4C77-9E17-F4DC2ABBE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7783eb-294a-4872-a790-54a408345846"/>
    <ds:schemaRef ds:uri="79cfe074-6702-4f56-92d6-0bfcd31dae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13</vt:i4>
      </vt:variant>
    </vt:vector>
  </HeadingPairs>
  <TitlesOfParts>
    <vt:vector size="13" baseType="lpstr">
      <vt:lpstr>Take-off</vt:lpstr>
      <vt:lpstr>Landing</vt:lpstr>
      <vt:lpstr>Airport data</vt:lpstr>
      <vt:lpstr>Dropdown lists</vt:lpstr>
      <vt:lpstr>LDG Performance</vt:lpstr>
      <vt:lpstr>TAKE OFF Performance FLAPS UP</vt:lpstr>
      <vt:lpstr>TAKE OFF Performance FLAPS APPR</vt:lpstr>
      <vt:lpstr>Landing distance data</vt:lpstr>
      <vt:lpstr>Accelerate and GO (2)</vt:lpstr>
      <vt:lpstr>Accelerate and stop2</vt:lpstr>
      <vt:lpstr>OEI CLIMB GRADIENT</vt:lpstr>
      <vt:lpstr>NET GRADIENT OF CLIMB</vt:lpstr>
      <vt:lpstr>Takeoff distance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Erik Jonasson</cp:lastModifiedBy>
  <cp:revision>4</cp:revision>
  <dcterms:created xsi:type="dcterms:W3CDTF">2025-10-09T12:49:25Z</dcterms:created>
  <dcterms:modified xsi:type="dcterms:W3CDTF">2026-10-13T12:58:43Z</dcterms:modified>
  <dc:language>sv-SE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0x0101002ECFDACB9C317E44B65EE510FC845ADF</vt:lpwstr>
  </property>
  <property fmtid="{D5CDD505-2E9C-101B-9397-08002B2CF9AE}" pid="4" name="MediaServiceImageTags">
    <vt:lpwstr/>
  </property>
  <property fmtid="{D5CDD505-2E9C-101B-9397-08002B2CF9AE}" pid="5" name="Status">
    <vt:lpwstr>Ej påbörjad</vt:lpwstr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false</vt:bool>
  </property>
</Properties>
</file>