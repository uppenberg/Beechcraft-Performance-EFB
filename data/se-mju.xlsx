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jonairse.sharepoint.com/sites/JonairOperation/Delade dokument/Funktionstest excel/"/>
    </mc:Choice>
  </mc:AlternateContent>
  <xr:revisionPtr revIDLastSave="10520" documentId="11_3DBDB0ADD7E26CDE592B44B666E864F20213160D" xr6:coauthVersionLast="47" xr6:coauthVersionMax="47" xr10:uidLastSave="{0F818207-5846-439C-A4A0-242847B993A6}"/>
  <bookViews>
    <workbookView xWindow="38340" yWindow="-3180" windowWidth="17280" windowHeight="8880" tabRatio="676" xr2:uid="{00000000-000D-0000-FFFF-FFFF00000000}"/>
  </bookViews>
  <sheets>
    <sheet name="Take-off" sheetId="1" r:id="rId1"/>
    <sheet name="Landing" sheetId="2" r:id="rId2"/>
    <sheet name="Airport data" sheetId="3" r:id="rId3"/>
    <sheet name="Dropdown lists" sheetId="4" r:id="rId4"/>
    <sheet name="LDG Performance" sheetId="6" state="hidden" r:id="rId5"/>
    <sheet name="TAKE OFF Performance FLAPS UP" sheetId="16" r:id="rId6"/>
    <sheet name="TAKE OFF Performance FLAPS APPR" sheetId="10" r:id="rId7"/>
    <sheet name="Landing distance data" sheetId="26" state="hidden" r:id="rId8"/>
    <sheet name="Accelerate and GO (2)" sheetId="24" state="hidden" r:id="rId9"/>
    <sheet name="Accelerate and stop2" sheetId="23" state="hidden" r:id="rId10"/>
    <sheet name="OEI CLIMB GRADIENT" sheetId="28" state="hidden" r:id="rId11"/>
    <sheet name="NET GRADIENT OF CLIMB" sheetId="27" state="hidden" r:id="rId12"/>
    <sheet name="Takeoff distance (2)" sheetId="22" state="hidden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9" i="1" l="1"/>
  <c r="C20" i="2"/>
  <c r="G22" i="2"/>
  <c r="F25" i="1"/>
  <c r="G24" i="1"/>
  <c r="C18" i="2"/>
  <c r="C17" i="2"/>
  <c r="C16" i="2"/>
  <c r="C15" i="2"/>
  <c r="C16" i="1"/>
  <c r="C22" i="1"/>
  <c r="C21" i="1"/>
  <c r="C20" i="1"/>
  <c r="C19" i="1"/>
  <c r="C18" i="1"/>
  <c r="C17" i="1"/>
  <c r="C70" i="1"/>
  <c r="AC45" i="22" l="1"/>
  <c r="AC47" i="22" s="1" a="1"/>
  <c r="AC47" i="22" s="1"/>
  <c r="D2" i="22"/>
  <c r="AC19" i="22" s="1"/>
  <c r="AC45" i="23"/>
  <c r="AC46" i="23" s="1"/>
  <c r="D2" i="23"/>
  <c r="P19" i="23" s="1"/>
  <c r="AC45" i="24"/>
  <c r="AC46" i="24" s="1"/>
  <c r="D2" i="24"/>
  <c r="P19" i="24" s="1"/>
  <c r="AE18" i="24"/>
  <c r="AE17" i="24"/>
  <c r="AE44" i="24"/>
  <c r="AE43" i="24"/>
  <c r="AF64" i="24"/>
  <c r="AF63" i="24"/>
  <c r="AC45" i="27"/>
  <c r="AC47" i="27" s="1" a="1"/>
  <c r="AC47" i="27" s="1"/>
  <c r="D2" i="27"/>
  <c r="P19" i="27" s="1"/>
  <c r="AE17" i="27"/>
  <c r="AE44" i="27"/>
  <c r="AE43" i="27"/>
  <c r="C45" i="22"/>
  <c r="C46" i="22" s="1"/>
  <c r="C45" i="23"/>
  <c r="C46" i="23" s="1"/>
  <c r="C45" i="24"/>
  <c r="C46" i="24" s="1"/>
  <c r="E18" i="24"/>
  <c r="E17" i="24"/>
  <c r="E44" i="24"/>
  <c r="E43" i="24"/>
  <c r="E64" i="24"/>
  <c r="E63" i="24"/>
  <c r="C45" i="27"/>
  <c r="I17" i="16"/>
  <c r="I17" i="10"/>
  <c r="I13" i="10"/>
  <c r="H8" i="10"/>
  <c r="E17" i="10"/>
  <c r="E13" i="10"/>
  <c r="E17" i="16"/>
  <c r="E88" i="26"/>
  <c r="C43" i="28"/>
  <c r="C44" i="28" s="1"/>
  <c r="C13" i="6"/>
  <c r="D2" i="28"/>
  <c r="C18" i="28"/>
  <c r="C19" i="28" s="1"/>
  <c r="E17" i="28"/>
  <c r="E16" i="28"/>
  <c r="E42" i="28"/>
  <c r="E41" i="28"/>
  <c r="R35" i="28"/>
  <c r="P37" i="28"/>
  <c r="R34" i="28"/>
  <c r="P38" i="28" a="1"/>
  <c r="P38" i="28"/>
  <c r="B32" i="6"/>
  <c r="P45" i="27"/>
  <c r="P46" i="27" s="1"/>
  <c r="R44" i="27"/>
  <c r="E44" i="27"/>
  <c r="R43" i="27"/>
  <c r="E43" i="27"/>
  <c r="AE18" i="27"/>
  <c r="R18" i="27"/>
  <c r="E18" i="27"/>
  <c r="R17" i="27"/>
  <c r="E17" i="27"/>
  <c r="R18" i="24"/>
  <c r="R17" i="24"/>
  <c r="AE64" i="23"/>
  <c r="AE63" i="23"/>
  <c r="R64" i="23"/>
  <c r="R63" i="23"/>
  <c r="E63" i="23"/>
  <c r="E64" i="23"/>
  <c r="AE44" i="23"/>
  <c r="AE43" i="23"/>
  <c r="R44" i="23"/>
  <c r="R43" i="23"/>
  <c r="P45" i="23"/>
  <c r="P47" i="23" s="1" a="1"/>
  <c r="P47" i="23" s="1"/>
  <c r="E44" i="23"/>
  <c r="E43" i="23"/>
  <c r="AE18" i="23"/>
  <c r="AE17" i="23"/>
  <c r="R18" i="23"/>
  <c r="R17" i="23"/>
  <c r="E18" i="23"/>
  <c r="E17" i="23"/>
  <c r="AE83" i="22"/>
  <c r="AE82" i="22"/>
  <c r="AC86" i="22" a="1"/>
  <c r="AC86" i="22"/>
  <c r="AC85" i="22"/>
  <c r="R83" i="22"/>
  <c r="R82" i="22"/>
  <c r="P86" i="22" a="1"/>
  <c r="P86" i="22"/>
  <c r="E83" i="22"/>
  <c r="E82" i="22"/>
  <c r="C86" i="22" a="1"/>
  <c r="C86" i="22"/>
  <c r="P85" i="22"/>
  <c r="C85" i="22"/>
  <c r="R64" i="22"/>
  <c r="R63" i="22"/>
  <c r="AE44" i="22"/>
  <c r="AE43" i="22"/>
  <c r="R44" i="22"/>
  <c r="R43" i="22"/>
  <c r="E44" i="22"/>
  <c r="E43" i="22"/>
  <c r="AE18" i="22"/>
  <c r="AE17" i="22"/>
  <c r="R18" i="22"/>
  <c r="R17" i="22"/>
  <c r="E18" i="22"/>
  <c r="E17" i="22"/>
  <c r="G12" i="1"/>
  <c r="K49" i="26"/>
  <c r="K50" i="26" s="1"/>
  <c r="C49" i="26"/>
  <c r="C50" i="26" s="1"/>
  <c r="G2" i="26"/>
  <c r="K24" i="26" s="1"/>
  <c r="M22" i="26"/>
  <c r="D2" i="26"/>
  <c r="C24" i="26"/>
  <c r="C25" i="26" s="1"/>
  <c r="M88" i="26"/>
  <c r="M69" i="26"/>
  <c r="E69" i="26"/>
  <c r="M68" i="26"/>
  <c r="E68" i="26"/>
  <c r="M48" i="26"/>
  <c r="E48" i="26"/>
  <c r="M47" i="26"/>
  <c r="E47" i="26"/>
  <c r="M23" i="26"/>
  <c r="E23" i="26"/>
  <c r="E22" i="26"/>
  <c r="B59" i="1"/>
  <c r="B58" i="1"/>
  <c r="E64" i="22"/>
  <c r="E63" i="22"/>
  <c r="AE64" i="22"/>
  <c r="AE63" i="22"/>
  <c r="R64" i="24"/>
  <c r="R63" i="24"/>
  <c r="P45" i="24"/>
  <c r="P46" i="24" s="1"/>
  <c r="R44" i="24"/>
  <c r="R43" i="24"/>
  <c r="P45" i="22"/>
  <c r="I16" i="16"/>
  <c r="E16" i="16"/>
  <c r="I14" i="16"/>
  <c r="E14" i="16"/>
  <c r="I16" i="10"/>
  <c r="E16" i="10"/>
  <c r="I14" i="10"/>
  <c r="E14" i="10"/>
  <c r="D81" i="6"/>
  <c r="B81" i="6"/>
  <c r="C79" i="6"/>
  <c r="C78" i="6"/>
  <c r="C55" i="6"/>
  <c r="M16" i="6"/>
  <c r="M20" i="6" s="1" a="1"/>
  <c r="M20" i="6" s="1"/>
  <c r="K16" i="6"/>
  <c r="K19" i="6" s="1" a="1"/>
  <c r="K19" i="6" s="1"/>
  <c r="I16" i="6"/>
  <c r="I18" i="6" s="1" a="1"/>
  <c r="I18" i="6" s="1"/>
  <c r="E16" i="6"/>
  <c r="E20" i="6" s="1" a="1"/>
  <c r="E20" i="6" s="1"/>
  <c r="M15" i="6"/>
  <c r="K15" i="6"/>
  <c r="I15" i="6"/>
  <c r="E15" i="6"/>
  <c r="C12" i="6"/>
  <c r="C29" i="2"/>
  <c r="D36" i="2"/>
  <c r="C101" i="26"/>
  <c r="C14" i="2"/>
  <c r="G19" i="1" a="1"/>
  <c r="G19" i="1" s="1"/>
  <c r="I13" i="16"/>
  <c r="E13" i="16"/>
  <c r="M87" i="26"/>
  <c r="K91" i="26" a="1"/>
  <c r="K91" i="26"/>
  <c r="E87" i="26"/>
  <c r="C91" i="26" a="1"/>
  <c r="C91" i="26"/>
  <c r="C90" i="26"/>
  <c r="K90" i="26"/>
  <c r="M19" i="6" a="1"/>
  <c r="M19" i="6" s="1"/>
  <c r="C45" i="28" a="1"/>
  <c r="C45" i="28" s="1"/>
  <c r="C26" i="26" a="1"/>
  <c r="C26" i="26" s="1"/>
  <c r="M18" i="6" l="1" a="1"/>
  <c r="M18" i="6" s="1"/>
  <c r="E17" i="6" a="1"/>
  <c r="E17" i="6" s="1"/>
  <c r="M17" i="6" a="1"/>
  <c r="M17" i="6" s="1"/>
  <c r="M21" i="6" s="1"/>
  <c r="C26" i="2" s="1"/>
  <c r="C51" i="26" a="1"/>
  <c r="C51" i="26" s="1"/>
  <c r="E18" i="6" a="1"/>
  <c r="E18" i="6" s="1"/>
  <c r="E19" i="6" a="1"/>
  <c r="E19" i="6" s="1"/>
  <c r="C20" i="28" a="1"/>
  <c r="C20" i="28" s="1"/>
  <c r="C37" i="6"/>
  <c r="C22" i="2" s="1"/>
  <c r="C32" i="6"/>
  <c r="D32" i="6" s="1"/>
  <c r="C21" i="2" s="1"/>
  <c r="D1" i="26"/>
  <c r="C21" i="26" s="1"/>
  <c r="D1" i="28"/>
  <c r="C15" i="28" s="1"/>
  <c r="C36" i="2"/>
  <c r="AC19" i="27"/>
  <c r="AC21" i="27" s="1" a="1"/>
  <c r="AC21" i="27" s="1"/>
  <c r="P21" i="27" a="1"/>
  <c r="P21" i="27" s="1"/>
  <c r="P20" i="27"/>
  <c r="C19" i="27"/>
  <c r="E20" i="16" a="1"/>
  <c r="E20" i="16" s="1"/>
  <c r="I21" i="16" a="1"/>
  <c r="I21" i="16" s="1"/>
  <c r="I21" i="10" a="1"/>
  <c r="I21" i="10" s="1"/>
  <c r="E21" i="10" a="1"/>
  <c r="E21" i="10" s="1"/>
  <c r="C47" i="24" a="1"/>
  <c r="C47" i="24" s="1"/>
  <c r="E18" i="10" a="1"/>
  <c r="E18" i="10" s="1"/>
  <c r="P47" i="27" a="1"/>
  <c r="P47" i="27" s="1"/>
  <c r="K51" i="26" a="1"/>
  <c r="K51" i="26" s="1"/>
  <c r="C47" i="22" a="1"/>
  <c r="C47" i="22" s="1"/>
  <c r="E19" i="16" a="1"/>
  <c r="E19" i="16" s="1"/>
  <c r="I18" i="10"/>
  <c r="AC47" i="24" a="1"/>
  <c r="AC47" i="24" s="1"/>
  <c r="E18" i="16" a="1"/>
  <c r="E18" i="16" s="1"/>
  <c r="E20" i="10" a="1"/>
  <c r="E20" i="10" s="1"/>
  <c r="I20" i="10" a="1"/>
  <c r="I20" i="10" s="1"/>
  <c r="I19" i="6" a="1"/>
  <c r="I19" i="6" s="1"/>
  <c r="I19" i="10"/>
  <c r="I19" i="16"/>
  <c r="E19" i="10" a="1"/>
  <c r="E19" i="10" s="1"/>
  <c r="I18" i="16"/>
  <c r="AC47" i="23" a="1"/>
  <c r="AC47" i="23" s="1"/>
  <c r="I20" i="6" a="1"/>
  <c r="I20" i="6" s="1"/>
  <c r="I20" i="16" a="1"/>
  <c r="I20" i="16" s="1"/>
  <c r="C56" i="1"/>
  <c r="D56" i="1"/>
  <c r="D1" i="22"/>
  <c r="G1" i="26"/>
  <c r="K21" i="26" s="1"/>
  <c r="D1" i="23"/>
  <c r="D1" i="27"/>
  <c r="D1" i="24"/>
  <c r="B34" i="10"/>
  <c r="B34" i="16"/>
  <c r="C57" i="1"/>
  <c r="D57" i="1"/>
  <c r="K101" i="26"/>
  <c r="AC21" i="22" a="1"/>
  <c r="AC21" i="22" s="1"/>
  <c r="AC20" i="22"/>
  <c r="K26" i="26" a="1"/>
  <c r="K26" i="26" s="1"/>
  <c r="K25" i="26"/>
  <c r="P21" i="24" a="1"/>
  <c r="P21" i="24" s="1"/>
  <c r="P20" i="24"/>
  <c r="P20" i="23"/>
  <c r="P21" i="23" a="1"/>
  <c r="P21" i="23" s="1"/>
  <c r="P19" i="22"/>
  <c r="C19" i="22"/>
  <c r="AC19" i="24"/>
  <c r="AC19" i="23"/>
  <c r="C19" i="24"/>
  <c r="C19" i="23"/>
  <c r="AC20" i="27"/>
  <c r="K18" i="6" a="1"/>
  <c r="K18" i="6" s="1"/>
  <c r="P47" i="22" a="1"/>
  <c r="P47" i="22" s="1"/>
  <c r="E21" i="16" a="1"/>
  <c r="E21" i="16" s="1"/>
  <c r="K20" i="6" a="1"/>
  <c r="K20" i="6" s="1"/>
  <c r="I17" i="6" a="1"/>
  <c r="I17" i="6" s="1"/>
  <c r="K17" i="6" a="1"/>
  <c r="K17" i="6" s="1"/>
  <c r="P46" i="22"/>
  <c r="P46" i="23"/>
  <c r="C46" i="27"/>
  <c r="C47" i="23" a="1"/>
  <c r="C47" i="23" s="1"/>
  <c r="AC46" i="27"/>
  <c r="P47" i="24" a="1"/>
  <c r="P47" i="24" s="1"/>
  <c r="C47" i="27" a="1"/>
  <c r="C47" i="27" s="1"/>
  <c r="AC46" i="22"/>
  <c r="E21" i="6" l="1"/>
  <c r="G26" i="2" s="1"/>
  <c r="C23" i="28" a="1"/>
  <c r="C23" i="28" s="1"/>
  <c r="C16" i="28"/>
  <c r="C22" i="28" a="1"/>
  <c r="C22" i="28" s="1"/>
  <c r="C17" i="28" a="1"/>
  <c r="C17" i="28" s="1"/>
  <c r="C21" i="28"/>
  <c r="C24" i="28" a="1"/>
  <c r="C24" i="28" s="1"/>
  <c r="C28" i="26" a="1"/>
  <c r="C28" i="26" s="1"/>
  <c r="C23" i="26" a="1"/>
  <c r="C23" i="26" s="1"/>
  <c r="C29" i="26" a="1"/>
  <c r="C29" i="26" s="1"/>
  <c r="C27" i="26"/>
  <c r="C22" i="26"/>
  <c r="C30" i="26" a="1"/>
  <c r="C30" i="26" s="1"/>
  <c r="C70" i="26"/>
  <c r="E6" i="2"/>
  <c r="C20" i="27"/>
  <c r="C21" i="27" a="1"/>
  <c r="C21" i="27" s="1"/>
  <c r="E22" i="16"/>
  <c r="C38" i="1" s="1"/>
  <c r="K21" i="6"/>
  <c r="C45" i="1" s="1"/>
  <c r="I21" i="6"/>
  <c r="G45" i="1" s="1"/>
  <c r="I22" i="16"/>
  <c r="C33" i="1" s="1"/>
  <c r="C59" i="27" s="1"/>
  <c r="C60" i="27" s="1"/>
  <c r="I22" i="10"/>
  <c r="E33" i="1" s="1"/>
  <c r="E22" i="10"/>
  <c r="E31" i="1" s="1"/>
  <c r="K22" i="26"/>
  <c r="K23" i="26" a="1"/>
  <c r="K23" i="26" s="1"/>
  <c r="K27" i="26"/>
  <c r="C16" i="23"/>
  <c r="C23" i="23" s="1" a="1"/>
  <c r="C23" i="23" s="1"/>
  <c r="AC16" i="23"/>
  <c r="AC22" i="23" s="1"/>
  <c r="P16" i="23"/>
  <c r="C16" i="22"/>
  <c r="C22" i="22" s="1"/>
  <c r="AC16" i="22"/>
  <c r="P16" i="22"/>
  <c r="P24" i="22" s="1" a="1"/>
  <c r="P24" i="22" s="1"/>
  <c r="C39" i="10"/>
  <c r="C34" i="10"/>
  <c r="D34" i="10" s="1"/>
  <c r="P16" i="27"/>
  <c r="C16" i="27"/>
  <c r="AC16" i="27"/>
  <c r="K28" i="26" a="1"/>
  <c r="K28" i="26" s="1"/>
  <c r="K30" i="26" a="1"/>
  <c r="K30" i="26" s="1"/>
  <c r="P16" i="24"/>
  <c r="C16" i="24"/>
  <c r="C24" i="24" s="1" a="1"/>
  <c r="C24" i="24" s="1"/>
  <c r="AC16" i="24"/>
  <c r="AC23" i="24" s="1" a="1"/>
  <c r="AC23" i="24" s="1"/>
  <c r="K29" i="26" a="1"/>
  <c r="K29" i="26" s="1"/>
  <c r="C34" i="16"/>
  <c r="D34" i="16" s="1"/>
  <c r="C24" i="1" s="1"/>
  <c r="C39" i="16"/>
  <c r="C25" i="1" s="1"/>
  <c r="AC21" i="24" a="1"/>
  <c r="AC21" i="24" s="1"/>
  <c r="AC20" i="24"/>
  <c r="C21" i="22" a="1"/>
  <c r="C21" i="22" s="1"/>
  <c r="C20" i="22"/>
  <c r="C21" i="23" a="1"/>
  <c r="C21" i="23" s="1"/>
  <c r="C20" i="23"/>
  <c r="P20" i="22"/>
  <c r="P21" i="22" a="1"/>
  <c r="P21" i="22" s="1"/>
  <c r="C21" i="24" a="1"/>
  <c r="C21" i="24" s="1"/>
  <c r="C20" i="24"/>
  <c r="AC20" i="23"/>
  <c r="AC21" i="23" a="1"/>
  <c r="AC21" i="23" s="1"/>
  <c r="C25" i="28" l="1"/>
  <c r="C72" i="26" a="1"/>
  <c r="C72" i="26" s="1"/>
  <c r="C71" i="26"/>
  <c r="C31" i="26"/>
  <c r="C32" i="26"/>
  <c r="C26" i="28"/>
  <c r="AC25" i="23" a="1"/>
  <c r="AC25" i="23" s="1"/>
  <c r="AC23" i="23" a="1"/>
  <c r="AC23" i="23" s="1"/>
  <c r="P23" i="22" a="1"/>
  <c r="P23" i="22" s="1"/>
  <c r="AC24" i="23" a="1"/>
  <c r="AC24" i="23" s="1"/>
  <c r="C24" i="23" a="1"/>
  <c r="C24" i="23" s="1"/>
  <c r="AC25" i="24" a="1"/>
  <c r="AC25" i="24" s="1"/>
  <c r="C25" i="23" a="1"/>
  <c r="C25" i="23" s="1"/>
  <c r="C22" i="23"/>
  <c r="C22" i="24"/>
  <c r="K31" i="26"/>
  <c r="AC22" i="24"/>
  <c r="C25" i="24" a="1"/>
  <c r="C25" i="24" s="1"/>
  <c r="P22" i="22"/>
  <c r="P25" i="22" a="1"/>
  <c r="P25" i="22" s="1"/>
  <c r="K32" i="26"/>
  <c r="C23" i="24" a="1"/>
  <c r="C23" i="24" s="1"/>
  <c r="C32" i="1"/>
  <c r="C40" i="1"/>
  <c r="C31" i="1"/>
  <c r="C39" i="1"/>
  <c r="E32" i="1"/>
  <c r="E40" i="1"/>
  <c r="E39" i="1"/>
  <c r="E38" i="1"/>
  <c r="C25" i="22" a="1"/>
  <c r="C25" i="22" s="1"/>
  <c r="C23" i="22" a="1"/>
  <c r="C23" i="22" s="1"/>
  <c r="C24" i="22" a="1"/>
  <c r="C24" i="22" s="1"/>
  <c r="AC17" i="22"/>
  <c r="AC18" i="22" a="1"/>
  <c r="AC18" i="22" s="1"/>
  <c r="AC22" i="22"/>
  <c r="AC24" i="22" a="1"/>
  <c r="AC24" i="22" s="1"/>
  <c r="AC25" i="22" a="1"/>
  <c r="AC25" i="22" s="1"/>
  <c r="AC23" i="22" a="1"/>
  <c r="AC23" i="22" s="1"/>
  <c r="C17" i="22"/>
  <c r="C18" i="22" a="1"/>
  <c r="C18" i="22" s="1"/>
  <c r="P18" i="23" a="1"/>
  <c r="P18" i="23" s="1"/>
  <c r="P17" i="23"/>
  <c r="P22" i="23"/>
  <c r="P23" i="23" a="1"/>
  <c r="P23" i="23" s="1"/>
  <c r="P24" i="23" a="1"/>
  <c r="P24" i="23" s="1"/>
  <c r="P25" i="23" a="1"/>
  <c r="P25" i="23" s="1"/>
  <c r="E6" i="1"/>
  <c r="AD65" i="24"/>
  <c r="P65" i="24"/>
  <c r="K70" i="26"/>
  <c r="C65" i="23"/>
  <c r="AC65" i="22"/>
  <c r="P65" i="22"/>
  <c r="P65" i="23"/>
  <c r="C65" i="24"/>
  <c r="AC65" i="23"/>
  <c r="C65" i="22"/>
  <c r="C18" i="27" a="1"/>
  <c r="C18" i="27" s="1"/>
  <c r="C24" i="27" a="1"/>
  <c r="C24" i="27" s="1"/>
  <c r="C22" i="27"/>
  <c r="C17" i="27"/>
  <c r="C25" i="27" a="1"/>
  <c r="C25" i="27" s="1"/>
  <c r="C23" i="27" a="1"/>
  <c r="C23" i="27" s="1"/>
  <c r="AC18" i="23" a="1"/>
  <c r="AC18" i="23" s="1"/>
  <c r="AC17" i="23"/>
  <c r="AC17" i="27"/>
  <c r="AC18" i="27" a="1"/>
  <c r="AC18" i="27" s="1"/>
  <c r="AC22" i="27"/>
  <c r="AC24" i="27" a="1"/>
  <c r="AC24" i="27" s="1"/>
  <c r="AC25" i="27" a="1"/>
  <c r="AC25" i="27" s="1"/>
  <c r="AC23" i="27" a="1"/>
  <c r="AC23" i="27" s="1"/>
  <c r="P17" i="27"/>
  <c r="P18" i="27" a="1"/>
  <c r="P18" i="27" s="1"/>
  <c r="P24" i="27" a="1"/>
  <c r="P24" i="27" s="1"/>
  <c r="P25" i="27" a="1"/>
  <c r="P25" i="27" s="1"/>
  <c r="P23" i="27" a="1"/>
  <c r="P23" i="27" s="1"/>
  <c r="P22" i="27"/>
  <c r="C17" i="23"/>
  <c r="C18" i="23" a="1"/>
  <c r="C18" i="23" s="1"/>
  <c r="C18" i="24" a="1"/>
  <c r="C18" i="24" s="1"/>
  <c r="C17" i="24"/>
  <c r="AC18" i="24" a="1"/>
  <c r="AC18" i="24" s="1"/>
  <c r="AC17" i="24"/>
  <c r="AC24" i="24" a="1"/>
  <c r="AC24" i="24" s="1"/>
  <c r="P17" i="24"/>
  <c r="P18" i="24" a="1"/>
  <c r="P18" i="24" s="1"/>
  <c r="P24" i="24" a="1"/>
  <c r="P24" i="24" s="1"/>
  <c r="P22" i="24"/>
  <c r="P25" i="24" a="1"/>
  <c r="P25" i="24" s="1"/>
  <c r="P23" i="24" a="1"/>
  <c r="P23" i="24" s="1"/>
  <c r="P18" i="22" a="1"/>
  <c r="P18" i="22" s="1"/>
  <c r="P17" i="22"/>
  <c r="C27" i="28" l="1"/>
  <c r="C40" i="28" s="1"/>
  <c r="C41" i="28" s="1"/>
  <c r="C33" i="26"/>
  <c r="C46" i="26" s="1"/>
  <c r="C54" i="26" s="1" a="1"/>
  <c r="C54" i="26" s="1"/>
  <c r="C49" i="28" a="1"/>
  <c r="C49" i="28" s="1"/>
  <c r="AC26" i="23"/>
  <c r="C27" i="24"/>
  <c r="K33" i="26"/>
  <c r="K46" i="26" s="1"/>
  <c r="K55" i="26" s="1" a="1"/>
  <c r="K55" i="26" s="1"/>
  <c r="C26" i="24"/>
  <c r="AC27" i="23"/>
  <c r="C27" i="23"/>
  <c r="P26" i="22"/>
  <c r="P27" i="23"/>
  <c r="C27" i="22"/>
  <c r="AC27" i="22"/>
  <c r="AC26" i="24"/>
  <c r="P27" i="24"/>
  <c r="C26" i="27"/>
  <c r="P26" i="27"/>
  <c r="P27" i="22"/>
  <c r="P67" i="23" a="1"/>
  <c r="P67" i="23" s="1"/>
  <c r="P66" i="23"/>
  <c r="C26" i="22"/>
  <c r="AC27" i="27"/>
  <c r="P67" i="22" a="1"/>
  <c r="P67" i="22" s="1"/>
  <c r="P66" i="22"/>
  <c r="AC26" i="27"/>
  <c r="AC66" i="22"/>
  <c r="AC67" i="22" a="1"/>
  <c r="AC67" i="22" s="1"/>
  <c r="C26" i="23"/>
  <c r="P27" i="27"/>
  <c r="K71" i="26"/>
  <c r="K72" i="26" a="1"/>
  <c r="K72" i="26" s="1"/>
  <c r="P26" i="23"/>
  <c r="AC26" i="22"/>
  <c r="C66" i="24"/>
  <c r="C67" i="24" a="1"/>
  <c r="C67" i="24" s="1"/>
  <c r="P26" i="24"/>
  <c r="C27" i="27"/>
  <c r="C67" i="23" a="1"/>
  <c r="C67" i="23" s="1"/>
  <c r="C66" i="23"/>
  <c r="C67" i="22" a="1"/>
  <c r="C67" i="22" s="1"/>
  <c r="C66" i="22"/>
  <c r="P67" i="24" a="1"/>
  <c r="P67" i="24" s="1"/>
  <c r="P66" i="24"/>
  <c r="AC27" i="24"/>
  <c r="AC66" i="23"/>
  <c r="AC67" i="23" a="1"/>
  <c r="AC67" i="23" s="1"/>
  <c r="AD66" i="24"/>
  <c r="AD67" i="24" a="1"/>
  <c r="AD67" i="24" s="1"/>
  <c r="C48" i="28" l="1" a="1"/>
  <c r="C48" i="28" s="1"/>
  <c r="C47" i="28" a="1"/>
  <c r="C47" i="28" s="1"/>
  <c r="C52" i="26"/>
  <c r="C46" i="28"/>
  <c r="C42" i="28" a="1"/>
  <c r="C42" i="28" s="1"/>
  <c r="C48" i="26" a="1"/>
  <c r="C48" i="26" s="1"/>
  <c r="C55" i="26" a="1"/>
  <c r="C55" i="26" s="1"/>
  <c r="C57" i="26" s="1"/>
  <c r="C47" i="26"/>
  <c r="C53" i="26" a="1"/>
  <c r="C53" i="26" s="1"/>
  <c r="AC28" i="23"/>
  <c r="AC42" i="23" s="1"/>
  <c r="AC43" i="23" s="1"/>
  <c r="AC28" i="22"/>
  <c r="AC42" i="22" s="1"/>
  <c r="AC44" i="22" s="1" a="1"/>
  <c r="AC44" i="22" s="1"/>
  <c r="K52" i="26"/>
  <c r="K47" i="26"/>
  <c r="AC28" i="24"/>
  <c r="AC42" i="24" s="1"/>
  <c r="AC51" i="24" s="1" a="1"/>
  <c r="AC51" i="24" s="1"/>
  <c r="K54" i="26" a="1"/>
  <c r="K54" i="26" s="1"/>
  <c r="K53" i="26" a="1"/>
  <c r="K53" i="26" s="1"/>
  <c r="C28" i="24"/>
  <c r="C42" i="24" s="1"/>
  <c r="C28" i="23"/>
  <c r="C42" i="23" s="1"/>
  <c r="C44" i="23" s="1" a="1"/>
  <c r="C44" i="23" s="1"/>
  <c r="K48" i="26" a="1"/>
  <c r="K48" i="26" s="1"/>
  <c r="P28" i="23"/>
  <c r="P42" i="23" s="1"/>
  <c r="P49" i="23" s="1" a="1"/>
  <c r="P49" i="23" s="1"/>
  <c r="P28" i="22"/>
  <c r="P42" i="22" s="1"/>
  <c r="P43" i="22" s="1"/>
  <c r="P28" i="27"/>
  <c r="P42" i="27" s="1"/>
  <c r="P44" i="27" s="1" a="1"/>
  <c r="P44" i="27" s="1"/>
  <c r="C28" i="22"/>
  <c r="C42" i="22" s="1"/>
  <c r="C51" i="22" s="1" a="1"/>
  <c r="C51" i="22" s="1"/>
  <c r="P28" i="24"/>
  <c r="P42" i="24" s="1"/>
  <c r="P51" i="24" s="1" a="1"/>
  <c r="P51" i="24" s="1"/>
  <c r="C28" i="27"/>
  <c r="C42" i="27" s="1"/>
  <c r="C51" i="27" s="1" a="1"/>
  <c r="C51" i="27" s="1"/>
  <c r="AC28" i="27"/>
  <c r="AC42" i="27" s="1"/>
  <c r="AC51" i="27" s="1" a="1"/>
  <c r="AC51" i="27" s="1"/>
  <c r="C50" i="28" l="1"/>
  <c r="C56" i="26"/>
  <c r="C58" i="26" s="1"/>
  <c r="C67" i="26" s="1"/>
  <c r="C51" i="28"/>
  <c r="AC48" i="23"/>
  <c r="AC43" i="22"/>
  <c r="AC44" i="23" a="1"/>
  <c r="AC44" i="23" s="1"/>
  <c r="AC50" i="22" a="1"/>
  <c r="AC50" i="22" s="1"/>
  <c r="AC51" i="23" a="1"/>
  <c r="AC51" i="23" s="1"/>
  <c r="AC50" i="23" a="1"/>
  <c r="AC50" i="23" s="1"/>
  <c r="AC43" i="24"/>
  <c r="C49" i="27" a="1"/>
  <c r="C49" i="27" s="1"/>
  <c r="P51" i="23" a="1"/>
  <c r="P51" i="23" s="1"/>
  <c r="AC49" i="23" a="1"/>
  <c r="AC49" i="23" s="1"/>
  <c r="AC49" i="22" a="1"/>
  <c r="AC49" i="22" s="1"/>
  <c r="AC51" i="22" a="1"/>
  <c r="AC51" i="22" s="1"/>
  <c r="AC48" i="22"/>
  <c r="P43" i="24"/>
  <c r="C44" i="27" a="1"/>
  <c r="C44" i="27" s="1"/>
  <c r="P48" i="22"/>
  <c r="P48" i="23"/>
  <c r="P44" i="22" a="1"/>
  <c r="P44" i="22" s="1"/>
  <c r="P49" i="27" a="1"/>
  <c r="P49" i="27" s="1"/>
  <c r="P43" i="23"/>
  <c r="P50" i="23" a="1"/>
  <c r="P50" i="23" s="1"/>
  <c r="P44" i="23" a="1"/>
  <c r="P44" i="23" s="1"/>
  <c r="P43" i="27"/>
  <c r="C48" i="27"/>
  <c r="C49" i="23" a="1"/>
  <c r="C49" i="23" s="1"/>
  <c r="C48" i="23"/>
  <c r="C51" i="23" a="1"/>
  <c r="C51" i="23" s="1"/>
  <c r="C50" i="23" a="1"/>
  <c r="C50" i="23" s="1"/>
  <c r="K56" i="26"/>
  <c r="C43" i="23"/>
  <c r="P49" i="22" a="1"/>
  <c r="P49" i="22" s="1"/>
  <c r="AC44" i="24" a="1"/>
  <c r="AC44" i="24" s="1"/>
  <c r="P50" i="24" a="1"/>
  <c r="P50" i="24" s="1"/>
  <c r="AC49" i="24" a="1"/>
  <c r="AC49" i="24" s="1"/>
  <c r="P50" i="22" a="1"/>
  <c r="P50" i="22" s="1"/>
  <c r="C51" i="24" a="1"/>
  <c r="C51" i="24" s="1"/>
  <c r="C49" i="24" a="1"/>
  <c r="C49" i="24" s="1"/>
  <c r="C44" i="24" a="1"/>
  <c r="C44" i="24" s="1"/>
  <c r="C48" i="24"/>
  <c r="C50" i="24" a="1"/>
  <c r="C50" i="24" s="1"/>
  <c r="C43" i="24"/>
  <c r="K57" i="26"/>
  <c r="P51" i="22" a="1"/>
  <c r="P51" i="22" s="1"/>
  <c r="AC48" i="24"/>
  <c r="P49" i="24" a="1"/>
  <c r="P49" i="24" s="1"/>
  <c r="AC50" i="24" a="1"/>
  <c r="AC50" i="24" s="1"/>
  <c r="C50" i="27" a="1"/>
  <c r="C50" i="27" s="1"/>
  <c r="C43" i="27"/>
  <c r="AC49" i="27" a="1"/>
  <c r="AC49" i="27" s="1"/>
  <c r="AC48" i="27"/>
  <c r="AC43" i="27"/>
  <c r="P50" i="27" a="1"/>
  <c r="P50" i="27" s="1"/>
  <c r="C48" i="22"/>
  <c r="C43" i="22"/>
  <c r="P48" i="27"/>
  <c r="P51" i="27" a="1"/>
  <c r="P51" i="27" s="1"/>
  <c r="C44" i="22" a="1"/>
  <c r="C44" i="22" s="1"/>
  <c r="C50" i="22" a="1"/>
  <c r="C50" i="22" s="1"/>
  <c r="C49" i="22" a="1"/>
  <c r="C49" i="22" s="1"/>
  <c r="AC44" i="27" a="1"/>
  <c r="AC44" i="27" s="1"/>
  <c r="P44" i="24" a="1"/>
  <c r="P44" i="24" s="1"/>
  <c r="AC50" i="27" a="1"/>
  <c r="AC50" i="27" s="1"/>
  <c r="P48" i="24"/>
  <c r="C52" i="28" l="1"/>
  <c r="C53" i="28" s="1"/>
  <c r="P33" i="28" s="1"/>
  <c r="P34" i="28"/>
  <c r="P41" i="28" a="1"/>
  <c r="P41" i="28" s="1"/>
  <c r="P39" i="28"/>
  <c r="P40" i="28" a="1"/>
  <c r="P40" i="28" s="1"/>
  <c r="P42" i="28" a="1"/>
  <c r="P42" i="28" s="1"/>
  <c r="P35" i="28" a="1"/>
  <c r="P35" i="28" s="1"/>
  <c r="AC52" i="23"/>
  <c r="AC53" i="23"/>
  <c r="AC52" i="22"/>
  <c r="C68" i="26"/>
  <c r="C69" i="26" a="1"/>
  <c r="C69" i="26" s="1"/>
  <c r="C75" i="26" a="1"/>
  <c r="C75" i="26" s="1"/>
  <c r="C73" i="26"/>
  <c r="C76" i="26" a="1"/>
  <c r="C76" i="26" s="1"/>
  <c r="C74" i="26" a="1"/>
  <c r="C74" i="26" s="1"/>
  <c r="AC53" i="22"/>
  <c r="P52" i="22"/>
  <c r="P53" i="23"/>
  <c r="P52" i="27"/>
  <c r="C52" i="27"/>
  <c r="P53" i="27"/>
  <c r="K58" i="26"/>
  <c r="K67" i="26" s="1"/>
  <c r="K68" i="26" s="1"/>
  <c r="P52" i="23"/>
  <c r="C52" i="24"/>
  <c r="C53" i="23"/>
  <c r="P53" i="22"/>
  <c r="C52" i="23"/>
  <c r="AC52" i="24"/>
  <c r="AC53" i="24"/>
  <c r="C53" i="27"/>
  <c r="AC52" i="27"/>
  <c r="C53" i="22"/>
  <c r="C53" i="24"/>
  <c r="AC53" i="27"/>
  <c r="C52" i="22"/>
  <c r="P52" i="24"/>
  <c r="P53" i="24"/>
  <c r="AC54" i="22"/>
  <c r="AC62" i="22" s="1"/>
  <c r="AC69" i="22" s="1" a="1"/>
  <c r="AC69" i="22" s="1"/>
  <c r="K73" i="26" l="1"/>
  <c r="P43" i="28"/>
  <c r="P44" i="28"/>
  <c r="P45" i="28" s="1"/>
  <c r="C31" i="2" s="1"/>
  <c r="AC54" i="23"/>
  <c r="AC62" i="23" s="1"/>
  <c r="AC68" i="23" s="1"/>
  <c r="C77" i="26"/>
  <c r="C78" i="26"/>
  <c r="P54" i="23"/>
  <c r="P62" i="23" s="1"/>
  <c r="P68" i="23" s="1"/>
  <c r="C54" i="27"/>
  <c r="C55" i="27" s="1"/>
  <c r="C42" i="1" s="1"/>
  <c r="AC54" i="27"/>
  <c r="E42" i="1" s="1"/>
  <c r="P54" i="22"/>
  <c r="P62" i="22" s="1"/>
  <c r="P70" i="22" s="1" a="1"/>
  <c r="P70" i="22" s="1"/>
  <c r="C54" i="24"/>
  <c r="C62" i="24" s="1"/>
  <c r="C69" i="24" s="1" a="1"/>
  <c r="C69" i="24" s="1"/>
  <c r="C54" i="23"/>
  <c r="C62" i="23" s="1"/>
  <c r="C69" i="23" s="1" a="1"/>
  <c r="C69" i="23" s="1"/>
  <c r="P54" i="27"/>
  <c r="P55" i="27" s="1"/>
  <c r="K69" i="26" a="1"/>
  <c r="K69" i="26" s="1"/>
  <c r="AC54" i="24"/>
  <c r="AD62" i="24" s="1"/>
  <c r="AD70" i="24" s="1" a="1"/>
  <c r="AD70" i="24" s="1"/>
  <c r="K75" i="26" a="1"/>
  <c r="K75" i="26" s="1"/>
  <c r="K74" i="26" a="1"/>
  <c r="K74" i="26" s="1"/>
  <c r="K76" i="26" a="1"/>
  <c r="K76" i="26" s="1"/>
  <c r="P54" i="24"/>
  <c r="P62" i="24" s="1"/>
  <c r="P68" i="24" s="1"/>
  <c r="C54" i="22"/>
  <c r="C62" i="22" s="1"/>
  <c r="C70" i="22" s="1" a="1"/>
  <c r="C70" i="22" s="1"/>
  <c r="AC63" i="22"/>
  <c r="AC64" i="22" a="1"/>
  <c r="AC64" i="22" s="1"/>
  <c r="AC68" i="22"/>
  <c r="AC70" i="22" a="1"/>
  <c r="AC70" i="22" s="1"/>
  <c r="AC71" i="22" a="1"/>
  <c r="AC71" i="22" s="1"/>
  <c r="AC64" i="23" l="1" a="1"/>
  <c r="AC64" i="23" s="1"/>
  <c r="AC71" i="23" a="1"/>
  <c r="AC71" i="23" s="1"/>
  <c r="P71" i="23" a="1"/>
  <c r="P71" i="23" s="1"/>
  <c r="P70" i="23" a="1"/>
  <c r="P70" i="23" s="1"/>
  <c r="P63" i="23"/>
  <c r="AC63" i="23"/>
  <c r="AC70" i="23" a="1"/>
  <c r="AC70" i="23" s="1"/>
  <c r="AC69" i="23" a="1"/>
  <c r="AC69" i="23" s="1"/>
  <c r="P69" i="23" a="1"/>
  <c r="P69" i="23" s="1"/>
  <c r="P64" i="23" a="1"/>
  <c r="P64" i="23" s="1"/>
  <c r="C79" i="26"/>
  <c r="C86" i="26" s="1"/>
  <c r="C88" i="26" s="1" a="1"/>
  <c r="C88" i="26" s="1"/>
  <c r="C68" i="23"/>
  <c r="P64" i="22" a="1"/>
  <c r="P64" i="22" s="1"/>
  <c r="P69" i="22" a="1"/>
  <c r="P69" i="22" s="1"/>
  <c r="P71" i="22" a="1"/>
  <c r="P71" i="22" s="1"/>
  <c r="P63" i="22"/>
  <c r="P68" i="22"/>
  <c r="P70" i="24" a="1"/>
  <c r="P70" i="24" s="1"/>
  <c r="C63" i="24"/>
  <c r="C64" i="23" a="1"/>
  <c r="C64" i="23" s="1"/>
  <c r="C68" i="24"/>
  <c r="C70" i="23" a="1"/>
  <c r="C70" i="23" s="1"/>
  <c r="C71" i="24" a="1"/>
  <c r="C71" i="24" s="1"/>
  <c r="C71" i="23" a="1"/>
  <c r="C71" i="23" s="1"/>
  <c r="C70" i="24" a="1"/>
  <c r="C70" i="24" s="1"/>
  <c r="C64" i="24" a="1"/>
  <c r="C64" i="24" s="1"/>
  <c r="C63" i="23"/>
  <c r="AD71" i="24" a="1"/>
  <c r="AD71" i="24" s="1"/>
  <c r="AD68" i="24"/>
  <c r="AD63" i="24"/>
  <c r="AD64" i="24" a="1"/>
  <c r="AD64" i="24" s="1"/>
  <c r="AD69" i="24" a="1"/>
  <c r="AD69" i="24" s="1"/>
  <c r="K78" i="26"/>
  <c r="P64" i="24" a="1"/>
  <c r="P64" i="24" s="1"/>
  <c r="C63" i="22"/>
  <c r="C68" i="22"/>
  <c r="K77" i="26"/>
  <c r="P71" i="24" a="1"/>
  <c r="P71" i="24" s="1"/>
  <c r="P69" i="24" a="1"/>
  <c r="P69" i="24" s="1"/>
  <c r="P63" i="24"/>
  <c r="C69" i="22" a="1"/>
  <c r="C69" i="22" s="1"/>
  <c r="C64" i="22" a="1"/>
  <c r="C64" i="22" s="1"/>
  <c r="C71" i="22" a="1"/>
  <c r="C71" i="22" s="1"/>
  <c r="AC73" i="22"/>
  <c r="AC72" i="22"/>
  <c r="P72" i="23" l="1"/>
  <c r="AC73" i="23"/>
  <c r="P73" i="23"/>
  <c r="AC72" i="23"/>
  <c r="C94" i="26" a="1"/>
  <c r="C94" i="26" s="1"/>
  <c r="C95" i="26" a="1"/>
  <c r="C95" i="26" s="1"/>
  <c r="C93" i="26" a="1"/>
  <c r="C93" i="26" s="1"/>
  <c r="C92" i="26"/>
  <c r="C87" i="26"/>
  <c r="P73" i="22"/>
  <c r="C73" i="23"/>
  <c r="C73" i="24"/>
  <c r="P72" i="22"/>
  <c r="C72" i="23"/>
  <c r="C72" i="24"/>
  <c r="K79" i="26"/>
  <c r="K86" i="26" s="1"/>
  <c r="K88" i="26" s="1" a="1"/>
  <c r="K88" i="26" s="1"/>
  <c r="AD72" i="24"/>
  <c r="AD73" i="24"/>
  <c r="P72" i="24"/>
  <c r="P73" i="24"/>
  <c r="C72" i="22"/>
  <c r="C73" i="22"/>
  <c r="AC74" i="22"/>
  <c r="P74" i="23"/>
  <c r="AC74" i="23" l="1"/>
  <c r="B32" i="10" s="1"/>
  <c r="C97" i="26"/>
  <c r="C96" i="26"/>
  <c r="C98" i="26" s="1"/>
  <c r="C100" i="26" s="1"/>
  <c r="C102" i="26" s="1"/>
  <c r="B82" i="6" s="1"/>
  <c r="D32" i="10"/>
  <c r="E32" i="10" s="1"/>
  <c r="E37" i="1" s="1"/>
  <c r="P74" i="22"/>
  <c r="P81" i="22" s="1"/>
  <c r="P90" i="22" s="1" a="1"/>
  <c r="P90" i="22" s="1"/>
  <c r="AD74" i="24"/>
  <c r="B30" i="10" s="1"/>
  <c r="K93" i="26" a="1"/>
  <c r="K93" i="26" s="1"/>
  <c r="K92" i="26"/>
  <c r="K95" i="26" a="1"/>
  <c r="K95" i="26" s="1"/>
  <c r="K94" i="26" a="1"/>
  <c r="K94" i="26" s="1"/>
  <c r="C74" i="23"/>
  <c r="B32" i="16" s="1"/>
  <c r="K87" i="26"/>
  <c r="C74" i="24"/>
  <c r="B30" i="16" s="1"/>
  <c r="P74" i="24"/>
  <c r="C74" i="22"/>
  <c r="AC81" i="22"/>
  <c r="AC83" i="22" s="1" a="1"/>
  <c r="AC83" i="22" s="1"/>
  <c r="B28" i="10"/>
  <c r="G27" i="2" l="1"/>
  <c r="D37" i="2" s="1"/>
  <c r="D30" i="10"/>
  <c r="E30" i="10" s="1"/>
  <c r="D30" i="16"/>
  <c r="D32" i="16"/>
  <c r="D28" i="10"/>
  <c r="E28" i="10" s="1"/>
  <c r="E35" i="1" s="1"/>
  <c r="B86" i="6" a="1"/>
  <c r="B86" i="6" s="1"/>
  <c r="B85" i="6" a="1"/>
  <c r="B85" i="6" s="1"/>
  <c r="B84" i="6" a="1"/>
  <c r="B84" i="6" s="1"/>
  <c r="B83" i="6" a="1"/>
  <c r="B83" i="6" s="1"/>
  <c r="P89" i="22" a="1"/>
  <c r="P89" i="22" s="1"/>
  <c r="P82" i="22"/>
  <c r="P88" i="22" a="1"/>
  <c r="P88" i="22" s="1"/>
  <c r="P83" i="22" a="1"/>
  <c r="P83" i="22" s="1"/>
  <c r="P87" i="22"/>
  <c r="C37" i="1"/>
  <c r="B31" i="10"/>
  <c r="K96" i="26"/>
  <c r="K97" i="26"/>
  <c r="B31" i="16"/>
  <c r="D31" i="16" s="1"/>
  <c r="AC87" i="22"/>
  <c r="C81" i="22"/>
  <c r="B28" i="16"/>
  <c r="AC88" i="22" a="1"/>
  <c r="AC88" i="22" s="1"/>
  <c r="AC90" i="22" a="1"/>
  <c r="AC90" i="22" s="1"/>
  <c r="AC82" i="22"/>
  <c r="AC89" i="22" a="1"/>
  <c r="AC89" i="22" s="1"/>
  <c r="E30" i="16" l="1"/>
  <c r="P92" i="22"/>
  <c r="E32" i="16"/>
  <c r="D28" i="16"/>
  <c r="E28" i="16" s="1"/>
  <c r="C35" i="1" s="1"/>
  <c r="F21" i="1" s="1"/>
  <c r="D31" i="10"/>
  <c r="P91" i="22"/>
  <c r="B87" i="6"/>
  <c r="C27" i="2" s="1"/>
  <c r="C37" i="2" s="1"/>
  <c r="K98" i="26"/>
  <c r="K100" i="26" s="1"/>
  <c r="K102" i="26" s="1"/>
  <c r="D82" i="6" s="1"/>
  <c r="D86" i="6" s="1" a="1"/>
  <c r="D86" i="6" s="1"/>
  <c r="E31" i="16"/>
  <c r="AC91" i="22"/>
  <c r="C82" i="22"/>
  <c r="C89" i="22" a="1"/>
  <c r="C89" i="22" s="1"/>
  <c r="C87" i="22"/>
  <c r="C83" i="22" a="1"/>
  <c r="C83" i="22" s="1"/>
  <c r="C88" i="22" a="1"/>
  <c r="C88" i="22" s="1"/>
  <c r="C90" i="22" a="1"/>
  <c r="C90" i="22" s="1"/>
  <c r="AC92" i="22"/>
  <c r="P93" i="22" l="1"/>
  <c r="E31" i="10"/>
  <c r="B54" i="6"/>
  <c r="C54" i="6" s="1"/>
  <c r="G46" i="1" s="1"/>
  <c r="D84" i="6" a="1"/>
  <c r="D84" i="6" s="1"/>
  <c r="D83" i="6" a="1"/>
  <c r="D83" i="6" s="1"/>
  <c r="D85" i="6" a="1"/>
  <c r="D85" i="6" s="1"/>
  <c r="AC93" i="22"/>
  <c r="B29" i="10" s="1"/>
  <c r="C92" i="22"/>
  <c r="C91" i="22"/>
  <c r="D29" i="10" l="1"/>
  <c r="D87" i="6"/>
  <c r="C46" i="1" s="1"/>
  <c r="C93" i="22"/>
  <c r="B29" i="16" s="1"/>
  <c r="E29" i="10" l="1"/>
  <c r="D29" i="16"/>
  <c r="E29" i="16" s="1"/>
  <c r="C36" i="1" l="1"/>
  <c r="C30" i="1"/>
  <c r="C58" i="1" s="1"/>
  <c r="E30" i="1"/>
  <c r="D58" i="1" s="1"/>
  <c r="E36" i="1"/>
  <c r="D59" i="1" s="1"/>
  <c r="C59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9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Includes 10m for aircraft alignment</t>
        </r>
      </text>
    </comment>
    <comment ref="B2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Includes 10m for aircraft alignment</t>
        </r>
      </text>
    </comment>
    <comment ref="B42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Climb Gradient (%) wind corrected = Climb Gradient (%) x (Airspeed/ GS)
50% headwind
150% tailwind</t>
        </r>
      </text>
    </comment>
    <comment ref="I42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Pans-ops:
Hinderfritt 2,5%
Plus 0,8% marginal
Annars står det på SID eller på annan plats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20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RWCC eller "70%" (OM-A 8.1.5.6 Commencement and continuation of an approach)</t>
        </r>
      </text>
    </comment>
    <comment ref="B3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Climb Gradient (%) wind corrected = Climb Gradient (%) x (Airspeed/ GS)
50% headwind
150% tailwind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0" authorId="0" shapeId="0" xr:uid="{00000000-0006-0000-0F00-000001000000}">
      <text>
        <r>
          <rPr>
            <sz val="11"/>
            <color theme="1"/>
            <rFont val="Calibri"/>
            <family val="2"/>
            <scheme val="minor"/>
          </rPr>
          <t xml:space="preserve">Till 35 fot
</t>
        </r>
      </text>
    </comment>
    <comment ref="A31" authorId="0" shapeId="0" xr:uid="{00000000-0006-0000-0F00-000002000000}">
      <text>
        <r>
          <rPr>
            <sz val="11"/>
            <color theme="1"/>
            <rFont val="Calibri"/>
            <family val="2"/>
            <scheme val="minor"/>
          </rPr>
          <t>Till 15 fot enligt reglerna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0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 xml:space="preserve">Till 35 fot
</t>
        </r>
      </text>
    </comment>
    <comment ref="A31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Till 15 fot enligt reglerna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<sst xmlns="http://schemas.openxmlformats.org/spreadsheetml/2006/main" count="1288" uniqueCount="255">
  <si>
    <t>Version</t>
  </si>
  <si>
    <t>Flygplats och bana:</t>
  </si>
  <si>
    <t>ESND RWY 27</t>
  </si>
  <si>
    <t>Om Rullgardiner krånglar, kopiera från flikarna "Airport data" eller "Rullgardinsmenyer"</t>
  </si>
  <si>
    <t>Wind:</t>
  </si>
  <si>
    <t>°</t>
  </si>
  <si>
    <t>eller skriv EXAKT lika</t>
  </si>
  <si>
    <t>kt</t>
  </si>
  <si>
    <t>Outside air temperature:</t>
  </si>
  <si>
    <t>°C</t>
  </si>
  <si>
    <t>QNH</t>
  </si>
  <si>
    <t>Hpa</t>
  </si>
  <si>
    <t>Runway Condition Code</t>
  </si>
  <si>
    <t>Runway contaminant</t>
  </si>
  <si>
    <t>No contaminant</t>
  </si>
  <si>
    <t>Contaminant depth</t>
  </si>
  <si>
    <t>mm</t>
  </si>
  <si>
    <t>Max:</t>
  </si>
  <si>
    <t>Engine Anti-ice</t>
  </si>
  <si>
    <t>OFF</t>
  </si>
  <si>
    <t>Engine anti-ice can be disregarded (OFF in calculation) whenever 3300 lbs/ft take-off power can be obtained</t>
  </si>
  <si>
    <t>Take off mass:</t>
  </si>
  <si>
    <t>Lbs</t>
  </si>
  <si>
    <t>Technique</t>
  </si>
  <si>
    <t>Static T/O power</t>
  </si>
  <si>
    <t>Airport data</t>
  </si>
  <si>
    <t>Treshold elevation:</t>
  </si>
  <si>
    <t>ft</t>
  </si>
  <si>
    <t>Runway Slope:</t>
  </si>
  <si>
    <t>%</t>
  </si>
  <si>
    <t>+ = upphill</t>
  </si>
  <si>
    <t>RWY Heading:</t>
  </si>
  <si>
    <t>ASDA:</t>
  </si>
  <si>
    <t>m</t>
  </si>
  <si>
    <t>Req gradient:</t>
  </si>
  <si>
    <t>TODA:</t>
  </si>
  <si>
    <t>Calculated data</t>
  </si>
  <si>
    <t>Head/Tail wind</t>
  </si>
  <si>
    <t>Kt</t>
  </si>
  <si>
    <t>Crosswind</t>
  </si>
  <si>
    <t>Limit</t>
  </si>
  <si>
    <t>FLAPS:</t>
  </si>
  <si>
    <t>UP</t>
  </si>
  <si>
    <t>TAKE-OFF</t>
  </si>
  <si>
    <t>APP</t>
  </si>
  <si>
    <t>FULL</t>
  </si>
  <si>
    <t>Dry Runway</t>
  </si>
  <si>
    <t>Take off field length [m]</t>
  </si>
  <si>
    <t>V1 [kts]</t>
  </si>
  <si>
    <t>VR [kts]</t>
  </si>
  <si>
    <t>V2 [kts]</t>
  </si>
  <si>
    <t>Selected contaminant</t>
  </si>
  <si>
    <t>Climb</t>
  </si>
  <si>
    <t>Net Gradient OEI wings level [%]</t>
  </si>
  <si>
    <t>Standard Procedure Design Gradient (PDG): 3,3%</t>
  </si>
  <si>
    <t>Gradient includes wind, 150% &amp; 50%</t>
  </si>
  <si>
    <t>Emergency Return</t>
  </si>
  <si>
    <t>VREF [kts]</t>
  </si>
  <si>
    <t>Landing Distance [m]</t>
  </si>
  <si>
    <t>Flaps UP</t>
  </si>
  <si>
    <t>Flaps APPROACH</t>
  </si>
  <si>
    <t>ASDA</t>
  </si>
  <si>
    <t>TODA</t>
  </si>
  <si>
    <t>N/A</t>
  </si>
  <si>
    <t>Interpoleringsverktyg för landningsträcka</t>
  </si>
  <si>
    <t>ESKM RWY 16</t>
  </si>
  <si>
    <t>eller skriv exakt lika</t>
  </si>
  <si>
    <t>Max landing weight</t>
  </si>
  <si>
    <t>Landing mass:</t>
  </si>
  <si>
    <t>Elevation:</t>
  </si>
  <si>
    <t>LDA:</t>
  </si>
  <si>
    <t>Landing Distance Factor</t>
  </si>
  <si>
    <t>Landing Distance</t>
  </si>
  <si>
    <t>Landing Distance factored [m]</t>
  </si>
  <si>
    <t>Flap Up based on AFM graph</t>
  </si>
  <si>
    <t>Missed approach</t>
  </si>
  <si>
    <t>OEI Climb Gradient [%]</t>
  </si>
  <si>
    <t>Flaps FULL</t>
  </si>
  <si>
    <t>LDA</t>
  </si>
  <si>
    <t>Landing distance</t>
  </si>
  <si>
    <t>Airport</t>
  </si>
  <si>
    <t>Runway Threshold Elevation:</t>
  </si>
  <si>
    <t>RWY Slope:</t>
  </si>
  <si>
    <t>RWY
HDG</t>
  </si>
  <si>
    <t>Minimum departure climb gradient, obstacles</t>
  </si>
  <si>
    <t>Uppdaterad</t>
  </si>
  <si>
    <t>[ft]</t>
  </si>
  <si>
    <t>[m]</t>
  </si>
  <si>
    <t>[%]</t>
  </si>
  <si>
    <t>[°]</t>
  </si>
  <si>
    <t>[Date]</t>
  </si>
  <si>
    <t>No airport selected</t>
  </si>
  <si>
    <t>-</t>
  </si>
  <si>
    <t>Test 36</t>
  </si>
  <si>
    <t>ÄNDRA ljusgröna RADER VID BEHOV</t>
  </si>
  <si>
    <t>Test 27</t>
  </si>
  <si>
    <t>Data Saknas</t>
  </si>
  <si>
    <t>ESKM RWY 34</t>
  </si>
  <si>
    <t>ESND RWY 09</t>
  </si>
  <si>
    <t>ESNU 14 B</t>
  </si>
  <si>
    <t>ESNU 14 FULL</t>
  </si>
  <si>
    <t>ESNU 32</t>
  </si>
  <si>
    <t>ESNU 32 D</t>
  </si>
  <si>
    <t>ESOH RWY 18</t>
  </si>
  <si>
    <t>ESOH RWY 36</t>
  </si>
  <si>
    <t>ESSA 01L FULL</t>
  </si>
  <si>
    <t>ESSA 01L Y3</t>
  </si>
  <si>
    <t>ESSA 01R FULL</t>
  </si>
  <si>
    <t>ESSA 01R W3</t>
  </si>
  <si>
    <t>ESSA 08 FULL</t>
  </si>
  <si>
    <t>ESSA 08 X3</t>
  </si>
  <si>
    <t>ESSA 19L FULL</t>
  </si>
  <si>
    <t>ESSA 19L W6</t>
  </si>
  <si>
    <t>ESSA 19R FULL</t>
  </si>
  <si>
    <t>ESSA 19R Y8</t>
  </si>
  <si>
    <t>ESSA RWY 08 X3</t>
  </si>
  <si>
    <t>ESSA RWY 26</t>
  </si>
  <si>
    <t>ESSB  30</t>
  </si>
  <si>
    <t>ESSB 12  Y1</t>
  </si>
  <si>
    <t>ESSB 30  Y5</t>
  </si>
  <si>
    <t>ESSB RWY 12</t>
  </si>
  <si>
    <t>ESSP 09</t>
  </si>
  <si>
    <t>ESSP 27</t>
  </si>
  <si>
    <t>ESST RWY 16</t>
  </si>
  <si>
    <t>ESST RWY 34</t>
  </si>
  <si>
    <t>Source:</t>
  </si>
  <si>
    <t>AIP</t>
  </si>
  <si>
    <t>AIP AD</t>
  </si>
  <si>
    <t>AIP AD 2.12</t>
  </si>
  <si>
    <t>Uträknat från AIP "AOC"</t>
  </si>
  <si>
    <t>Factors</t>
  </si>
  <si>
    <t>X-wind</t>
  </si>
  <si>
    <t>RWCC</t>
  </si>
  <si>
    <t>Faktor</t>
  </si>
  <si>
    <t>FLAPS</t>
  </si>
  <si>
    <t>Runway take off</t>
  </si>
  <si>
    <t>Engine anti-ice</t>
  </si>
  <si>
    <t>ON</t>
  </si>
  <si>
    <t>Måttenhet</t>
  </si>
  <si>
    <t>Max</t>
  </si>
  <si>
    <t>Wet Runway</t>
  </si>
  <si>
    <t>Compacted snow</t>
  </si>
  <si>
    <t>Dry snow</t>
  </si>
  <si>
    <t>Wet snow</t>
  </si>
  <si>
    <t>Slush</t>
  </si>
  <si>
    <t>Standing water</t>
  </si>
  <si>
    <t>Rolling take off</t>
  </si>
  <si>
    <t>LANDING PERFORMANCE (Normal)</t>
  </si>
  <si>
    <t>EMG RETURN</t>
  </si>
  <si>
    <t>FLAPS UP</t>
  </si>
  <si>
    <t>Normal</t>
  </si>
  <si>
    <t>Landing Mass</t>
  </si>
  <si>
    <t>Speeds</t>
  </si>
  <si>
    <t>Vref</t>
  </si>
  <si>
    <t>Table size Landing distance</t>
  </si>
  <si>
    <t>Rows:</t>
  </si>
  <si>
    <t>Columns:</t>
  </si>
  <si>
    <t>x_n:</t>
  </si>
  <si>
    <t>y_n:</t>
  </si>
  <si>
    <t>n1:</t>
  </si>
  <si>
    <t>n2:</t>
  </si>
  <si>
    <t>y1_n1:</t>
  </si>
  <si>
    <t>y1_n2:</t>
  </si>
  <si>
    <t>Vref:</t>
  </si>
  <si>
    <t>Windcalc</t>
  </si>
  <si>
    <t>WCA</t>
  </si>
  <si>
    <t>Factor</t>
  </si>
  <si>
    <t>H/T wind</t>
  </si>
  <si>
    <t>Crosswind factor</t>
  </si>
  <si>
    <t>Unfactorised</t>
  </si>
  <si>
    <t>Factorised</t>
  </si>
  <si>
    <t>Landing Distance Factor:</t>
  </si>
  <si>
    <t>LANDING PERFORMANCE (UP)</t>
  </si>
  <si>
    <t>Landing Distance Flaps LAND [feet]</t>
  </si>
  <si>
    <t>T/O Distance:</t>
  </si>
  <si>
    <t>Take off PERFORMANCE (FLAPS UP)</t>
  </si>
  <si>
    <t>V1/R</t>
  </si>
  <si>
    <t>V2</t>
  </si>
  <si>
    <t>Table size Vref</t>
  </si>
  <si>
    <t>Landing distance required calculations</t>
  </si>
  <si>
    <t>Flat</t>
  </si>
  <si>
    <t>Teknik</t>
  </si>
  <si>
    <t>Slope</t>
  </si>
  <si>
    <t>Totalt</t>
  </si>
  <si>
    <t>Take off distance</t>
  </si>
  <si>
    <t>Accelerate stop</t>
  </si>
  <si>
    <t>Accelerate GO DRY</t>
  </si>
  <si>
    <t>Accelerate GO WET/CONT</t>
  </si>
  <si>
    <t>TDR</t>
  </si>
  <si>
    <t xml:space="preserve"> Mass</t>
  </si>
  <si>
    <t>TAKE OFF PERFORMANCE (FLAPS APPROACH)</t>
  </si>
  <si>
    <t>Windcorrected distances</t>
  </si>
  <si>
    <t>Accelerate STOP distance</t>
  </si>
  <si>
    <t>GRadient adjustments</t>
  </si>
  <si>
    <t>Pressure Alt</t>
  </si>
  <si>
    <t>EMG Return</t>
  </si>
  <si>
    <t>Temp in calc</t>
  </si>
  <si>
    <t>NORMAL</t>
  </si>
  <si>
    <t>Landing</t>
  </si>
  <si>
    <t>Density Altitude</t>
  </si>
  <si>
    <t>Table size</t>
  </si>
  <si>
    <t>x1_n:</t>
  </si>
  <si>
    <t>x2_n:</t>
  </si>
  <si>
    <t>y2_n1:</t>
  </si>
  <si>
    <t>y2_n2:</t>
  </si>
  <si>
    <t>y_n1:</t>
  </si>
  <si>
    <t>y_n2:</t>
  </si>
  <si>
    <t>Distance</t>
  </si>
  <si>
    <t>Vikt</t>
  </si>
  <si>
    <t>Vind</t>
  </si>
  <si>
    <t>Obstacle height</t>
  </si>
  <si>
    <t>Meter</t>
  </si>
  <si>
    <t>Gradient</t>
  </si>
  <si>
    <t>Includes ICE-Vane. Could be disregarded for us</t>
  </si>
  <si>
    <t>FLAPS TAKEOFF</t>
  </si>
  <si>
    <t>FLAPS APPROACH</t>
  </si>
  <si>
    <t>Density altitude</t>
  </si>
  <si>
    <t>Temp/PA</t>
  </si>
  <si>
    <t>NET GRADIENT OF CLIMB - FLAPS UP</t>
  </si>
  <si>
    <t>ICE VANE CORR</t>
  </si>
  <si>
    <t>35 fot extra</t>
  </si>
  <si>
    <t>NET GRADIENT OF CLIMB - FLAPS TAKEOFF</t>
  </si>
  <si>
    <t>NET GRADIENT OF CLIMB - FLAPS APPROACH</t>
  </si>
  <si>
    <t>TAKE OFF DISTANCE - FLAPS UP</t>
  </si>
  <si>
    <t>TAKE OFF DISTANCE - FLAPS TAKEOFF</t>
  </si>
  <si>
    <t>TAKE OFF DISTANCE - FLAPS APPROACH</t>
  </si>
  <si>
    <t>2026-XY-ZV</t>
  </si>
  <si>
    <t>Interpoleringsverktyg för startsträcka från AFM.</t>
  </si>
  <si>
    <t>ROC</t>
  </si>
  <si>
    <t>ROC-&gt;Gradient</t>
  </si>
  <si>
    <t>fpm</t>
  </si>
  <si>
    <t>cargo pod conversion</t>
  </si>
  <si>
    <t>Vertikalt</t>
  </si>
  <si>
    <t>Framåt</t>
  </si>
  <si>
    <t>Corrected</t>
  </si>
  <si>
    <t>Take-off distance Beech 200 - SE-MJU</t>
  </si>
  <si>
    <t>Landning distance Beech 200 - SE-MJU</t>
  </si>
  <si>
    <t>Ground Roll</t>
  </si>
  <si>
    <t>Ground Roll [m]</t>
  </si>
  <si>
    <t>Take off distance [m]</t>
  </si>
  <si>
    <t>Accelerade &amp; STOP [m]</t>
  </si>
  <si>
    <t>Take-off Distance Factor</t>
  </si>
  <si>
    <t>Kommer inte att användas med take-off faktorer - Då är RWYCC 6 samma sak</t>
  </si>
  <si>
    <t>TORA:</t>
  </si>
  <si>
    <t>Takeoff Faktor</t>
  </si>
  <si>
    <t>TOR</t>
  </si>
  <si>
    <t>Engine out procedure</t>
  </si>
  <si>
    <t>Minimum cloud base:</t>
  </si>
  <si>
    <t>Escape Route:</t>
  </si>
  <si>
    <t>ESCAPE ROUTE INFO</t>
  </si>
  <si>
    <t>Min cloud base</t>
  </si>
  <si>
    <t>Routing</t>
  </si>
  <si>
    <t>Cloud base</t>
  </si>
  <si>
    <t>Raut</t>
  </si>
  <si>
    <t>TORA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</si>
</sst>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0.000"/>
  </numFmts>
  <fonts count="2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0"/>
      <color theme="1"/>
      <name val="Calibri"/>
      <family val="2"/>
    </font>
    <font>
      <sz val="9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</font>
    <font>
      <sz val="9"/>
      <color rgb="FF000000"/>
      <name val="&quot;Google Sans Mono&quot;"/>
    </font>
    <font>
      <b/>
      <sz val="12"/>
      <color theme="1"/>
      <name val="Calibri"/>
      <family val="2"/>
    </font>
    <font>
      <sz val="8"/>
      <color rgb="FF000000"/>
      <name val="Arial"/>
      <family val="2"/>
    </font>
    <font>
      <sz val="11"/>
      <color theme="0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9C0006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BDBDBD"/>
        <bgColor rgb="FFBDBDBD"/>
      </patternFill>
    </fill>
    <fill>
      <patternFill patternType="solid">
        <fgColor rgb="FFF3F3F3"/>
        <bgColor rgb="FFF3F3F3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B6D7A8"/>
        <bgColor rgb="FFB6D7A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</patternFill>
    </fill>
    <fill>
      <patternFill patternType="solid">
        <fgColor rgb="FFFF0000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9D9"/>
        <bgColor indexed="64"/>
      </patternFill>
    </fill>
  </fills>
  <borders count="10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 style="dotted">
        <color rgb="FF000000"/>
      </left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/>
      <bottom/>
      <diagonal/>
    </border>
    <border>
      <left style="dotted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double">
        <color rgb="FF000000"/>
      </left>
      <right style="medium">
        <color rgb="FF000000"/>
      </right>
      <top style="double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medium">
        <color rgb="FF000000"/>
      </bottom>
      <diagonal/>
    </border>
    <border>
      <left style="double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 style="double">
        <color rgb="FF000000"/>
      </right>
      <top style="dotted">
        <color rgb="FF000000"/>
      </top>
      <bottom style="dotted">
        <color rgb="FF000000"/>
      </bottom>
      <diagonal/>
    </border>
    <border>
      <left style="double">
        <color rgb="FF000000"/>
      </left>
      <right style="medium">
        <color rgb="FF000000"/>
      </right>
      <top style="dotted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uble">
        <color rgb="FF000000"/>
      </bottom>
      <diagonal/>
    </border>
    <border>
      <left style="thin">
        <color rgb="FF000000"/>
      </left>
      <right/>
      <top style="dotted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tted">
        <color rgb="FF000000"/>
      </top>
      <bottom style="double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double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double">
        <color rgb="FF000000"/>
      </left>
      <right style="medium">
        <color rgb="FF000000"/>
      </right>
      <top style="dotted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 style="double">
        <color rgb="FF000000"/>
      </left>
      <right style="double">
        <color rgb="FF000000"/>
      </right>
      <top/>
      <bottom style="double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double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/>
      <right style="double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 style="double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uble">
        <color rgb="FF000000"/>
      </bottom>
      <diagonal/>
    </border>
    <border>
      <left/>
      <right style="medium">
        <color rgb="FF000000"/>
      </right>
      <top style="dotted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tted">
        <color rgb="FF000000"/>
      </top>
      <bottom style="double">
        <color rgb="FF000000"/>
      </bottom>
      <diagonal/>
    </border>
    <border>
      <left/>
      <right/>
      <top style="dotted">
        <color rgb="FF000000"/>
      </top>
      <bottom style="double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uble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double">
        <color rgb="FF000000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double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/>
    <xf numFmtId="0" fontId="22" fillId="15" borderId="0" applyNumberFormat="0" applyBorder="0" applyAlignment="0" applyProtection="0"/>
  </cellStyleXfs>
  <cellXfs count="389">
    <xf numFmtId="0" fontId="0" fillId="0" borderId="0" xfId="0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7" fillId="0" borderId="3" xfId="0" applyFont="1" applyBorder="1" applyAlignment="1">
      <alignment horizontal="center" vertical="center"/>
    </xf>
    <xf numFmtId="164" fontId="8" fillId="0" borderId="5" xfId="0" applyNumberFormat="1" applyFont="1" applyBorder="1" applyAlignment="1">
      <alignment horizontal="center" vertical="center"/>
    </xf>
    <xf numFmtId="0" fontId="9" fillId="2" borderId="6" xfId="0" applyFont="1" applyFill="1" applyBorder="1" applyAlignment="1">
      <alignment horizontal="right" vertical="center"/>
    </xf>
    <xf numFmtId="0" fontId="11" fillId="0" borderId="0" xfId="0" applyFont="1" applyAlignment="1">
      <alignment horizontal="right" vertical="center"/>
    </xf>
    <xf numFmtId="0" fontId="11" fillId="0" borderId="4" xfId="0" applyFont="1" applyBorder="1" applyAlignment="1">
      <alignment horizontal="right" vertical="center"/>
    </xf>
    <xf numFmtId="0" fontId="12" fillId="3" borderId="9" xfId="0" applyFont="1" applyFill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3" borderId="11" xfId="0" applyFont="1" applyFill="1" applyBorder="1" applyAlignment="1">
      <alignment horizontal="right" vertical="center"/>
    </xf>
    <xf numFmtId="0" fontId="5" fillId="0" borderId="10" xfId="0" applyFont="1" applyBorder="1"/>
    <xf numFmtId="0" fontId="13" fillId="0" borderId="0" xfId="0" applyFont="1"/>
    <xf numFmtId="0" fontId="5" fillId="0" borderId="0" xfId="0" applyFont="1" applyAlignment="1">
      <alignment wrapText="1"/>
    </xf>
    <xf numFmtId="0" fontId="11" fillId="2" borderId="4" xfId="0" applyFont="1" applyFill="1" applyBorder="1" applyAlignment="1">
      <alignment horizontal="center" vertical="center"/>
    </xf>
    <xf numFmtId="1" fontId="5" fillId="0" borderId="0" xfId="0" applyNumberFormat="1" applyFont="1"/>
    <xf numFmtId="2" fontId="5" fillId="0" borderId="0" xfId="0" applyNumberFormat="1" applyFont="1"/>
    <xf numFmtId="0" fontId="5" fillId="2" borderId="4" xfId="0" applyFont="1" applyFill="1" applyBorder="1" applyAlignment="1">
      <alignment horizontal="center"/>
    </xf>
    <xf numFmtId="1" fontId="9" fillId="0" borderId="0" xfId="0" applyNumberFormat="1" applyFont="1" applyAlignment="1">
      <alignment vertical="center"/>
    </xf>
    <xf numFmtId="0" fontId="5" fillId="0" borderId="0" xfId="0" applyFont="1" applyAlignment="1">
      <alignment horizontal="right"/>
    </xf>
    <xf numFmtId="0" fontId="5" fillId="0" borderId="10" xfId="0" applyFont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9" fillId="4" borderId="14" xfId="0" applyFont="1" applyFill="1" applyBorder="1" applyAlignment="1">
      <alignment horizontal="right" vertical="center"/>
    </xf>
    <xf numFmtId="0" fontId="9" fillId="4" borderId="15" xfId="0" applyFont="1" applyFill="1" applyBorder="1" applyAlignment="1">
      <alignment horizontal="center" vertical="center"/>
    </xf>
    <xf numFmtId="0" fontId="13" fillId="4" borderId="15" xfId="0" applyFont="1" applyFill="1" applyBorder="1" applyAlignment="1">
      <alignment horizontal="center"/>
    </xf>
    <xf numFmtId="0" fontId="13" fillId="4" borderId="16" xfId="0" applyFont="1" applyFill="1" applyBorder="1" applyAlignment="1">
      <alignment horizontal="center"/>
    </xf>
    <xf numFmtId="0" fontId="11" fillId="0" borderId="17" xfId="0" applyFont="1" applyBorder="1" applyAlignment="1">
      <alignment horizontal="right" vertical="center"/>
    </xf>
    <xf numFmtId="1" fontId="11" fillId="0" borderId="18" xfId="0" applyNumberFormat="1" applyFont="1" applyBorder="1" applyAlignment="1">
      <alignment horizontal="center" vertical="center"/>
    </xf>
    <xf numFmtId="0" fontId="11" fillId="0" borderId="19" xfId="0" applyFont="1" applyBorder="1" applyAlignment="1">
      <alignment horizontal="right" vertical="center"/>
    </xf>
    <xf numFmtId="1" fontId="11" fillId="0" borderId="9" xfId="0" applyNumberFormat="1" applyFont="1" applyBorder="1" applyAlignment="1">
      <alignment horizontal="center" vertical="center"/>
    </xf>
    <xf numFmtId="0" fontId="11" fillId="0" borderId="20" xfId="0" applyFont="1" applyBorder="1" applyAlignment="1">
      <alignment horizontal="right" vertical="center"/>
    </xf>
    <xf numFmtId="1" fontId="11" fillId="0" borderId="11" xfId="0" applyNumberFormat="1" applyFont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165" fontId="11" fillId="0" borderId="11" xfId="0" applyNumberFormat="1" applyFont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14" fillId="0" borderId="4" xfId="0" applyFont="1" applyBorder="1" applyAlignment="1">
      <alignment horizontal="right" vertical="center"/>
    </xf>
    <xf numFmtId="1" fontId="11" fillId="0" borderId="24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" fontId="11" fillId="0" borderId="26" xfId="0" applyNumberFormat="1" applyFont="1" applyBorder="1" applyAlignment="1">
      <alignment horizontal="center" vertical="center"/>
    </xf>
    <xf numFmtId="0" fontId="5" fillId="3" borderId="11" xfId="0" applyFont="1" applyFill="1" applyBorder="1"/>
    <xf numFmtId="0" fontId="5" fillId="2" borderId="0" xfId="0" applyFont="1" applyFill="1" applyAlignment="1">
      <alignment horizontal="center"/>
    </xf>
    <xf numFmtId="0" fontId="5" fillId="2" borderId="10" xfId="0" applyFont="1" applyFill="1" applyBorder="1" applyAlignment="1">
      <alignment horizontal="center"/>
    </xf>
    <xf numFmtId="1" fontId="11" fillId="0" borderId="0" xfId="0" applyNumberFormat="1" applyFont="1" applyAlignment="1">
      <alignment vertical="center"/>
    </xf>
    <xf numFmtId="0" fontId="9" fillId="0" borderId="4" xfId="0" applyFont="1" applyBorder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10" xfId="0" applyFont="1" applyBorder="1" applyAlignment="1">
      <alignment horizontal="center"/>
    </xf>
    <xf numFmtId="1" fontId="11" fillId="0" borderId="12" xfId="0" applyNumberFormat="1" applyFont="1" applyBorder="1" applyAlignment="1">
      <alignment horizontal="center" vertical="center"/>
    </xf>
    <xf numFmtId="0" fontId="11" fillId="0" borderId="31" xfId="0" applyFont="1" applyBorder="1" applyAlignment="1">
      <alignment horizontal="right" vertical="center"/>
    </xf>
    <xf numFmtId="1" fontId="5" fillId="0" borderId="11" xfId="0" applyNumberFormat="1" applyFont="1" applyBorder="1" applyAlignment="1">
      <alignment horizontal="center"/>
    </xf>
    <xf numFmtId="1" fontId="9" fillId="0" borderId="10" xfId="0" applyNumberFormat="1" applyFont="1" applyBorder="1" applyAlignment="1">
      <alignment horizontal="right" vertical="center"/>
    </xf>
    <xf numFmtId="0" fontId="11" fillId="0" borderId="4" xfId="0" applyFont="1" applyBorder="1" applyAlignment="1">
      <alignment horizontal="center" vertical="center"/>
    </xf>
    <xf numFmtId="0" fontId="11" fillId="0" borderId="32" xfId="0" applyFont="1" applyBorder="1" applyAlignment="1">
      <alignment horizontal="right" vertical="center"/>
    </xf>
    <xf numFmtId="0" fontId="11" fillId="0" borderId="35" xfId="0" applyFont="1" applyBorder="1" applyAlignment="1">
      <alignment horizontal="right" vertical="center"/>
    </xf>
    <xf numFmtId="0" fontId="15" fillId="5" borderId="0" xfId="0" applyFont="1" applyFill="1"/>
    <xf numFmtId="0" fontId="11" fillId="4" borderId="27" xfId="0" applyFont="1" applyFill="1" applyBorder="1" applyAlignment="1">
      <alignment horizontal="center" wrapText="1"/>
    </xf>
    <xf numFmtId="0" fontId="11" fillId="4" borderId="47" xfId="0" applyFont="1" applyFill="1" applyBorder="1" applyAlignment="1">
      <alignment horizontal="center" wrapText="1"/>
    </xf>
    <xf numFmtId="0" fontId="11" fillId="4" borderId="48" xfId="0" applyFont="1" applyFill="1" applyBorder="1" applyAlignment="1">
      <alignment horizontal="center" wrapText="1"/>
    </xf>
    <xf numFmtId="0" fontId="11" fillId="4" borderId="40" xfId="0" applyFont="1" applyFill="1" applyBorder="1" applyAlignment="1">
      <alignment horizontal="center"/>
    </xf>
    <xf numFmtId="0" fontId="11" fillId="4" borderId="41" xfId="0" quotePrefix="1" applyFont="1" applyFill="1" applyBorder="1" applyAlignment="1">
      <alignment horizontal="center" wrapText="1"/>
    </xf>
    <xf numFmtId="1" fontId="11" fillId="4" borderId="41" xfId="0" quotePrefix="1" applyNumberFormat="1" applyFont="1" applyFill="1" applyBorder="1" applyAlignment="1">
      <alignment horizontal="center" wrapText="1"/>
    </xf>
    <xf numFmtId="1" fontId="11" fillId="4" borderId="41" xfId="0" applyNumberFormat="1" applyFont="1" applyFill="1" applyBorder="1" applyAlignment="1">
      <alignment horizontal="center" wrapText="1"/>
    </xf>
    <xf numFmtId="1" fontId="11" fillId="4" borderId="59" xfId="0" applyNumberFormat="1" applyFont="1" applyFill="1" applyBorder="1" applyAlignment="1">
      <alignment horizontal="center"/>
    </xf>
    <xf numFmtId="1" fontId="11" fillId="4" borderId="50" xfId="0" applyNumberFormat="1" applyFont="1" applyFill="1" applyBorder="1" applyAlignment="1">
      <alignment horizontal="center"/>
    </xf>
    <xf numFmtId="1" fontId="11" fillId="4" borderId="52" xfId="0" applyNumberFormat="1" applyFont="1" applyFill="1" applyBorder="1" applyAlignment="1">
      <alignment horizontal="center"/>
    </xf>
    <xf numFmtId="2" fontId="11" fillId="4" borderId="60" xfId="0" applyNumberFormat="1" applyFont="1" applyFill="1" applyBorder="1" applyAlignment="1">
      <alignment horizontal="center"/>
    </xf>
    <xf numFmtId="1" fontId="11" fillId="4" borderId="60" xfId="0" applyNumberFormat="1" applyFont="1" applyFill="1" applyBorder="1" applyAlignment="1">
      <alignment horizontal="center"/>
    </xf>
    <xf numFmtId="0" fontId="11" fillId="4" borderId="61" xfId="0" applyFont="1" applyFill="1" applyBorder="1" applyAlignment="1">
      <alignment horizontal="center"/>
    </xf>
    <xf numFmtId="164" fontId="11" fillId="4" borderId="62" xfId="0" applyNumberFormat="1" applyFont="1" applyFill="1" applyBorder="1" applyAlignment="1">
      <alignment horizontal="center"/>
    </xf>
    <xf numFmtId="2" fontId="11" fillId="4" borderId="52" xfId="0" applyNumberFormat="1" applyFont="1" applyFill="1" applyBorder="1" applyAlignment="1">
      <alignment horizontal="center"/>
    </xf>
    <xf numFmtId="1" fontId="11" fillId="4" borderId="49" xfId="0" applyNumberFormat="1" applyFont="1" applyFill="1" applyBorder="1" applyAlignment="1">
      <alignment horizontal="center"/>
    </xf>
    <xf numFmtId="1" fontId="11" fillId="4" borderId="63" xfId="0" applyNumberFormat="1" applyFont="1" applyFill="1" applyBorder="1" applyAlignment="1">
      <alignment horizontal="center"/>
    </xf>
    <xf numFmtId="0" fontId="11" fillId="4" borderId="49" xfId="0" applyFont="1" applyFill="1" applyBorder="1" applyAlignment="1">
      <alignment horizontal="center"/>
    </xf>
    <xf numFmtId="1" fontId="11" fillId="4" borderId="64" xfId="0" applyNumberFormat="1" applyFont="1" applyFill="1" applyBorder="1" applyAlignment="1">
      <alignment horizontal="center"/>
    </xf>
    <xf numFmtId="1" fontId="11" fillId="4" borderId="51" xfId="0" applyNumberFormat="1" applyFont="1" applyFill="1" applyBorder="1" applyAlignment="1">
      <alignment horizontal="center"/>
    </xf>
    <xf numFmtId="1" fontId="11" fillId="4" borderId="40" xfId="0" applyNumberFormat="1" applyFont="1" applyFill="1" applyBorder="1" applyAlignment="1">
      <alignment horizontal="center"/>
    </xf>
    <xf numFmtId="2" fontId="11" fillId="4" borderId="51" xfId="0" applyNumberFormat="1" applyFont="1" applyFill="1" applyBorder="1" applyAlignment="1">
      <alignment horizontal="center"/>
    </xf>
    <xf numFmtId="0" fontId="11" fillId="4" borderId="31" xfId="0" applyFont="1" applyFill="1" applyBorder="1" applyAlignment="1">
      <alignment horizontal="center"/>
    </xf>
    <xf numFmtId="0" fontId="11" fillId="4" borderId="65" xfId="0" applyFont="1" applyFill="1" applyBorder="1" applyAlignment="1">
      <alignment horizontal="center"/>
    </xf>
    <xf numFmtId="1" fontId="11" fillId="4" borderId="41" xfId="0" applyNumberFormat="1" applyFont="1" applyFill="1" applyBorder="1" applyAlignment="1">
      <alignment horizontal="center"/>
    </xf>
    <xf numFmtId="0" fontId="11" fillId="4" borderId="53" xfId="0" applyFont="1" applyFill="1" applyBorder="1" applyAlignment="1">
      <alignment horizontal="center"/>
    </xf>
    <xf numFmtId="164" fontId="11" fillId="4" borderId="54" xfId="0" applyNumberFormat="1" applyFont="1" applyFill="1" applyBorder="1" applyAlignment="1">
      <alignment horizontal="center"/>
    </xf>
    <xf numFmtId="1" fontId="11" fillId="4" borderId="56" xfId="0" applyNumberFormat="1" applyFont="1" applyFill="1" applyBorder="1" applyAlignment="1">
      <alignment horizontal="center"/>
    </xf>
    <xf numFmtId="2" fontId="11" fillId="4" borderId="56" xfId="0" applyNumberFormat="1" applyFont="1" applyFill="1" applyBorder="1" applyAlignment="1">
      <alignment horizontal="center"/>
    </xf>
    <xf numFmtId="0" fontId="11" fillId="4" borderId="57" xfId="0" applyFont="1" applyFill="1" applyBorder="1" applyAlignment="1">
      <alignment horizontal="center"/>
    </xf>
    <xf numFmtId="164" fontId="11" fillId="4" borderId="58" xfId="0" applyNumberFormat="1" applyFont="1" applyFill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11" fillId="0" borderId="0" xfId="0" applyFont="1" applyAlignment="1">
      <alignment horizontal="center" wrapText="1"/>
    </xf>
    <xf numFmtId="0" fontId="11" fillId="0" borderId="66" xfId="0" applyFont="1" applyBorder="1" applyAlignment="1">
      <alignment horizontal="center" vertical="center"/>
    </xf>
    <xf numFmtId="0" fontId="11" fillId="0" borderId="67" xfId="0" applyFont="1" applyBorder="1" applyAlignment="1">
      <alignment horizontal="center" vertical="center"/>
    </xf>
    <xf numFmtId="0" fontId="11" fillId="0" borderId="68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9" fontId="5" fillId="0" borderId="0" xfId="0" applyNumberFormat="1" applyFont="1"/>
    <xf numFmtId="0" fontId="4" fillId="0" borderId="0" xfId="0" applyFont="1" applyAlignment="1">
      <alignment vertical="center"/>
    </xf>
    <xf numFmtId="0" fontId="11" fillId="0" borderId="0" xfId="0" applyFont="1" applyAlignment="1">
      <alignment horizontal="center" vertical="center" wrapText="1"/>
    </xf>
    <xf numFmtId="1" fontId="9" fillId="9" borderId="11" xfId="0" applyNumberFormat="1" applyFont="1" applyFill="1" applyBorder="1" applyAlignment="1">
      <alignment horizontal="center" vertical="center"/>
    </xf>
    <xf numFmtId="1" fontId="11" fillId="9" borderId="11" xfId="0" applyNumberFormat="1" applyFont="1" applyFill="1" applyBorder="1" applyAlignment="1">
      <alignment horizontal="center" vertical="center"/>
    </xf>
    <xf numFmtId="1" fontId="9" fillId="5" borderId="11" xfId="0" applyNumberFormat="1" applyFont="1" applyFill="1" applyBorder="1" applyAlignment="1">
      <alignment horizontal="center" vertical="center"/>
    </xf>
    <xf numFmtId="1" fontId="11" fillId="5" borderId="1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0" fontId="17" fillId="0" borderId="0" xfId="0" applyFont="1"/>
    <xf numFmtId="0" fontId="9" fillId="0" borderId="0" xfId="0" quotePrefix="1" applyFont="1" applyAlignment="1">
      <alignment horizontal="right"/>
    </xf>
    <xf numFmtId="1" fontId="9" fillId="0" borderId="0" xfId="0" applyNumberFormat="1" applyFont="1" applyAlignment="1">
      <alignment horizontal="left"/>
    </xf>
    <xf numFmtId="0" fontId="9" fillId="0" borderId="0" xfId="0" applyFont="1" applyAlignment="1">
      <alignment horizontal="right"/>
    </xf>
    <xf numFmtId="1" fontId="11" fillId="0" borderId="0" xfId="0" applyNumberFormat="1" applyFont="1" applyAlignment="1">
      <alignment horizontal="left"/>
    </xf>
    <xf numFmtId="165" fontId="9" fillId="0" borderId="0" xfId="0" applyNumberFormat="1" applyFont="1" applyAlignment="1">
      <alignment horizontal="left"/>
    </xf>
    <xf numFmtId="0" fontId="5" fillId="10" borderId="0" xfId="0" applyFont="1" applyFill="1"/>
    <xf numFmtId="0" fontId="11" fillId="10" borderId="0" xfId="0" applyFont="1" applyFill="1" applyAlignment="1">
      <alignment horizontal="center" vertic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11" fillId="0" borderId="69" xfId="0" applyFont="1" applyBorder="1" applyAlignment="1">
      <alignment horizontal="center" vertical="center"/>
    </xf>
    <xf numFmtId="165" fontId="5" fillId="0" borderId="0" xfId="0" applyNumberFormat="1" applyFont="1"/>
    <xf numFmtId="1" fontId="11" fillId="0" borderId="69" xfId="0" applyNumberFormat="1" applyFont="1" applyBorder="1" applyAlignment="1">
      <alignment horizontal="center" vertical="center"/>
    </xf>
    <xf numFmtId="1" fontId="15" fillId="0" borderId="0" xfId="0" applyNumberFormat="1" applyFont="1"/>
    <xf numFmtId="0" fontId="18" fillId="11" borderId="69" xfId="0" applyFont="1" applyFill="1" applyBorder="1" applyAlignment="1">
      <alignment horizontal="center" vertical="center"/>
    </xf>
    <xf numFmtId="1" fontId="18" fillId="11" borderId="69" xfId="0" applyNumberFormat="1" applyFont="1" applyFill="1" applyBorder="1" applyAlignment="1">
      <alignment horizontal="center" vertical="center"/>
    </xf>
    <xf numFmtId="2" fontId="18" fillId="11" borderId="69" xfId="0" applyNumberFormat="1" applyFont="1" applyFill="1" applyBorder="1" applyAlignment="1">
      <alignment horizontal="center" vertical="center"/>
    </xf>
    <xf numFmtId="0" fontId="11" fillId="0" borderId="69" xfId="0" applyFont="1" applyBorder="1" applyAlignment="1">
      <alignment horizontal="right" vertical="center"/>
    </xf>
    <xf numFmtId="1" fontId="11" fillId="0" borderId="69" xfId="0" applyNumberFormat="1" applyFont="1" applyBorder="1" applyAlignment="1">
      <alignment horizontal="right" vertical="center"/>
    </xf>
    <xf numFmtId="1" fontId="9" fillId="0" borderId="0" xfId="0" applyNumberFormat="1" applyFont="1" applyAlignment="1">
      <alignment horizontal="center"/>
    </xf>
    <xf numFmtId="2" fontId="11" fillId="0" borderId="69" xfId="0" applyNumberFormat="1" applyFont="1" applyBorder="1" applyAlignment="1">
      <alignment horizontal="center" vertical="center"/>
    </xf>
    <xf numFmtId="0" fontId="5" fillId="12" borderId="0" xfId="0" applyFont="1" applyFill="1"/>
    <xf numFmtId="0" fontId="11" fillId="12" borderId="0" xfId="0" applyFont="1" applyFill="1" applyAlignment="1">
      <alignment horizontal="center" vertical="center"/>
    </xf>
    <xf numFmtId="0" fontId="11" fillId="12" borderId="0" xfId="0" applyFont="1" applyFill="1" applyAlignment="1">
      <alignment horizontal="right"/>
    </xf>
    <xf numFmtId="0" fontId="11" fillId="12" borderId="0" xfId="0" applyFont="1" applyFill="1" applyAlignment="1">
      <alignment horizontal="left"/>
    </xf>
    <xf numFmtId="3" fontId="9" fillId="0" borderId="0" xfId="0" applyNumberFormat="1" applyFont="1" applyAlignment="1">
      <alignment horizontal="right"/>
    </xf>
    <xf numFmtId="0" fontId="4" fillId="6" borderId="0" xfId="0" applyFont="1" applyFill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16" fillId="0" borderId="70" xfId="0" applyFont="1" applyBorder="1" applyAlignment="1">
      <alignment horizontal="center" vertical="center"/>
    </xf>
    <xf numFmtId="0" fontId="16" fillId="0" borderId="71" xfId="0" applyFont="1" applyBorder="1" applyAlignment="1">
      <alignment horizontal="center" vertical="center"/>
    </xf>
    <xf numFmtId="0" fontId="16" fillId="0" borderId="74" xfId="0" applyFont="1" applyBorder="1" applyAlignment="1">
      <alignment horizontal="center" vertical="center" wrapText="1"/>
    </xf>
    <xf numFmtId="0" fontId="16" fillId="0" borderId="75" xfId="0" applyFont="1" applyBorder="1" applyAlignment="1">
      <alignment horizontal="center" vertical="center" wrapText="1"/>
    </xf>
    <xf numFmtId="0" fontId="16" fillId="0" borderId="76" xfId="0" applyFont="1" applyBorder="1" applyAlignment="1">
      <alignment horizontal="center" vertical="center" wrapText="1"/>
    </xf>
    <xf numFmtId="0" fontId="16" fillId="0" borderId="77" xfId="0" applyFont="1" applyBorder="1" applyAlignment="1">
      <alignment horizontal="center" vertical="center" wrapText="1"/>
    </xf>
    <xf numFmtId="1" fontId="9" fillId="0" borderId="59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1" fontId="11" fillId="0" borderId="78" xfId="0" applyNumberFormat="1" applyFont="1" applyBorder="1" applyAlignment="1">
      <alignment horizontal="center" vertical="center"/>
    </xf>
    <xf numFmtId="1" fontId="11" fillId="0" borderId="79" xfId="0" applyNumberFormat="1" applyFont="1" applyBorder="1" applyAlignment="1">
      <alignment horizontal="center" vertical="center"/>
    </xf>
    <xf numFmtId="1" fontId="11" fillId="0" borderId="2" xfId="0" applyNumberFormat="1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165" fontId="11" fillId="0" borderId="78" xfId="0" applyNumberFormat="1" applyFont="1" applyBorder="1" applyAlignment="1">
      <alignment horizontal="center" vertical="center"/>
    </xf>
    <xf numFmtId="1" fontId="9" fillId="0" borderId="49" xfId="0" applyNumberFormat="1" applyFont="1" applyBorder="1" applyAlignment="1">
      <alignment horizontal="center" vertical="center"/>
    </xf>
    <xf numFmtId="1" fontId="11" fillId="0" borderId="80" xfId="0" applyNumberFormat="1" applyFont="1" applyBorder="1" applyAlignment="1">
      <alignment horizontal="center" vertical="center"/>
    </xf>
    <xf numFmtId="1" fontId="11" fillId="0" borderId="81" xfId="0" applyNumberFormat="1" applyFont="1" applyBorder="1" applyAlignment="1">
      <alignment horizontal="center" vertical="center"/>
    </xf>
    <xf numFmtId="1" fontId="11" fillId="0" borderId="82" xfId="0" applyNumberFormat="1" applyFont="1" applyBorder="1" applyAlignment="1">
      <alignment horizontal="center" vertical="center"/>
    </xf>
    <xf numFmtId="165" fontId="11" fillId="0" borderId="83" xfId="0" applyNumberFormat="1" applyFont="1" applyBorder="1" applyAlignment="1">
      <alignment horizontal="center" vertical="center"/>
    </xf>
    <xf numFmtId="165" fontId="11" fillId="0" borderId="81" xfId="0" applyNumberFormat="1" applyFont="1" applyBorder="1" applyAlignment="1">
      <alignment horizontal="center" vertical="center"/>
    </xf>
    <xf numFmtId="1" fontId="11" fillId="0" borderId="83" xfId="0" applyNumberFormat="1" applyFont="1" applyBorder="1" applyAlignment="1">
      <alignment horizontal="center" vertical="center"/>
    </xf>
    <xf numFmtId="1" fontId="9" fillId="0" borderId="65" xfId="0" applyNumberFormat="1" applyFont="1" applyBorder="1" applyAlignment="1">
      <alignment horizontal="center" vertical="center"/>
    </xf>
    <xf numFmtId="1" fontId="9" fillId="0" borderId="55" xfId="0" applyNumberFormat="1" applyFont="1" applyBorder="1" applyAlignment="1">
      <alignment horizontal="center" vertical="center"/>
    </xf>
    <xf numFmtId="1" fontId="11" fillId="0" borderId="84" xfId="0" applyNumberFormat="1" applyFont="1" applyBorder="1" applyAlignment="1">
      <alignment horizontal="center" vertical="center"/>
    </xf>
    <xf numFmtId="1" fontId="11" fillId="0" borderId="85" xfId="0" applyNumberFormat="1" applyFont="1" applyBorder="1" applyAlignment="1">
      <alignment horizontal="center" vertical="center"/>
    </xf>
    <xf numFmtId="1" fontId="11" fillId="0" borderId="86" xfId="0" applyNumberFormat="1" applyFont="1" applyBorder="1" applyAlignment="1">
      <alignment horizontal="center" vertical="center"/>
    </xf>
    <xf numFmtId="1" fontId="11" fillId="0" borderId="87" xfId="0" applyNumberFormat="1" applyFont="1" applyBorder="1" applyAlignment="1">
      <alignment horizontal="center" vertical="center"/>
    </xf>
    <xf numFmtId="165" fontId="11" fillId="0" borderId="87" xfId="0" applyNumberFormat="1" applyFont="1" applyBorder="1" applyAlignment="1">
      <alignment horizontal="center" vertical="center"/>
    </xf>
    <xf numFmtId="165" fontId="11" fillId="0" borderId="85" xfId="0" applyNumberFormat="1" applyFont="1" applyBorder="1" applyAlignment="1">
      <alignment horizontal="center" vertical="center"/>
    </xf>
    <xf numFmtId="0" fontId="5" fillId="7" borderId="0" xfId="0" applyFont="1" applyFill="1"/>
    <xf numFmtId="0" fontId="11" fillId="0" borderId="69" xfId="0" applyFont="1" applyBorder="1" applyAlignment="1">
      <alignment horizontal="center" vertical="center" wrapText="1"/>
    </xf>
    <xf numFmtId="1" fontId="11" fillId="0" borderId="0" xfId="0" applyNumberFormat="1" applyFont="1" applyAlignment="1">
      <alignment horizontal="right" vertical="center"/>
    </xf>
    <xf numFmtId="1" fontId="5" fillId="0" borderId="0" xfId="0" applyNumberFormat="1" applyFont="1" applyAlignment="1">
      <alignment horizontal="right"/>
    </xf>
    <xf numFmtId="10" fontId="5" fillId="0" borderId="0" xfId="0" applyNumberFormat="1" applyFont="1"/>
    <xf numFmtId="0" fontId="16" fillId="0" borderId="73" xfId="0" applyFont="1" applyBorder="1" applyAlignment="1">
      <alignment horizontal="center" vertical="center"/>
    </xf>
    <xf numFmtId="0" fontId="16" fillId="0" borderId="72" xfId="0" applyFont="1" applyBorder="1" applyAlignment="1">
      <alignment horizontal="center" vertical="center"/>
    </xf>
    <xf numFmtId="0" fontId="11" fillId="13" borderId="49" xfId="0" applyFont="1" applyFill="1" applyBorder="1" applyAlignment="1">
      <alignment horizontal="center"/>
    </xf>
    <xf numFmtId="1" fontId="11" fillId="13" borderId="50" xfId="0" applyNumberFormat="1" applyFont="1" applyFill="1" applyBorder="1" applyAlignment="1">
      <alignment horizontal="center"/>
    </xf>
    <xf numFmtId="1" fontId="11" fillId="13" borderId="41" xfId="0" applyNumberFormat="1" applyFont="1" applyFill="1" applyBorder="1" applyAlignment="1">
      <alignment horizontal="center"/>
    </xf>
    <xf numFmtId="1" fontId="11" fillId="13" borderId="51" xfId="0" applyNumberFormat="1" applyFont="1" applyFill="1" applyBorder="1" applyAlignment="1">
      <alignment horizontal="center"/>
    </xf>
    <xf numFmtId="2" fontId="11" fillId="13" borderId="52" xfId="0" applyNumberFormat="1" applyFont="1" applyFill="1" applyBorder="1" applyAlignment="1">
      <alignment horizontal="center"/>
    </xf>
    <xf numFmtId="1" fontId="11" fillId="13" borderId="53" xfId="0" applyNumberFormat="1" applyFont="1" applyFill="1" applyBorder="1" applyAlignment="1">
      <alignment horizontal="center"/>
    </xf>
    <xf numFmtId="1" fontId="11" fillId="13" borderId="54" xfId="0" applyNumberFormat="1" applyFont="1" applyFill="1" applyBorder="1" applyAlignment="1">
      <alignment horizontal="center"/>
    </xf>
    <xf numFmtId="0" fontId="11" fillId="13" borderId="55" xfId="0" applyFont="1" applyFill="1" applyBorder="1" applyAlignment="1">
      <alignment horizontal="center"/>
    </xf>
    <xf numFmtId="1" fontId="11" fillId="13" borderId="56" xfId="0" applyNumberFormat="1" applyFont="1" applyFill="1" applyBorder="1" applyAlignment="1">
      <alignment horizontal="center"/>
    </xf>
    <xf numFmtId="2" fontId="11" fillId="13" borderId="56" xfId="0" applyNumberFormat="1" applyFont="1" applyFill="1" applyBorder="1" applyAlignment="1">
      <alignment horizontal="center"/>
    </xf>
    <xf numFmtId="1" fontId="11" fillId="13" borderId="57" xfId="0" applyNumberFormat="1" applyFont="1" applyFill="1" applyBorder="1" applyAlignment="1">
      <alignment horizontal="center"/>
    </xf>
    <xf numFmtId="1" fontId="11" fillId="13" borderId="58" xfId="0" applyNumberFormat="1" applyFont="1" applyFill="1" applyBorder="1" applyAlignment="1">
      <alignment horizontal="center"/>
    </xf>
    <xf numFmtId="0" fontId="0" fillId="0" borderId="69" xfId="0" applyBorder="1"/>
    <xf numFmtId="0" fontId="9" fillId="0" borderId="69" xfId="0" applyFont="1" applyBorder="1" applyAlignment="1">
      <alignment horizontal="right"/>
    </xf>
    <xf numFmtId="1" fontId="9" fillId="0" borderId="69" xfId="0" applyNumberFormat="1" applyFont="1" applyBorder="1" applyAlignment="1">
      <alignment horizontal="left"/>
    </xf>
    <xf numFmtId="0" fontId="9" fillId="0" borderId="0" xfId="0" applyFont="1"/>
    <xf numFmtId="0" fontId="9" fillId="0" borderId="6" xfId="0" applyFont="1" applyBorder="1"/>
    <xf numFmtId="1" fontId="9" fillId="0" borderId="7" xfId="0" applyNumberFormat="1" applyFont="1" applyBorder="1"/>
    <xf numFmtId="0" fontId="0" fillId="0" borderId="7" xfId="0" applyBorder="1"/>
    <xf numFmtId="0" fontId="9" fillId="0" borderId="69" xfId="0" applyFont="1" applyBorder="1"/>
    <xf numFmtId="1" fontId="9" fillId="0" borderId="69" xfId="0" applyNumberFormat="1" applyFont="1" applyBorder="1"/>
    <xf numFmtId="0" fontId="11" fillId="0" borderId="69" xfId="0" applyFont="1" applyBorder="1" applyAlignment="1">
      <alignment vertical="center"/>
    </xf>
    <xf numFmtId="0" fontId="9" fillId="0" borderId="14" xfId="0" applyFont="1" applyBorder="1"/>
    <xf numFmtId="1" fontId="9" fillId="0" borderId="15" xfId="0" applyNumberFormat="1" applyFont="1" applyBorder="1"/>
    <xf numFmtId="0" fontId="0" fillId="0" borderId="15" xfId="0" applyBorder="1"/>
    <xf numFmtId="0" fontId="11" fillId="0" borderId="16" xfId="0" applyFont="1" applyBorder="1" applyAlignment="1">
      <alignment vertical="center"/>
    </xf>
    <xf numFmtId="1" fontId="0" fillId="0" borderId="0" xfId="0" applyNumberFormat="1"/>
    <xf numFmtId="0" fontId="9" fillId="0" borderId="4" xfId="0" applyFont="1" applyBorder="1"/>
    <xf numFmtId="0" fontId="11" fillId="0" borderId="10" xfId="0" applyFont="1" applyBorder="1" applyAlignment="1">
      <alignment vertical="center"/>
    </xf>
    <xf numFmtId="0" fontId="9" fillId="0" borderId="34" xfId="0" applyFont="1" applyBorder="1"/>
    <xf numFmtId="1" fontId="9" fillId="0" borderId="28" xfId="0" applyNumberFormat="1" applyFont="1" applyBorder="1"/>
    <xf numFmtId="0" fontId="0" fillId="0" borderId="28" xfId="0" applyBorder="1"/>
    <xf numFmtId="0" fontId="11" fillId="0" borderId="35" xfId="0" applyFont="1" applyBorder="1" applyAlignment="1">
      <alignment vertical="center"/>
    </xf>
    <xf numFmtId="0" fontId="9" fillId="0" borderId="15" xfId="0" applyFont="1" applyBorder="1"/>
    <xf numFmtId="0" fontId="9" fillId="0" borderId="16" xfId="0" applyFont="1" applyBorder="1"/>
    <xf numFmtId="0" fontId="9" fillId="0" borderId="10" xfId="0" applyFont="1" applyBorder="1"/>
    <xf numFmtId="0" fontId="9" fillId="0" borderId="7" xfId="0" applyFont="1" applyBorder="1"/>
    <xf numFmtId="0" fontId="9" fillId="0" borderId="8" xfId="0" applyFont="1" applyBorder="1"/>
    <xf numFmtId="0" fontId="9" fillId="0" borderId="28" xfId="0" applyFont="1" applyBorder="1"/>
    <xf numFmtId="0" fontId="11" fillId="0" borderId="69" xfId="0" applyFont="1" applyBorder="1" applyAlignment="1">
      <alignment horizontal="left" vertical="center"/>
    </xf>
    <xf numFmtId="0" fontId="9" fillId="0" borderId="69" xfId="0" applyFont="1" applyBorder="1" applyAlignment="1">
      <alignment horizontal="left"/>
    </xf>
    <xf numFmtId="0" fontId="9" fillId="0" borderId="35" xfId="0" applyFont="1" applyBorder="1"/>
    <xf numFmtId="0" fontId="9" fillId="0" borderId="69" xfId="0" applyFont="1" applyBorder="1" applyAlignment="1">
      <alignment horizontal="center"/>
    </xf>
    <xf numFmtId="1" fontId="9" fillId="0" borderId="35" xfId="0" applyNumberFormat="1" applyFont="1" applyBorder="1"/>
    <xf numFmtId="0" fontId="4" fillId="0" borderId="69" xfId="0" applyFont="1" applyBorder="1" applyAlignment="1">
      <alignment horizontal="center" vertical="center"/>
    </xf>
    <xf numFmtId="9" fontId="0" fillId="0" borderId="0" xfId="0" applyNumberFormat="1"/>
    <xf numFmtId="0" fontId="5" fillId="0" borderId="69" xfId="0" applyFont="1" applyBorder="1"/>
    <xf numFmtId="1" fontId="5" fillId="0" borderId="69" xfId="0" applyNumberFormat="1" applyFont="1" applyBorder="1"/>
    <xf numFmtId="0" fontId="11" fillId="0" borderId="69" xfId="0" applyFont="1" applyBorder="1" applyAlignment="1">
      <alignment horizontal="right"/>
    </xf>
    <xf numFmtId="1" fontId="11" fillId="0" borderId="69" xfId="0" applyNumberFormat="1" applyFont="1" applyBorder="1" applyAlignment="1">
      <alignment horizontal="left"/>
    </xf>
    <xf numFmtId="0" fontId="11" fillId="0" borderId="69" xfId="0" applyFont="1" applyBorder="1"/>
    <xf numFmtId="0" fontId="11" fillId="0" borderId="69" xfId="0" applyFont="1" applyBorder="1" applyAlignment="1">
      <alignment horizontal="center"/>
    </xf>
    <xf numFmtId="1" fontId="9" fillId="0" borderId="69" xfId="0" applyNumberFormat="1" applyFont="1" applyBorder="1" applyAlignment="1">
      <alignment horizontal="center"/>
    </xf>
    <xf numFmtId="0" fontId="4" fillId="0" borderId="69" xfId="0" applyFont="1" applyBorder="1" applyAlignment="1">
      <alignment horizontal="left"/>
    </xf>
    <xf numFmtId="0" fontId="4" fillId="0" borderId="69" xfId="0" applyFont="1" applyBorder="1" applyAlignment="1">
      <alignment horizontal="center"/>
    </xf>
    <xf numFmtId="1" fontId="11" fillId="0" borderId="69" xfId="0" applyNumberFormat="1" applyFont="1" applyBorder="1" applyAlignment="1">
      <alignment horizontal="center"/>
    </xf>
    <xf numFmtId="1" fontId="11" fillId="0" borderId="69" xfId="0" applyNumberFormat="1" applyFont="1" applyBorder="1"/>
    <xf numFmtId="0" fontId="11" fillId="0" borderId="69" xfId="0" applyFont="1" applyBorder="1" applyAlignment="1">
      <alignment horizontal="left"/>
    </xf>
    <xf numFmtId="0" fontId="16" fillId="0" borderId="69" xfId="0" applyFont="1" applyBorder="1" applyAlignment="1">
      <alignment horizontal="center"/>
    </xf>
    <xf numFmtId="0" fontId="9" fillId="0" borderId="69" xfId="0" quotePrefix="1" applyFont="1" applyBorder="1" applyAlignment="1">
      <alignment horizontal="right"/>
    </xf>
    <xf numFmtId="0" fontId="16" fillId="0" borderId="69" xfId="0" applyFont="1" applyBorder="1" applyAlignment="1">
      <alignment horizontal="center" wrapText="1"/>
    </xf>
    <xf numFmtId="0" fontId="6" fillId="0" borderId="69" xfId="0" applyFont="1" applyBorder="1"/>
    <xf numFmtId="0" fontId="4" fillId="0" borderId="69" xfId="0" applyFont="1" applyBorder="1"/>
    <xf numFmtId="0" fontId="9" fillId="0" borderId="69" xfId="0" quotePrefix="1" applyFont="1" applyBorder="1"/>
    <xf numFmtId="0" fontId="16" fillId="0" borderId="69" xfId="0" applyFont="1" applyBorder="1" applyAlignment="1">
      <alignment wrapText="1"/>
    </xf>
    <xf numFmtId="0" fontId="16" fillId="0" borderId="69" xfId="0" applyFont="1" applyBorder="1"/>
    <xf numFmtId="1" fontId="11" fillId="0" borderId="69" xfId="0" applyNumberFormat="1" applyFont="1" applyBorder="1" applyAlignment="1">
      <alignment vertical="center"/>
    </xf>
    <xf numFmtId="1" fontId="5" fillId="0" borderId="0" xfId="0" applyNumberFormat="1" applyFont="1" applyAlignment="1">
      <alignment wrapText="1"/>
    </xf>
    <xf numFmtId="1" fontId="11" fillId="0" borderId="42" xfId="0" applyNumberFormat="1" applyFont="1" applyBorder="1" applyAlignment="1">
      <alignment horizontal="center" vertical="center"/>
    </xf>
    <xf numFmtId="0" fontId="11" fillId="0" borderId="89" xfId="0" applyFont="1" applyBorder="1" applyAlignment="1">
      <alignment horizontal="right" vertical="center"/>
    </xf>
    <xf numFmtId="0" fontId="0" fillId="0" borderId="88" xfId="0" applyBorder="1"/>
    <xf numFmtId="0" fontId="0" fillId="0" borderId="90" xfId="0" applyBorder="1"/>
    <xf numFmtId="0" fontId="0" fillId="0" borderId="91" xfId="0" applyBorder="1"/>
    <xf numFmtId="166" fontId="11" fillId="0" borderId="0" xfId="0" applyNumberFormat="1" applyFont="1" applyAlignment="1">
      <alignment horizontal="center" vertical="center"/>
    </xf>
    <xf numFmtId="2" fontId="9" fillId="0" borderId="14" xfId="0" applyNumberFormat="1" applyFont="1" applyBorder="1"/>
    <xf numFmtId="2" fontId="9" fillId="0" borderId="15" xfId="0" applyNumberFormat="1" applyFont="1" applyBorder="1"/>
    <xf numFmtId="2" fontId="0" fillId="0" borderId="15" xfId="0" applyNumberFormat="1" applyBorder="1"/>
    <xf numFmtId="2" fontId="9" fillId="0" borderId="4" xfId="0" applyNumberFormat="1" applyFont="1" applyBorder="1"/>
    <xf numFmtId="2" fontId="9" fillId="0" borderId="69" xfId="0" applyNumberFormat="1" applyFont="1" applyBorder="1"/>
    <xf numFmtId="2" fontId="0" fillId="0" borderId="69" xfId="0" applyNumberFormat="1" applyBorder="1"/>
    <xf numFmtId="165" fontId="9" fillId="0" borderId="14" xfId="0" applyNumberFormat="1" applyFont="1" applyBorder="1"/>
    <xf numFmtId="165" fontId="9" fillId="0" borderId="15" xfId="0" applyNumberFormat="1" applyFont="1" applyBorder="1"/>
    <xf numFmtId="165" fontId="0" fillId="0" borderId="15" xfId="0" applyNumberFormat="1" applyBorder="1"/>
    <xf numFmtId="165" fontId="9" fillId="0" borderId="4" xfId="0" applyNumberFormat="1" applyFont="1" applyBorder="1"/>
    <xf numFmtId="165" fontId="9" fillId="0" borderId="69" xfId="0" applyNumberFormat="1" applyFont="1" applyBorder="1"/>
    <xf numFmtId="165" fontId="0" fillId="0" borderId="69" xfId="0" applyNumberFormat="1" applyBorder="1"/>
    <xf numFmtId="2" fontId="9" fillId="0" borderId="34" xfId="0" applyNumberFormat="1" applyFont="1" applyBorder="1"/>
    <xf numFmtId="2" fontId="9" fillId="0" borderId="28" xfId="0" applyNumberFormat="1" applyFont="1" applyBorder="1"/>
    <xf numFmtId="2" fontId="0" fillId="0" borderId="28" xfId="0" applyNumberFormat="1" applyBorder="1"/>
    <xf numFmtId="165" fontId="9" fillId="0" borderId="34" xfId="0" applyNumberFormat="1" applyFont="1" applyBorder="1"/>
    <xf numFmtId="165" fontId="9" fillId="0" borderId="28" xfId="0" applyNumberFormat="1" applyFont="1" applyBorder="1"/>
    <xf numFmtId="165" fontId="0" fillId="0" borderId="28" xfId="0" applyNumberFormat="1" applyBorder="1"/>
    <xf numFmtId="2" fontId="9" fillId="0" borderId="0" xfId="0" applyNumberFormat="1" applyFont="1" applyAlignment="1">
      <alignment horizontal="left"/>
    </xf>
    <xf numFmtId="2" fontId="0" fillId="0" borderId="0" xfId="0" applyNumberFormat="1"/>
    <xf numFmtId="0" fontId="0" fillId="0" borderId="0" xfId="0" quotePrefix="1"/>
    <xf numFmtId="165" fontId="11" fillId="0" borderId="33" xfId="0" applyNumberFormat="1" applyFont="1" applyBorder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1" fontId="18" fillId="11" borderId="0" xfId="0" applyNumberFormat="1" applyFont="1" applyFill="1" applyAlignment="1">
      <alignment horizontal="center" vertical="center"/>
    </xf>
    <xf numFmtId="2" fontId="18" fillId="11" borderId="0" xfId="0" applyNumberFormat="1" applyFont="1" applyFill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0" fontId="20" fillId="0" borderId="14" xfId="0" applyFont="1" applyBorder="1"/>
    <xf numFmtId="0" fontId="20" fillId="0" borderId="15" xfId="0" applyFont="1" applyBorder="1"/>
    <xf numFmtId="0" fontId="20" fillId="0" borderId="4" xfId="0" applyFont="1" applyBorder="1"/>
    <xf numFmtId="1" fontId="20" fillId="0" borderId="69" xfId="0" applyNumberFormat="1" applyFont="1" applyBorder="1"/>
    <xf numFmtId="0" fontId="3" fillId="0" borderId="69" xfId="0" applyFont="1" applyBorder="1"/>
    <xf numFmtId="0" fontId="20" fillId="0" borderId="34" xfId="0" applyFont="1" applyBorder="1"/>
    <xf numFmtId="1" fontId="20" fillId="0" borderId="28" xfId="0" applyNumberFormat="1" applyFont="1" applyBorder="1"/>
    <xf numFmtId="0" fontId="3" fillId="0" borderId="28" xfId="0" applyFont="1" applyBorder="1"/>
    <xf numFmtId="165" fontId="9" fillId="0" borderId="7" xfId="0" applyNumberFormat="1" applyFont="1" applyBorder="1"/>
    <xf numFmtId="0" fontId="6" fillId="0" borderId="10" xfId="0" applyFont="1" applyBorder="1"/>
    <xf numFmtId="0" fontId="6" fillId="0" borderId="2" xfId="0" applyFont="1" applyBorder="1"/>
    <xf numFmtId="0" fontId="6" fillId="0" borderId="28" xfId="0" applyFont="1" applyBorder="1"/>
    <xf numFmtId="0" fontId="2" fillId="0" borderId="0" xfId="0" applyFont="1"/>
    <xf numFmtId="0" fontId="2" fillId="0" borderId="92" xfId="0" applyFont="1" applyBorder="1" applyAlignment="1">
      <alignment horizontal="right" vertical="center" wrapText="1"/>
    </xf>
    <xf numFmtId="0" fontId="2" fillId="0" borderId="91" xfId="0" applyFont="1" applyBorder="1" applyAlignment="1">
      <alignment horizontal="right" vertical="center" wrapText="1"/>
    </xf>
    <xf numFmtId="1" fontId="6" fillId="0" borderId="69" xfId="0" applyNumberFormat="1" applyFont="1" applyBorder="1"/>
    <xf numFmtId="0" fontId="22" fillId="15" borderId="4" xfId="1" applyBorder="1" applyAlignment="1">
      <alignment horizontal="right" vertical="center"/>
    </xf>
    <xf numFmtId="0" fontId="22" fillId="15" borderId="11" xfId="1" applyBorder="1" applyAlignment="1">
      <alignment horizontal="right" vertical="center"/>
    </xf>
    <xf numFmtId="0" fontId="22" fillId="15" borderId="0" xfId="1" applyAlignment="1">
      <alignment vertical="center"/>
    </xf>
    <xf numFmtId="0" fontId="9" fillId="2" borderId="4" xfId="0" applyFont="1" applyFill="1" applyBorder="1" applyAlignment="1">
      <alignment horizontal="right" vertical="center"/>
    </xf>
    <xf numFmtId="0" fontId="1" fillId="0" borderId="0" xfId="0" applyFont="1" applyAlignment="1">
      <alignment wrapText="1"/>
    </xf>
    <xf numFmtId="1" fontId="1" fillId="0" borderId="0" xfId="0" applyNumberFormat="1" applyFont="1" applyAlignment="1">
      <alignment horizontal="right" wrapText="1"/>
    </xf>
    <xf numFmtId="165" fontId="11" fillId="0" borderId="69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right" wrapText="1"/>
    </xf>
    <xf numFmtId="0" fontId="1" fillId="0" borderId="28" xfId="0" applyFont="1" applyBorder="1" applyAlignment="1">
      <alignment wrapText="1"/>
    </xf>
    <xf numFmtId="0" fontId="1" fillId="0" borderId="35" xfId="0" applyFont="1" applyBorder="1" applyAlignment="1">
      <alignment wrapText="1"/>
    </xf>
    <xf numFmtId="0" fontId="1" fillId="0" borderId="0" xfId="0" applyFont="1" applyAlignment="1">
      <alignment vertical="center" wrapText="1"/>
    </xf>
    <xf numFmtId="0" fontId="1" fillId="0" borderId="10" xfId="0" applyFont="1" applyBorder="1" applyAlignment="1">
      <alignment vertical="center" wrapText="1"/>
    </xf>
    <xf numFmtId="0" fontId="1" fillId="0" borderId="90" xfId="0" applyFont="1" applyBorder="1" applyAlignment="1">
      <alignment wrapText="1"/>
    </xf>
    <xf numFmtId="0" fontId="1" fillId="0" borderId="28" xfId="0" applyFont="1" applyBorder="1" applyAlignment="1">
      <alignment vertical="center" wrapText="1"/>
    </xf>
    <xf numFmtId="0" fontId="1" fillId="0" borderId="35" xfId="0" applyFont="1" applyBorder="1" applyAlignment="1">
      <alignment vertical="center" wrapText="1"/>
    </xf>
    <xf numFmtId="0" fontId="1" fillId="0" borderId="34" xfId="0" applyFont="1" applyBorder="1" applyAlignment="1">
      <alignment wrapText="1"/>
    </xf>
    <xf numFmtId="0" fontId="11" fillId="4" borderId="69" xfId="0" quotePrefix="1" applyFont="1" applyFill="1" applyBorder="1" applyAlignment="1">
      <alignment horizontal="center" wrapText="1"/>
    </xf>
    <xf numFmtId="1" fontId="11" fillId="13" borderId="69" xfId="0" applyNumberFormat="1" applyFont="1" applyFill="1" applyBorder="1" applyAlignment="1">
      <alignment horizontal="center"/>
    </xf>
    <xf numFmtId="164" fontId="11" fillId="4" borderId="69" xfId="0" applyNumberFormat="1" applyFont="1" applyFill="1" applyBorder="1" applyAlignment="1">
      <alignment horizontal="center"/>
    </xf>
    <xf numFmtId="0" fontId="13" fillId="18" borderId="93" xfId="0" applyFont="1" applyFill="1" applyBorder="1" applyAlignment="1">
      <alignment horizontal="center" wrapText="1"/>
    </xf>
    <xf numFmtId="0" fontId="13" fillId="18" borderId="97" xfId="0" applyFont="1" applyFill="1" applyBorder="1" applyAlignment="1">
      <alignment horizontal="center" wrapText="1"/>
    </xf>
    <xf numFmtId="0" fontId="1" fillId="18" borderId="97" xfId="0" applyFont="1" applyFill="1" applyBorder="1" applyAlignment="1">
      <alignment wrapText="1"/>
    </xf>
    <xf numFmtId="0" fontId="1" fillId="18" borderId="93" xfId="0" applyFont="1" applyFill="1" applyBorder="1" applyAlignment="1">
      <alignment wrapText="1"/>
    </xf>
    <xf numFmtId="0" fontId="1" fillId="18" borderId="99" xfId="0" applyFont="1" applyFill="1" applyBorder="1" applyAlignment="1">
      <alignment horizontal="center" wrapText="1"/>
    </xf>
    <xf numFmtId="0" fontId="22" fillId="15" borderId="0" xfId="1" applyAlignment="1">
      <alignment horizontal="right"/>
    </xf>
    <xf numFmtId="0" fontId="22" fillId="15" borderId="10" xfId="1" applyBorder="1" applyAlignment="1">
      <alignment horizontal="center"/>
    </xf>
    <xf numFmtId="0" fontId="5" fillId="3" borderId="69" xfId="0" applyFont="1" applyFill="1" applyBorder="1"/>
    <xf numFmtId="0" fontId="1" fillId="0" borderId="10" xfId="0" applyFont="1" applyBorder="1" applyAlignment="1">
      <alignment horizontal="right" wrapText="1"/>
    </xf>
    <xf numFmtId="0" fontId="1" fillId="17" borderId="6" xfId="0" applyFont="1" applyFill="1" applyBorder="1" applyAlignment="1">
      <alignment horizontal="center" vertical="center" wrapText="1"/>
    </xf>
    <xf numFmtId="0" fontId="1" fillId="17" borderId="7" xfId="0" applyFont="1" applyFill="1" applyBorder="1" applyAlignment="1">
      <alignment horizontal="center" vertical="center" wrapText="1"/>
    </xf>
    <xf numFmtId="0" fontId="1" fillId="17" borderId="8" xfId="0" applyFont="1" applyFill="1" applyBorder="1" applyAlignment="1">
      <alignment horizontal="center" vertical="center" wrapText="1"/>
    </xf>
    <xf numFmtId="0" fontId="22" fillId="15" borderId="12" xfId="1" applyBorder="1" applyAlignment="1">
      <alignment horizontal="center" vertical="center"/>
    </xf>
    <xf numFmtId="0" fontId="22" fillId="15" borderId="13" xfId="1" applyBorder="1"/>
    <xf numFmtId="0" fontId="4" fillId="0" borderId="1" xfId="0" applyFont="1" applyBorder="1" applyAlignment="1">
      <alignment horizontal="center" vertical="center"/>
    </xf>
    <xf numFmtId="0" fontId="6" fillId="0" borderId="2" xfId="0" applyFont="1" applyBorder="1"/>
    <xf numFmtId="0" fontId="8" fillId="0" borderId="4" xfId="0" applyFont="1" applyBorder="1" applyAlignment="1">
      <alignment horizontal="center" vertical="center"/>
    </xf>
    <xf numFmtId="0" fontId="0" fillId="0" borderId="0" xfId="0"/>
    <xf numFmtId="0" fontId="10" fillId="3" borderId="7" xfId="0" applyFont="1" applyFill="1" applyBorder="1" applyAlignment="1">
      <alignment horizontal="left" vertical="center"/>
    </xf>
    <xf numFmtId="0" fontId="6" fillId="0" borderId="7" xfId="0" applyFont="1" applyBorder="1"/>
    <xf numFmtId="0" fontId="6" fillId="0" borderId="8" xfId="0" applyFont="1" applyBorder="1"/>
    <xf numFmtId="0" fontId="11" fillId="0" borderId="4" xfId="0" applyFont="1" applyBorder="1" applyAlignment="1">
      <alignment horizontal="right" vertical="center"/>
    </xf>
    <xf numFmtId="0" fontId="6" fillId="0" borderId="4" xfId="0" applyFont="1" applyBorder="1"/>
    <xf numFmtId="0" fontId="11" fillId="0" borderId="0" xfId="0" applyFont="1" applyAlignment="1">
      <alignment vertical="center"/>
    </xf>
    <xf numFmtId="0" fontId="6" fillId="0" borderId="10" xfId="0" applyFont="1" applyBorder="1"/>
    <xf numFmtId="0" fontId="5" fillId="0" borderId="0" xfId="0" applyFont="1" applyAlignment="1">
      <alignment wrapText="1"/>
    </xf>
    <xf numFmtId="0" fontId="11" fillId="2" borderId="6" xfId="0" applyFont="1" applyFill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0" fontId="6" fillId="0" borderId="22" xfId="0" applyFont="1" applyBorder="1"/>
    <xf numFmtId="0" fontId="6" fillId="0" borderId="23" xfId="0" applyFont="1" applyBorder="1"/>
    <xf numFmtId="0" fontId="11" fillId="2" borderId="0" xfId="0" applyFont="1" applyFill="1" applyAlignment="1">
      <alignment vertical="center"/>
    </xf>
    <xf numFmtId="0" fontId="11" fillId="0" borderId="0" xfId="0" quotePrefix="1" applyFont="1" applyAlignment="1">
      <alignment vertical="center"/>
    </xf>
    <xf numFmtId="0" fontId="2" fillId="16" borderId="0" xfId="0" applyFont="1" applyFill="1" applyAlignment="1">
      <alignment vertical="center" wrapText="1"/>
    </xf>
    <xf numFmtId="0" fontId="14" fillId="0" borderId="34" xfId="0" applyFont="1" applyBorder="1" applyAlignment="1">
      <alignment horizontal="left" vertical="center"/>
    </xf>
    <xf numFmtId="0" fontId="6" fillId="0" borderId="28" xfId="0" applyFont="1" applyBorder="1"/>
    <xf numFmtId="0" fontId="10" fillId="3" borderId="29" xfId="0" applyFont="1" applyFill="1" applyBorder="1" applyAlignment="1">
      <alignment horizontal="left" vertical="center"/>
    </xf>
    <xf numFmtId="0" fontId="6" fillId="0" borderId="29" xfId="0" applyFont="1" applyBorder="1"/>
    <xf numFmtId="0" fontId="6" fillId="0" borderId="30" xfId="0" applyFont="1" applyBorder="1"/>
    <xf numFmtId="0" fontId="11" fillId="0" borderId="0" xfId="0" applyFont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2" borderId="14" xfId="0" applyFont="1" applyFill="1" applyBorder="1" applyAlignment="1">
      <alignment horizontal="center" vertical="center"/>
    </xf>
    <xf numFmtId="0" fontId="6" fillId="0" borderId="15" xfId="0" applyFont="1" applyBorder="1"/>
    <xf numFmtId="0" fontId="6" fillId="0" borderId="16" xfId="0" applyFont="1" applyBorder="1"/>
    <xf numFmtId="0" fontId="14" fillId="0" borderId="4" xfId="0" applyFont="1" applyBorder="1" applyAlignment="1">
      <alignment horizontal="right" vertical="center" wrapText="1"/>
    </xf>
    <xf numFmtId="0" fontId="5" fillId="0" borderId="0" xfId="0" applyFont="1" applyAlignment="1">
      <alignment horizontal="center"/>
    </xf>
    <xf numFmtId="0" fontId="9" fillId="4" borderId="38" xfId="0" applyFont="1" applyFill="1" applyBorder="1" applyAlignment="1">
      <alignment horizontal="center" wrapText="1"/>
    </xf>
    <xf numFmtId="0" fontId="6" fillId="0" borderId="42" xfId="0" applyFont="1" applyBorder="1"/>
    <xf numFmtId="0" fontId="6" fillId="0" borderId="9" xfId="0" applyFont="1" applyBorder="1"/>
    <xf numFmtId="0" fontId="9" fillId="4" borderId="39" xfId="0" applyFont="1" applyFill="1" applyBorder="1" applyAlignment="1">
      <alignment horizontal="center"/>
    </xf>
    <xf numFmtId="0" fontId="6" fillId="0" borderId="43" xfId="0" applyFont="1" applyBorder="1"/>
    <xf numFmtId="0" fontId="6" fillId="0" borderId="45" xfId="0" applyFont="1" applyBorder="1"/>
    <xf numFmtId="0" fontId="13" fillId="7" borderId="0" xfId="0" applyFont="1" applyFill="1" applyAlignment="1">
      <alignment horizontal="center" vertical="center"/>
    </xf>
    <xf numFmtId="0" fontId="9" fillId="4" borderId="36" xfId="0" applyFont="1" applyFill="1" applyBorder="1" applyAlignment="1">
      <alignment horizontal="center"/>
    </xf>
    <xf numFmtId="0" fontId="6" fillId="0" borderId="40" xfId="0" applyFont="1" applyBorder="1"/>
    <xf numFmtId="0" fontId="6" fillId="0" borderId="46" xfId="0" applyFont="1" applyBorder="1"/>
    <xf numFmtId="0" fontId="9" fillId="4" borderId="37" xfId="0" applyFont="1" applyFill="1" applyBorder="1" applyAlignment="1">
      <alignment horizontal="center" wrapText="1"/>
    </xf>
    <xf numFmtId="0" fontId="6" fillId="0" borderId="41" xfId="0" applyFont="1" applyBorder="1"/>
    <xf numFmtId="0" fontId="6" fillId="0" borderId="44" xfId="0" applyFont="1" applyBorder="1"/>
    <xf numFmtId="0" fontId="9" fillId="4" borderId="38" xfId="0" applyFont="1" applyFill="1" applyBorder="1" applyAlignment="1">
      <alignment horizontal="center"/>
    </xf>
    <xf numFmtId="0" fontId="13" fillId="18" borderId="94" xfId="0" applyFont="1" applyFill="1" applyBorder="1" applyAlignment="1">
      <alignment horizontal="center" wrapText="1"/>
    </xf>
    <xf numFmtId="0" fontId="13" fillId="18" borderId="95" xfId="0" applyFont="1" applyFill="1" applyBorder="1" applyAlignment="1">
      <alignment horizontal="center" wrapText="1"/>
    </xf>
    <xf numFmtId="0" fontId="13" fillId="18" borderId="96" xfId="0" applyFont="1" applyFill="1" applyBorder="1" applyAlignment="1">
      <alignment horizontal="center" wrapText="1"/>
    </xf>
    <xf numFmtId="0" fontId="13" fillId="18" borderId="98" xfId="0" applyFont="1" applyFill="1" applyBorder="1" applyAlignment="1">
      <alignment horizontal="center" vertical="center" wrapText="1"/>
    </xf>
    <xf numFmtId="0" fontId="13" fillId="18" borderId="90" xfId="0" applyFont="1" applyFill="1" applyBorder="1" applyAlignment="1">
      <alignment horizontal="center" vertical="center" wrapText="1"/>
    </xf>
    <xf numFmtId="0" fontId="13" fillId="18" borderId="9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6" fillId="8" borderId="18" xfId="0" applyFont="1" applyFill="1" applyBorder="1" applyAlignment="1">
      <alignment horizontal="center" vertical="center"/>
    </xf>
    <xf numFmtId="0" fontId="6" fillId="5" borderId="9" xfId="0" applyFont="1" applyFill="1" applyBorder="1"/>
    <xf numFmtId="0" fontId="16" fillId="8" borderId="12" xfId="0" applyFont="1" applyFill="1" applyBorder="1" applyAlignment="1">
      <alignment horizontal="center" vertical="center"/>
    </xf>
    <xf numFmtId="0" fontId="6" fillId="8" borderId="13" xfId="0" applyFont="1" applyFill="1" applyBorder="1"/>
    <xf numFmtId="0" fontId="9" fillId="0" borderId="0" xfId="0" applyFont="1" applyAlignment="1">
      <alignment horizontal="center"/>
    </xf>
    <xf numFmtId="0" fontId="16" fillId="5" borderId="12" xfId="0" applyFont="1" applyFill="1" applyBorder="1" applyAlignment="1">
      <alignment horizontal="center" vertical="center"/>
    </xf>
    <xf numFmtId="0" fontId="6" fillId="5" borderId="13" xfId="0" applyFont="1" applyFill="1" applyBorder="1"/>
    <xf numFmtId="0" fontId="9" fillId="0" borderId="0" xfId="0" applyFont="1" applyAlignment="1">
      <alignment horizontal="center" wrapText="1"/>
    </xf>
    <xf numFmtId="0" fontId="16" fillId="8" borderId="18" xfId="0" applyFont="1" applyFill="1" applyBorder="1" applyAlignment="1">
      <alignment horizontal="center" vertical="center" wrapText="1"/>
    </xf>
    <xf numFmtId="0" fontId="16" fillId="0" borderId="36" xfId="0" applyFont="1" applyBorder="1" applyAlignment="1">
      <alignment horizontal="center" vertical="center"/>
    </xf>
    <xf numFmtId="0" fontId="16" fillId="0" borderId="71" xfId="0" applyFont="1" applyBorder="1" applyAlignment="1">
      <alignment horizontal="center" vertical="center"/>
    </xf>
    <xf numFmtId="0" fontId="6" fillId="0" borderId="73" xfId="0" applyFont="1" applyBorder="1"/>
    <xf numFmtId="0" fontId="16" fillId="0" borderId="70" xfId="0" applyFont="1" applyBorder="1" applyAlignment="1">
      <alignment horizontal="center" vertical="center"/>
    </xf>
    <xf numFmtId="0" fontId="9" fillId="0" borderId="28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9" fillId="14" borderId="69" xfId="0" applyFont="1" applyFill="1" applyBorder="1" applyAlignment="1">
      <alignment horizontal="center"/>
    </xf>
    <xf numFmtId="0" fontId="9" fillId="0" borderId="69" xfId="0" applyFont="1" applyBorder="1" applyAlignment="1">
      <alignment horizontal="center"/>
    </xf>
    <xf numFmtId="0" fontId="4" fillId="0" borderId="69" xfId="0" applyFont="1" applyBorder="1" applyAlignment="1">
      <alignment horizontal="center" vertical="center"/>
    </xf>
    <xf numFmtId="0" fontId="21" fillId="0" borderId="69" xfId="0" applyFont="1" applyBorder="1" applyAlignment="1">
      <alignment horizontal="center"/>
    </xf>
  </cellXfs>
  <cellStyles count="2">
    <cellStyle name="Dålig" xfId="1" builtinId="27"/>
    <cellStyle name="Normal" xfId="0" builtinId="0"/>
  </cellStyles>
  <dxfs count="18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'Take-off'!$B$56</c:f>
              <c:strCache>
                <c:ptCount val="1"/>
                <c:pt idx="0">
                  <c:v>ASDA</c:v>
                </c:pt>
              </c:strCache>
            </c:strRef>
          </c:tx>
          <c:spPr>
            <a:solidFill>
              <a:srgbClr val="CCCCCC"/>
            </a:solidFill>
            <a:ln cmpd="sng">
              <a:solidFill>
                <a:srgbClr val="000000">
                  <a:alpha val="0"/>
                </a:srgbClr>
              </a:solidFill>
            </a:ln>
          </c:spPr>
          <c:invertIfNegative val="1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0-BAFD-41BD-BEFC-02FF4D7095A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'Take-off'!$C$55:$D$55</c:f>
              <c:strCache>
                <c:ptCount val="2"/>
                <c:pt idx="0">
                  <c:v>Flaps UP</c:v>
                </c:pt>
                <c:pt idx="1">
                  <c:v>Flaps APPROACH</c:v>
                </c:pt>
              </c:strCache>
            </c:strRef>
          </c:cat>
          <c:val>
            <c:numRef>
              <c:f>'Take-off'!$C$56:$D$56</c:f>
              <c:numCache>
                <c:formatCode>0</c:formatCode>
                <c:ptCount val="2"/>
                <c:pt idx="0">
                  <c:v>1691</c:v>
                </c:pt>
                <c:pt idx="1">
                  <c:v>1691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>
                        <a:alpha val="0"/>
                      </a:srgbClr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AFD-41BD-BEFC-02FF4D7095A7}"/>
            </c:ext>
          </c:extLst>
        </c:ser>
        <c:ser>
          <c:idx val="1"/>
          <c:order val="1"/>
          <c:tx>
            <c:strRef>
              <c:f>'Take-off'!$B$57</c:f>
              <c:strCache>
                <c:ptCount val="1"/>
                <c:pt idx="0">
                  <c:v>TODA</c:v>
                </c:pt>
              </c:strCache>
            </c:strRef>
          </c:tx>
          <c:spPr>
            <a:solidFill>
              <a:srgbClr val="999999"/>
            </a:solidFill>
            <a:ln cmpd="sng">
              <a:solidFill>
                <a:srgbClr val="000000">
                  <a:alpha val="0"/>
                </a:srgbClr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'Take-off'!$C$55:$D$55</c:f>
              <c:strCache>
                <c:ptCount val="2"/>
                <c:pt idx="0">
                  <c:v>Flaps UP</c:v>
                </c:pt>
                <c:pt idx="1">
                  <c:v>Flaps APPROACH</c:v>
                </c:pt>
              </c:strCache>
            </c:strRef>
          </c:cat>
          <c:val>
            <c:numRef>
              <c:f>'Take-off'!$C$57:$D$57</c:f>
              <c:numCache>
                <c:formatCode>0</c:formatCode>
                <c:ptCount val="2"/>
                <c:pt idx="0">
                  <c:v>1691</c:v>
                </c:pt>
                <c:pt idx="1">
                  <c:v>1691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>
                        <a:alpha val="0"/>
                      </a:srgbClr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BAFD-41BD-BEFC-02FF4D7095A7}"/>
            </c:ext>
          </c:extLst>
        </c:ser>
        <c:ser>
          <c:idx val="2"/>
          <c:order val="2"/>
          <c:tx>
            <c:strRef>
              <c:f>'Take-off'!$B$58</c:f>
              <c:strCache>
                <c:ptCount val="1"/>
                <c:pt idx="0">
                  <c:v>Dry Runway</c:v>
                </c:pt>
              </c:strCache>
            </c:strRef>
          </c:tx>
          <c:spPr>
            <a:solidFill>
              <a:srgbClr val="6D9EEB"/>
            </a:solidFill>
            <a:ln cmpd="sng">
              <a:solidFill>
                <a:srgbClr val="000000">
                  <a:alpha val="0"/>
                </a:srgbClr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'Take-off'!$C$55:$D$55</c:f>
              <c:strCache>
                <c:ptCount val="2"/>
                <c:pt idx="0">
                  <c:v>Flaps UP</c:v>
                </c:pt>
                <c:pt idx="1">
                  <c:v>Flaps APPROACH</c:v>
                </c:pt>
              </c:strCache>
            </c:strRef>
          </c:cat>
          <c:val>
            <c:numRef>
              <c:f>'Take-off'!$C$58:$D$58</c:f>
              <c:numCache>
                <c:formatCode>0</c:formatCode>
                <c:ptCount val="2"/>
                <c:pt idx="0">
                  <c:v>1850.1210131332084</c:v>
                </c:pt>
                <c:pt idx="1">
                  <c:v>1376.0692073170735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>
                        <a:alpha val="0"/>
                      </a:srgbClr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BAFD-41BD-BEFC-02FF4D7095A7}"/>
            </c:ext>
          </c:extLst>
        </c:ser>
        <c:ser>
          <c:idx val="3"/>
          <c:order val="3"/>
          <c:tx>
            <c:strRef>
              <c:f>'Take-off'!$B$59</c:f>
              <c:strCache>
                <c:ptCount val="1"/>
                <c:pt idx="0">
                  <c:v>Selected contaminant</c:v>
                </c:pt>
              </c:strCache>
            </c:strRef>
          </c:tx>
          <c:spPr>
            <a:solidFill>
              <a:srgbClr val="FFC000"/>
            </a:solidFill>
            <a:ln cmpd="sng">
              <a:solidFill>
                <a:srgbClr val="000000">
                  <a:alpha val="0"/>
                </a:srgbClr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'Take-off'!$C$55:$D$55</c:f>
              <c:strCache>
                <c:ptCount val="2"/>
                <c:pt idx="0">
                  <c:v>Flaps UP</c:v>
                </c:pt>
                <c:pt idx="1">
                  <c:v>Flaps APPROACH</c:v>
                </c:pt>
              </c:strCache>
            </c:strRef>
          </c:cat>
          <c:val>
            <c:numRef>
              <c:f>'Take-off'!$C$59:$D$59</c:f>
              <c:numCache>
                <c:formatCode>0</c:formatCode>
                <c:ptCount val="2"/>
                <c:pt idx="0">
                  <c:v>2257.1476360225142</c:v>
                </c:pt>
                <c:pt idx="1">
                  <c:v>1678.8044329268296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>
                        <a:alpha val="0"/>
                      </a:srgbClr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BAFD-41BD-BEFC-02FF4D7095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5692278"/>
        <c:axId val="1756175551"/>
      </c:barChart>
      <c:catAx>
        <c:axId val="49569227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56175551"/>
        <c:crosses val="autoZero"/>
        <c:auto val="1"/>
        <c:lblAlgn val="ctr"/>
        <c:lblOffset val="100"/>
        <c:noMultiLvlLbl val="1"/>
      </c:catAx>
      <c:valAx>
        <c:axId val="175617555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Banlängder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95692278"/>
        <c:crosses val="max"/>
        <c:crossBetween val="between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Landing!$B$36</c:f>
              <c:strCache>
                <c:ptCount val="1"/>
                <c:pt idx="0">
                  <c:v>LDA</c:v>
                </c:pt>
              </c:strCache>
            </c:strRef>
          </c:tx>
          <c:spPr>
            <a:solidFill>
              <a:srgbClr val="666666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Landing!$C$35:$D$35</c:f>
              <c:strCache>
                <c:ptCount val="2"/>
                <c:pt idx="0">
                  <c:v>Flaps UP</c:v>
                </c:pt>
                <c:pt idx="1">
                  <c:v>Flaps FULL</c:v>
                </c:pt>
              </c:strCache>
            </c:strRef>
          </c:cat>
          <c:val>
            <c:numRef>
              <c:f>Landing!$C$36:$D$36</c:f>
              <c:numCache>
                <c:formatCode>0</c:formatCode>
                <c:ptCount val="2"/>
                <c:pt idx="0">
                  <c:v>1701</c:v>
                </c:pt>
                <c:pt idx="1">
                  <c:v>1701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BC6-4864-B658-B6863945E117}"/>
            </c:ext>
          </c:extLst>
        </c:ser>
        <c:ser>
          <c:idx val="1"/>
          <c:order val="1"/>
          <c:tx>
            <c:strRef>
              <c:f>Landing!$B$37</c:f>
              <c:strCache>
                <c:ptCount val="1"/>
                <c:pt idx="0">
                  <c:v>Landing distance</c:v>
                </c:pt>
              </c:strCache>
            </c:strRef>
          </c:tx>
          <c:spPr>
            <a:solidFill>
              <a:srgbClr val="6D9EEB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Landing!$C$35:$D$35</c:f>
              <c:strCache>
                <c:ptCount val="2"/>
                <c:pt idx="0">
                  <c:v>Flaps UP</c:v>
                </c:pt>
                <c:pt idx="1">
                  <c:v>Flaps FULL</c:v>
                </c:pt>
              </c:strCache>
            </c:strRef>
          </c:cat>
          <c:val>
            <c:numRef>
              <c:f>Landing!$C$37:$D$37</c:f>
              <c:numCache>
                <c:formatCode>0</c:formatCode>
                <c:ptCount val="2"/>
                <c:pt idx="0">
                  <c:v>1236.3042003484322</c:v>
                </c:pt>
                <c:pt idx="1">
                  <c:v>961.91180076021544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BC6-4864-B658-B6863945E1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67891848"/>
        <c:axId val="380413166"/>
      </c:barChart>
      <c:catAx>
        <c:axId val="126789184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200" b="1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80413166"/>
        <c:crosses val="autoZero"/>
        <c:auto val="1"/>
        <c:lblAlgn val="ctr"/>
        <c:lblOffset val="100"/>
        <c:noMultiLvlLbl val="1"/>
      </c:catAx>
      <c:valAx>
        <c:axId val="38041316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Banlängder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67891848"/>
        <c:crosses val="max"/>
        <c:crossBetween val="between"/>
      </c:valAx>
    </c:plotArea>
    <c:legend>
      <c:legendPos val="t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237878</xdr:colOff>
      <xdr:row>47</xdr:row>
      <xdr:rowOff>84068</xdr:rowOff>
    </xdr:from>
    <xdr:ext cx="5229225" cy="3533775"/>
    <xdr:graphicFrame macro="">
      <xdr:nvGraphicFramePr>
        <xdr:cNvPr id="4" name="Chart 1" title="Diagram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238125</xdr:colOff>
      <xdr:row>31</xdr:row>
      <xdr:rowOff>133350</xdr:rowOff>
    </xdr:from>
    <xdr:ext cx="5153025" cy="2667000"/>
    <xdr:graphicFrame macro="">
      <xdr:nvGraphicFramePr>
        <xdr:cNvPr id="2" name="Chart 2" title="Diagram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Blad1">
    <pageSetUpPr fitToPage="1"/>
  </sheetPr>
  <dimension ref="A2:L73"/>
  <sheetViews>
    <sheetView showGridLines="0" tabSelected="1" topLeftCell="A60" workbookViewId="0">
      <selection activeCell="C70" sqref="C70"/>
    </sheetView>
  </sheetViews>
  <sheetFormatPr defaultColWidth="14.44140625" defaultRowHeight="15" customHeight="1"/>
  <cols>
    <col min="1" max="1" width="4" customWidth="1"/>
    <col min="2" max="2" width="28.5546875" customWidth="1"/>
    <col min="3" max="4" width="12.109375" customWidth="1"/>
    <col min="5" max="6" width="12.6640625" customWidth="1"/>
    <col min="7" max="7" width="12.109375" customWidth="1"/>
    <col min="8" max="8" width="2.6640625" customWidth="1"/>
    <col min="9" max="9" width="16.21875" customWidth="1"/>
    <col min="10" max="13" width="12.109375" customWidth="1"/>
    <col min="14" max="14" width="10" customWidth="1"/>
  </cols>
  <sheetData>
    <row r="2" spans="2:12" ht="14.25" customHeight="1">
      <c r="B2" s="318" t="s">
        <v>235</v>
      </c>
      <c r="C2" s="319"/>
      <c r="D2" s="319"/>
      <c r="E2" s="319"/>
      <c r="F2" s="279"/>
      <c r="G2" s="3" t="s">
        <v>0</v>
      </c>
      <c r="H2" s="2"/>
    </row>
    <row r="3" spans="2:12" ht="14.25" customHeight="1">
      <c r="B3" s="320" t="s">
        <v>227</v>
      </c>
      <c r="C3" s="321"/>
      <c r="D3" s="321"/>
      <c r="E3" s="321"/>
      <c r="G3" s="4" t="s">
        <v>226</v>
      </c>
      <c r="H3" s="2"/>
    </row>
    <row r="4" spans="2:12" ht="14.25" customHeight="1" thickBot="1">
      <c r="B4" s="5" t="s">
        <v>1</v>
      </c>
      <c r="C4" s="322" t="s">
        <v>2</v>
      </c>
      <c r="D4" s="323"/>
      <c r="E4" s="323"/>
      <c r="F4" s="323"/>
      <c r="G4" s="324"/>
      <c r="I4" s="2" t="s">
        <v>3</v>
      </c>
    </row>
    <row r="5" spans="2:12" ht="14.25" customHeight="1">
      <c r="B5" s="288"/>
      <c r="D5" s="230"/>
      <c r="E5" s="230"/>
      <c r="F5" s="230"/>
      <c r="G5" s="278"/>
      <c r="I5" s="2"/>
    </row>
    <row r="6" spans="2:12" ht="14.25" customHeight="1">
      <c r="B6" s="325" t="s">
        <v>4</v>
      </c>
      <c r="C6" s="8">
        <v>300</v>
      </c>
      <c r="D6" s="9" t="s">
        <v>5</v>
      </c>
      <c r="E6" s="327" t="str">
        <f>IF(C24&lt;0, "Tailwind", "")</f>
        <v/>
      </c>
      <c r="F6" s="327"/>
      <c r="G6" s="328"/>
      <c r="I6" s="2" t="s">
        <v>6</v>
      </c>
    </row>
    <row r="7" spans="2:12" ht="14.25" customHeight="1">
      <c r="B7" s="326"/>
      <c r="C7" s="10">
        <v>0</v>
      </c>
      <c r="D7" s="9" t="s">
        <v>7</v>
      </c>
      <c r="E7" s="321"/>
      <c r="F7" s="321"/>
      <c r="G7" s="328"/>
    </row>
    <row r="8" spans="2:12" ht="14.25" customHeight="1">
      <c r="B8" s="7" t="s">
        <v>8</v>
      </c>
      <c r="C8" s="10">
        <v>0</v>
      </c>
      <c r="D8" s="9" t="s">
        <v>9</v>
      </c>
      <c r="E8" s="2"/>
      <c r="F8" s="2"/>
      <c r="G8" s="11"/>
      <c r="I8" s="2"/>
    </row>
    <row r="9" spans="2:12" ht="14.25" customHeight="1">
      <c r="B9" s="7" t="s">
        <v>10</v>
      </c>
      <c r="C9" s="10">
        <v>1013</v>
      </c>
      <c r="D9" s="9" t="s">
        <v>11</v>
      </c>
      <c r="E9" s="12"/>
      <c r="F9" s="12"/>
      <c r="G9" s="11"/>
    </row>
    <row r="10" spans="2:12" ht="14.25" customHeight="1">
      <c r="B10" s="7" t="s">
        <v>12</v>
      </c>
      <c r="C10" s="10">
        <v>3</v>
      </c>
      <c r="D10" s="9"/>
      <c r="E10" s="2"/>
      <c r="F10" s="2"/>
      <c r="G10" s="11"/>
    </row>
    <row r="11" spans="2:12" ht="14.25" customHeight="1">
      <c r="B11" s="285" t="s">
        <v>13</v>
      </c>
      <c r="C11" s="316" t="s">
        <v>142</v>
      </c>
      <c r="D11" s="317"/>
      <c r="E11" s="2"/>
      <c r="F11" s="2"/>
      <c r="G11" s="11"/>
    </row>
    <row r="12" spans="2:12" ht="14.25" customHeight="1">
      <c r="B12" s="285" t="s">
        <v>15</v>
      </c>
      <c r="C12" s="286">
        <v>0</v>
      </c>
      <c r="D12" s="287" t="s">
        <v>16</v>
      </c>
      <c r="E12" s="309" t="s">
        <v>17</v>
      </c>
      <c r="F12" s="309"/>
      <c r="G12" s="310" t="str">
        <f>VLOOKUP(C11,'Dropdown lists'!B34:F40,5,FALSE)</f>
        <v>N/A</v>
      </c>
    </row>
    <row r="13" spans="2:12" ht="14.25" customHeight="1">
      <c r="B13" s="7" t="s">
        <v>18</v>
      </c>
      <c r="C13" s="10" t="s">
        <v>19</v>
      </c>
      <c r="D13" s="9"/>
      <c r="E13" s="2"/>
      <c r="F13" s="2"/>
      <c r="G13" s="11"/>
      <c r="I13" s="329" t="s">
        <v>20</v>
      </c>
      <c r="J13" s="321"/>
      <c r="K13" s="321"/>
      <c r="L13" s="321"/>
    </row>
    <row r="14" spans="2:12" ht="14.25" customHeight="1">
      <c r="B14" s="7" t="s">
        <v>21</v>
      </c>
      <c r="C14" s="10">
        <v>12350</v>
      </c>
      <c r="D14" s="9" t="s">
        <v>22</v>
      </c>
      <c r="E14" s="2"/>
      <c r="F14" s="2"/>
      <c r="G14" s="11"/>
      <c r="I14" s="321"/>
      <c r="J14" s="321"/>
      <c r="K14" s="321"/>
      <c r="L14" s="321"/>
    </row>
    <row r="15" spans="2:12" ht="14.25" customHeight="1">
      <c r="B15" s="14" t="s">
        <v>25</v>
      </c>
      <c r="C15" s="334"/>
      <c r="D15" s="321"/>
      <c r="E15" s="321"/>
      <c r="F15" s="321"/>
      <c r="G15" s="328"/>
      <c r="H15" s="9"/>
    </row>
    <row r="16" spans="2:12" ht="14.25" customHeight="1">
      <c r="B16" s="7" t="s">
        <v>26</v>
      </c>
      <c r="C16" s="15">
        <f>_xlfn.XLOOKUP(C4,'Airport data'!A5:A999,'Airport data'!B5:B999)</f>
        <v>1177</v>
      </c>
      <c r="D16" s="9" t="s">
        <v>27</v>
      </c>
      <c r="G16" s="11"/>
      <c r="H16" s="2"/>
    </row>
    <row r="17" spans="2:10" ht="14.4">
      <c r="B17" s="7" t="s">
        <v>28</v>
      </c>
      <c r="C17" s="16">
        <f>_xlfn.XLOOKUP(C4,'Airport data'!A5:A999,'Airport data'!G5:G999)</f>
        <v>0</v>
      </c>
      <c r="D17" s="9" t="s">
        <v>29</v>
      </c>
      <c r="E17" s="335" t="s">
        <v>30</v>
      </c>
      <c r="F17" s="335"/>
      <c r="G17" s="328"/>
      <c r="H17" s="2"/>
    </row>
    <row r="18" spans="2:10" ht="14.4">
      <c r="B18" s="7" t="s">
        <v>31</v>
      </c>
      <c r="C18" s="15">
        <f>_xlfn.XLOOKUP(C4,'Airport data'!A5:A999,'Airport data'!H5:H999)</f>
        <v>262</v>
      </c>
      <c r="D18" s="9" t="s">
        <v>5</v>
      </c>
      <c r="G18" s="11"/>
      <c r="H18" s="2"/>
    </row>
    <row r="19" spans="2:10" ht="14.4">
      <c r="B19" s="7" t="s">
        <v>32</v>
      </c>
      <c r="C19" s="15">
        <f>_xlfn.XLOOKUP(C4,'Airport data'!A5:A999,'Airport data'!E5:E999)-10</f>
        <v>1691</v>
      </c>
      <c r="D19" s="9" t="s">
        <v>33</v>
      </c>
      <c r="E19" s="13"/>
      <c r="F19" s="13" t="s">
        <v>34</v>
      </c>
      <c r="G19" s="11">
        <f t="array" ref="G19">INDEX('Airport data'!$B$5:$I$37,MATCH($C$4,'Airport data'!$A$5:$A$37,0),7)</f>
        <v>262</v>
      </c>
      <c r="H19" s="2"/>
    </row>
    <row r="20" spans="2:10" ht="14.4">
      <c r="B20" s="7" t="s">
        <v>243</v>
      </c>
      <c r="C20" s="15">
        <f>_xlfn.XLOOKUP(C4,'Airport data'!A5:A999,'Airport data'!C5:C999)-10</f>
        <v>-10</v>
      </c>
      <c r="D20" s="9" t="s">
        <v>33</v>
      </c>
      <c r="E20" s="13"/>
      <c r="F20" s="13"/>
      <c r="G20" s="11"/>
      <c r="H20" s="2"/>
    </row>
    <row r="21" spans="2:10" ht="14.4">
      <c r="B21" s="7" t="s">
        <v>35</v>
      </c>
      <c r="C21" s="15">
        <f>_xlfn.XLOOKUP(C4,'Airport data'!A5:A999,'Airport data'!D5:D999)-10</f>
        <v>1691</v>
      </c>
      <c r="D21" s="9" t="s">
        <v>33</v>
      </c>
      <c r="E21" s="289" t="s">
        <v>245</v>
      </c>
      <c r="F21" s="290">
        <f>C35*1.15</f>
        <v>789.78031027439022</v>
      </c>
    </row>
    <row r="22" spans="2:10" ht="14.4">
      <c r="B22" s="7" t="s">
        <v>70</v>
      </c>
      <c r="C22" s="15">
        <f>_xlfn.XLOOKUP(C4,'Airport data'!A5:A999,'Airport data'!F5:F999)</f>
        <v>1701</v>
      </c>
      <c r="D22" s="9" t="s">
        <v>33</v>
      </c>
      <c r="E22" s="13"/>
      <c r="F22" s="13"/>
      <c r="G22" s="11"/>
    </row>
    <row r="23" spans="2:10" ht="14.4">
      <c r="B23" s="17" t="s">
        <v>36</v>
      </c>
      <c r="C23" s="334"/>
      <c r="D23" s="321"/>
      <c r="E23" s="321"/>
      <c r="F23" s="321"/>
      <c r="G23" s="328"/>
      <c r="H23" s="2"/>
    </row>
    <row r="24" spans="2:10" ht="14.4">
      <c r="B24" s="7" t="s">
        <v>37</v>
      </c>
      <c r="C24" s="18">
        <f>'TAKE OFF Performance FLAPS UP'!D34</f>
        <v>0</v>
      </c>
      <c r="D24" s="9" t="s">
        <v>38</v>
      </c>
      <c r="E24" s="281" t="s">
        <v>241</v>
      </c>
      <c r="F24" s="281"/>
      <c r="G24" s="181">
        <f>LOOKUP(C10,'Dropdown lists'!B4:B9,'Dropdown lists'!D4:D9)</f>
        <v>1.22</v>
      </c>
      <c r="I24" s="281"/>
    </row>
    <row r="25" spans="2:10" thickBot="1">
      <c r="B25" s="7" t="s">
        <v>39</v>
      </c>
      <c r="C25" s="18">
        <f>ABS('TAKE OFF Performance FLAPS UP'!C39*C7)</f>
        <v>0</v>
      </c>
      <c r="D25" s="9" t="s">
        <v>38</v>
      </c>
      <c r="E25" s="19" t="s">
        <v>40</v>
      </c>
      <c r="F25" s="20">
        <f>LOOKUP(C10,'Dropdown lists'!B4:B9,'Dropdown lists'!E4:E9)</f>
        <v>14</v>
      </c>
      <c r="H25" s="2"/>
    </row>
    <row r="26" spans="2:10" thickBot="1">
      <c r="B26" s="22" t="s">
        <v>41</v>
      </c>
      <c r="C26" s="23" t="s">
        <v>42</v>
      </c>
      <c r="D26" s="23" t="s">
        <v>43</v>
      </c>
      <c r="E26" s="24" t="s">
        <v>44</v>
      </c>
      <c r="F26" s="24"/>
      <c r="G26" s="25" t="s">
        <v>45</v>
      </c>
    </row>
    <row r="27" spans="2:10" thickBot="1">
      <c r="B27" s="330" t="s">
        <v>46</v>
      </c>
      <c r="C27" s="323"/>
      <c r="D27" s="323"/>
      <c r="E27" s="323"/>
      <c r="F27" s="323"/>
      <c r="G27" s="324"/>
      <c r="I27" s="336" t="s">
        <v>242</v>
      </c>
      <c r="J27" s="336"/>
    </row>
    <row r="28" spans="2:10" ht="14.4">
      <c r="B28" s="14"/>
      <c r="C28" s="230"/>
      <c r="D28" s="230"/>
      <c r="E28" s="230"/>
      <c r="F28" s="230"/>
      <c r="G28" s="278"/>
      <c r="I28" s="336"/>
      <c r="J28" s="336"/>
    </row>
    <row r="29" spans="2:10" ht="14.4">
      <c r="B29" s="14"/>
      <c r="C29" s="230"/>
      <c r="D29" s="230"/>
      <c r="E29" s="230"/>
      <c r="F29" s="230"/>
      <c r="G29" s="278"/>
      <c r="I29" s="336"/>
      <c r="J29" s="336"/>
    </row>
    <row r="30" spans="2:10" ht="14.4">
      <c r="B30" s="26" t="s">
        <v>47</v>
      </c>
      <c r="C30" s="27">
        <f>MAX('TAKE OFF Performance FLAPS UP'!E29:E30)</f>
        <v>1850.1210131332084</v>
      </c>
      <c r="E30" s="27">
        <f>MAX('TAKE OFF Performance FLAPS APPR'!E29:E30)</f>
        <v>1376.0692073170735</v>
      </c>
      <c r="G30" s="11"/>
      <c r="H30" s="2"/>
      <c r="I30" s="336"/>
      <c r="J30" s="336"/>
    </row>
    <row r="31" spans="2:10" ht="14.4">
      <c r="B31" s="30" t="s">
        <v>48</v>
      </c>
      <c r="C31" s="31">
        <f>'TAKE OFF Performance FLAPS UP'!E$22</f>
        <v>95</v>
      </c>
      <c r="E31" s="31">
        <f>'TAKE OFF Performance FLAPS APPR'!E22</f>
        <v>94</v>
      </c>
      <c r="F31" s="117"/>
      <c r="G31" s="11"/>
      <c r="H31" s="2"/>
      <c r="I31" s="336"/>
      <c r="J31" s="336"/>
    </row>
    <row r="32" spans="2:10" ht="14.4">
      <c r="B32" s="30" t="s">
        <v>49</v>
      </c>
      <c r="C32" s="31">
        <f>'TAKE OFF Performance FLAPS UP'!E$22</f>
        <v>95</v>
      </c>
      <c r="E32" s="31">
        <f>'TAKE OFF Performance FLAPS APPR'!E22</f>
        <v>94</v>
      </c>
      <c r="F32" s="117"/>
      <c r="G32" s="11"/>
      <c r="H32" s="2"/>
      <c r="I32" s="336"/>
      <c r="J32" s="336"/>
    </row>
    <row r="33" spans="1:10" thickBot="1">
      <c r="B33" s="26" t="s">
        <v>50</v>
      </c>
      <c r="C33" s="237">
        <f>'TAKE OFF Performance FLAPS UP'!I22</f>
        <v>120.4</v>
      </c>
      <c r="E33" s="237">
        <f>'TAKE OFF Performance FLAPS APPR'!I22</f>
        <v>105.7</v>
      </c>
      <c r="F33" s="117"/>
      <c r="G33" s="11"/>
      <c r="H33" s="2"/>
      <c r="I33" s="336"/>
      <c r="J33" s="336"/>
    </row>
    <row r="34" spans="1:10" thickBot="1">
      <c r="A34" s="181"/>
      <c r="B34" s="330" t="s">
        <v>51</v>
      </c>
      <c r="C34" s="323"/>
      <c r="D34" s="323"/>
      <c r="E34" s="323"/>
      <c r="F34" s="323"/>
      <c r="G34" s="324"/>
      <c r="H34" s="215"/>
    </row>
    <row r="35" spans="1:10" thickBot="1">
      <c r="A35" s="181"/>
      <c r="B35" s="282" t="s">
        <v>238</v>
      </c>
      <c r="C35" s="284">
        <f>'TAKE OFF Performance FLAPS UP'!E28*G24</f>
        <v>686.76548719512198</v>
      </c>
      <c r="D35" s="230"/>
      <c r="E35" s="284">
        <f>'TAKE OFF Performance FLAPS APPR'!E28*G24</f>
        <v>669.85810975609763</v>
      </c>
      <c r="G35" s="278"/>
      <c r="H35" s="215"/>
    </row>
    <row r="36" spans="1:10" thickBot="1">
      <c r="B36" s="283" t="s">
        <v>239</v>
      </c>
      <c r="C36" s="27">
        <f>MAX('TAKE OFF Performance FLAPS UP'!E29:E31)*G24</f>
        <v>2257.1476360225142</v>
      </c>
      <c r="E36" s="27">
        <f>MAX('TAKE OFF Performance FLAPS APPR'!E29:E31)*G24</f>
        <v>1678.8044329268296</v>
      </c>
      <c r="G36" s="11"/>
      <c r="H36" s="2"/>
      <c r="I36" s="2"/>
    </row>
    <row r="37" spans="1:10" thickBot="1">
      <c r="B37" s="283" t="s">
        <v>240</v>
      </c>
      <c r="C37" s="27">
        <f>'TAKE OFF Performance FLAPS UP'!B32*G24</f>
        <v>1227.5333140243904</v>
      </c>
      <c r="E37" s="27">
        <f>'TAKE OFF Performance FLAPS APPR'!E32*G24</f>
        <v>1227.6863719512196</v>
      </c>
      <c r="G37" s="11"/>
      <c r="H37" s="2"/>
      <c r="I37" s="2"/>
    </row>
    <row r="38" spans="1:10" ht="14.4">
      <c r="B38" s="238" t="s">
        <v>48</v>
      </c>
      <c r="C38" s="31">
        <f>'TAKE OFF Performance FLAPS UP'!E$22</f>
        <v>95</v>
      </c>
      <c r="E38" s="31">
        <f>'TAKE OFF Performance FLAPS APPR'!E22</f>
        <v>94</v>
      </c>
      <c r="F38" s="117"/>
      <c r="G38" s="11"/>
      <c r="H38" s="2"/>
      <c r="I38" s="2"/>
    </row>
    <row r="39" spans="1:10" ht="14.4">
      <c r="B39" s="30" t="s">
        <v>49</v>
      </c>
      <c r="C39" s="31">
        <f>'TAKE OFF Performance FLAPS UP'!E$22</f>
        <v>95</v>
      </c>
      <c r="E39" s="31">
        <f>'TAKE OFF Performance FLAPS APPR'!E22</f>
        <v>94</v>
      </c>
      <c r="F39" s="117"/>
      <c r="G39" s="11"/>
      <c r="H39" s="2"/>
      <c r="I39" s="19"/>
    </row>
    <row r="40" spans="1:10" ht="14.4">
      <c r="B40" s="30" t="s">
        <v>50</v>
      </c>
      <c r="C40" s="31">
        <f>'TAKE OFF Performance FLAPS UP'!I$22</f>
        <v>120.4</v>
      </c>
      <c r="E40" s="237">
        <f>'TAKE OFF Performance FLAPS APPR'!I22</f>
        <v>105.7</v>
      </c>
      <c r="F40" s="117"/>
      <c r="G40" s="11"/>
      <c r="H40" s="2"/>
    </row>
    <row r="41" spans="1:10" ht="14.4">
      <c r="B41" s="330" t="s">
        <v>52</v>
      </c>
      <c r="C41" s="323"/>
      <c r="D41" s="323"/>
      <c r="E41" s="323"/>
      <c r="F41" s="323"/>
      <c r="G41" s="324"/>
      <c r="H41" s="2"/>
    </row>
    <row r="42" spans="1:10" ht="14.4">
      <c r="B42" s="30" t="s">
        <v>53</v>
      </c>
      <c r="C42" s="33">
        <f xml:space="preserve"> IF(  C24&gt;0, 'NET GRADIENT OF CLIMB'!C55*(125/(125-50%*ABS(C24))),  'NET GRADIENT OF CLIMB'!C55*(125/(125+150%*ABS(C24)))  )</f>
        <v>5.0383722331639769</v>
      </c>
      <c r="E42" s="33">
        <f>IF(  C24&gt;0, 'NET GRADIENT OF CLIMB'!AC54*(125/(125-50%* ABS(C24))),  'NET GRADIENT OF CLIMB'!AC54*(125/(125+150%* ABS(C24)))  )</f>
        <v>4.1269999999999998</v>
      </c>
      <c r="F42" s="291"/>
      <c r="G42" s="11"/>
      <c r="H42" s="2"/>
      <c r="I42" s="34" t="s">
        <v>54</v>
      </c>
    </row>
    <row r="43" spans="1:10" ht="14.4">
      <c r="B43" s="35" t="s">
        <v>55</v>
      </c>
      <c r="C43" s="331"/>
      <c r="D43" s="332"/>
      <c r="E43" s="333"/>
      <c r="F43" s="230"/>
      <c r="G43" s="11"/>
      <c r="H43" s="2"/>
      <c r="I43" s="2"/>
    </row>
    <row r="44" spans="1:10" ht="14.4">
      <c r="B44" s="330" t="s">
        <v>56</v>
      </c>
      <c r="C44" s="323"/>
      <c r="D44" s="323"/>
      <c r="E44" s="323"/>
      <c r="F44" s="323"/>
      <c r="G44" s="324"/>
      <c r="H44" s="2"/>
      <c r="I44" s="15"/>
    </row>
    <row r="45" spans="1:10" ht="14.4">
      <c r="B45" s="28" t="s">
        <v>57</v>
      </c>
      <c r="C45" s="29">
        <f>'LDG Performance'!K21</f>
        <v>131.4</v>
      </c>
      <c r="D45" s="6"/>
      <c r="G45" s="36">
        <f>'LDG Performance'!I21</f>
        <v>102.7</v>
      </c>
      <c r="H45" s="2"/>
      <c r="I45" s="15"/>
    </row>
    <row r="46" spans="1:10" ht="14.4">
      <c r="B46" s="30" t="s">
        <v>58</v>
      </c>
      <c r="C46" s="31">
        <f>('LDG Performance'!D87/3.28)*'LDG Performance'!C55</f>
        <v>1886.8063199239784</v>
      </c>
      <c r="D46" s="32"/>
      <c r="G46" s="37">
        <f>'LDG Performance'!C54</f>
        <v>1480.8751853025021</v>
      </c>
      <c r="H46" s="2"/>
      <c r="I46" s="15"/>
    </row>
    <row r="47" spans="1:10" ht="14.4">
      <c r="B47" s="7"/>
      <c r="C47" s="38"/>
      <c r="D47" s="32"/>
      <c r="G47" s="39"/>
      <c r="H47" s="2"/>
      <c r="I47" s="15"/>
    </row>
    <row r="48" spans="1:10" ht="14.4">
      <c r="B48" s="19"/>
      <c r="G48" s="38"/>
      <c r="H48" s="2"/>
      <c r="I48" s="15"/>
    </row>
    <row r="49" spans="2:9" ht="14.4">
      <c r="B49" s="19"/>
      <c r="G49" s="38"/>
      <c r="H49" s="2"/>
      <c r="I49" s="15"/>
    </row>
    <row r="50" spans="2:9" ht="14.4">
      <c r="B50" s="19"/>
      <c r="G50" s="38"/>
      <c r="H50" s="2"/>
      <c r="I50" s="15"/>
    </row>
    <row r="51" spans="2:9" ht="14.4">
      <c r="B51" s="19"/>
      <c r="G51" s="38"/>
      <c r="H51" s="2"/>
      <c r="I51" s="15"/>
    </row>
    <row r="52" spans="2:9" ht="14.4">
      <c r="B52" s="19"/>
      <c r="G52" s="38"/>
      <c r="H52" s="2"/>
      <c r="I52" s="15"/>
    </row>
    <row r="53" spans="2:9" ht="14.4">
      <c r="B53" s="19"/>
      <c r="G53" s="38"/>
      <c r="H53" s="2"/>
      <c r="I53" s="15"/>
    </row>
    <row r="54" spans="2:9" ht="14.4">
      <c r="B54" s="19"/>
      <c r="G54" s="38"/>
    </row>
    <row r="55" spans="2:9" ht="14.4">
      <c r="C55" s="2" t="s">
        <v>59</v>
      </c>
      <c r="D55" s="2" t="s">
        <v>60</v>
      </c>
      <c r="E55" s="38"/>
      <c r="F55" s="38"/>
    </row>
    <row r="56" spans="2:9" ht="14.4">
      <c r="B56" s="2" t="s">
        <v>61</v>
      </c>
      <c r="C56" s="15">
        <f>'Take-off'!$C$19</f>
        <v>1691</v>
      </c>
      <c r="D56" s="15">
        <f>'Take-off'!$C$19</f>
        <v>1691</v>
      </c>
    </row>
    <row r="57" spans="2:9" ht="14.4">
      <c r="B57" s="2" t="s">
        <v>62</v>
      </c>
      <c r="C57" s="15">
        <f>'Take-off'!$C$21</f>
        <v>1691</v>
      </c>
      <c r="D57" s="15">
        <f>'Take-off'!$C$21</f>
        <v>1691</v>
      </c>
    </row>
    <row r="58" spans="2:9" ht="15" customHeight="1">
      <c r="B58" s="2" t="str">
        <f>B27</f>
        <v>Dry Runway</v>
      </c>
      <c r="C58" s="15">
        <f>C30</f>
        <v>1850.1210131332084</v>
      </c>
      <c r="D58" s="15">
        <f>E30</f>
        <v>1376.0692073170735</v>
      </c>
    </row>
    <row r="59" spans="2:9" ht="15" customHeight="1">
      <c r="B59" s="2" t="str">
        <f>B34</f>
        <v>Selected contaminant</v>
      </c>
      <c r="C59" s="15">
        <f>C36</f>
        <v>2257.1476360225142</v>
      </c>
      <c r="D59" s="15">
        <f>E36</f>
        <v>1678.8044329268296</v>
      </c>
    </row>
    <row r="67" spans="2:7" ht="15" customHeight="1" thickBot="1"/>
    <row r="68" spans="2:7" ht="15" customHeight="1" thickBot="1">
      <c r="B68" s="313" t="s">
        <v>246</v>
      </c>
      <c r="C68" s="314"/>
      <c r="D68" s="314"/>
      <c r="E68" s="314"/>
      <c r="F68" s="314"/>
      <c r="G68" s="315"/>
    </row>
    <row r="69" spans="2:7" ht="15" customHeight="1" thickBot="1">
      <c r="B69" s="292" t="s">
        <v>247</v>
      </c>
      <c r="C69" s="289">
        <f>_xlfn.XLOOKUP(C4,'Airport data'!A5:A999,'Airport data'!K5:K999)</f>
        <v>0</v>
      </c>
      <c r="D69" s="293" t="s">
        <v>27</v>
      </c>
      <c r="E69" s="293"/>
      <c r="F69" s="293"/>
      <c r="G69" s="294"/>
    </row>
    <row r="70" spans="2:7" ht="15" customHeight="1">
      <c r="B70" s="292" t="s">
        <v>248</v>
      </c>
      <c r="C70" s="289">
        <f>_xlfn.XLOOKUP(C4,'Airport data'!A5:A999,'Airport data'!L5:L999)</f>
        <v>0</v>
      </c>
      <c r="D70" s="295"/>
      <c r="E70" s="295"/>
      <c r="F70" s="295"/>
      <c r="G70" s="296"/>
    </row>
    <row r="71" spans="2:7" ht="15" customHeight="1">
      <c r="B71" s="297"/>
      <c r="C71" s="295"/>
      <c r="D71" s="295"/>
      <c r="E71" s="295"/>
      <c r="F71" s="295"/>
      <c r="G71" s="296"/>
    </row>
    <row r="72" spans="2:7" ht="15" customHeight="1" thickBot="1">
      <c r="B72" s="297"/>
      <c r="C72" s="298"/>
      <c r="D72" s="298"/>
      <c r="E72" s="298"/>
      <c r="F72" s="298"/>
      <c r="G72" s="299"/>
    </row>
    <row r="73" spans="2:7" ht="15" customHeight="1" thickBot="1">
      <c r="B73" s="300"/>
      <c r="C73" s="293"/>
      <c r="D73" s="293"/>
      <c r="E73" s="293"/>
      <c r="F73" s="293"/>
      <c r="G73" s="294"/>
    </row>
  </sheetData>
  <protectedRanges>
    <protectedRange sqref="C12:C14" name="Intervall4"/>
    <protectedRange sqref="C11:D11" name="Intervall3"/>
    <protectedRange sqref="C6:C10" name="Intervall2"/>
    <protectedRange sqref="C4:G5" name="Intervall1"/>
  </protectedRanges>
  <mergeCells count="17">
    <mergeCell ref="I13:L14"/>
    <mergeCell ref="B34:G34"/>
    <mergeCell ref="C43:E43"/>
    <mergeCell ref="B44:G44"/>
    <mergeCell ref="B27:G27"/>
    <mergeCell ref="B41:G41"/>
    <mergeCell ref="C15:G15"/>
    <mergeCell ref="E17:G17"/>
    <mergeCell ref="C23:G23"/>
    <mergeCell ref="I27:J33"/>
    <mergeCell ref="B68:G68"/>
    <mergeCell ref="C11:D11"/>
    <mergeCell ref="B2:E2"/>
    <mergeCell ref="B3:E3"/>
    <mergeCell ref="C4:G4"/>
    <mergeCell ref="B6:B7"/>
    <mergeCell ref="E6:G7"/>
  </mergeCells>
  <conditionalFormatting sqref="C30 E30 C36:C37">
    <cfRule type="cellIs" dxfId="17" priority="21" operator="greaterThan">
      <formula>$C$21</formula>
    </cfRule>
    <cfRule type="cellIs" dxfId="16" priority="22" operator="lessThan">
      <formula>$C$21</formula>
    </cfRule>
  </conditionalFormatting>
  <conditionalFormatting sqref="C42 E42:F42">
    <cfRule type="cellIs" dxfId="15" priority="23" operator="lessThan">
      <formula>3.3</formula>
    </cfRule>
    <cfRule type="cellIs" dxfId="14" priority="26" operator="greaterThan">
      <formula>$G$19</formula>
    </cfRule>
  </conditionalFormatting>
  <conditionalFormatting sqref="C43">
    <cfRule type="notContainsBlanks" dxfId="13" priority="20">
      <formula>LEN(TRIM(C43))&gt;0</formula>
    </cfRule>
  </conditionalFormatting>
  <conditionalFormatting sqref="E36:E37">
    <cfRule type="cellIs" dxfId="12" priority="1" operator="greaterThan">
      <formula>$C$21</formula>
    </cfRule>
    <cfRule type="cellIs" dxfId="11" priority="2" operator="lessThan">
      <formula>$C$21</formula>
    </cfRule>
  </conditionalFormatting>
  <conditionalFormatting sqref="E1:F1">
    <cfRule type="notContainsBlanks" dxfId="10" priority="18">
      <formula>LEN(TRIM(E1))&gt;0</formula>
    </cfRule>
  </conditionalFormatting>
  <conditionalFormatting sqref="E6:F6">
    <cfRule type="notContainsBlanks" dxfId="9" priority="19">
      <formula>LEN(TRIM(E6))&gt;0</formula>
    </cfRule>
  </conditionalFormatting>
  <printOptions horizontalCentered="1" verticalCentered="1"/>
  <pageMargins left="0.39370078740157483" right="0.39370078740157483" top="0.59055118110236227" bottom="0.59055118110236227" header="0" footer="0"/>
  <pageSetup paperSize="9" orientation="portrait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000-000000000000}">
          <x14:formula1>
            <xm:f>'Dropdown lists'!$B$4:$B$9</xm:f>
          </x14:formula1>
          <xm:sqref>C10</xm:sqref>
        </x14:dataValidation>
        <x14:dataValidation type="list" allowBlank="1" showErrorMessage="1" xr:uid="{00000000-0002-0000-0000-000001000000}">
          <x14:formula1>
            <xm:f>'Airport data'!$A$5:$A$37</xm:f>
          </x14:formula1>
          <xm:sqref>C4</xm:sqref>
        </x14:dataValidation>
        <x14:dataValidation type="list" allowBlank="1" showErrorMessage="1" xr:uid="{00000000-0002-0000-0000-000002000000}">
          <x14:formula1>
            <xm:f>'Dropdown lists'!$B$30:$B$31</xm:f>
          </x14:formula1>
          <xm:sqref>C13</xm:sqref>
        </x14:dataValidation>
        <x14:dataValidation type="list" allowBlank="1" showErrorMessage="1" xr:uid="{26DAD6A6-08C5-4AFC-A1ED-1DCBC3DD3F96}">
          <x14:formula1>
            <xm:f>'Dropdown lists'!$B$34:$B$40</xm:f>
          </x14:formula1>
          <xm:sqref>C11:D11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Blad2">
    <outlinePr summaryBelow="0" summaryRight="0"/>
  </sheetPr>
  <dimension ref="B1:K37"/>
  <sheetViews>
    <sheetView showGridLines="0" topLeftCell="A7" workbookViewId="0">
      <selection activeCell="C31" sqref="C31"/>
    </sheetView>
  </sheetViews>
  <sheetFormatPr defaultColWidth="14.44140625" defaultRowHeight="15" customHeight="1"/>
  <cols>
    <col min="1" max="1" width="4.44140625" customWidth="1"/>
    <col min="2" max="2" width="27" customWidth="1"/>
  </cols>
  <sheetData>
    <row r="1" spans="2:9" ht="14.4"/>
    <row r="2" spans="2:9" ht="18">
      <c r="B2" s="318" t="s">
        <v>236</v>
      </c>
      <c r="C2" s="319"/>
      <c r="D2" s="319"/>
      <c r="E2" s="319"/>
      <c r="F2" s="279"/>
      <c r="G2" s="3" t="s">
        <v>0</v>
      </c>
      <c r="H2" s="2"/>
      <c r="I2" s="2"/>
    </row>
    <row r="3" spans="2:9" ht="14.4">
      <c r="B3" s="320" t="s">
        <v>64</v>
      </c>
      <c r="C3" s="321"/>
      <c r="D3" s="321"/>
      <c r="E3" s="321"/>
      <c r="G3" s="4" t="s">
        <v>226</v>
      </c>
      <c r="H3" s="2"/>
    </row>
    <row r="4" spans="2:9" ht="14.4">
      <c r="B4" s="5" t="s">
        <v>1</v>
      </c>
      <c r="C4" s="339" t="s">
        <v>98</v>
      </c>
      <c r="D4" s="340"/>
      <c r="E4" s="340"/>
      <c r="F4" s="340"/>
      <c r="G4" s="341"/>
      <c r="H4" s="2"/>
      <c r="I4" s="2" t="s">
        <v>3</v>
      </c>
    </row>
    <row r="5" spans="2:9" ht="14.4">
      <c r="D5" s="230"/>
      <c r="E5" s="230"/>
      <c r="F5" s="230"/>
      <c r="G5" s="278"/>
      <c r="H5" s="2"/>
      <c r="I5" s="2"/>
    </row>
    <row r="6" spans="2:9" ht="14.4">
      <c r="B6" s="325" t="s">
        <v>4</v>
      </c>
      <c r="C6" s="40">
        <v>100</v>
      </c>
      <c r="D6" s="9" t="s">
        <v>5</v>
      </c>
      <c r="E6" s="342" t="str">
        <f>IF(C21&lt;0, "Tailwind", "")</f>
        <v/>
      </c>
      <c r="F6" s="342"/>
      <c r="G6" s="328"/>
      <c r="H6" s="2"/>
      <c r="I6" s="2" t="s">
        <v>66</v>
      </c>
    </row>
    <row r="7" spans="2:9" ht="14.4">
      <c r="B7" s="326"/>
      <c r="C7" s="40">
        <v>0</v>
      </c>
      <c r="D7" s="9" t="s">
        <v>7</v>
      </c>
      <c r="E7" s="321"/>
      <c r="F7" s="321"/>
      <c r="G7" s="328"/>
      <c r="H7" s="2"/>
    </row>
    <row r="8" spans="2:9" ht="14.4">
      <c r="B8" s="7" t="s">
        <v>8</v>
      </c>
      <c r="C8" s="40">
        <v>0</v>
      </c>
      <c r="D8" s="9" t="s">
        <v>9</v>
      </c>
      <c r="G8" s="11"/>
      <c r="H8" s="2"/>
    </row>
    <row r="9" spans="2:9" ht="14.4">
      <c r="B9" s="7" t="s">
        <v>10</v>
      </c>
      <c r="C9" s="40">
        <v>1013</v>
      </c>
      <c r="D9" s="9" t="s">
        <v>11</v>
      </c>
      <c r="E9" s="2"/>
      <c r="F9" s="2"/>
      <c r="G9" s="11"/>
      <c r="H9" s="2"/>
      <c r="I9" s="12"/>
    </row>
    <row r="10" spans="2:9" ht="14.4">
      <c r="B10" s="7" t="s">
        <v>12</v>
      </c>
      <c r="C10" s="40">
        <v>6</v>
      </c>
      <c r="D10" s="9"/>
      <c r="H10" s="2"/>
    </row>
    <row r="11" spans="2:9" ht="14.4">
      <c r="B11" s="7" t="s">
        <v>68</v>
      </c>
      <c r="C11" s="40">
        <v>11000</v>
      </c>
      <c r="D11" s="9" t="s">
        <v>22</v>
      </c>
      <c r="F11" s="2"/>
      <c r="G11" s="11" t="s">
        <v>22</v>
      </c>
      <c r="H11" s="2"/>
      <c r="I11" s="2"/>
    </row>
    <row r="12" spans="2:9" ht="14.4">
      <c r="B12" s="312" t="s">
        <v>67</v>
      </c>
      <c r="C12" s="2">
        <v>12500</v>
      </c>
      <c r="D12" s="289" t="s">
        <v>22</v>
      </c>
      <c r="E12" s="2"/>
      <c r="F12" s="2"/>
      <c r="G12" s="11"/>
      <c r="H12" s="2"/>
      <c r="I12" s="2"/>
    </row>
    <row r="13" spans="2:9" ht="14.4">
      <c r="B13" s="7"/>
      <c r="C13" s="311"/>
      <c r="D13" s="9"/>
      <c r="E13" s="2"/>
      <c r="F13" s="2"/>
      <c r="G13" s="11"/>
      <c r="H13" s="2"/>
      <c r="I13" s="2"/>
    </row>
    <row r="14" spans="2:9" ht="14.4">
      <c r="B14" s="14" t="s">
        <v>25</v>
      </c>
      <c r="C14" s="343" t="str">
        <f>IF(C11&gt;C12, "Overweight landning","")</f>
        <v/>
      </c>
      <c r="D14" s="321"/>
      <c r="E14" s="321"/>
      <c r="F14" s="321"/>
      <c r="G14" s="328"/>
      <c r="H14" s="2"/>
    </row>
    <row r="15" spans="2:9" ht="14.4">
      <c r="B15" s="7" t="s">
        <v>69</v>
      </c>
      <c r="C15" s="15">
        <f>_xlfn.XLOOKUP(C4,'Airport data'!A5:A999,'Airport data'!B5:B999)</f>
        <v>1172</v>
      </c>
      <c r="D15" s="9" t="s">
        <v>27</v>
      </c>
      <c r="G15" s="11"/>
      <c r="H15" s="2"/>
    </row>
    <row r="16" spans="2:9" ht="14.4">
      <c r="B16" s="7" t="s">
        <v>28</v>
      </c>
      <c r="C16" s="16">
        <f>_xlfn.XLOOKUP(C4,'Airport data'!A5:A999,'Airport data'!G5:G999)</f>
        <v>0</v>
      </c>
      <c r="D16" s="9" t="s">
        <v>29</v>
      </c>
      <c r="E16" s="335" t="s">
        <v>30</v>
      </c>
      <c r="F16" s="335"/>
      <c r="G16" s="328"/>
      <c r="H16" s="2"/>
    </row>
    <row r="17" spans="2:11" ht="14.4">
      <c r="B17" s="7" t="s">
        <v>31</v>
      </c>
      <c r="C17" s="15">
        <f>_xlfn.XLOOKUP(C4,'Airport data'!A5:A999,'Airport data'!H5:H999)</f>
        <v>82</v>
      </c>
      <c r="D17" s="9" t="s">
        <v>5</v>
      </c>
      <c r="G17" s="11"/>
      <c r="H17" s="2"/>
    </row>
    <row r="18" spans="2:11" ht="14.4">
      <c r="B18" s="7" t="s">
        <v>70</v>
      </c>
      <c r="C18" s="15">
        <f>_xlfn.XLOOKUP(C4,'Airport data'!A5:A999,'Airport data'!F5:F999)</f>
        <v>1701</v>
      </c>
      <c r="D18" s="9" t="s">
        <v>33</v>
      </c>
      <c r="G18" s="11"/>
      <c r="H18" s="2"/>
    </row>
    <row r="19" spans="2:11" ht="14.4">
      <c r="B19" s="17" t="s">
        <v>36</v>
      </c>
      <c r="C19" s="41"/>
      <c r="D19" s="41"/>
      <c r="E19" s="41"/>
      <c r="F19" s="41"/>
      <c r="G19" s="42"/>
      <c r="H19" s="2"/>
      <c r="I19" s="16"/>
    </row>
    <row r="20" spans="2:11" ht="14.4">
      <c r="B20" s="7" t="s">
        <v>71</v>
      </c>
      <c r="C20" s="16">
        <f>LOOKUP(C10,'Dropdown lists'!B4:B9,'Dropdown lists'!C4:C9)</f>
        <v>1.67</v>
      </c>
      <c r="D20" s="9"/>
      <c r="G20" s="11"/>
      <c r="H20" s="2"/>
      <c r="I20" s="15"/>
      <c r="J20" s="2"/>
      <c r="K20" s="2"/>
    </row>
    <row r="21" spans="2:11" ht="14.4">
      <c r="B21" s="7" t="s">
        <v>37</v>
      </c>
      <c r="C21" s="43">
        <f>'LDG Performance'!D32</f>
        <v>0</v>
      </c>
      <c r="D21" s="9" t="s">
        <v>38</v>
      </c>
      <c r="E21" s="6"/>
      <c r="F21" s="6"/>
      <c r="G21" s="11"/>
      <c r="H21" s="2"/>
      <c r="I21" s="15"/>
      <c r="J21" s="2"/>
      <c r="K21" s="2"/>
    </row>
    <row r="22" spans="2:11" ht="14.4">
      <c r="B22" s="7" t="s">
        <v>39</v>
      </c>
      <c r="C22" s="43">
        <f>ABS('LDG Performance'!C37*C7)</f>
        <v>0</v>
      </c>
      <c r="D22" s="9" t="s">
        <v>38</v>
      </c>
      <c r="E22" s="6" t="s">
        <v>40</v>
      </c>
      <c r="F22" s="6"/>
      <c r="G22" s="20">
        <f>LOOKUP(C10,'Dropdown lists'!B4:B9,'Dropdown lists'!E4:E9)</f>
        <v>25</v>
      </c>
      <c r="H22" s="2"/>
      <c r="I22" s="2"/>
      <c r="J22" s="2"/>
      <c r="K22" s="2"/>
    </row>
    <row r="23" spans="2:11" ht="14.4">
      <c r="B23" s="44"/>
      <c r="C23" s="45"/>
      <c r="D23" s="45"/>
      <c r="E23" s="46"/>
      <c r="F23" s="46"/>
      <c r="G23" s="47"/>
      <c r="H23" s="2"/>
      <c r="I23" s="2"/>
      <c r="J23" s="2"/>
      <c r="K23" s="2"/>
    </row>
    <row r="24" spans="2:11" ht="14.4">
      <c r="B24" s="22" t="s">
        <v>41</v>
      </c>
      <c r="C24" s="23" t="s">
        <v>42</v>
      </c>
      <c r="D24" s="23" t="s">
        <v>43</v>
      </c>
      <c r="E24" s="24" t="s">
        <v>44</v>
      </c>
      <c r="F24" s="24"/>
      <c r="G24" s="25" t="s">
        <v>45</v>
      </c>
      <c r="H24" s="2"/>
      <c r="I24" s="2"/>
      <c r="J24" s="2"/>
      <c r="K24" s="2"/>
    </row>
    <row r="25" spans="2:11" ht="14.4">
      <c r="B25" s="344" t="s">
        <v>72</v>
      </c>
      <c r="C25" s="345"/>
      <c r="D25" s="345"/>
      <c r="E25" s="345"/>
      <c r="F25" s="345"/>
      <c r="G25" s="346"/>
      <c r="H25" s="2"/>
      <c r="I25" s="15"/>
      <c r="J25" s="2"/>
    </row>
    <row r="26" spans="2:11" ht="14.4">
      <c r="B26" s="30" t="s">
        <v>57</v>
      </c>
      <c r="C26" s="48">
        <f>'LDG Performance'!M21</f>
        <v>126</v>
      </c>
      <c r="D26" s="49"/>
      <c r="G26" s="37">
        <f>'LDG Performance'!E21</f>
        <v>99</v>
      </c>
      <c r="H26" s="2"/>
    </row>
    <row r="27" spans="2:11" ht="14.4">
      <c r="B27" s="30" t="s">
        <v>73</v>
      </c>
      <c r="C27" s="50">
        <f>('LDG Performance'!B87/3.28)*Landing!C20</f>
        <v>1236.3042003484322</v>
      </c>
      <c r="D27" s="32"/>
      <c r="G27" s="37">
        <f>'Landing distance data'!C102*C20</f>
        <v>961.91180076021544</v>
      </c>
      <c r="H27" s="2"/>
    </row>
    <row r="28" spans="2:11" ht="14.4">
      <c r="B28" s="347" t="s">
        <v>74</v>
      </c>
      <c r="C28" s="321"/>
      <c r="D28" s="32"/>
      <c r="G28" s="51"/>
      <c r="H28" s="2"/>
    </row>
    <row r="29" spans="2:11" ht="14.4">
      <c r="B29" s="52"/>
      <c r="C29" s="348" t="str">
        <f>IF(ISBLANK(C10), "Dry &amp; Unfactored *1,67", "" )</f>
        <v/>
      </c>
      <c r="D29" s="321"/>
      <c r="E29" s="321"/>
      <c r="F29" s="321"/>
      <c r="G29" s="328"/>
      <c r="H29" s="2"/>
      <c r="I29" s="2"/>
      <c r="J29" s="2"/>
      <c r="K29" s="2"/>
    </row>
    <row r="30" spans="2:11" ht="14.4">
      <c r="B30" s="330" t="s">
        <v>75</v>
      </c>
      <c r="C30" s="323"/>
      <c r="D30" s="323"/>
      <c r="E30" s="323"/>
      <c r="F30" s="323"/>
      <c r="G30" s="324"/>
      <c r="H30" s="2"/>
      <c r="I30" s="2"/>
      <c r="J30" s="2"/>
    </row>
    <row r="31" spans="2:11" ht="14.4">
      <c r="B31" s="53" t="s">
        <v>76</v>
      </c>
      <c r="C31" s="264">
        <f>IF( C21&gt;0, 'OEI CLIMB GRADIENT'!P45*(125/(125+50%*C21)), 'OEI CLIMB GRADIENT'!P45*(125/(125-150%*C21)) )</f>
        <v>6.3491999999999997</v>
      </c>
      <c r="D31" s="337" t="s">
        <v>55</v>
      </c>
      <c r="E31" s="338"/>
      <c r="F31" s="280"/>
      <c r="G31" s="54"/>
      <c r="H31" s="2"/>
      <c r="I31" s="2"/>
      <c r="J31" s="2"/>
    </row>
    <row r="32" spans="2:11" ht="14.4"/>
    <row r="33" spans="2:4" ht="14.4"/>
    <row r="34" spans="2:4" ht="14.4"/>
    <row r="35" spans="2:4" ht="15" customHeight="1">
      <c r="C35" s="2" t="s">
        <v>59</v>
      </c>
      <c r="D35" s="2" t="s">
        <v>77</v>
      </c>
    </row>
    <row r="36" spans="2:4" ht="15" customHeight="1">
      <c r="B36" s="2" t="s">
        <v>78</v>
      </c>
      <c r="C36" s="15">
        <f>Landing!$C$18</f>
        <v>1701</v>
      </c>
      <c r="D36" s="15">
        <f>Landing!$C$18</f>
        <v>1701</v>
      </c>
    </row>
    <row r="37" spans="2:4" ht="15" customHeight="1">
      <c r="B37" s="2" t="s">
        <v>79</v>
      </c>
      <c r="C37" s="15">
        <f>C27</f>
        <v>1236.3042003484322</v>
      </c>
      <c r="D37" s="15">
        <f>G27</f>
        <v>961.91180076021544</v>
      </c>
    </row>
  </sheetData>
  <protectedRanges>
    <protectedRange sqref="C4:G5" name="Flygplats"/>
    <protectedRange sqref="C6:C11 C13" name="Intervall2"/>
  </protectedRanges>
  <mergeCells count="12">
    <mergeCell ref="D31:E31"/>
    <mergeCell ref="B2:E2"/>
    <mergeCell ref="B3:E3"/>
    <mergeCell ref="C4:G4"/>
    <mergeCell ref="B6:B7"/>
    <mergeCell ref="E6:G7"/>
    <mergeCell ref="C14:G14"/>
    <mergeCell ref="E16:G16"/>
    <mergeCell ref="B25:G25"/>
    <mergeCell ref="B28:C28"/>
    <mergeCell ref="C29:G29"/>
    <mergeCell ref="B30:G30"/>
  </mergeCells>
  <conditionalFormatting sqref="C19 C29">
    <cfRule type="notContainsBlanks" dxfId="8" priority="5">
      <formula>LEN(TRIM(C19))&gt;0</formula>
    </cfRule>
  </conditionalFormatting>
  <conditionalFormatting sqref="C23:C24">
    <cfRule type="cellIs" dxfId="7" priority="7" operator="lessThan">
      <formula>$C$19</formula>
    </cfRule>
  </conditionalFormatting>
  <conditionalFormatting sqref="C27 G27">
    <cfRule type="cellIs" dxfId="6" priority="3" operator="lessThanOrEqual">
      <formula>$C$18</formula>
    </cfRule>
  </conditionalFormatting>
  <conditionalFormatting sqref="C27">
    <cfRule type="cellIs" dxfId="5" priority="6" operator="greaterThan">
      <formula>$C$18</formula>
    </cfRule>
  </conditionalFormatting>
  <conditionalFormatting sqref="C31">
    <cfRule type="cellIs" dxfId="4" priority="8" operator="lessThan">
      <formula>2.5</formula>
    </cfRule>
  </conditionalFormatting>
  <conditionalFormatting sqref="C14:F14">
    <cfRule type="notContainsBlanks" dxfId="3" priority="1">
      <formula>LEN(TRIM(C14))&gt;0</formula>
    </cfRule>
  </conditionalFormatting>
  <conditionalFormatting sqref="E6:F6">
    <cfRule type="notContainsBlanks" dxfId="2" priority="2">
      <formula>LEN(TRIM(E6))&gt;0</formula>
    </cfRule>
  </conditionalFormatting>
  <conditionalFormatting sqref="G27">
    <cfRule type="cellIs" dxfId="1" priority="4" operator="greaterThan">
      <formula>$C$18</formula>
    </cfRule>
  </conditionalFormatting>
  <conditionalFormatting sqref="J11:K13">
    <cfRule type="notContainsBlanks" dxfId="0" priority="9">
      <formula>LEN(TRIM(J11))&gt;0</formula>
    </cfRule>
  </conditionalFormatting>
  <pageMargins left="0" right="0" top="0" bottom="0" header="0" footer="0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="Ange ett värde från intervallet ='Airport data'!$A$5:$A$37" xr:uid="{00000000-0002-0000-0100-000000000000}">
          <x14:formula1>
            <xm:f>'Airport data'!$A$5:$A$37</xm:f>
          </x14:formula1>
          <xm:sqref>C4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Blad3"/>
  <dimension ref="A1:N39"/>
  <sheetViews>
    <sheetView workbookViewId="0">
      <pane ySplit="4" topLeftCell="A5" activePane="bottomLeft" state="frozen"/>
      <selection activeCell="D1" sqref="D1"/>
      <selection pane="bottomLeft" activeCell="K2" sqref="K1:K1048576"/>
    </sheetView>
  </sheetViews>
  <sheetFormatPr defaultColWidth="14.44140625" defaultRowHeight="15" customHeight="1"/>
  <cols>
    <col min="1" max="5" width="20" customWidth="1"/>
    <col min="6" max="6" width="12.109375" customWidth="1"/>
    <col min="7" max="7" width="9.109375" customWidth="1"/>
    <col min="8" max="8" width="13.44140625" customWidth="1"/>
    <col min="9" max="9" width="17.44140625" customWidth="1"/>
    <col min="10" max="13" width="11.6640625" customWidth="1"/>
    <col min="14" max="14" width="30" customWidth="1"/>
    <col min="15" max="33" width="9.109375" customWidth="1"/>
  </cols>
  <sheetData>
    <row r="1" spans="1:14" ht="14.4" customHeight="1" thickTop="1" thickBot="1">
      <c r="A1" s="356" t="s">
        <v>80</v>
      </c>
      <c r="B1" s="359" t="s">
        <v>81</v>
      </c>
      <c r="C1" s="366" t="s">
        <v>254</v>
      </c>
      <c r="D1" s="359" t="s">
        <v>62</v>
      </c>
      <c r="E1" s="359" t="s">
        <v>61</v>
      </c>
      <c r="F1" s="362" t="s">
        <v>70</v>
      </c>
      <c r="G1" s="349" t="s">
        <v>82</v>
      </c>
      <c r="H1" s="349" t="s">
        <v>83</v>
      </c>
      <c r="I1" s="349" t="s">
        <v>84</v>
      </c>
      <c r="J1" s="352" t="s">
        <v>85</v>
      </c>
      <c r="K1" s="363" t="s">
        <v>249</v>
      </c>
      <c r="L1" s="364"/>
      <c r="M1" s="365"/>
    </row>
    <row r="2" spans="1:14" ht="14.25" customHeight="1" thickBot="1">
      <c r="A2" s="357"/>
      <c r="B2" s="360"/>
      <c r="C2" s="367"/>
      <c r="D2" s="360"/>
      <c r="E2" s="360"/>
      <c r="F2" s="350"/>
      <c r="G2" s="350"/>
      <c r="H2" s="350"/>
      <c r="I2" s="350"/>
      <c r="J2" s="353"/>
      <c r="K2" s="304" t="s">
        <v>250</v>
      </c>
      <c r="L2" s="305" t="s">
        <v>251</v>
      </c>
      <c r="M2" s="306"/>
    </row>
    <row r="3" spans="1:14" thickBot="1">
      <c r="A3" s="357"/>
      <c r="B3" s="361"/>
      <c r="C3" s="368"/>
      <c r="D3" s="361"/>
      <c r="E3" s="361"/>
      <c r="F3" s="351"/>
      <c r="G3" s="351"/>
      <c r="H3" s="351"/>
      <c r="I3" s="351"/>
      <c r="J3" s="354"/>
      <c r="K3" s="307"/>
      <c r="L3" s="306"/>
      <c r="M3" s="306"/>
    </row>
    <row r="4" spans="1:14" ht="14.25" customHeight="1" thickBot="1">
      <c r="A4" s="358"/>
      <c r="B4" s="56" t="s">
        <v>86</v>
      </c>
      <c r="C4" s="308" t="s">
        <v>87</v>
      </c>
      <c r="D4" s="57" t="s">
        <v>87</v>
      </c>
      <c r="E4" s="57" t="s">
        <v>87</v>
      </c>
      <c r="F4" s="57" t="s">
        <v>87</v>
      </c>
      <c r="G4" s="57" t="s">
        <v>88</v>
      </c>
      <c r="H4" s="57" t="s">
        <v>89</v>
      </c>
      <c r="I4" s="57" t="s">
        <v>88</v>
      </c>
      <c r="J4" s="58" t="s">
        <v>90</v>
      </c>
      <c r="K4" s="307"/>
      <c r="L4" s="306"/>
      <c r="M4" s="306"/>
    </row>
    <row r="5" spans="1:14" ht="14.25" customHeight="1">
      <c r="A5" s="59" t="s">
        <v>91</v>
      </c>
      <c r="B5" s="60" t="s">
        <v>92</v>
      </c>
      <c r="C5" s="60"/>
      <c r="D5" s="60" t="s">
        <v>92</v>
      </c>
      <c r="E5" s="60" t="s">
        <v>92</v>
      </c>
      <c r="F5" s="60" t="s">
        <v>92</v>
      </c>
      <c r="G5" s="60" t="s">
        <v>92</v>
      </c>
      <c r="H5" s="61" t="s">
        <v>92</v>
      </c>
      <c r="I5" s="62"/>
      <c r="J5" s="60" t="s">
        <v>92</v>
      </c>
      <c r="K5" s="301"/>
      <c r="L5" s="301"/>
      <c r="M5" s="301"/>
    </row>
    <row r="6" spans="1:14" ht="21" customHeight="1">
      <c r="A6" s="169" t="s">
        <v>93</v>
      </c>
      <c r="B6" s="170">
        <v>2000</v>
      </c>
      <c r="C6" s="171">
        <v>1234</v>
      </c>
      <c r="D6" s="171">
        <v>1500</v>
      </c>
      <c r="E6" s="171">
        <v>1500</v>
      </c>
      <c r="F6" s="172">
        <v>1500</v>
      </c>
      <c r="G6" s="173">
        <v>-1</v>
      </c>
      <c r="H6" s="172">
        <v>72</v>
      </c>
      <c r="I6" s="174">
        <v>4</v>
      </c>
      <c r="J6" s="175"/>
      <c r="K6" s="302" t="s">
        <v>252</v>
      </c>
      <c r="L6" s="302" t="s">
        <v>253</v>
      </c>
      <c r="M6" s="302"/>
      <c r="N6" s="355" t="s">
        <v>94</v>
      </c>
    </row>
    <row r="7" spans="1:14" ht="21" customHeight="1" thickBot="1">
      <c r="A7" s="176" t="s">
        <v>95</v>
      </c>
      <c r="B7" s="177">
        <v>1000</v>
      </c>
      <c r="C7" s="177">
        <v>5678</v>
      </c>
      <c r="D7" s="177">
        <v>1500</v>
      </c>
      <c r="E7" s="177">
        <v>1700</v>
      </c>
      <c r="F7" s="177">
        <v>1500</v>
      </c>
      <c r="G7" s="178">
        <v>0</v>
      </c>
      <c r="H7" s="177">
        <v>270</v>
      </c>
      <c r="I7" s="179">
        <v>6</v>
      </c>
      <c r="J7" s="180"/>
      <c r="K7" s="302" t="s">
        <v>252</v>
      </c>
      <c r="L7" s="302" t="s">
        <v>253</v>
      </c>
      <c r="M7" s="302"/>
      <c r="N7" s="321"/>
    </row>
    <row r="8" spans="1:14" ht="21" customHeight="1" thickTop="1">
      <c r="A8" s="63" t="s">
        <v>65</v>
      </c>
      <c r="B8" s="64">
        <v>631</v>
      </c>
      <c r="C8" s="64"/>
      <c r="D8" s="65">
        <v>1814</v>
      </c>
      <c r="E8" s="65">
        <v>1814</v>
      </c>
      <c r="F8" s="67">
        <v>1814</v>
      </c>
      <c r="G8" s="66">
        <v>0</v>
      </c>
      <c r="H8" s="67">
        <v>156</v>
      </c>
      <c r="I8" s="68" t="s">
        <v>96</v>
      </c>
      <c r="J8" s="69">
        <v>45234</v>
      </c>
      <c r="K8" s="303"/>
      <c r="L8" s="303"/>
      <c r="M8" s="303"/>
    </row>
    <row r="9" spans="1:14" ht="21" customHeight="1">
      <c r="A9" s="63" t="s">
        <v>97</v>
      </c>
      <c r="B9" s="64">
        <v>618</v>
      </c>
      <c r="C9" s="64"/>
      <c r="D9" s="65">
        <v>1814</v>
      </c>
      <c r="E9" s="65">
        <v>1814</v>
      </c>
      <c r="F9" s="65">
        <v>1814</v>
      </c>
      <c r="G9" s="70">
        <v>0</v>
      </c>
      <c r="H9" s="65">
        <v>336</v>
      </c>
      <c r="I9" s="68" t="s">
        <v>96</v>
      </c>
      <c r="J9" s="69">
        <v>45234</v>
      </c>
      <c r="K9" s="303"/>
      <c r="L9" s="303"/>
      <c r="M9" s="303"/>
    </row>
    <row r="10" spans="1:14" ht="21" customHeight="1">
      <c r="A10" s="71" t="s">
        <v>98</v>
      </c>
      <c r="B10" s="72">
        <v>1172</v>
      </c>
      <c r="C10" s="72"/>
      <c r="D10" s="65">
        <v>1701</v>
      </c>
      <c r="E10" s="65">
        <v>1701</v>
      </c>
      <c r="F10" s="65">
        <v>1701</v>
      </c>
      <c r="G10" s="70">
        <v>0</v>
      </c>
      <c r="H10" s="65">
        <v>82</v>
      </c>
      <c r="I10" s="68" t="s">
        <v>96</v>
      </c>
      <c r="J10" s="69">
        <v>45234</v>
      </c>
      <c r="K10" s="303"/>
      <c r="L10" s="303"/>
      <c r="M10" s="303"/>
    </row>
    <row r="11" spans="1:14" ht="21" customHeight="1">
      <c r="A11" s="71" t="s">
        <v>2</v>
      </c>
      <c r="B11" s="72">
        <v>1177</v>
      </c>
      <c r="C11" s="72"/>
      <c r="D11" s="65">
        <v>1701</v>
      </c>
      <c r="E11" s="65">
        <v>1701</v>
      </c>
      <c r="F11" s="65">
        <v>1701</v>
      </c>
      <c r="G11" s="70">
        <v>0</v>
      </c>
      <c r="H11" s="65">
        <v>262</v>
      </c>
      <c r="I11" s="68" t="s">
        <v>96</v>
      </c>
      <c r="J11" s="69">
        <v>45234</v>
      </c>
      <c r="K11" s="303"/>
      <c r="L11" s="303"/>
      <c r="M11" s="303"/>
    </row>
    <row r="12" spans="1:14" ht="14.25" customHeight="1">
      <c r="A12" s="73" t="s">
        <v>99</v>
      </c>
      <c r="B12" s="64">
        <v>25</v>
      </c>
      <c r="C12" s="64"/>
      <c r="D12" s="72">
        <v>1721</v>
      </c>
      <c r="E12" s="74">
        <v>1721</v>
      </c>
      <c r="F12" s="75">
        <v>2302</v>
      </c>
      <c r="G12" s="70">
        <v>0</v>
      </c>
      <c r="H12" s="65">
        <v>130</v>
      </c>
      <c r="I12" s="68" t="s">
        <v>96</v>
      </c>
      <c r="J12" s="69">
        <v>45604</v>
      </c>
      <c r="K12" s="303"/>
      <c r="L12" s="303"/>
      <c r="M12" s="303"/>
    </row>
    <row r="13" spans="1:14" ht="14.25" customHeight="1">
      <c r="A13" s="73" t="s">
        <v>100</v>
      </c>
      <c r="B13" s="64">
        <v>25</v>
      </c>
      <c r="C13" s="64"/>
      <c r="D13" s="72">
        <v>2302</v>
      </c>
      <c r="E13" s="74">
        <v>2302</v>
      </c>
      <c r="F13" s="75">
        <v>2302</v>
      </c>
      <c r="G13" s="70">
        <v>0</v>
      </c>
      <c r="H13" s="65">
        <v>130</v>
      </c>
      <c r="I13" s="68" t="s">
        <v>96</v>
      </c>
      <c r="J13" s="69">
        <v>45604</v>
      </c>
      <c r="K13" s="303"/>
      <c r="L13" s="303"/>
      <c r="M13" s="303"/>
    </row>
    <row r="14" spans="1:14" ht="14.25" customHeight="1">
      <c r="A14" s="73" t="s">
        <v>101</v>
      </c>
      <c r="B14" s="64">
        <v>17</v>
      </c>
      <c r="C14" s="64"/>
      <c r="D14" s="72">
        <v>2302</v>
      </c>
      <c r="E14" s="74">
        <v>2302</v>
      </c>
      <c r="F14" s="75">
        <v>2242</v>
      </c>
      <c r="G14" s="70">
        <v>0</v>
      </c>
      <c r="H14" s="65">
        <v>310</v>
      </c>
      <c r="I14" s="68" t="s">
        <v>96</v>
      </c>
      <c r="J14" s="69">
        <v>45604</v>
      </c>
      <c r="K14" s="303"/>
      <c r="L14" s="303"/>
      <c r="M14" s="303"/>
    </row>
    <row r="15" spans="1:14" ht="14.25" customHeight="1">
      <c r="A15" s="73" t="s">
        <v>102</v>
      </c>
      <c r="B15" s="64">
        <v>17</v>
      </c>
      <c r="C15" s="64"/>
      <c r="D15" s="72">
        <v>1599</v>
      </c>
      <c r="E15" s="74">
        <v>1599</v>
      </c>
      <c r="F15" s="75">
        <v>2242</v>
      </c>
      <c r="G15" s="70">
        <v>0</v>
      </c>
      <c r="H15" s="65">
        <v>310</v>
      </c>
      <c r="I15" s="68" t="s">
        <v>96</v>
      </c>
      <c r="J15" s="69">
        <v>45604</v>
      </c>
      <c r="K15" s="303"/>
      <c r="L15" s="303"/>
      <c r="M15" s="303"/>
    </row>
    <row r="16" spans="1:14" ht="14.25" customHeight="1">
      <c r="A16" s="73" t="s">
        <v>103</v>
      </c>
      <c r="B16" s="64">
        <v>474</v>
      </c>
      <c r="C16" s="64"/>
      <c r="D16" s="72">
        <v>1508</v>
      </c>
      <c r="E16" s="74">
        <v>1508</v>
      </c>
      <c r="F16" s="75">
        <v>1508</v>
      </c>
      <c r="G16" s="70">
        <v>0</v>
      </c>
      <c r="H16" s="65">
        <v>172</v>
      </c>
      <c r="I16" s="68" t="s">
        <v>96</v>
      </c>
      <c r="J16" s="69">
        <v>45234</v>
      </c>
      <c r="K16" s="303"/>
      <c r="L16" s="303"/>
      <c r="M16" s="303"/>
    </row>
    <row r="17" spans="1:13" ht="14.25" customHeight="1">
      <c r="A17" s="73" t="s">
        <v>104</v>
      </c>
      <c r="B17" s="64">
        <v>469</v>
      </c>
      <c r="C17" s="64"/>
      <c r="D17" s="72">
        <v>1508</v>
      </c>
      <c r="E17" s="74">
        <v>1508</v>
      </c>
      <c r="F17" s="75">
        <v>1508</v>
      </c>
      <c r="G17" s="70">
        <v>0</v>
      </c>
      <c r="H17" s="65">
        <v>352</v>
      </c>
      <c r="I17" s="68" t="s">
        <v>96</v>
      </c>
      <c r="J17" s="69">
        <v>45234</v>
      </c>
      <c r="K17" s="303"/>
      <c r="L17" s="303"/>
      <c r="M17" s="303"/>
    </row>
    <row r="18" spans="1:13" ht="14.25" customHeight="1">
      <c r="A18" s="63" t="s">
        <v>105</v>
      </c>
      <c r="B18" s="64">
        <v>98</v>
      </c>
      <c r="C18" s="64"/>
      <c r="D18" s="72">
        <v>3301</v>
      </c>
      <c r="E18" s="72">
        <v>3301</v>
      </c>
      <c r="F18" s="65">
        <v>3301</v>
      </c>
      <c r="G18" s="70">
        <v>0</v>
      </c>
      <c r="H18" s="65">
        <v>4</v>
      </c>
      <c r="I18" s="68" t="s">
        <v>96</v>
      </c>
      <c r="J18" s="69">
        <v>45234</v>
      </c>
      <c r="K18" s="303"/>
      <c r="L18" s="303"/>
      <c r="M18" s="303"/>
    </row>
    <row r="19" spans="1:13" ht="14.25" customHeight="1">
      <c r="A19" s="63" t="s">
        <v>106</v>
      </c>
      <c r="B19" s="64">
        <v>98</v>
      </c>
      <c r="C19" s="64"/>
      <c r="D19" s="72">
        <v>2276</v>
      </c>
      <c r="E19" s="72">
        <v>2276</v>
      </c>
      <c r="F19" s="65">
        <v>2500</v>
      </c>
      <c r="G19" s="70">
        <v>0</v>
      </c>
      <c r="H19" s="65">
        <v>4</v>
      </c>
      <c r="I19" s="68" t="s">
        <v>96</v>
      </c>
      <c r="J19" s="69">
        <v>45234</v>
      </c>
      <c r="K19" s="303"/>
      <c r="L19" s="303"/>
      <c r="M19" s="303"/>
    </row>
    <row r="20" spans="1:13" ht="14.25" customHeight="1">
      <c r="A20" s="63" t="s">
        <v>107</v>
      </c>
      <c r="B20" s="64">
        <v>138</v>
      </c>
      <c r="C20" s="64"/>
      <c r="D20" s="72">
        <v>2500</v>
      </c>
      <c r="E20" s="72">
        <v>2500</v>
      </c>
      <c r="F20" s="65">
        <v>2500</v>
      </c>
      <c r="G20" s="70">
        <v>0</v>
      </c>
      <c r="H20" s="65">
        <v>4</v>
      </c>
      <c r="I20" s="68" t="s">
        <v>96</v>
      </c>
      <c r="J20" s="69">
        <v>45604</v>
      </c>
      <c r="K20" s="303"/>
      <c r="L20" s="303"/>
      <c r="M20" s="303"/>
    </row>
    <row r="21" spans="1:13" ht="14.25" customHeight="1">
      <c r="A21" s="63" t="s">
        <v>108</v>
      </c>
      <c r="B21" s="64">
        <v>138</v>
      </c>
      <c r="C21" s="64"/>
      <c r="D21" s="72">
        <v>2147</v>
      </c>
      <c r="E21" s="72">
        <v>2147</v>
      </c>
      <c r="F21" s="65">
        <v>2147</v>
      </c>
      <c r="G21" s="70">
        <v>0</v>
      </c>
      <c r="H21" s="65">
        <v>4</v>
      </c>
      <c r="I21" s="68" t="s">
        <v>96</v>
      </c>
      <c r="J21" s="69">
        <v>45604</v>
      </c>
      <c r="K21" s="303"/>
      <c r="L21" s="303"/>
      <c r="M21" s="303"/>
    </row>
    <row r="22" spans="1:13" ht="14.25" customHeight="1">
      <c r="A22" s="76" t="s">
        <v>109</v>
      </c>
      <c r="B22" s="64">
        <v>108</v>
      </c>
      <c r="C22" s="64"/>
      <c r="D22" s="72">
        <v>2800</v>
      </c>
      <c r="E22" s="72">
        <v>2500</v>
      </c>
      <c r="F22" s="65">
        <v>2500</v>
      </c>
      <c r="G22" s="70">
        <v>0</v>
      </c>
      <c r="H22" s="65">
        <v>70</v>
      </c>
      <c r="I22" s="68" t="s">
        <v>96</v>
      </c>
      <c r="J22" s="69">
        <v>45234</v>
      </c>
      <c r="K22" s="303"/>
      <c r="L22" s="303"/>
      <c r="M22" s="303"/>
    </row>
    <row r="23" spans="1:13" ht="14.25" customHeight="1">
      <c r="A23" s="63" t="s">
        <v>110</v>
      </c>
      <c r="B23" s="64">
        <v>108</v>
      </c>
      <c r="C23" s="64"/>
      <c r="D23" s="72">
        <v>2179</v>
      </c>
      <c r="E23" s="72">
        <v>1879</v>
      </c>
      <c r="F23" s="65">
        <v>2500</v>
      </c>
      <c r="G23" s="70">
        <v>0</v>
      </c>
      <c r="H23" s="65">
        <v>70</v>
      </c>
      <c r="I23" s="68" t="s">
        <v>96</v>
      </c>
      <c r="J23" s="69">
        <v>45234</v>
      </c>
      <c r="K23" s="303"/>
      <c r="L23" s="303"/>
      <c r="M23" s="303"/>
    </row>
    <row r="24" spans="1:13" ht="14.25" customHeight="1">
      <c r="A24" s="76" t="s">
        <v>111</v>
      </c>
      <c r="B24" s="64">
        <v>99</v>
      </c>
      <c r="C24" s="64"/>
      <c r="D24" s="72">
        <v>2500</v>
      </c>
      <c r="E24" s="74">
        <v>2500</v>
      </c>
      <c r="F24" s="75">
        <v>2500</v>
      </c>
      <c r="G24" s="77">
        <v>0</v>
      </c>
      <c r="H24" s="75">
        <v>184</v>
      </c>
      <c r="I24" s="78" t="s">
        <v>96</v>
      </c>
      <c r="J24" s="69">
        <v>45234</v>
      </c>
      <c r="K24" s="303"/>
      <c r="L24" s="303"/>
      <c r="M24" s="303"/>
    </row>
    <row r="25" spans="1:13" ht="14.25" customHeight="1">
      <c r="A25" s="76" t="s">
        <v>112</v>
      </c>
      <c r="B25" s="64">
        <v>99</v>
      </c>
      <c r="C25" s="64"/>
      <c r="D25" s="72">
        <v>2147</v>
      </c>
      <c r="E25" s="74">
        <v>2147</v>
      </c>
      <c r="F25" s="75">
        <v>2500</v>
      </c>
      <c r="G25" s="77">
        <v>0</v>
      </c>
      <c r="H25" s="75">
        <v>184</v>
      </c>
      <c r="I25" s="78" t="s">
        <v>96</v>
      </c>
      <c r="J25" s="69">
        <v>45234</v>
      </c>
      <c r="K25" s="303"/>
      <c r="L25" s="303"/>
      <c r="M25" s="303"/>
    </row>
    <row r="26" spans="1:13" ht="14.25" customHeight="1">
      <c r="A26" s="76" t="s">
        <v>113</v>
      </c>
      <c r="B26" s="64">
        <v>118</v>
      </c>
      <c r="C26" s="64"/>
      <c r="D26" s="72">
        <v>3301</v>
      </c>
      <c r="E26" s="74">
        <v>3301</v>
      </c>
      <c r="F26" s="75">
        <v>3301</v>
      </c>
      <c r="G26" s="77">
        <v>0</v>
      </c>
      <c r="H26" s="75">
        <v>184</v>
      </c>
      <c r="I26" s="78" t="s">
        <v>96</v>
      </c>
      <c r="J26" s="69">
        <v>45604</v>
      </c>
      <c r="K26" s="303"/>
      <c r="L26" s="303"/>
      <c r="M26" s="303"/>
    </row>
    <row r="27" spans="1:13" ht="14.25" customHeight="1">
      <c r="A27" s="76" t="s">
        <v>114</v>
      </c>
      <c r="B27" s="64">
        <v>118</v>
      </c>
      <c r="C27" s="64"/>
      <c r="D27" s="72">
        <v>2288</v>
      </c>
      <c r="E27" s="74">
        <v>2288</v>
      </c>
      <c r="F27" s="75">
        <v>3301</v>
      </c>
      <c r="G27" s="77">
        <v>0</v>
      </c>
      <c r="H27" s="75">
        <v>184</v>
      </c>
      <c r="I27" s="78" t="s">
        <v>96</v>
      </c>
      <c r="J27" s="69">
        <v>45604</v>
      </c>
      <c r="K27" s="303"/>
      <c r="L27" s="303"/>
      <c r="M27" s="303"/>
    </row>
    <row r="28" spans="1:13" ht="14.25" customHeight="1">
      <c r="A28" s="76" t="s">
        <v>115</v>
      </c>
      <c r="B28" s="64">
        <v>108</v>
      </c>
      <c r="C28" s="64"/>
      <c r="D28" s="72">
        <v>2179</v>
      </c>
      <c r="E28" s="72">
        <v>1879</v>
      </c>
      <c r="F28" s="72">
        <v>2500</v>
      </c>
      <c r="G28" s="77">
        <v>0</v>
      </c>
      <c r="H28" s="75">
        <v>70</v>
      </c>
      <c r="I28" s="78" t="s">
        <v>96</v>
      </c>
      <c r="J28" s="69">
        <v>45234</v>
      </c>
      <c r="K28" s="303"/>
      <c r="L28" s="303"/>
      <c r="M28" s="303"/>
    </row>
    <row r="29" spans="1:13" ht="14.25" customHeight="1">
      <c r="A29" s="76" t="s">
        <v>116</v>
      </c>
      <c r="B29" s="64">
        <v>125</v>
      </c>
      <c r="C29" s="64"/>
      <c r="D29" s="72">
        <v>2500</v>
      </c>
      <c r="E29" s="72">
        <v>2500</v>
      </c>
      <c r="F29" s="72">
        <v>2500</v>
      </c>
      <c r="G29" s="77">
        <v>0</v>
      </c>
      <c r="H29" s="75">
        <v>250</v>
      </c>
      <c r="I29" s="78" t="s">
        <v>96</v>
      </c>
      <c r="J29" s="69">
        <v>45234</v>
      </c>
      <c r="K29" s="303"/>
      <c r="L29" s="303"/>
      <c r="M29" s="303"/>
    </row>
    <row r="30" spans="1:13" ht="14.25" customHeight="1">
      <c r="A30" s="79" t="s">
        <v>117</v>
      </c>
      <c r="B30" s="64">
        <v>43</v>
      </c>
      <c r="C30" s="80"/>
      <c r="D30" s="75">
        <v>1668</v>
      </c>
      <c r="E30" s="75">
        <v>1668</v>
      </c>
      <c r="F30" s="75">
        <v>1668</v>
      </c>
      <c r="G30" s="77">
        <v>0</v>
      </c>
      <c r="H30" s="75">
        <v>299</v>
      </c>
      <c r="I30" s="78" t="s">
        <v>96</v>
      </c>
      <c r="J30" s="69">
        <v>45604</v>
      </c>
      <c r="K30" s="303"/>
      <c r="L30" s="303"/>
      <c r="M30" s="303"/>
    </row>
    <row r="31" spans="1:13" ht="14.25" customHeight="1">
      <c r="A31" s="79" t="s">
        <v>118</v>
      </c>
      <c r="B31" s="64">
        <v>47</v>
      </c>
      <c r="C31" s="80"/>
      <c r="D31" s="75">
        <v>1779</v>
      </c>
      <c r="E31" s="75">
        <v>1779</v>
      </c>
      <c r="F31" s="75">
        <v>1668</v>
      </c>
      <c r="G31" s="77">
        <v>0</v>
      </c>
      <c r="H31" s="75">
        <v>119</v>
      </c>
      <c r="I31" s="78" t="s">
        <v>96</v>
      </c>
      <c r="J31" s="69">
        <v>45604</v>
      </c>
      <c r="K31" s="303"/>
      <c r="L31" s="303"/>
      <c r="M31" s="303"/>
    </row>
    <row r="32" spans="1:13" ht="14.25" customHeight="1">
      <c r="A32" s="73" t="s">
        <v>119</v>
      </c>
      <c r="B32" s="64">
        <v>43</v>
      </c>
      <c r="C32" s="80"/>
      <c r="D32" s="75">
        <v>1779</v>
      </c>
      <c r="E32" s="75">
        <v>1779</v>
      </c>
      <c r="F32" s="75">
        <v>1668</v>
      </c>
      <c r="G32" s="70">
        <v>0</v>
      </c>
      <c r="H32" s="65">
        <v>299</v>
      </c>
      <c r="I32" s="68" t="s">
        <v>96</v>
      </c>
      <c r="J32" s="69">
        <v>45604</v>
      </c>
      <c r="K32" s="303"/>
      <c r="L32" s="303"/>
      <c r="M32" s="303"/>
    </row>
    <row r="33" spans="1:13" ht="14.25" customHeight="1">
      <c r="A33" s="73" t="s">
        <v>120</v>
      </c>
      <c r="B33" s="64">
        <v>47</v>
      </c>
      <c r="C33" s="80"/>
      <c r="D33" s="75">
        <v>1668</v>
      </c>
      <c r="E33" s="75">
        <v>1668</v>
      </c>
      <c r="F33" s="75">
        <v>1668</v>
      </c>
      <c r="G33" s="70">
        <v>0</v>
      </c>
      <c r="H33" s="65">
        <v>119</v>
      </c>
      <c r="I33" s="68" t="s">
        <v>96</v>
      </c>
      <c r="J33" s="69">
        <v>45604</v>
      </c>
      <c r="K33" s="303"/>
      <c r="L33" s="303"/>
      <c r="M33" s="303"/>
    </row>
    <row r="34" spans="1:13" ht="14.25" customHeight="1">
      <c r="A34" s="73" t="s">
        <v>121</v>
      </c>
      <c r="B34" s="64">
        <v>13</v>
      </c>
      <c r="C34" s="64"/>
      <c r="D34" s="64">
        <v>2205</v>
      </c>
      <c r="E34" s="80">
        <v>2205</v>
      </c>
      <c r="F34" s="75">
        <v>2205</v>
      </c>
      <c r="G34" s="70">
        <v>0</v>
      </c>
      <c r="H34" s="75">
        <v>85</v>
      </c>
      <c r="I34" s="81" t="s">
        <v>96</v>
      </c>
      <c r="J34" s="82">
        <v>45604</v>
      </c>
      <c r="K34" s="303"/>
      <c r="L34" s="303"/>
      <c r="M34" s="303"/>
    </row>
    <row r="35" spans="1:13" ht="14.25" customHeight="1">
      <c r="A35" s="73" t="s">
        <v>122</v>
      </c>
      <c r="B35" s="64">
        <v>33</v>
      </c>
      <c r="C35" s="64"/>
      <c r="D35" s="64">
        <v>2205</v>
      </c>
      <c r="E35" s="80">
        <v>2205</v>
      </c>
      <c r="F35" s="75">
        <v>2205</v>
      </c>
      <c r="G35" s="70">
        <v>0</v>
      </c>
      <c r="H35" s="75">
        <v>265</v>
      </c>
      <c r="I35" s="81" t="s">
        <v>96</v>
      </c>
      <c r="J35" s="82">
        <v>45604</v>
      </c>
      <c r="K35" s="303"/>
      <c r="L35" s="303"/>
      <c r="M35" s="303"/>
    </row>
    <row r="36" spans="1:13" ht="14.25" customHeight="1">
      <c r="A36" s="73" t="s">
        <v>123</v>
      </c>
      <c r="B36" s="80">
        <v>350</v>
      </c>
      <c r="C36" s="80"/>
      <c r="D36" s="80">
        <v>1590</v>
      </c>
      <c r="E36" s="80">
        <v>1590</v>
      </c>
      <c r="F36" s="75">
        <v>1590</v>
      </c>
      <c r="G36" s="77">
        <v>0</v>
      </c>
      <c r="H36" s="75">
        <v>153</v>
      </c>
      <c r="I36" s="81" t="s">
        <v>96</v>
      </c>
      <c r="J36" s="82">
        <v>45234</v>
      </c>
      <c r="K36" s="303"/>
      <c r="L36" s="303"/>
      <c r="M36" s="303"/>
    </row>
    <row r="37" spans="1:13" ht="14.25" customHeight="1" thickBot="1">
      <c r="A37" s="73" t="s">
        <v>124</v>
      </c>
      <c r="B37" s="83">
        <v>394</v>
      </c>
      <c r="C37" s="83"/>
      <c r="D37" s="83">
        <v>1590</v>
      </c>
      <c r="E37" s="83">
        <v>1590</v>
      </c>
      <c r="F37" s="83">
        <v>1590</v>
      </c>
      <c r="G37" s="84">
        <v>0</v>
      </c>
      <c r="H37" s="83">
        <v>333</v>
      </c>
      <c r="I37" s="85" t="s">
        <v>96</v>
      </c>
      <c r="J37" s="86">
        <v>45234</v>
      </c>
      <c r="K37" s="303"/>
      <c r="L37" s="303"/>
      <c r="M37" s="303"/>
    </row>
    <row r="38" spans="1:13" ht="14.25" customHeight="1" thickTop="1">
      <c r="A38" s="87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</row>
    <row r="39" spans="1:13" ht="33.75" customHeight="1">
      <c r="A39" s="89" t="s">
        <v>125</v>
      </c>
      <c r="B39" s="88" t="s">
        <v>126</v>
      </c>
      <c r="C39" s="88"/>
      <c r="D39" s="88" t="s">
        <v>127</v>
      </c>
      <c r="E39" s="88" t="s">
        <v>127</v>
      </c>
      <c r="F39" s="88" t="s">
        <v>126</v>
      </c>
      <c r="G39" s="90" t="s">
        <v>128</v>
      </c>
      <c r="H39" s="90" t="s">
        <v>126</v>
      </c>
      <c r="I39" s="90" t="s">
        <v>129</v>
      </c>
      <c r="J39" s="88"/>
      <c r="K39" s="88"/>
      <c r="L39" s="88"/>
      <c r="M39" s="88"/>
    </row>
  </sheetData>
  <protectedRanges>
    <protectedRange sqref="A6:M7" name="Intervall1"/>
  </protectedRanges>
  <mergeCells count="12">
    <mergeCell ref="I1:I3"/>
    <mergeCell ref="J1:J3"/>
    <mergeCell ref="N6:N7"/>
    <mergeCell ref="A1:A4"/>
    <mergeCell ref="B1:B3"/>
    <mergeCell ref="D1:D3"/>
    <mergeCell ref="E1:E3"/>
    <mergeCell ref="F1:F3"/>
    <mergeCell ref="G1:G3"/>
    <mergeCell ref="H1:H3"/>
    <mergeCell ref="K1:M1"/>
    <mergeCell ref="C1:C3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Blad4"/>
  <dimension ref="A1:F48"/>
  <sheetViews>
    <sheetView workbookViewId="0">
      <selection activeCell="E18" sqref="E18"/>
    </sheetView>
  </sheetViews>
  <sheetFormatPr defaultColWidth="14.44140625" defaultRowHeight="15" customHeight="1"/>
  <cols>
    <col min="1" max="1" width="8.88671875" customWidth="1"/>
    <col min="2" max="2" width="20.44140625" bestFit="1" customWidth="1"/>
    <col min="3" max="3" width="13.6640625" customWidth="1"/>
    <col min="4" max="4" width="8.88671875" style="21" customWidth="1"/>
  </cols>
  <sheetData>
    <row r="1" spans="2:5" ht="14.25" customHeight="1">
      <c r="B1" s="45" t="s">
        <v>130</v>
      </c>
      <c r="C1" s="45"/>
      <c r="D1" s="45"/>
      <c r="E1" s="21" t="s">
        <v>131</v>
      </c>
    </row>
    <row r="2" spans="2:5" ht="14.25" customHeight="1">
      <c r="B2" s="21"/>
      <c r="C2" s="21"/>
      <c r="D2" s="21" t="s">
        <v>244</v>
      </c>
      <c r="E2" s="21"/>
    </row>
    <row r="3" spans="2:5" ht="14.25" customHeight="1" thickBot="1">
      <c r="B3" s="45" t="s">
        <v>132</v>
      </c>
      <c r="C3" s="45" t="s">
        <v>133</v>
      </c>
      <c r="D3" s="45"/>
      <c r="E3" s="45" t="s">
        <v>40</v>
      </c>
    </row>
    <row r="4" spans="2:5" ht="14.25" customHeight="1" thickTop="1">
      <c r="B4" s="91">
        <v>1</v>
      </c>
      <c r="C4" s="91">
        <v>2.9</v>
      </c>
      <c r="D4" s="115">
        <v>1.59</v>
      </c>
      <c r="E4" s="21">
        <v>4</v>
      </c>
    </row>
    <row r="5" spans="2:5" ht="14.25" customHeight="1">
      <c r="B5" s="92">
        <v>2</v>
      </c>
      <c r="C5" s="92">
        <v>2.7</v>
      </c>
      <c r="D5" s="115">
        <v>1.41</v>
      </c>
      <c r="E5" s="21">
        <v>9</v>
      </c>
    </row>
    <row r="6" spans="2:5" ht="14.25" customHeight="1">
      <c r="B6" s="92">
        <v>3</v>
      </c>
      <c r="C6" s="92">
        <v>2.4</v>
      </c>
      <c r="D6" s="115">
        <v>1.22</v>
      </c>
      <c r="E6" s="21">
        <v>14</v>
      </c>
    </row>
    <row r="7" spans="2:5" ht="14.25" customHeight="1">
      <c r="B7" s="92">
        <v>4</v>
      </c>
      <c r="C7" s="92">
        <v>2.2000000000000002</v>
      </c>
      <c r="D7" s="115">
        <v>1.1399999999999999</v>
      </c>
      <c r="E7" s="21">
        <v>20</v>
      </c>
    </row>
    <row r="8" spans="2:5" ht="14.25" customHeight="1">
      <c r="B8" s="92">
        <v>5</v>
      </c>
      <c r="C8" s="92">
        <v>2</v>
      </c>
      <c r="D8" s="115">
        <v>1.07</v>
      </c>
      <c r="E8" s="21">
        <v>25</v>
      </c>
    </row>
    <row r="9" spans="2:5" ht="14.25" customHeight="1">
      <c r="B9" s="92">
        <v>6</v>
      </c>
      <c r="C9" s="92">
        <v>1.67</v>
      </c>
      <c r="D9" s="115">
        <v>1</v>
      </c>
      <c r="E9" s="21">
        <v>25</v>
      </c>
    </row>
    <row r="10" spans="2:5" ht="14.25" customHeight="1" thickBot="1">
      <c r="B10" s="93"/>
      <c r="C10" s="93"/>
      <c r="D10" s="115"/>
      <c r="E10" s="21">
        <v>25</v>
      </c>
    </row>
    <row r="11" spans="2:5" ht="14.25" customHeight="1" thickTop="1">
      <c r="B11" s="21"/>
      <c r="C11" s="21"/>
    </row>
    <row r="12" spans="2:5" ht="14.25" customHeight="1">
      <c r="B12" s="45" t="s">
        <v>134</v>
      </c>
      <c r="C12" s="21"/>
    </row>
    <row r="19" spans="2:2" ht="14.25" customHeight="1">
      <c r="B19" s="45" t="s">
        <v>135</v>
      </c>
    </row>
    <row r="20" spans="2:2" ht="14.25" customHeight="1">
      <c r="B20" s="21"/>
    </row>
    <row r="21" spans="2:2" ht="14.25" customHeight="1">
      <c r="B21" s="45"/>
    </row>
    <row r="22" spans="2:2" ht="14.25" customHeight="1">
      <c r="B22" s="91"/>
    </row>
    <row r="23" spans="2:2" ht="14.25" customHeight="1">
      <c r="B23" s="92"/>
    </row>
    <row r="24" spans="2:2" ht="14.25" customHeight="1">
      <c r="B24" s="93"/>
    </row>
    <row r="25" spans="2:2" ht="14.25" customHeight="1">
      <c r="B25" s="21"/>
    </row>
    <row r="26" spans="2:2" ht="14.25" customHeight="1">
      <c r="B26" s="21"/>
    </row>
    <row r="27" spans="2:2" ht="14.25" customHeight="1">
      <c r="B27" s="45" t="s">
        <v>136</v>
      </c>
    </row>
    <row r="28" spans="2:2" ht="14.25" customHeight="1">
      <c r="B28" s="21"/>
    </row>
    <row r="29" spans="2:2" ht="14.25" customHeight="1">
      <c r="B29" s="45"/>
    </row>
    <row r="30" spans="2:2" ht="14.25" customHeight="1">
      <c r="B30" s="91" t="s">
        <v>137</v>
      </c>
    </row>
    <row r="31" spans="2:2" ht="14.25" customHeight="1">
      <c r="B31" s="93" t="s">
        <v>19</v>
      </c>
    </row>
    <row r="33" spans="1:6" ht="14.25" customHeight="1">
      <c r="B33" s="94" t="s">
        <v>13</v>
      </c>
      <c r="D33" s="21" t="s">
        <v>133</v>
      </c>
      <c r="E33" t="s">
        <v>138</v>
      </c>
      <c r="F33" t="s">
        <v>139</v>
      </c>
    </row>
    <row r="34" spans="1:6" ht="14.25" customHeight="1">
      <c r="A34" s="181"/>
      <c r="B34" s="239" t="s">
        <v>140</v>
      </c>
      <c r="C34" s="181"/>
      <c r="D34" s="242">
        <v>0</v>
      </c>
      <c r="F34" t="s">
        <v>63</v>
      </c>
    </row>
    <row r="35" spans="1:6" ht="14.25" customHeight="1">
      <c r="A35" s="181"/>
      <c r="B35" s="240" t="s">
        <v>141</v>
      </c>
      <c r="C35" s="181"/>
      <c r="D35" s="242">
        <v>0</v>
      </c>
      <c r="F35" t="s">
        <v>63</v>
      </c>
    </row>
    <row r="36" spans="1:6" ht="14.25" customHeight="1">
      <c r="A36" s="181"/>
      <c r="B36" s="240" t="s">
        <v>142</v>
      </c>
      <c r="C36" s="181"/>
      <c r="D36" s="242">
        <v>5.0000000000000001E-3</v>
      </c>
      <c r="E36" t="s">
        <v>16</v>
      </c>
      <c r="F36" t="s">
        <v>63</v>
      </c>
    </row>
    <row r="37" spans="1:6" ht="14.25" customHeight="1">
      <c r="A37" s="181"/>
      <c r="B37" s="240" t="s">
        <v>143</v>
      </c>
      <c r="C37" s="181"/>
      <c r="D37" s="242">
        <v>0.01</v>
      </c>
      <c r="E37" t="s">
        <v>16</v>
      </c>
      <c r="F37">
        <v>50</v>
      </c>
    </row>
    <row r="38" spans="1:6" ht="14.25" customHeight="1">
      <c r="A38" s="181"/>
      <c r="B38" s="240" t="s">
        <v>144</v>
      </c>
      <c r="C38" s="181"/>
      <c r="D38" s="242">
        <v>0.02</v>
      </c>
      <c r="E38" t="s">
        <v>16</v>
      </c>
      <c r="F38">
        <v>25</v>
      </c>
    </row>
    <row r="39" spans="1:6" ht="14.25" customHeight="1">
      <c r="A39" s="181"/>
      <c r="B39" s="240" t="s">
        <v>145</v>
      </c>
      <c r="C39" s="181"/>
      <c r="D39" s="242">
        <v>0.02</v>
      </c>
      <c r="E39" t="s">
        <v>16</v>
      </c>
      <c r="F39">
        <v>25</v>
      </c>
    </row>
    <row r="40" spans="1:6" ht="14.25" customHeight="1">
      <c r="A40" s="181"/>
      <c r="B40" s="241" t="s">
        <v>14</v>
      </c>
      <c r="C40" s="181"/>
      <c r="D40" s="242">
        <v>0</v>
      </c>
      <c r="F40" t="s">
        <v>63</v>
      </c>
    </row>
    <row r="41" spans="1:6" ht="14.25" customHeight="1">
      <c r="B41" s="208"/>
    </row>
    <row r="42" spans="1:6" ht="14.25" customHeight="1">
      <c r="B42" s="21"/>
    </row>
    <row r="43" spans="1:6" ht="14.25" customHeight="1">
      <c r="B43" s="21"/>
    </row>
    <row r="44" spans="1:6" ht="14.25" customHeight="1">
      <c r="B44" s="45" t="s">
        <v>23</v>
      </c>
    </row>
    <row r="45" spans="1:6" ht="14.25" customHeight="1">
      <c r="B45" s="21"/>
    </row>
    <row r="46" spans="1:6" ht="14.25" customHeight="1">
      <c r="B46" s="45"/>
    </row>
    <row r="47" spans="1:6" ht="14.25" customHeight="1">
      <c r="B47" s="91" t="s">
        <v>24</v>
      </c>
    </row>
    <row r="48" spans="1:6" ht="14.25" customHeight="1">
      <c r="B48" s="93" t="s">
        <v>146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Blad5">
    <pageSetUpPr fitToPage="1"/>
  </sheetPr>
  <dimension ref="A1:AM96"/>
  <sheetViews>
    <sheetView topLeftCell="A12" workbookViewId="0">
      <selection activeCell="B87" sqref="B87"/>
    </sheetView>
  </sheetViews>
  <sheetFormatPr defaultColWidth="14.44140625" defaultRowHeight="15" customHeight="1"/>
  <cols>
    <col min="1" max="1" width="15.5546875" customWidth="1"/>
    <col min="2" max="6" width="9.109375" customWidth="1"/>
    <col min="7" max="7" width="9" customWidth="1"/>
    <col min="8" max="10" width="9.109375" customWidth="1"/>
    <col min="11" max="11" width="10.44140625" customWidth="1"/>
    <col min="12" max="20" width="9.109375" customWidth="1"/>
    <col min="21" max="44" width="8.5546875" customWidth="1"/>
  </cols>
  <sheetData>
    <row r="1" spans="1:15" ht="14.25" customHeight="1">
      <c r="A1" s="369" t="s">
        <v>147</v>
      </c>
      <c r="B1" s="321"/>
      <c r="C1" s="321"/>
      <c r="D1" s="321"/>
      <c r="E1" s="321"/>
      <c r="F1" s="96"/>
      <c r="G1" s="96"/>
      <c r="K1" s="21"/>
      <c r="L1" s="21"/>
      <c r="M1" s="21"/>
      <c r="N1" s="21"/>
      <c r="O1" s="21"/>
    </row>
    <row r="2" spans="1:15" ht="35.25" customHeight="1">
      <c r="A2" s="13"/>
      <c r="B2" s="13"/>
      <c r="C2" s="13"/>
      <c r="D2" s="13"/>
      <c r="E2" s="13"/>
      <c r="H2" s="13" t="s">
        <v>148</v>
      </c>
      <c r="I2" s="13" t="s">
        <v>148</v>
      </c>
      <c r="J2" s="13" t="s">
        <v>149</v>
      </c>
      <c r="K2" s="97" t="s">
        <v>148</v>
      </c>
      <c r="L2" s="13" t="s">
        <v>149</v>
      </c>
      <c r="M2" s="97" t="s">
        <v>150</v>
      </c>
      <c r="N2" s="97"/>
      <c r="O2" s="97"/>
    </row>
    <row r="3" spans="1:15" ht="14.25" customHeight="1">
      <c r="A3" s="370" t="s">
        <v>151</v>
      </c>
      <c r="D3" s="372" t="s">
        <v>152</v>
      </c>
      <c r="E3" s="373"/>
      <c r="H3" s="372" t="s">
        <v>152</v>
      </c>
      <c r="I3" s="373"/>
      <c r="J3" s="372" t="s">
        <v>152</v>
      </c>
      <c r="K3" s="373"/>
      <c r="L3" s="372" t="s">
        <v>152</v>
      </c>
      <c r="M3" s="373"/>
    </row>
    <row r="4" spans="1:15" ht="14.25" customHeight="1">
      <c r="A4" s="371"/>
      <c r="D4" s="375" t="s">
        <v>153</v>
      </c>
      <c r="E4" s="376"/>
      <c r="H4" s="375" t="s">
        <v>153</v>
      </c>
      <c r="I4" s="376"/>
      <c r="J4" s="375" t="s">
        <v>153</v>
      </c>
      <c r="K4" s="376"/>
      <c r="L4" s="375" t="s">
        <v>153</v>
      </c>
      <c r="M4" s="376"/>
    </row>
    <row r="5" spans="1:15" ht="14.25" customHeight="1">
      <c r="A5" s="98">
        <v>9000</v>
      </c>
      <c r="D5" s="99">
        <v>93</v>
      </c>
      <c r="E5" s="99"/>
      <c r="H5" s="99">
        <v>93</v>
      </c>
      <c r="I5" s="99"/>
      <c r="J5" s="99">
        <v>117</v>
      </c>
      <c r="K5" s="99"/>
      <c r="L5" s="99">
        <v>117</v>
      </c>
      <c r="M5" s="99"/>
    </row>
    <row r="6" spans="1:15" ht="14.25" customHeight="1">
      <c r="A6" s="100">
        <v>10000</v>
      </c>
      <c r="D6" s="101">
        <v>96</v>
      </c>
      <c r="E6" s="101"/>
      <c r="H6" s="101">
        <v>96</v>
      </c>
      <c r="I6" s="101"/>
      <c r="J6" s="101">
        <v>122</v>
      </c>
      <c r="K6" s="101"/>
      <c r="L6" s="101">
        <v>122</v>
      </c>
      <c r="M6" s="101"/>
    </row>
    <row r="7" spans="1:15" ht="14.25" customHeight="1">
      <c r="A7" s="98">
        <v>11000</v>
      </c>
      <c r="D7" s="99">
        <v>99</v>
      </c>
      <c r="E7" s="99"/>
      <c r="H7" s="99">
        <v>99</v>
      </c>
      <c r="I7" s="99"/>
      <c r="J7" s="99">
        <v>126</v>
      </c>
      <c r="K7" s="99"/>
      <c r="L7" s="99">
        <v>126</v>
      </c>
      <c r="M7" s="99"/>
    </row>
    <row r="8" spans="1:15" ht="14.25" customHeight="1">
      <c r="A8" s="100">
        <v>12000</v>
      </c>
      <c r="D8" s="101">
        <v>102</v>
      </c>
      <c r="E8" s="101"/>
      <c r="H8" s="101">
        <v>102</v>
      </c>
      <c r="I8" s="101"/>
      <c r="J8" s="101">
        <v>130</v>
      </c>
      <c r="K8" s="101"/>
      <c r="L8" s="101">
        <v>130</v>
      </c>
      <c r="M8" s="101"/>
    </row>
    <row r="9" spans="1:15" ht="14.25" customHeight="1">
      <c r="A9" s="98">
        <v>12500</v>
      </c>
      <c r="D9" s="99">
        <v>103</v>
      </c>
      <c r="E9" s="99"/>
      <c r="H9" s="99">
        <v>103</v>
      </c>
      <c r="I9" s="99"/>
      <c r="J9" s="99">
        <v>132</v>
      </c>
      <c r="K9" s="99"/>
      <c r="L9" s="99">
        <v>132</v>
      </c>
      <c r="M9" s="99"/>
    </row>
    <row r="10" spans="1:15" ht="14.25" customHeight="1">
      <c r="A10" s="102"/>
      <c r="B10" s="38"/>
      <c r="C10" s="38"/>
      <c r="D10" s="38"/>
      <c r="H10" s="21"/>
      <c r="I10" s="21"/>
      <c r="J10" s="21"/>
      <c r="K10" s="21"/>
      <c r="L10" s="21"/>
      <c r="M10" s="21"/>
    </row>
    <row r="11" spans="1:15" ht="14.25" customHeight="1">
      <c r="A11" s="374" t="s">
        <v>154</v>
      </c>
      <c r="B11" s="321"/>
      <c r="C11" s="321"/>
      <c r="D11" s="2"/>
      <c r="E11" s="2"/>
      <c r="F11" s="2"/>
      <c r="H11" s="377"/>
      <c r="I11" s="321"/>
      <c r="J11" s="321"/>
      <c r="K11" s="21"/>
      <c r="L11" s="21"/>
      <c r="M11" s="21"/>
    </row>
    <row r="12" spans="1:15" ht="14.25" customHeight="1">
      <c r="A12" s="21"/>
      <c r="B12" s="89" t="s">
        <v>155</v>
      </c>
      <c r="C12" s="104">
        <f>MATCH(MAX(A5:A9),A5:A9,0)</f>
        <v>5</v>
      </c>
      <c r="D12" s="21"/>
      <c r="E12" s="89"/>
      <c r="F12" s="104"/>
      <c r="H12" s="21"/>
      <c r="I12" s="89"/>
      <c r="J12" s="105"/>
      <c r="K12" s="21"/>
      <c r="L12" s="21"/>
      <c r="M12" s="21"/>
    </row>
    <row r="13" spans="1:15" ht="14.25" customHeight="1">
      <c r="A13" s="21"/>
      <c r="B13" s="89" t="s">
        <v>156</v>
      </c>
      <c r="C13" s="104">
        <f>MATCH(MAX(D5),D5,0)</f>
        <v>1</v>
      </c>
      <c r="D13" s="21"/>
      <c r="E13" s="89"/>
      <c r="F13" s="104"/>
      <c r="H13" s="21"/>
      <c r="I13" s="89"/>
      <c r="J13" s="105"/>
      <c r="K13" s="21"/>
      <c r="L13" s="21"/>
      <c r="M13" s="21"/>
    </row>
    <row r="14" spans="1:15" ht="14.25" customHeight="1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</row>
    <row r="15" spans="1:15" ht="14.25" customHeight="1">
      <c r="D15" s="6" t="s">
        <v>157</v>
      </c>
      <c r="E15" s="32" t="str">
        <f>D4</f>
        <v>Vref</v>
      </c>
      <c r="F15" s="32"/>
      <c r="H15" s="6"/>
      <c r="I15" s="32" t="str">
        <f>H4</f>
        <v>Vref</v>
      </c>
      <c r="J15" s="32"/>
      <c r="K15" s="32" t="str">
        <f>J4</f>
        <v>Vref</v>
      </c>
      <c r="L15" s="21"/>
      <c r="M15" s="32" t="str">
        <f>L4</f>
        <v>Vref</v>
      </c>
    </row>
    <row r="16" spans="1:15" ht="14.25" customHeight="1">
      <c r="D16" s="106" t="s">
        <v>158</v>
      </c>
      <c r="E16" s="107">
        <f>Landing!C11</f>
        <v>11000</v>
      </c>
      <c r="F16" s="107"/>
      <c r="H16" s="108"/>
      <c r="I16" s="107">
        <f>'Take-off'!C14</f>
        <v>12350</v>
      </c>
      <c r="J16" s="107"/>
      <c r="K16" s="107">
        <f>'Take-off'!C14</f>
        <v>12350</v>
      </c>
      <c r="L16" s="21"/>
      <c r="M16" s="107">
        <f>Landing!C11</f>
        <v>11000</v>
      </c>
    </row>
    <row r="17" spans="1:20" ht="14.25" customHeight="1">
      <c r="D17" s="89" t="s">
        <v>159</v>
      </c>
      <c r="E17" s="109">
        <f t="array" ref="E17">INDEX($A$5:$A$9,MATCH(E16,$A$5:$A$9,1))</f>
        <v>11000</v>
      </c>
      <c r="F17" s="109"/>
      <c r="H17" s="89"/>
      <c r="I17" s="109">
        <f t="array" ref="I17">INDEX($A$5:$A$9,MATCH(I16,$A$5:$A$9,1))</f>
        <v>12000</v>
      </c>
      <c r="J17" s="109"/>
      <c r="K17" s="109">
        <f t="array" ref="K17">INDEX($A$5:$A$9,MATCH(K16,$A$5:$A$9,1))</f>
        <v>12000</v>
      </c>
      <c r="L17" s="21"/>
      <c r="M17" s="109">
        <f t="array" ref="M17">INDEX($A$5:$A$9,MATCH(M16,$A$5:$A$9,1))</f>
        <v>11000</v>
      </c>
      <c r="P17" s="21"/>
      <c r="Q17" s="21"/>
      <c r="R17" s="21"/>
      <c r="S17" s="21"/>
      <c r="T17" s="21"/>
    </row>
    <row r="18" spans="1:20" ht="14.25" customHeight="1">
      <c r="D18" s="89" t="s">
        <v>160</v>
      </c>
      <c r="E18" s="109">
        <f t="array" ref="E18">INDEX($A$5:$A$9,IF(MATCH(E16,$A$5:$A$9,1)&lt;$C$12,MATCH(E16,$A$5:$A$9,1)+1,MATCH(E16,$A$5:$A$9,1)))</f>
        <v>12000</v>
      </c>
      <c r="F18" s="109"/>
      <c r="H18" s="89"/>
      <c r="I18" s="109">
        <f t="array" ref="I18">INDEX($A$5:$A$9,IF(MATCH(I16,$A$5:$A$9,1)&lt;$C$12,MATCH(I16,$A$5:$A$9,1)+1,MATCH(I16,$A$5:$A$9,1)))</f>
        <v>12500</v>
      </c>
      <c r="J18" s="109"/>
      <c r="K18" s="109">
        <f t="array" ref="K18">INDEX($A$5:$A$9,IF(MATCH(K16,$A$5:$A$9,1)&lt;$C$12,MATCH(K16,$A$5:$A$9,1)+1,MATCH(K16,$A$5:$A$9,1)))</f>
        <v>12500</v>
      </c>
      <c r="L18" s="21"/>
      <c r="M18" s="109">
        <f t="array" ref="M18">INDEX($A$5:$A$9,IF(MATCH(M16,$A$5:$A$9,1)&lt;$C$12,MATCH(M16,$A$5:$A$9,1)+1,MATCH(M16,$A$5:$A$9,1)))</f>
        <v>12000</v>
      </c>
      <c r="P18" s="21"/>
      <c r="Q18" s="21"/>
      <c r="R18" s="21"/>
      <c r="S18" s="21"/>
      <c r="T18" s="21"/>
    </row>
    <row r="19" spans="1:20" ht="14.25" customHeight="1">
      <c r="D19" s="108" t="s">
        <v>161</v>
      </c>
      <c r="E19" s="107">
        <f t="array" ref="E19">INDEX(D5:D9,MATCH(E16,$A$5:$A$9,1),MATCH(E15,D4,1))</f>
        <v>99</v>
      </c>
      <c r="F19" s="107"/>
      <c r="H19" s="108"/>
      <c r="I19" s="107">
        <f t="array" ref="I19">INDEX(H5:H9,MATCH(I16,$A$5:$A$9,1),MATCH(I15,H4,1))</f>
        <v>102</v>
      </c>
      <c r="J19" s="107"/>
      <c r="K19" s="107">
        <f t="array" ref="K19">INDEX(J5:J9,MATCH(K16,$A$5:$A$9,1),MATCH(K15,J4,1))</f>
        <v>130</v>
      </c>
      <c r="L19" s="21"/>
      <c r="M19" s="107">
        <f t="array" ref="M19">INDEX(L5:L9,MATCH(M16,$A$5:$A$9,1),MATCH(M15,L4,1))</f>
        <v>126</v>
      </c>
      <c r="P19" s="21"/>
      <c r="Q19" s="21"/>
      <c r="R19" s="21"/>
      <c r="S19" s="21"/>
      <c r="T19" s="21"/>
    </row>
    <row r="20" spans="1:20" ht="14.25" customHeight="1">
      <c r="D20" s="108" t="s">
        <v>162</v>
      </c>
      <c r="E20" s="107">
        <f t="array" ref="E20">INDEX(D5:D9,IF(MATCH(E16,$A$5:$A$9,1)&lt;$C$12,MATCH(E16,$A$5:$A$9,1)+1,MATCH(E16,$A$5:$A$9,1)),MATCH(E15,D4,1))</f>
        <v>102</v>
      </c>
      <c r="F20" s="107"/>
      <c r="H20" s="108"/>
      <c r="I20" s="107">
        <f t="array" ref="I20">INDEX(H5:H9,IF(MATCH(I16,$A$5:$A$9,1)&lt;$C$12,MATCH(I16,$A$5:$A$9,1)+1,MATCH(I16,$A$5:$A$9,1)),MATCH(I15,H4,1))</f>
        <v>103</v>
      </c>
      <c r="J20" s="107"/>
      <c r="K20" s="107">
        <f t="array" ref="K20">INDEX(J5:J9,IF(MATCH(K16,$A$5:$A$9,1)&lt;$C$12,MATCH(K16,$A$5:$A$9,1)+1,MATCH(K16,$A$5:$A$9,1)),MATCH(K15,J4,1))</f>
        <v>132</v>
      </c>
      <c r="L20" s="21"/>
      <c r="M20" s="107">
        <f t="array" ref="M20">INDEX(L5:L9,IF(MATCH(M16,$A$5:$A$9,1)&lt;$C$12,MATCH(M16,$A$5:$A$9,1)+1,MATCH(M16,$A$5:$A$9,1)),MATCH(M15,L4,1))</f>
        <v>130</v>
      </c>
      <c r="P20" s="21"/>
      <c r="Q20" s="21"/>
      <c r="R20" s="21"/>
      <c r="S20" s="21"/>
      <c r="T20" s="21"/>
    </row>
    <row r="21" spans="1:20" ht="14.25" customHeight="1">
      <c r="D21" s="108" t="s">
        <v>163</v>
      </c>
      <c r="E21" s="107">
        <f>IFERROR(E19+(E16-E17)*(E20-E19)/(E18-E17),E19)</f>
        <v>99</v>
      </c>
      <c r="F21" s="107"/>
      <c r="H21" s="108"/>
      <c r="I21" s="107">
        <f>IFERROR(I19+(I16-I17)*(I20-I19)/(I18-I17),I19)</f>
        <v>102.7</v>
      </c>
      <c r="J21" s="107"/>
      <c r="K21" s="107">
        <f>IFERROR(K19+(K16-K17)*(K20-K19)/(K18-K17),K19)</f>
        <v>131.4</v>
      </c>
      <c r="L21" s="21"/>
      <c r="M21" s="107">
        <f>IFERROR(M19+(M16-M17)*(M20-M19)/(M18-M17),M19)</f>
        <v>126</v>
      </c>
      <c r="P21" s="21"/>
      <c r="Q21" s="21"/>
      <c r="R21" s="21"/>
      <c r="S21" s="21"/>
      <c r="T21" s="21"/>
    </row>
    <row r="22" spans="1:20" ht="14.25" customHeight="1">
      <c r="K22" s="21"/>
      <c r="L22" s="21"/>
      <c r="M22" s="21"/>
      <c r="N22" s="21"/>
      <c r="O22" s="21"/>
      <c r="P22" s="21"/>
      <c r="Q22" s="21"/>
      <c r="R22" s="21"/>
      <c r="S22" s="21"/>
      <c r="T22" s="21"/>
    </row>
    <row r="23" spans="1:20" ht="14.25" customHeight="1">
      <c r="A23" s="2"/>
      <c r="B23" s="2"/>
      <c r="C23" s="2"/>
      <c r="D23" s="2"/>
      <c r="E23" s="2"/>
      <c r="F23" s="2"/>
      <c r="L23" s="369"/>
      <c r="M23" s="321"/>
      <c r="N23" s="321"/>
      <c r="O23" s="321"/>
      <c r="P23" s="321"/>
      <c r="Q23" s="321"/>
      <c r="R23" s="321"/>
      <c r="S23" s="21"/>
      <c r="T23" s="21"/>
    </row>
    <row r="24" spans="1:20" ht="14.25" customHeight="1"/>
    <row r="25" spans="1:20" ht="14.25" customHeight="1"/>
    <row r="26" spans="1:20" ht="14.25" customHeight="1"/>
    <row r="27" spans="1:20" ht="14.25" customHeight="1"/>
    <row r="28" spans="1:20" ht="14.25" customHeight="1"/>
    <row r="29" spans="1:20" ht="14.25" customHeight="1">
      <c r="B29" s="21" t="s">
        <v>164</v>
      </c>
      <c r="C29" s="21"/>
      <c r="D29" s="21"/>
    </row>
    <row r="30" spans="1:20" ht="14.25" customHeight="1">
      <c r="B30" s="38"/>
      <c r="C30" s="38"/>
      <c r="D30" s="118"/>
    </row>
    <row r="31" spans="1:20" ht="14.25" customHeight="1">
      <c r="B31" s="265" t="s">
        <v>165</v>
      </c>
      <c r="C31" s="265" t="s">
        <v>166</v>
      </c>
      <c r="D31" s="265" t="s">
        <v>167</v>
      </c>
    </row>
    <row r="32" spans="1:20" ht="14.25" customHeight="1">
      <c r="B32" s="266">
        <f>IF(ABS(Landing!C17-Landing!C6)&gt;270,360-ABS(Landing!C17-Landing!C6),Landing!C17-Landing!C6)</f>
        <v>-18</v>
      </c>
      <c r="C32" s="267">
        <f>IF(ABS(B32)&gt;90,ABS(COS(B32*PI()/180))*(-1),ABS(COS(B32*PI()/180)))</f>
        <v>0.95105651629515353</v>
      </c>
      <c r="D32" s="266">
        <f>IF( ISBLANK(Landing!C6), Landing!C7*-1,    Landing!C7*C32)</f>
        <v>0</v>
      </c>
    </row>
    <row r="33" spans="1:26" ht="14.25" customHeight="1">
      <c r="B33" s="6"/>
      <c r="C33" s="21"/>
      <c r="D33" s="21"/>
    </row>
    <row r="34" spans="1:26" ht="14.25" customHeight="1">
      <c r="B34" s="164"/>
      <c r="C34" s="38"/>
      <c r="D34" s="38"/>
    </row>
    <row r="35" spans="1:26" ht="14.25" customHeight="1">
      <c r="B35" s="6"/>
      <c r="C35" s="268"/>
      <c r="D35" s="6"/>
    </row>
    <row r="36" spans="1:26" ht="14.25" customHeight="1">
      <c r="B36" s="6"/>
      <c r="C36" s="6"/>
      <c r="D36" s="6"/>
    </row>
    <row r="37" spans="1:26" ht="14.25" customHeight="1">
      <c r="B37" s="6" t="s">
        <v>168</v>
      </c>
      <c r="C37" s="268">
        <f>IF(ABS(B32)&gt;90,ABS(SIN(B32*PI()/180))*(-1),ABS(SIN(B32*PI()/180)))</f>
        <v>0.3090169943749474</v>
      </c>
      <c r="D37" s="6"/>
    </row>
    <row r="38" spans="1:26" ht="14.25" customHeight="1">
      <c r="A38" s="116"/>
      <c r="B38" s="2"/>
      <c r="C38" s="2"/>
      <c r="D38" s="2"/>
      <c r="E38" s="2"/>
      <c r="F38" s="2"/>
      <c r="G38" s="2"/>
    </row>
    <row r="39" spans="1:26" ht="14.25" customHeight="1"/>
    <row r="40" spans="1:26" ht="14.25" customHeight="1">
      <c r="B40" s="2"/>
      <c r="C40" s="2"/>
      <c r="D40" s="2"/>
    </row>
    <row r="41" spans="1:26" ht="14.25" customHeight="1">
      <c r="A41" s="2"/>
      <c r="B41" s="2"/>
      <c r="C41" s="2"/>
      <c r="D41" s="2"/>
    </row>
    <row r="42" spans="1:26" ht="14.25" customHeight="1">
      <c r="A42" s="2"/>
      <c r="B42" s="2"/>
      <c r="C42" s="2"/>
      <c r="D42" s="2"/>
    </row>
    <row r="43" spans="1:26" ht="14.25" customHeight="1">
      <c r="A43" s="2"/>
      <c r="B43" s="2"/>
      <c r="C43" s="2"/>
      <c r="D43" s="2"/>
    </row>
    <row r="44" spans="1:26" ht="14.25" customHeight="1">
      <c r="A44" s="2"/>
      <c r="B44" s="2"/>
      <c r="C44" s="2"/>
      <c r="D44" s="2"/>
    </row>
    <row r="45" spans="1:26" ht="14.25" customHeight="1">
      <c r="A45" s="2"/>
      <c r="B45" s="2"/>
      <c r="C45" s="2"/>
      <c r="D45" s="2"/>
    </row>
    <row r="46" spans="1:26" ht="14.25" customHeight="1">
      <c r="A46" s="2"/>
      <c r="B46" s="2"/>
      <c r="C46" s="2"/>
      <c r="D46" s="2"/>
    </row>
    <row r="47" spans="1:26" ht="14.25" customHeight="1">
      <c r="A47" s="2"/>
      <c r="B47" s="2"/>
      <c r="C47" s="2"/>
      <c r="D47" s="2"/>
    </row>
    <row r="48" spans="1:26" ht="14.25" customHeight="1">
      <c r="A48" s="126" t="s">
        <v>56</v>
      </c>
      <c r="B48" s="126"/>
      <c r="C48" s="126"/>
      <c r="D48" s="126"/>
      <c r="E48" s="126"/>
      <c r="F48" s="126"/>
      <c r="G48" s="126"/>
      <c r="H48" s="126"/>
      <c r="I48" s="126"/>
      <c r="J48" s="126"/>
      <c r="K48" s="127"/>
      <c r="L48" s="127"/>
      <c r="M48" s="127"/>
      <c r="N48" s="128"/>
      <c r="O48" s="129"/>
      <c r="P48" s="127"/>
      <c r="Q48" s="127"/>
      <c r="R48" s="127"/>
      <c r="S48" s="127"/>
      <c r="T48" s="127"/>
      <c r="U48" s="126"/>
      <c r="V48" s="126"/>
      <c r="W48" s="126"/>
      <c r="X48" s="126"/>
      <c r="Y48" s="126"/>
      <c r="Z48" s="126"/>
    </row>
    <row r="49" spans="1:39" ht="14.25" customHeight="1">
      <c r="A49" s="2"/>
      <c r="E49" s="2"/>
      <c r="F49" s="2"/>
      <c r="G49" s="2"/>
      <c r="I49" s="113"/>
      <c r="J49" s="114"/>
      <c r="K49" s="114"/>
      <c r="L49" s="114"/>
      <c r="M49" s="114"/>
      <c r="N49" s="114"/>
      <c r="O49" s="114"/>
      <c r="P49" s="114"/>
      <c r="AD49" s="2"/>
      <c r="AE49" s="2"/>
      <c r="AF49" s="2"/>
      <c r="AG49" s="2"/>
      <c r="AH49" s="2"/>
      <c r="AI49" s="21"/>
      <c r="AJ49" s="21"/>
      <c r="AK49" s="21"/>
      <c r="AL49" s="21"/>
      <c r="AM49" s="21"/>
    </row>
    <row r="50" spans="1:39" ht="14.25" customHeight="1">
      <c r="A50" s="116"/>
      <c r="E50" s="2"/>
      <c r="F50" s="2"/>
      <c r="G50" s="2"/>
      <c r="I50" s="87"/>
      <c r="J50" s="87"/>
      <c r="K50" s="87"/>
      <c r="L50" s="87"/>
      <c r="M50" s="87"/>
      <c r="N50" s="87"/>
      <c r="O50" s="87"/>
      <c r="P50" s="87"/>
      <c r="AD50" s="2"/>
      <c r="AE50" s="2"/>
      <c r="AF50" s="2"/>
      <c r="AG50" s="2"/>
      <c r="AH50" s="2"/>
      <c r="AI50" s="21"/>
      <c r="AJ50" s="108"/>
      <c r="AK50" s="107"/>
      <c r="AL50" s="374"/>
      <c r="AM50" s="321"/>
    </row>
    <row r="51" spans="1:39" ht="14.25" customHeight="1">
      <c r="A51" s="116"/>
      <c r="E51" s="2"/>
      <c r="F51" s="2"/>
      <c r="G51" s="2"/>
      <c r="I51" s="2"/>
      <c r="J51" s="2"/>
      <c r="K51" s="2"/>
      <c r="L51" s="2"/>
      <c r="M51" s="2"/>
      <c r="N51" s="2"/>
      <c r="O51" s="2"/>
      <c r="P51" s="2"/>
      <c r="AD51" s="2"/>
      <c r="AE51" s="2"/>
      <c r="AF51" s="2"/>
      <c r="AG51" s="2"/>
      <c r="AH51" s="2"/>
      <c r="AI51" s="21"/>
      <c r="AJ51" s="89"/>
      <c r="AK51" s="109"/>
      <c r="AL51" s="89"/>
      <c r="AM51" s="104"/>
    </row>
    <row r="52" spans="1:39" ht="14.25" customHeight="1">
      <c r="A52" s="116"/>
      <c r="E52" s="2"/>
      <c r="F52" s="2"/>
      <c r="G52" s="2"/>
      <c r="I52" s="2"/>
      <c r="J52" s="2"/>
      <c r="K52" s="2"/>
      <c r="L52" s="2"/>
      <c r="M52" s="2"/>
      <c r="N52" s="2"/>
      <c r="O52" s="2"/>
      <c r="P52" s="2"/>
      <c r="AD52" s="2"/>
      <c r="AE52" s="2"/>
      <c r="AF52" s="2"/>
      <c r="AG52" s="2"/>
      <c r="AH52" s="2"/>
      <c r="AI52" s="21"/>
      <c r="AJ52" s="89"/>
      <c r="AK52" s="109"/>
      <c r="AL52" s="89"/>
      <c r="AM52" s="104"/>
    </row>
    <row r="53" spans="1:39" ht="14.25" customHeight="1">
      <c r="A53" s="116"/>
      <c r="B53" s="122" t="s">
        <v>169</v>
      </c>
      <c r="C53" s="115" t="s">
        <v>170</v>
      </c>
      <c r="D53" s="115"/>
      <c r="E53" s="2"/>
      <c r="F53" s="2"/>
      <c r="G53" s="2"/>
      <c r="I53" s="15"/>
      <c r="J53" s="2"/>
      <c r="K53" s="2"/>
      <c r="L53" s="2"/>
      <c r="M53" s="2"/>
      <c r="N53" s="2"/>
      <c r="O53" s="2"/>
      <c r="P53" s="2"/>
      <c r="AD53" s="2"/>
      <c r="AE53" s="2"/>
      <c r="AF53" s="2"/>
      <c r="AG53" s="2"/>
      <c r="AH53" s="2"/>
      <c r="AI53" s="21"/>
      <c r="AJ53" s="108"/>
      <c r="AK53" s="107"/>
      <c r="AL53" s="21"/>
      <c r="AM53" s="21"/>
    </row>
    <row r="54" spans="1:39" ht="14.25" customHeight="1">
      <c r="A54" s="116"/>
      <c r="B54" s="123">
        <f>'Landing distance data'!K102</f>
        <v>617.03132720937595</v>
      </c>
      <c r="C54" s="117">
        <f>B54*C55</f>
        <v>1480.8751853025021</v>
      </c>
      <c r="D54" s="117"/>
      <c r="E54" s="2"/>
      <c r="F54" s="2"/>
      <c r="G54" s="2"/>
      <c r="I54" s="15"/>
      <c r="J54" s="2"/>
      <c r="K54" s="2"/>
      <c r="L54" s="2"/>
      <c r="M54" s="2"/>
      <c r="N54" s="2"/>
      <c r="O54" s="2"/>
      <c r="P54" s="2"/>
      <c r="AD54" s="2"/>
      <c r="AE54" s="2"/>
      <c r="AF54" s="2"/>
      <c r="AG54" s="2"/>
      <c r="AH54" s="2"/>
      <c r="AI54" s="21"/>
      <c r="AJ54" s="89"/>
      <c r="AK54" s="109"/>
      <c r="AL54" s="21"/>
      <c r="AM54" s="38"/>
    </row>
    <row r="55" spans="1:39" ht="14.25" customHeight="1">
      <c r="A55" s="116"/>
      <c r="B55" s="6" t="s">
        <v>171</v>
      </c>
      <c r="C55" s="125">
        <f>IF( ISBLANK('Take-off'!C10),MIN('Dropdown lists'!C4:C10), VLOOKUP('Take-off'!C10,'Dropdown lists'!B4:C10,2))</f>
        <v>2.4</v>
      </c>
      <c r="D55" s="6"/>
      <c r="E55" s="2"/>
      <c r="F55" s="2"/>
      <c r="G55" s="2"/>
      <c r="I55" s="15"/>
      <c r="J55" s="2"/>
      <c r="K55" s="2"/>
      <c r="L55" s="2"/>
      <c r="M55" s="2"/>
      <c r="N55" s="2"/>
      <c r="O55" s="2"/>
      <c r="P55" s="2"/>
      <c r="AD55" s="2"/>
      <c r="AE55" s="2"/>
      <c r="AF55" s="2"/>
      <c r="AG55" s="2"/>
      <c r="AH55" s="2"/>
      <c r="AI55" s="21"/>
      <c r="AJ55" s="89"/>
      <c r="AK55" s="109"/>
      <c r="AL55" s="21"/>
      <c r="AM55" s="38"/>
    </row>
    <row r="56" spans="1:39" ht="14.25" customHeight="1">
      <c r="A56" s="116"/>
      <c r="B56" s="6"/>
      <c r="C56" s="6"/>
      <c r="D56" s="6"/>
      <c r="E56" s="2"/>
      <c r="F56" s="2"/>
      <c r="G56" s="2"/>
      <c r="I56" s="124"/>
      <c r="J56" s="88"/>
      <c r="K56" s="88"/>
      <c r="L56" s="88"/>
      <c r="M56" s="88"/>
      <c r="N56" s="88"/>
      <c r="O56" s="88"/>
      <c r="P56" s="88"/>
      <c r="AD56" s="88"/>
      <c r="AE56" s="88"/>
      <c r="AF56" s="88"/>
      <c r="AG56" s="88"/>
      <c r="AH56" s="88"/>
      <c r="AI56" s="21"/>
      <c r="AJ56" s="108"/>
      <c r="AK56" s="107"/>
      <c r="AL56" s="21"/>
      <c r="AM56" s="38"/>
    </row>
    <row r="57" spans="1:39" ht="14.25" customHeight="1">
      <c r="A57" s="116"/>
      <c r="B57" s="6"/>
      <c r="C57" s="125"/>
      <c r="D57" s="6"/>
      <c r="E57" s="2"/>
      <c r="F57" s="2"/>
      <c r="G57" s="2"/>
      <c r="I57" s="124"/>
      <c r="J57" s="88"/>
      <c r="K57" s="88"/>
      <c r="L57" s="88"/>
      <c r="M57" s="88"/>
      <c r="N57" s="88"/>
      <c r="O57" s="88"/>
      <c r="P57" s="88"/>
      <c r="AD57" s="88"/>
      <c r="AE57" s="88"/>
      <c r="AF57" s="88"/>
      <c r="AG57" s="88"/>
      <c r="AH57" s="88"/>
      <c r="AI57" s="21"/>
      <c r="AJ57" s="108"/>
      <c r="AK57" s="107"/>
      <c r="AM57" s="38"/>
    </row>
    <row r="58" spans="1:39" ht="14.25" customHeight="1">
      <c r="B58" s="2"/>
      <c r="C58" s="15"/>
      <c r="I58" s="124"/>
      <c r="J58" s="88"/>
      <c r="K58" s="88"/>
      <c r="L58" s="88"/>
      <c r="M58" s="88"/>
      <c r="N58" s="88"/>
      <c r="O58" s="88"/>
      <c r="P58" s="88"/>
      <c r="AD58" s="88"/>
      <c r="AE58" s="88"/>
      <c r="AF58" s="88"/>
      <c r="AG58" s="88"/>
      <c r="AH58" s="88"/>
      <c r="AI58" s="21"/>
      <c r="AJ58" s="108"/>
      <c r="AK58" s="107"/>
      <c r="AM58" s="38"/>
    </row>
    <row r="59" spans="1:39" ht="14.25" customHeight="1">
      <c r="B59" s="2"/>
      <c r="C59" s="15"/>
      <c r="I59" s="124"/>
      <c r="J59" s="88"/>
      <c r="K59" s="88"/>
      <c r="L59" s="88"/>
      <c r="M59" s="88"/>
      <c r="N59" s="88"/>
      <c r="O59" s="88"/>
      <c r="P59" s="88"/>
      <c r="AD59" s="88"/>
      <c r="AE59" s="88"/>
      <c r="AF59" s="88"/>
      <c r="AG59" s="88"/>
      <c r="AH59" s="88"/>
      <c r="AI59" s="21"/>
      <c r="AJ59" s="108"/>
      <c r="AK59" s="107"/>
    </row>
    <row r="60" spans="1:39" ht="14.25" customHeight="1">
      <c r="B60" s="2"/>
      <c r="C60" s="15"/>
      <c r="I60" s="124"/>
      <c r="J60" s="88"/>
      <c r="K60" s="88"/>
      <c r="L60" s="88"/>
      <c r="M60" s="88"/>
      <c r="N60" s="88"/>
      <c r="O60" s="88"/>
      <c r="P60" s="88"/>
      <c r="AD60" s="88"/>
      <c r="AE60" s="88"/>
      <c r="AF60" s="88"/>
      <c r="AG60" s="88"/>
      <c r="AH60" s="88"/>
      <c r="AI60" s="21"/>
      <c r="AJ60" s="89"/>
      <c r="AK60" s="109"/>
    </row>
    <row r="61" spans="1:39" ht="14.25" customHeight="1">
      <c r="B61" s="2"/>
      <c r="C61" s="15"/>
      <c r="I61" s="124"/>
      <c r="J61" s="88"/>
      <c r="K61" s="88"/>
      <c r="L61" s="88"/>
      <c r="M61" s="88"/>
      <c r="N61" s="88"/>
      <c r="O61" s="88"/>
      <c r="P61" s="88"/>
      <c r="AD61" s="88"/>
      <c r="AE61" s="88"/>
      <c r="AF61" s="88"/>
      <c r="AG61" s="88"/>
      <c r="AH61" s="88"/>
      <c r="AI61" s="21"/>
      <c r="AJ61" s="89"/>
      <c r="AK61" s="109"/>
    </row>
    <row r="62" spans="1:39" ht="14.25" customHeight="1">
      <c r="B62" s="2"/>
      <c r="C62" s="15"/>
      <c r="I62" s="124"/>
      <c r="J62" s="88"/>
      <c r="K62" s="88"/>
      <c r="L62" s="88"/>
      <c r="M62" s="88"/>
      <c r="N62" s="88"/>
      <c r="O62" s="88"/>
      <c r="P62" s="88"/>
      <c r="AD62" s="88"/>
      <c r="AE62" s="88"/>
      <c r="AF62" s="88"/>
      <c r="AG62" s="88"/>
      <c r="AH62" s="88"/>
      <c r="AI62" s="21"/>
      <c r="AJ62" s="108"/>
      <c r="AK62" s="107"/>
    </row>
    <row r="66" spans="1:5" ht="14.25" customHeight="1">
      <c r="A66" s="369" t="s">
        <v>172</v>
      </c>
      <c r="B66" s="321"/>
      <c r="C66" s="321"/>
      <c r="D66" s="321"/>
      <c r="E66" s="321"/>
    </row>
    <row r="67" spans="1:5" ht="14.25" customHeight="1"/>
    <row r="68" spans="1:5" ht="14.25" customHeight="1">
      <c r="A68" s="378" t="s">
        <v>173</v>
      </c>
      <c r="B68" s="372" t="s">
        <v>79</v>
      </c>
      <c r="C68" s="373"/>
      <c r="D68" s="372" t="s">
        <v>148</v>
      </c>
      <c r="E68" s="373"/>
    </row>
    <row r="69" spans="1:5" ht="30" customHeight="1">
      <c r="A69" s="371"/>
      <c r="B69" s="375" t="s">
        <v>42</v>
      </c>
      <c r="C69" s="376"/>
      <c r="D69" s="375" t="s">
        <v>148</v>
      </c>
      <c r="E69" s="376"/>
    </row>
    <row r="70" spans="1:5" ht="14.25" customHeight="1">
      <c r="A70" s="100">
        <v>1100</v>
      </c>
      <c r="B70" s="101">
        <v>1500</v>
      </c>
      <c r="C70" s="99"/>
      <c r="D70" s="99"/>
      <c r="E70" s="99"/>
    </row>
    <row r="71" spans="1:5" ht="14.25" customHeight="1">
      <c r="A71" s="98">
        <v>1500</v>
      </c>
      <c r="B71" s="99">
        <v>2000</v>
      </c>
      <c r="C71" s="101"/>
      <c r="D71" s="101"/>
      <c r="E71" s="101"/>
    </row>
    <row r="72" spans="1:5" ht="14.25" customHeight="1">
      <c r="A72" s="100">
        <v>2000</v>
      </c>
      <c r="B72" s="101">
        <v>2550</v>
      </c>
      <c r="C72" s="99"/>
      <c r="D72" s="99"/>
      <c r="E72" s="99"/>
    </row>
    <row r="73" spans="1:5" ht="14.25" customHeight="1">
      <c r="A73" s="100">
        <v>2500</v>
      </c>
      <c r="B73" s="101">
        <v>3150</v>
      </c>
      <c r="C73" s="101"/>
      <c r="D73" s="101"/>
      <c r="E73" s="101"/>
    </row>
    <row r="74" spans="1:5" ht="14.25" customHeight="1">
      <c r="A74" s="100">
        <v>3000</v>
      </c>
      <c r="B74" s="101">
        <v>3700</v>
      </c>
      <c r="C74" s="101"/>
      <c r="D74" s="101"/>
      <c r="E74" s="101"/>
    </row>
    <row r="75" spans="1:5" ht="14.25" customHeight="1">
      <c r="A75" s="98">
        <v>3500</v>
      </c>
      <c r="B75" s="99">
        <v>99999</v>
      </c>
      <c r="C75" s="99"/>
      <c r="D75" s="99"/>
      <c r="E75" s="99"/>
    </row>
    <row r="76" spans="1:5" ht="14.25" customHeight="1">
      <c r="A76" s="102"/>
      <c r="B76" s="38"/>
      <c r="C76" s="38"/>
      <c r="D76" s="38"/>
    </row>
    <row r="77" spans="1:5" ht="14.25" customHeight="1">
      <c r="A77" s="374" t="s">
        <v>154</v>
      </c>
      <c r="B77" s="321"/>
      <c r="C77" s="321"/>
      <c r="D77" s="2"/>
      <c r="E77" s="2"/>
    </row>
    <row r="78" spans="1:5" ht="14.25" customHeight="1">
      <c r="A78" s="21"/>
      <c r="B78" s="89" t="s">
        <v>155</v>
      </c>
      <c r="C78" s="104">
        <f>MATCH(MAX(A70:A75),A70:A75,0)</f>
        <v>6</v>
      </c>
      <c r="D78" s="89"/>
    </row>
    <row r="79" spans="1:5" ht="14.25" customHeight="1">
      <c r="A79" s="21"/>
      <c r="B79" s="89" t="s">
        <v>156</v>
      </c>
      <c r="C79" s="104">
        <f>MATCH(MAX(B70),B70,0)</f>
        <v>1</v>
      </c>
      <c r="D79" s="89"/>
    </row>
    <row r="80" spans="1:5" ht="14.25" customHeight="1">
      <c r="A80" s="21"/>
      <c r="B80" s="21"/>
      <c r="C80" s="21"/>
      <c r="D80" s="21"/>
    </row>
    <row r="81" spans="1:4" ht="14.25" customHeight="1">
      <c r="A81" s="6" t="s">
        <v>157</v>
      </c>
      <c r="B81" s="32" t="str">
        <f>B69</f>
        <v>UP</v>
      </c>
      <c r="C81" s="32"/>
      <c r="D81" s="32" t="str">
        <f>D69</f>
        <v>EMG RETURN</v>
      </c>
    </row>
    <row r="82" spans="1:4" ht="14.25" customHeight="1">
      <c r="A82" s="106" t="s">
        <v>158</v>
      </c>
      <c r="B82" s="107">
        <f>'Landing distance data'!C102*3.28</f>
        <v>1889.2638961038963</v>
      </c>
      <c r="C82" s="107"/>
      <c r="D82" s="107">
        <f>'Landing distance data'!K102*3.28</f>
        <v>2023.8627532467531</v>
      </c>
    </row>
    <row r="83" spans="1:4" ht="14.25" customHeight="1">
      <c r="A83" s="89" t="s">
        <v>159</v>
      </c>
      <c r="B83" s="109">
        <f t="array" ref="B83">INDEX(A70:A75,MATCH(B82,A70:A75,1))</f>
        <v>1500</v>
      </c>
      <c r="C83" s="109"/>
      <c r="D83" s="109">
        <f t="array" ref="D83">INDEX($A$70:$A$75,MATCH(D82,$A$70:$A$75,1))</f>
        <v>2000</v>
      </c>
    </row>
    <row r="84" spans="1:4" ht="14.25" customHeight="1">
      <c r="A84" s="89" t="s">
        <v>160</v>
      </c>
      <c r="B84" s="109">
        <f t="array" ref="B84">INDEX(A70:A75,IF(MATCH(B82,A70:A75,1)&lt;C78,MATCH(B82,A70:A75,1)+1,MATCH(B82,A70:A75,1)))</f>
        <v>2000</v>
      </c>
      <c r="C84" s="109"/>
      <c r="D84" s="109">
        <f t="array" ref="D84">INDEX($A$70:$A$75,IF(MATCH(D82,$A$70:$A$75,1)&lt;$C$78,MATCH(D82,$A$70:$A$75,1)+1,MATCH(D82,$A$70:$A$75,1)))</f>
        <v>2500</v>
      </c>
    </row>
    <row r="85" spans="1:4" ht="14.25" customHeight="1">
      <c r="A85" s="108" t="s">
        <v>161</v>
      </c>
      <c r="B85" s="107">
        <f t="array" ref="B85">INDEX(B70:B75,MATCH(B82,A70:A75,1),MATCH(B81,B69,1))</f>
        <v>2000</v>
      </c>
      <c r="C85" s="107"/>
      <c r="D85" s="107">
        <f t="array" ref="D85">INDEX(B70:B75,MATCH(D82,$A$70:$A$75,1),MATCH(D81,D69,1))</f>
        <v>2550</v>
      </c>
    </row>
    <row r="86" spans="1:4" ht="14.25" customHeight="1">
      <c r="A86" s="108" t="s">
        <v>162</v>
      </c>
      <c r="B86" s="107">
        <f t="array" ref="B86">INDEX(B70:B75,IF(MATCH(B82,A70:A75,1)&lt;C78,MATCH(B82,A70:A75,1)+1,MATCH(B82,A70:A75,1)),MATCH(B81,B69,1))</f>
        <v>2550</v>
      </c>
      <c r="C86" s="107"/>
      <c r="D86" s="107">
        <f t="array" ref="D86">INDEX(B70:B75,IF(MATCH(D82,$A$70:$A$75,1)&lt;$C$78,MATCH(D82,$A$70:$A$75,1)+1,MATCH(D82,$A$70:$A$75,1)),MATCH(D81,D69,1))</f>
        <v>3150</v>
      </c>
    </row>
    <row r="87" spans="1:4" ht="14.25" customHeight="1">
      <c r="A87" s="108" t="s">
        <v>174</v>
      </c>
      <c r="B87" s="107">
        <f>IFERROR(B85+(B82-B83)*(B86-B85)/(B84-B83),B85)</f>
        <v>2428.1902857142859</v>
      </c>
      <c r="C87" s="107"/>
      <c r="D87" s="107">
        <f>IFERROR(D85+(D82-D83)*(D86-D85)/(D84-D83),D85)</f>
        <v>2578.6353038961038</v>
      </c>
    </row>
    <row r="88" spans="1:4" ht="14.25" customHeight="1"/>
    <row r="89" spans="1:4" ht="14.25" customHeight="1"/>
    <row r="90" spans="1:4" ht="14.25" customHeight="1">
      <c r="A90" s="2"/>
      <c r="B90" s="2"/>
      <c r="C90" s="2"/>
      <c r="D90" s="2"/>
    </row>
    <row r="91" spans="1:4" ht="14.25" customHeight="1">
      <c r="A91" s="2"/>
      <c r="B91" s="2"/>
      <c r="C91" s="2"/>
      <c r="D91" s="2"/>
    </row>
    <row r="92" spans="1:4" ht="14.25" customHeight="1">
      <c r="A92" s="116"/>
      <c r="B92" s="15"/>
      <c r="C92" s="2"/>
    </row>
    <row r="93" spans="1:4" ht="14.25" customHeight="1">
      <c r="A93" s="116"/>
      <c r="B93" s="15"/>
      <c r="C93" s="2"/>
    </row>
    <row r="94" spans="1:4" ht="14.25" customHeight="1">
      <c r="B94" s="2"/>
      <c r="C94" s="2"/>
    </row>
    <row r="95" spans="1:4" ht="14.25" customHeight="1">
      <c r="B95" s="15"/>
      <c r="C95" s="2"/>
    </row>
    <row r="96" spans="1:4" ht="14.25" customHeight="1">
      <c r="B96" s="15"/>
      <c r="C96" s="2"/>
    </row>
  </sheetData>
  <sheetProtection algorithmName="SHA-512" hashValue="nyIB3tA7jF0mz5SSx9dNS/9fmpOaA1hrHob5DYK29cx5WVFqg64XQnpXpJecFY5TvvGW+2D18geiT94An5TTBQ==" saltValue="Hxla7ScWm6cyF4zBXbAQGw==" spinCount="100000" sheet="1" objects="1" scenarios="1"/>
  <mergeCells count="21">
    <mergeCell ref="A77:C77"/>
    <mergeCell ref="D4:E4"/>
    <mergeCell ref="A11:C11"/>
    <mergeCell ref="H11:J11"/>
    <mergeCell ref="A66:E66"/>
    <mergeCell ref="A68:A69"/>
    <mergeCell ref="D68:E68"/>
    <mergeCell ref="D69:E69"/>
    <mergeCell ref="H4:I4"/>
    <mergeCell ref="B69:C69"/>
    <mergeCell ref="A1:E1"/>
    <mergeCell ref="A3:A4"/>
    <mergeCell ref="D3:E3"/>
    <mergeCell ref="AL50:AM50"/>
    <mergeCell ref="B68:C68"/>
    <mergeCell ref="H3:I3"/>
    <mergeCell ref="J3:K3"/>
    <mergeCell ref="J4:K4"/>
    <mergeCell ref="L3:M3"/>
    <mergeCell ref="L23:R23"/>
    <mergeCell ref="L4:M4"/>
  </mergeCells>
  <pageMargins left="0.7" right="0.7" top="0.75" bottom="0.75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Blad6">
    <pageSetUpPr fitToPage="1"/>
  </sheetPr>
  <dimension ref="A1:Y88"/>
  <sheetViews>
    <sheetView workbookViewId="0">
      <selection activeCell="M42" sqref="M42"/>
    </sheetView>
  </sheetViews>
  <sheetFormatPr defaultColWidth="14.44140625" defaultRowHeight="15" customHeight="1"/>
  <cols>
    <col min="1" max="1" width="15.5546875" customWidth="1"/>
    <col min="2" max="5" width="9.109375" customWidth="1"/>
    <col min="6" max="6" width="14" customWidth="1"/>
    <col min="7" max="7" width="9" customWidth="1"/>
    <col min="8" max="10" width="9.109375" customWidth="1"/>
    <col min="11" max="11" width="10.44140625" customWidth="1"/>
    <col min="12" max="13" width="9.109375" customWidth="1"/>
    <col min="14" max="14" width="30.88671875" customWidth="1"/>
    <col min="15" max="15" width="9.109375" customWidth="1"/>
    <col min="16" max="16" width="24.88671875" customWidth="1"/>
    <col min="17" max="17" width="18.6640625" customWidth="1"/>
    <col min="18" max="18" width="18.77734375" customWidth="1"/>
    <col min="19" max="20" width="9.109375" customWidth="1"/>
    <col min="21" max="33" width="8.5546875" customWidth="1"/>
  </cols>
  <sheetData>
    <row r="1" spans="1:20" ht="14.25" customHeight="1">
      <c r="A1" s="369" t="s">
        <v>175</v>
      </c>
      <c r="B1" s="321"/>
      <c r="C1" s="321"/>
      <c r="D1" s="321"/>
      <c r="E1" s="321"/>
      <c r="F1" s="96"/>
      <c r="G1" s="96"/>
      <c r="I1" s="2"/>
      <c r="J1" s="2"/>
      <c r="K1" s="2"/>
      <c r="L1" s="2"/>
      <c r="M1" s="2"/>
      <c r="N1" s="2"/>
      <c r="O1" s="2"/>
      <c r="P1" s="2"/>
      <c r="Q1" s="2"/>
      <c r="R1" s="21"/>
      <c r="S1" s="21"/>
      <c r="T1" s="21"/>
    </row>
    <row r="2" spans="1:20" ht="14.25" customHeight="1">
      <c r="A2" s="2" t="s">
        <v>42</v>
      </c>
      <c r="O2" s="2"/>
      <c r="P2" s="2"/>
      <c r="Q2" s="2"/>
      <c r="R2" s="21"/>
      <c r="S2" s="21"/>
      <c r="T2" s="21"/>
    </row>
    <row r="3" spans="1:20" ht="14.25" customHeight="1">
      <c r="A3" s="379" t="s">
        <v>151</v>
      </c>
      <c r="B3" s="134"/>
      <c r="C3" s="167"/>
      <c r="D3" s="134" t="s">
        <v>152</v>
      </c>
      <c r="E3" s="167"/>
      <c r="F3" s="135"/>
      <c r="G3" s="168"/>
      <c r="H3" s="135" t="s">
        <v>152</v>
      </c>
      <c r="I3" s="167"/>
      <c r="J3" s="380"/>
      <c r="K3" s="381"/>
      <c r="L3" s="2"/>
      <c r="M3" s="2"/>
      <c r="O3" s="2"/>
      <c r="P3" s="2"/>
      <c r="Q3" s="2"/>
      <c r="R3" s="21"/>
      <c r="S3" s="21"/>
      <c r="T3" s="21"/>
    </row>
    <row r="4" spans="1:20" ht="31.5" customHeight="1">
      <c r="A4" s="358"/>
      <c r="B4" s="136"/>
      <c r="C4" s="137"/>
      <c r="D4" s="136" t="s">
        <v>176</v>
      </c>
      <c r="E4" s="137"/>
      <c r="F4" s="136"/>
      <c r="G4" s="138"/>
      <c r="H4" s="139" t="s">
        <v>177</v>
      </c>
      <c r="I4" s="137"/>
      <c r="J4" s="139"/>
      <c r="K4" s="137"/>
      <c r="M4" s="2"/>
      <c r="O4" s="2"/>
      <c r="P4" s="2"/>
      <c r="Q4" s="2"/>
      <c r="R4" s="21"/>
      <c r="S4" s="21"/>
      <c r="T4" s="21"/>
    </row>
    <row r="5" spans="1:20" ht="14.25" customHeight="1">
      <c r="A5" s="147">
        <v>9000</v>
      </c>
      <c r="B5" s="141"/>
      <c r="C5" s="142"/>
      <c r="D5" s="141">
        <v>95</v>
      </c>
      <c r="E5" s="142"/>
      <c r="F5" s="141"/>
      <c r="G5" s="143"/>
      <c r="H5" s="144">
        <v>108</v>
      </c>
      <c r="I5" s="142"/>
      <c r="J5" s="145"/>
      <c r="K5" s="146"/>
      <c r="M5" s="15"/>
      <c r="O5" s="2"/>
      <c r="P5" s="2"/>
      <c r="Q5" s="2"/>
      <c r="R5" s="21"/>
      <c r="S5" s="21"/>
      <c r="T5" s="21"/>
    </row>
    <row r="6" spans="1:20" ht="14.25" customHeight="1">
      <c r="A6" s="147">
        <v>10000</v>
      </c>
      <c r="B6" s="148"/>
      <c r="C6" s="149"/>
      <c r="D6" s="148">
        <v>95</v>
      </c>
      <c r="E6" s="149"/>
      <c r="F6" s="148"/>
      <c r="G6" s="150"/>
      <c r="H6" s="148">
        <v>111</v>
      </c>
      <c r="I6" s="149"/>
      <c r="J6" s="151"/>
      <c r="K6" s="152"/>
      <c r="M6" s="15"/>
      <c r="O6" s="2"/>
      <c r="P6" s="2"/>
      <c r="Q6" s="2"/>
      <c r="R6" s="21"/>
      <c r="S6" s="21"/>
      <c r="T6" s="21"/>
    </row>
    <row r="7" spans="1:20" ht="14.25" customHeight="1">
      <c r="A7" s="147">
        <v>11000</v>
      </c>
      <c r="B7" s="148"/>
      <c r="C7" s="149"/>
      <c r="D7" s="148">
        <v>95</v>
      </c>
      <c r="E7" s="149"/>
      <c r="F7" s="148"/>
      <c r="G7" s="150"/>
      <c r="H7" s="153">
        <v>115</v>
      </c>
      <c r="I7" s="149"/>
      <c r="J7" s="151"/>
      <c r="K7" s="152"/>
      <c r="M7" s="15"/>
      <c r="O7" s="2"/>
      <c r="P7" s="2"/>
      <c r="Q7" s="2"/>
      <c r="R7" s="21"/>
      <c r="S7" s="21"/>
      <c r="T7" s="21"/>
    </row>
    <row r="8" spans="1:20" ht="14.25" customHeight="1">
      <c r="A8" s="154">
        <v>11500</v>
      </c>
      <c r="B8" s="148"/>
      <c r="C8" s="149"/>
      <c r="D8" s="148">
        <v>95</v>
      </c>
      <c r="E8" s="149"/>
      <c r="F8" s="148"/>
      <c r="G8" s="150"/>
      <c r="H8" s="148">
        <v>117</v>
      </c>
      <c r="I8" s="149"/>
      <c r="J8" s="151"/>
      <c r="K8" s="152"/>
      <c r="M8" s="15"/>
      <c r="O8" s="2"/>
      <c r="P8" s="2"/>
      <c r="Q8" s="2"/>
      <c r="R8" s="21"/>
      <c r="S8" s="21"/>
      <c r="T8" s="21"/>
    </row>
    <row r="9" spans="1:20" ht="14.25" customHeight="1">
      <c r="A9" s="154">
        <v>12000</v>
      </c>
      <c r="B9" s="148"/>
      <c r="C9" s="149"/>
      <c r="D9" s="148">
        <v>95</v>
      </c>
      <c r="E9" s="149"/>
      <c r="F9" s="148"/>
      <c r="G9" s="150"/>
      <c r="H9" s="153">
        <v>119</v>
      </c>
      <c r="I9" s="149"/>
      <c r="J9" s="151"/>
      <c r="K9" s="152"/>
      <c r="M9" s="15"/>
      <c r="O9" s="2"/>
      <c r="P9" s="2"/>
      <c r="Q9" s="2"/>
      <c r="R9" s="21"/>
      <c r="S9" s="21"/>
      <c r="T9" s="21"/>
    </row>
    <row r="10" spans="1:20" ht="14.25" customHeight="1">
      <c r="A10" s="155">
        <v>12500</v>
      </c>
      <c r="B10" s="156"/>
      <c r="C10" s="157"/>
      <c r="D10" s="156">
        <v>95</v>
      </c>
      <c r="E10" s="157"/>
      <c r="F10" s="156"/>
      <c r="G10" s="158"/>
      <c r="H10" s="159">
        <v>121</v>
      </c>
      <c r="I10" s="157"/>
      <c r="J10" s="160"/>
      <c r="K10" s="161"/>
      <c r="M10" s="15"/>
      <c r="O10" s="2"/>
      <c r="P10" s="2"/>
      <c r="Q10" s="2"/>
      <c r="R10" s="21"/>
      <c r="S10" s="21"/>
      <c r="T10" s="21"/>
    </row>
    <row r="11" spans="1:20" ht="14.25" customHeight="1">
      <c r="A11" s="102"/>
      <c r="B11" s="38"/>
      <c r="C11" s="38"/>
      <c r="D11" s="38"/>
      <c r="F11" s="2"/>
      <c r="H11" s="2"/>
      <c r="I11" s="15"/>
      <c r="J11" s="2"/>
      <c r="K11" s="15"/>
      <c r="O11" s="2"/>
      <c r="P11" s="2"/>
      <c r="Q11" s="2"/>
      <c r="R11" s="21"/>
      <c r="S11" s="21"/>
      <c r="T11" s="21"/>
    </row>
    <row r="12" spans="1:20" ht="14.25" customHeight="1">
      <c r="A12" s="103"/>
      <c r="B12" s="374"/>
      <c r="C12" s="374"/>
      <c r="D12" s="374" t="s">
        <v>178</v>
      </c>
      <c r="E12" s="321"/>
      <c r="H12" s="374" t="s">
        <v>177</v>
      </c>
      <c r="I12" s="321"/>
      <c r="J12" s="103"/>
      <c r="K12" s="103"/>
      <c r="M12" s="2"/>
      <c r="N12" s="2"/>
      <c r="O12" s="2"/>
      <c r="P12" s="2"/>
      <c r="Q12" s="2"/>
      <c r="R12" s="21"/>
      <c r="S12" s="21"/>
      <c r="T12" s="21"/>
    </row>
    <row r="13" spans="1:20" ht="14.25" customHeight="1">
      <c r="B13" s="89"/>
      <c r="C13" s="104"/>
      <c r="D13" s="89" t="s">
        <v>155</v>
      </c>
      <c r="E13" s="104">
        <f>MATCH(MAX($A5:$A10),$A5:$A10,0)</f>
        <v>6</v>
      </c>
      <c r="G13" s="104"/>
      <c r="I13" s="104">
        <f t="shared" ref="I13" si="0">MATCH(MAX($A5:$A10),$A5:$A10,0)</f>
        <v>6</v>
      </c>
      <c r="J13" s="104"/>
      <c r="K13" s="104"/>
      <c r="M13" s="2"/>
      <c r="N13" s="2"/>
    </row>
    <row r="14" spans="1:20" ht="14.25" customHeight="1">
      <c r="B14" s="89"/>
      <c r="C14" s="104"/>
      <c r="D14" s="89" t="s">
        <v>156</v>
      </c>
      <c r="E14" s="104">
        <f>MATCH(MAX(D5),D5,0)</f>
        <v>1</v>
      </c>
      <c r="G14" s="104"/>
      <c r="I14" s="104">
        <f>MATCH(MAX(H5),H5,0)</f>
        <v>1</v>
      </c>
      <c r="J14" s="104"/>
      <c r="K14" s="104"/>
      <c r="M14" s="2"/>
      <c r="N14" s="2"/>
    </row>
    <row r="15" spans="1:20" ht="14.25" customHeight="1">
      <c r="A15" s="21"/>
      <c r="B15" s="21"/>
      <c r="C15" s="21"/>
      <c r="D15" s="21"/>
      <c r="E15" s="21"/>
      <c r="F15" s="21"/>
      <c r="G15" s="21"/>
      <c r="H15" s="2"/>
      <c r="I15" s="2"/>
      <c r="J15" s="2"/>
      <c r="K15" s="2"/>
      <c r="M15" s="2"/>
      <c r="N15" s="2"/>
    </row>
    <row r="16" spans="1:20" ht="14.25" customHeight="1">
      <c r="B16" s="6"/>
      <c r="C16" s="32"/>
      <c r="D16" s="6" t="s">
        <v>157</v>
      </c>
      <c r="E16" s="32" t="str">
        <f>D4</f>
        <v>V1/R</v>
      </c>
      <c r="F16" s="6"/>
      <c r="G16" s="32"/>
      <c r="H16" s="2"/>
      <c r="I16" s="32" t="str">
        <f>H4</f>
        <v>V2</v>
      </c>
      <c r="J16" s="32"/>
      <c r="K16" s="32"/>
      <c r="M16" s="2"/>
      <c r="N16" s="2"/>
    </row>
    <row r="17" spans="1:25" ht="14.25" customHeight="1">
      <c r="B17" s="106"/>
      <c r="C17" s="107"/>
      <c r="D17" s="106" t="s">
        <v>158</v>
      </c>
      <c r="E17" s="107">
        <f>'Take-off'!$C$14</f>
        <v>12350</v>
      </c>
      <c r="F17" s="106"/>
      <c r="G17" s="107"/>
      <c r="H17" s="2"/>
      <c r="I17" s="107">
        <f>'Take-off'!$C$14</f>
        <v>12350</v>
      </c>
      <c r="J17" s="107"/>
      <c r="K17" s="107"/>
      <c r="M17" s="15"/>
      <c r="N17" s="15"/>
    </row>
    <row r="18" spans="1:25" ht="14.25" customHeight="1">
      <c r="B18" s="89"/>
      <c r="C18" s="109"/>
      <c r="D18" s="89" t="s">
        <v>159</v>
      </c>
      <c r="E18" s="109">
        <f t="array" ref="E18">INDEX($A5:$A10,MATCH(E17,$A5:$A10,1))</f>
        <v>12000</v>
      </c>
      <c r="F18" s="89"/>
      <c r="G18" s="109"/>
      <c r="H18" s="2"/>
      <c r="I18" s="109">
        <f t="shared" ref="I18" si="1">INDEX($A5:$A10,MATCH(I17,$A5:$A10,1))</f>
        <v>12000</v>
      </c>
      <c r="J18" s="109"/>
      <c r="K18" s="109"/>
      <c r="M18" s="15"/>
      <c r="N18" s="15"/>
    </row>
    <row r="19" spans="1:25" ht="14.25" customHeight="1">
      <c r="B19" s="89"/>
      <c r="C19" s="109"/>
      <c r="D19" s="89" t="s">
        <v>160</v>
      </c>
      <c r="E19" s="109">
        <f t="array" ref="E19">INDEX($A5:$A10,IF(MATCH(E17,$A5:$A10,1)&lt;E13,MATCH(E17,$A5:$A10,1)+1,MATCH(E17,$A5:$A10,1)))</f>
        <v>12500</v>
      </c>
      <c r="F19" s="89"/>
      <c r="G19" s="109"/>
      <c r="H19" s="2"/>
      <c r="I19" s="109">
        <f t="shared" ref="I19" si="2">INDEX($A5:$A10,IF(MATCH(I17,$A5:$A10,1)&lt;I13,MATCH(I17,$A5:$A10,1)+1,MATCH(I17,$A5:$A10,1)))</f>
        <v>12500</v>
      </c>
      <c r="J19" s="109"/>
      <c r="K19" s="109"/>
      <c r="M19" s="15"/>
      <c r="N19" s="15"/>
    </row>
    <row r="20" spans="1:25" ht="14.25" customHeight="1">
      <c r="B20" s="108"/>
      <c r="C20" s="107"/>
      <c r="D20" s="108" t="s">
        <v>161</v>
      </c>
      <c r="E20" s="107">
        <f t="array" ref="E20">INDEX(D5:D10,MATCH(E17,$A5:$A10,1),MATCH(E16,D4,1))</f>
        <v>95</v>
      </c>
      <c r="F20" s="108"/>
      <c r="G20" s="107"/>
      <c r="H20" s="2"/>
      <c r="I20" s="107">
        <f t="array" ref="I20">INDEX(H5:H10,MATCH(I17,$A5:$A10,1),MATCH(I16,H4,1))</f>
        <v>119</v>
      </c>
      <c r="J20" s="110"/>
      <c r="K20" s="110"/>
      <c r="M20" s="15"/>
      <c r="N20" s="15"/>
      <c r="O20" s="2"/>
      <c r="P20" s="2"/>
      <c r="Q20" s="2"/>
      <c r="R20" s="21"/>
      <c r="S20" s="21"/>
      <c r="T20" s="21"/>
    </row>
    <row r="21" spans="1:25" ht="14.25" customHeight="1">
      <c r="B21" s="108"/>
      <c r="C21" s="107"/>
      <c r="D21" s="108" t="s">
        <v>162</v>
      </c>
      <c r="E21" s="107">
        <f t="array" ref="E21">INDEX(D5:D10,IF(MATCH(E17,$A5:$A10,1)&lt;E13,MATCH(E17,$A5:$A10,1)+1,MATCH(E17,$A5:$A10,1)),MATCH(E16,D4,1))</f>
        <v>95</v>
      </c>
      <c r="F21" s="108"/>
      <c r="G21" s="107"/>
      <c r="H21" s="2"/>
      <c r="I21" s="107">
        <f t="array" ref="I21">INDEX(H5:H10,IF(MATCH(I17,$A5:$A10,1)&lt;I13,MATCH(I17,$A5:$A10,1)+1,MATCH(I17,$A5:$A10,1)),MATCH(I16,H4,1))</f>
        <v>121</v>
      </c>
      <c r="J21" s="110"/>
      <c r="K21" s="110"/>
      <c r="M21" s="15"/>
      <c r="N21" s="15"/>
      <c r="O21" s="2"/>
      <c r="P21" s="2"/>
      <c r="Q21" s="2"/>
      <c r="R21" s="21"/>
      <c r="S21" s="21"/>
      <c r="T21" s="21"/>
    </row>
    <row r="22" spans="1:25" ht="14.25" customHeight="1">
      <c r="B22" s="108"/>
      <c r="C22" s="107"/>
      <c r="D22" s="108" t="s">
        <v>163</v>
      </c>
      <c r="E22" s="107">
        <f>IFERROR(E20+(E17-E18)*(E21-E20)/(E19-E18),E20)</f>
        <v>95</v>
      </c>
      <c r="F22" s="108"/>
      <c r="G22" s="107"/>
      <c r="H22" s="2"/>
      <c r="I22" s="107">
        <f t="shared" ref="I22" si="3">IFERROR(I20+(I17-I18)*(I21-I20)/(I19-I18),I20)</f>
        <v>120.4</v>
      </c>
      <c r="J22" s="110"/>
      <c r="K22" s="110"/>
      <c r="M22" s="15"/>
      <c r="N22" s="15"/>
      <c r="O22" s="2"/>
      <c r="P22" s="2"/>
      <c r="Q22" s="2"/>
      <c r="R22" s="21"/>
      <c r="S22" s="21"/>
      <c r="T22" s="21"/>
    </row>
    <row r="23" spans="1:25" ht="14.25" customHeight="1">
      <c r="A23" s="2"/>
      <c r="C23" s="15"/>
      <c r="G23" s="15"/>
      <c r="I23" s="19"/>
      <c r="J23" s="110"/>
      <c r="K23" s="110"/>
      <c r="M23" s="21"/>
      <c r="N23" s="21"/>
      <c r="O23" s="21"/>
      <c r="P23" s="21"/>
      <c r="Q23" s="21"/>
      <c r="R23" s="21"/>
      <c r="S23" s="21"/>
      <c r="T23" s="21"/>
    </row>
    <row r="24" spans="1:25" ht="14.25" customHeight="1">
      <c r="A24" s="2"/>
      <c r="B24" s="2"/>
      <c r="C24" s="2"/>
      <c r="D24" s="2"/>
      <c r="E24" s="2"/>
      <c r="F24" s="2"/>
      <c r="L24" s="1"/>
      <c r="M24" s="1"/>
      <c r="N24" s="1"/>
      <c r="O24" s="1"/>
      <c r="P24" s="1"/>
      <c r="Q24" s="1"/>
      <c r="R24" s="1"/>
      <c r="S24" s="21"/>
      <c r="T24" s="21"/>
    </row>
    <row r="25" spans="1:25" ht="14.25" customHeight="1">
      <c r="A25" s="162" t="s">
        <v>179</v>
      </c>
      <c r="B25" s="111"/>
      <c r="C25" s="111"/>
      <c r="D25" s="111"/>
      <c r="E25" s="111"/>
      <c r="F25" s="111"/>
      <c r="G25" s="111"/>
      <c r="H25" s="111"/>
      <c r="I25" s="111"/>
      <c r="J25" s="111"/>
      <c r="K25" s="111"/>
      <c r="L25" s="112"/>
      <c r="M25" s="112"/>
      <c r="N25" s="112"/>
      <c r="O25" s="112"/>
      <c r="P25" s="112"/>
      <c r="Q25" s="112"/>
      <c r="R25" s="112"/>
      <c r="S25" s="112"/>
      <c r="T25" s="112"/>
      <c r="U25" s="111"/>
      <c r="V25" s="111"/>
      <c r="W25" s="111"/>
      <c r="X25" s="111"/>
      <c r="Y25" s="111"/>
    </row>
    <row r="26" spans="1:25" ht="14.25" customHeight="1">
      <c r="A26" s="2"/>
      <c r="B26" s="2"/>
      <c r="C26" s="2"/>
      <c r="D26" s="2"/>
      <c r="E26" s="2"/>
      <c r="F26" s="2"/>
      <c r="G26" s="2"/>
      <c r="L26" s="2"/>
      <c r="M26" s="2"/>
      <c r="N26" s="2"/>
      <c r="O26" s="2"/>
      <c r="P26" s="2"/>
      <c r="Q26" s="2"/>
      <c r="R26" s="2"/>
      <c r="S26" s="21"/>
      <c r="T26" s="21"/>
    </row>
    <row r="27" spans="1:25" ht="42" customHeight="1">
      <c r="A27" s="13"/>
      <c r="B27" s="163" t="s">
        <v>180</v>
      </c>
      <c r="C27" s="236" t="s">
        <v>181</v>
      </c>
      <c r="D27" s="163" t="s">
        <v>182</v>
      </c>
      <c r="E27" s="13" t="s">
        <v>183</v>
      </c>
      <c r="F27" s="13"/>
      <c r="P27" s="97"/>
      <c r="Q27" s="97"/>
      <c r="R27" s="13"/>
      <c r="S27" s="13"/>
      <c r="T27" s="13"/>
      <c r="U27" s="13"/>
    </row>
    <row r="28" spans="1:25" ht="42" customHeight="1">
      <c r="A28" s="281" t="s">
        <v>237</v>
      </c>
      <c r="B28" s="164">
        <f>'Takeoff distance (2)'!C74/3.28</f>
        <v>562.92253048780492</v>
      </c>
      <c r="C28" s="236">
        <v>0</v>
      </c>
      <c r="D28" s="123">
        <f>IF('Take-off'!$C$17&gt;0, ((+'Take-off'!$C$17*5)%*SUM(B28:C28)),0 )</f>
        <v>0</v>
      </c>
      <c r="E28" s="123">
        <f>SUM(B28:D28)</f>
        <v>562.92253048780492</v>
      </c>
      <c r="F28" s="13"/>
      <c r="P28" s="97"/>
      <c r="Q28" s="97"/>
      <c r="R28" s="13"/>
      <c r="S28" s="13"/>
      <c r="T28" s="13"/>
      <c r="U28" s="13"/>
    </row>
    <row r="29" spans="1:25" ht="14.25" customHeight="1">
      <c r="A29" s="116" t="s">
        <v>184</v>
      </c>
      <c r="B29" s="164">
        <f>'Takeoff distance (2)'!C93/3.28</f>
        <v>973.95696646341469</v>
      </c>
      <c r="C29" s="165">
        <v>0</v>
      </c>
      <c r="D29" s="123">
        <f>IF('Take-off'!$C$17&gt;0, ((+'Take-off'!$C$17*5)%*SUM(B29:C29)),0 )</f>
        <v>0</v>
      </c>
      <c r="E29" s="123">
        <f>SUM(B29:D29)*115%</f>
        <v>1120.0505114329269</v>
      </c>
      <c r="P29" s="21"/>
      <c r="Q29" s="21"/>
    </row>
    <row r="30" spans="1:25" ht="14.25" customHeight="1">
      <c r="A30" s="116" t="s">
        <v>186</v>
      </c>
      <c r="B30" s="15">
        <f>'Accelerate and GO (2)'!C74/3.28</f>
        <v>1850.1210131332084</v>
      </c>
      <c r="C30" s="165">
        <v>0</v>
      </c>
      <c r="D30" s="123">
        <f>IF('Take-off'!$C$17&gt;0, ((+'Take-off'!$C$17*5)%*SUM(B30:C30)),0 )</f>
        <v>0</v>
      </c>
      <c r="E30" s="123">
        <f>SUM(B30:D30)</f>
        <v>1850.1210131332084</v>
      </c>
    </row>
    <row r="31" spans="1:25" ht="14.25" customHeight="1">
      <c r="A31" s="116" t="s">
        <v>187</v>
      </c>
      <c r="B31" s="15">
        <f>B30</f>
        <v>1850.1210131332084</v>
      </c>
      <c r="C31" s="165">
        <v>0</v>
      </c>
      <c r="D31" s="123">
        <f>IF('Take-off'!$C$17&gt;0, ((+'Take-off'!$C$17*5)%*SUM(B31:C31)),0 )</f>
        <v>0</v>
      </c>
      <c r="E31" s="123">
        <f>SUM(B31:D31)</f>
        <v>1850.1210131332084</v>
      </c>
      <c r="F31" s="2"/>
    </row>
    <row r="32" spans="1:25" ht="14.25" customHeight="1">
      <c r="A32" s="116" t="s">
        <v>185</v>
      </c>
      <c r="B32" s="165">
        <f>'Accelerate and stop2'!C74/3.28</f>
        <v>1006.1748475609758</v>
      </c>
      <c r="C32" s="165">
        <v>0</v>
      </c>
      <c r="D32" s="123">
        <f>IF('Take-off'!$C$17&gt;0, ((+'Take-off'!$C$17*5)%*SUM(B32:C32)),0 )</f>
        <v>0</v>
      </c>
      <c r="E32" s="123">
        <f>SUM(B32:D32)</f>
        <v>1006.1748475609758</v>
      </c>
    </row>
    <row r="33" spans="1:20" ht="14.25" customHeight="1">
      <c r="A33" s="116"/>
      <c r="B33" s="119" t="s">
        <v>165</v>
      </c>
      <c r="C33" s="119" t="s">
        <v>166</v>
      </c>
      <c r="D33" s="119" t="s">
        <v>167</v>
      </c>
      <c r="E33" s="2"/>
      <c r="F33" s="116"/>
      <c r="G33" s="2"/>
      <c r="H33" s="2"/>
      <c r="I33" s="2"/>
      <c r="T33" s="21"/>
    </row>
    <row r="34" spans="1:20" ht="14.25" customHeight="1">
      <c r="A34" s="116"/>
      <c r="B34" s="120">
        <f>IF(ABS('Take-off'!C18-'Take-off'!C6)&gt;270,360-ABS('Take-off'!C18-'Take-off'!C6),'Take-off'!C18-'Take-off'!C6)</f>
        <v>-38</v>
      </c>
      <c r="C34" s="121">
        <f>IF(ABS(B34)&gt;90,ABS(COS(B34*PI()/180))*(-1),ABS(COS(B34*PI()/180)))</f>
        <v>0.78801075360672201</v>
      </c>
      <c r="D34" s="120">
        <f>IF( ISBLANK('Take-off'!C6), 'Take-off'!C7*-1,    'Take-off'!C7*C34)</f>
        <v>0</v>
      </c>
      <c r="E34" s="2"/>
      <c r="F34" s="2"/>
      <c r="G34" s="95"/>
      <c r="H34" s="15"/>
      <c r="T34" s="21"/>
    </row>
    <row r="35" spans="1:20" ht="14.25" customHeight="1">
      <c r="A35" s="116" t="s">
        <v>188</v>
      </c>
      <c r="B35" s="122" t="s">
        <v>169</v>
      </c>
      <c r="C35" s="115" t="s">
        <v>170</v>
      </c>
      <c r="D35" s="115"/>
      <c r="E35" s="2"/>
      <c r="F35" s="2"/>
      <c r="G35" s="95"/>
      <c r="H35" s="15"/>
      <c r="T35" s="21"/>
    </row>
    <row r="36" spans="1:20" ht="14.25" customHeight="1">
      <c r="A36" s="116"/>
      <c r="C36" s="117"/>
      <c r="D36" s="117"/>
      <c r="E36" s="2"/>
      <c r="F36" s="2"/>
      <c r="T36" s="21"/>
    </row>
    <row r="37" spans="1:20" ht="14.25" customHeight="1">
      <c r="A37" s="116"/>
      <c r="B37" s="6"/>
      <c r="C37" s="125"/>
      <c r="D37" s="6"/>
      <c r="E37" s="2"/>
      <c r="F37" s="2"/>
      <c r="T37" s="21"/>
    </row>
    <row r="38" spans="1:20" ht="14.25" customHeight="1">
      <c r="A38" s="116"/>
      <c r="B38" s="6"/>
      <c r="C38" s="6"/>
      <c r="D38" s="6"/>
      <c r="E38" s="2"/>
      <c r="F38" s="2"/>
      <c r="T38" s="21"/>
    </row>
    <row r="39" spans="1:20" ht="14.25" customHeight="1">
      <c r="A39" s="116"/>
      <c r="B39" s="6" t="s">
        <v>168</v>
      </c>
      <c r="C39" s="125">
        <f>IF(ABS(B34)&gt;90,ABS(SIN(B34*PI()/180))*(-1),ABS(SIN(B34*PI()/180)))</f>
        <v>0.61566147532565818</v>
      </c>
      <c r="D39" s="6"/>
      <c r="E39" s="2"/>
      <c r="F39" s="2"/>
      <c r="T39" s="21"/>
    </row>
    <row r="40" spans="1:20" ht="14.25" customHeight="1">
      <c r="B40" s="2"/>
      <c r="C40" s="2"/>
      <c r="D40" s="2"/>
      <c r="E40" s="2"/>
      <c r="F40" s="2"/>
      <c r="K40" s="21"/>
      <c r="L40" s="21"/>
      <c r="P40" s="21"/>
      <c r="Q40" s="21"/>
      <c r="R40" s="166"/>
      <c r="S40" s="21"/>
      <c r="T40" s="21"/>
    </row>
    <row r="41" spans="1:20" ht="14.25" customHeight="1">
      <c r="K41" s="21"/>
      <c r="L41" s="21"/>
      <c r="M41" s="108"/>
      <c r="N41" s="107"/>
      <c r="P41" s="21"/>
      <c r="Q41" s="21"/>
      <c r="R41" s="21"/>
      <c r="S41" s="21"/>
      <c r="T41" s="21"/>
    </row>
    <row r="42" spans="1:20" ht="14.25" customHeight="1"/>
    <row r="43" spans="1:20" ht="14.25" customHeight="1">
      <c r="A43" s="181"/>
      <c r="B43" s="215"/>
      <c r="C43" s="216"/>
      <c r="D43" s="181"/>
      <c r="E43" s="181"/>
      <c r="F43" s="181"/>
      <c r="G43" s="181"/>
      <c r="H43" s="181"/>
      <c r="I43" s="181"/>
      <c r="J43" s="181"/>
      <c r="K43" s="115"/>
      <c r="L43" s="115"/>
      <c r="M43" s="217"/>
      <c r="N43" s="218"/>
      <c r="O43" s="181"/>
      <c r="P43" s="229"/>
      <c r="Q43" s="219"/>
      <c r="R43" s="230"/>
      <c r="S43" s="115"/>
      <c r="T43" s="21"/>
    </row>
    <row r="44" spans="1:20" ht="14.25" customHeight="1">
      <c r="A44" s="222"/>
      <c r="B44" s="223"/>
      <c r="C44" s="223"/>
      <c r="D44" s="223"/>
      <c r="E44" s="223"/>
      <c r="F44" s="223"/>
      <c r="G44" s="223"/>
      <c r="H44" s="223"/>
      <c r="I44" s="115"/>
      <c r="J44" s="115"/>
      <c r="K44" s="115"/>
      <c r="L44" s="115"/>
      <c r="M44" s="115"/>
      <c r="N44" s="115"/>
      <c r="O44" s="115"/>
      <c r="P44" s="230"/>
      <c r="Q44" s="227"/>
      <c r="R44" s="230"/>
      <c r="S44" s="215"/>
      <c r="T44" s="2"/>
    </row>
    <row r="45" spans="1:20" ht="14.25" customHeight="1">
      <c r="A45" s="219"/>
      <c r="B45" s="219"/>
      <c r="C45" s="219"/>
      <c r="D45" s="219"/>
      <c r="E45" s="219"/>
      <c r="F45" s="219"/>
      <c r="G45" s="219"/>
      <c r="H45" s="219"/>
      <c r="I45" s="115"/>
      <c r="J45" s="115"/>
      <c r="K45" s="115"/>
      <c r="L45" s="182"/>
      <c r="M45" s="183"/>
      <c r="N45" s="211"/>
      <c r="O45" s="181"/>
      <c r="P45" s="221"/>
      <c r="Q45" s="224"/>
      <c r="R45" s="225"/>
      <c r="S45" s="215"/>
      <c r="T45" s="2"/>
    </row>
    <row r="46" spans="1:20" ht="14.25" customHeight="1">
      <c r="A46" s="229"/>
      <c r="B46" s="226"/>
      <c r="C46" s="220"/>
      <c r="D46" s="220"/>
      <c r="E46" s="220"/>
      <c r="F46" s="220"/>
      <c r="G46" s="220"/>
      <c r="H46" s="220"/>
      <c r="I46" s="220"/>
      <c r="J46" s="220"/>
      <c r="K46" s="115"/>
      <c r="L46" s="217"/>
      <c r="M46" s="218"/>
      <c r="N46" s="217"/>
      <c r="O46" s="226"/>
      <c r="P46" s="221"/>
      <c r="Q46" s="224"/>
      <c r="R46" s="225"/>
      <c r="S46" s="215"/>
      <c r="T46" s="2"/>
    </row>
    <row r="47" spans="1:20" ht="14.25" customHeight="1">
      <c r="A47" s="230"/>
      <c r="B47" s="227"/>
      <c r="C47" s="227"/>
      <c r="D47" s="227"/>
      <c r="E47" s="227"/>
      <c r="F47" s="227"/>
      <c r="G47" s="227"/>
      <c r="H47" s="227"/>
      <c r="I47" s="227"/>
      <c r="J47" s="227"/>
      <c r="K47" s="115"/>
      <c r="L47" s="217"/>
      <c r="M47" s="218"/>
      <c r="N47" s="217"/>
      <c r="O47" s="226"/>
      <c r="P47" s="221"/>
      <c r="Q47" s="224"/>
      <c r="R47" s="225"/>
      <c r="S47" s="215"/>
      <c r="T47" s="2"/>
    </row>
    <row r="48" spans="1:20" ht="14.25" customHeight="1">
      <c r="A48" s="221"/>
      <c r="B48" s="220"/>
      <c r="C48" s="220"/>
      <c r="D48" s="220"/>
      <c r="E48" s="220"/>
      <c r="F48" s="220"/>
      <c r="G48" s="220"/>
      <c r="H48" s="220"/>
      <c r="I48" s="220"/>
      <c r="J48" s="220"/>
      <c r="K48" s="115"/>
      <c r="L48" s="228"/>
      <c r="M48" s="183"/>
      <c r="N48" s="115"/>
      <c r="O48" s="115"/>
      <c r="P48" s="221"/>
      <c r="Q48" s="224"/>
      <c r="R48" s="225"/>
      <c r="S48" s="216"/>
      <c r="T48" s="2"/>
    </row>
    <row r="49" spans="1:19" ht="14.25" customHeight="1">
      <c r="A49" s="221"/>
      <c r="B49" s="220"/>
      <c r="C49" s="220"/>
      <c r="D49" s="220"/>
      <c r="E49" s="220"/>
      <c r="F49" s="220"/>
      <c r="G49" s="220"/>
      <c r="H49" s="220"/>
      <c r="I49" s="220"/>
      <c r="J49" s="220"/>
      <c r="K49" s="115"/>
      <c r="L49" s="217"/>
      <c r="M49" s="218"/>
      <c r="N49" s="115"/>
      <c r="O49" s="117"/>
      <c r="P49" s="221"/>
      <c r="Q49" s="224"/>
      <c r="R49" s="225"/>
      <c r="S49" s="181"/>
    </row>
    <row r="50" spans="1:19" ht="14.25" customHeight="1">
      <c r="A50" s="221"/>
      <c r="B50" s="220"/>
      <c r="C50" s="220"/>
      <c r="D50" s="220"/>
      <c r="E50" s="220"/>
      <c r="F50" s="220"/>
      <c r="G50" s="220"/>
      <c r="H50" s="220"/>
      <c r="I50" s="220"/>
      <c r="J50" s="220"/>
      <c r="K50" s="115"/>
      <c r="L50" s="217"/>
      <c r="M50" s="218"/>
      <c r="N50" s="115"/>
      <c r="O50" s="117"/>
      <c r="P50" s="221"/>
      <c r="Q50" s="224"/>
      <c r="R50" s="225"/>
      <c r="S50" s="181"/>
    </row>
    <row r="51" spans="1:19" ht="14.25" customHeight="1">
      <c r="A51" s="221"/>
      <c r="B51" s="220"/>
      <c r="C51" s="220"/>
      <c r="D51" s="220"/>
      <c r="E51" s="220"/>
      <c r="F51" s="220"/>
      <c r="G51" s="220"/>
      <c r="H51" s="220"/>
      <c r="I51" s="220"/>
      <c r="J51" s="220"/>
      <c r="K51" s="115"/>
      <c r="L51" s="182"/>
      <c r="M51" s="183"/>
      <c r="N51" s="115"/>
      <c r="O51" s="117"/>
      <c r="P51" s="221"/>
      <c r="Q51" s="224"/>
      <c r="R51" s="225"/>
      <c r="S51" s="181"/>
    </row>
    <row r="52" spans="1:19" ht="14.25" customHeight="1">
      <c r="A52" s="221"/>
      <c r="B52" s="220"/>
      <c r="C52" s="220"/>
      <c r="D52" s="220"/>
      <c r="E52" s="220"/>
      <c r="F52" s="220"/>
      <c r="G52" s="220"/>
      <c r="H52" s="220"/>
      <c r="I52" s="220"/>
      <c r="J52" s="220"/>
      <c r="K52" s="115"/>
      <c r="L52" s="182"/>
      <c r="M52" s="183"/>
      <c r="N52" s="181"/>
      <c r="O52" s="117"/>
      <c r="P52" s="221"/>
      <c r="Q52" s="224"/>
      <c r="R52" s="225"/>
      <c r="S52" s="181"/>
    </row>
    <row r="53" spans="1:19" ht="14.25" customHeight="1">
      <c r="A53" s="221"/>
      <c r="B53" s="220"/>
      <c r="C53" s="220"/>
      <c r="D53" s="220"/>
      <c r="E53" s="220"/>
      <c r="F53" s="220"/>
      <c r="G53" s="220"/>
      <c r="H53" s="220"/>
      <c r="I53" s="220"/>
      <c r="J53" s="220"/>
      <c r="K53" s="115"/>
      <c r="L53" s="182"/>
      <c r="M53" s="183"/>
      <c r="N53" s="181"/>
      <c r="O53" s="117"/>
      <c r="P53" s="221"/>
      <c r="Q53" s="224"/>
      <c r="R53" s="225"/>
      <c r="S53" s="181"/>
    </row>
    <row r="54" spans="1:19" ht="14.25" customHeight="1">
      <c r="A54" s="221"/>
      <c r="B54" s="220"/>
      <c r="C54" s="220"/>
      <c r="D54" s="220"/>
      <c r="E54" s="220"/>
      <c r="F54" s="220"/>
      <c r="G54" s="220"/>
      <c r="H54" s="220"/>
      <c r="I54" s="220"/>
      <c r="J54" s="220"/>
      <c r="K54" s="115"/>
      <c r="L54" s="182"/>
      <c r="M54" s="183"/>
      <c r="N54" s="181"/>
      <c r="O54" s="181"/>
      <c r="P54" s="225"/>
      <c r="Q54" s="225"/>
      <c r="R54" s="225"/>
      <c r="S54" s="181"/>
    </row>
    <row r="55" spans="1:19" ht="14.25" customHeight="1">
      <c r="A55" s="221"/>
      <c r="B55" s="220"/>
      <c r="C55" s="220"/>
      <c r="D55" s="220"/>
      <c r="E55" s="220"/>
      <c r="F55" s="220"/>
      <c r="G55" s="220"/>
      <c r="H55" s="220"/>
      <c r="I55" s="220"/>
      <c r="J55" s="220"/>
      <c r="K55" s="115"/>
      <c r="L55" s="217"/>
      <c r="M55" s="218"/>
      <c r="N55" s="181"/>
      <c r="O55" s="181"/>
      <c r="P55" s="211"/>
      <c r="Q55" s="181"/>
      <c r="R55" s="181"/>
      <c r="S55" s="181"/>
    </row>
    <row r="56" spans="1:19" ht="14.25" customHeight="1">
      <c r="A56" s="221"/>
      <c r="B56" s="220"/>
      <c r="C56" s="220"/>
      <c r="D56" s="220"/>
      <c r="E56" s="220"/>
      <c r="F56" s="220"/>
      <c r="G56" s="220"/>
      <c r="H56" s="220"/>
      <c r="I56" s="220"/>
      <c r="J56" s="220"/>
      <c r="K56" s="115"/>
      <c r="L56" s="217"/>
      <c r="M56" s="218"/>
      <c r="N56" s="181"/>
      <c r="O56" s="181"/>
      <c r="P56" s="219"/>
      <c r="Q56" s="217"/>
      <c r="R56" s="217"/>
      <c r="S56" s="181"/>
    </row>
    <row r="57" spans="1:19" ht="14.25" customHeight="1">
      <c r="A57" s="221"/>
      <c r="B57" s="220"/>
      <c r="C57" s="220"/>
      <c r="D57" s="220"/>
      <c r="E57" s="220"/>
      <c r="F57" s="220"/>
      <c r="G57" s="220"/>
      <c r="H57" s="220"/>
      <c r="I57" s="220"/>
      <c r="J57" s="220"/>
      <c r="K57" s="115"/>
      <c r="L57" s="182"/>
      <c r="M57" s="183"/>
      <c r="N57" s="181"/>
      <c r="O57" s="181"/>
      <c r="P57" s="219"/>
      <c r="Q57" s="217"/>
      <c r="R57" s="217"/>
      <c r="S57" s="181"/>
    </row>
    <row r="58" spans="1:19" ht="14.25" customHeight="1">
      <c r="A58" s="181"/>
      <c r="B58" s="181"/>
      <c r="C58" s="181"/>
      <c r="D58" s="181"/>
      <c r="E58" s="181"/>
      <c r="F58" s="181"/>
      <c r="G58" s="181"/>
      <c r="H58" s="181"/>
      <c r="I58" s="190"/>
      <c r="J58" s="190"/>
      <c r="K58" s="190"/>
      <c r="L58" s="190"/>
      <c r="M58" s="190"/>
      <c r="N58" s="190"/>
      <c r="O58" s="190"/>
      <c r="P58" s="219"/>
      <c r="Q58" s="219"/>
      <c r="R58" s="219"/>
    </row>
    <row r="59" spans="1:19" ht="14.25" customHeight="1">
      <c r="A59" s="231"/>
      <c r="B59" s="231"/>
      <c r="C59" s="231"/>
      <c r="D59" s="231"/>
      <c r="E59" s="231"/>
      <c r="F59" s="231"/>
      <c r="G59" s="231"/>
      <c r="H59" s="231"/>
      <c r="I59" s="190"/>
      <c r="J59" s="190"/>
      <c r="K59" s="190"/>
      <c r="L59" s="190"/>
      <c r="M59" s="190"/>
      <c r="N59" s="190"/>
      <c r="O59" s="190"/>
      <c r="P59" s="219"/>
      <c r="Q59" s="219"/>
      <c r="R59" s="219"/>
    </row>
    <row r="60" spans="1:19" ht="14.25" customHeight="1">
      <c r="A60" s="219"/>
      <c r="B60" s="219"/>
      <c r="C60" s="219"/>
      <c r="D60" s="219"/>
      <c r="E60" s="219"/>
      <c r="F60" s="219"/>
      <c r="G60" s="219"/>
      <c r="H60" s="219"/>
      <c r="I60" s="190"/>
      <c r="J60" s="190"/>
      <c r="K60" s="190"/>
      <c r="L60" s="188"/>
      <c r="M60" s="189"/>
      <c r="N60" s="188"/>
      <c r="O60" s="181"/>
      <c r="P60" s="232"/>
      <c r="Q60" s="189"/>
      <c r="R60" s="225"/>
    </row>
    <row r="61" spans="1:19" ht="14.25" customHeight="1">
      <c r="A61" s="233"/>
      <c r="B61" s="219"/>
      <c r="C61" s="219"/>
      <c r="D61" s="219"/>
      <c r="E61" s="219"/>
      <c r="F61" s="219"/>
      <c r="G61" s="219"/>
      <c r="H61" s="219"/>
      <c r="I61" s="219"/>
      <c r="J61" s="219"/>
      <c r="K61" s="190"/>
      <c r="L61" s="219"/>
      <c r="M61" s="225"/>
      <c r="N61" s="219"/>
      <c r="O61" s="219"/>
      <c r="P61" s="219"/>
      <c r="Q61" s="225"/>
      <c r="R61" s="225"/>
    </row>
    <row r="62" spans="1:19" ht="14.25" customHeight="1">
      <c r="A62" s="230"/>
      <c r="B62" s="234"/>
      <c r="C62" s="234"/>
      <c r="D62" s="234"/>
      <c r="E62" s="234"/>
      <c r="F62" s="234"/>
      <c r="G62" s="234"/>
      <c r="H62" s="234"/>
      <c r="I62" s="234"/>
      <c r="J62" s="234"/>
      <c r="K62" s="190"/>
      <c r="L62" s="219"/>
      <c r="M62" s="225"/>
      <c r="N62" s="219"/>
      <c r="O62" s="219"/>
      <c r="P62" s="219"/>
      <c r="Q62" s="225"/>
      <c r="R62" s="225"/>
    </row>
    <row r="63" spans="1:19" ht="14.25" customHeight="1">
      <c r="A63" s="189"/>
      <c r="B63" s="219"/>
      <c r="C63" s="219"/>
      <c r="D63" s="219"/>
      <c r="E63" s="219"/>
      <c r="F63" s="219"/>
      <c r="G63" s="219"/>
      <c r="H63" s="219"/>
      <c r="I63" s="219"/>
      <c r="J63" s="219"/>
      <c r="K63" s="190"/>
      <c r="L63" s="232"/>
      <c r="M63" s="189"/>
      <c r="N63" s="190"/>
      <c r="O63" s="190"/>
      <c r="P63" s="188"/>
      <c r="Q63" s="189"/>
      <c r="R63" s="225"/>
    </row>
    <row r="64" spans="1:19" ht="14.25" customHeight="1">
      <c r="A64" s="189"/>
      <c r="B64" s="219"/>
      <c r="C64" s="219"/>
      <c r="D64" s="219"/>
      <c r="E64" s="219"/>
      <c r="F64" s="219"/>
      <c r="G64" s="219"/>
      <c r="H64" s="219"/>
      <c r="I64" s="219"/>
      <c r="J64" s="219"/>
      <c r="K64" s="190"/>
      <c r="L64" s="219"/>
      <c r="M64" s="225"/>
      <c r="N64" s="190"/>
      <c r="O64" s="235"/>
      <c r="P64" s="188"/>
      <c r="Q64" s="189"/>
      <c r="R64" s="225"/>
    </row>
    <row r="65" spans="1:18" ht="14.25" customHeight="1">
      <c r="A65" s="189"/>
      <c r="B65" s="219"/>
      <c r="C65" s="219"/>
      <c r="D65" s="219"/>
      <c r="E65" s="219"/>
      <c r="F65" s="219"/>
      <c r="G65" s="219"/>
      <c r="H65" s="219"/>
      <c r="I65" s="219"/>
      <c r="J65" s="219"/>
      <c r="K65" s="190"/>
      <c r="L65" s="219"/>
      <c r="M65" s="225"/>
      <c r="N65" s="190"/>
      <c r="O65" s="235"/>
      <c r="P65" s="188"/>
      <c r="Q65" s="189"/>
      <c r="R65" s="181"/>
    </row>
    <row r="66" spans="1:18" ht="14.25" customHeight="1">
      <c r="A66" s="189"/>
      <c r="B66" s="219"/>
      <c r="C66" s="219"/>
      <c r="D66" s="219"/>
      <c r="E66" s="219"/>
      <c r="F66" s="219"/>
      <c r="G66" s="219"/>
      <c r="H66" s="219"/>
      <c r="I66" s="219"/>
      <c r="J66" s="219"/>
      <c r="K66" s="190"/>
      <c r="L66" s="188"/>
      <c r="M66" s="189"/>
      <c r="N66" s="190"/>
      <c r="O66" s="235"/>
      <c r="P66" s="190"/>
      <c r="Q66" s="190"/>
      <c r="R66" s="181"/>
    </row>
    <row r="67" spans="1:18" ht="14.25" customHeight="1">
      <c r="A67" s="189"/>
      <c r="B67" s="219"/>
      <c r="C67" s="219"/>
      <c r="D67" s="219"/>
      <c r="E67" s="219"/>
      <c r="F67" s="219"/>
      <c r="G67" s="219"/>
      <c r="H67" s="219"/>
      <c r="I67" s="219"/>
      <c r="J67" s="219"/>
      <c r="K67" s="190"/>
      <c r="L67" s="188"/>
      <c r="M67" s="189"/>
      <c r="N67" s="181"/>
      <c r="O67" s="235"/>
      <c r="P67" s="190"/>
      <c r="Q67" s="190"/>
      <c r="R67" s="181"/>
    </row>
    <row r="68" spans="1:18" ht="14.25" customHeight="1">
      <c r="A68" s="189"/>
      <c r="B68" s="219"/>
      <c r="C68" s="219"/>
      <c r="D68" s="219"/>
      <c r="E68" s="219"/>
      <c r="F68" s="219"/>
      <c r="G68" s="219"/>
      <c r="H68" s="219"/>
      <c r="I68" s="219"/>
      <c r="J68" s="219"/>
      <c r="K68" s="190"/>
      <c r="L68" s="188"/>
      <c r="M68" s="189"/>
      <c r="N68" s="181"/>
      <c r="O68" s="235"/>
      <c r="P68" s="190"/>
      <c r="Q68" s="190"/>
      <c r="R68" s="181"/>
    </row>
    <row r="69" spans="1:18" ht="14.25" customHeight="1">
      <c r="A69" s="189"/>
      <c r="B69" s="219"/>
      <c r="C69" s="219"/>
      <c r="D69" s="219"/>
      <c r="E69" s="219"/>
      <c r="F69" s="219"/>
      <c r="G69" s="219"/>
      <c r="H69" s="219"/>
      <c r="I69" s="219"/>
      <c r="J69" s="219"/>
      <c r="K69" s="190"/>
      <c r="L69" s="188"/>
      <c r="M69" s="189"/>
      <c r="N69" s="181"/>
      <c r="O69" s="181"/>
      <c r="P69" s="190"/>
      <c r="Q69" s="190"/>
      <c r="R69" s="181"/>
    </row>
    <row r="70" spans="1:18" ht="14.25" customHeight="1">
      <c r="A70" s="189"/>
      <c r="B70" s="219"/>
      <c r="C70" s="219"/>
      <c r="D70" s="219"/>
      <c r="E70" s="219"/>
      <c r="F70" s="219"/>
      <c r="G70" s="219"/>
      <c r="H70" s="219"/>
      <c r="I70" s="219"/>
      <c r="J70" s="219"/>
      <c r="K70" s="190"/>
      <c r="L70" s="219"/>
      <c r="M70" s="225"/>
      <c r="N70" s="181"/>
      <c r="O70" s="181"/>
      <c r="P70" s="190"/>
      <c r="Q70" s="190"/>
      <c r="R70" s="181"/>
    </row>
    <row r="71" spans="1:18" ht="14.25" customHeight="1">
      <c r="A71" s="189"/>
      <c r="B71" s="219"/>
      <c r="C71" s="219"/>
      <c r="D71" s="219"/>
      <c r="E71" s="219"/>
      <c r="F71" s="219"/>
      <c r="G71" s="219"/>
      <c r="H71" s="219"/>
      <c r="I71" s="219"/>
      <c r="J71" s="219"/>
      <c r="K71" s="190"/>
      <c r="L71" s="219"/>
      <c r="M71" s="225"/>
      <c r="N71" s="181"/>
      <c r="O71" s="181"/>
      <c r="P71" s="190"/>
      <c r="Q71" s="190"/>
      <c r="R71" s="181"/>
    </row>
    <row r="72" spans="1:18" ht="14.25" customHeight="1">
      <c r="A72" s="189"/>
      <c r="B72" s="219"/>
      <c r="C72" s="219"/>
      <c r="D72" s="219"/>
      <c r="E72" s="219"/>
      <c r="F72" s="219"/>
      <c r="G72" s="219"/>
      <c r="H72" s="219"/>
      <c r="I72" s="219"/>
      <c r="J72" s="219"/>
      <c r="K72" s="190"/>
      <c r="L72" s="188"/>
      <c r="M72" s="189"/>
      <c r="N72" s="181"/>
      <c r="O72" s="181"/>
      <c r="P72" s="190"/>
      <c r="Q72" s="190"/>
      <c r="R72" s="181"/>
    </row>
    <row r="73" spans="1:18" ht="14.25" customHeight="1">
      <c r="A73" s="181"/>
      <c r="B73" s="181"/>
      <c r="C73" s="181"/>
      <c r="D73" s="181"/>
      <c r="E73" s="181"/>
      <c r="F73" s="181"/>
      <c r="G73" s="181"/>
      <c r="H73" s="181"/>
      <c r="I73" s="181"/>
      <c r="J73" s="181"/>
      <c r="K73" s="190"/>
      <c r="L73" s="190"/>
      <c r="M73" s="190"/>
      <c r="N73" s="190"/>
      <c r="O73" s="190"/>
      <c r="P73" s="190"/>
      <c r="Q73" s="190"/>
      <c r="R73" s="181"/>
    </row>
    <row r="74" spans="1:18" ht="14.25" customHeight="1">
      <c r="A74" s="231"/>
      <c r="B74" s="231"/>
      <c r="C74" s="231"/>
      <c r="D74" s="231"/>
      <c r="E74" s="231"/>
      <c r="F74" s="231"/>
      <c r="G74" s="231"/>
      <c r="H74" s="231"/>
      <c r="I74" s="190"/>
      <c r="J74" s="190"/>
      <c r="K74" s="190"/>
      <c r="L74" s="190"/>
      <c r="M74" s="190"/>
      <c r="N74" s="190"/>
      <c r="O74" s="190"/>
      <c r="P74" s="190"/>
      <c r="Q74" s="190"/>
      <c r="R74" s="181"/>
    </row>
    <row r="75" spans="1:18" ht="14.25" customHeight="1">
      <c r="A75" s="219"/>
      <c r="B75" s="219"/>
      <c r="C75" s="219"/>
      <c r="D75" s="219"/>
      <c r="E75" s="219"/>
      <c r="F75" s="219"/>
      <c r="G75" s="219"/>
      <c r="H75" s="219"/>
      <c r="I75" s="190"/>
      <c r="J75" s="190"/>
      <c r="K75" s="190"/>
      <c r="L75" s="188"/>
      <c r="M75" s="189"/>
      <c r="N75" s="188"/>
      <c r="O75" s="181"/>
      <c r="P75" s="190"/>
      <c r="Q75" s="190"/>
      <c r="R75" s="181"/>
    </row>
    <row r="76" spans="1:18" ht="14.25" customHeight="1">
      <c r="A76" s="233"/>
      <c r="B76" s="219"/>
      <c r="C76" s="219"/>
      <c r="D76" s="219"/>
      <c r="E76" s="219"/>
      <c r="F76" s="219"/>
      <c r="G76" s="219"/>
      <c r="H76" s="219"/>
      <c r="I76" s="219"/>
      <c r="J76" s="219"/>
      <c r="K76" s="190"/>
      <c r="L76" s="219"/>
      <c r="M76" s="225"/>
      <c r="N76" s="219"/>
      <c r="O76" s="219"/>
      <c r="P76" s="190"/>
      <c r="Q76" s="190"/>
      <c r="R76" s="181"/>
    </row>
    <row r="77" spans="1:18" ht="14.25" customHeight="1">
      <c r="A77" s="230"/>
      <c r="B77" s="234"/>
      <c r="C77" s="234"/>
      <c r="D77" s="234"/>
      <c r="E77" s="234"/>
      <c r="F77" s="234"/>
      <c r="G77" s="234"/>
      <c r="H77" s="234"/>
      <c r="I77" s="234"/>
      <c r="J77" s="234"/>
      <c r="K77" s="190"/>
      <c r="L77" s="219"/>
      <c r="M77" s="225"/>
      <c r="N77" s="219"/>
      <c r="O77" s="219"/>
      <c r="P77" s="190"/>
      <c r="Q77" s="190"/>
      <c r="R77" s="181"/>
    </row>
    <row r="78" spans="1:18" ht="14.25" customHeight="1">
      <c r="A78" s="189"/>
      <c r="B78" s="219"/>
      <c r="C78" s="219"/>
      <c r="D78" s="219"/>
      <c r="E78" s="219"/>
      <c r="F78" s="219"/>
      <c r="G78" s="219"/>
      <c r="H78" s="219"/>
      <c r="I78" s="219"/>
      <c r="J78" s="219"/>
      <c r="K78" s="190"/>
      <c r="L78" s="232"/>
      <c r="M78" s="189"/>
      <c r="N78" s="190"/>
      <c r="O78" s="190"/>
      <c r="P78" s="190"/>
      <c r="Q78" s="190"/>
      <c r="R78" s="181"/>
    </row>
    <row r="79" spans="1:18" ht="14.25" customHeight="1">
      <c r="A79" s="189"/>
      <c r="B79" s="219"/>
      <c r="C79" s="219"/>
      <c r="D79" s="219"/>
      <c r="E79" s="219"/>
      <c r="F79" s="219"/>
      <c r="G79" s="219"/>
      <c r="H79" s="219"/>
      <c r="I79" s="219"/>
      <c r="J79" s="219"/>
      <c r="K79" s="190"/>
      <c r="L79" s="219"/>
      <c r="M79" s="225"/>
      <c r="N79" s="190"/>
      <c r="O79" s="235"/>
      <c r="P79" s="190"/>
      <c r="Q79" s="190"/>
      <c r="R79" s="181"/>
    </row>
    <row r="80" spans="1:18" ht="14.25" customHeight="1">
      <c r="A80" s="189"/>
      <c r="B80" s="219"/>
      <c r="C80" s="219"/>
      <c r="D80" s="219"/>
      <c r="E80" s="219"/>
      <c r="F80" s="219"/>
      <c r="G80" s="219"/>
      <c r="H80" s="219"/>
      <c r="I80" s="219"/>
      <c r="J80" s="219"/>
      <c r="K80" s="190"/>
      <c r="L80" s="219"/>
      <c r="M80" s="225"/>
      <c r="N80" s="190"/>
      <c r="O80" s="235"/>
      <c r="P80" s="190"/>
      <c r="Q80" s="190"/>
      <c r="R80" s="181"/>
    </row>
    <row r="81" spans="1:18" ht="14.25" customHeight="1">
      <c r="A81" s="181"/>
      <c r="B81" s="181"/>
      <c r="C81" s="181"/>
      <c r="D81" s="181"/>
      <c r="E81" s="181"/>
      <c r="F81" s="181"/>
      <c r="G81" s="181"/>
      <c r="H81" s="181"/>
      <c r="I81" s="181"/>
      <c r="J81" s="181"/>
      <c r="K81" s="181"/>
      <c r="L81" s="188"/>
      <c r="M81" s="189"/>
      <c r="N81" s="190"/>
      <c r="O81" s="235"/>
      <c r="P81" s="181"/>
      <c r="Q81" s="181"/>
      <c r="R81" s="181"/>
    </row>
    <row r="82" spans="1:18" ht="14.25" customHeight="1">
      <c r="A82" s="181"/>
      <c r="B82" s="181"/>
      <c r="C82" s="181"/>
      <c r="D82" s="181"/>
      <c r="E82" s="181"/>
      <c r="F82" s="181"/>
      <c r="G82" s="181"/>
      <c r="H82" s="181"/>
      <c r="I82" s="181"/>
      <c r="J82" s="181"/>
      <c r="K82" s="181"/>
      <c r="L82" s="188"/>
      <c r="M82" s="189"/>
      <c r="N82" s="181"/>
      <c r="O82" s="235"/>
      <c r="P82" s="181"/>
      <c r="Q82" s="181"/>
      <c r="R82" s="181"/>
    </row>
    <row r="83" spans="1:18" ht="14.25" customHeight="1">
      <c r="A83" s="181"/>
      <c r="B83" s="181"/>
      <c r="C83" s="181"/>
      <c r="D83" s="181"/>
      <c r="E83" s="181"/>
      <c r="F83" s="181"/>
      <c r="G83" s="181"/>
      <c r="H83" s="181"/>
      <c r="I83" s="181"/>
      <c r="J83" s="181"/>
      <c r="K83" s="181"/>
      <c r="L83" s="188"/>
      <c r="M83" s="189"/>
      <c r="N83" s="181"/>
      <c r="O83" s="235"/>
      <c r="P83" s="181"/>
      <c r="Q83" s="181"/>
      <c r="R83" s="181"/>
    </row>
    <row r="84" spans="1:18" ht="14.25" customHeight="1">
      <c r="A84" s="181"/>
      <c r="B84" s="181"/>
      <c r="C84" s="181"/>
      <c r="D84" s="181"/>
      <c r="E84" s="181"/>
      <c r="F84" s="181"/>
      <c r="G84" s="181"/>
      <c r="H84" s="181"/>
      <c r="I84" s="181"/>
      <c r="J84" s="181"/>
      <c r="K84" s="181"/>
      <c r="L84" s="188"/>
      <c r="M84" s="189"/>
      <c r="N84" s="181"/>
      <c r="O84" s="181"/>
      <c r="P84" s="181"/>
      <c r="Q84" s="181"/>
      <c r="R84" s="181"/>
    </row>
    <row r="85" spans="1:18" ht="14.25" customHeight="1">
      <c r="A85" s="181"/>
      <c r="B85" s="181"/>
      <c r="C85" s="181"/>
      <c r="D85" s="181"/>
      <c r="E85" s="181"/>
      <c r="F85" s="181"/>
      <c r="G85" s="181"/>
      <c r="H85" s="181"/>
      <c r="I85" s="181"/>
      <c r="J85" s="181"/>
      <c r="K85" s="181"/>
      <c r="L85" s="219"/>
      <c r="M85" s="225"/>
      <c r="N85" s="181"/>
      <c r="O85" s="181"/>
      <c r="P85" s="181"/>
      <c r="Q85" s="181"/>
      <c r="R85" s="181"/>
    </row>
    <row r="86" spans="1:18" ht="14.25" customHeight="1">
      <c r="A86" s="181"/>
      <c r="B86" s="181"/>
      <c r="C86" s="181"/>
      <c r="D86" s="181"/>
      <c r="E86" s="181"/>
      <c r="F86" s="181"/>
      <c r="G86" s="181"/>
      <c r="H86" s="181"/>
      <c r="I86" s="181"/>
      <c r="J86" s="181"/>
      <c r="K86" s="181"/>
      <c r="L86" s="219"/>
      <c r="M86" s="225"/>
      <c r="N86" s="181"/>
      <c r="O86" s="181"/>
      <c r="P86" s="181"/>
      <c r="Q86" s="181"/>
      <c r="R86" s="181"/>
    </row>
    <row r="87" spans="1:18" ht="14.25" customHeight="1">
      <c r="A87" s="181"/>
      <c r="B87" s="181"/>
      <c r="C87" s="181"/>
      <c r="D87" s="181"/>
      <c r="E87" s="181"/>
      <c r="F87" s="181"/>
      <c r="G87" s="181"/>
      <c r="H87" s="181"/>
      <c r="I87" s="181"/>
      <c r="J87" s="181"/>
      <c r="K87" s="181"/>
      <c r="L87" s="188"/>
      <c r="M87" s="189"/>
      <c r="N87" s="181"/>
      <c r="O87" s="181"/>
      <c r="P87" s="181"/>
      <c r="Q87" s="181"/>
      <c r="R87" s="181"/>
    </row>
    <row r="88" spans="1:18" ht="15" customHeight="1">
      <c r="A88" s="181"/>
      <c r="B88" s="181"/>
      <c r="C88" s="181"/>
      <c r="D88" s="181"/>
      <c r="E88" s="181"/>
      <c r="F88" s="181"/>
      <c r="G88" s="181"/>
      <c r="H88" s="181"/>
      <c r="I88" s="181"/>
      <c r="J88" s="181"/>
      <c r="K88" s="181"/>
      <c r="L88" s="181"/>
      <c r="M88" s="181"/>
      <c r="N88" s="181"/>
      <c r="O88" s="181"/>
      <c r="P88" s="181"/>
      <c r="Q88" s="181"/>
    </row>
  </sheetData>
  <mergeCells count="6">
    <mergeCell ref="A1:E1"/>
    <mergeCell ref="A3:A4"/>
    <mergeCell ref="J3:K3"/>
    <mergeCell ref="B12:C12"/>
    <mergeCell ref="D12:E12"/>
    <mergeCell ref="H12:I12"/>
  </mergeCells>
  <pageMargins left="0.7" right="0.7" top="0.75" bottom="0.75" header="0" footer="0"/>
  <pageSetup paperSize="9"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Blad8">
    <pageSetUpPr fitToPage="1"/>
  </sheetPr>
  <dimension ref="A1:R87"/>
  <sheetViews>
    <sheetView topLeftCell="A19" workbookViewId="0">
      <selection activeCell="G34" sqref="G34"/>
    </sheetView>
  </sheetViews>
  <sheetFormatPr defaultColWidth="14.44140625" defaultRowHeight="15" customHeight="1"/>
  <cols>
    <col min="1" max="1" width="23.44140625" customWidth="1"/>
    <col min="2" max="6" width="9.109375" customWidth="1"/>
    <col min="7" max="7" width="9" customWidth="1"/>
    <col min="8" max="10" width="9.109375" customWidth="1"/>
    <col min="11" max="11" width="10.44140625" customWidth="1"/>
    <col min="12" max="20" width="9.109375" customWidth="1"/>
    <col min="21" max="33" width="8.5546875" customWidth="1"/>
  </cols>
  <sheetData>
    <row r="1" spans="1:12" ht="14.25" customHeight="1">
      <c r="A1" s="369" t="s">
        <v>190</v>
      </c>
      <c r="B1" s="321"/>
      <c r="C1" s="321"/>
      <c r="D1" s="321"/>
      <c r="E1" s="321"/>
      <c r="F1" s="96"/>
      <c r="G1" s="21"/>
      <c r="I1" s="2"/>
      <c r="J1" s="21"/>
      <c r="K1" s="21"/>
      <c r="L1" s="21"/>
    </row>
    <row r="2" spans="1:12" ht="14.25" customHeight="1">
      <c r="A2" s="2" t="s">
        <v>43</v>
      </c>
      <c r="G2" s="21"/>
      <c r="J2" s="21"/>
      <c r="K2" s="21"/>
      <c r="L2" s="21"/>
    </row>
    <row r="3" spans="1:12" ht="14.25" customHeight="1">
      <c r="A3" s="379" t="s">
        <v>189</v>
      </c>
      <c r="D3" s="382" t="s">
        <v>152</v>
      </c>
      <c r="E3" s="381"/>
      <c r="H3" s="382" t="s">
        <v>152</v>
      </c>
      <c r="I3" s="381"/>
      <c r="J3" s="382"/>
      <c r="K3" s="381"/>
      <c r="L3" s="21"/>
    </row>
    <row r="4" spans="1:12" ht="31.5" customHeight="1">
      <c r="A4" s="358"/>
      <c r="D4" s="136" t="s">
        <v>176</v>
      </c>
      <c r="E4" s="137"/>
      <c r="H4" s="139" t="s">
        <v>177</v>
      </c>
      <c r="I4" s="137"/>
      <c r="J4" s="139"/>
      <c r="K4" s="137"/>
    </row>
    <row r="5" spans="1:12" ht="14.25" customHeight="1">
      <c r="A5" s="140">
        <v>9000</v>
      </c>
      <c r="D5" s="141">
        <v>94</v>
      </c>
      <c r="E5" s="142"/>
      <c r="H5" s="144">
        <v>99</v>
      </c>
      <c r="I5" s="142"/>
      <c r="J5" s="145"/>
      <c r="K5" s="146"/>
    </row>
    <row r="6" spans="1:12" ht="14.25" customHeight="1">
      <c r="A6" s="147">
        <v>10000</v>
      </c>
      <c r="D6" s="148">
        <v>94</v>
      </c>
      <c r="E6" s="149"/>
      <c r="H6" s="148">
        <v>101</v>
      </c>
      <c r="I6" s="149"/>
      <c r="J6" s="151"/>
      <c r="K6" s="152"/>
    </row>
    <row r="7" spans="1:12" ht="14.25" customHeight="1">
      <c r="A7" s="147">
        <v>11000</v>
      </c>
      <c r="D7" s="148">
        <v>94</v>
      </c>
      <c r="E7" s="149"/>
      <c r="H7" s="153">
        <v>103</v>
      </c>
      <c r="I7" s="149"/>
      <c r="J7" s="151"/>
      <c r="K7" s="152"/>
    </row>
    <row r="8" spans="1:12" ht="14.25" customHeight="1">
      <c r="A8" s="154">
        <v>11500</v>
      </c>
      <c r="D8" s="148">
        <v>94</v>
      </c>
      <c r="E8" s="149"/>
      <c r="H8" s="148">
        <f>AVERAGE(H7,H9)</f>
        <v>104</v>
      </c>
      <c r="I8" s="149"/>
      <c r="J8" s="151"/>
      <c r="K8" s="152"/>
    </row>
    <row r="9" spans="1:12" ht="14.25" customHeight="1">
      <c r="A9" s="154">
        <v>12000</v>
      </c>
      <c r="D9" s="148">
        <v>94</v>
      </c>
      <c r="E9" s="149"/>
      <c r="H9" s="153">
        <v>105</v>
      </c>
      <c r="I9" s="149"/>
      <c r="J9" s="151"/>
      <c r="K9" s="152"/>
    </row>
    <row r="10" spans="1:12" ht="14.25" customHeight="1">
      <c r="A10" s="155">
        <v>12500</v>
      </c>
      <c r="D10" s="156">
        <v>94</v>
      </c>
      <c r="E10" s="157"/>
      <c r="H10" s="159">
        <v>106</v>
      </c>
      <c r="I10" s="157"/>
      <c r="J10" s="160"/>
      <c r="K10" s="161"/>
    </row>
    <row r="11" spans="1:12" ht="14.25" customHeight="1">
      <c r="A11" s="102"/>
      <c r="D11" s="38"/>
      <c r="H11" s="2"/>
      <c r="I11" s="15"/>
      <c r="J11" s="2"/>
      <c r="K11" s="15"/>
    </row>
    <row r="12" spans="1:12" ht="14.25" customHeight="1">
      <c r="A12" s="103"/>
      <c r="D12" s="374" t="s">
        <v>178</v>
      </c>
      <c r="E12" s="321"/>
      <c r="H12" s="374" t="s">
        <v>177</v>
      </c>
      <c r="I12" s="321"/>
      <c r="J12" s="103"/>
      <c r="K12" s="103"/>
    </row>
    <row r="13" spans="1:12" ht="14.25" customHeight="1">
      <c r="D13" s="89" t="s">
        <v>155</v>
      </c>
      <c r="E13" s="104">
        <f>MATCH(MAX($A5:$A10),$A5:$A10,0)</f>
        <v>6</v>
      </c>
      <c r="I13" s="104">
        <f t="shared" ref="I13" si="0">MATCH(MAX($A5:$A10),$A5:$A10,0)</f>
        <v>6</v>
      </c>
      <c r="J13" s="104"/>
      <c r="K13" s="104"/>
    </row>
    <row r="14" spans="1:12" ht="14.25" customHeight="1">
      <c r="D14" s="89" t="s">
        <v>156</v>
      </c>
      <c r="E14" s="104">
        <f>MATCH(MAX(D5),D5,0)</f>
        <v>1</v>
      </c>
      <c r="I14" s="104">
        <f>MATCH(MAX(H5),H5,0)</f>
        <v>1</v>
      </c>
      <c r="J14" s="104"/>
      <c r="K14" s="104"/>
    </row>
    <row r="15" spans="1:12" ht="14.25" customHeight="1">
      <c r="A15" s="21"/>
      <c r="D15" s="21"/>
      <c r="E15" s="21"/>
      <c r="H15" s="2"/>
      <c r="I15" s="2"/>
      <c r="J15" s="2"/>
      <c r="K15" s="2"/>
    </row>
    <row r="16" spans="1:12" ht="14.25" customHeight="1">
      <c r="D16" s="6" t="s">
        <v>157</v>
      </c>
      <c r="E16" s="32" t="str">
        <f>D4</f>
        <v>V1/R</v>
      </c>
      <c r="H16" s="2"/>
      <c r="I16" s="32" t="str">
        <f>H4</f>
        <v>V2</v>
      </c>
      <c r="J16" s="32"/>
      <c r="K16" s="32"/>
    </row>
    <row r="17" spans="1:12" ht="14.25" customHeight="1">
      <c r="D17" s="106" t="s">
        <v>158</v>
      </c>
      <c r="E17" s="107">
        <f>'Take-off'!$C$14</f>
        <v>12350</v>
      </c>
      <c r="H17" s="2"/>
      <c r="I17" s="107">
        <f>'Take-off'!$C$14</f>
        <v>12350</v>
      </c>
      <c r="J17" s="107"/>
      <c r="K17" s="107"/>
    </row>
    <row r="18" spans="1:12" ht="14.25" customHeight="1">
      <c r="D18" s="89" t="s">
        <v>159</v>
      </c>
      <c r="E18" s="109">
        <f t="array" ref="E18">INDEX($A5:$A10,MATCH(E17,$A5:$A10,1))</f>
        <v>12000</v>
      </c>
      <c r="H18" s="2"/>
      <c r="I18" s="109">
        <f t="shared" ref="I18" si="1">INDEX($A5:$A10,MATCH(I17,$A5:$A10,1))</f>
        <v>12000</v>
      </c>
      <c r="J18" s="109"/>
      <c r="K18" s="109"/>
    </row>
    <row r="19" spans="1:12" ht="14.25" customHeight="1">
      <c r="D19" s="89" t="s">
        <v>160</v>
      </c>
      <c r="E19" s="109">
        <f t="array" ref="E19">INDEX($A5:$A10,IF(MATCH(E17,$A5:$A10,1)&lt;E13,MATCH(E17,$A5:$A10,1)+1,MATCH(E17,$A5:$A10,1)))</f>
        <v>12500</v>
      </c>
      <c r="H19" s="2"/>
      <c r="I19" s="109">
        <f t="shared" ref="I19" si="2">INDEX($A5:$A10,IF(MATCH(I17,$A5:$A10,1)&lt;I13,MATCH(I17,$A5:$A10,1)+1,MATCH(I17,$A5:$A10,1)))</f>
        <v>12500</v>
      </c>
      <c r="J19" s="109"/>
      <c r="K19" s="109"/>
    </row>
    <row r="20" spans="1:12" ht="14.25" customHeight="1">
      <c r="D20" s="108" t="s">
        <v>161</v>
      </c>
      <c r="E20" s="107">
        <f t="array" ref="E20">INDEX(D5:D10,MATCH(E17,$A5:$A10,1),MATCH(E16,D4,1))</f>
        <v>94</v>
      </c>
      <c r="H20" s="2"/>
      <c r="I20" s="107">
        <f t="array" ref="I20">INDEX(H5:H10,MATCH(I17,$A5:$A10,1),MATCH(I16,H4,1))</f>
        <v>105</v>
      </c>
      <c r="J20" s="110"/>
      <c r="K20" s="110"/>
    </row>
    <row r="21" spans="1:12" ht="14.25" customHeight="1">
      <c r="D21" s="108" t="s">
        <v>162</v>
      </c>
      <c r="E21" s="107">
        <f t="array" ref="E21">INDEX(D5:D10,IF(MATCH(E17,$A5:$A10,1)&lt;E13,MATCH(E17,$A5:$A10,1)+1,MATCH(E17,$A5:$A10,1)),MATCH(E16,D4,1))</f>
        <v>94</v>
      </c>
      <c r="H21" s="2"/>
      <c r="I21" s="107">
        <f t="array" ref="I21">INDEX(H5:H10,IF(MATCH(I17,$A5:$A10,1)&lt;I13,MATCH(I17,$A5:$A10,1)+1,MATCH(I17,$A5:$A10,1)),MATCH(I16,H4,1))</f>
        <v>106</v>
      </c>
      <c r="J21" s="110"/>
      <c r="K21" s="110"/>
    </row>
    <row r="22" spans="1:12" ht="14.25" customHeight="1">
      <c r="D22" s="108" t="s">
        <v>163</v>
      </c>
      <c r="E22" s="107">
        <f>IFERROR(E20+(E17-E18)*(E21-E20)/(E19-E18),E20)</f>
        <v>94</v>
      </c>
      <c r="H22" s="2"/>
      <c r="I22" s="107">
        <f t="shared" ref="I22" si="3">IFERROR(I20+(I17-I18)*(I21-I20)/(I19-I18),I20)</f>
        <v>105.7</v>
      </c>
      <c r="J22" s="110"/>
      <c r="K22" s="110"/>
    </row>
    <row r="23" spans="1:12" ht="14.25" customHeight="1">
      <c r="A23" s="2" t="s">
        <v>191</v>
      </c>
      <c r="C23" s="15"/>
      <c r="I23" s="19"/>
      <c r="J23" s="110"/>
      <c r="K23" s="110"/>
    </row>
    <row r="24" spans="1:12" ht="14.25" customHeight="1">
      <c r="A24" s="2"/>
      <c r="L24" s="1"/>
    </row>
    <row r="25" spans="1:12" ht="14.25" customHeight="1">
      <c r="A25" s="111" t="s">
        <v>179</v>
      </c>
      <c r="B25" s="111"/>
      <c r="C25" s="111"/>
      <c r="D25" s="111"/>
      <c r="E25" s="111"/>
      <c r="F25" s="111"/>
      <c r="G25" s="111"/>
      <c r="H25" s="111"/>
      <c r="I25" s="111"/>
      <c r="J25" s="111"/>
      <c r="K25" s="111"/>
      <c r="L25" s="112"/>
    </row>
    <row r="26" spans="1:12" ht="14.25" customHeight="1">
      <c r="A26" s="2"/>
      <c r="B26" s="2"/>
      <c r="C26" s="2"/>
      <c r="D26" s="2"/>
      <c r="E26" s="2"/>
      <c r="F26" s="2"/>
      <c r="G26" s="2"/>
      <c r="L26" s="2"/>
    </row>
    <row r="27" spans="1:12" ht="28.5" customHeight="1">
      <c r="A27" s="2"/>
      <c r="B27" s="115" t="s">
        <v>180</v>
      </c>
      <c r="C27" s="2" t="s">
        <v>23</v>
      </c>
      <c r="D27" s="115" t="s">
        <v>182</v>
      </c>
      <c r="E27" s="2" t="s">
        <v>183</v>
      </c>
    </row>
    <row r="28" spans="1:12" ht="28.5" customHeight="1">
      <c r="A28" s="281" t="s">
        <v>237</v>
      </c>
      <c r="B28" s="164">
        <f>'Takeoff distance (2)'!AC74/3.28</f>
        <v>549.06402439024396</v>
      </c>
      <c r="C28" s="2">
        <v>0</v>
      </c>
      <c r="D28" s="123">
        <f>IF('Take-off'!$C$17&gt;0, ((+'Take-off'!$C$17*5)%*SUM(B28:C28)),0 )</f>
        <v>0</v>
      </c>
      <c r="E28" s="123">
        <f>SUM(B28:D28)</f>
        <v>549.06402439024396</v>
      </c>
    </row>
    <row r="29" spans="1:12" ht="14.25" customHeight="1">
      <c r="A29" s="116" t="s">
        <v>184</v>
      </c>
      <c r="B29" s="164">
        <f>'Takeoff distance (2)'!AC93/3.28</f>
        <v>771.31097560975616</v>
      </c>
      <c r="C29" s="165">
        <v>0</v>
      </c>
      <c r="D29" s="123">
        <f>IF('Take-off'!$C$17&gt;0, ((+'Take-off'!$C$17*5)%*SUM(B29:C29)),0 )</f>
        <v>0</v>
      </c>
      <c r="E29" s="123">
        <f>SUM(B29:D29)*115%</f>
        <v>887.00762195121956</v>
      </c>
    </row>
    <row r="30" spans="1:12" ht="14.25" customHeight="1">
      <c r="A30" s="116" t="s">
        <v>186</v>
      </c>
      <c r="B30" s="15">
        <f>'Accelerate and GO (2)'!AD74/3.28</f>
        <v>1376.0692073170735</v>
      </c>
      <c r="C30" s="165">
        <v>0</v>
      </c>
      <c r="D30" s="123">
        <f>IF('Take-off'!$C$17&gt;0, ((+'Take-off'!$C$17*5)%*SUM(B30:C30)),0 )</f>
        <v>0</v>
      </c>
      <c r="E30" s="123">
        <f>SUM(B30:D30)</f>
        <v>1376.0692073170735</v>
      </c>
    </row>
    <row r="31" spans="1:12" ht="14.25" customHeight="1">
      <c r="A31" s="116" t="s">
        <v>187</v>
      </c>
      <c r="B31" s="15">
        <f>B30</f>
        <v>1376.0692073170735</v>
      </c>
      <c r="C31" s="165">
        <v>0</v>
      </c>
      <c r="D31" s="123">
        <f>IF('Take-off'!$C$17&gt;0, ((+'Take-off'!$C$17*5)%*SUM(B31:C31)),0 )</f>
        <v>0</v>
      </c>
      <c r="E31" s="123">
        <f>SUM(B31:D31)</f>
        <v>1376.0692073170735</v>
      </c>
      <c r="F31" s="2"/>
    </row>
    <row r="32" spans="1:12" ht="14.25" customHeight="1">
      <c r="A32" s="116" t="s">
        <v>192</v>
      </c>
      <c r="B32" s="165">
        <f>'Accelerate and stop2'!AC74/3.28</f>
        <v>1006.3003048780488</v>
      </c>
      <c r="C32" s="165">
        <v>0</v>
      </c>
      <c r="D32" s="123">
        <f>IF('Take-off'!$C$17&gt;0, ((+'Take-off'!$C$17*5)%*SUM(B32:C32)),0 )</f>
        <v>0</v>
      </c>
      <c r="E32" s="123">
        <f>SUM(B32:D32)</f>
        <v>1006.3003048780488</v>
      </c>
    </row>
    <row r="33" spans="1:18" ht="14.25" customHeight="1">
      <c r="A33" s="116"/>
      <c r="B33" s="119" t="s">
        <v>165</v>
      </c>
      <c r="C33" s="119" t="s">
        <v>166</v>
      </c>
      <c r="D33" s="119" t="s">
        <v>167</v>
      </c>
      <c r="E33" s="2"/>
      <c r="F33" s="116"/>
      <c r="G33" s="2"/>
      <c r="H33" s="2"/>
      <c r="I33" s="2"/>
      <c r="M33" s="21"/>
      <c r="N33" s="2"/>
      <c r="O33" s="2"/>
      <c r="P33" s="2"/>
      <c r="Q33" s="2"/>
      <c r="R33" s="2"/>
    </row>
    <row r="34" spans="1:18" ht="14.25" customHeight="1">
      <c r="A34" s="116"/>
      <c r="B34" s="120">
        <f>IF(ABS('Take-off'!C18-'Take-off'!C6)&gt;270,360-ABS('Take-off'!C18-'Take-off'!C6),'Take-off'!C18-'Take-off'!C6)</f>
        <v>-38</v>
      </c>
      <c r="C34" s="121">
        <f>IF(ABS(B34)&gt;90,ABS(COS(B34*PI()/180))*(-1),ABS(COS(B34*PI()/180)))</f>
        <v>0.78801075360672201</v>
      </c>
      <c r="D34" s="120">
        <f>IF( ISBLANK('Take-off'!C6), 'Take-off'!C7*-1,    'Take-off'!C7*C34)</f>
        <v>0</v>
      </c>
      <c r="E34" s="2"/>
      <c r="F34" s="2"/>
      <c r="G34" s="95"/>
      <c r="H34" s="15"/>
      <c r="M34" s="21"/>
      <c r="N34" s="2"/>
      <c r="O34" s="2"/>
      <c r="P34" s="2"/>
      <c r="Q34" s="2"/>
      <c r="R34" s="2"/>
    </row>
    <row r="35" spans="1:18" ht="14.25" customHeight="1">
      <c r="A35" s="116"/>
      <c r="B35" s="122"/>
      <c r="C35" s="115"/>
      <c r="D35" s="115"/>
      <c r="E35" s="2"/>
      <c r="F35" s="2"/>
      <c r="G35" s="95"/>
      <c r="H35" s="15"/>
      <c r="M35" s="21"/>
      <c r="N35" s="2"/>
      <c r="O35" s="2"/>
      <c r="P35" s="2"/>
      <c r="Q35" s="2"/>
      <c r="R35" s="2"/>
    </row>
    <row r="36" spans="1:18" ht="14.25" customHeight="1">
      <c r="A36" s="116"/>
      <c r="C36" s="117"/>
      <c r="D36" s="117"/>
      <c r="E36" s="2"/>
      <c r="F36" s="2"/>
      <c r="M36" s="21"/>
      <c r="N36" s="2"/>
      <c r="R36" s="95"/>
    </row>
    <row r="37" spans="1:18" ht="14.25" customHeight="1">
      <c r="A37" s="116"/>
      <c r="B37" s="6"/>
      <c r="C37" s="125"/>
      <c r="D37" s="6"/>
      <c r="E37" s="2"/>
      <c r="F37" s="2"/>
      <c r="M37" s="21"/>
      <c r="R37" s="21"/>
    </row>
    <row r="38" spans="1:18" ht="14.25" customHeight="1">
      <c r="A38" s="116"/>
      <c r="B38" s="6"/>
      <c r="C38" s="6"/>
      <c r="D38" s="6"/>
      <c r="E38" s="2"/>
      <c r="F38" s="2"/>
      <c r="M38" s="21"/>
      <c r="P38" s="19"/>
      <c r="R38" s="21"/>
    </row>
    <row r="39" spans="1:18" ht="14.25" customHeight="1">
      <c r="A39" s="116"/>
      <c r="B39" s="6" t="s">
        <v>168</v>
      </c>
      <c r="C39" s="125">
        <f>IF(ABS(B34)&gt;90,ABS(SIN(B34*PI()/180))*(-1),ABS(SIN(B34*PI()/180)))</f>
        <v>0.61566147532565818</v>
      </c>
      <c r="D39" s="6"/>
      <c r="E39" s="2"/>
      <c r="F39" s="2"/>
      <c r="M39" s="21"/>
      <c r="P39" s="19"/>
      <c r="Q39" s="166"/>
      <c r="R39" s="21"/>
    </row>
    <row r="40" spans="1:18" ht="14.25" customHeight="1">
      <c r="A40" s="111" t="s">
        <v>193</v>
      </c>
      <c r="B40" s="111"/>
      <c r="C40" s="111"/>
      <c r="D40" s="111"/>
      <c r="E40" s="111"/>
      <c r="F40" s="111"/>
      <c r="G40" s="111"/>
      <c r="H40" s="111"/>
      <c r="I40" s="111"/>
      <c r="J40" s="111"/>
      <c r="K40" s="111"/>
      <c r="L40" s="112"/>
      <c r="M40" s="112"/>
      <c r="N40" s="112"/>
      <c r="O40" s="112"/>
      <c r="P40" s="112"/>
      <c r="Q40" s="112"/>
      <c r="R40" s="112"/>
    </row>
    <row r="41" spans="1:18" ht="14.25" customHeight="1">
      <c r="K41" s="21"/>
      <c r="L41" s="21"/>
      <c r="M41" s="108"/>
      <c r="N41" s="107"/>
      <c r="P41" s="21"/>
      <c r="Q41" s="21"/>
      <c r="R41" s="21"/>
    </row>
    <row r="42" spans="1:18" ht="14.25" customHeight="1"/>
    <row r="43" spans="1:18" ht="14.25" customHeight="1"/>
    <row r="44" spans="1:18" ht="14.25" customHeight="1"/>
    <row r="45" spans="1:18" ht="14.25" customHeight="1"/>
    <row r="46" spans="1:18" ht="14.25" customHeight="1"/>
    <row r="47" spans="1:18" ht="14.25" customHeight="1"/>
    <row r="48" spans="1:1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</sheetData>
  <mergeCells count="7">
    <mergeCell ref="J3:K3"/>
    <mergeCell ref="D12:E12"/>
    <mergeCell ref="H12:I12"/>
    <mergeCell ref="A1:E1"/>
    <mergeCell ref="A3:A4"/>
    <mergeCell ref="D3:E3"/>
    <mergeCell ref="H3:I3"/>
  </mergeCells>
  <pageMargins left="0.7" right="0.7" top="0.75" bottom="0.75" header="0" footer="0"/>
  <pageSetup paperSize="9" orientation="landscape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4BC5F-CDF0-4501-A948-41AA482D925D}">
  <sheetPr codeName="Blad9">
    <pageSetUpPr fitToPage="1"/>
  </sheetPr>
  <dimension ref="A1:BI102"/>
  <sheetViews>
    <sheetView workbookViewId="0">
      <pane ySplit="6" topLeftCell="A7" activePane="bottomLeft" state="frozen"/>
      <selection pane="bottomLeft" activeCell="D2" sqref="D2"/>
    </sheetView>
  </sheetViews>
  <sheetFormatPr defaultColWidth="14.44140625" defaultRowHeight="15" customHeight="1"/>
  <cols>
    <col min="1" max="58" width="9.109375" customWidth="1"/>
  </cols>
  <sheetData>
    <row r="1" spans="1:55" ht="14.25" customHeight="1">
      <c r="A1" s="1"/>
      <c r="B1" s="19" t="s">
        <v>194</v>
      </c>
      <c r="C1" s="108" t="s">
        <v>157</v>
      </c>
      <c r="D1" s="130">
        <f>IF(Landing!$C$9="",Landing!$C$15,MAX(0,Landing!$C$15+30*(1013-Landing!$C$9)))</f>
        <v>1172</v>
      </c>
      <c r="E1" s="55"/>
      <c r="F1" s="55" t="s">
        <v>195</v>
      </c>
      <c r="G1" s="1">
        <f>IF('Take-off'!$C$9="",'Take-off'!$C$16,MAX(0,'Take-off'!$C$16+30*(1013-'Take-off'!$C$9)))</f>
        <v>1177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W1" s="1"/>
      <c r="AX1" s="1"/>
      <c r="AY1" s="1"/>
      <c r="AZ1" s="1"/>
      <c r="BA1" s="1"/>
      <c r="BB1" s="1"/>
      <c r="BC1" s="1"/>
    </row>
    <row r="2" spans="1:55" ht="14.25" customHeight="1">
      <c r="A2" s="1"/>
      <c r="B2" s="19" t="s">
        <v>196</v>
      </c>
      <c r="C2" s="106" t="s">
        <v>158</v>
      </c>
      <c r="D2" s="130">
        <f>Landing!C8</f>
        <v>0</v>
      </c>
      <c r="E2" s="132"/>
      <c r="F2" s="1"/>
      <c r="G2" s="1">
        <f>MAX(  IF('Take-off'!C13='Dropdown lists'!B30, 'Take-off'!$C$8+5, 'Take-off'!$C$8),0)</f>
        <v>0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W2" s="1"/>
      <c r="AX2" s="1"/>
      <c r="AY2" s="1"/>
      <c r="AZ2" s="1"/>
      <c r="BA2" s="1"/>
      <c r="BB2" s="1"/>
      <c r="BC2" s="1"/>
    </row>
    <row r="3" spans="1:55" ht="14.2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W3" s="1"/>
      <c r="AX3" s="1"/>
      <c r="AY3" s="1"/>
      <c r="AZ3" s="1"/>
      <c r="BA3" s="1"/>
      <c r="BB3" s="1"/>
      <c r="BC3" s="1"/>
    </row>
    <row r="4" spans="1:55" ht="14.25" customHeight="1">
      <c r="H4" s="1"/>
      <c r="P4" s="1"/>
    </row>
    <row r="5" spans="1:55" ht="14.25" customHeight="1">
      <c r="H5" s="1"/>
      <c r="I5" s="384" t="s">
        <v>148</v>
      </c>
      <c r="J5" s="321"/>
      <c r="K5" s="321"/>
      <c r="L5" s="321"/>
      <c r="M5" s="321"/>
      <c r="N5" s="321"/>
      <c r="O5" s="321"/>
      <c r="P5" s="133"/>
    </row>
    <row r="6" spans="1:55" ht="14.25" customHeight="1">
      <c r="A6" s="21"/>
      <c r="B6" s="21"/>
      <c r="C6" s="6" t="s">
        <v>197</v>
      </c>
      <c r="D6" s="32"/>
      <c r="E6" s="21"/>
      <c r="F6" s="21"/>
      <c r="G6" s="21"/>
      <c r="H6" s="21"/>
      <c r="I6" s="21"/>
      <c r="J6" s="21"/>
      <c r="K6" s="6"/>
      <c r="L6" s="32"/>
      <c r="M6" s="21"/>
      <c r="N6" s="21"/>
      <c r="O6" s="21"/>
      <c r="P6" s="21"/>
    </row>
    <row r="7" spans="1:55" ht="14.25" customHeight="1">
      <c r="B7" s="108"/>
      <c r="C7" s="107"/>
      <c r="G7" s="21"/>
      <c r="H7" s="21"/>
      <c r="I7" s="21"/>
      <c r="J7" s="108"/>
      <c r="K7" s="107"/>
      <c r="O7" s="21"/>
      <c r="P7" s="21"/>
      <c r="Q7" s="21"/>
      <c r="R7" s="108"/>
      <c r="S7" s="107"/>
      <c r="W7" s="21"/>
      <c r="X7" s="21"/>
      <c r="Y7" s="21"/>
      <c r="Z7" s="108"/>
      <c r="AA7" s="107"/>
      <c r="AE7" s="21"/>
      <c r="AF7" s="21"/>
      <c r="AG7" s="21"/>
      <c r="AH7" s="108"/>
      <c r="AI7" s="107"/>
      <c r="AM7" s="21"/>
      <c r="AN7" s="21"/>
      <c r="AO7" s="21"/>
      <c r="AP7" s="108"/>
      <c r="AQ7" s="107"/>
      <c r="AU7" s="21"/>
      <c r="AV7" s="21"/>
      <c r="AW7" s="21"/>
      <c r="AX7" s="108"/>
      <c r="AY7" s="107"/>
    </row>
    <row r="8" spans="1:55" ht="14.25" customHeight="1">
      <c r="A8" s="385" t="s">
        <v>198</v>
      </c>
      <c r="B8" s="385"/>
      <c r="C8" s="385"/>
      <c r="D8" s="385"/>
      <c r="E8" s="385"/>
      <c r="F8" s="385"/>
      <c r="G8" s="21"/>
      <c r="H8" s="21"/>
      <c r="I8" s="21"/>
      <c r="J8" s="108"/>
      <c r="K8" s="107"/>
      <c r="O8" s="21"/>
      <c r="P8" s="21"/>
      <c r="Q8" s="21"/>
      <c r="R8" s="108"/>
      <c r="S8" s="107"/>
      <c r="W8" s="21"/>
      <c r="X8" s="21"/>
      <c r="Y8" s="21"/>
      <c r="Z8" s="108"/>
      <c r="AA8" s="107"/>
      <c r="AE8" s="21"/>
      <c r="AF8" s="21"/>
      <c r="AG8" s="21"/>
      <c r="AH8" s="108"/>
      <c r="AI8" s="107"/>
      <c r="AM8" s="21"/>
      <c r="AN8" s="21"/>
      <c r="AO8" s="21"/>
      <c r="AP8" s="108"/>
      <c r="AQ8" s="107"/>
      <c r="AU8" s="21"/>
      <c r="AV8" s="21"/>
      <c r="AW8" s="21"/>
      <c r="AX8" s="108"/>
      <c r="AY8" s="107"/>
    </row>
    <row r="9" spans="1:55" ht="14.25" customHeight="1">
      <c r="B9" s="108"/>
      <c r="C9" s="107"/>
      <c r="G9" s="115"/>
      <c r="H9" s="115"/>
      <c r="I9" s="115"/>
      <c r="J9" s="182"/>
      <c r="K9" s="183"/>
      <c r="L9" s="181"/>
      <c r="M9" s="181"/>
      <c r="O9" s="21"/>
      <c r="P9" s="21"/>
      <c r="Q9" s="21"/>
      <c r="R9" s="108"/>
      <c r="S9" s="107"/>
      <c r="W9" s="21"/>
      <c r="X9" s="21"/>
      <c r="Y9" s="21"/>
      <c r="Z9" s="108"/>
      <c r="AA9" s="107"/>
      <c r="AE9" s="21"/>
      <c r="AF9" s="21"/>
      <c r="AG9" s="21"/>
      <c r="AH9" s="108"/>
      <c r="AI9" s="107"/>
      <c r="AM9" s="21"/>
      <c r="AN9" s="21"/>
      <c r="AO9" s="21"/>
      <c r="AP9" s="108"/>
      <c r="AQ9" s="107"/>
      <c r="AU9" s="21"/>
      <c r="AV9" s="21"/>
      <c r="AW9" s="21"/>
      <c r="AX9" s="108"/>
      <c r="AY9" s="107"/>
    </row>
    <row r="10" spans="1:55" ht="14.25" customHeight="1">
      <c r="A10" s="181"/>
      <c r="B10" s="383" t="s">
        <v>199</v>
      </c>
      <c r="C10" s="383"/>
      <c r="D10" s="383"/>
      <c r="E10" s="383"/>
      <c r="F10" s="383"/>
      <c r="G10" s="188"/>
      <c r="H10" s="188"/>
      <c r="I10" s="188"/>
      <c r="J10" s="188"/>
      <c r="K10" s="188"/>
      <c r="L10" s="188"/>
      <c r="M10" s="188"/>
      <c r="N10" s="181"/>
      <c r="O10" s="115"/>
      <c r="P10" s="115"/>
      <c r="Q10" s="115"/>
      <c r="R10" s="182"/>
      <c r="S10" s="183"/>
      <c r="T10" s="181"/>
      <c r="U10" s="181"/>
      <c r="W10" s="21"/>
      <c r="X10" s="21"/>
      <c r="Y10" s="21"/>
      <c r="Z10" s="108"/>
      <c r="AA10" s="107"/>
      <c r="AE10" s="21"/>
      <c r="AF10" s="21"/>
      <c r="AG10" s="21"/>
      <c r="AH10" s="108"/>
      <c r="AI10" s="107"/>
      <c r="AM10" s="21"/>
      <c r="AN10" s="21"/>
      <c r="AO10" s="21"/>
      <c r="AP10" s="108"/>
      <c r="AQ10" s="107"/>
      <c r="AU10" s="21"/>
      <c r="AV10" s="21"/>
      <c r="AW10" s="21"/>
      <c r="AX10" s="108"/>
      <c r="AY10" s="107"/>
    </row>
    <row r="11" spans="1:55" ht="14.25" customHeight="1">
      <c r="A11" s="181"/>
      <c r="B11" s="191">
        <v>0</v>
      </c>
      <c r="C11" s="192">
        <v>1000</v>
      </c>
      <c r="D11" s="193">
        <v>2000</v>
      </c>
      <c r="E11" s="193">
        <v>3000</v>
      </c>
      <c r="F11" s="194">
        <v>3500</v>
      </c>
      <c r="G11" s="182"/>
      <c r="H11" s="183"/>
      <c r="I11" s="181"/>
      <c r="J11" s="182"/>
      <c r="K11" s="183"/>
      <c r="L11" s="181"/>
      <c r="M11" s="181"/>
      <c r="N11" s="181"/>
      <c r="O11" s="115"/>
      <c r="P11" s="115"/>
      <c r="Q11" s="115"/>
      <c r="R11" s="181"/>
      <c r="S11" s="181"/>
      <c r="T11" s="21"/>
      <c r="U11" s="21"/>
      <c r="V11" s="21"/>
      <c r="W11" s="108"/>
      <c r="X11" s="107"/>
      <c r="AB11" s="21"/>
      <c r="AC11" s="21"/>
      <c r="AD11" s="21"/>
      <c r="AE11" s="108"/>
      <c r="AF11" s="107"/>
      <c r="AJ11" s="21"/>
      <c r="AK11" s="21"/>
      <c r="AL11" s="21"/>
      <c r="AM11" s="108"/>
      <c r="AN11" s="107"/>
      <c r="AR11" s="21"/>
      <c r="AS11" s="21"/>
      <c r="AT11" s="21"/>
      <c r="AU11" s="108"/>
      <c r="AV11" s="107"/>
    </row>
    <row r="12" spans="1:55" ht="14.25" customHeight="1">
      <c r="A12" s="181">
        <v>-30</v>
      </c>
      <c r="B12" s="269">
        <v>1000</v>
      </c>
      <c r="C12" s="270">
        <v>1025</v>
      </c>
      <c r="D12" s="270">
        <v>1050</v>
      </c>
      <c r="E12" s="270">
        <v>1100</v>
      </c>
      <c r="F12" s="194">
        <v>99999</v>
      </c>
      <c r="G12" s="182"/>
      <c r="H12" s="107"/>
      <c r="I12" s="181"/>
      <c r="J12" s="182"/>
      <c r="K12" s="183"/>
      <c r="L12" s="181"/>
      <c r="M12" s="181"/>
      <c r="N12" s="181"/>
      <c r="O12" s="115"/>
      <c r="P12" s="115"/>
      <c r="Q12" s="115"/>
      <c r="R12" s="181"/>
      <c r="T12" s="21"/>
      <c r="U12" s="21"/>
      <c r="V12" s="21"/>
      <c r="W12" s="108"/>
      <c r="X12" s="107"/>
      <c r="AB12" s="21"/>
      <c r="AC12" s="21"/>
      <c r="AD12" s="21"/>
      <c r="AE12" s="108"/>
      <c r="AF12" s="107"/>
      <c r="AJ12" s="21"/>
      <c r="AK12" s="21"/>
      <c r="AL12" s="21"/>
      <c r="AM12" s="108"/>
      <c r="AN12" s="107"/>
      <c r="AR12" s="21"/>
      <c r="AS12" s="21"/>
      <c r="AT12" s="21"/>
      <c r="AU12" s="108"/>
      <c r="AV12" s="107"/>
    </row>
    <row r="13" spans="1:55" ht="14.25" customHeight="1">
      <c r="A13" s="181">
        <v>-20</v>
      </c>
      <c r="B13" s="271">
        <v>1000</v>
      </c>
      <c r="C13" s="272">
        <v>1025</v>
      </c>
      <c r="D13" s="273">
        <v>1050</v>
      </c>
      <c r="E13" s="273">
        <v>1100</v>
      </c>
      <c r="F13" s="194">
        <v>99999</v>
      </c>
      <c r="G13" s="182"/>
      <c r="H13" s="107"/>
      <c r="I13" s="181"/>
      <c r="J13" s="182"/>
      <c r="K13" s="183"/>
      <c r="L13" s="181"/>
      <c r="M13" s="181"/>
      <c r="N13" s="181"/>
      <c r="O13" s="115"/>
      <c r="P13" s="115"/>
      <c r="Q13" s="115"/>
      <c r="R13" s="181"/>
      <c r="T13" s="21"/>
      <c r="U13" s="21"/>
      <c r="V13" s="21"/>
      <c r="W13" s="108"/>
      <c r="X13" s="107"/>
      <c r="AB13" s="21"/>
      <c r="AC13" s="21"/>
      <c r="AD13" s="21"/>
      <c r="AE13" s="108"/>
      <c r="AF13" s="107"/>
      <c r="AJ13" s="21"/>
      <c r="AK13" s="21"/>
      <c r="AL13" s="21"/>
      <c r="AM13" s="108"/>
      <c r="AN13" s="107"/>
      <c r="AR13" s="21"/>
      <c r="AS13" s="21"/>
      <c r="AT13" s="21"/>
      <c r="AU13" s="108"/>
      <c r="AV13" s="107"/>
    </row>
    <row r="14" spans="1:55" ht="14.25" customHeight="1">
      <c r="A14" s="181">
        <v>-10</v>
      </c>
      <c r="B14" s="271">
        <v>1025</v>
      </c>
      <c r="C14" s="272">
        <v>1050</v>
      </c>
      <c r="D14" s="273">
        <v>1100</v>
      </c>
      <c r="E14" s="273">
        <v>1125</v>
      </c>
      <c r="F14" s="197">
        <v>99999</v>
      </c>
      <c r="G14" s="182"/>
      <c r="H14" s="107"/>
      <c r="J14" s="108"/>
      <c r="K14" s="107"/>
      <c r="O14" s="21"/>
      <c r="P14" s="21"/>
      <c r="Q14" s="21"/>
      <c r="T14" s="21"/>
      <c r="U14" s="21"/>
      <c r="V14" s="21"/>
      <c r="W14" s="108"/>
      <c r="X14" s="107"/>
      <c r="AB14" s="21"/>
      <c r="AC14" s="21"/>
      <c r="AD14" s="21"/>
      <c r="AE14" s="108"/>
      <c r="AF14" s="107"/>
      <c r="AJ14" s="21"/>
      <c r="AK14" s="21"/>
      <c r="AL14" s="21"/>
      <c r="AM14" s="108"/>
      <c r="AN14" s="107"/>
      <c r="AR14" s="21"/>
      <c r="AS14" s="21"/>
      <c r="AT14" s="21"/>
      <c r="AU14" s="108"/>
      <c r="AV14" s="107"/>
    </row>
    <row r="15" spans="1:55" ht="14.25" customHeight="1">
      <c r="A15" s="181">
        <v>0</v>
      </c>
      <c r="B15" s="271">
        <v>1050</v>
      </c>
      <c r="C15" s="272">
        <v>1100</v>
      </c>
      <c r="D15" s="273">
        <v>1135</v>
      </c>
      <c r="E15" s="273">
        <v>1175</v>
      </c>
      <c r="F15" s="197">
        <v>99999</v>
      </c>
      <c r="G15" s="182"/>
      <c r="H15" s="107"/>
      <c r="J15" s="108"/>
      <c r="K15" s="107"/>
      <c r="O15" s="21"/>
      <c r="P15" s="21"/>
      <c r="Q15" s="21"/>
      <c r="T15" s="21"/>
      <c r="U15" s="21"/>
      <c r="V15" s="21"/>
      <c r="W15" s="108"/>
      <c r="X15" s="107"/>
      <c r="AB15" s="21"/>
      <c r="AC15" s="21"/>
      <c r="AD15" s="21"/>
      <c r="AE15" s="108"/>
      <c r="AF15" s="107"/>
      <c r="AJ15" s="21"/>
      <c r="AK15" s="21"/>
      <c r="AL15" s="21"/>
      <c r="AM15" s="108"/>
      <c r="AN15" s="107"/>
      <c r="AR15" s="21"/>
      <c r="AS15" s="21"/>
      <c r="AT15" s="21"/>
      <c r="AU15" s="108"/>
      <c r="AV15" s="107"/>
    </row>
    <row r="16" spans="1:55" ht="14.25" customHeight="1">
      <c r="A16" s="181">
        <v>10</v>
      </c>
      <c r="B16" s="271">
        <v>1100</v>
      </c>
      <c r="C16" s="272">
        <v>1140</v>
      </c>
      <c r="D16" s="273">
        <v>1180</v>
      </c>
      <c r="E16" s="273">
        <v>1225</v>
      </c>
      <c r="F16" s="197">
        <v>99999</v>
      </c>
      <c r="G16" s="182"/>
      <c r="H16" s="107"/>
      <c r="J16" s="108"/>
      <c r="K16" s="107"/>
      <c r="T16" s="21"/>
      <c r="U16" s="21"/>
      <c r="V16" s="21"/>
      <c r="W16" s="108"/>
      <c r="X16" s="107"/>
      <c r="AB16" s="21"/>
      <c r="AC16" s="21"/>
      <c r="AD16" s="21"/>
      <c r="AE16" s="108"/>
      <c r="AF16" s="107"/>
      <c r="AJ16" s="21"/>
      <c r="AK16" s="21"/>
      <c r="AL16" s="21"/>
      <c r="AM16" s="108"/>
      <c r="AN16" s="107"/>
      <c r="AR16" s="21"/>
      <c r="AS16" s="21"/>
      <c r="AT16" s="21"/>
      <c r="AU16" s="108"/>
      <c r="AV16" s="107"/>
    </row>
    <row r="17" spans="1:53" ht="14.25" customHeight="1">
      <c r="A17" s="181">
        <v>20</v>
      </c>
      <c r="B17" s="274">
        <v>1150</v>
      </c>
      <c r="C17" s="275">
        <v>1175</v>
      </c>
      <c r="D17" s="276">
        <v>1230</v>
      </c>
      <c r="E17" s="276">
        <v>1260</v>
      </c>
      <c r="F17" s="197">
        <v>99999</v>
      </c>
      <c r="G17" s="182"/>
      <c r="H17" s="107"/>
      <c r="J17" s="108"/>
      <c r="K17" s="107"/>
      <c r="T17" s="21"/>
      <c r="U17" s="21"/>
      <c r="V17" s="21"/>
      <c r="W17" s="108"/>
      <c r="X17" s="107"/>
      <c r="AB17" s="21"/>
      <c r="AC17" s="21"/>
      <c r="AD17" s="21"/>
      <c r="AE17" s="108"/>
      <c r="AF17" s="107"/>
      <c r="AJ17" s="21"/>
      <c r="AK17" s="21"/>
      <c r="AL17" s="21"/>
      <c r="AM17" s="108"/>
      <c r="AN17" s="107"/>
      <c r="AR17" s="21"/>
      <c r="AS17" s="21"/>
      <c r="AT17" s="21"/>
      <c r="AU17" s="108"/>
      <c r="AV17" s="107"/>
    </row>
    <row r="18" spans="1:53" ht="14.25" customHeight="1">
      <c r="A18" s="181">
        <v>30</v>
      </c>
      <c r="B18" s="274">
        <v>1175</v>
      </c>
      <c r="C18" s="275">
        <v>1220</v>
      </c>
      <c r="D18" s="276">
        <v>1260</v>
      </c>
      <c r="E18" s="276">
        <v>1310</v>
      </c>
      <c r="F18" s="197">
        <v>99999</v>
      </c>
      <c r="G18" s="182"/>
      <c r="H18" s="107"/>
      <c r="J18" s="108"/>
      <c r="K18" s="107"/>
      <c r="T18" s="21"/>
      <c r="U18" s="21"/>
      <c r="V18" s="21"/>
      <c r="W18" s="108"/>
      <c r="X18" s="107"/>
      <c r="AB18" s="21"/>
      <c r="AC18" s="21"/>
      <c r="AD18" s="21"/>
      <c r="AE18" s="108"/>
      <c r="AF18" s="107"/>
      <c r="AJ18" s="21"/>
      <c r="AK18" s="21"/>
      <c r="AL18" s="21"/>
      <c r="AM18" s="108"/>
      <c r="AN18" s="107"/>
      <c r="AR18" s="21"/>
      <c r="AS18" s="21"/>
      <c r="AT18" s="21"/>
      <c r="AU18" s="108"/>
      <c r="AV18" s="107"/>
    </row>
    <row r="19" spans="1:53" ht="14.25" customHeight="1">
      <c r="A19" s="181">
        <v>35</v>
      </c>
      <c r="B19" s="198">
        <v>99999</v>
      </c>
      <c r="C19" s="199">
        <v>99999</v>
      </c>
      <c r="D19" s="199">
        <v>99999</v>
      </c>
      <c r="E19" s="199">
        <v>99999</v>
      </c>
      <c r="F19" s="197">
        <v>99999</v>
      </c>
      <c r="G19" s="182"/>
      <c r="H19" s="107"/>
      <c r="J19" s="108"/>
      <c r="K19" s="107"/>
      <c r="O19" s="21"/>
      <c r="P19" s="21"/>
      <c r="Q19" s="21"/>
      <c r="T19" s="21"/>
      <c r="U19" s="21"/>
      <c r="V19" s="21"/>
      <c r="W19" s="108"/>
      <c r="X19" s="107"/>
      <c r="AB19" s="21"/>
      <c r="AC19" s="21"/>
      <c r="AD19" s="21"/>
      <c r="AE19" s="108"/>
      <c r="AF19" s="107"/>
      <c r="AJ19" s="21"/>
      <c r="AK19" s="21"/>
      <c r="AL19" s="21"/>
      <c r="AM19" s="108"/>
      <c r="AN19" s="107"/>
      <c r="AR19" s="21"/>
      <c r="AS19" s="21"/>
      <c r="AT19" s="21"/>
      <c r="AU19" s="108"/>
      <c r="AV19" s="107"/>
    </row>
    <row r="20" spans="1:53" ht="14.25" customHeight="1">
      <c r="B20" s="182"/>
      <c r="C20" s="183"/>
      <c r="D20" s="181"/>
      <c r="E20" s="181"/>
      <c r="F20" s="181"/>
      <c r="G20" s="115"/>
      <c r="H20" s="115"/>
      <c r="I20" s="115"/>
      <c r="J20" s="108"/>
      <c r="K20" s="107"/>
      <c r="O20" s="21"/>
      <c r="P20" s="21"/>
      <c r="Q20" s="21"/>
      <c r="R20" s="108"/>
      <c r="S20" s="107"/>
      <c r="W20" s="21"/>
      <c r="X20" s="21"/>
      <c r="Y20" s="21"/>
      <c r="Z20" s="108"/>
      <c r="AA20" s="107"/>
      <c r="AE20" s="21"/>
      <c r="AF20" s="21"/>
      <c r="AG20" s="21"/>
      <c r="AH20" s="108"/>
      <c r="AI20" s="107"/>
      <c r="AM20" s="21"/>
      <c r="AN20" s="21"/>
      <c r="AO20" s="21"/>
      <c r="AP20" s="108"/>
      <c r="AQ20" s="107"/>
      <c r="AU20" s="21"/>
      <c r="AV20" s="21"/>
      <c r="AW20" s="21"/>
      <c r="AX20" s="108"/>
      <c r="AY20" s="107"/>
    </row>
    <row r="21" spans="1:53" ht="14.25" customHeight="1">
      <c r="B21" s="108" t="s">
        <v>157</v>
      </c>
      <c r="C21" s="107">
        <f>D1</f>
        <v>1172</v>
      </c>
      <c r="D21" s="374" t="s">
        <v>200</v>
      </c>
      <c r="E21" s="321"/>
      <c r="G21" s="21"/>
      <c r="H21" s="21"/>
      <c r="I21" s="21"/>
      <c r="J21" s="108" t="s">
        <v>157</v>
      </c>
      <c r="K21" s="107">
        <f>G1</f>
        <v>1177</v>
      </c>
      <c r="L21" s="374" t="s">
        <v>200</v>
      </c>
      <c r="M21" s="321"/>
      <c r="O21" s="21"/>
      <c r="P21" s="21"/>
      <c r="Q21" s="21"/>
      <c r="R21" s="108"/>
      <c r="S21" s="107"/>
      <c r="T21" s="374"/>
      <c r="U21" s="321"/>
      <c r="W21" s="21"/>
      <c r="X21" s="21"/>
      <c r="Y21" s="21"/>
      <c r="Z21" s="108"/>
      <c r="AA21" s="107"/>
      <c r="AB21" s="374"/>
      <c r="AC21" s="321"/>
      <c r="AE21" s="21"/>
      <c r="AF21" s="21"/>
      <c r="AG21" s="21"/>
      <c r="AH21" s="108"/>
      <c r="AI21" s="107"/>
      <c r="AJ21" s="374"/>
      <c r="AK21" s="321"/>
      <c r="AM21" s="21"/>
      <c r="AN21" s="21"/>
      <c r="AO21" s="21"/>
      <c r="AP21" s="108"/>
      <c r="AQ21" s="107"/>
      <c r="AR21" s="374"/>
      <c r="AS21" s="321"/>
      <c r="AU21" s="21"/>
      <c r="AV21" s="21"/>
      <c r="AW21" s="21"/>
      <c r="AX21" s="108"/>
      <c r="AY21" s="107"/>
      <c r="AZ21" s="374"/>
      <c r="BA21" s="321"/>
    </row>
    <row r="22" spans="1:53" ht="14.25" customHeight="1">
      <c r="B22" s="89" t="s">
        <v>201</v>
      </c>
      <c r="C22" s="109">
        <f>INDEX($B11:$F11,MATCH(C21,$B11:$F11,1))</f>
        <v>1000</v>
      </c>
      <c r="D22" s="89" t="s">
        <v>155</v>
      </c>
      <c r="E22" s="104">
        <f>MATCH(MAX($A12:$A19),$A12:$A19,1)</f>
        <v>8</v>
      </c>
      <c r="G22" s="21"/>
      <c r="H22" s="21"/>
      <c r="I22" s="21"/>
      <c r="J22" s="89" t="s">
        <v>201</v>
      </c>
      <c r="K22" s="109">
        <f>INDEX($B11:$F11,MATCH(K21,$B11:$F11,1))</f>
        <v>1000</v>
      </c>
      <c r="L22" s="89" t="s">
        <v>155</v>
      </c>
      <c r="M22" s="104">
        <f>MATCH(MAX($A12:$A19),$A12:$A19,1)</f>
        <v>8</v>
      </c>
      <c r="O22" s="21"/>
      <c r="P22" s="21"/>
      <c r="Q22" s="21"/>
      <c r="R22" s="89"/>
      <c r="S22" s="109"/>
      <c r="T22" s="89"/>
      <c r="U22" s="104"/>
      <c r="W22" s="21"/>
      <c r="X22" s="21"/>
      <c r="Y22" s="21"/>
      <c r="Z22" s="89"/>
      <c r="AA22" s="109"/>
      <c r="AB22" s="89"/>
      <c r="AC22" s="104"/>
      <c r="AE22" s="21"/>
      <c r="AF22" s="21"/>
      <c r="AG22" s="21"/>
      <c r="AH22" s="89"/>
      <c r="AI22" s="109"/>
      <c r="AJ22" s="89"/>
      <c r="AK22" s="104"/>
      <c r="AM22" s="21"/>
      <c r="AN22" s="21"/>
      <c r="AO22" s="21"/>
      <c r="AP22" s="89"/>
      <c r="AQ22" s="109"/>
      <c r="AR22" s="89"/>
      <c r="AS22" s="104"/>
      <c r="AU22" s="21"/>
      <c r="AV22" s="21"/>
      <c r="AW22" s="21"/>
      <c r="AX22" s="89"/>
      <c r="AY22" s="109"/>
      <c r="AZ22" s="89"/>
      <c r="BA22" s="104"/>
    </row>
    <row r="23" spans="1:53" ht="14.25" customHeight="1">
      <c r="B23" s="89" t="s">
        <v>202</v>
      </c>
      <c r="C23" s="109" cm="1">
        <f t="array" ref="C23">INDEX($B11:$F11,IF(MATCH(C21,$B11:$F11,1)&lt;E23,MATCH(C21,$B11:$F11,1)+1,MATCH(C21,$B11:$F11,1)))</f>
        <v>2000</v>
      </c>
      <c r="D23" s="89" t="s">
        <v>156</v>
      </c>
      <c r="E23" s="104">
        <f>MATCH(MAX($B11:$F11),$B11:$F11,0)</f>
        <v>5</v>
      </c>
      <c r="G23" s="21"/>
      <c r="H23" s="21"/>
      <c r="I23" s="21"/>
      <c r="J23" s="89" t="s">
        <v>202</v>
      </c>
      <c r="K23" s="109" cm="1">
        <f t="array" ref="K23">INDEX($B11:$F11,IF(MATCH(K21,$B11:$F11,1)&lt;M23,MATCH(K21,$B11:$F11,1)+1,MATCH(K21,$B11:$F11,1)))</f>
        <v>2000</v>
      </c>
      <c r="L23" s="89" t="s">
        <v>156</v>
      </c>
      <c r="M23" s="104">
        <f>MATCH(MAX($B11:$F11),$B11:$F11,0)</f>
        <v>5</v>
      </c>
      <c r="O23" s="21"/>
      <c r="P23" s="21"/>
      <c r="Q23" s="21"/>
      <c r="R23" s="89"/>
      <c r="S23" s="109"/>
      <c r="T23" s="89"/>
      <c r="U23" s="104"/>
      <c r="W23" s="21"/>
      <c r="X23" s="21"/>
      <c r="Y23" s="21"/>
      <c r="Z23" s="89"/>
      <c r="AA23" s="109"/>
      <c r="AB23" s="89"/>
      <c r="AC23" s="104"/>
      <c r="AE23" s="21"/>
      <c r="AF23" s="21"/>
      <c r="AG23" s="21"/>
      <c r="AH23" s="89"/>
      <c r="AI23" s="109"/>
      <c r="AJ23" s="89"/>
      <c r="AK23" s="104"/>
      <c r="AM23" s="21"/>
      <c r="AN23" s="21"/>
      <c r="AO23" s="21"/>
      <c r="AP23" s="89"/>
      <c r="AQ23" s="109"/>
      <c r="AR23" s="89"/>
      <c r="AS23" s="104"/>
      <c r="AU23" s="21"/>
      <c r="AV23" s="21"/>
      <c r="AW23" s="21"/>
      <c r="AX23" s="89"/>
      <c r="AY23" s="109"/>
      <c r="AZ23" s="89"/>
      <c r="BA23" s="104"/>
    </row>
    <row r="24" spans="1:53" ht="14.25" customHeight="1">
      <c r="B24" s="106" t="s">
        <v>158</v>
      </c>
      <c r="C24" s="110">
        <f>D2</f>
        <v>0</v>
      </c>
      <c r="D24" s="21"/>
      <c r="E24" s="21"/>
      <c r="G24" s="21"/>
      <c r="H24" s="21"/>
      <c r="I24" s="21"/>
      <c r="J24" s="106" t="s">
        <v>158</v>
      </c>
      <c r="K24" s="110">
        <f>G2</f>
        <v>0</v>
      </c>
      <c r="L24" s="21"/>
      <c r="M24" s="21"/>
      <c r="O24" s="21"/>
      <c r="P24" s="21"/>
      <c r="Q24" s="21"/>
      <c r="R24" s="106"/>
      <c r="S24" s="110"/>
      <c r="T24" s="21"/>
      <c r="U24" s="21"/>
      <c r="W24" s="21"/>
      <c r="X24" s="21"/>
      <c r="Y24" s="21"/>
      <c r="Z24" s="106"/>
      <c r="AA24" s="110"/>
      <c r="AB24" s="21"/>
      <c r="AC24" s="21"/>
      <c r="AE24" s="21"/>
      <c r="AF24" s="21"/>
      <c r="AG24" s="21"/>
      <c r="AH24" s="106"/>
      <c r="AI24" s="110"/>
      <c r="AJ24" s="21"/>
      <c r="AK24" s="21"/>
      <c r="AM24" s="21"/>
      <c r="AN24" s="21"/>
      <c r="AO24" s="21"/>
      <c r="AP24" s="106"/>
      <c r="AQ24" s="110"/>
      <c r="AR24" s="21"/>
      <c r="AS24" s="21"/>
      <c r="AU24" s="21"/>
      <c r="AV24" s="21"/>
      <c r="AW24" s="21"/>
      <c r="AX24" s="106"/>
      <c r="AY24" s="110"/>
      <c r="AZ24" s="21"/>
      <c r="BA24" s="21"/>
    </row>
    <row r="25" spans="1:53" ht="14.25" customHeight="1">
      <c r="B25" s="89" t="s">
        <v>159</v>
      </c>
      <c r="C25" s="109">
        <f>INDEX($A12:$A19,MATCH(C24,$A12:$A19,1))</f>
        <v>0</v>
      </c>
      <c r="D25" s="21"/>
      <c r="E25" s="38"/>
      <c r="G25" s="21"/>
      <c r="H25" s="21"/>
      <c r="I25" s="21"/>
      <c r="J25" s="89" t="s">
        <v>159</v>
      </c>
      <c r="K25" s="109">
        <f>INDEX($A12:$A19,MATCH(K24,$A12:$A19,1))</f>
        <v>0</v>
      </c>
      <c r="L25" s="21"/>
      <c r="M25" s="38"/>
      <c r="O25" s="21"/>
      <c r="P25" s="21"/>
      <c r="Q25" s="21"/>
      <c r="R25" s="89"/>
      <c r="S25" s="109"/>
      <c r="T25" s="21"/>
      <c r="U25" s="38"/>
      <c r="W25" s="21"/>
      <c r="X25" s="21"/>
      <c r="Y25" s="21"/>
      <c r="Z25" s="89"/>
      <c r="AA25" s="109"/>
      <c r="AB25" s="21"/>
      <c r="AC25" s="38"/>
      <c r="AE25" s="21"/>
      <c r="AF25" s="21"/>
      <c r="AG25" s="21"/>
      <c r="AH25" s="89"/>
      <c r="AI25" s="109"/>
      <c r="AJ25" s="21"/>
      <c r="AK25" s="38"/>
      <c r="AM25" s="21"/>
      <c r="AN25" s="21"/>
      <c r="AO25" s="21"/>
      <c r="AP25" s="89"/>
      <c r="AQ25" s="109"/>
      <c r="AR25" s="21"/>
      <c r="AS25" s="38"/>
      <c r="AU25" s="21"/>
      <c r="AV25" s="21"/>
      <c r="AW25" s="21"/>
      <c r="AX25" s="89"/>
      <c r="AY25" s="109"/>
      <c r="AZ25" s="21"/>
      <c r="BA25" s="38"/>
    </row>
    <row r="26" spans="1:53" ht="14.25" customHeight="1">
      <c r="B26" s="89" t="s">
        <v>160</v>
      </c>
      <c r="C26" s="109" cm="1">
        <f t="array" ref="C26">INDEX($A12:$A19,IF(MATCH(C24,$A12:$A19,1)&lt;E22,MATCH(C24,$A12:$A19,1)+1,MATCH(C24,$A12:$A19,1)))</f>
        <v>10</v>
      </c>
      <c r="D26" s="21"/>
      <c r="E26" s="38"/>
      <c r="G26" s="21"/>
      <c r="H26" s="21"/>
      <c r="I26" s="21"/>
      <c r="J26" s="89" t="s">
        <v>160</v>
      </c>
      <c r="K26" s="109" cm="1">
        <f t="array" ref="K26">INDEX($A12:$A19,IF(MATCH(K24,$A12:$A19,1)&lt;M22,MATCH(K24,$A12:$A19,1)+1,MATCH(K24,$A12:$A19,1)))</f>
        <v>10</v>
      </c>
      <c r="L26" s="21"/>
      <c r="M26" s="38"/>
      <c r="O26" s="21"/>
      <c r="P26" s="21"/>
      <c r="Q26" s="21"/>
      <c r="R26" s="89"/>
      <c r="S26" s="109"/>
      <c r="T26" s="21"/>
      <c r="U26" s="38"/>
      <c r="W26" s="21"/>
      <c r="X26" s="21"/>
      <c r="Y26" s="21"/>
      <c r="Z26" s="89"/>
      <c r="AA26" s="109"/>
      <c r="AB26" s="21"/>
      <c r="AC26" s="38"/>
      <c r="AE26" s="21"/>
      <c r="AF26" s="21"/>
      <c r="AG26" s="21"/>
      <c r="AH26" s="89"/>
      <c r="AI26" s="109"/>
      <c r="AJ26" s="21"/>
      <c r="AK26" s="38"/>
      <c r="AM26" s="21"/>
      <c r="AN26" s="21"/>
      <c r="AO26" s="21"/>
      <c r="AP26" s="89"/>
      <c r="AQ26" s="109"/>
      <c r="AR26" s="21"/>
      <c r="AS26" s="38"/>
      <c r="AU26" s="21"/>
      <c r="AV26" s="21"/>
      <c r="AW26" s="21"/>
      <c r="AX26" s="89"/>
      <c r="AY26" s="109"/>
      <c r="AZ26" s="21"/>
      <c r="BA26" s="38"/>
    </row>
    <row r="27" spans="1:53" ht="14.25" customHeight="1">
      <c r="B27" s="108" t="s">
        <v>161</v>
      </c>
      <c r="C27" s="107">
        <f>INDEX($B12:$F19,MATCH(C24,$A12:$A19,1),MATCH(C21,$B11:$F11,1))</f>
        <v>1100</v>
      </c>
      <c r="D27" s="21"/>
      <c r="E27" s="38"/>
      <c r="G27" s="21"/>
      <c r="H27" s="21"/>
      <c r="I27" s="21"/>
      <c r="J27" s="108" t="s">
        <v>161</v>
      </c>
      <c r="K27" s="107">
        <f>INDEX($B12:$F19,MATCH(K24,$A12:$A19,1),MATCH(K21,$B11:$F11,1))</f>
        <v>1100</v>
      </c>
      <c r="L27" s="21"/>
      <c r="M27" s="38"/>
      <c r="O27" s="21"/>
      <c r="P27" s="21"/>
      <c r="Q27" s="21"/>
      <c r="R27" s="108"/>
      <c r="S27" s="107"/>
      <c r="T27" s="21"/>
      <c r="U27" s="38"/>
      <c r="W27" s="21"/>
      <c r="X27" s="21"/>
      <c r="Y27" s="21"/>
      <c r="Z27" s="108"/>
      <c r="AA27" s="107"/>
      <c r="AB27" s="21"/>
      <c r="AC27" s="38"/>
      <c r="AE27" s="21"/>
      <c r="AF27" s="21"/>
      <c r="AG27" s="21"/>
      <c r="AH27" s="108"/>
      <c r="AI27" s="107"/>
      <c r="AJ27" s="21"/>
      <c r="AK27" s="38"/>
      <c r="AM27" s="21"/>
      <c r="AN27" s="21"/>
      <c r="AO27" s="21"/>
      <c r="AP27" s="108"/>
      <c r="AQ27" s="107"/>
      <c r="AR27" s="21"/>
      <c r="AS27" s="38"/>
      <c r="AU27" s="21"/>
      <c r="AV27" s="21"/>
      <c r="AW27" s="21"/>
      <c r="AX27" s="108"/>
      <c r="AY27" s="107"/>
      <c r="AZ27" s="21"/>
      <c r="BA27" s="38"/>
    </row>
    <row r="28" spans="1:53" ht="14.25" customHeight="1">
      <c r="B28" s="108" t="s">
        <v>203</v>
      </c>
      <c r="C28" s="107" cm="1">
        <f t="array" ref="C28">INDEX($B12:$F19,MATCH(C24,$A12:$A19,1),IF(MATCH(C21,$B11:$F11,1)&lt;E23,MATCH(C21,$B11:$F11,1)+1,MATCH(C24,$A12:$A19,1)))</f>
        <v>1135</v>
      </c>
      <c r="E28" s="38"/>
      <c r="G28" s="21"/>
      <c r="H28" s="21"/>
      <c r="I28" s="21"/>
      <c r="J28" s="108" t="s">
        <v>203</v>
      </c>
      <c r="K28" s="107" cm="1">
        <f t="array" ref="K28">INDEX($B12:$F19,MATCH(K24,$A12:$A19,1),IF(MATCH(K21,$B11:$F11,1)&lt;M23,MATCH(K21,$B11:$F11,1)+1,MATCH(K24,$A12:$A19,1)))</f>
        <v>1135</v>
      </c>
      <c r="M28" s="38"/>
      <c r="O28" s="21"/>
      <c r="P28" s="21"/>
      <c r="Q28" s="21"/>
      <c r="R28" s="108"/>
      <c r="S28" s="107"/>
      <c r="U28" s="38"/>
      <c r="W28" s="21"/>
      <c r="X28" s="21"/>
      <c r="Y28" s="21"/>
      <c r="Z28" s="108"/>
      <c r="AA28" s="107"/>
      <c r="AC28" s="38"/>
      <c r="AE28" s="21"/>
      <c r="AF28" s="21"/>
      <c r="AG28" s="21"/>
      <c r="AH28" s="108"/>
      <c r="AI28" s="107"/>
      <c r="AK28" s="38"/>
      <c r="AM28" s="21"/>
      <c r="AN28" s="21"/>
      <c r="AO28" s="21"/>
      <c r="AP28" s="108"/>
      <c r="AQ28" s="107"/>
      <c r="AS28" s="38"/>
      <c r="AU28" s="21"/>
      <c r="AV28" s="21"/>
      <c r="AW28" s="21"/>
      <c r="AX28" s="108"/>
      <c r="AY28" s="107"/>
      <c r="BA28" s="38"/>
    </row>
    <row r="29" spans="1:53" ht="14.25" customHeight="1">
      <c r="B29" s="108" t="s">
        <v>162</v>
      </c>
      <c r="C29" s="107" cm="1">
        <f t="array" ref="C29">INDEX($B12:$F19,IF(MATCH(C24,$A12:$A19,1)&lt;E22,MATCH(C24,$A12:$A19,1)+1,MATCH(C24,$A12:$A19,1)),MATCH(C21,$B11:$F11,1))</f>
        <v>1140</v>
      </c>
      <c r="E29" s="38"/>
      <c r="G29" s="21"/>
      <c r="H29" s="21"/>
      <c r="I29" s="21"/>
      <c r="J29" s="108" t="s">
        <v>162</v>
      </c>
      <c r="K29" s="107" cm="1">
        <f t="array" ref="K29">INDEX($B12:$F19,IF(MATCH(K24,$A12:$A19,1)&lt;M22,MATCH(K24,$A12:$A19,1)+1,MATCH(K24,$A12:$A19,1)),MATCH(K21,$B11:$F11,1))</f>
        <v>1140</v>
      </c>
      <c r="M29" s="38"/>
      <c r="O29" s="21"/>
      <c r="P29" s="21"/>
      <c r="Q29" s="21"/>
      <c r="R29" s="108"/>
      <c r="S29" s="107"/>
      <c r="U29" s="38"/>
      <c r="W29" s="21"/>
      <c r="X29" s="21"/>
      <c r="Y29" s="21"/>
      <c r="Z29" s="108"/>
      <c r="AA29" s="107"/>
      <c r="AC29" s="38"/>
      <c r="AE29" s="21"/>
      <c r="AF29" s="21"/>
      <c r="AG29" s="21"/>
      <c r="AH29" s="108"/>
      <c r="AI29" s="107"/>
      <c r="AK29" s="38"/>
      <c r="AM29" s="21"/>
      <c r="AN29" s="21"/>
      <c r="AO29" s="21"/>
      <c r="AP29" s="108"/>
      <c r="AQ29" s="107"/>
      <c r="AS29" s="38"/>
      <c r="AU29" s="21"/>
      <c r="AV29" s="21"/>
      <c r="AW29" s="21"/>
      <c r="AX29" s="108"/>
      <c r="AY29" s="107"/>
      <c r="BA29" s="38"/>
    </row>
    <row r="30" spans="1:53" ht="14.25" customHeight="1">
      <c r="B30" s="108" t="s">
        <v>204</v>
      </c>
      <c r="C30" s="107" cm="1">
        <f t="array" ref="C30">INDEX($B12:$F19,IF(MATCH(C24,$A12:$A19,1)&lt;E22,MATCH(C24,$A12:$A19,1)+1,MATCH(C24,$A12:$A19,1)),IF(MATCH(C21,$B11:$F11,1)&lt;E23,MATCH(C21,$B11:$F11,1)+1,MATCH(C21,$B11:$F11,1)))</f>
        <v>1180</v>
      </c>
      <c r="G30" s="21"/>
      <c r="H30" s="21"/>
      <c r="I30" s="21"/>
      <c r="J30" s="108" t="s">
        <v>204</v>
      </c>
      <c r="K30" s="107" cm="1">
        <f t="array" ref="K30">INDEX($B12:$F19,IF(MATCH(K24,$A12:$A19,1)&lt;M22,MATCH(K24,$A12:$A19,1)+1,MATCH(K24,$A12:$A19,1)),IF(MATCH(K21,$B11:$F11,1)&lt;M23,MATCH(K21,$B11:$F11,1)+1,MATCH(K21,$B11:$F11,1)))</f>
        <v>1180</v>
      </c>
      <c r="O30" s="21"/>
      <c r="P30" s="21"/>
      <c r="Q30" s="21"/>
      <c r="R30" s="108"/>
      <c r="S30" s="107"/>
      <c r="W30" s="21"/>
      <c r="X30" s="21"/>
      <c r="Y30" s="21"/>
      <c r="Z30" s="108"/>
      <c r="AA30" s="107"/>
      <c r="AE30" s="21"/>
      <c r="AF30" s="21"/>
      <c r="AG30" s="21"/>
      <c r="AH30" s="108"/>
      <c r="AI30" s="107"/>
      <c r="AM30" s="21"/>
      <c r="AN30" s="21"/>
      <c r="AO30" s="21"/>
      <c r="AP30" s="108"/>
      <c r="AQ30" s="107"/>
      <c r="AU30" s="21"/>
      <c r="AV30" s="21"/>
      <c r="AW30" s="21"/>
      <c r="AX30" s="108"/>
      <c r="AY30" s="107"/>
    </row>
    <row r="31" spans="1:53" ht="14.25" customHeight="1">
      <c r="B31" s="89" t="s">
        <v>205</v>
      </c>
      <c r="C31" s="109">
        <f>IFERROR(C27+(C21-C22)*(C28-C27)/(C23-C22),C27)</f>
        <v>1106.02</v>
      </c>
      <c r="G31" s="21"/>
      <c r="H31" s="21"/>
      <c r="I31" s="21"/>
      <c r="J31" s="89" t="s">
        <v>205</v>
      </c>
      <c r="K31" s="109">
        <f>IFERROR(K27+(K21-K22)*(K28-K27)/(K23-K22),K27)</f>
        <v>1106.1949999999999</v>
      </c>
      <c r="O31" s="21"/>
      <c r="P31" s="21"/>
      <c r="Q31" s="21"/>
      <c r="R31" s="89"/>
      <c r="S31" s="109"/>
      <c r="W31" s="21"/>
      <c r="X31" s="21"/>
      <c r="Y31" s="21"/>
      <c r="Z31" s="89"/>
      <c r="AA31" s="109"/>
      <c r="AE31" s="21"/>
      <c r="AF31" s="21"/>
      <c r="AG31" s="21"/>
      <c r="AH31" s="89"/>
      <c r="AI31" s="109"/>
      <c r="AM31" s="21"/>
      <c r="AN31" s="21"/>
      <c r="AO31" s="21"/>
      <c r="AP31" s="89"/>
      <c r="AQ31" s="109"/>
      <c r="AU31" s="21"/>
      <c r="AV31" s="21"/>
      <c r="AW31" s="21"/>
      <c r="AX31" s="89"/>
      <c r="AY31" s="109"/>
    </row>
    <row r="32" spans="1:53" ht="14.25" customHeight="1">
      <c r="B32" s="89" t="s">
        <v>206</v>
      </c>
      <c r="C32" s="109">
        <f>IFERROR(C29+(C21-C22)*(C30-C29)/(C23-C22),C29)</f>
        <v>1146.8800000000001</v>
      </c>
      <c r="G32" s="21"/>
      <c r="H32" s="21"/>
      <c r="I32" s="21"/>
      <c r="J32" s="89" t="s">
        <v>206</v>
      </c>
      <c r="K32" s="109">
        <f>IFERROR(K29+(K21-K22)*(K30-K29)/(K23-K22),K29)</f>
        <v>1147.08</v>
      </c>
      <c r="O32" s="21"/>
      <c r="P32" s="21"/>
      <c r="Q32" s="21"/>
      <c r="R32" s="89"/>
      <c r="S32" s="109"/>
      <c r="W32" s="21"/>
      <c r="X32" s="21"/>
      <c r="Y32" s="21"/>
      <c r="Z32" s="89"/>
      <c r="AA32" s="109"/>
      <c r="AE32" s="21"/>
      <c r="AF32" s="21"/>
      <c r="AG32" s="21"/>
      <c r="AH32" s="89"/>
      <c r="AI32" s="109"/>
      <c r="AM32" s="21"/>
      <c r="AN32" s="21"/>
      <c r="AO32" s="21"/>
      <c r="AP32" s="89"/>
      <c r="AQ32" s="109"/>
      <c r="AU32" s="21"/>
      <c r="AV32" s="21"/>
      <c r="AW32" s="21"/>
      <c r="AX32" s="89"/>
      <c r="AY32" s="109"/>
    </row>
    <row r="33" spans="1:51" ht="14.25" customHeight="1">
      <c r="B33" s="108" t="s">
        <v>207</v>
      </c>
      <c r="C33" s="107">
        <f>IFERROR(C31+(C24-C25)*(C32-C31)/(C26-C25),C31)</f>
        <v>1106.02</v>
      </c>
      <c r="G33" s="21"/>
      <c r="H33" s="21"/>
      <c r="I33" s="21"/>
      <c r="J33" s="108" t="s">
        <v>207</v>
      </c>
      <c r="K33" s="107">
        <f>IFERROR(K31+(K24-K25)*(K32-K31)/(K26-K25),K31)</f>
        <v>1106.1949999999999</v>
      </c>
      <c r="O33" s="21"/>
      <c r="P33" s="21"/>
      <c r="Q33" s="21"/>
      <c r="R33" s="108"/>
      <c r="S33" s="107"/>
      <c r="W33" s="21"/>
      <c r="X33" s="21"/>
      <c r="Y33" s="21"/>
      <c r="Z33" s="108"/>
      <c r="AA33" s="107"/>
      <c r="AE33" s="21"/>
      <c r="AF33" s="21"/>
      <c r="AG33" s="21"/>
      <c r="AH33" s="108"/>
      <c r="AI33" s="107"/>
      <c r="AM33" s="21"/>
      <c r="AN33" s="21"/>
      <c r="AO33" s="21"/>
      <c r="AP33" s="108"/>
      <c r="AQ33" s="107"/>
      <c r="AU33" s="21"/>
      <c r="AV33" s="21"/>
      <c r="AW33" s="21"/>
      <c r="AX33" s="108"/>
      <c r="AY33" s="107"/>
    </row>
    <row r="34" spans="1:51" ht="14.25" customHeight="1">
      <c r="B34" s="108"/>
      <c r="C34" s="107"/>
      <c r="F34" s="181"/>
      <c r="G34" s="115"/>
      <c r="H34" s="115"/>
      <c r="I34" s="115"/>
      <c r="J34" s="182"/>
      <c r="K34" s="183"/>
      <c r="L34" s="181"/>
      <c r="M34" s="181"/>
      <c r="N34" s="181"/>
      <c r="O34" s="115"/>
      <c r="P34" s="21"/>
      <c r="Q34" s="21"/>
      <c r="R34" s="108"/>
      <c r="S34" s="107"/>
      <c r="W34" s="21"/>
      <c r="X34" s="21"/>
      <c r="Y34" s="21"/>
      <c r="Z34" s="108"/>
      <c r="AA34" s="107"/>
      <c r="AE34" s="21"/>
      <c r="AF34" s="21"/>
      <c r="AG34" s="21"/>
      <c r="AH34" s="108"/>
      <c r="AI34" s="107"/>
      <c r="AM34" s="21"/>
      <c r="AN34" s="21"/>
      <c r="AO34" s="21"/>
      <c r="AP34" s="108"/>
      <c r="AQ34" s="107"/>
      <c r="AU34" s="21"/>
      <c r="AV34" s="21"/>
      <c r="AW34" s="21"/>
      <c r="AX34" s="108"/>
      <c r="AY34" s="107"/>
    </row>
    <row r="35" spans="1:51" ht="14.25" customHeight="1">
      <c r="A35" s="181"/>
      <c r="B35" s="383" t="s">
        <v>208</v>
      </c>
      <c r="C35" s="383"/>
      <c r="D35" s="383"/>
      <c r="E35" s="383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15"/>
      <c r="Q35" s="115"/>
      <c r="R35" s="182"/>
      <c r="S35" s="183"/>
      <c r="T35" s="181"/>
      <c r="U35" s="181"/>
      <c r="W35" s="21"/>
      <c r="X35" s="21"/>
      <c r="Y35" s="21"/>
      <c r="Z35" s="108"/>
      <c r="AA35" s="107"/>
      <c r="AE35" s="21"/>
      <c r="AF35" s="21"/>
      <c r="AG35" s="21"/>
      <c r="AH35" s="108"/>
      <c r="AI35" s="107"/>
      <c r="AM35" s="21"/>
      <c r="AN35" s="21"/>
      <c r="AO35" s="21"/>
      <c r="AP35" s="108"/>
      <c r="AQ35" s="107"/>
      <c r="AU35" s="21"/>
      <c r="AV35" s="21"/>
      <c r="AW35" s="21"/>
      <c r="AX35" s="108"/>
      <c r="AY35" s="107"/>
    </row>
    <row r="36" spans="1:51" ht="14.25" customHeight="1">
      <c r="A36" s="181"/>
      <c r="B36" s="191">
        <v>1000</v>
      </c>
      <c r="C36" s="202">
        <v>1175</v>
      </c>
      <c r="D36" s="202">
        <v>1350</v>
      </c>
      <c r="E36" s="194">
        <v>2000</v>
      </c>
      <c r="F36" s="209"/>
      <c r="G36" s="183"/>
      <c r="H36" s="181"/>
      <c r="I36" s="182"/>
      <c r="J36" s="183"/>
      <c r="K36" s="181"/>
      <c r="L36" s="181"/>
      <c r="M36" s="181"/>
      <c r="N36" s="115"/>
      <c r="O36" s="115"/>
      <c r="P36" s="115"/>
      <c r="Q36" s="181"/>
      <c r="R36" s="181"/>
      <c r="S36" s="21"/>
      <c r="T36" s="21"/>
      <c r="U36" s="21"/>
      <c r="V36" s="108"/>
      <c r="W36" s="107"/>
      <c r="AA36" s="21"/>
      <c r="AB36" s="21"/>
      <c r="AC36" s="21"/>
      <c r="AD36" s="108"/>
      <c r="AE36" s="107"/>
      <c r="AI36" s="21"/>
      <c r="AJ36" s="21"/>
      <c r="AK36" s="21"/>
      <c r="AL36" s="108"/>
      <c r="AM36" s="107"/>
      <c r="AQ36" s="21"/>
      <c r="AR36" s="21"/>
      <c r="AS36" s="21"/>
      <c r="AT36" s="108"/>
      <c r="AU36" s="107"/>
    </row>
    <row r="37" spans="1:51" ht="14.25" customHeight="1">
      <c r="A37" s="181">
        <v>9000</v>
      </c>
      <c r="B37" s="191">
        <v>850</v>
      </c>
      <c r="C37" s="202">
        <v>975</v>
      </c>
      <c r="D37" s="202">
        <v>1100</v>
      </c>
      <c r="E37" s="203">
        <v>99999</v>
      </c>
      <c r="F37" s="209"/>
      <c r="G37" s="107"/>
      <c r="H37" s="107"/>
      <c r="I37" s="107"/>
      <c r="J37" s="107"/>
      <c r="K37" s="107"/>
      <c r="L37" s="107"/>
      <c r="M37" s="107"/>
      <c r="N37" s="107"/>
      <c r="O37" s="107"/>
      <c r="P37" s="115"/>
      <c r="Q37" s="181"/>
      <c r="S37" s="21"/>
      <c r="T37" s="21"/>
      <c r="U37" s="21"/>
      <c r="V37" s="108"/>
      <c r="W37" s="107"/>
      <c r="AA37" s="21"/>
      <c r="AB37" s="21"/>
      <c r="AC37" s="21"/>
      <c r="AD37" s="108"/>
      <c r="AE37" s="107"/>
      <c r="AI37" s="21"/>
      <c r="AJ37" s="21"/>
      <c r="AK37" s="21"/>
      <c r="AL37" s="108"/>
      <c r="AM37" s="107"/>
      <c r="AQ37" s="21"/>
      <c r="AR37" s="21"/>
      <c r="AS37" s="21"/>
      <c r="AT37" s="108"/>
      <c r="AU37" s="107"/>
    </row>
    <row r="38" spans="1:51" ht="14.25" customHeight="1">
      <c r="A38" s="181">
        <v>9500</v>
      </c>
      <c r="B38" s="196">
        <v>860</v>
      </c>
      <c r="C38" s="188">
        <v>1000</v>
      </c>
      <c r="D38" s="188">
        <v>1130</v>
      </c>
      <c r="E38" s="203">
        <v>99999</v>
      </c>
      <c r="F38" s="209"/>
      <c r="G38" s="107"/>
      <c r="H38" s="181"/>
      <c r="I38" s="182"/>
      <c r="J38" s="183"/>
      <c r="K38" s="181"/>
      <c r="L38" s="181"/>
      <c r="M38" s="181"/>
      <c r="N38" s="115"/>
      <c r="O38" s="115"/>
      <c r="P38" s="115"/>
      <c r="Q38" s="181"/>
      <c r="S38" s="21"/>
      <c r="T38" s="21"/>
      <c r="U38" s="21"/>
      <c r="V38" s="108"/>
      <c r="W38" s="107"/>
      <c r="AA38" s="21"/>
      <c r="AB38" s="21"/>
      <c r="AC38" s="21"/>
      <c r="AD38" s="108"/>
      <c r="AE38" s="107"/>
      <c r="AI38" s="21"/>
      <c r="AJ38" s="21"/>
      <c r="AK38" s="21"/>
      <c r="AL38" s="108"/>
      <c r="AM38" s="107"/>
      <c r="AQ38" s="21"/>
      <c r="AR38" s="21"/>
      <c r="AS38" s="21"/>
      <c r="AT38" s="108"/>
      <c r="AU38" s="107"/>
    </row>
    <row r="39" spans="1:51" ht="14.25" customHeight="1">
      <c r="A39" s="181">
        <v>10000</v>
      </c>
      <c r="B39" s="196">
        <v>890</v>
      </c>
      <c r="C39" s="188">
        <v>1025</v>
      </c>
      <c r="D39" s="188">
        <v>1175</v>
      </c>
      <c r="E39" s="203">
        <v>99999</v>
      </c>
      <c r="F39" s="209"/>
      <c r="G39" s="107"/>
      <c r="H39" s="181"/>
      <c r="I39" s="182"/>
      <c r="J39" s="183"/>
      <c r="K39" s="181"/>
      <c r="L39" s="181"/>
      <c r="M39" s="181"/>
      <c r="N39" s="115"/>
      <c r="O39" s="115"/>
      <c r="P39" s="115"/>
      <c r="Q39" s="181"/>
      <c r="S39" s="21"/>
      <c r="T39" s="21"/>
      <c r="U39" s="21"/>
      <c r="V39" s="108"/>
      <c r="W39" s="107"/>
      <c r="AA39" s="21"/>
      <c r="AB39" s="21"/>
      <c r="AC39" s="21"/>
      <c r="AD39" s="108"/>
      <c r="AE39" s="107"/>
      <c r="AI39" s="21"/>
      <c r="AJ39" s="21"/>
      <c r="AK39" s="21"/>
      <c r="AL39" s="108"/>
      <c r="AM39" s="107"/>
      <c r="AQ39" s="21"/>
      <c r="AR39" s="21"/>
      <c r="AS39" s="21"/>
      <c r="AT39" s="108"/>
      <c r="AU39" s="107"/>
    </row>
    <row r="40" spans="1:51" ht="14.25" customHeight="1">
      <c r="A40" s="181">
        <v>10500</v>
      </c>
      <c r="B40" s="196">
        <v>920</v>
      </c>
      <c r="C40" s="188">
        <v>1060</v>
      </c>
      <c r="D40" s="188">
        <v>1200</v>
      </c>
      <c r="E40" s="203">
        <v>99999</v>
      </c>
      <c r="F40" s="209"/>
      <c r="G40" s="107"/>
      <c r="H40" s="181"/>
      <c r="I40" s="182"/>
      <c r="J40" s="183"/>
      <c r="K40" s="181"/>
      <c r="L40" s="181"/>
      <c r="M40" s="181"/>
      <c r="N40" s="115"/>
      <c r="O40" s="115"/>
      <c r="P40" s="115"/>
      <c r="Q40" s="181"/>
      <c r="S40" s="21"/>
      <c r="T40" s="21"/>
      <c r="U40" s="21"/>
      <c r="V40" s="108"/>
      <c r="W40" s="107"/>
      <c r="AA40" s="21"/>
      <c r="AB40" s="21"/>
      <c r="AC40" s="21"/>
      <c r="AD40" s="108"/>
      <c r="AE40" s="107"/>
      <c r="AI40" s="21"/>
      <c r="AJ40" s="21"/>
      <c r="AK40" s="21"/>
      <c r="AL40" s="108"/>
      <c r="AM40" s="107"/>
      <c r="AQ40" s="21"/>
      <c r="AR40" s="21"/>
      <c r="AS40" s="21"/>
      <c r="AT40" s="108"/>
      <c r="AU40" s="107"/>
    </row>
    <row r="41" spans="1:51" ht="14.25" customHeight="1">
      <c r="A41" s="181">
        <v>11000</v>
      </c>
      <c r="B41" s="196">
        <v>935</v>
      </c>
      <c r="C41" s="188">
        <v>1080</v>
      </c>
      <c r="D41" s="188">
        <v>1225</v>
      </c>
      <c r="E41" s="203">
        <v>99999</v>
      </c>
      <c r="F41" s="209"/>
      <c r="G41" s="107"/>
      <c r="H41" s="181"/>
      <c r="I41" s="182"/>
      <c r="J41" s="183"/>
      <c r="K41" s="181"/>
      <c r="L41" s="181"/>
      <c r="M41" s="181"/>
      <c r="N41" s="115"/>
      <c r="O41" s="115"/>
      <c r="P41" s="115"/>
      <c r="Q41" s="181"/>
      <c r="S41" s="21"/>
      <c r="T41" s="21"/>
      <c r="U41" s="21"/>
      <c r="V41" s="108"/>
      <c r="W41" s="107"/>
      <c r="AA41" s="21"/>
      <c r="AB41" s="21"/>
      <c r="AC41" s="21"/>
      <c r="AD41" s="108"/>
      <c r="AE41" s="107"/>
      <c r="AI41" s="21"/>
      <c r="AJ41" s="21"/>
      <c r="AK41" s="21"/>
      <c r="AL41" s="108"/>
      <c r="AM41" s="107"/>
      <c r="AQ41" s="21"/>
      <c r="AR41" s="21"/>
      <c r="AS41" s="21"/>
      <c r="AT41" s="108"/>
      <c r="AU41" s="107"/>
    </row>
    <row r="42" spans="1:51" ht="14.25" customHeight="1">
      <c r="A42" s="181">
        <v>11500</v>
      </c>
      <c r="B42" s="196">
        <v>950</v>
      </c>
      <c r="C42" s="188">
        <v>1110</v>
      </c>
      <c r="D42" s="188">
        <v>1260</v>
      </c>
      <c r="E42" s="203">
        <v>99999</v>
      </c>
      <c r="F42" s="209"/>
      <c r="G42" s="107"/>
      <c r="H42" s="181"/>
      <c r="I42" s="182"/>
      <c r="J42" s="183"/>
      <c r="K42" s="181"/>
      <c r="L42" s="181"/>
      <c r="M42" s="181"/>
      <c r="N42" s="115"/>
      <c r="O42" s="115"/>
      <c r="P42" s="115"/>
      <c r="Q42" s="181"/>
      <c r="S42" s="21"/>
      <c r="T42" s="21"/>
      <c r="U42" s="21"/>
      <c r="V42" s="108"/>
      <c r="W42" s="107"/>
      <c r="AA42" s="21"/>
      <c r="AB42" s="21"/>
      <c r="AC42" s="21"/>
      <c r="AD42" s="108"/>
      <c r="AE42" s="107"/>
      <c r="AI42" s="21"/>
      <c r="AJ42" s="21"/>
      <c r="AK42" s="21"/>
      <c r="AL42" s="108"/>
      <c r="AM42" s="107"/>
      <c r="AQ42" s="21"/>
      <c r="AR42" s="21"/>
      <c r="AS42" s="21"/>
      <c r="AT42" s="108"/>
      <c r="AU42" s="107"/>
    </row>
    <row r="43" spans="1:51" ht="14.25" customHeight="1">
      <c r="A43" s="181">
        <v>12000</v>
      </c>
      <c r="B43" s="196">
        <v>975</v>
      </c>
      <c r="C43" s="188">
        <v>1140</v>
      </c>
      <c r="D43" s="188">
        <v>1300</v>
      </c>
      <c r="E43" s="203">
        <v>99999</v>
      </c>
      <c r="F43" s="209"/>
      <c r="G43" s="107"/>
      <c r="I43" s="108"/>
      <c r="J43" s="107"/>
      <c r="N43" s="21"/>
      <c r="O43" s="21"/>
      <c r="P43" s="21"/>
      <c r="S43" s="21"/>
      <c r="T43" s="21"/>
      <c r="U43" s="21"/>
      <c r="V43" s="108"/>
      <c r="W43" s="107"/>
      <c r="AA43" s="21"/>
      <c r="AB43" s="21"/>
      <c r="AC43" s="21"/>
      <c r="AD43" s="108"/>
      <c r="AE43" s="107"/>
      <c r="AI43" s="21"/>
      <c r="AJ43" s="21"/>
      <c r="AK43" s="21"/>
      <c r="AL43" s="108"/>
      <c r="AM43" s="107"/>
      <c r="AQ43" s="21"/>
      <c r="AR43" s="21"/>
      <c r="AS43" s="21"/>
      <c r="AT43" s="108"/>
      <c r="AU43" s="107"/>
    </row>
    <row r="44" spans="1:51" ht="14.25" customHeight="1">
      <c r="A44" s="181">
        <v>12500</v>
      </c>
      <c r="B44" s="198">
        <v>1000</v>
      </c>
      <c r="C44" s="207">
        <v>1175</v>
      </c>
      <c r="D44" s="207">
        <v>1350</v>
      </c>
      <c r="E44" s="203">
        <v>99999</v>
      </c>
      <c r="F44" s="209"/>
      <c r="G44" s="107"/>
      <c r="I44" s="108"/>
      <c r="J44" s="107"/>
      <c r="N44" s="21"/>
      <c r="O44" s="21"/>
      <c r="P44" s="21"/>
      <c r="S44" s="21"/>
      <c r="T44" s="21"/>
      <c r="U44" s="21"/>
      <c r="V44" s="108"/>
      <c r="W44" s="107"/>
      <c r="AA44" s="21"/>
      <c r="AB44" s="21"/>
      <c r="AC44" s="21"/>
      <c r="AD44" s="108"/>
      <c r="AE44" s="107"/>
      <c r="AI44" s="21"/>
      <c r="AJ44" s="21"/>
      <c r="AK44" s="21"/>
      <c r="AL44" s="108"/>
      <c r="AM44" s="107"/>
      <c r="AQ44" s="21"/>
      <c r="AR44" s="21"/>
      <c r="AS44" s="21"/>
      <c r="AT44" s="108"/>
      <c r="AU44" s="107"/>
    </row>
    <row r="45" spans="1:51" ht="14.25" customHeight="1">
      <c r="B45" s="182"/>
      <c r="C45" s="183"/>
      <c r="D45" s="181"/>
      <c r="E45" s="181"/>
      <c r="F45" s="181"/>
      <c r="G45" s="115"/>
      <c r="H45" s="115"/>
      <c r="I45" s="115"/>
      <c r="J45" s="108"/>
      <c r="K45" s="107"/>
      <c r="O45" s="32"/>
      <c r="P45" s="21"/>
      <c r="Q45" s="21"/>
      <c r="R45" s="108"/>
      <c r="S45" s="107"/>
      <c r="W45" s="21"/>
      <c r="X45" s="21"/>
      <c r="Y45" s="21"/>
      <c r="Z45" s="108"/>
      <c r="AA45" s="107"/>
      <c r="AE45" s="21"/>
      <c r="AF45" s="21"/>
      <c r="AG45" s="21"/>
      <c r="AH45" s="108"/>
      <c r="AI45" s="107"/>
      <c r="AM45" s="21"/>
      <c r="AN45" s="21"/>
      <c r="AO45" s="21"/>
      <c r="AP45" s="108"/>
      <c r="AQ45" s="107"/>
      <c r="AU45" s="21"/>
      <c r="AV45" s="21"/>
      <c r="AW45" s="21"/>
      <c r="AX45" s="108"/>
      <c r="AY45" s="107"/>
    </row>
    <row r="46" spans="1:51" ht="14.25" customHeight="1">
      <c r="B46" s="108" t="s">
        <v>157</v>
      </c>
      <c r="C46" s="107">
        <f>C33</f>
        <v>1106.02</v>
      </c>
      <c r="D46" s="374" t="s">
        <v>200</v>
      </c>
      <c r="E46" s="321"/>
      <c r="G46" s="21"/>
      <c r="H46" s="21"/>
      <c r="I46" s="21"/>
      <c r="J46" s="108" t="s">
        <v>157</v>
      </c>
      <c r="K46" s="107">
        <f>K33</f>
        <v>1106.1949999999999</v>
      </c>
      <c r="L46" s="374" t="s">
        <v>200</v>
      </c>
      <c r="M46" s="321"/>
      <c r="O46" s="32"/>
    </row>
    <row r="47" spans="1:51" ht="14.25" customHeight="1">
      <c r="B47" s="89" t="s">
        <v>201</v>
      </c>
      <c r="C47" s="109">
        <f>INDEX($B36:$E36,MATCH(C46,$B36:$E36,1))</f>
        <v>1000</v>
      </c>
      <c r="D47" s="89" t="s">
        <v>155</v>
      </c>
      <c r="E47" s="104">
        <f>MATCH(MAX($A37:$A44),$A37:$A44,1)</f>
        <v>8</v>
      </c>
      <c r="G47" s="21"/>
      <c r="H47" s="21"/>
      <c r="I47" s="21"/>
      <c r="J47" s="89" t="s">
        <v>201</v>
      </c>
      <c r="K47" s="109">
        <f>INDEX($B36:$E36,MATCH(K46,$B36:$E36,1))</f>
        <v>1000</v>
      </c>
      <c r="L47" s="89" t="s">
        <v>155</v>
      </c>
      <c r="M47" s="104">
        <f>MATCH(MAX($A37:$A44),$A37:$A44,1)</f>
        <v>8</v>
      </c>
      <c r="O47" s="32"/>
    </row>
    <row r="48" spans="1:51" ht="14.25" customHeight="1">
      <c r="B48" s="89" t="s">
        <v>202</v>
      </c>
      <c r="C48" s="109" cm="1">
        <f t="array" ref="C48">INDEX($B36:$E36,IF(MATCH(C46,$B36:$E36,1)&lt;E48,MATCH(C46,$B36:$E36,1)+1,MATCH(C46,$B36:$E36,1)))</f>
        <v>1175</v>
      </c>
      <c r="D48" s="89" t="s">
        <v>156</v>
      </c>
      <c r="E48" s="104">
        <f>MATCH(MAX($B36:$E36),$B36:$E36,0)</f>
        <v>4</v>
      </c>
      <c r="G48" s="21"/>
      <c r="H48" s="21"/>
      <c r="I48" s="21"/>
      <c r="J48" s="89" t="s">
        <v>202</v>
      </c>
      <c r="K48" s="109" cm="1">
        <f t="array" ref="K48">INDEX($B36:$E36,IF(MATCH(K46,$B36:$E36,1)&lt;M48,MATCH(K46,$B36:$E36,1)+1,MATCH(K46,$B36:$E36,1)))</f>
        <v>1175</v>
      </c>
      <c r="L48" s="89" t="s">
        <v>156</v>
      </c>
      <c r="M48" s="104">
        <f>MATCH(MAX($B36:$E36),$B36:$E36,0)</f>
        <v>4</v>
      </c>
      <c r="O48" s="32"/>
    </row>
    <row r="49" spans="1:51" ht="14.25" customHeight="1">
      <c r="B49" s="106" t="s">
        <v>158</v>
      </c>
      <c r="C49" s="110">
        <f>Landing!C11</f>
        <v>11000</v>
      </c>
      <c r="D49" s="21"/>
      <c r="E49" s="21"/>
      <c r="G49" s="21"/>
      <c r="H49" s="21"/>
      <c r="I49" s="21"/>
      <c r="J49" s="106" t="s">
        <v>158</v>
      </c>
      <c r="K49" s="110">
        <f>'Take-off'!C14</f>
        <v>12350</v>
      </c>
      <c r="L49" s="21"/>
      <c r="M49" s="21"/>
      <c r="O49" s="32"/>
    </row>
    <row r="50" spans="1:51" ht="14.25" customHeight="1">
      <c r="B50" s="89" t="s">
        <v>159</v>
      </c>
      <c r="C50" s="109">
        <f>INDEX($A37:$A44,MATCH(C49,$A37:$A44,1))</f>
        <v>11000</v>
      </c>
      <c r="D50" s="21"/>
      <c r="E50" s="38"/>
      <c r="G50" s="21"/>
      <c r="H50" s="21"/>
      <c r="I50" s="21"/>
      <c r="J50" s="89" t="s">
        <v>159</v>
      </c>
      <c r="K50" s="109">
        <f>INDEX($A37:$A44,MATCH(K49,$A37:$A44,1))</f>
        <v>12000</v>
      </c>
      <c r="L50" s="21"/>
      <c r="M50" s="38"/>
      <c r="O50" s="32"/>
    </row>
    <row r="51" spans="1:51" ht="14.25" customHeight="1">
      <c r="B51" s="89" t="s">
        <v>160</v>
      </c>
      <c r="C51" s="109" cm="1">
        <f t="array" ref="C51">INDEX($A37:$A44,IF(MATCH(C49,$A37:$A44,1)&lt;E47,MATCH(C49,$A37:$A44,1)+1,MATCH(C49,$A37:$A44,1)))</f>
        <v>11500</v>
      </c>
      <c r="D51" s="21"/>
      <c r="E51" s="38"/>
      <c r="G51" s="21"/>
      <c r="H51" s="21"/>
      <c r="I51" s="21"/>
      <c r="J51" s="89" t="s">
        <v>160</v>
      </c>
      <c r="K51" s="109" cm="1">
        <f t="array" ref="K51">INDEX($A37:$A44,IF(MATCH(K49,$A37:$A44,1)&lt;M47,MATCH(K49,$A37:$A44,1)+1,MATCH(K49,$A37:$A44,1)))</f>
        <v>12500</v>
      </c>
      <c r="L51" s="21"/>
      <c r="M51" s="38"/>
      <c r="O51" s="32"/>
    </row>
    <row r="52" spans="1:51" ht="14.25" customHeight="1">
      <c r="B52" s="108" t="s">
        <v>161</v>
      </c>
      <c r="C52" s="107">
        <f>INDEX($B37:$E44,MATCH(C49,$A37:$A44,1),MATCH(C46,$B36:$E36,1))</f>
        <v>935</v>
      </c>
      <c r="D52" s="21"/>
      <c r="E52" s="38"/>
      <c r="G52" s="21"/>
      <c r="H52" s="21"/>
      <c r="I52" s="21"/>
      <c r="J52" s="108" t="s">
        <v>161</v>
      </c>
      <c r="K52" s="107">
        <f>INDEX($B37:$E44,MATCH(K49,$A37:$A44,1),MATCH(K46,$B36:$E36,1))</f>
        <v>975</v>
      </c>
      <c r="L52" s="21"/>
      <c r="M52" s="38"/>
      <c r="O52" s="32"/>
    </row>
    <row r="53" spans="1:51" ht="14.25" customHeight="1">
      <c r="B53" s="108" t="s">
        <v>203</v>
      </c>
      <c r="C53" s="107" cm="1">
        <f t="array" ref="C53">INDEX($B37:$E44,MATCH(C49,$A37:$A44,1),IF(MATCH(C46,$B36:$E36,1)&lt;E48,MATCH(C46,$B36:$E36,1)+1,MATCH(C49,$A37:$A44,1)))</f>
        <v>1080</v>
      </c>
      <c r="E53" s="38"/>
      <c r="G53" s="21"/>
      <c r="H53" s="21"/>
      <c r="I53" s="21"/>
      <c r="J53" s="108" t="s">
        <v>203</v>
      </c>
      <c r="K53" s="107" cm="1">
        <f t="array" ref="K53">INDEX($B37:$E44,MATCH(K49,$A37:$A44,1),IF(MATCH(K46,$B36:$E36,1)&lt;M48,MATCH(K46,$B36:$E36,1)+1,MATCH(K49,$A37:$A44,1)))</f>
        <v>1140</v>
      </c>
      <c r="M53" s="38"/>
      <c r="O53" s="9"/>
    </row>
    <row r="54" spans="1:51" ht="14.25" customHeight="1">
      <c r="B54" s="108" t="s">
        <v>162</v>
      </c>
      <c r="C54" s="107" cm="1">
        <f t="array" ref="C54">INDEX($B37:$E44,IF(MATCH(C49,$A37:$A44,1)&lt;E47,MATCH(C49,$A37:$A44,1)+1,MATCH(C49,$A37:$A44,1)),MATCH(C46,$B36:$E36,1))</f>
        <v>950</v>
      </c>
      <c r="E54" s="38"/>
      <c r="G54" s="21"/>
      <c r="H54" s="21"/>
      <c r="I54" s="21"/>
      <c r="J54" s="108" t="s">
        <v>162</v>
      </c>
      <c r="K54" s="107" cm="1">
        <f t="array" ref="K54">INDEX($B37:$E44,IF(MATCH(K49,$A37:$A44,1)&lt;M47,MATCH(K49,$A37:$A44,1)+1,MATCH(K49,$A37:$A44,1)),MATCH(K46,$B36:$E36,1))</f>
        <v>1000</v>
      </c>
      <c r="M54" s="38"/>
      <c r="O54" s="9"/>
    </row>
    <row r="55" spans="1:51" ht="14.25" customHeight="1">
      <c r="B55" s="108" t="s">
        <v>204</v>
      </c>
      <c r="C55" s="107" cm="1">
        <f t="array" ref="C55">INDEX($B37:$E44,IF(MATCH(C49,$A37:$A44,1)&lt;E47,MATCH(C49,$A37:$A44,1)+1,MATCH(C49,$A37:$A44,1)),IF(MATCH(C46,$B36:$E36,1)&lt;E48,MATCH(C46,$B36:$E36,1)+1,MATCH(C46,$B36:$E36,1)))</f>
        <v>1110</v>
      </c>
      <c r="G55" s="21"/>
      <c r="H55" s="21"/>
      <c r="I55" s="21"/>
      <c r="J55" s="108" t="s">
        <v>204</v>
      </c>
      <c r="K55" s="107" cm="1">
        <f t="array" ref="K55">INDEX($B37:$E44,IF(MATCH(K49,$A37:$A44,1)&lt;M47,MATCH(K49,$A37:$A44,1)+1,MATCH(K49,$A37:$A44,1)),IF(MATCH(K46,$B36:$E36,1)&lt;M48,MATCH(K46,$B36:$E36,1)+1,MATCH(K46,$B36:$E36,1)))</f>
        <v>1175</v>
      </c>
      <c r="O55" s="9"/>
    </row>
    <row r="56" spans="1:51" ht="14.25" customHeight="1">
      <c r="B56" s="89" t="s">
        <v>205</v>
      </c>
      <c r="C56" s="109">
        <f>IFERROR(C52+(C46-C47)*(C53-C52)/(C48-C47),C52)</f>
        <v>1022.8451428571428</v>
      </c>
      <c r="G56" s="21"/>
      <c r="H56" s="21"/>
      <c r="I56" s="21"/>
      <c r="J56" s="89" t="s">
        <v>205</v>
      </c>
      <c r="K56" s="109">
        <f>IFERROR(K52+(K46-K47)*(K53-K52)/(K48-K47),K52)</f>
        <v>1075.1267142857141</v>
      </c>
      <c r="O56" s="9"/>
    </row>
    <row r="57" spans="1:51" ht="14.25" customHeight="1">
      <c r="B57" s="89" t="s">
        <v>206</v>
      </c>
      <c r="C57" s="109">
        <f>IFERROR(C54+(C46-C47)*(C55-C54)/(C48-C47),C54)</f>
        <v>1046.9325714285715</v>
      </c>
      <c r="G57" s="21"/>
      <c r="H57" s="21"/>
      <c r="I57" s="21"/>
      <c r="J57" s="89" t="s">
        <v>206</v>
      </c>
      <c r="K57" s="109">
        <f>IFERROR(K54+(K46-K47)*(K55-K54)/(K48-K47),K54)</f>
        <v>1106.1949999999999</v>
      </c>
      <c r="O57" s="9"/>
    </row>
    <row r="58" spans="1:51" ht="14.25" customHeight="1">
      <c r="B58" s="108" t="s">
        <v>207</v>
      </c>
      <c r="C58" s="107">
        <f>IFERROR(C56+(C49-C50)*(C57-C56)/(C51-C50),C56)</f>
        <v>1022.8451428571428</v>
      </c>
      <c r="G58" s="21"/>
      <c r="H58" s="21"/>
      <c r="I58" s="21"/>
      <c r="J58" s="108" t="s">
        <v>207</v>
      </c>
      <c r="K58" s="107">
        <f>IFERROR(K56+(K49-K50)*(K57-K56)/(K51-K50),K56)</f>
        <v>1096.8745142857142</v>
      </c>
      <c r="O58" s="9"/>
    </row>
    <row r="59" spans="1:51" ht="14.25" customHeight="1">
      <c r="B59" s="108"/>
      <c r="C59" s="107"/>
      <c r="G59" s="21"/>
      <c r="H59" s="21"/>
      <c r="I59" s="21"/>
      <c r="J59" s="108"/>
      <c r="K59" s="107"/>
      <c r="O59" s="9"/>
      <c r="P59" s="21"/>
      <c r="Q59" s="21"/>
      <c r="R59" s="108"/>
      <c r="S59" s="107"/>
      <c r="W59" s="21"/>
      <c r="X59" s="21"/>
      <c r="Y59" s="21"/>
      <c r="Z59" s="108"/>
      <c r="AA59" s="107"/>
      <c r="AE59" s="21"/>
      <c r="AF59" s="21"/>
      <c r="AG59" s="21"/>
      <c r="AH59" s="108"/>
      <c r="AI59" s="107"/>
      <c r="AM59" s="21"/>
      <c r="AN59" s="21"/>
      <c r="AO59" s="21"/>
      <c r="AP59" s="108"/>
      <c r="AQ59" s="107"/>
      <c r="AU59" s="21"/>
      <c r="AV59" s="21"/>
      <c r="AW59" s="21"/>
      <c r="AX59" s="108"/>
      <c r="AY59" s="107"/>
    </row>
    <row r="60" spans="1:51" ht="15" customHeight="1">
      <c r="B60" s="108"/>
      <c r="C60" s="107"/>
      <c r="G60" s="115"/>
      <c r="H60" s="115"/>
      <c r="I60" s="115"/>
      <c r="J60" s="182"/>
      <c r="K60" s="183"/>
      <c r="L60" s="181"/>
      <c r="M60" s="181"/>
      <c r="N60" s="181"/>
      <c r="O60" s="115"/>
      <c r="P60" s="21"/>
      <c r="Q60" s="21"/>
      <c r="R60" s="108"/>
      <c r="S60" s="107"/>
      <c r="W60" s="21"/>
      <c r="X60" s="21"/>
      <c r="Y60" s="21"/>
      <c r="Z60" s="108"/>
      <c r="AA60" s="107"/>
      <c r="AE60" s="21"/>
      <c r="AF60" s="21"/>
      <c r="AG60" s="21"/>
      <c r="AH60" s="108"/>
      <c r="AI60" s="107"/>
      <c r="AM60" s="21"/>
      <c r="AN60" s="21"/>
      <c r="AO60" s="21"/>
      <c r="AP60" s="108"/>
      <c r="AQ60" s="107"/>
      <c r="AU60" s="21"/>
      <c r="AV60" s="21"/>
      <c r="AW60" s="21"/>
      <c r="AX60" s="108"/>
      <c r="AY60" s="107"/>
    </row>
    <row r="61" spans="1:51" ht="15" customHeight="1">
      <c r="A61" s="181"/>
      <c r="B61" s="383" t="s">
        <v>209</v>
      </c>
      <c r="C61" s="383"/>
      <c r="D61" s="383"/>
      <c r="E61" s="383"/>
      <c r="F61" s="383"/>
      <c r="G61" s="188"/>
      <c r="H61" s="188"/>
      <c r="I61" s="188"/>
      <c r="J61" s="188"/>
      <c r="K61" s="188"/>
      <c r="L61" s="188"/>
      <c r="M61" s="188"/>
      <c r="N61" s="188"/>
      <c r="O61" s="188"/>
      <c r="P61" s="115"/>
      <c r="Q61" s="115"/>
      <c r="R61" s="182"/>
      <c r="S61" s="183"/>
      <c r="T61" s="181"/>
      <c r="U61" s="181"/>
      <c r="W61" s="21"/>
      <c r="X61" s="21"/>
      <c r="Y61" s="21"/>
      <c r="Z61" s="108"/>
      <c r="AA61" s="107"/>
      <c r="AE61" s="21"/>
      <c r="AF61" s="21"/>
      <c r="AG61" s="21"/>
      <c r="AH61" s="108"/>
      <c r="AI61" s="107"/>
      <c r="AM61" s="21"/>
      <c r="AN61" s="21"/>
      <c r="AO61" s="21"/>
      <c r="AP61" s="108"/>
      <c r="AQ61" s="107"/>
      <c r="AU61" s="21"/>
      <c r="AV61" s="21"/>
      <c r="AW61" s="21"/>
      <c r="AX61" s="108"/>
      <c r="AY61" s="107"/>
    </row>
    <row r="62" spans="1:51" ht="15" customHeight="1">
      <c r="A62" s="181" t="s">
        <v>38</v>
      </c>
      <c r="B62" s="191">
        <v>850</v>
      </c>
      <c r="C62" s="202">
        <v>1175</v>
      </c>
      <c r="D62" s="202">
        <v>1500</v>
      </c>
      <c r="E62" s="194">
        <v>2000</v>
      </c>
      <c r="F62" s="209"/>
      <c r="G62" s="183"/>
      <c r="H62" s="181"/>
      <c r="I62" s="182"/>
      <c r="J62" s="183"/>
      <c r="K62" s="181"/>
      <c r="L62" s="181"/>
      <c r="M62" s="181"/>
      <c r="N62" s="115"/>
      <c r="O62" s="115"/>
      <c r="P62" s="115"/>
      <c r="Q62" s="181"/>
      <c r="R62" s="181"/>
      <c r="S62" s="21"/>
      <c r="T62" s="21"/>
      <c r="U62" s="21"/>
      <c r="V62" s="108"/>
      <c r="W62" s="107"/>
      <c r="AA62" s="21"/>
      <c r="AB62" s="21"/>
      <c r="AC62" s="21"/>
      <c r="AD62" s="108"/>
      <c r="AE62" s="107"/>
      <c r="AI62" s="21"/>
      <c r="AJ62" s="21"/>
      <c r="AK62" s="21"/>
      <c r="AL62" s="108"/>
      <c r="AM62" s="107"/>
      <c r="AQ62" s="21"/>
      <c r="AR62" s="21"/>
      <c r="AS62" s="21"/>
      <c r="AT62" s="108"/>
      <c r="AU62" s="107"/>
    </row>
    <row r="63" spans="1:51" ht="15" customHeight="1">
      <c r="A63" s="181">
        <v>-10</v>
      </c>
      <c r="B63" s="191">
        <v>1150</v>
      </c>
      <c r="C63" s="202">
        <v>1550</v>
      </c>
      <c r="D63" s="202">
        <v>1900</v>
      </c>
      <c r="E63" s="203">
        <v>99999</v>
      </c>
      <c r="F63" s="209"/>
      <c r="G63" s="107"/>
      <c r="H63" s="107"/>
      <c r="I63" s="107"/>
      <c r="J63" s="107"/>
      <c r="K63" s="107"/>
      <c r="L63" s="107"/>
      <c r="M63" s="107"/>
      <c r="N63" s="107"/>
      <c r="O63" s="107"/>
      <c r="P63" s="115"/>
      <c r="Q63" s="181"/>
      <c r="S63" s="21"/>
      <c r="T63" s="21"/>
      <c r="U63" s="21"/>
      <c r="V63" s="108"/>
      <c r="W63" s="107"/>
      <c r="AA63" s="21"/>
      <c r="AB63" s="21"/>
      <c r="AC63" s="21"/>
      <c r="AD63" s="108"/>
      <c r="AE63" s="107"/>
      <c r="AI63" s="21"/>
      <c r="AJ63" s="21"/>
      <c r="AK63" s="21"/>
      <c r="AL63" s="108"/>
      <c r="AM63" s="107"/>
      <c r="AQ63" s="21"/>
      <c r="AR63" s="21"/>
      <c r="AS63" s="21"/>
      <c r="AT63" s="108"/>
      <c r="AU63" s="107"/>
    </row>
    <row r="64" spans="1:51" ht="15" customHeight="1">
      <c r="A64" s="181">
        <v>0</v>
      </c>
      <c r="B64" s="196">
        <v>850</v>
      </c>
      <c r="C64" s="188">
        <v>1175</v>
      </c>
      <c r="D64" s="188">
        <v>1500</v>
      </c>
      <c r="E64" s="203">
        <v>99999</v>
      </c>
      <c r="F64" s="209"/>
      <c r="G64" s="107"/>
      <c r="H64" s="181"/>
      <c r="I64" s="182"/>
      <c r="J64" s="183"/>
      <c r="K64" s="181"/>
      <c r="L64" s="181"/>
      <c r="M64" s="181"/>
      <c r="N64" s="115"/>
      <c r="O64" s="115"/>
      <c r="P64" s="115"/>
      <c r="Q64" s="181"/>
      <c r="S64" s="21"/>
      <c r="T64" s="21"/>
      <c r="U64" s="21"/>
      <c r="V64" s="108"/>
      <c r="W64" s="107"/>
      <c r="AA64" s="21"/>
      <c r="AB64" s="21"/>
      <c r="AC64" s="21"/>
      <c r="AD64" s="108"/>
      <c r="AE64" s="107"/>
      <c r="AI64" s="21"/>
      <c r="AJ64" s="21"/>
      <c r="AK64" s="21"/>
      <c r="AL64" s="108"/>
      <c r="AM64" s="107"/>
      <c r="AQ64" s="21"/>
      <c r="AR64" s="21"/>
      <c r="AS64" s="21"/>
      <c r="AT64" s="108"/>
      <c r="AU64" s="107"/>
    </row>
    <row r="65" spans="1:53" ht="15" customHeight="1">
      <c r="A65" s="181">
        <v>30</v>
      </c>
      <c r="B65" s="198">
        <v>575</v>
      </c>
      <c r="C65" s="207">
        <v>850</v>
      </c>
      <c r="D65" s="207">
        <v>1150</v>
      </c>
      <c r="E65" s="203">
        <v>99999</v>
      </c>
      <c r="F65" s="209"/>
      <c r="G65" s="107"/>
      <c r="I65" s="108"/>
      <c r="J65" s="107"/>
      <c r="N65" s="21"/>
      <c r="O65" s="21"/>
      <c r="P65" s="21"/>
      <c r="S65" s="21"/>
      <c r="T65" s="21"/>
      <c r="U65" s="21"/>
      <c r="V65" s="108"/>
      <c r="W65" s="107"/>
      <c r="AA65" s="21"/>
      <c r="AB65" s="21"/>
      <c r="AC65" s="21"/>
      <c r="AD65" s="108"/>
      <c r="AE65" s="107"/>
      <c r="AI65" s="21"/>
      <c r="AJ65" s="21"/>
      <c r="AK65" s="21"/>
      <c r="AL65" s="108"/>
      <c r="AM65" s="107"/>
      <c r="AQ65" s="21"/>
      <c r="AR65" s="21"/>
      <c r="AS65" s="21"/>
      <c r="AT65" s="108"/>
      <c r="AU65" s="107"/>
    </row>
    <row r="66" spans="1:53" ht="15" customHeight="1">
      <c r="B66" s="182"/>
      <c r="C66" s="183"/>
      <c r="D66" s="181"/>
      <c r="E66" s="181"/>
      <c r="F66" s="181"/>
      <c r="G66" s="115"/>
      <c r="H66" s="115"/>
      <c r="I66" s="115"/>
      <c r="J66" s="108"/>
      <c r="K66" s="107"/>
      <c r="O66" s="32"/>
      <c r="P66" s="21"/>
      <c r="Q66" s="21"/>
      <c r="R66" s="108"/>
      <c r="S66" s="107"/>
      <c r="W66" s="21"/>
      <c r="X66" s="21"/>
      <c r="Y66" s="21"/>
      <c r="Z66" s="108"/>
      <c r="AA66" s="107"/>
      <c r="AE66" s="21"/>
      <c r="AF66" s="21"/>
      <c r="AG66" s="21"/>
      <c r="AH66" s="108"/>
      <c r="AI66" s="107"/>
      <c r="AM66" s="21"/>
      <c r="AN66" s="21"/>
      <c r="AO66" s="21"/>
      <c r="AP66" s="108"/>
      <c r="AQ66" s="107"/>
      <c r="AU66" s="21"/>
      <c r="AV66" s="21"/>
      <c r="AW66" s="21"/>
      <c r="AX66" s="108"/>
      <c r="AY66" s="107"/>
    </row>
    <row r="67" spans="1:53" ht="15" customHeight="1">
      <c r="B67" s="108" t="s">
        <v>157</v>
      </c>
      <c r="C67" s="107">
        <f>C58</f>
        <v>1022.8451428571428</v>
      </c>
      <c r="D67" s="374" t="s">
        <v>200</v>
      </c>
      <c r="E67" s="321"/>
      <c r="G67" s="21"/>
      <c r="H67" s="21"/>
      <c r="I67" s="21"/>
      <c r="J67" s="108" t="s">
        <v>157</v>
      </c>
      <c r="K67" s="107">
        <f>K58</f>
        <v>1096.8745142857142</v>
      </c>
      <c r="L67" s="374" t="s">
        <v>200</v>
      </c>
      <c r="M67" s="321"/>
      <c r="O67" s="32"/>
      <c r="P67" s="21"/>
      <c r="Q67" s="21"/>
      <c r="R67" s="108"/>
      <c r="S67" s="107"/>
      <c r="T67" s="374"/>
      <c r="U67" s="321"/>
      <c r="W67" s="21"/>
      <c r="X67" s="21"/>
      <c r="Y67" s="21"/>
      <c r="Z67" s="108"/>
      <c r="AA67" s="107"/>
      <c r="AB67" s="374"/>
      <c r="AC67" s="321"/>
      <c r="AE67" s="21"/>
      <c r="AF67" s="21"/>
      <c r="AG67" s="21"/>
      <c r="AH67" s="108"/>
      <c r="AI67" s="107"/>
      <c r="AJ67" s="374"/>
      <c r="AK67" s="321"/>
      <c r="AM67" s="21"/>
      <c r="AN67" s="21"/>
      <c r="AO67" s="21"/>
      <c r="AP67" s="108"/>
      <c r="AQ67" s="107"/>
      <c r="AR67" s="374"/>
      <c r="AS67" s="321"/>
      <c r="AU67" s="21"/>
      <c r="AV67" s="21"/>
      <c r="AW67" s="21"/>
      <c r="AX67" s="108"/>
      <c r="AY67" s="107"/>
      <c r="AZ67" s="374"/>
      <c r="BA67" s="321"/>
    </row>
    <row r="68" spans="1:53" ht="15" customHeight="1">
      <c r="B68" s="89" t="s">
        <v>201</v>
      </c>
      <c r="C68" s="109">
        <f>INDEX($B62:$E62,MATCH(C67,$B62:$E62,1))</f>
        <v>850</v>
      </c>
      <c r="D68" s="89" t="s">
        <v>155</v>
      </c>
      <c r="E68" s="104">
        <f>MATCH(MAX($A63:$A65),$A63:$A65,1)</f>
        <v>3</v>
      </c>
      <c r="G68" s="21"/>
      <c r="H68" s="21"/>
      <c r="I68" s="21"/>
      <c r="J68" s="89" t="s">
        <v>201</v>
      </c>
      <c r="K68" s="109">
        <f>INDEX($B62:$E62,MATCH(K67,$B62:$E62,1))</f>
        <v>850</v>
      </c>
      <c r="L68" s="89" t="s">
        <v>155</v>
      </c>
      <c r="M68" s="104">
        <f>MATCH(MAX($A63:$A65),$A63:$A65,1)</f>
        <v>3</v>
      </c>
      <c r="O68" s="32"/>
      <c r="P68" s="21"/>
      <c r="Q68" s="21"/>
      <c r="R68" s="89"/>
      <c r="S68" s="109"/>
      <c r="T68" s="89"/>
      <c r="U68" s="104"/>
      <c r="W68" s="21"/>
      <c r="X68" s="21"/>
      <c r="Y68" s="21"/>
      <c r="Z68" s="89"/>
      <c r="AA68" s="109"/>
      <c r="AB68" s="89"/>
      <c r="AC68" s="104"/>
      <c r="AE68" s="21"/>
      <c r="AF68" s="21"/>
      <c r="AG68" s="21"/>
      <c r="AH68" s="89"/>
      <c r="AI68" s="109"/>
      <c r="AJ68" s="89"/>
      <c r="AK68" s="104"/>
      <c r="AM68" s="21"/>
      <c r="AN68" s="21"/>
      <c r="AO68" s="21"/>
      <c r="AP68" s="89"/>
      <c r="AQ68" s="109"/>
      <c r="AR68" s="89"/>
      <c r="AS68" s="104"/>
      <c r="AU68" s="21"/>
      <c r="AV68" s="21"/>
      <c r="AW68" s="21"/>
      <c r="AX68" s="89"/>
      <c r="AY68" s="109"/>
      <c r="AZ68" s="89"/>
      <c r="BA68" s="104"/>
    </row>
    <row r="69" spans="1:53" ht="15" customHeight="1">
      <c r="B69" s="89" t="s">
        <v>202</v>
      </c>
      <c r="C69" s="109" cm="1">
        <f t="array" ref="C69">INDEX($B62:$E62,IF(MATCH(C67,$B62:$E62,1)&lt;E69,MATCH(C67,$B62:$E62,1)+1,MATCH(C67,$B62:$E62,1)))</f>
        <v>1175</v>
      </c>
      <c r="D69" s="89" t="s">
        <v>156</v>
      </c>
      <c r="E69" s="104">
        <f>MATCH(MAX($B62:$E62),$B62:$E62,0)</f>
        <v>4</v>
      </c>
      <c r="G69" s="21"/>
      <c r="H69" s="21"/>
      <c r="I69" s="21"/>
      <c r="J69" s="89" t="s">
        <v>202</v>
      </c>
      <c r="K69" s="109" cm="1">
        <f t="array" ref="K69">INDEX($B62:$E62,IF(MATCH(K67,$B62:$E62,1)&lt;M69,MATCH(K67,$B62:$E62,1)+1,MATCH(K67,$B62:$E62,1)))</f>
        <v>1175</v>
      </c>
      <c r="L69" s="89" t="s">
        <v>156</v>
      </c>
      <c r="M69" s="104">
        <f>MATCH(MAX($B62:$E62),$B62:$E62,0)</f>
        <v>4</v>
      </c>
      <c r="O69" s="32"/>
      <c r="P69" s="21"/>
      <c r="Q69" s="21"/>
      <c r="R69" s="89"/>
      <c r="S69" s="109"/>
      <c r="T69" s="89"/>
      <c r="U69" s="104"/>
      <c r="W69" s="21"/>
      <c r="X69" s="21"/>
      <c r="Y69" s="21"/>
      <c r="Z69" s="89"/>
      <c r="AA69" s="109"/>
      <c r="AB69" s="89"/>
      <c r="AC69" s="104"/>
      <c r="AE69" s="21"/>
      <c r="AF69" s="21"/>
      <c r="AG69" s="21"/>
      <c r="AH69" s="89"/>
      <c r="AI69" s="109"/>
      <c r="AJ69" s="89"/>
      <c r="AK69" s="104"/>
      <c r="AM69" s="21"/>
      <c r="AN69" s="21"/>
      <c r="AO69" s="21"/>
      <c r="AP69" s="89"/>
      <c r="AQ69" s="109"/>
      <c r="AR69" s="89"/>
      <c r="AS69" s="104"/>
      <c r="AU69" s="21"/>
      <c r="AV69" s="21"/>
      <c r="AW69" s="21"/>
      <c r="AX69" s="89"/>
      <c r="AY69" s="109"/>
      <c r="AZ69" s="89"/>
      <c r="BA69" s="104"/>
    </row>
    <row r="70" spans="1:53" ht="15" customHeight="1">
      <c r="B70" s="106" t="s">
        <v>158</v>
      </c>
      <c r="C70" s="110">
        <f>Landing!C21</f>
        <v>0</v>
      </c>
      <c r="D70" s="21"/>
      <c r="E70" s="21"/>
      <c r="G70" s="21"/>
      <c r="H70" s="21"/>
      <c r="I70" s="21"/>
      <c r="J70" s="106" t="s">
        <v>158</v>
      </c>
      <c r="K70" s="110">
        <f>'Take-off'!$C$24</f>
        <v>0</v>
      </c>
      <c r="L70" s="21"/>
      <c r="M70" s="21"/>
      <c r="O70" s="32"/>
      <c r="P70" s="21"/>
      <c r="Q70" s="21"/>
      <c r="R70" s="106"/>
      <c r="S70" s="110"/>
      <c r="T70" s="21"/>
      <c r="U70" s="21"/>
      <c r="W70" s="21"/>
      <c r="X70" s="21"/>
      <c r="Y70" s="21"/>
      <c r="Z70" s="106"/>
      <c r="AA70" s="110"/>
      <c r="AB70" s="21"/>
      <c r="AC70" s="21"/>
      <c r="AE70" s="21"/>
      <c r="AF70" s="21"/>
      <c r="AG70" s="21"/>
      <c r="AH70" s="106"/>
      <c r="AI70" s="110"/>
      <c r="AJ70" s="21"/>
      <c r="AK70" s="21"/>
      <c r="AM70" s="21"/>
      <c r="AN70" s="21"/>
      <c r="AO70" s="21"/>
      <c r="AP70" s="106"/>
      <c r="AQ70" s="110"/>
      <c r="AR70" s="21"/>
      <c r="AS70" s="21"/>
      <c r="AU70" s="21"/>
      <c r="AV70" s="21"/>
      <c r="AW70" s="21"/>
      <c r="AX70" s="106"/>
      <c r="AY70" s="110"/>
      <c r="AZ70" s="21"/>
      <c r="BA70" s="21"/>
    </row>
    <row r="71" spans="1:53" ht="15" customHeight="1">
      <c r="B71" s="89" t="s">
        <v>159</v>
      </c>
      <c r="C71" s="109">
        <f>INDEX($A63:$A65,MATCH(C70,$A63:$A65,1))</f>
        <v>0</v>
      </c>
      <c r="D71" s="21"/>
      <c r="E71" s="38"/>
      <c r="G71" s="21"/>
      <c r="H71" s="21"/>
      <c r="I71" s="21"/>
      <c r="J71" s="89" t="s">
        <v>159</v>
      </c>
      <c r="K71" s="109">
        <f>INDEX($A63:$A65,MATCH(K70,$A63:$A65,1))</f>
        <v>0</v>
      </c>
      <c r="L71" s="21"/>
      <c r="M71" s="38"/>
      <c r="O71" s="32"/>
      <c r="P71" s="21"/>
      <c r="Q71" s="21"/>
      <c r="R71" s="89"/>
      <c r="S71" s="109"/>
      <c r="T71" s="21"/>
      <c r="U71" s="38"/>
      <c r="W71" s="21"/>
      <c r="X71" s="21"/>
      <c r="Y71" s="21"/>
      <c r="Z71" s="89"/>
      <c r="AA71" s="109"/>
      <c r="AB71" s="21"/>
      <c r="AC71" s="38"/>
      <c r="AE71" s="21"/>
      <c r="AF71" s="21"/>
      <c r="AG71" s="21"/>
      <c r="AH71" s="89"/>
      <c r="AI71" s="109"/>
      <c r="AJ71" s="21"/>
      <c r="AK71" s="38"/>
      <c r="AM71" s="21"/>
      <c r="AN71" s="21"/>
      <c r="AO71" s="21"/>
      <c r="AP71" s="89"/>
      <c r="AQ71" s="109"/>
      <c r="AR71" s="21"/>
      <c r="AS71" s="38"/>
      <c r="AU71" s="21"/>
      <c r="AV71" s="21"/>
      <c r="AW71" s="21"/>
      <c r="AX71" s="89"/>
      <c r="AY71" s="109"/>
      <c r="AZ71" s="21"/>
      <c r="BA71" s="38"/>
    </row>
    <row r="72" spans="1:53" ht="15" customHeight="1">
      <c r="B72" s="89" t="s">
        <v>160</v>
      </c>
      <c r="C72" s="109" cm="1">
        <f t="array" ref="C72">INDEX($A63:$A65,IF(MATCH(C70,$A63:$A65,1)&lt;E68,MATCH(C70,$A63:$A65,1)+1,MATCH(C70,$A63:$A65,1)))</f>
        <v>30</v>
      </c>
      <c r="D72" s="21"/>
      <c r="E72" s="38"/>
      <c r="G72" s="21"/>
      <c r="H72" s="21"/>
      <c r="I72" s="21"/>
      <c r="J72" s="89" t="s">
        <v>160</v>
      </c>
      <c r="K72" s="109" cm="1">
        <f t="array" ref="K72">INDEX($A63:$A65,IF(MATCH(K70,$A63:$A65,1)&lt;M68,MATCH(K70,$A63:$A65,1)+1,MATCH(K70,$A63:$A65,1)))</f>
        <v>30</v>
      </c>
      <c r="L72" s="21"/>
      <c r="M72" s="38"/>
      <c r="O72" s="32"/>
      <c r="P72" s="21"/>
      <c r="Q72" s="21"/>
      <c r="R72" s="89"/>
      <c r="S72" s="109"/>
      <c r="T72" s="21"/>
      <c r="U72" s="38"/>
      <c r="W72" s="21"/>
      <c r="X72" s="21"/>
      <c r="Y72" s="21"/>
      <c r="Z72" s="89"/>
      <c r="AA72" s="109"/>
      <c r="AB72" s="21"/>
      <c r="AC72" s="38"/>
      <c r="AE72" s="21"/>
      <c r="AF72" s="21"/>
      <c r="AG72" s="21"/>
      <c r="AH72" s="89"/>
      <c r="AI72" s="109"/>
      <c r="AJ72" s="21"/>
      <c r="AK72" s="38"/>
      <c r="AM72" s="21"/>
      <c r="AN72" s="21"/>
      <c r="AO72" s="21"/>
      <c r="AP72" s="89"/>
      <c r="AQ72" s="109"/>
      <c r="AR72" s="21"/>
      <c r="AS72" s="38"/>
      <c r="AU72" s="21"/>
      <c r="AV72" s="21"/>
      <c r="AW72" s="21"/>
      <c r="AX72" s="89"/>
      <c r="AY72" s="109"/>
      <c r="AZ72" s="21"/>
      <c r="BA72" s="38"/>
    </row>
    <row r="73" spans="1:53" ht="15" customHeight="1">
      <c r="B73" s="108" t="s">
        <v>161</v>
      </c>
      <c r="C73" s="107">
        <f>INDEX($B63:$E65,MATCH(C70,$A63:$A65,1),MATCH(C67,$B62:$E62,1))</f>
        <v>850</v>
      </c>
      <c r="D73" s="21"/>
      <c r="E73" s="38"/>
      <c r="G73" s="21"/>
      <c r="H73" s="21"/>
      <c r="I73" s="21"/>
      <c r="J73" s="108" t="s">
        <v>161</v>
      </c>
      <c r="K73" s="107">
        <f>INDEX($B63:$E65,MATCH(K70,$A63:$A65,1),MATCH(K67,$B62:$E62,1))</f>
        <v>850</v>
      </c>
      <c r="L73" s="21"/>
      <c r="M73" s="38"/>
      <c r="O73" s="32"/>
      <c r="P73" s="21"/>
      <c r="Q73" s="21"/>
      <c r="R73" s="108"/>
      <c r="S73" s="107"/>
      <c r="T73" s="21"/>
      <c r="U73" s="38"/>
      <c r="W73" s="21"/>
      <c r="X73" s="21"/>
      <c r="Y73" s="21"/>
      <c r="Z73" s="108"/>
      <c r="AA73" s="107"/>
      <c r="AB73" s="21"/>
      <c r="AC73" s="38"/>
      <c r="AE73" s="21"/>
      <c r="AF73" s="21"/>
      <c r="AG73" s="21"/>
      <c r="AH73" s="108"/>
      <c r="AI73" s="107"/>
      <c r="AJ73" s="21"/>
      <c r="AK73" s="38"/>
      <c r="AM73" s="21"/>
      <c r="AN73" s="21"/>
      <c r="AO73" s="21"/>
      <c r="AP73" s="108"/>
      <c r="AQ73" s="107"/>
      <c r="AR73" s="21"/>
      <c r="AS73" s="38"/>
      <c r="AU73" s="21"/>
      <c r="AV73" s="21"/>
      <c r="AW73" s="21"/>
      <c r="AX73" s="108"/>
      <c r="AY73" s="107"/>
      <c r="AZ73" s="21"/>
      <c r="BA73" s="38"/>
    </row>
    <row r="74" spans="1:53" ht="15" customHeight="1">
      <c r="B74" s="108" t="s">
        <v>203</v>
      </c>
      <c r="C74" s="107" cm="1">
        <f t="array" ref="C74">INDEX($B63:$E65,MATCH(C70,$A63:$A65,1),IF(MATCH(C67,$B62:$E62,1)&lt;E69,MATCH(C67,$B62:$E62,1)+1,MATCH(C70,$A63:$A65,1)))</f>
        <v>1175</v>
      </c>
      <c r="E74" s="38"/>
      <c r="G74" s="21"/>
      <c r="H74" s="21"/>
      <c r="I74" s="21"/>
      <c r="J74" s="108" t="s">
        <v>203</v>
      </c>
      <c r="K74" s="107" cm="1">
        <f t="array" ref="K74">INDEX($B63:$E65,MATCH(K70,$A63:$A65,1),IF(MATCH(K67,$B62:$E62,1)&lt;M69,MATCH(K67,$B62:$E62,1)+1,MATCH(K70,$A63:$A65,1)))</f>
        <v>1175</v>
      </c>
      <c r="M74" s="38"/>
      <c r="O74" s="9"/>
      <c r="P74" s="21"/>
      <c r="Q74" s="21"/>
      <c r="R74" s="108"/>
      <c r="S74" s="107"/>
      <c r="U74" s="38"/>
      <c r="W74" s="21"/>
      <c r="X74" s="21"/>
      <c r="Y74" s="21"/>
      <c r="Z74" s="108"/>
      <c r="AA74" s="107"/>
      <c r="AC74" s="38"/>
      <c r="AE74" s="21"/>
      <c r="AF74" s="21"/>
      <c r="AG74" s="21"/>
      <c r="AH74" s="108"/>
      <c r="AI74" s="107"/>
      <c r="AK74" s="38"/>
      <c r="AM74" s="21"/>
      <c r="AN74" s="21"/>
      <c r="AO74" s="21"/>
      <c r="AP74" s="108"/>
      <c r="AQ74" s="107"/>
      <c r="AS74" s="38"/>
      <c r="AU74" s="21"/>
      <c r="AV74" s="21"/>
      <c r="AW74" s="21"/>
      <c r="AX74" s="108"/>
      <c r="AY74" s="107"/>
      <c r="BA74" s="38"/>
    </row>
    <row r="75" spans="1:53" ht="15" customHeight="1">
      <c r="B75" s="108" t="s">
        <v>162</v>
      </c>
      <c r="C75" s="107" cm="1">
        <f t="array" ref="C75">INDEX($B63:$E65,IF(MATCH(C70,$A63:$A65,1)&lt;E68,MATCH(C70,$A63:$A65,1)+1,MATCH(C70,$A63:$A65,1)),MATCH(C67,$B62:$E62,1))</f>
        <v>575</v>
      </c>
      <c r="E75" s="38"/>
      <c r="G75" s="21"/>
      <c r="H75" s="21"/>
      <c r="I75" s="21"/>
      <c r="J75" s="108" t="s">
        <v>162</v>
      </c>
      <c r="K75" s="107" cm="1">
        <f t="array" ref="K75">INDEX($B63:$E65,IF(MATCH(K70,$A63:$A65,1)&lt;M68,MATCH(K70,$A63:$A65,1)+1,MATCH(K70,$A63:$A65,1)),MATCH(K67,$B62:$E62,1))</f>
        <v>575</v>
      </c>
      <c r="M75" s="38"/>
      <c r="O75" s="9"/>
      <c r="P75" s="21"/>
      <c r="Q75" s="21"/>
      <c r="R75" s="108"/>
      <c r="S75" s="107"/>
      <c r="U75" s="38"/>
      <c r="W75" s="21"/>
      <c r="X75" s="21"/>
      <c r="Y75" s="21"/>
      <c r="Z75" s="108"/>
      <c r="AA75" s="107"/>
      <c r="AC75" s="38"/>
      <c r="AE75" s="21"/>
      <c r="AF75" s="21"/>
      <c r="AG75" s="21"/>
      <c r="AH75" s="108"/>
      <c r="AI75" s="107"/>
      <c r="AK75" s="38"/>
      <c r="AM75" s="21"/>
      <c r="AN75" s="21"/>
      <c r="AO75" s="21"/>
      <c r="AP75" s="108"/>
      <c r="AQ75" s="107"/>
      <c r="AS75" s="38"/>
      <c r="AU75" s="21"/>
      <c r="AV75" s="21"/>
      <c r="AW75" s="21"/>
      <c r="AX75" s="108"/>
      <c r="AY75" s="107"/>
      <c r="BA75" s="38"/>
    </row>
    <row r="76" spans="1:53" ht="15" customHeight="1">
      <c r="B76" s="108" t="s">
        <v>204</v>
      </c>
      <c r="C76" s="107" cm="1">
        <f t="array" ref="C76">INDEX($B63:$E65,IF(MATCH(C70,$A63:$A65,1)&lt;E68,MATCH(C70,$A63:$A65,1)+1,MATCH(C70,$A63:$A65,1)),IF(MATCH(C67,$B62:$E62,1)&lt;E69,MATCH(C67,$B62:$E62,1)+1,MATCH(C67,$B62:$E62,1)))</f>
        <v>850</v>
      </c>
      <c r="G76" s="21"/>
      <c r="H76" s="21"/>
      <c r="I76" s="21"/>
      <c r="J76" s="108" t="s">
        <v>204</v>
      </c>
      <c r="K76" s="107" cm="1">
        <f t="array" ref="K76">INDEX($B63:$E65,IF(MATCH(K70,$A63:$A65,1)&lt;M68,MATCH(K70,$A63:$A65,1)+1,MATCH(K70,$A63:$A65,1)),IF(MATCH(K67,$B62:$E62,1)&lt;M69,MATCH(K67,$B62:$E62,1)+1,MATCH(K67,$B62:$E62,1)))</f>
        <v>850</v>
      </c>
      <c r="O76" s="9"/>
      <c r="P76" s="21"/>
      <c r="Q76" s="21"/>
      <c r="R76" s="108"/>
      <c r="S76" s="107"/>
      <c r="W76" s="21"/>
      <c r="X76" s="21"/>
      <c r="Y76" s="21"/>
      <c r="Z76" s="108"/>
      <c r="AA76" s="107"/>
      <c r="AE76" s="21"/>
      <c r="AF76" s="21"/>
      <c r="AG76" s="21"/>
      <c r="AH76" s="108"/>
      <c r="AI76" s="107"/>
      <c r="AM76" s="21"/>
      <c r="AN76" s="21"/>
      <c r="AO76" s="21"/>
      <c r="AP76" s="108"/>
      <c r="AQ76" s="107"/>
      <c r="AU76" s="21"/>
      <c r="AV76" s="21"/>
      <c r="AW76" s="21"/>
      <c r="AX76" s="108"/>
      <c r="AY76" s="107"/>
    </row>
    <row r="77" spans="1:53" ht="15" customHeight="1">
      <c r="B77" s="89" t="s">
        <v>205</v>
      </c>
      <c r="C77" s="109">
        <f>IFERROR(C73+(C67-C68)*(C74-C73)/(C69-C68),C73)</f>
        <v>1022.8451428571428</v>
      </c>
      <c r="G77" s="21"/>
      <c r="H77" s="21"/>
      <c r="I77" s="21"/>
      <c r="J77" s="89" t="s">
        <v>205</v>
      </c>
      <c r="K77" s="109">
        <f>IFERROR(K73+(K67-K68)*(K74-K73)/(K69-K68),K73)</f>
        <v>1096.8745142857142</v>
      </c>
      <c r="O77" s="9"/>
      <c r="P77" s="21"/>
      <c r="Q77" s="21"/>
      <c r="R77" s="89"/>
      <c r="S77" s="109"/>
      <c r="W77" s="21"/>
      <c r="X77" s="21"/>
      <c r="Y77" s="21"/>
      <c r="Z77" s="89"/>
      <c r="AA77" s="109"/>
      <c r="AE77" s="21"/>
      <c r="AF77" s="21"/>
      <c r="AG77" s="21"/>
      <c r="AH77" s="89"/>
      <c r="AI77" s="109"/>
      <c r="AM77" s="21"/>
      <c r="AN77" s="21"/>
      <c r="AO77" s="21"/>
      <c r="AP77" s="89"/>
      <c r="AQ77" s="109"/>
      <c r="AU77" s="21"/>
      <c r="AV77" s="21"/>
      <c r="AW77" s="21"/>
      <c r="AX77" s="89"/>
      <c r="AY77" s="109"/>
    </row>
    <row r="78" spans="1:53" ht="15" customHeight="1">
      <c r="B78" s="89" t="s">
        <v>206</v>
      </c>
      <c r="C78" s="109">
        <f>IFERROR(C75+(C67-C68)*(C76-C75)/(C69-C68),C75)</f>
        <v>721.25358241758238</v>
      </c>
      <c r="G78" s="21"/>
      <c r="H78" s="21"/>
      <c r="I78" s="21"/>
      <c r="J78" s="89" t="s">
        <v>206</v>
      </c>
      <c r="K78" s="109">
        <f>IFERROR(K75+(K67-K68)*(K76-K75)/(K69-K68),K75)</f>
        <v>783.8938197802197</v>
      </c>
      <c r="O78" s="9"/>
      <c r="P78" s="21"/>
      <c r="Q78" s="21"/>
      <c r="R78" s="89"/>
      <c r="S78" s="109"/>
      <c r="W78" s="21"/>
      <c r="X78" s="21"/>
      <c r="Y78" s="21"/>
      <c r="Z78" s="89"/>
      <c r="AA78" s="109"/>
      <c r="AE78" s="21"/>
      <c r="AF78" s="21"/>
      <c r="AG78" s="21"/>
      <c r="AH78" s="89"/>
      <c r="AI78" s="109"/>
      <c r="AM78" s="21"/>
      <c r="AN78" s="21"/>
      <c r="AO78" s="21"/>
      <c r="AP78" s="89"/>
      <c r="AQ78" s="109"/>
      <c r="AU78" s="21"/>
      <c r="AV78" s="21"/>
      <c r="AW78" s="21"/>
      <c r="AX78" s="89"/>
      <c r="AY78" s="109"/>
    </row>
    <row r="79" spans="1:53" ht="15" customHeight="1">
      <c r="B79" s="108" t="s">
        <v>207</v>
      </c>
      <c r="C79" s="107">
        <f>IFERROR(C77+(C70-C71)*(C78-C77)/(C72-C71),C77)</f>
        <v>1022.8451428571428</v>
      </c>
      <c r="G79" s="21"/>
      <c r="H79" s="21"/>
      <c r="I79" s="21"/>
      <c r="J79" s="108" t="s">
        <v>207</v>
      </c>
      <c r="K79" s="107">
        <f>IFERROR(K77+(K70-K71)*(K78-K77)/(K72-K71),K77)</f>
        <v>1096.8745142857142</v>
      </c>
      <c r="O79" s="9"/>
      <c r="P79" s="21"/>
      <c r="Q79" s="21"/>
      <c r="R79" s="108"/>
      <c r="S79" s="107"/>
      <c r="W79" s="21"/>
      <c r="X79" s="21"/>
      <c r="Y79" s="21"/>
      <c r="Z79" s="108"/>
      <c r="AA79" s="107"/>
      <c r="AE79" s="21"/>
      <c r="AF79" s="21"/>
      <c r="AG79" s="21"/>
      <c r="AH79" s="108"/>
      <c r="AI79" s="107"/>
      <c r="AM79" s="21"/>
      <c r="AN79" s="21"/>
      <c r="AO79" s="21"/>
      <c r="AP79" s="108"/>
      <c r="AQ79" s="107"/>
      <c r="AU79" s="21"/>
      <c r="AV79" s="21"/>
      <c r="AW79" s="21"/>
      <c r="AX79" s="108"/>
      <c r="AY79" s="107"/>
    </row>
    <row r="80" spans="1:53" ht="15" customHeight="1">
      <c r="B80" s="108"/>
      <c r="C80" s="107"/>
      <c r="G80" s="21"/>
      <c r="H80" s="21"/>
      <c r="I80" s="115"/>
      <c r="J80" s="182"/>
      <c r="K80" s="183"/>
      <c r="L80" s="181"/>
      <c r="M80" s="181"/>
      <c r="N80" s="181"/>
      <c r="O80" s="190"/>
      <c r="P80" s="115"/>
      <c r="Q80" s="115"/>
      <c r="R80" s="182"/>
      <c r="S80" s="183"/>
      <c r="T80" s="181"/>
      <c r="W80" s="21"/>
      <c r="X80" s="21"/>
      <c r="Y80" s="21"/>
      <c r="Z80" s="108"/>
      <c r="AA80" s="107"/>
      <c r="AE80" s="21"/>
      <c r="AF80" s="21"/>
      <c r="AG80" s="21"/>
      <c r="AH80" s="108"/>
      <c r="AI80" s="107"/>
      <c r="AM80" s="21"/>
      <c r="AN80" s="21"/>
      <c r="AO80" s="21"/>
      <c r="AP80" s="108"/>
      <c r="AQ80" s="107"/>
      <c r="AU80" s="21"/>
      <c r="AV80" s="21"/>
      <c r="AW80" s="21"/>
      <c r="AX80" s="108"/>
      <c r="AY80" s="107"/>
    </row>
    <row r="81" spans="1:61" ht="15" customHeight="1">
      <c r="A81" s="181"/>
      <c r="B81" s="383" t="s">
        <v>210</v>
      </c>
      <c r="C81" s="383"/>
      <c r="D81" s="383"/>
      <c r="E81" s="383"/>
      <c r="F81" s="383"/>
      <c r="G81" s="383"/>
      <c r="H81" s="383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81"/>
      <c r="W81" s="21"/>
      <c r="X81" s="21"/>
      <c r="Y81" s="21"/>
      <c r="Z81" s="108"/>
      <c r="AA81" s="107"/>
      <c r="AE81" s="21"/>
      <c r="AF81" s="21"/>
      <c r="AG81" s="21"/>
      <c r="AH81" s="108"/>
      <c r="AI81" s="107"/>
      <c r="AM81" s="21"/>
      <c r="AN81" s="21"/>
      <c r="AO81" s="21"/>
      <c r="AP81" s="108"/>
      <c r="AQ81" s="107"/>
      <c r="AU81" s="21"/>
      <c r="AV81" s="21"/>
      <c r="AW81" s="21"/>
      <c r="AX81" s="108"/>
      <c r="AY81" s="107"/>
    </row>
    <row r="82" spans="1:61" ht="15" customHeight="1">
      <c r="A82" s="181"/>
      <c r="B82" s="191">
        <v>575</v>
      </c>
      <c r="C82" s="191">
        <v>850</v>
      </c>
      <c r="D82" s="202">
        <v>1125</v>
      </c>
      <c r="E82" s="202">
        <v>1400</v>
      </c>
      <c r="F82" s="202">
        <v>1650</v>
      </c>
      <c r="G82" s="202">
        <v>1900</v>
      </c>
      <c r="H82" s="194">
        <v>2000</v>
      </c>
      <c r="I82" s="209"/>
      <c r="J82" s="183"/>
      <c r="K82" s="181"/>
      <c r="L82" s="182"/>
      <c r="M82" s="183"/>
      <c r="N82" s="181"/>
      <c r="O82" s="181"/>
      <c r="P82" s="181"/>
      <c r="Q82" s="115"/>
      <c r="R82" s="115"/>
      <c r="S82" s="115"/>
      <c r="T82" s="181"/>
      <c r="U82" s="181"/>
      <c r="V82" s="21"/>
      <c r="W82" s="21"/>
      <c r="X82" s="21"/>
      <c r="Y82" s="108"/>
      <c r="Z82" s="107"/>
      <c r="AD82" s="21"/>
      <c r="AE82" s="21"/>
      <c r="AF82" s="21"/>
      <c r="AG82" s="108"/>
      <c r="AH82" s="107"/>
      <c r="AL82" s="21"/>
      <c r="AM82" s="21"/>
      <c r="AN82" s="21"/>
      <c r="AO82" s="108"/>
      <c r="AP82" s="107"/>
      <c r="AT82" s="21"/>
      <c r="AU82" s="21"/>
      <c r="AV82" s="21"/>
      <c r="AW82" s="108"/>
      <c r="AX82" s="107"/>
      <c r="AY82" s="21"/>
      <c r="AZ82" s="21"/>
      <c r="BA82" s="108"/>
      <c r="BB82" s="107"/>
    </row>
    <row r="83" spans="1:61" ht="15" customHeight="1">
      <c r="A83" s="181">
        <v>0</v>
      </c>
      <c r="B83" s="191">
        <v>575</v>
      </c>
      <c r="C83" s="202">
        <v>850</v>
      </c>
      <c r="D83" s="202">
        <v>1125</v>
      </c>
      <c r="E83" s="202">
        <v>1400</v>
      </c>
      <c r="F83" s="202">
        <v>1650</v>
      </c>
      <c r="G83" s="202">
        <v>1900</v>
      </c>
      <c r="H83" s="203">
        <v>99999</v>
      </c>
      <c r="I83" s="209"/>
      <c r="J83" s="107"/>
      <c r="K83" s="107"/>
      <c r="L83" s="107"/>
      <c r="M83" s="107"/>
      <c r="N83" s="107"/>
      <c r="O83" s="107"/>
      <c r="P83" s="107"/>
      <c r="Q83" s="107"/>
      <c r="R83" s="107"/>
      <c r="S83" s="115"/>
      <c r="T83" s="181"/>
      <c r="V83" s="21"/>
      <c r="W83" s="21"/>
      <c r="X83" s="21"/>
      <c r="Y83" s="108"/>
      <c r="Z83" s="107"/>
      <c r="AD83" s="21"/>
      <c r="AE83" s="21"/>
      <c r="AF83" s="21"/>
      <c r="AG83" s="108"/>
      <c r="AH83" s="107"/>
      <c r="AL83" s="21"/>
      <c r="AM83" s="21"/>
      <c r="AN83" s="21"/>
      <c r="AO83" s="108"/>
      <c r="AP83" s="107"/>
      <c r="AT83" s="21"/>
      <c r="AU83" s="21"/>
      <c r="AV83" s="21"/>
      <c r="AW83" s="108"/>
      <c r="AX83" s="107"/>
      <c r="AY83" s="21"/>
      <c r="AZ83" s="21"/>
      <c r="BA83" s="108"/>
      <c r="BB83" s="107"/>
    </row>
    <row r="84" spans="1:61" ht="15" customHeight="1">
      <c r="A84" s="181">
        <v>50</v>
      </c>
      <c r="B84" s="198">
        <v>1050</v>
      </c>
      <c r="C84" s="207">
        <v>1575</v>
      </c>
      <c r="D84" s="207">
        <v>2075</v>
      </c>
      <c r="E84" s="207">
        <v>2575</v>
      </c>
      <c r="F84" s="207">
        <v>3100</v>
      </c>
      <c r="G84" s="207">
        <v>3600</v>
      </c>
      <c r="H84" s="210">
        <v>99999</v>
      </c>
      <c r="I84" s="209"/>
      <c r="J84" s="107"/>
      <c r="L84" s="108"/>
      <c r="M84" s="107"/>
      <c r="Q84" s="21"/>
      <c r="R84" s="21"/>
      <c r="S84" s="21"/>
      <c r="V84" s="21"/>
      <c r="W84" s="21"/>
      <c r="X84" s="21"/>
      <c r="Y84" s="108"/>
      <c r="Z84" s="107"/>
      <c r="AD84" s="21"/>
      <c r="AE84" s="21"/>
      <c r="AF84" s="21"/>
      <c r="AG84" s="108"/>
      <c r="AH84" s="107"/>
      <c r="AL84" s="21"/>
      <c r="AM84" s="21"/>
      <c r="AN84" s="21"/>
      <c r="AO84" s="108"/>
      <c r="AP84" s="107"/>
      <c r="AT84" s="21"/>
      <c r="AU84" s="21"/>
      <c r="AV84" s="21"/>
      <c r="AW84" s="108"/>
      <c r="AX84" s="107"/>
      <c r="AY84" s="21"/>
      <c r="AZ84" s="21"/>
      <c r="BA84" s="108"/>
      <c r="BB84" s="107"/>
    </row>
    <row r="85" spans="1:61" ht="15" customHeight="1">
      <c r="B85" s="182"/>
      <c r="C85" s="183"/>
      <c r="D85" s="181"/>
      <c r="E85" s="181"/>
      <c r="F85" s="181"/>
      <c r="G85" s="115"/>
      <c r="H85" s="115"/>
      <c r="I85" s="115"/>
      <c r="J85" s="182"/>
      <c r="K85" s="183"/>
      <c r="L85" s="181"/>
      <c r="M85" s="181"/>
      <c r="N85" s="181"/>
      <c r="O85" s="208"/>
      <c r="P85" s="115"/>
      <c r="Q85" s="115"/>
      <c r="R85" s="182"/>
      <c r="S85" s="183"/>
      <c r="T85" s="181"/>
      <c r="W85" s="21"/>
      <c r="X85" s="21"/>
      <c r="Y85" s="21"/>
      <c r="Z85" s="108"/>
      <c r="AA85" s="107"/>
      <c r="AE85" s="21"/>
      <c r="AF85" s="21"/>
      <c r="AG85" s="21"/>
      <c r="AH85" s="108"/>
      <c r="AI85" s="107"/>
      <c r="AM85" s="21"/>
      <c r="AN85" s="21"/>
      <c r="AO85" s="21"/>
      <c r="AP85" s="108"/>
      <c r="AQ85" s="107"/>
      <c r="AU85" s="21"/>
      <c r="AV85" s="21"/>
      <c r="AW85" s="21"/>
      <c r="AX85" s="108"/>
      <c r="AY85" s="107"/>
      <c r="BF85" s="21"/>
      <c r="BG85" s="21"/>
      <c r="BH85" s="108"/>
      <c r="BI85" s="107"/>
    </row>
    <row r="86" spans="1:61" ht="15" customHeight="1">
      <c r="B86" s="108" t="s">
        <v>157</v>
      </c>
      <c r="C86" s="107">
        <f>C79</f>
        <v>1022.8451428571428</v>
      </c>
      <c r="D86" s="374" t="s">
        <v>200</v>
      </c>
      <c r="E86" s="321"/>
      <c r="G86" s="21"/>
      <c r="H86" s="21"/>
      <c r="I86" s="21"/>
      <c r="J86" s="108" t="s">
        <v>157</v>
      </c>
      <c r="K86" s="107">
        <f>K79</f>
        <v>1096.8745142857142</v>
      </c>
      <c r="L86" s="374" t="s">
        <v>200</v>
      </c>
      <c r="M86" s="321"/>
      <c r="O86" s="32"/>
      <c r="P86" s="21"/>
    </row>
    <row r="87" spans="1:61" ht="15" customHeight="1">
      <c r="B87" s="89" t="s">
        <v>201</v>
      </c>
      <c r="C87" s="109">
        <f>INDEX($B82:$H82,MATCH(C86,$B82:$H82,1))</f>
        <v>850</v>
      </c>
      <c r="D87" s="89" t="s">
        <v>155</v>
      </c>
      <c r="E87" s="104">
        <f>MATCH(MAX($A83:$A84),$A83:$A84,1)</f>
        <v>2</v>
      </c>
      <c r="G87" s="21"/>
      <c r="H87" s="21"/>
      <c r="I87" s="21"/>
      <c r="J87" s="89" t="s">
        <v>201</v>
      </c>
      <c r="K87" s="109">
        <f>INDEX($B82:$H82,MATCH(K86,$B82:$H82,1))</f>
        <v>850</v>
      </c>
      <c r="L87" s="89" t="s">
        <v>155</v>
      </c>
      <c r="M87" s="104">
        <f>MATCH(MAX($A83:$A84),$A83:$A84,1)</f>
        <v>2</v>
      </c>
      <c r="O87" s="32"/>
      <c r="P87" s="21"/>
    </row>
    <row r="88" spans="1:61" ht="15" customHeight="1">
      <c r="B88" s="89" t="s">
        <v>202</v>
      </c>
      <c r="C88" s="109" cm="1">
        <f t="array" ref="C88">INDEX($B82:$H82,IF(MATCH(C86,$B82:$H82,1)&lt;E88,MATCH(C86,$B82:$H82,1)+1,MATCH(C86,$B82:$H82,1)))</f>
        <v>1125</v>
      </c>
      <c r="D88" s="89" t="s">
        <v>156</v>
      </c>
      <c r="E88" s="104">
        <f>MATCH(MAX($B82:$H82),$B82:$H82,0)</f>
        <v>7</v>
      </c>
      <c r="G88" s="21"/>
      <c r="H88" s="21"/>
      <c r="I88" s="21"/>
      <c r="J88" s="89" t="s">
        <v>202</v>
      </c>
      <c r="K88" s="109" cm="1">
        <f t="array" ref="K88">INDEX($B82:$H82,IF(MATCH(K86,$B82:$H82,1)&lt;M88,MATCH(K86,$B82:$H82,1)+1,MATCH(K86,$B82:$H82,1)))</f>
        <v>1125</v>
      </c>
      <c r="L88" s="89" t="s">
        <v>156</v>
      </c>
      <c r="M88" s="104">
        <f>MATCH(MAX($B82:$H82),$B82:$H82,0)</f>
        <v>7</v>
      </c>
      <c r="O88" s="32"/>
      <c r="P88" s="21"/>
    </row>
    <row r="89" spans="1:61" ht="15" customHeight="1">
      <c r="B89" s="106" t="s">
        <v>158</v>
      </c>
      <c r="C89" s="110">
        <v>50</v>
      </c>
      <c r="D89" s="21"/>
      <c r="E89" s="21"/>
      <c r="G89" s="21"/>
      <c r="H89" s="21"/>
      <c r="I89" s="21"/>
      <c r="J89" s="106" t="s">
        <v>158</v>
      </c>
      <c r="K89" s="110">
        <v>50</v>
      </c>
      <c r="L89" s="21"/>
      <c r="M89" s="21"/>
      <c r="O89" s="32"/>
      <c r="P89" s="21"/>
    </row>
    <row r="90" spans="1:61" ht="15" customHeight="1">
      <c r="B90" s="89" t="s">
        <v>159</v>
      </c>
      <c r="C90" s="109">
        <f>INDEX($A83:$A84,MATCH(C89,$A83:$A84,1))</f>
        <v>50</v>
      </c>
      <c r="D90" s="21"/>
      <c r="E90" s="38"/>
      <c r="G90" s="21"/>
      <c r="H90" s="21"/>
      <c r="I90" s="21"/>
      <c r="J90" s="89" t="s">
        <v>159</v>
      </c>
      <c r="K90" s="109">
        <f>INDEX($A83:$A84,MATCH(K89,$A83:$A84,1))</f>
        <v>50</v>
      </c>
      <c r="L90" s="21"/>
      <c r="M90" s="38"/>
      <c r="O90" s="32"/>
      <c r="P90" s="21"/>
    </row>
    <row r="91" spans="1:61" ht="15" customHeight="1">
      <c r="B91" s="89" t="s">
        <v>160</v>
      </c>
      <c r="C91" s="109" cm="1">
        <f t="array" ref="C91">INDEX($A83:$A84,IF(MATCH(C89,$A83:$A84,1)&lt;E87,MATCH(C89,$A83:$A84,1)+1,MATCH(C89,$A83:$A84,1)))</f>
        <v>50</v>
      </c>
      <c r="D91" s="21"/>
      <c r="E91" s="38"/>
      <c r="G91" s="21"/>
      <c r="H91" s="21"/>
      <c r="I91" s="21"/>
      <c r="J91" s="89" t="s">
        <v>160</v>
      </c>
      <c r="K91" s="109" cm="1">
        <f t="array" ref="K91">INDEX($A83:$A84,IF(MATCH(K89,$A83:$A84,1)&lt;M87,MATCH(K89,$A83:$A84,1)+1,MATCH(K89,$A83:$A84,1)))</f>
        <v>50</v>
      </c>
      <c r="L91" s="21"/>
      <c r="M91" s="38"/>
      <c r="O91" s="32"/>
      <c r="P91" s="21"/>
    </row>
    <row r="92" spans="1:61" ht="15" customHeight="1">
      <c r="B92" s="108" t="s">
        <v>161</v>
      </c>
      <c r="C92" s="107">
        <f>INDEX($B83:$H84,MATCH(C89,$A83:$A84,1),MATCH(C86,$B82:$H82,1))</f>
        <v>1575</v>
      </c>
      <c r="D92" s="21"/>
      <c r="E92" s="38"/>
      <c r="G92" s="21"/>
      <c r="H92" s="21"/>
      <c r="I92" s="21"/>
      <c r="J92" s="108" t="s">
        <v>161</v>
      </c>
      <c r="K92" s="107">
        <f>INDEX($B83:$H84,MATCH(K89,$A83:$A84,1),MATCH(K86,$B82:$H82,1))</f>
        <v>1575</v>
      </c>
      <c r="L92" s="21"/>
      <c r="M92" s="38"/>
      <c r="O92" s="32"/>
      <c r="P92" s="21"/>
    </row>
    <row r="93" spans="1:61" ht="15" customHeight="1">
      <c r="B93" s="108" t="s">
        <v>203</v>
      </c>
      <c r="C93" s="107" cm="1">
        <f t="array" ref="C93">INDEX($B83:$H84,MATCH(C89,$A83:$A84,1),IF(MATCH(C86,$B82:$H82,1)&lt;E88,MATCH(C86,$B82:$H82,1)+1,MATCH(C89,$A83:$A84,1)))</f>
        <v>2075</v>
      </c>
      <c r="E93" s="38"/>
      <c r="G93" s="21"/>
      <c r="H93" s="21"/>
      <c r="I93" s="21"/>
      <c r="J93" s="108" t="s">
        <v>203</v>
      </c>
      <c r="K93" s="107" cm="1">
        <f t="array" ref="K93">INDEX($B83:$H84,MATCH(K89,$A83:$A84,1),IF(MATCH(K86,$B82:$H82,1)&lt;M88,MATCH(K86,$B82:$H82,1)+1,MATCH(K89,$A83:$A84,1)))</f>
        <v>2075</v>
      </c>
      <c r="M93" s="38"/>
      <c r="O93" s="9"/>
      <c r="P93" s="21"/>
    </row>
    <row r="94" spans="1:61" ht="15" customHeight="1">
      <c r="B94" s="108" t="s">
        <v>162</v>
      </c>
      <c r="C94" s="107" cm="1">
        <f t="array" ref="C94">INDEX($B83:$H84,IF(MATCH(C89,$A83:$A84,1)&lt;E87,MATCH(C89,$A83:$A84,1)+1,MATCH(C89,$A83:$A84,1)),MATCH(C86,$B82:$H82,1))</f>
        <v>1575</v>
      </c>
      <c r="E94" s="38"/>
      <c r="G94" s="21"/>
      <c r="H94" s="21"/>
      <c r="I94" s="21"/>
      <c r="J94" s="108" t="s">
        <v>162</v>
      </c>
      <c r="K94" s="107" cm="1">
        <f t="array" ref="K94">INDEX($B83:$H84,IF(MATCH(K89,$A83:$A84,1)&lt;M87,MATCH(K89,$A83:$A84,1)+1,MATCH(K89,$A83:$A84,1)),MATCH(K86,$B82:$H82,1))</f>
        <v>1575</v>
      </c>
      <c r="M94" s="38"/>
      <c r="O94" s="9"/>
      <c r="P94" s="21"/>
    </row>
    <row r="95" spans="1:61" ht="15" customHeight="1">
      <c r="B95" s="108" t="s">
        <v>204</v>
      </c>
      <c r="C95" s="107" cm="1">
        <f t="array" ref="C95">INDEX($B83:$H84,IF(MATCH(C89,$A83:$A84,1)&lt;E87,MATCH(C89,$A83:$A84,1)+1,MATCH(C89,$A83:$A84,1)),IF(MATCH(C86,$B82:$H82,1)&lt;E88,MATCH(C86,$B82:$H82,1)+1,MATCH(C86,$B82:$H82,1)))</f>
        <v>2075</v>
      </c>
      <c r="G95" s="21"/>
      <c r="H95" s="21"/>
      <c r="I95" s="21"/>
      <c r="J95" s="108" t="s">
        <v>204</v>
      </c>
      <c r="K95" s="107" cm="1">
        <f t="array" ref="K95">INDEX($B83:$H84,IF(MATCH(K89,$A83:$A84,1)&lt;M87,MATCH(K89,$A83:$A84,1)+1,MATCH(K89,$A83:$A84,1)),IF(MATCH(K86,$B82:$H82,1)&lt;M88,MATCH(K86,$B82:$H82,1)+1,MATCH(K86,$B82:$H82,1)))</f>
        <v>2075</v>
      </c>
      <c r="O95" s="9"/>
      <c r="P95" s="21"/>
    </row>
    <row r="96" spans="1:61" ht="15" customHeight="1">
      <c r="B96" s="89" t="s">
        <v>205</v>
      </c>
      <c r="C96" s="109">
        <f>IFERROR(C92+(C86-C87)*(C93-C92)/(C88-C87),C92)</f>
        <v>1889.2638961038961</v>
      </c>
      <c r="G96" s="21"/>
      <c r="H96" s="21"/>
      <c r="I96" s="21"/>
      <c r="J96" s="89" t="s">
        <v>205</v>
      </c>
      <c r="K96" s="109">
        <f>IFERROR(K92+(K86-K87)*(K93-K92)/(K88-K87),K92)</f>
        <v>2023.8627532467531</v>
      </c>
      <c r="O96" s="9"/>
      <c r="P96" s="21"/>
    </row>
    <row r="97" spans="1:16" ht="15" customHeight="1">
      <c r="B97" s="89" t="s">
        <v>206</v>
      </c>
      <c r="C97" s="109">
        <f>IFERROR(C94+(C86-C87)*(C95-C94)/(C88-C87),C94)</f>
        <v>1889.2638961038961</v>
      </c>
      <c r="G97" s="21"/>
      <c r="H97" s="21"/>
      <c r="I97" s="21"/>
      <c r="J97" s="89" t="s">
        <v>206</v>
      </c>
      <c r="K97" s="109">
        <f>IFERROR(K94+(K86-K87)*(K95-K94)/(K88-K87),K94)</f>
        <v>2023.8627532467531</v>
      </c>
      <c r="O97" s="9"/>
      <c r="P97" s="21"/>
    </row>
    <row r="98" spans="1:16" ht="15" customHeight="1">
      <c r="B98" s="108" t="s">
        <v>207</v>
      </c>
      <c r="C98" s="107">
        <f>IFERROR(C96+(C89-C90)*(C97-C96)/(C91-C90),C96)</f>
        <v>1889.2638961038961</v>
      </c>
      <c r="G98" s="21"/>
      <c r="H98" s="21"/>
      <c r="I98" s="21"/>
      <c r="J98" s="108" t="s">
        <v>207</v>
      </c>
      <c r="K98" s="107">
        <f>IFERROR(K96+(K89-K90)*(K97-K96)/(K91-K90),K96)</f>
        <v>2023.8627532467531</v>
      </c>
      <c r="O98" s="9"/>
      <c r="P98" s="21"/>
    </row>
    <row r="100" spans="1:16" ht="15" customHeight="1">
      <c r="A100" t="s">
        <v>211</v>
      </c>
      <c r="C100">
        <f>C98/3.28</f>
        <v>575.99509027557815</v>
      </c>
      <c r="K100">
        <f>K98/3.28</f>
        <v>617.03132720937595</v>
      </c>
    </row>
    <row r="101" spans="1:16" ht="15" customHeight="1">
      <c r="B101" t="s">
        <v>182</v>
      </c>
      <c r="C101" s="117">
        <f>IF(Landing!$C$16&lt;0, ((-Landing!$C$16*5)%*C100),0 )</f>
        <v>0</v>
      </c>
      <c r="K101" s="117">
        <f>IF('Take-off'!$C$17&lt;0, ((-'Take-off'!$C$17*5)%*K100),0 )</f>
        <v>0</v>
      </c>
    </row>
    <row r="102" spans="1:16" ht="15" customHeight="1">
      <c r="B102" t="s">
        <v>183</v>
      </c>
      <c r="C102">
        <f>SUM(C100:C101)</f>
        <v>575.99509027557815</v>
      </c>
      <c r="K102">
        <f>SUM(K100:K101)</f>
        <v>617.03132720937595</v>
      </c>
    </row>
  </sheetData>
  <sheetProtection algorithmName="SHA-512" hashValue="zCRdEgzHzDEnQqF7E+t2DuaGGC/5BjQ/qar6WePhUOeHZKvBGE0YlvhDEtbftuqz4qnu7uW1KETxpEgX3bPHOA==" saltValue="0U1+242SgBXlOTrwPEJq4w==" spinCount="100000" sheet="1" objects="1" scenarios="1"/>
  <mergeCells count="24">
    <mergeCell ref="AJ21:AK21"/>
    <mergeCell ref="AR21:AS21"/>
    <mergeCell ref="AZ21:BA21"/>
    <mergeCell ref="I5:O5"/>
    <mergeCell ref="A8:F8"/>
    <mergeCell ref="D21:E21"/>
    <mergeCell ref="L21:M21"/>
    <mergeCell ref="T21:U21"/>
    <mergeCell ref="AB21:AC21"/>
    <mergeCell ref="AJ67:AK67"/>
    <mergeCell ref="AR67:AS67"/>
    <mergeCell ref="AZ67:BA67"/>
    <mergeCell ref="D46:E46"/>
    <mergeCell ref="L46:M46"/>
    <mergeCell ref="L86:M86"/>
    <mergeCell ref="D67:E67"/>
    <mergeCell ref="L67:M67"/>
    <mergeCell ref="T67:U67"/>
    <mergeCell ref="AB67:AC67"/>
    <mergeCell ref="B35:E35"/>
    <mergeCell ref="B10:F10"/>
    <mergeCell ref="B61:F61"/>
    <mergeCell ref="B81:H81"/>
    <mergeCell ref="D86:E86"/>
  </mergeCells>
  <conditionalFormatting sqref="B37:D44">
    <cfRule type="colorScale" priority="270">
      <colorScale>
        <cfvo type="min"/>
        <cfvo type="max"/>
        <color rgb="FFFCFCFF"/>
        <color rgb="FFF8696B"/>
      </colorScale>
    </cfRule>
  </conditionalFormatting>
  <conditionalFormatting sqref="B63:D65">
    <cfRule type="colorScale" priority="289">
      <colorScale>
        <cfvo type="min"/>
        <cfvo type="max"/>
        <color rgb="FFFCFCFF"/>
        <color rgb="FFF8696B"/>
      </colorScale>
    </cfRule>
  </conditionalFormatting>
  <conditionalFormatting sqref="B12:E18">
    <cfRule type="colorScale" priority="269">
      <colorScale>
        <cfvo type="min"/>
        <cfvo type="max"/>
        <color rgb="FFFCFCFF"/>
        <color rgb="FFF8696B"/>
      </colorScale>
    </cfRule>
  </conditionalFormatting>
  <conditionalFormatting sqref="B83:G84">
    <cfRule type="colorScale" priority="312">
      <colorScale>
        <cfvo type="min"/>
        <cfvo type="max"/>
        <color rgb="FFFCFCFF"/>
        <color rgb="FFF8696B"/>
      </colorScale>
    </cfRule>
  </conditionalFormatting>
  <conditionalFormatting sqref="I37:P44">
    <cfRule type="colorScale" priority="38">
      <colorScale>
        <cfvo type="min"/>
        <cfvo type="max"/>
        <color rgb="FFFCFCFF"/>
        <color rgb="FFF8696B"/>
      </colorScale>
    </cfRule>
  </conditionalFormatting>
  <conditionalFormatting sqref="I63:P65">
    <cfRule type="colorScale" priority="46">
      <colorScale>
        <cfvo type="min"/>
        <cfvo type="max"/>
        <color rgb="FFFCFCFF"/>
        <color rgb="FFF8696B"/>
      </colorScale>
    </cfRule>
  </conditionalFormatting>
  <conditionalFormatting sqref="J12:Q19">
    <cfRule type="colorScale" priority="37">
      <colorScale>
        <cfvo type="min"/>
        <cfvo type="max"/>
        <color rgb="FFFCFCFF"/>
        <color rgb="FFF8696B"/>
      </colorScale>
    </cfRule>
  </conditionalFormatting>
  <conditionalFormatting sqref="L83:S84">
    <cfRule type="colorScale" priority="272">
      <colorScale>
        <cfvo type="min"/>
        <cfvo type="max"/>
        <color rgb="FFFCFCFF"/>
        <color rgb="FFF8696B"/>
      </colorScale>
    </cfRule>
  </conditionalFormatting>
  <pageMargins left="0.25" right="0.25" top="0.75" bottom="0.75" header="0" footer="0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0171C-B914-4F5A-9295-C52E17C2B528}">
  <sheetPr codeName="Blad12">
    <pageSetUpPr fitToPage="1"/>
  </sheetPr>
  <dimension ref="A1:BC74"/>
  <sheetViews>
    <sheetView topLeftCell="A59" workbookViewId="0">
      <selection activeCell="I58" sqref="I58"/>
    </sheetView>
  </sheetViews>
  <sheetFormatPr defaultColWidth="14.44140625" defaultRowHeight="15" customHeight="1"/>
  <cols>
    <col min="1" max="12" width="9.109375" customWidth="1"/>
    <col min="13" max="13" width="5" customWidth="1"/>
    <col min="14" max="58" width="9.109375" customWidth="1"/>
  </cols>
  <sheetData>
    <row r="1" spans="1:55" ht="14.25" customHeight="1">
      <c r="A1" s="1"/>
      <c r="B1" s="19" t="s">
        <v>194</v>
      </c>
      <c r="C1" s="108" t="s">
        <v>157</v>
      </c>
      <c r="D1" s="130">
        <f>IF('Take-off'!$C$9="",'Take-off'!$C$16,MAX(0,'Take-off'!$C$16+30*(1013-'Take-off'!$C$9)))</f>
        <v>1177</v>
      </c>
      <c r="E1" s="55"/>
      <c r="F1" s="55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31"/>
      <c r="AW1" s="1"/>
      <c r="AX1" s="1"/>
      <c r="AY1" s="1"/>
      <c r="AZ1" s="1"/>
      <c r="BA1" s="1"/>
      <c r="BB1" s="1"/>
      <c r="BC1" s="1"/>
    </row>
    <row r="2" spans="1:55" ht="14.25" customHeight="1">
      <c r="A2" s="1"/>
      <c r="B2" s="19" t="s">
        <v>196</v>
      </c>
      <c r="C2" s="106" t="s">
        <v>158</v>
      </c>
      <c r="D2" s="130">
        <f>IF('Take-off'!C13='Dropdown lists'!B30, 'Take-off'!$C$8+6, 'Take-off'!$C$8)</f>
        <v>0</v>
      </c>
      <c r="E2" s="132" t="s">
        <v>213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31"/>
      <c r="AW2" s="1"/>
      <c r="AX2" s="1"/>
      <c r="AY2" s="1"/>
      <c r="AZ2" s="1"/>
      <c r="BA2" s="1"/>
      <c r="BB2" s="1"/>
      <c r="BC2" s="1"/>
    </row>
    <row r="3" spans="1:55" ht="14.25" customHeight="1">
      <c r="A3" s="1"/>
      <c r="B3" s="387" t="s">
        <v>149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213"/>
      <c r="N3" s="1"/>
      <c r="O3" s="387" t="s">
        <v>214</v>
      </c>
      <c r="P3" s="387"/>
      <c r="Q3" s="387"/>
      <c r="R3" s="387"/>
      <c r="S3" s="387"/>
      <c r="T3" s="387"/>
      <c r="U3" s="387"/>
      <c r="V3" s="387"/>
      <c r="W3" s="387"/>
      <c r="X3" s="387"/>
      <c r="Y3" s="387"/>
      <c r="Z3" s="1"/>
      <c r="AA3" s="1"/>
      <c r="AB3" s="387" t="s">
        <v>215</v>
      </c>
      <c r="AC3" s="387"/>
      <c r="AD3" s="387"/>
      <c r="AE3" s="387"/>
      <c r="AF3" s="387"/>
      <c r="AG3" s="387"/>
      <c r="AH3" s="387"/>
      <c r="AI3" s="387"/>
      <c r="AJ3" s="387"/>
      <c r="AK3" s="387"/>
      <c r="AL3" s="387"/>
      <c r="AM3" s="1"/>
      <c r="AN3" s="1"/>
      <c r="AO3" s="1"/>
      <c r="AP3" s="1"/>
      <c r="AQ3" s="1"/>
      <c r="AR3" s="1"/>
      <c r="AS3" s="1"/>
      <c r="AT3" s="1"/>
      <c r="AU3" s="1"/>
      <c r="AV3" s="131"/>
      <c r="AW3" s="1"/>
      <c r="AX3" s="1"/>
      <c r="AY3" s="1"/>
      <c r="AZ3" s="1"/>
      <c r="BA3" s="1"/>
      <c r="BB3" s="1"/>
      <c r="BC3" s="1"/>
    </row>
    <row r="4" spans="1:55" ht="15" customHeight="1">
      <c r="A4" s="181"/>
      <c r="B4" s="383" t="s">
        <v>216</v>
      </c>
      <c r="C4" s="383"/>
      <c r="D4" s="383"/>
      <c r="E4" s="383"/>
      <c r="F4" s="383"/>
      <c r="G4" s="188"/>
      <c r="H4" s="188"/>
      <c r="I4" s="188"/>
      <c r="J4" s="188"/>
      <c r="K4" s="188"/>
      <c r="L4" s="188"/>
      <c r="M4" s="188"/>
      <c r="N4" s="181"/>
      <c r="O4" s="383" t="s">
        <v>216</v>
      </c>
      <c r="P4" s="383"/>
      <c r="Q4" s="383"/>
      <c r="R4" s="383"/>
      <c r="S4" s="383"/>
      <c r="T4" s="188"/>
      <c r="U4" s="188"/>
      <c r="V4" s="188"/>
      <c r="W4" s="188"/>
      <c r="X4" s="188"/>
      <c r="Y4" s="188"/>
      <c r="Z4" s="108"/>
      <c r="AA4" s="181"/>
      <c r="AB4" s="383" t="s">
        <v>216</v>
      </c>
      <c r="AC4" s="383"/>
      <c r="AD4" s="383"/>
      <c r="AE4" s="383"/>
      <c r="AF4" s="383"/>
      <c r="AG4" s="188"/>
      <c r="AH4" s="188"/>
      <c r="AI4" s="188"/>
      <c r="AJ4" s="188"/>
      <c r="AK4" s="188"/>
      <c r="AL4" s="188"/>
      <c r="AM4" s="21"/>
      <c r="AN4" s="21"/>
      <c r="AO4" s="21"/>
      <c r="AP4" s="108"/>
      <c r="AQ4" s="107"/>
      <c r="AU4" s="21"/>
      <c r="AV4" s="21"/>
      <c r="AW4" s="21"/>
      <c r="AX4" s="108"/>
      <c r="AY4" s="107"/>
    </row>
    <row r="5" spans="1:55" ht="15" customHeight="1">
      <c r="A5" s="181" t="s">
        <v>217</v>
      </c>
      <c r="B5" s="191">
        <v>0</v>
      </c>
      <c r="C5" s="192">
        <v>1000</v>
      </c>
      <c r="D5" s="193">
        <v>2000</v>
      </c>
      <c r="E5" s="193">
        <v>3000</v>
      </c>
      <c r="F5" s="194">
        <v>4000</v>
      </c>
      <c r="G5" s="182"/>
      <c r="H5" s="183"/>
      <c r="I5" s="181"/>
      <c r="J5" s="182"/>
      <c r="K5" s="183"/>
      <c r="L5" s="181"/>
      <c r="M5" s="181"/>
      <c r="N5" s="181" t="s">
        <v>217</v>
      </c>
      <c r="O5" s="191">
        <v>0</v>
      </c>
      <c r="P5" s="192">
        <v>1000</v>
      </c>
      <c r="Q5" s="193">
        <v>2000</v>
      </c>
      <c r="R5" s="193">
        <v>3000</v>
      </c>
      <c r="S5" s="194">
        <v>4000</v>
      </c>
      <c r="T5" s="182"/>
      <c r="U5" s="183"/>
      <c r="V5" s="181"/>
      <c r="W5" s="182"/>
      <c r="X5" s="183"/>
      <c r="Y5" s="181"/>
      <c r="AA5" s="181" t="s">
        <v>217</v>
      </c>
      <c r="AB5" s="191">
        <v>0</v>
      </c>
      <c r="AC5" s="192">
        <v>1000</v>
      </c>
      <c r="AD5" s="193">
        <v>2000</v>
      </c>
      <c r="AE5" s="193">
        <v>3000</v>
      </c>
      <c r="AF5" s="194">
        <v>4000</v>
      </c>
      <c r="AG5" s="182"/>
      <c r="AH5" s="183"/>
      <c r="AI5" s="181"/>
      <c r="AJ5" s="182"/>
      <c r="AK5" s="183"/>
      <c r="AL5" s="181"/>
      <c r="AM5" s="108"/>
      <c r="AN5" s="107"/>
      <c r="AR5" s="21"/>
      <c r="AS5" s="21"/>
      <c r="AT5" s="21"/>
      <c r="AU5" s="108"/>
      <c r="AV5" s="107"/>
    </row>
    <row r="6" spans="1:55" ht="15" customHeight="1">
      <c r="A6" s="181">
        <v>-30</v>
      </c>
      <c r="B6" s="191">
        <v>5200</v>
      </c>
      <c r="C6" s="192">
        <v>5600</v>
      </c>
      <c r="D6" s="193">
        <v>5800</v>
      </c>
      <c r="E6" s="193">
        <v>6100</v>
      </c>
      <c r="F6" s="194">
        <v>99999</v>
      </c>
      <c r="G6" s="182"/>
      <c r="H6" s="107"/>
      <c r="I6" s="181"/>
      <c r="J6" s="182"/>
      <c r="K6" s="183"/>
      <c r="L6" s="181"/>
      <c r="M6" s="181"/>
      <c r="N6" s="181">
        <v>-30</v>
      </c>
      <c r="O6" s="191"/>
      <c r="P6" s="192"/>
      <c r="Q6" s="193"/>
      <c r="R6" s="193"/>
      <c r="S6" s="194">
        <v>99999</v>
      </c>
      <c r="T6" s="182"/>
      <c r="U6" s="107"/>
      <c r="V6" s="181"/>
      <c r="W6" s="182"/>
      <c r="X6" s="183"/>
      <c r="Y6" s="181"/>
      <c r="AA6" s="181">
        <v>-30</v>
      </c>
      <c r="AB6" s="191">
        <v>4000</v>
      </c>
      <c r="AC6" s="192">
        <v>4100</v>
      </c>
      <c r="AD6" s="193">
        <v>4200</v>
      </c>
      <c r="AE6" s="193">
        <v>4500</v>
      </c>
      <c r="AF6" s="194">
        <v>99999</v>
      </c>
      <c r="AG6" s="182"/>
      <c r="AH6" s="107"/>
      <c r="AI6" s="181"/>
      <c r="AJ6" s="182"/>
      <c r="AK6" s="183"/>
      <c r="AL6" s="181"/>
      <c r="AM6" s="108"/>
      <c r="AN6" s="107"/>
      <c r="AR6" s="21"/>
      <c r="AS6" s="21"/>
      <c r="AT6" s="21"/>
      <c r="AU6" s="108"/>
      <c r="AV6" s="107"/>
    </row>
    <row r="7" spans="1:55" ht="15" customHeight="1">
      <c r="A7" s="181">
        <v>-20</v>
      </c>
      <c r="B7" s="196">
        <v>5200</v>
      </c>
      <c r="C7" s="189">
        <v>5600</v>
      </c>
      <c r="D7" s="181">
        <v>5800</v>
      </c>
      <c r="E7" s="181">
        <v>6100</v>
      </c>
      <c r="F7" s="197">
        <v>99999</v>
      </c>
      <c r="G7" s="182"/>
      <c r="H7" s="107"/>
      <c r="J7" s="108"/>
      <c r="K7" s="107"/>
      <c r="N7" s="181">
        <v>-20</v>
      </c>
      <c r="O7" s="196"/>
      <c r="P7" s="189"/>
      <c r="Q7" s="181"/>
      <c r="R7" s="181"/>
      <c r="S7" s="197">
        <v>99999</v>
      </c>
      <c r="T7" s="182"/>
      <c r="U7" s="107"/>
      <c r="W7" s="108"/>
      <c r="X7" s="107"/>
      <c r="AA7" s="181">
        <v>-20</v>
      </c>
      <c r="AB7" s="196">
        <v>4000</v>
      </c>
      <c r="AC7" s="189">
        <v>4100</v>
      </c>
      <c r="AD7" s="181">
        <v>4200</v>
      </c>
      <c r="AE7" s="181">
        <v>4500</v>
      </c>
      <c r="AF7" s="197">
        <v>99999</v>
      </c>
      <c r="AG7" s="182"/>
      <c r="AH7" s="107"/>
      <c r="AJ7" s="108"/>
      <c r="AK7" s="107"/>
      <c r="AM7" s="108"/>
      <c r="AN7" s="107"/>
      <c r="AR7" s="21"/>
      <c r="AS7" s="21"/>
      <c r="AT7" s="21"/>
      <c r="AU7" s="108"/>
      <c r="AV7" s="107"/>
    </row>
    <row r="8" spans="1:55" ht="15" customHeight="1">
      <c r="A8" s="181">
        <v>-10</v>
      </c>
      <c r="B8" s="196">
        <v>5400</v>
      </c>
      <c r="C8" s="189">
        <v>5800</v>
      </c>
      <c r="D8" s="181">
        <v>6200</v>
      </c>
      <c r="E8" s="181">
        <v>6600</v>
      </c>
      <c r="F8" s="197">
        <v>99999</v>
      </c>
      <c r="G8" s="182"/>
      <c r="H8" s="107"/>
      <c r="J8" s="108"/>
      <c r="K8" s="107"/>
      <c r="N8" s="181">
        <v>-10</v>
      </c>
      <c r="O8" s="196"/>
      <c r="P8" s="189"/>
      <c r="Q8" s="181"/>
      <c r="R8" s="181"/>
      <c r="S8" s="197">
        <v>99999</v>
      </c>
      <c r="T8" s="182"/>
      <c r="U8" s="107"/>
      <c r="W8" s="108"/>
      <c r="X8" s="107"/>
      <c r="AA8" s="181">
        <v>-10</v>
      </c>
      <c r="AB8" s="196">
        <v>4100</v>
      </c>
      <c r="AC8" s="189">
        <v>4300</v>
      </c>
      <c r="AD8" s="181">
        <v>4600</v>
      </c>
      <c r="AE8" s="181">
        <v>4900</v>
      </c>
      <c r="AF8" s="197">
        <v>99999</v>
      </c>
      <c r="AG8" s="182"/>
      <c r="AH8" s="107"/>
      <c r="AJ8" s="108"/>
      <c r="AK8" s="107"/>
      <c r="AM8" s="108"/>
      <c r="AN8" s="107"/>
      <c r="AR8" s="21"/>
      <c r="AS8" s="21"/>
      <c r="AT8" s="21"/>
      <c r="AU8" s="108"/>
      <c r="AV8" s="107"/>
    </row>
    <row r="9" spans="1:55" ht="15" customHeight="1">
      <c r="A9" s="181">
        <v>0</v>
      </c>
      <c r="B9" s="196">
        <v>5800</v>
      </c>
      <c r="C9" s="189">
        <v>6200</v>
      </c>
      <c r="D9" s="181">
        <v>6600</v>
      </c>
      <c r="E9" s="181">
        <v>7000</v>
      </c>
      <c r="F9" s="197">
        <v>99999</v>
      </c>
      <c r="G9" s="182"/>
      <c r="H9" s="107"/>
      <c r="J9" s="108"/>
      <c r="K9" s="107"/>
      <c r="N9" s="181">
        <v>0</v>
      </c>
      <c r="O9" s="196"/>
      <c r="P9" s="189"/>
      <c r="Q9" s="181"/>
      <c r="R9" s="181"/>
      <c r="S9" s="197">
        <v>99999</v>
      </c>
      <c r="T9" s="182"/>
      <c r="U9" s="107"/>
      <c r="W9" s="108"/>
      <c r="X9" s="107"/>
      <c r="AA9" s="181">
        <v>0</v>
      </c>
      <c r="AB9" s="196">
        <v>4300</v>
      </c>
      <c r="AC9" s="189">
        <v>4600</v>
      </c>
      <c r="AD9" s="181">
        <v>4900</v>
      </c>
      <c r="AE9" s="181">
        <v>5200</v>
      </c>
      <c r="AF9" s="197">
        <v>99999</v>
      </c>
      <c r="AG9" s="182"/>
      <c r="AH9" s="107"/>
      <c r="AJ9" s="108"/>
      <c r="AK9" s="107"/>
      <c r="AM9" s="108"/>
      <c r="AN9" s="107"/>
      <c r="AR9" s="21"/>
      <c r="AS9" s="21"/>
      <c r="AT9" s="21"/>
      <c r="AU9" s="108"/>
      <c r="AV9" s="107"/>
    </row>
    <row r="10" spans="1:55" ht="15" customHeight="1">
      <c r="A10" s="181">
        <v>10</v>
      </c>
      <c r="B10" s="196">
        <v>6200</v>
      </c>
      <c r="C10" s="189">
        <v>6600</v>
      </c>
      <c r="D10" s="181">
        <v>7000</v>
      </c>
      <c r="E10" s="181">
        <v>7450</v>
      </c>
      <c r="F10" s="197">
        <v>99999</v>
      </c>
      <c r="G10" s="182"/>
      <c r="H10" s="107"/>
      <c r="J10" s="108"/>
      <c r="K10" s="107"/>
      <c r="N10" s="181">
        <v>10</v>
      </c>
      <c r="O10" s="196"/>
      <c r="P10" s="189"/>
      <c r="Q10" s="181"/>
      <c r="R10" s="181"/>
      <c r="S10" s="197">
        <v>99999</v>
      </c>
      <c r="T10" s="182"/>
      <c r="U10" s="107"/>
      <c r="W10" s="108"/>
      <c r="X10" s="107"/>
      <c r="AA10" s="181">
        <v>10</v>
      </c>
      <c r="AB10" s="196">
        <v>4600</v>
      </c>
      <c r="AC10" s="189">
        <v>4850</v>
      </c>
      <c r="AD10" s="181">
        <v>5200</v>
      </c>
      <c r="AE10" s="181">
        <v>5500</v>
      </c>
      <c r="AF10" s="197">
        <v>99999</v>
      </c>
      <c r="AG10" s="182"/>
      <c r="AH10" s="107"/>
      <c r="AJ10" s="108"/>
      <c r="AK10" s="107"/>
      <c r="AM10" s="108"/>
      <c r="AN10" s="107"/>
      <c r="AR10" s="21"/>
      <c r="AS10" s="21"/>
      <c r="AT10" s="21"/>
      <c r="AU10" s="108"/>
      <c r="AV10" s="107"/>
    </row>
    <row r="11" spans="1:55" ht="15" customHeight="1">
      <c r="A11" s="181">
        <v>20</v>
      </c>
      <c r="B11" s="196">
        <v>6550</v>
      </c>
      <c r="C11" s="189">
        <v>7000</v>
      </c>
      <c r="D11" s="181">
        <v>7400</v>
      </c>
      <c r="E11" s="181">
        <v>7900</v>
      </c>
      <c r="F11" s="197">
        <v>99999</v>
      </c>
      <c r="G11" s="182"/>
      <c r="H11" s="107"/>
      <c r="J11" s="108"/>
      <c r="K11" s="107"/>
      <c r="N11" s="181">
        <v>20</v>
      </c>
      <c r="O11" s="196"/>
      <c r="P11" s="189"/>
      <c r="Q11" s="181"/>
      <c r="R11" s="181"/>
      <c r="S11" s="197">
        <v>99999</v>
      </c>
      <c r="T11" s="182"/>
      <c r="U11" s="107"/>
      <c r="W11" s="108"/>
      <c r="X11" s="107"/>
      <c r="AA11" s="181">
        <v>20</v>
      </c>
      <c r="AB11" s="196">
        <v>4900</v>
      </c>
      <c r="AC11" s="189">
        <v>5100</v>
      </c>
      <c r="AD11" s="181">
        <v>5500</v>
      </c>
      <c r="AE11" s="181">
        <v>6000</v>
      </c>
      <c r="AF11" s="197">
        <v>99999</v>
      </c>
      <c r="AG11" s="182"/>
      <c r="AH11" s="107"/>
      <c r="AJ11" s="108"/>
      <c r="AK11" s="107"/>
      <c r="AM11" s="108"/>
      <c r="AN11" s="107"/>
      <c r="AR11" s="21"/>
      <c r="AS11" s="21"/>
      <c r="AT11" s="21"/>
      <c r="AU11" s="108"/>
      <c r="AV11" s="107"/>
    </row>
    <row r="12" spans="1:55" ht="15" customHeight="1">
      <c r="A12" s="181">
        <v>30</v>
      </c>
      <c r="B12" s="196">
        <v>6900</v>
      </c>
      <c r="C12" s="189">
        <v>7500</v>
      </c>
      <c r="D12" s="181">
        <v>8150</v>
      </c>
      <c r="E12" s="181">
        <v>9100</v>
      </c>
      <c r="F12" s="197">
        <v>99999</v>
      </c>
      <c r="G12" s="182"/>
      <c r="H12" s="107"/>
      <c r="J12" s="108"/>
      <c r="K12" s="107"/>
      <c r="N12" s="181"/>
      <c r="O12" s="196"/>
      <c r="P12" s="189"/>
      <c r="Q12" s="181"/>
      <c r="R12" s="181"/>
      <c r="S12" s="197"/>
      <c r="T12" s="182"/>
      <c r="U12" s="107"/>
      <c r="W12" s="108"/>
      <c r="X12" s="107"/>
      <c r="AA12" s="181">
        <v>30</v>
      </c>
      <c r="AB12" s="196">
        <v>5300</v>
      </c>
      <c r="AC12" s="189">
        <v>5700</v>
      </c>
      <c r="AD12" s="181">
        <v>6200</v>
      </c>
      <c r="AE12" s="181">
        <v>6900</v>
      </c>
      <c r="AF12" s="197">
        <v>99999</v>
      </c>
      <c r="AG12" s="182"/>
      <c r="AH12" s="107"/>
      <c r="AJ12" s="108"/>
      <c r="AK12" s="107"/>
      <c r="AM12" s="108"/>
      <c r="AN12" s="107"/>
      <c r="AR12" s="21"/>
      <c r="AS12" s="21"/>
      <c r="AT12" s="21"/>
      <c r="AU12" s="108"/>
      <c r="AV12" s="107"/>
    </row>
    <row r="13" spans="1:55" ht="15" customHeight="1">
      <c r="A13" s="181">
        <v>40</v>
      </c>
      <c r="B13" s="196">
        <v>7800</v>
      </c>
      <c r="C13" s="189">
        <v>8700</v>
      </c>
      <c r="D13" s="181">
        <v>9500</v>
      </c>
      <c r="E13" s="181">
        <v>10600</v>
      </c>
      <c r="F13" s="197">
        <v>99999</v>
      </c>
      <c r="G13" s="182"/>
      <c r="H13" s="107"/>
      <c r="J13" s="108"/>
      <c r="K13" s="107"/>
      <c r="N13" s="181">
        <v>30</v>
      </c>
      <c r="O13" s="196"/>
      <c r="P13" s="189"/>
      <c r="Q13" s="181"/>
      <c r="R13" s="181"/>
      <c r="S13" s="197">
        <v>99999</v>
      </c>
      <c r="T13" s="182"/>
      <c r="U13" s="107"/>
      <c r="W13" s="108"/>
      <c r="X13" s="107"/>
      <c r="AA13" s="181">
        <v>40</v>
      </c>
      <c r="AB13" s="196">
        <v>6000</v>
      </c>
      <c r="AC13" s="189">
        <v>6600</v>
      </c>
      <c r="AD13" s="181">
        <v>7300</v>
      </c>
      <c r="AE13" s="181">
        <v>8400</v>
      </c>
      <c r="AF13" s="197">
        <v>99999</v>
      </c>
      <c r="AG13" s="182"/>
      <c r="AH13" s="107"/>
      <c r="AJ13" s="108"/>
      <c r="AK13" s="107"/>
      <c r="AM13" s="108"/>
      <c r="AN13" s="107"/>
      <c r="AR13" s="21"/>
      <c r="AS13" s="21"/>
      <c r="AT13" s="21"/>
      <c r="AU13" s="108"/>
      <c r="AV13" s="107"/>
    </row>
    <row r="14" spans="1:55" ht="15" customHeight="1">
      <c r="A14" s="181">
        <v>35</v>
      </c>
      <c r="B14" s="198">
        <v>99999</v>
      </c>
      <c r="C14" s="199">
        <v>99999</v>
      </c>
      <c r="D14" s="199">
        <v>99999</v>
      </c>
      <c r="E14" s="199">
        <v>99999</v>
      </c>
      <c r="F14" s="201">
        <v>99999</v>
      </c>
      <c r="G14" s="182"/>
      <c r="H14" s="107"/>
      <c r="J14" s="108"/>
      <c r="K14" s="107"/>
      <c r="N14" s="181">
        <v>35</v>
      </c>
      <c r="O14" s="198">
        <v>99999</v>
      </c>
      <c r="P14" s="199">
        <v>99999</v>
      </c>
      <c r="Q14" s="199">
        <v>99999</v>
      </c>
      <c r="R14" s="199">
        <v>99999</v>
      </c>
      <c r="S14" s="201">
        <v>99999</v>
      </c>
      <c r="T14" s="182"/>
      <c r="U14" s="107"/>
      <c r="W14" s="108"/>
      <c r="X14" s="107"/>
      <c r="AA14" s="181">
        <v>45</v>
      </c>
      <c r="AB14" s="198">
        <v>99999</v>
      </c>
      <c r="AC14" s="199">
        <v>99999</v>
      </c>
      <c r="AD14" s="199">
        <v>99999</v>
      </c>
      <c r="AE14" s="199">
        <v>99999</v>
      </c>
      <c r="AF14" s="201">
        <v>99999</v>
      </c>
      <c r="AG14" s="182"/>
      <c r="AH14" s="107"/>
      <c r="AJ14" s="108"/>
      <c r="AK14" s="107"/>
      <c r="AM14" s="108"/>
      <c r="AN14" s="107"/>
      <c r="AR14" s="21"/>
      <c r="AS14" s="21"/>
      <c r="AT14" s="21"/>
      <c r="AU14" s="108"/>
      <c r="AV14" s="107"/>
    </row>
    <row r="15" spans="1:55" ht="15" customHeight="1">
      <c r="B15" s="182"/>
      <c r="C15" s="183"/>
      <c r="D15" s="181"/>
      <c r="E15" s="181"/>
      <c r="F15" s="181"/>
      <c r="G15" s="115"/>
      <c r="H15" s="115"/>
      <c r="I15" s="115"/>
      <c r="J15" s="108"/>
      <c r="K15" s="107"/>
      <c r="O15" s="182"/>
      <c r="P15" s="183"/>
      <c r="Q15" s="181"/>
      <c r="R15" s="181"/>
      <c r="S15" s="181"/>
      <c r="T15" s="115"/>
      <c r="U15" s="115"/>
      <c r="V15" s="115"/>
      <c r="W15" s="108"/>
      <c r="X15" s="107"/>
      <c r="Z15" s="108"/>
      <c r="AB15" s="182"/>
      <c r="AC15" s="183"/>
      <c r="AD15" s="181"/>
      <c r="AE15" s="181"/>
      <c r="AF15" s="181"/>
      <c r="AG15" s="115"/>
      <c r="AH15" s="115"/>
      <c r="AI15" s="115"/>
      <c r="AJ15" s="108"/>
      <c r="AK15" s="107"/>
      <c r="AM15" s="21"/>
      <c r="AN15" s="21"/>
      <c r="AO15" s="21"/>
      <c r="AP15" s="108"/>
      <c r="AQ15" s="107"/>
      <c r="AU15" s="21"/>
      <c r="AV15" s="21"/>
      <c r="AW15" s="21"/>
      <c r="AX15" s="108"/>
      <c r="AY15" s="107"/>
    </row>
    <row r="16" spans="1:55" ht="15" customHeight="1">
      <c r="B16" s="108" t="s">
        <v>157</v>
      </c>
      <c r="C16" s="107">
        <f>D1</f>
        <v>1177</v>
      </c>
      <c r="D16" s="374" t="s">
        <v>200</v>
      </c>
      <c r="E16" s="321"/>
      <c r="G16" s="21"/>
      <c r="H16" s="21"/>
      <c r="I16" s="21"/>
      <c r="J16" s="108"/>
      <c r="K16" s="107"/>
      <c r="L16" s="184"/>
      <c r="O16" s="108" t="s">
        <v>157</v>
      </c>
      <c r="P16" s="107">
        <f>D1</f>
        <v>1177</v>
      </c>
      <c r="Q16" s="374" t="s">
        <v>200</v>
      </c>
      <c r="R16" s="321"/>
      <c r="T16" s="21"/>
      <c r="U16" s="21"/>
      <c r="V16" s="21"/>
      <c r="W16" s="108"/>
      <c r="X16" s="107"/>
      <c r="Y16" s="184"/>
      <c r="Z16" s="108"/>
      <c r="AB16" s="108" t="s">
        <v>157</v>
      </c>
      <c r="AC16" s="107">
        <f>D1</f>
        <v>1177</v>
      </c>
      <c r="AD16" s="374" t="s">
        <v>200</v>
      </c>
      <c r="AE16" s="321"/>
      <c r="AG16" s="21"/>
      <c r="AH16" s="21"/>
      <c r="AI16" s="21"/>
      <c r="AJ16" s="108"/>
      <c r="AK16" s="107"/>
      <c r="AL16" s="184"/>
      <c r="AM16" s="21"/>
      <c r="AN16" s="21"/>
      <c r="AO16" s="21"/>
      <c r="AP16" s="108"/>
      <c r="AQ16" s="107"/>
      <c r="AR16" s="374"/>
      <c r="AS16" s="321"/>
      <c r="AU16" s="21"/>
      <c r="AV16" s="21"/>
      <c r="AW16" s="21"/>
      <c r="AX16" s="108"/>
      <c r="AY16" s="107"/>
      <c r="AZ16" s="374"/>
      <c r="BA16" s="321"/>
    </row>
    <row r="17" spans="1:53" ht="15" customHeight="1">
      <c r="B17" s="89" t="s">
        <v>201</v>
      </c>
      <c r="C17" s="109">
        <f>INDEX(B5:F5,MATCH(C16,B5:F5,1))</f>
        <v>1000</v>
      </c>
      <c r="D17" s="89" t="s">
        <v>155</v>
      </c>
      <c r="E17" s="104">
        <f>MATCH(MAX(A6:A14),A6:A14,1)</f>
        <v>8</v>
      </c>
      <c r="G17" s="21"/>
      <c r="H17" s="21"/>
      <c r="I17" s="21"/>
      <c r="J17" s="89"/>
      <c r="K17" s="109"/>
      <c r="L17" s="89"/>
      <c r="M17" s="104"/>
      <c r="O17" s="89" t="s">
        <v>201</v>
      </c>
      <c r="P17" s="109">
        <f>INDEX(O5:S5,MATCH(P16,O5:S5,1))</f>
        <v>1000</v>
      </c>
      <c r="Q17" s="89" t="s">
        <v>155</v>
      </c>
      <c r="R17" s="104">
        <f>MATCH(MAX(N6:N14),N6:N14,1)</f>
        <v>9</v>
      </c>
      <c r="T17" s="21"/>
      <c r="U17" s="21"/>
      <c r="V17" s="21"/>
      <c r="W17" s="89"/>
      <c r="X17" s="109"/>
      <c r="Y17" s="89"/>
      <c r="Z17" s="89"/>
      <c r="AB17" s="89" t="s">
        <v>201</v>
      </c>
      <c r="AC17" s="109">
        <f>INDEX(AB5:AF5,MATCH(AC16,AB5:AF5,1))</f>
        <v>1000</v>
      </c>
      <c r="AD17" s="89" t="s">
        <v>155</v>
      </c>
      <c r="AE17" s="104">
        <f>MATCH(MAX(AA6:AA14),AA6:AA14,1)</f>
        <v>9</v>
      </c>
      <c r="AG17" s="21"/>
      <c r="AH17" s="21"/>
      <c r="AI17" s="21"/>
      <c r="AJ17" s="89"/>
      <c r="AK17" s="109"/>
      <c r="AL17" s="89"/>
      <c r="AM17" s="21"/>
      <c r="AN17" s="21"/>
      <c r="AO17" s="21"/>
      <c r="AP17" s="89"/>
      <c r="AQ17" s="109"/>
      <c r="AR17" s="89"/>
      <c r="AS17" s="104"/>
      <c r="AU17" s="21"/>
      <c r="AV17" s="21"/>
      <c r="AW17" s="21"/>
      <c r="AX17" s="89"/>
      <c r="AY17" s="109"/>
      <c r="AZ17" s="89"/>
      <c r="BA17" s="104"/>
    </row>
    <row r="18" spans="1:53" ht="15" customHeight="1">
      <c r="B18" s="89" t="s">
        <v>202</v>
      </c>
      <c r="C18" s="109" cm="1">
        <f t="array" ref="C18">INDEX(B5:F5,IF(MATCH(C16,B5:F5,1)&lt;E18,MATCH(C16,B5:F5,1)+1,MATCH(C16,B5:F5,1)))</f>
        <v>2000</v>
      </c>
      <c r="D18" s="89" t="s">
        <v>156</v>
      </c>
      <c r="E18" s="104">
        <f>MATCH(MAX(B5:F5),B5:F5,0)</f>
        <v>5</v>
      </c>
      <c r="G18" s="21"/>
      <c r="H18" s="21"/>
      <c r="I18" s="21"/>
      <c r="J18" s="89"/>
      <c r="K18" s="109"/>
      <c r="L18" s="89"/>
      <c r="M18" s="104"/>
      <c r="O18" s="89" t="s">
        <v>202</v>
      </c>
      <c r="P18" s="109" cm="1">
        <f t="array" ref="P18">INDEX(O5:S5,IF(MATCH(P16,O5:S5,1)&lt;R18,MATCH(P16,O5:S5,1)+1,MATCH(P16,O5:S5,1)))</f>
        <v>2000</v>
      </c>
      <c r="Q18" s="89" t="s">
        <v>156</v>
      </c>
      <c r="R18" s="104">
        <f>MATCH(MAX(O5:S5),O5:S5,0)</f>
        <v>5</v>
      </c>
      <c r="T18" s="21"/>
      <c r="U18" s="21"/>
      <c r="V18" s="21"/>
      <c r="W18" s="89"/>
      <c r="X18" s="109"/>
      <c r="Y18" s="89"/>
      <c r="Z18" s="89"/>
      <c r="AB18" s="89" t="s">
        <v>202</v>
      </c>
      <c r="AC18" s="109" cm="1">
        <f t="array" ref="AC18">INDEX(AB5:AF5,IF(MATCH(AC16,AB5:AF5,1)&lt;AE18,MATCH(AC16,AB5:AF5,1)+1,MATCH(AC16,AB5:AF5,1)))</f>
        <v>2000</v>
      </c>
      <c r="AD18" s="89" t="s">
        <v>156</v>
      </c>
      <c r="AE18" s="104">
        <f>MATCH(MAX(AB5:AF5),AB5:AF5,0)</f>
        <v>5</v>
      </c>
      <c r="AG18" s="21"/>
      <c r="AH18" s="21"/>
      <c r="AI18" s="21"/>
      <c r="AJ18" s="89"/>
      <c r="AK18" s="109"/>
      <c r="AL18" s="89"/>
      <c r="AM18" s="21"/>
      <c r="AN18" s="21"/>
      <c r="AO18" s="21"/>
      <c r="AP18" s="89"/>
      <c r="AQ18" s="109"/>
      <c r="AR18" s="89"/>
      <c r="AS18" s="104"/>
      <c r="AU18" s="21"/>
      <c r="AV18" s="21"/>
      <c r="AW18" s="21"/>
      <c r="AX18" s="89"/>
      <c r="AY18" s="109"/>
      <c r="AZ18" s="89"/>
      <c r="BA18" s="104"/>
    </row>
    <row r="19" spans="1:53" ht="15" customHeight="1">
      <c r="B19" s="106" t="s">
        <v>158</v>
      </c>
      <c r="C19" s="110">
        <f>D2</f>
        <v>0</v>
      </c>
      <c r="D19" s="21"/>
      <c r="E19" s="21"/>
      <c r="G19" s="21"/>
      <c r="H19" s="21"/>
      <c r="I19" s="21"/>
      <c r="J19" s="106"/>
      <c r="K19" s="110"/>
      <c r="L19" s="21"/>
      <c r="M19" s="21"/>
      <c r="O19" s="106" t="s">
        <v>158</v>
      </c>
      <c r="P19" s="110">
        <f>D2</f>
        <v>0</v>
      </c>
      <c r="Q19" s="21"/>
      <c r="R19" s="21"/>
      <c r="T19" s="21"/>
      <c r="U19" s="21"/>
      <c r="V19" s="21"/>
      <c r="W19" s="106"/>
      <c r="X19" s="110"/>
      <c r="Y19" s="21"/>
      <c r="Z19" s="106"/>
      <c r="AB19" s="106" t="s">
        <v>158</v>
      </c>
      <c r="AC19" s="110">
        <f>D2</f>
        <v>0</v>
      </c>
      <c r="AD19" s="21"/>
      <c r="AE19" s="21"/>
      <c r="AG19" s="21"/>
      <c r="AH19" s="21"/>
      <c r="AI19" s="21"/>
      <c r="AJ19" s="106"/>
      <c r="AK19" s="110"/>
      <c r="AL19" s="21"/>
      <c r="AM19" s="21"/>
      <c r="AN19" s="21"/>
      <c r="AO19" s="21"/>
      <c r="AP19" s="106"/>
      <c r="AQ19" s="110"/>
      <c r="AR19" s="21"/>
      <c r="AS19" s="21"/>
      <c r="AU19" s="21"/>
      <c r="AV19" s="21"/>
      <c r="AW19" s="21"/>
      <c r="AX19" s="106"/>
      <c r="AY19" s="110"/>
      <c r="AZ19" s="21"/>
      <c r="BA19" s="21"/>
    </row>
    <row r="20" spans="1:53" ht="15" customHeight="1">
      <c r="B20" s="89" t="s">
        <v>159</v>
      </c>
      <c r="C20" s="109">
        <f>INDEX(A6:A14,MATCH(C19,A6:A14,1))</f>
        <v>0</v>
      </c>
      <c r="D20" s="21"/>
      <c r="E20" s="38"/>
      <c r="G20" s="21"/>
      <c r="H20" s="21"/>
      <c r="I20" s="21"/>
      <c r="J20" s="89"/>
      <c r="K20" s="109"/>
      <c r="L20" s="21"/>
      <c r="M20" s="38"/>
      <c r="O20" s="89" t="s">
        <v>159</v>
      </c>
      <c r="P20" s="109">
        <f>INDEX(N6:N14,MATCH(P19,N6:N14,1))</f>
        <v>0</v>
      </c>
      <c r="Q20" s="21"/>
      <c r="R20" s="38"/>
      <c r="T20" s="21"/>
      <c r="U20" s="21"/>
      <c r="V20" s="21"/>
      <c r="W20" s="89"/>
      <c r="X20" s="109"/>
      <c r="Y20" s="21"/>
      <c r="Z20" s="89"/>
      <c r="AB20" s="89" t="s">
        <v>159</v>
      </c>
      <c r="AC20" s="109">
        <f>INDEX(AA6:AA14,MATCH(AC19,AA6:AA14,1))</f>
        <v>0</v>
      </c>
      <c r="AD20" s="21"/>
      <c r="AE20" s="38"/>
      <c r="AG20" s="21"/>
      <c r="AH20" s="21"/>
      <c r="AI20" s="21"/>
      <c r="AJ20" s="89"/>
      <c r="AK20" s="109"/>
      <c r="AL20" s="21"/>
      <c r="AM20" s="21"/>
      <c r="AN20" s="21"/>
      <c r="AO20" s="21"/>
      <c r="AP20" s="89"/>
      <c r="AQ20" s="109"/>
      <c r="AR20" s="21"/>
      <c r="AS20" s="38"/>
      <c r="AU20" s="21"/>
      <c r="AV20" s="21"/>
      <c r="AW20" s="21"/>
      <c r="AX20" s="89"/>
      <c r="AY20" s="109"/>
      <c r="AZ20" s="21"/>
      <c r="BA20" s="38"/>
    </row>
    <row r="21" spans="1:53" ht="15" customHeight="1">
      <c r="B21" s="89" t="s">
        <v>160</v>
      </c>
      <c r="C21" s="109" cm="1">
        <f t="array" ref="C21">INDEX(A6:A14,IF(MATCH(C19,A6:A14,1)&lt;E17,MATCH(C19,A6:A14,1)+1,MATCH(C19,A6:A14,1)))</f>
        <v>10</v>
      </c>
      <c r="D21" s="21"/>
      <c r="E21" s="38"/>
      <c r="G21" s="21"/>
      <c r="H21" s="21"/>
      <c r="I21" s="21"/>
      <c r="J21" s="89"/>
      <c r="K21" s="109"/>
      <c r="L21" s="21"/>
      <c r="M21" s="38"/>
      <c r="O21" s="89" t="s">
        <v>160</v>
      </c>
      <c r="P21" s="109" cm="1">
        <f t="array" ref="P21">INDEX(N6:N14,IF(MATCH(P19,N6:N14,1)&lt;R17,MATCH(P19,N6:N14,1)+1,MATCH(P19,N6:N14,1)))</f>
        <v>10</v>
      </c>
      <c r="Q21" s="21"/>
      <c r="R21" s="38"/>
      <c r="T21" s="21"/>
      <c r="U21" s="21"/>
      <c r="V21" s="21"/>
      <c r="W21" s="89"/>
      <c r="X21" s="109"/>
      <c r="Y21" s="21"/>
      <c r="Z21" s="89"/>
      <c r="AB21" s="89" t="s">
        <v>160</v>
      </c>
      <c r="AC21" s="109" cm="1">
        <f t="array" ref="AC21">INDEX(AA6:AA14,IF(MATCH(AC19,AA6:AA14,1)&lt;AE17,MATCH(AC19,AA6:AA14,1)+1,MATCH(AC19,AA6:AA14,1)))</f>
        <v>10</v>
      </c>
      <c r="AD21" s="21"/>
      <c r="AE21" s="38"/>
      <c r="AG21" s="21"/>
      <c r="AH21" s="21"/>
      <c r="AI21" s="21"/>
      <c r="AJ21" s="89"/>
      <c r="AK21" s="109"/>
      <c r="AL21" s="21"/>
      <c r="AM21" s="21"/>
      <c r="AN21" s="21"/>
      <c r="AO21" s="21"/>
      <c r="AP21" s="89"/>
      <c r="AQ21" s="109"/>
      <c r="AR21" s="21"/>
      <c r="AS21" s="38"/>
      <c r="AU21" s="21"/>
      <c r="AV21" s="21"/>
      <c r="AW21" s="21"/>
      <c r="AX21" s="89"/>
      <c r="AY21" s="109"/>
      <c r="AZ21" s="21"/>
      <c r="BA21" s="38"/>
    </row>
    <row r="22" spans="1:53" ht="15" customHeight="1">
      <c r="B22" s="108" t="s">
        <v>161</v>
      </c>
      <c r="C22" s="107">
        <f>INDEX(B6:F14,MATCH(C19,A6:A14,1),MATCH(C16,B5:F5,1))</f>
        <v>6200</v>
      </c>
      <c r="D22" s="21"/>
      <c r="E22" s="38"/>
      <c r="G22" s="21"/>
      <c r="H22" s="21"/>
      <c r="I22" s="21"/>
      <c r="J22" s="108"/>
      <c r="K22" s="107"/>
      <c r="L22" s="21"/>
      <c r="M22" s="38"/>
      <c r="O22" s="108" t="s">
        <v>161</v>
      </c>
      <c r="P22" s="107">
        <f>INDEX(O6:S14,MATCH(P19,N6:N14,1),MATCH(P16,O5:S5,1))</f>
        <v>0</v>
      </c>
      <c r="Q22" s="21"/>
      <c r="R22" s="38"/>
      <c r="T22" s="21"/>
      <c r="U22" s="21"/>
      <c r="V22" s="21"/>
      <c r="W22" s="108"/>
      <c r="X22" s="107"/>
      <c r="Y22" s="21"/>
      <c r="Z22" s="108"/>
      <c r="AB22" s="108" t="s">
        <v>161</v>
      </c>
      <c r="AC22" s="107">
        <f>INDEX(AB6:AF14,MATCH(AC19,AA6:AA14,1),MATCH(AC16,AB5:AF5,1))</f>
        <v>4600</v>
      </c>
      <c r="AD22" s="21"/>
      <c r="AE22" s="38"/>
      <c r="AG22" s="21"/>
      <c r="AH22" s="21"/>
      <c r="AI22" s="21"/>
      <c r="AJ22" s="108"/>
      <c r="AK22" s="107"/>
      <c r="AL22" s="21"/>
      <c r="AM22" s="21"/>
      <c r="AN22" s="21"/>
      <c r="AO22" s="21"/>
      <c r="AP22" s="108"/>
      <c r="AQ22" s="107"/>
      <c r="AR22" s="21"/>
      <c r="AS22" s="38"/>
      <c r="AU22" s="21"/>
      <c r="AV22" s="21"/>
      <c r="AW22" s="21"/>
      <c r="AX22" s="108"/>
      <c r="AY22" s="107"/>
      <c r="AZ22" s="21"/>
      <c r="BA22" s="38"/>
    </row>
    <row r="23" spans="1:53" ht="15" customHeight="1">
      <c r="B23" s="108" t="s">
        <v>203</v>
      </c>
      <c r="C23" s="107" cm="1">
        <f t="array" ref="C23">INDEX(B6:F14,MATCH(C19,A6:A14,1),IF(MATCH(C16,B5:F5,1)&lt;E18,MATCH(C16,B5:F5,1)+1,MATCH(C19,A6:A14,1)))</f>
        <v>6600</v>
      </c>
      <c r="E23" s="38"/>
      <c r="G23" s="21"/>
      <c r="H23" s="21"/>
      <c r="I23" s="21"/>
      <c r="J23" s="108"/>
      <c r="K23" s="107"/>
      <c r="M23" s="38"/>
      <c r="O23" s="108" t="s">
        <v>203</v>
      </c>
      <c r="P23" s="107" cm="1">
        <f t="array" ref="P23">INDEX(O6:S14,MATCH(P19,N6:N14,1),IF(MATCH(P16,O5:S5,1)&lt;R18,MATCH(P16,O5:S5,1)+1,MATCH(P19,N6:N14,1)))</f>
        <v>0</v>
      </c>
      <c r="R23" s="38"/>
      <c r="T23" s="21"/>
      <c r="U23" s="21"/>
      <c r="V23" s="21"/>
      <c r="W23" s="108"/>
      <c r="X23" s="107"/>
      <c r="Z23" s="108"/>
      <c r="AB23" s="108" t="s">
        <v>203</v>
      </c>
      <c r="AC23" s="107" cm="1">
        <f t="array" ref="AC23">INDEX(AB6:AF14,MATCH(AC19,AA6:AA14,1),IF(MATCH(AC16,AB5:AF5,1)&lt;AE18,MATCH(AC16,AB5:AF5,1)+1,MATCH(AC19,AA6:AA14,1)))</f>
        <v>4900</v>
      </c>
      <c r="AE23" s="38"/>
      <c r="AG23" s="21"/>
      <c r="AH23" s="21"/>
      <c r="AI23" s="21"/>
      <c r="AJ23" s="108"/>
      <c r="AK23" s="107"/>
      <c r="AM23" s="21"/>
      <c r="AN23" s="21"/>
      <c r="AO23" s="21"/>
      <c r="AP23" s="108"/>
      <c r="AQ23" s="107"/>
      <c r="AS23" s="38"/>
      <c r="AU23" s="21"/>
      <c r="AV23" s="21"/>
      <c r="AW23" s="21"/>
      <c r="AX23" s="108"/>
      <c r="AY23" s="107"/>
      <c r="BA23" s="38"/>
    </row>
    <row r="24" spans="1:53" ht="15" customHeight="1">
      <c r="B24" s="108" t="s">
        <v>162</v>
      </c>
      <c r="C24" s="107" cm="1">
        <f t="array" ref="C24">INDEX(B6:F14,IF(MATCH(C19,A6:A14,1)&lt;E17,MATCH(C19,A6:A14,1)+1,MATCH(C19,A6:A14,1)),MATCH(C16,B5:F5,1))</f>
        <v>6600</v>
      </c>
      <c r="E24" s="38"/>
      <c r="G24" s="21"/>
      <c r="H24" s="21"/>
      <c r="I24" s="21"/>
      <c r="J24" s="108"/>
      <c r="K24" s="107"/>
      <c r="M24" s="38"/>
      <c r="O24" s="108" t="s">
        <v>162</v>
      </c>
      <c r="P24" s="107" cm="1">
        <f t="array" ref="P24">INDEX(O6:S14,IF(MATCH(P19,N6:N14,1)&lt;R17,MATCH(P19,N6:N14,1)+1,MATCH(P19,N6:N14,1)),MATCH(P16,O5:S5,1))</f>
        <v>0</v>
      </c>
      <c r="R24" s="38"/>
      <c r="T24" s="21"/>
      <c r="U24" s="21"/>
      <c r="V24" s="21"/>
      <c r="W24" s="108"/>
      <c r="X24" s="107"/>
      <c r="Z24" s="108"/>
      <c r="AB24" s="108" t="s">
        <v>162</v>
      </c>
      <c r="AC24" s="107" cm="1">
        <f t="array" ref="AC24">INDEX(AB6:AF14,IF(MATCH(AC19,AA6:AA14,1)&lt;AE17,MATCH(AC19,AA6:AA14,1)+1,MATCH(AC19,AA6:AA14,1)),MATCH(AC16,AB5:AF5,1))</f>
        <v>4850</v>
      </c>
      <c r="AE24" s="38"/>
      <c r="AG24" s="21"/>
      <c r="AH24" s="21"/>
      <c r="AI24" s="21"/>
      <c r="AJ24" s="108"/>
      <c r="AK24" s="107"/>
      <c r="AM24" s="21"/>
      <c r="AN24" s="21"/>
      <c r="AO24" s="21"/>
      <c r="AP24" s="108"/>
      <c r="AQ24" s="107"/>
      <c r="AS24" s="38"/>
      <c r="AU24" s="21"/>
      <c r="AV24" s="21"/>
      <c r="AW24" s="21"/>
      <c r="AX24" s="108"/>
      <c r="AY24" s="107"/>
      <c r="BA24" s="38"/>
    </row>
    <row r="25" spans="1:53" ht="15" customHeight="1">
      <c r="B25" s="108" t="s">
        <v>204</v>
      </c>
      <c r="C25" s="107" cm="1">
        <f t="array" ref="C25">INDEX(B6:F14,IF(MATCH(C19,A6:A14,1)&lt;E17,MATCH(C19,A6:A14,1)+1,MATCH(C19,A6:A14,1)),IF(MATCH(C16,B5:F5,1)&lt;E18,MATCH(C16,B5:F5,1)+1,MATCH(C16,B5:F5,1)))</f>
        <v>7000</v>
      </c>
      <c r="G25" s="21"/>
      <c r="H25" s="21"/>
      <c r="I25" s="21"/>
      <c r="J25" s="108"/>
      <c r="K25" s="107"/>
      <c r="O25" s="108" t="s">
        <v>204</v>
      </c>
      <c r="P25" s="107" cm="1">
        <f t="array" ref="P25">INDEX(O6:S14,IF(MATCH(P19,N6:N14,1)&lt;R17,MATCH(P19,N6:N14,1)+1,MATCH(P19,N6:N14,1)),IF(MATCH(P16,O5:S5,1)&lt;R18,MATCH(P16,O5:S5,1)+1,MATCH(P16,O5:S5,1)))</f>
        <v>0</v>
      </c>
      <c r="T25" s="21"/>
      <c r="U25" s="21"/>
      <c r="V25" s="21"/>
      <c r="W25" s="108"/>
      <c r="X25" s="107"/>
      <c r="Z25" s="108"/>
      <c r="AB25" s="108" t="s">
        <v>204</v>
      </c>
      <c r="AC25" s="107" cm="1">
        <f t="array" ref="AC25">INDEX(AB6:AF14,IF(MATCH(AC19,AA6:AA14,1)&lt;AE17,MATCH(AC19,AA6:AA14,1)+1,MATCH(AC19,AA6:AA14,1)),IF(MATCH(AC16,AB5:AF5,1)&lt;AE18,MATCH(AC16,AB5:AF5,1)+1,MATCH(AC16,AB5:AF5,1)))</f>
        <v>5200</v>
      </c>
      <c r="AG25" s="21"/>
      <c r="AH25" s="21"/>
      <c r="AI25" s="21"/>
      <c r="AJ25" s="108"/>
      <c r="AK25" s="107"/>
      <c r="AM25" s="21"/>
      <c r="AN25" s="21"/>
      <c r="AO25" s="21"/>
      <c r="AP25" s="108"/>
      <c r="AQ25" s="107"/>
      <c r="AU25" s="21"/>
      <c r="AV25" s="21"/>
      <c r="AW25" s="21"/>
      <c r="AX25" s="108"/>
      <c r="AY25" s="107"/>
    </row>
    <row r="26" spans="1:53" ht="15" customHeight="1">
      <c r="B26" s="89" t="s">
        <v>205</v>
      </c>
      <c r="C26" s="109">
        <f>IFERROR(C22+(C16-C17)*(C23-C22)/(C18-C17),C22)</f>
        <v>6270.8</v>
      </c>
      <c r="G26" s="21"/>
      <c r="H26" s="21"/>
      <c r="I26" s="21"/>
      <c r="J26" s="89"/>
      <c r="K26" s="109"/>
      <c r="O26" s="89" t="s">
        <v>205</v>
      </c>
      <c r="P26" s="109">
        <f>IFERROR(P22+(P16-P17)*(P23-P22)/(P18-P17),P22)</f>
        <v>0</v>
      </c>
      <c r="T26" s="21"/>
      <c r="U26" s="21"/>
      <c r="V26" s="21"/>
      <c r="W26" s="89"/>
      <c r="X26" s="109"/>
      <c r="Z26" s="89"/>
      <c r="AB26" s="89" t="s">
        <v>205</v>
      </c>
      <c r="AC26" s="109">
        <f>IFERROR(AC22+(AC16-AC17)*(AC23-AC22)/(AC18-AC17),AC22)</f>
        <v>4653.1000000000004</v>
      </c>
      <c r="AG26" s="21"/>
      <c r="AH26" s="21"/>
      <c r="AI26" s="21"/>
      <c r="AJ26" s="89"/>
      <c r="AK26" s="109"/>
      <c r="AM26" s="21"/>
      <c r="AN26" s="21"/>
      <c r="AO26" s="21"/>
      <c r="AP26" s="89"/>
      <c r="AQ26" s="109"/>
      <c r="AU26" s="21"/>
      <c r="AV26" s="21"/>
      <c r="AW26" s="21"/>
      <c r="AX26" s="89"/>
      <c r="AY26" s="109"/>
    </row>
    <row r="27" spans="1:53" ht="15" customHeight="1">
      <c r="B27" s="89" t="s">
        <v>206</v>
      </c>
      <c r="C27" s="109">
        <f>IFERROR(C24+(C16-C17)*(C25-C24)/(C18-C17),C24)</f>
        <v>6670.8</v>
      </c>
      <c r="G27" s="21"/>
      <c r="H27" s="21"/>
      <c r="I27" s="21"/>
      <c r="J27" s="89"/>
      <c r="K27" s="109"/>
      <c r="O27" s="89" t="s">
        <v>206</v>
      </c>
      <c r="P27" s="109">
        <f>IFERROR(P24+(P16-P17)*(P25-P24)/(P18-P17),P24)</f>
        <v>0</v>
      </c>
      <c r="T27" s="21"/>
      <c r="U27" s="21"/>
      <c r="V27" s="21"/>
      <c r="W27" s="89"/>
      <c r="X27" s="109"/>
      <c r="Z27" s="89"/>
      <c r="AB27" s="89" t="s">
        <v>206</v>
      </c>
      <c r="AC27" s="109">
        <f>IFERROR(AC24+(AC16-AC17)*(AC25-AC24)/(AC18-AC17),AC24)</f>
        <v>4911.95</v>
      </c>
      <c r="AG27" s="21"/>
      <c r="AH27" s="21"/>
      <c r="AI27" s="21"/>
      <c r="AJ27" s="89"/>
      <c r="AK27" s="109"/>
      <c r="AM27" s="21"/>
      <c r="AN27" s="21"/>
      <c r="AO27" s="21"/>
      <c r="AP27" s="89"/>
      <c r="AQ27" s="109"/>
      <c r="AU27" s="21"/>
      <c r="AV27" s="21"/>
      <c r="AW27" s="21"/>
      <c r="AX27" s="89"/>
      <c r="AY27" s="109"/>
    </row>
    <row r="28" spans="1:53" ht="15" customHeight="1">
      <c r="B28" s="108" t="s">
        <v>207</v>
      </c>
      <c r="C28" s="107">
        <f>IFERROR(C26+(C19-C20)*(C27-C26)/(C21-C20),C26)</f>
        <v>6270.8</v>
      </c>
      <c r="G28" s="21"/>
      <c r="H28" s="21"/>
      <c r="I28" s="21"/>
      <c r="J28" s="108"/>
      <c r="K28" s="107"/>
      <c r="O28" s="108" t="s">
        <v>207</v>
      </c>
      <c r="P28" s="107">
        <f>IFERROR(P26+(P19-P20)*(P27-P26)/(P21-P20),P26)</f>
        <v>0</v>
      </c>
      <c r="T28" s="21"/>
      <c r="U28" s="21"/>
      <c r="V28" s="21"/>
      <c r="W28" s="108"/>
      <c r="X28" s="107"/>
      <c r="Z28" s="108"/>
      <c r="AB28" s="108" t="s">
        <v>207</v>
      </c>
      <c r="AC28" s="107">
        <f>IFERROR(AC26+(AC19-AC20)*(AC27-AC26)/(AC21-AC20),AC26)</f>
        <v>4653.1000000000004</v>
      </c>
      <c r="AG28" s="21"/>
      <c r="AH28" s="21"/>
      <c r="AI28" s="21"/>
      <c r="AJ28" s="108"/>
      <c r="AK28" s="107"/>
      <c r="AM28" s="21"/>
      <c r="AN28" s="21"/>
      <c r="AO28" s="21"/>
      <c r="AP28" s="108"/>
      <c r="AQ28" s="107"/>
      <c r="AU28" s="21"/>
      <c r="AV28" s="21"/>
      <c r="AW28" s="21"/>
      <c r="AX28" s="108"/>
      <c r="AY28" s="107"/>
    </row>
    <row r="30" spans="1:53" ht="15" customHeight="1">
      <c r="A30" s="181"/>
      <c r="B30" s="386" t="s">
        <v>208</v>
      </c>
      <c r="C30" s="386"/>
      <c r="D30" s="386"/>
      <c r="E30" s="386"/>
      <c r="F30" s="386"/>
      <c r="G30" s="386"/>
      <c r="H30" s="188"/>
      <c r="I30" s="188"/>
      <c r="J30" s="188"/>
      <c r="K30" s="188"/>
      <c r="L30" s="188"/>
      <c r="M30" s="188"/>
      <c r="N30" s="181"/>
      <c r="O30" s="386" t="s">
        <v>208</v>
      </c>
      <c r="P30" s="386"/>
      <c r="Q30" s="386"/>
      <c r="R30" s="386"/>
      <c r="S30" s="386"/>
      <c r="T30" s="386"/>
      <c r="U30" s="188"/>
      <c r="V30" s="188"/>
      <c r="W30" s="188"/>
      <c r="X30" s="188"/>
      <c r="Y30" s="188"/>
      <c r="AA30" s="181"/>
      <c r="AB30" s="386" t="s">
        <v>208</v>
      </c>
      <c r="AC30" s="386"/>
      <c r="AD30" s="386"/>
      <c r="AE30" s="386"/>
      <c r="AF30" s="386"/>
      <c r="AG30" s="386"/>
      <c r="AH30" s="188"/>
      <c r="AI30" s="188"/>
      <c r="AJ30" s="188"/>
      <c r="AK30" s="188"/>
      <c r="AL30" s="188"/>
    </row>
    <row r="31" spans="1:53" ht="15" customHeight="1">
      <c r="A31" s="181" t="s">
        <v>29</v>
      </c>
      <c r="B31" s="185">
        <v>5300</v>
      </c>
      <c r="C31" s="205">
        <v>6600</v>
      </c>
      <c r="D31" s="205">
        <v>8000</v>
      </c>
      <c r="E31" s="186">
        <v>9300</v>
      </c>
      <c r="F31" s="187">
        <v>10700</v>
      </c>
      <c r="G31" s="194">
        <v>11000</v>
      </c>
      <c r="H31" s="181"/>
      <c r="I31" s="181"/>
      <c r="J31" s="181"/>
      <c r="K31" s="181"/>
      <c r="L31" s="181"/>
      <c r="O31" s="181" t="s">
        <v>29</v>
      </c>
      <c r="P31" s="185">
        <v>2000</v>
      </c>
      <c r="Q31" s="186">
        <v>3000</v>
      </c>
      <c r="R31" s="187">
        <v>4000</v>
      </c>
      <c r="S31" s="194">
        <v>4500</v>
      </c>
      <c r="U31" s="181"/>
      <c r="V31" s="181"/>
      <c r="AC31" s="181" t="s">
        <v>29</v>
      </c>
      <c r="AD31" s="185">
        <v>4000</v>
      </c>
      <c r="AE31" s="205">
        <v>5000</v>
      </c>
      <c r="AF31" s="205">
        <v>6100</v>
      </c>
      <c r="AG31" s="205">
        <v>7200</v>
      </c>
      <c r="AH31" s="186">
        <v>8300</v>
      </c>
      <c r="AI31" s="187">
        <v>9400</v>
      </c>
      <c r="AJ31" s="194">
        <v>10000</v>
      </c>
      <c r="AK31" s="181"/>
    </row>
    <row r="32" spans="1:53" ht="15" customHeight="1">
      <c r="A32" s="181">
        <v>9000</v>
      </c>
      <c r="B32" s="191">
        <v>2500</v>
      </c>
      <c r="C32" s="202">
        <v>3000</v>
      </c>
      <c r="D32" s="202">
        <v>3500</v>
      </c>
      <c r="E32" s="192">
        <v>4000</v>
      </c>
      <c r="F32" s="193">
        <v>4300</v>
      </c>
      <c r="G32" s="194">
        <v>99999</v>
      </c>
      <c r="H32" s="181"/>
      <c r="I32" s="181"/>
      <c r="J32" s="181"/>
      <c r="K32" s="181"/>
      <c r="L32" s="181"/>
      <c r="O32" s="181">
        <v>10000</v>
      </c>
      <c r="P32" s="191"/>
      <c r="Q32" s="192"/>
      <c r="R32" s="193"/>
      <c r="S32" s="194">
        <v>99999</v>
      </c>
      <c r="U32" s="181"/>
      <c r="V32" s="181"/>
      <c r="AC32" s="181">
        <v>9000</v>
      </c>
      <c r="AD32" s="191">
        <v>2100</v>
      </c>
      <c r="AE32" s="202">
        <v>2600</v>
      </c>
      <c r="AF32" s="202">
        <v>3000</v>
      </c>
      <c r="AG32" s="202">
        <v>3300</v>
      </c>
      <c r="AH32" s="192">
        <v>3600</v>
      </c>
      <c r="AI32" s="193">
        <v>4000</v>
      </c>
      <c r="AJ32" s="194">
        <v>99999</v>
      </c>
      <c r="AK32" s="181"/>
    </row>
    <row r="33" spans="1:38" ht="15" customHeight="1">
      <c r="A33" s="181">
        <v>9500</v>
      </c>
      <c r="B33" s="196">
        <v>2800</v>
      </c>
      <c r="C33" s="188">
        <v>3400</v>
      </c>
      <c r="D33" s="188">
        <v>4000</v>
      </c>
      <c r="E33" s="189">
        <v>4500</v>
      </c>
      <c r="F33" s="181">
        <v>5000</v>
      </c>
      <c r="G33" s="197">
        <v>99999</v>
      </c>
      <c r="H33" s="181"/>
      <c r="I33" s="181"/>
      <c r="J33" s="181"/>
      <c r="K33" s="181"/>
      <c r="L33" s="181"/>
      <c r="O33" s="181">
        <v>11000</v>
      </c>
      <c r="P33" s="196"/>
      <c r="Q33" s="189"/>
      <c r="R33" s="181"/>
      <c r="S33" s="197">
        <v>99999</v>
      </c>
      <c r="U33" s="181"/>
      <c r="V33" s="181"/>
      <c r="AC33" s="181">
        <v>9500</v>
      </c>
      <c r="AD33" s="196">
        <v>2300</v>
      </c>
      <c r="AE33" s="188">
        <v>2800</v>
      </c>
      <c r="AF33" s="188">
        <v>3300</v>
      </c>
      <c r="AG33" s="188">
        <v>3600</v>
      </c>
      <c r="AH33" s="189">
        <v>4100</v>
      </c>
      <c r="AI33" s="181">
        <v>4400</v>
      </c>
      <c r="AJ33" s="197">
        <v>99999</v>
      </c>
      <c r="AK33" s="181"/>
    </row>
    <row r="34" spans="1:38" ht="15" customHeight="1">
      <c r="A34" s="181">
        <v>10000</v>
      </c>
      <c r="B34" s="196">
        <v>3200</v>
      </c>
      <c r="C34" s="188">
        <v>3800</v>
      </c>
      <c r="D34" s="188">
        <v>4400</v>
      </c>
      <c r="E34" s="189">
        <v>5000</v>
      </c>
      <c r="F34" s="181">
        <v>5600</v>
      </c>
      <c r="G34" s="197">
        <v>99999</v>
      </c>
      <c r="H34" s="181"/>
      <c r="I34" s="181"/>
      <c r="J34" s="181"/>
      <c r="K34" s="181"/>
      <c r="L34" s="181"/>
      <c r="O34" s="181">
        <v>12000</v>
      </c>
      <c r="P34" s="196"/>
      <c r="Q34" s="189"/>
      <c r="R34" s="181"/>
      <c r="S34" s="197">
        <v>99999</v>
      </c>
      <c r="U34" s="181"/>
      <c r="V34" s="181"/>
      <c r="AC34" s="181">
        <v>10000</v>
      </c>
      <c r="AD34" s="196">
        <v>2500</v>
      </c>
      <c r="AE34" s="188">
        <v>3100</v>
      </c>
      <c r="AF34" s="188">
        <v>3600</v>
      </c>
      <c r="AG34" s="188">
        <v>4000</v>
      </c>
      <c r="AH34" s="189">
        <v>4500</v>
      </c>
      <c r="AI34" s="181">
        <v>4900</v>
      </c>
      <c r="AJ34" s="197">
        <v>99999</v>
      </c>
      <c r="AK34" s="181"/>
    </row>
    <row r="35" spans="1:38" ht="15" customHeight="1">
      <c r="A35" s="181">
        <v>10500</v>
      </c>
      <c r="B35" s="196">
        <v>3500</v>
      </c>
      <c r="C35" s="188">
        <v>4200</v>
      </c>
      <c r="D35" s="188">
        <v>5000</v>
      </c>
      <c r="E35" s="189">
        <v>5700</v>
      </c>
      <c r="F35" s="181">
        <v>6400</v>
      </c>
      <c r="G35" s="197">
        <v>99999</v>
      </c>
      <c r="H35" s="181"/>
      <c r="I35" s="181"/>
      <c r="J35" s="181"/>
      <c r="K35" s="181"/>
      <c r="L35" s="181"/>
      <c r="O35" s="181">
        <v>13000</v>
      </c>
      <c r="P35" s="196"/>
      <c r="Q35" s="189"/>
      <c r="R35" s="181"/>
      <c r="S35" s="197">
        <v>99999</v>
      </c>
      <c r="U35" s="181"/>
      <c r="V35" s="181"/>
      <c r="AC35" s="181">
        <v>10500</v>
      </c>
      <c r="AD35" s="196">
        <v>2700</v>
      </c>
      <c r="AE35" s="188">
        <v>3400</v>
      </c>
      <c r="AF35" s="188">
        <v>4000</v>
      </c>
      <c r="AG35" s="188">
        <v>4500</v>
      </c>
      <c r="AH35" s="189">
        <v>5000</v>
      </c>
      <c r="AI35" s="181">
        <v>5500</v>
      </c>
      <c r="AJ35" s="197">
        <v>99999</v>
      </c>
      <c r="AK35" s="181"/>
    </row>
    <row r="36" spans="1:38" ht="15" customHeight="1">
      <c r="A36" s="181">
        <v>11000</v>
      </c>
      <c r="B36" s="196">
        <v>3800</v>
      </c>
      <c r="C36" s="188">
        <v>4700</v>
      </c>
      <c r="D36" s="188">
        <v>5600</v>
      </c>
      <c r="E36" s="189">
        <v>6400</v>
      </c>
      <c r="F36" s="181">
        <v>7200</v>
      </c>
      <c r="G36" s="197">
        <v>99999</v>
      </c>
      <c r="H36" s="181"/>
      <c r="I36" s="181"/>
      <c r="J36" s="181"/>
      <c r="K36" s="181"/>
      <c r="L36" s="181"/>
      <c r="O36" s="181">
        <v>14000</v>
      </c>
      <c r="P36" s="196"/>
      <c r="Q36" s="189"/>
      <c r="R36" s="181"/>
      <c r="S36" s="197">
        <v>99999</v>
      </c>
      <c r="U36" s="181"/>
      <c r="V36" s="181"/>
      <c r="AC36" s="181">
        <v>11000</v>
      </c>
      <c r="AD36" s="196">
        <v>3000</v>
      </c>
      <c r="AE36" s="188">
        <v>3700</v>
      </c>
      <c r="AF36" s="188">
        <v>4400</v>
      </c>
      <c r="AG36" s="188">
        <v>5000</v>
      </c>
      <c r="AH36" s="189">
        <v>5600</v>
      </c>
      <c r="AI36" s="181">
        <v>6200</v>
      </c>
      <c r="AJ36" s="197">
        <v>99999</v>
      </c>
      <c r="AK36" s="181"/>
    </row>
    <row r="37" spans="1:38" ht="15" customHeight="1">
      <c r="A37" s="181">
        <v>11500</v>
      </c>
      <c r="B37" s="196">
        <v>4300</v>
      </c>
      <c r="C37" s="188">
        <v>5300</v>
      </c>
      <c r="D37" s="188">
        <v>6250</v>
      </c>
      <c r="E37" s="189">
        <v>7200</v>
      </c>
      <c r="F37" s="181">
        <v>8100</v>
      </c>
      <c r="G37" s="197">
        <v>99999</v>
      </c>
      <c r="H37" s="181"/>
      <c r="I37" s="181"/>
      <c r="J37" s="181"/>
      <c r="K37" s="181"/>
      <c r="L37" s="181"/>
      <c r="O37" s="181">
        <v>15000</v>
      </c>
      <c r="P37" s="196"/>
      <c r="Q37" s="189"/>
      <c r="R37" s="181"/>
      <c r="S37" s="197">
        <v>99999</v>
      </c>
      <c r="U37" s="181"/>
      <c r="V37" s="181"/>
      <c r="AC37" s="181">
        <v>11500</v>
      </c>
      <c r="AD37" s="196">
        <v>3200</v>
      </c>
      <c r="AE37" s="188">
        <v>4100</v>
      </c>
      <c r="AF37" s="188">
        <v>4900</v>
      </c>
      <c r="AG37" s="188">
        <v>5600</v>
      </c>
      <c r="AH37" s="189">
        <v>6300</v>
      </c>
      <c r="AI37" s="181">
        <v>7100</v>
      </c>
      <c r="AJ37" s="197">
        <v>99999</v>
      </c>
      <c r="AK37" s="181"/>
    </row>
    <row r="38" spans="1:38" ht="15" customHeight="1">
      <c r="A38" s="181">
        <v>12000</v>
      </c>
      <c r="B38" s="196">
        <v>4700</v>
      </c>
      <c r="C38" s="188">
        <v>5900</v>
      </c>
      <c r="D38" s="188">
        <v>7000</v>
      </c>
      <c r="E38" s="189">
        <v>8100</v>
      </c>
      <c r="F38" s="181">
        <v>9200</v>
      </c>
      <c r="G38" s="197">
        <v>99999</v>
      </c>
      <c r="H38" s="181"/>
      <c r="I38" s="181"/>
      <c r="J38" s="181"/>
      <c r="K38" s="181"/>
      <c r="L38" s="181"/>
      <c r="O38" s="181">
        <v>16000</v>
      </c>
      <c r="P38" s="196"/>
      <c r="Q38" s="189"/>
      <c r="R38" s="181"/>
      <c r="S38" s="197">
        <v>99999</v>
      </c>
      <c r="U38" s="181"/>
      <c r="V38" s="181"/>
      <c r="AC38" s="181">
        <v>12000</v>
      </c>
      <c r="AD38" s="196">
        <v>3600</v>
      </c>
      <c r="AE38" s="188">
        <v>4500</v>
      </c>
      <c r="AF38" s="188">
        <v>5400</v>
      </c>
      <c r="AG38" s="188">
        <v>6300</v>
      </c>
      <c r="AH38" s="189">
        <v>7200</v>
      </c>
      <c r="AI38" s="181">
        <v>8100</v>
      </c>
      <c r="AJ38" s="197">
        <v>99999</v>
      </c>
      <c r="AK38" s="181"/>
    </row>
    <row r="39" spans="1:38" ht="15" customHeight="1">
      <c r="A39" s="181">
        <v>12500</v>
      </c>
      <c r="B39" s="198">
        <v>5300</v>
      </c>
      <c r="C39" s="207">
        <v>6600</v>
      </c>
      <c r="D39" s="207">
        <v>8000</v>
      </c>
      <c r="E39" s="199">
        <v>9300</v>
      </c>
      <c r="F39" s="200">
        <v>10700</v>
      </c>
      <c r="G39" s="197">
        <v>99999</v>
      </c>
      <c r="H39" s="181"/>
      <c r="I39" s="181"/>
      <c r="J39" s="181"/>
      <c r="K39" s="181"/>
      <c r="L39" s="181"/>
      <c r="O39" s="181">
        <v>16600</v>
      </c>
      <c r="P39" s="198"/>
      <c r="Q39" s="199"/>
      <c r="R39" s="200"/>
      <c r="S39" s="197">
        <v>99999</v>
      </c>
      <c r="U39" s="181"/>
      <c r="V39" s="181"/>
      <c r="AC39" s="181">
        <v>12500</v>
      </c>
      <c r="AD39" s="198">
        <v>4000</v>
      </c>
      <c r="AE39" s="207">
        <v>5000</v>
      </c>
      <c r="AF39" s="207">
        <v>6100</v>
      </c>
      <c r="AG39" s="207">
        <v>7200</v>
      </c>
      <c r="AH39" s="199">
        <v>8300</v>
      </c>
      <c r="AI39" s="200">
        <v>9400</v>
      </c>
      <c r="AJ39" s="197">
        <v>99999</v>
      </c>
      <c r="AK39" s="181"/>
    </row>
    <row r="40" spans="1:38" ht="15" customHeight="1">
      <c r="A40" s="181">
        <v>12600</v>
      </c>
      <c r="B40" s="198">
        <v>99999</v>
      </c>
      <c r="C40" s="207">
        <v>99999</v>
      </c>
      <c r="D40" s="207">
        <v>99999</v>
      </c>
      <c r="E40" s="199">
        <v>99999</v>
      </c>
      <c r="F40" s="199">
        <v>99999</v>
      </c>
      <c r="G40" s="212">
        <v>99999</v>
      </c>
      <c r="H40" s="189"/>
      <c r="I40" s="189"/>
      <c r="J40" s="189"/>
      <c r="K40" s="189"/>
      <c r="L40" s="190"/>
      <c r="O40" s="181">
        <v>16700</v>
      </c>
      <c r="P40" s="198">
        <v>99999</v>
      </c>
      <c r="Q40" s="199">
        <v>99999</v>
      </c>
      <c r="R40" s="199">
        <v>99999</v>
      </c>
      <c r="S40" s="212">
        <v>99999</v>
      </c>
      <c r="U40" s="189"/>
      <c r="V40" s="189"/>
      <c r="AC40" s="181">
        <v>12600</v>
      </c>
      <c r="AD40" s="198">
        <v>99999</v>
      </c>
      <c r="AE40" s="207">
        <v>99999</v>
      </c>
      <c r="AF40" s="207">
        <v>99999</v>
      </c>
      <c r="AG40" s="207">
        <v>99999</v>
      </c>
      <c r="AH40" s="199">
        <v>99999</v>
      </c>
      <c r="AI40" s="199">
        <v>99999</v>
      </c>
      <c r="AJ40" s="212">
        <v>99999</v>
      </c>
      <c r="AK40" s="189"/>
    </row>
    <row r="41" spans="1:38" ht="15" customHeight="1">
      <c r="B41" s="182"/>
      <c r="C41" s="183"/>
      <c r="D41" s="181"/>
      <c r="E41" s="181"/>
      <c r="F41" s="181"/>
      <c r="G41" s="115"/>
      <c r="H41" s="115"/>
      <c r="I41" s="115"/>
      <c r="J41" s="182"/>
      <c r="K41" s="183"/>
      <c r="L41" s="181"/>
      <c r="M41" s="181"/>
      <c r="O41" s="182"/>
      <c r="P41" s="183"/>
      <c r="Q41" s="181"/>
      <c r="R41" s="181"/>
      <c r="S41" s="181"/>
      <c r="T41" s="115"/>
      <c r="U41" s="115"/>
      <c r="V41" s="115"/>
      <c r="W41" s="182"/>
      <c r="X41" s="183"/>
      <c r="Y41" s="181"/>
      <c r="AB41" s="182"/>
      <c r="AC41" s="183"/>
      <c r="AD41" s="181"/>
      <c r="AE41" s="181"/>
      <c r="AF41" s="181"/>
      <c r="AG41" s="115"/>
      <c r="AH41" s="115"/>
      <c r="AI41" s="115"/>
      <c r="AJ41" s="182"/>
      <c r="AK41" s="183"/>
      <c r="AL41" s="181"/>
    </row>
    <row r="42" spans="1:38" ht="15" customHeight="1">
      <c r="B42" s="108" t="s">
        <v>157</v>
      </c>
      <c r="C42" s="107">
        <f>C28</f>
        <v>6270.8</v>
      </c>
      <c r="D42" s="374" t="s">
        <v>200</v>
      </c>
      <c r="E42" s="321"/>
      <c r="G42" s="21"/>
      <c r="H42" s="21"/>
      <c r="I42" s="21"/>
      <c r="J42" s="108"/>
      <c r="K42" s="107"/>
      <c r="L42" s="184"/>
      <c r="O42" s="108" t="s">
        <v>157</v>
      </c>
      <c r="P42" s="107">
        <f>P28</f>
        <v>0</v>
      </c>
      <c r="Q42" s="374" t="s">
        <v>200</v>
      </c>
      <c r="R42" s="321"/>
      <c r="T42" s="21"/>
      <c r="U42" s="21"/>
      <c r="V42" s="21"/>
      <c r="W42" s="108"/>
      <c r="X42" s="107"/>
      <c r="Y42" s="184"/>
      <c r="AB42" s="108" t="s">
        <v>157</v>
      </c>
      <c r="AC42" s="107">
        <f>AC28</f>
        <v>4653.1000000000004</v>
      </c>
      <c r="AD42" s="374" t="s">
        <v>200</v>
      </c>
      <c r="AE42" s="321"/>
      <c r="AG42" s="21"/>
      <c r="AH42" s="21"/>
      <c r="AI42" s="21"/>
      <c r="AJ42" s="108"/>
      <c r="AK42" s="107"/>
      <c r="AL42" s="184"/>
    </row>
    <row r="43" spans="1:38" ht="15" customHeight="1">
      <c r="B43" s="89" t="s">
        <v>201</v>
      </c>
      <c r="C43" s="109">
        <f>INDEX(B31:G31,MATCH(C42,B31:G31,1))</f>
        <v>5300</v>
      </c>
      <c r="D43" s="89" t="s">
        <v>155</v>
      </c>
      <c r="E43" s="104">
        <f>MATCH(MAX(A32:A40),A32:A40,1)</f>
        <v>9</v>
      </c>
      <c r="G43" s="21"/>
      <c r="H43" s="21"/>
      <c r="I43" s="21"/>
      <c r="J43" s="89"/>
      <c r="K43" s="109"/>
      <c r="L43" s="89"/>
      <c r="M43" s="104"/>
      <c r="O43" s="89" t="s">
        <v>201</v>
      </c>
      <c r="P43" s="109" t="e">
        <f>INDEX(P31:S31,MATCH(P42,P31:S31,1))</f>
        <v>#N/A</v>
      </c>
      <c r="Q43" s="89" t="s">
        <v>155</v>
      </c>
      <c r="R43" s="104">
        <f>MATCH(MAX(O32:O40),O32:O40,1)</f>
        <v>9</v>
      </c>
      <c r="T43" s="21"/>
      <c r="U43" s="21"/>
      <c r="V43" s="21"/>
      <c r="W43" s="89"/>
      <c r="X43" s="109"/>
      <c r="Y43" s="89"/>
      <c r="AB43" s="89" t="s">
        <v>201</v>
      </c>
      <c r="AC43" s="109">
        <f>INDEX(AD31:AJ31,MATCH(AC42,AD31:AJ31,1))</f>
        <v>4000</v>
      </c>
      <c r="AD43" s="89" t="s">
        <v>155</v>
      </c>
      <c r="AE43" s="104">
        <f>MATCH(MAX(AC32:AC40),AC32:AC40,1)</f>
        <v>9</v>
      </c>
      <c r="AG43" s="21"/>
      <c r="AH43" s="21"/>
      <c r="AI43" s="21"/>
      <c r="AJ43" s="89"/>
      <c r="AK43" s="109"/>
      <c r="AL43" s="89"/>
    </row>
    <row r="44" spans="1:38" ht="15" customHeight="1">
      <c r="B44" s="89" t="s">
        <v>202</v>
      </c>
      <c r="C44" s="109" cm="1">
        <f t="array" ref="C44">INDEX(B31:G31,IF(MATCH(C42,B31:G31,1)&lt;E44,MATCH(C42,B31:G31,1)+1,MATCH(C42,B31:G31,1)))</f>
        <v>6600</v>
      </c>
      <c r="D44" s="89" t="s">
        <v>156</v>
      </c>
      <c r="E44" s="104">
        <f>MATCH(MAX(B31:G31),B31:G31,0)</f>
        <v>6</v>
      </c>
      <c r="G44" s="21"/>
      <c r="H44" s="21"/>
      <c r="I44" s="21"/>
      <c r="J44" s="89"/>
      <c r="K44" s="109"/>
      <c r="L44" s="89"/>
      <c r="M44" s="104"/>
      <c r="O44" s="89" t="s">
        <v>202</v>
      </c>
      <c r="P44" s="109" t="e" cm="1">
        <f t="array" ref="P44">INDEX(P31:S31,IF(MATCH(P42,P31:S31,1)&lt;R44,MATCH(P42,P31:S31,1)+1,MATCH(P42,P31:S31,1)))</f>
        <v>#N/A</v>
      </c>
      <c r="Q44" s="89" t="s">
        <v>156</v>
      </c>
      <c r="R44" s="104">
        <f>MATCH(MAX(P31:S31),P31:S31,0)</f>
        <v>4</v>
      </c>
      <c r="T44" s="21"/>
      <c r="U44" s="21"/>
      <c r="V44" s="21"/>
      <c r="W44" s="89"/>
      <c r="X44" s="109"/>
      <c r="Y44" s="89"/>
      <c r="AB44" s="89" t="s">
        <v>202</v>
      </c>
      <c r="AC44" s="109" cm="1">
        <f t="array" ref="AC44">INDEX(AD31:AJ31,IF(MATCH(AC42,AD31:AJ31,1)&lt;AE44,MATCH(AC42,AD31:AJ31,1)+1,MATCH(AC42,AD31:AJ31,1)))</f>
        <v>5000</v>
      </c>
      <c r="AD44" s="89" t="s">
        <v>156</v>
      </c>
      <c r="AE44" s="104">
        <f>MATCH(MAX(AD31:AJ31),AD31:AJ31,0)</f>
        <v>7</v>
      </c>
      <c r="AG44" s="21"/>
      <c r="AH44" s="21"/>
      <c r="AI44" s="21"/>
      <c r="AJ44" s="89"/>
      <c r="AK44" s="109"/>
      <c r="AL44" s="89"/>
    </row>
    <row r="45" spans="1:38" ht="15" customHeight="1">
      <c r="B45" s="106" t="s">
        <v>158</v>
      </c>
      <c r="C45" s="110">
        <f>'Take-off'!$C$14</f>
        <v>12350</v>
      </c>
      <c r="D45" s="21"/>
      <c r="E45" s="21"/>
      <c r="G45" s="21"/>
      <c r="H45" s="21"/>
      <c r="I45" s="21"/>
      <c r="J45" s="106"/>
      <c r="K45" s="110"/>
      <c r="L45" s="21"/>
      <c r="M45" s="21"/>
      <c r="O45" s="106" t="s">
        <v>158</v>
      </c>
      <c r="P45" s="110">
        <f>'Take-off'!$C$14</f>
        <v>12350</v>
      </c>
      <c r="Q45" s="21"/>
      <c r="R45" s="21"/>
      <c r="T45" s="21"/>
      <c r="U45" s="21"/>
      <c r="V45" s="21"/>
      <c r="W45" s="106"/>
      <c r="X45" s="110"/>
      <c r="Y45" s="21"/>
      <c r="AB45" s="106" t="s">
        <v>158</v>
      </c>
      <c r="AC45" s="110">
        <f>'Take-off'!$C$14</f>
        <v>12350</v>
      </c>
      <c r="AD45" s="21"/>
      <c r="AE45" s="21"/>
      <c r="AG45" s="21"/>
      <c r="AH45" s="21"/>
      <c r="AI45" s="21"/>
      <c r="AJ45" s="106"/>
      <c r="AK45" s="110"/>
      <c r="AL45" s="21"/>
    </row>
    <row r="46" spans="1:38" ht="15" customHeight="1">
      <c r="B46" s="89" t="s">
        <v>159</v>
      </c>
      <c r="C46" s="109">
        <f>INDEX(A32:A40,MATCH(C45,A32:A40,1))</f>
        <v>12000</v>
      </c>
      <c r="D46" s="21"/>
      <c r="E46" s="38"/>
      <c r="G46" s="21"/>
      <c r="H46" s="21"/>
      <c r="I46" s="21"/>
      <c r="J46" s="89"/>
      <c r="K46" s="109"/>
      <c r="L46" s="21"/>
      <c r="M46" s="38"/>
      <c r="O46" s="89" t="s">
        <v>159</v>
      </c>
      <c r="P46" s="109">
        <f>INDEX(O32:O40,MATCH(P45,O32:O40,1))</f>
        <v>12000</v>
      </c>
      <c r="Q46" s="21"/>
      <c r="R46" s="38"/>
      <c r="T46" s="21"/>
      <c r="U46" s="21"/>
      <c r="V46" s="21"/>
      <c r="W46" s="89"/>
      <c r="X46" s="109"/>
      <c r="Y46" s="21"/>
      <c r="AB46" s="89" t="s">
        <v>159</v>
      </c>
      <c r="AC46" s="109">
        <f>INDEX(AC32:AC40,MATCH(AC45,AC32:AC40,1))</f>
        <v>12000</v>
      </c>
      <c r="AD46" s="21"/>
      <c r="AE46" s="38"/>
      <c r="AG46" s="21"/>
      <c r="AH46" s="21"/>
      <c r="AI46" s="21"/>
      <c r="AJ46" s="89"/>
      <c r="AK46" s="109"/>
      <c r="AL46" s="21"/>
    </row>
    <row r="47" spans="1:38" ht="15" customHeight="1">
      <c r="B47" s="89" t="s">
        <v>160</v>
      </c>
      <c r="C47" s="109" cm="1">
        <f t="array" ref="C47">INDEX(A32:A40,IF(MATCH(C45,A32:A40,1)&lt;E43,MATCH(C45,A32:A40,1)+1,MATCH(C45,A32:A40,1)))</f>
        <v>12500</v>
      </c>
      <c r="D47" s="21"/>
      <c r="E47" s="38"/>
      <c r="G47" s="21"/>
      <c r="H47" s="21"/>
      <c r="I47" s="21"/>
      <c r="J47" s="89"/>
      <c r="K47" s="109"/>
      <c r="L47" s="21"/>
      <c r="M47" s="38"/>
      <c r="O47" s="89" t="s">
        <v>160</v>
      </c>
      <c r="P47" s="109" cm="1">
        <f t="array" ref="P47">INDEX(O32:O40,IF(MATCH(P45,O32:O40,1)&lt;R43,MATCH(P45,O32:O40,1)+1,MATCH(P45,O32:O40,1)))</f>
        <v>13000</v>
      </c>
      <c r="Q47" s="21"/>
      <c r="R47" s="38"/>
      <c r="T47" s="21"/>
      <c r="U47" s="21"/>
      <c r="V47" s="21"/>
      <c r="W47" s="89"/>
      <c r="X47" s="109"/>
      <c r="Y47" s="21"/>
      <c r="AB47" s="89" t="s">
        <v>160</v>
      </c>
      <c r="AC47" s="109" cm="1">
        <f t="array" ref="AC47">INDEX(AC32:AC40,IF(MATCH(AC45,AC32:AC40,1)&lt;AE43,MATCH(AC45,AC32:AC40,1)+1,MATCH(AC45,AC32:AC40,1)))</f>
        <v>12500</v>
      </c>
      <c r="AD47" s="21"/>
      <c r="AE47" s="38"/>
      <c r="AG47" s="21"/>
      <c r="AH47" s="21"/>
      <c r="AI47" s="21"/>
      <c r="AJ47" s="89"/>
      <c r="AK47" s="109"/>
      <c r="AL47" s="21"/>
    </row>
    <row r="48" spans="1:38" ht="15" customHeight="1">
      <c r="B48" s="108" t="s">
        <v>161</v>
      </c>
      <c r="C48" s="107">
        <f>INDEX(B32:G40,MATCH(C45,A32:A40,1),MATCH(C42,B31:G31,1))</f>
        <v>4700</v>
      </c>
      <c r="D48" s="21"/>
      <c r="E48" s="38"/>
      <c r="G48" s="21"/>
      <c r="H48" s="21"/>
      <c r="I48" s="21"/>
      <c r="J48" s="108"/>
      <c r="K48" s="107"/>
      <c r="L48" s="21"/>
      <c r="M48" s="38"/>
      <c r="O48" s="108" t="s">
        <v>161</v>
      </c>
      <c r="P48" s="107" t="e">
        <f>INDEX(P32:S40,MATCH(P45,O32:O40,1),MATCH(P42,P31:S31,1))</f>
        <v>#N/A</v>
      </c>
      <c r="Q48" s="21"/>
      <c r="R48" s="38"/>
      <c r="T48" s="21"/>
      <c r="U48" s="21"/>
      <c r="V48" s="21"/>
      <c r="W48" s="108"/>
      <c r="X48" s="107"/>
      <c r="Y48" s="21"/>
      <c r="AB48" s="108" t="s">
        <v>161</v>
      </c>
      <c r="AC48" s="107">
        <f>INDEX(AD32:AJ40,MATCH(AC45,AC32:AC40,1),MATCH(AC42,AD31:AJ31,1))</f>
        <v>3600</v>
      </c>
      <c r="AD48" s="21"/>
      <c r="AE48" s="38"/>
      <c r="AG48" s="21"/>
      <c r="AH48" s="21"/>
      <c r="AI48" s="21"/>
      <c r="AJ48" s="108"/>
      <c r="AK48" s="107"/>
      <c r="AL48" s="21"/>
    </row>
    <row r="49" spans="1:46" ht="15" customHeight="1">
      <c r="B49" s="108" t="s">
        <v>203</v>
      </c>
      <c r="C49" s="107" cm="1">
        <f t="array" ref="C49">INDEX(B32:G40,MATCH(C45,A32:A40,1),IF(MATCH(C42,B31:G31,1)&lt;E44,MATCH(C42,B31:G31,1)+1,MATCH(C45,A32:A40,1)))</f>
        <v>5900</v>
      </c>
      <c r="E49" s="38"/>
      <c r="G49" s="21"/>
      <c r="H49" s="21"/>
      <c r="I49" s="21"/>
      <c r="J49" s="108"/>
      <c r="K49" s="107"/>
      <c r="M49" s="38"/>
      <c r="O49" s="108" t="s">
        <v>203</v>
      </c>
      <c r="P49" s="107" t="e" cm="1">
        <f t="array" ref="P49">INDEX(P32:S40,MATCH(P45,O32:O40,1),IF(MATCH(P42,P31:S31,1)&lt;R44,MATCH(P42,P31:S31,1)+1,MATCH(P45,O32:O40,1)))</f>
        <v>#N/A</v>
      </c>
      <c r="R49" s="38"/>
      <c r="T49" s="21"/>
      <c r="U49" s="21"/>
      <c r="V49" s="21"/>
      <c r="W49" s="108"/>
      <c r="X49" s="107"/>
      <c r="AB49" s="108" t="s">
        <v>203</v>
      </c>
      <c r="AC49" s="107" cm="1">
        <f t="array" ref="AC49">INDEX(AD32:AJ40,MATCH(AC45,AC32:AC40,1),IF(MATCH(AC42,AD31:AJ31,1)&lt;AE44,MATCH(AC42,AD31:AJ31,1)+1,MATCH(AC45,AC32:AC40,1)))</f>
        <v>4500</v>
      </c>
      <c r="AE49" s="38"/>
      <c r="AG49" s="21"/>
      <c r="AH49" s="21"/>
      <c r="AI49" s="21"/>
      <c r="AJ49" s="108"/>
      <c r="AK49" s="107"/>
    </row>
    <row r="50" spans="1:46" ht="15" customHeight="1">
      <c r="B50" s="108" t="s">
        <v>162</v>
      </c>
      <c r="C50" s="107" cm="1">
        <f t="array" ref="C50">INDEX(B32:G40,IF(MATCH(C45,A32:A40,1)&lt;E43,MATCH(C45,A32:A40,1)+1,MATCH(C45,A32:A40,1)),MATCH(C42,B31:G31,1))</f>
        <v>5300</v>
      </c>
      <c r="E50" s="38"/>
      <c r="G50" s="21"/>
      <c r="H50" s="21"/>
      <c r="I50" s="21"/>
      <c r="J50" s="108"/>
      <c r="K50" s="107"/>
      <c r="M50" s="38"/>
      <c r="O50" s="108" t="s">
        <v>162</v>
      </c>
      <c r="P50" s="107" t="e" cm="1">
        <f t="array" ref="P50">INDEX(P32:S40,IF(MATCH(P45,O32:O40,1)&lt;R43,MATCH(P45,O32:O40,1)+1,MATCH(P45,O32:O40,1)),MATCH(P42,P31:S31,1))</f>
        <v>#N/A</v>
      </c>
      <c r="R50" s="38"/>
      <c r="T50" s="21"/>
      <c r="U50" s="21"/>
      <c r="V50" s="21"/>
      <c r="W50" s="108"/>
      <c r="X50" s="107"/>
      <c r="AB50" s="108" t="s">
        <v>162</v>
      </c>
      <c r="AC50" s="107" cm="1">
        <f t="array" ref="AC50">INDEX(AD32:AJ40,IF(MATCH(AC45,AC32:AC40,1)&lt;AE43,MATCH(AC45,AC32:AC40,1)+1,MATCH(AC45,AC32:AC40,1)),MATCH(AC42,AD31:AJ31,1))</f>
        <v>4000</v>
      </c>
      <c r="AE50" s="38"/>
      <c r="AG50" s="21"/>
      <c r="AH50" s="21"/>
      <c r="AI50" s="21"/>
      <c r="AJ50" s="108"/>
      <c r="AK50" s="107"/>
    </row>
    <row r="51" spans="1:46" ht="15" customHeight="1">
      <c r="B51" s="108" t="s">
        <v>204</v>
      </c>
      <c r="C51" s="107" cm="1">
        <f t="array" ref="C51">INDEX(B32:G40,IF(MATCH(C45,A32:A40,1)&lt;E43,MATCH(C45,A32:A40,1)+1,MATCH(C45,A32:A40,1)),IF(MATCH(C42,B31:G31,1)&lt;E44,MATCH(C42,B31:G31,1)+1,MATCH(C42,B31:G31,1)))</f>
        <v>6600</v>
      </c>
      <c r="G51" s="21"/>
      <c r="H51" s="21"/>
      <c r="I51" s="21"/>
      <c r="J51" s="108"/>
      <c r="K51" s="107"/>
      <c r="O51" s="108" t="s">
        <v>204</v>
      </c>
      <c r="P51" s="107" t="e" cm="1">
        <f t="array" ref="P51">INDEX(P32:S40,IF(MATCH(P45,O32:O40,1)&lt;R43,MATCH(P45,O32:O40,1)+1,MATCH(P45,O32:O40,1)),IF(MATCH(P42,P31:S31,1)&lt;R44,MATCH(P42,P31:S31,1)+1,MATCH(P42,P31:S31,1)))</f>
        <v>#N/A</v>
      </c>
      <c r="T51" s="21"/>
      <c r="U51" s="21"/>
      <c r="V51" s="21"/>
      <c r="W51" s="108"/>
      <c r="X51" s="107"/>
      <c r="AB51" s="108" t="s">
        <v>204</v>
      </c>
      <c r="AC51" s="107" cm="1">
        <f t="array" ref="AC51">INDEX(AD32:AJ40,IF(MATCH(AC45,AC32:AC40,1)&lt;AE43,MATCH(AC45,AC32:AC40,1)+1,MATCH(AC45,AC32:AC40,1)),IF(MATCH(AC42,AD31:AJ31,1)&lt;AE44,MATCH(AC42,AD31:AJ31,1)+1,MATCH(AC42,AD31:AJ31,1)))</f>
        <v>5000</v>
      </c>
      <c r="AG51" s="21"/>
      <c r="AH51" s="21"/>
      <c r="AI51" s="21"/>
      <c r="AJ51" s="108"/>
      <c r="AK51" s="107"/>
    </row>
    <row r="52" spans="1:46" ht="15" customHeight="1">
      <c r="B52" s="89" t="s">
        <v>205</v>
      </c>
      <c r="C52" s="109">
        <f>IFERROR(C48+(C42-C43)*(C49-C48)/(C44-C43),C48)</f>
        <v>5596.123076923077</v>
      </c>
      <c r="G52" s="21"/>
      <c r="H52" s="21"/>
      <c r="I52" s="21"/>
      <c r="J52" s="89"/>
      <c r="K52" s="109"/>
      <c r="O52" s="89" t="s">
        <v>205</v>
      </c>
      <c r="P52" s="109" t="e">
        <f>IFERROR(P48+(P42-P43)*(P49-P48)/(P44-P43),P48)</f>
        <v>#N/A</v>
      </c>
      <c r="T52" s="21"/>
      <c r="U52" s="21"/>
      <c r="V52" s="21"/>
      <c r="W52" s="89"/>
      <c r="X52" s="109"/>
      <c r="AB52" s="89" t="s">
        <v>205</v>
      </c>
      <c r="AC52" s="109">
        <f>IFERROR(AC48+(AC42-AC43)*(AC49-AC48)/(AC44-AC43),AC48)</f>
        <v>4187.79</v>
      </c>
      <c r="AG52" s="21"/>
      <c r="AH52" s="21"/>
      <c r="AI52" s="21"/>
      <c r="AJ52" s="89"/>
      <c r="AK52" s="109"/>
    </row>
    <row r="53" spans="1:46" ht="15" customHeight="1">
      <c r="B53" s="89" t="s">
        <v>206</v>
      </c>
      <c r="C53" s="109">
        <f>IFERROR(C50+(C42-C43)*(C51-C50)/(C44-C43),C50)</f>
        <v>6270.8</v>
      </c>
      <c r="G53" s="21"/>
      <c r="H53" s="21"/>
      <c r="I53" s="21"/>
      <c r="J53" s="89"/>
      <c r="K53" s="109"/>
      <c r="O53" s="89" t="s">
        <v>206</v>
      </c>
      <c r="P53" s="109" t="e">
        <f>IFERROR(P50+(P42-P43)*(P51-P50)/(P44-P43),P50)</f>
        <v>#N/A</v>
      </c>
      <c r="T53" s="21"/>
      <c r="U53" s="21"/>
      <c r="V53" s="21"/>
      <c r="W53" s="89"/>
      <c r="X53" s="109"/>
      <c r="AB53" s="89" t="s">
        <v>206</v>
      </c>
      <c r="AC53" s="109">
        <f>IFERROR(AC50+(AC42-AC43)*(AC51-AC50)/(AC44-AC43),AC50)</f>
        <v>4653.1000000000004</v>
      </c>
      <c r="AG53" s="21"/>
      <c r="AH53" s="21"/>
      <c r="AI53" s="21"/>
      <c r="AJ53" s="89"/>
      <c r="AK53" s="109"/>
    </row>
    <row r="54" spans="1:46" ht="15" customHeight="1">
      <c r="B54" s="108" t="s">
        <v>207</v>
      </c>
      <c r="C54" s="107">
        <f>IFERROR(C52+(C45-C46)*(C53-C52)/(C47-C46),C52)</f>
        <v>6068.3969230769235</v>
      </c>
      <c r="G54" s="21"/>
      <c r="H54" s="21"/>
      <c r="I54" s="21"/>
      <c r="J54" s="108"/>
      <c r="K54" s="107"/>
      <c r="O54" s="108" t="s">
        <v>207</v>
      </c>
      <c r="P54" s="107" t="e">
        <f>IFERROR(P52+(P45-P46)*(P53-P52)/(P47-P46),P52)</f>
        <v>#N/A</v>
      </c>
      <c r="T54" s="21"/>
      <c r="U54" s="21"/>
      <c r="V54" s="21"/>
      <c r="W54" s="108"/>
      <c r="X54" s="107"/>
      <c r="AB54" s="108" t="s">
        <v>207</v>
      </c>
      <c r="AC54" s="107">
        <f>IFERROR(AC52+(AC45-AC46)*(AC53-AC52)/(AC47-AC46),AC52)</f>
        <v>4513.5070000000005</v>
      </c>
      <c r="AG54" s="21"/>
      <c r="AH54" s="21"/>
      <c r="AI54" s="21"/>
      <c r="AJ54" s="108"/>
      <c r="AK54" s="107"/>
    </row>
    <row r="55" spans="1:46" ht="15" customHeight="1">
      <c r="J55" s="181"/>
      <c r="K55" s="181"/>
      <c r="L55" s="181"/>
      <c r="M55" s="181"/>
      <c r="W55" s="181"/>
      <c r="X55" s="181"/>
      <c r="Y55" s="181"/>
      <c r="AJ55" s="181"/>
      <c r="AK55" s="181"/>
      <c r="AL55" s="181"/>
    </row>
    <row r="56" spans="1:46" ht="15" customHeight="1">
      <c r="A56" s="181"/>
      <c r="B56" s="386" t="s">
        <v>209</v>
      </c>
      <c r="C56" s="386"/>
      <c r="D56" s="386"/>
      <c r="E56" s="386"/>
      <c r="F56" s="386"/>
      <c r="G56" s="386"/>
      <c r="H56" s="386"/>
      <c r="I56" s="386"/>
      <c r="J56" s="188"/>
      <c r="K56" s="188"/>
      <c r="L56" s="188"/>
      <c r="M56" s="188"/>
      <c r="N56" s="181"/>
      <c r="O56" s="386" t="s">
        <v>209</v>
      </c>
      <c r="P56" s="386"/>
      <c r="Q56" s="386"/>
      <c r="R56" s="386"/>
      <c r="S56" s="386"/>
      <c r="T56" s="386"/>
      <c r="U56" s="386"/>
      <c r="V56" s="386"/>
      <c r="W56" s="188"/>
      <c r="X56" s="188"/>
      <c r="Y56" s="188"/>
      <c r="AA56" s="181"/>
      <c r="AB56" s="386" t="s">
        <v>209</v>
      </c>
      <c r="AC56" s="386"/>
      <c r="AD56" s="386"/>
      <c r="AE56" s="386"/>
      <c r="AF56" s="386"/>
      <c r="AG56" s="386"/>
      <c r="AH56" s="386"/>
      <c r="AI56" s="386"/>
      <c r="AJ56" s="188"/>
      <c r="AK56" s="188"/>
      <c r="AL56" s="188"/>
    </row>
    <row r="57" spans="1:46" ht="15" customHeight="1">
      <c r="A57" s="181" t="s">
        <v>38</v>
      </c>
      <c r="B57" s="202">
        <v>2400</v>
      </c>
      <c r="C57" s="202">
        <v>3800</v>
      </c>
      <c r="D57" s="202">
        <v>5100</v>
      </c>
      <c r="E57" s="202">
        <v>6500</v>
      </c>
      <c r="F57" s="192">
        <v>7900</v>
      </c>
      <c r="G57" s="192">
        <v>9200</v>
      </c>
      <c r="H57" s="192">
        <v>10500</v>
      </c>
      <c r="I57" s="194">
        <v>12000</v>
      </c>
      <c r="J57" s="190"/>
      <c r="K57" s="190"/>
      <c r="L57" s="190"/>
      <c r="M57" s="181"/>
      <c r="N57" s="181" t="s">
        <v>38</v>
      </c>
      <c r="O57" s="191">
        <v>2000</v>
      </c>
      <c r="P57" s="202">
        <v>3000</v>
      </c>
      <c r="Q57" s="202">
        <v>4000</v>
      </c>
      <c r="R57" s="202">
        <v>5000</v>
      </c>
      <c r="S57" s="202">
        <v>6000</v>
      </c>
      <c r="T57" s="202">
        <v>7000</v>
      </c>
      <c r="U57" s="202">
        <v>8000</v>
      </c>
      <c r="V57" s="202">
        <v>9000</v>
      </c>
      <c r="W57" s="194">
        <v>10000</v>
      </c>
      <c r="AA57" s="181"/>
      <c r="AB57" s="181" t="s">
        <v>38</v>
      </c>
      <c r="AC57" s="191">
        <v>2000</v>
      </c>
      <c r="AD57" s="202">
        <v>3200</v>
      </c>
      <c r="AE57" s="202">
        <v>4300</v>
      </c>
      <c r="AF57" s="202">
        <v>5400</v>
      </c>
      <c r="AG57" s="202">
        <v>6400</v>
      </c>
      <c r="AH57" s="202">
        <v>7600</v>
      </c>
      <c r="AI57" s="202">
        <v>8600</v>
      </c>
      <c r="AJ57" s="202">
        <v>9700</v>
      </c>
      <c r="AK57" s="203">
        <v>10000</v>
      </c>
      <c r="AO57" s="190"/>
      <c r="AP57" s="181"/>
      <c r="AR57" s="181"/>
      <c r="AS57" s="181"/>
      <c r="AT57" s="181"/>
    </row>
    <row r="58" spans="1:46" ht="15" customHeight="1">
      <c r="A58" s="181">
        <v>-10</v>
      </c>
      <c r="B58" s="191">
        <v>2900</v>
      </c>
      <c r="C58" s="202">
        <v>4500</v>
      </c>
      <c r="D58" s="202">
        <v>6100</v>
      </c>
      <c r="E58" s="202">
        <v>7500</v>
      </c>
      <c r="F58" s="202">
        <v>9000</v>
      </c>
      <c r="G58" s="202">
        <v>10500</v>
      </c>
      <c r="H58" s="202">
        <v>12000</v>
      </c>
      <c r="I58" s="203">
        <v>99999</v>
      </c>
      <c r="J58" s="188"/>
      <c r="K58" s="188"/>
      <c r="L58" s="188"/>
      <c r="M58" s="181"/>
      <c r="N58" s="181">
        <v>-10</v>
      </c>
      <c r="O58" s="191"/>
      <c r="P58" s="202"/>
      <c r="Q58" s="202"/>
      <c r="R58" s="202"/>
      <c r="S58" s="202"/>
      <c r="T58" s="202"/>
      <c r="U58" s="202"/>
      <c r="V58" s="202"/>
      <c r="W58" s="203">
        <v>99999</v>
      </c>
      <c r="AA58" s="181"/>
      <c r="AB58" s="181">
        <v>-10</v>
      </c>
      <c r="AC58" s="191">
        <v>2500</v>
      </c>
      <c r="AD58" s="202">
        <v>3800</v>
      </c>
      <c r="AE58" s="202">
        <v>5000</v>
      </c>
      <c r="AF58" s="202">
        <v>6300</v>
      </c>
      <c r="AG58" s="202">
        <v>7500</v>
      </c>
      <c r="AH58" s="202">
        <v>8800</v>
      </c>
      <c r="AI58" s="202">
        <v>10000</v>
      </c>
      <c r="AJ58" s="202">
        <v>11400</v>
      </c>
      <c r="AK58" s="203">
        <v>99999</v>
      </c>
      <c r="AO58" s="188"/>
      <c r="AP58" s="181"/>
      <c r="AR58" s="181"/>
    </row>
    <row r="59" spans="1:46" ht="15" customHeight="1">
      <c r="A59" s="181">
        <v>0</v>
      </c>
      <c r="B59" s="196">
        <v>2400</v>
      </c>
      <c r="C59" s="188">
        <v>3800</v>
      </c>
      <c r="D59" s="188">
        <v>5100</v>
      </c>
      <c r="E59" s="188">
        <v>6500</v>
      </c>
      <c r="F59" s="188">
        <v>7900</v>
      </c>
      <c r="G59" s="188">
        <v>9200</v>
      </c>
      <c r="H59" s="188">
        <v>10500</v>
      </c>
      <c r="I59" s="203">
        <v>99999</v>
      </c>
      <c r="J59" s="188"/>
      <c r="K59" s="188"/>
      <c r="L59" s="188"/>
      <c r="M59" s="181"/>
      <c r="N59" s="181">
        <v>0</v>
      </c>
      <c r="O59" s="196"/>
      <c r="P59" s="188"/>
      <c r="Q59" s="188"/>
      <c r="R59" s="188"/>
      <c r="S59" s="188"/>
      <c r="T59" s="188"/>
      <c r="U59" s="188"/>
      <c r="V59" s="188"/>
      <c r="W59" s="203">
        <v>99999</v>
      </c>
      <c r="AA59" s="181"/>
      <c r="AB59" s="181">
        <v>0</v>
      </c>
      <c r="AC59" s="196">
        <v>2000</v>
      </c>
      <c r="AD59" s="188">
        <v>3200</v>
      </c>
      <c r="AE59" s="188">
        <v>4300</v>
      </c>
      <c r="AF59" s="188">
        <v>5400</v>
      </c>
      <c r="AG59" s="188">
        <v>6400</v>
      </c>
      <c r="AH59" s="188">
        <v>7600</v>
      </c>
      <c r="AI59" s="188">
        <v>8600</v>
      </c>
      <c r="AJ59" s="188">
        <v>9700</v>
      </c>
      <c r="AK59" s="204">
        <v>99999</v>
      </c>
      <c r="AO59" s="188"/>
      <c r="AP59" s="181"/>
      <c r="AR59" s="181"/>
    </row>
    <row r="60" spans="1:46" ht="15" customHeight="1">
      <c r="A60" s="181">
        <v>30</v>
      </c>
      <c r="B60" s="198">
        <v>2000</v>
      </c>
      <c r="C60" s="207">
        <v>3100</v>
      </c>
      <c r="D60" s="207">
        <v>4300</v>
      </c>
      <c r="E60" s="207">
        <v>5400</v>
      </c>
      <c r="F60" s="207">
        <v>6500</v>
      </c>
      <c r="G60" s="207">
        <v>7700</v>
      </c>
      <c r="H60" s="207">
        <v>8900</v>
      </c>
      <c r="I60" s="206">
        <v>99999</v>
      </c>
      <c r="J60" s="188"/>
      <c r="K60" s="188"/>
      <c r="L60" s="188"/>
      <c r="M60" s="181"/>
      <c r="N60" s="181">
        <v>30</v>
      </c>
      <c r="O60" s="198"/>
      <c r="P60" s="207"/>
      <c r="Q60" s="207"/>
      <c r="R60" s="207"/>
      <c r="S60" s="207"/>
      <c r="T60" s="207"/>
      <c r="U60" s="207"/>
      <c r="V60" s="207"/>
      <c r="W60" s="206">
        <v>99999</v>
      </c>
      <c r="AA60" s="181"/>
      <c r="AB60" s="181">
        <v>30</v>
      </c>
      <c r="AC60" s="198">
        <v>1700</v>
      </c>
      <c r="AD60" s="207">
        <v>2600</v>
      </c>
      <c r="AE60" s="207">
        <v>3550</v>
      </c>
      <c r="AF60" s="207">
        <v>4500</v>
      </c>
      <c r="AG60" s="207">
        <v>5400</v>
      </c>
      <c r="AH60" s="207">
        <v>6300</v>
      </c>
      <c r="AI60" s="207">
        <v>7300</v>
      </c>
      <c r="AJ60" s="207">
        <v>8200</v>
      </c>
      <c r="AK60" s="210">
        <v>99999</v>
      </c>
      <c r="AO60" s="188"/>
      <c r="AP60" s="181"/>
      <c r="AR60" s="181"/>
    </row>
    <row r="61" spans="1:46" ht="15" customHeight="1">
      <c r="B61" s="182"/>
      <c r="C61" s="183"/>
      <c r="D61" s="181"/>
      <c r="E61" s="181"/>
      <c r="F61" s="181"/>
      <c r="G61" s="115"/>
      <c r="H61" s="115"/>
      <c r="I61" s="115"/>
      <c r="J61" s="115"/>
      <c r="K61" s="115"/>
      <c r="L61" s="108"/>
      <c r="M61" s="107"/>
      <c r="Q61" s="182"/>
      <c r="R61" s="183"/>
      <c r="S61" s="181"/>
      <c r="T61" s="181"/>
      <c r="U61" s="181"/>
      <c r="V61" s="115"/>
      <c r="W61" s="115"/>
      <c r="X61" s="115"/>
      <c r="Y61" s="108"/>
      <c r="Z61" s="107"/>
      <c r="AD61" s="182"/>
      <c r="AE61" s="183"/>
      <c r="AF61" s="181"/>
      <c r="AG61" s="181"/>
      <c r="AH61" s="181"/>
      <c r="AI61" s="115"/>
      <c r="AJ61" s="115"/>
      <c r="AK61" s="115"/>
      <c r="AL61" s="182"/>
      <c r="AM61" s="107"/>
    </row>
    <row r="62" spans="1:46" ht="15" customHeight="1">
      <c r="B62" s="108" t="s">
        <v>157</v>
      </c>
      <c r="C62" s="107">
        <f>C54</f>
        <v>6068.3969230769235</v>
      </c>
      <c r="D62" s="374" t="s">
        <v>200</v>
      </c>
      <c r="E62" s="321"/>
      <c r="G62" s="21"/>
      <c r="H62" s="21"/>
      <c r="I62" s="21"/>
      <c r="J62" s="21"/>
      <c r="K62" s="21"/>
      <c r="L62" s="108"/>
      <c r="M62" s="107"/>
      <c r="N62" s="184"/>
      <c r="O62" s="108" t="s">
        <v>157</v>
      </c>
      <c r="P62" s="107" t="e">
        <f>P54</f>
        <v>#N/A</v>
      </c>
      <c r="Q62" s="374" t="s">
        <v>200</v>
      </c>
      <c r="R62" s="321"/>
      <c r="V62" s="21"/>
      <c r="W62" s="21"/>
      <c r="X62" s="21"/>
      <c r="Y62" s="108"/>
      <c r="Z62" s="107"/>
      <c r="AA62" s="184"/>
      <c r="AC62" s="108" t="s">
        <v>157</v>
      </c>
      <c r="AD62" s="107">
        <f>AC54</f>
        <v>4513.5070000000005</v>
      </c>
      <c r="AE62" s="103" t="s">
        <v>200</v>
      </c>
      <c r="AI62" s="21"/>
      <c r="AJ62" s="21"/>
      <c r="AK62" s="21"/>
      <c r="AL62" s="108"/>
      <c r="AM62" s="107"/>
      <c r="AN62" s="184"/>
    </row>
    <row r="63" spans="1:46" ht="15" customHeight="1">
      <c r="B63" s="89" t="s">
        <v>201</v>
      </c>
      <c r="C63" s="109">
        <f>INDEX(B57:I57,MATCH(C62,B57:I57,1))</f>
        <v>5100</v>
      </c>
      <c r="D63" s="89" t="s">
        <v>155</v>
      </c>
      <c r="E63" s="104">
        <f>MATCH(MAX(A58:A60),A58:A60,1)</f>
        <v>3</v>
      </c>
      <c r="G63" s="21"/>
      <c r="H63" s="21"/>
      <c r="I63" s="21"/>
      <c r="J63" s="21"/>
      <c r="K63" s="21"/>
      <c r="L63" s="89"/>
      <c r="M63" s="109"/>
      <c r="N63" s="89"/>
      <c r="O63" s="89" t="s">
        <v>201</v>
      </c>
      <c r="P63" s="109" t="e">
        <f>INDEX(O57:W57,MATCH(P62,O57:W57,1))</f>
        <v>#N/A</v>
      </c>
      <c r="Q63" s="89" t="s">
        <v>155</v>
      </c>
      <c r="R63" s="104">
        <f>MATCH(MAX(N58:N60),N58:N60,1)</f>
        <v>3</v>
      </c>
      <c r="V63" s="21"/>
      <c r="W63" s="21"/>
      <c r="X63" s="21"/>
      <c r="Y63" s="89"/>
      <c r="Z63" s="109"/>
      <c r="AA63" s="89"/>
      <c r="AC63" s="89" t="s">
        <v>201</v>
      </c>
      <c r="AD63" s="109">
        <f>INDEX(AC57:AK57,MATCH(AD62,AC57:AK57,1))</f>
        <v>4300</v>
      </c>
      <c r="AE63" s="89" t="s">
        <v>155</v>
      </c>
      <c r="AF63" s="104">
        <f>MATCH(MAX(AB58:AB60),AB58:AB60,1)</f>
        <v>3</v>
      </c>
      <c r="AI63" s="21"/>
      <c r="AJ63" s="21"/>
      <c r="AK63" s="21"/>
      <c r="AL63" s="89"/>
      <c r="AM63" s="109"/>
      <c r="AN63" s="89"/>
    </row>
    <row r="64" spans="1:46" ht="15" customHeight="1">
      <c r="B64" s="89" t="s">
        <v>202</v>
      </c>
      <c r="C64" s="109" cm="1">
        <f t="array" ref="C64">INDEX(B57:I57,IF(MATCH(C62,B57:I57,1)&lt;E64,MATCH(C62,B57:I57,1)+1,MATCH(C62,B57:I57,1)))</f>
        <v>6500</v>
      </c>
      <c r="D64" s="89" t="s">
        <v>156</v>
      </c>
      <c r="E64" s="104">
        <f>MATCH(MAX(B57:I57),B57:I57,0)</f>
        <v>8</v>
      </c>
      <c r="G64" s="21"/>
      <c r="H64" s="21"/>
      <c r="I64" s="21"/>
      <c r="J64" s="21"/>
      <c r="K64" s="21"/>
      <c r="L64" s="89"/>
      <c r="M64" s="109"/>
      <c r="N64" s="89"/>
      <c r="O64" s="89" t="s">
        <v>202</v>
      </c>
      <c r="P64" s="109" t="e" cm="1">
        <f t="array" ref="P64">INDEX(O57:W57,IF(MATCH(P62,O57:W57,1)&lt;R64,MATCH(P62,O57:W57,1)+1,MATCH(P62,O57:W57,1)))</f>
        <v>#N/A</v>
      </c>
      <c r="Q64" s="89" t="s">
        <v>156</v>
      </c>
      <c r="R64" s="104">
        <f>MATCH(MAX(O57:W57),O57:W57,0)</f>
        <v>9</v>
      </c>
      <c r="V64" s="21"/>
      <c r="W64" s="21"/>
      <c r="X64" s="21"/>
      <c r="Y64" s="89"/>
      <c r="Z64" s="109"/>
      <c r="AA64" s="89"/>
      <c r="AC64" s="89" t="s">
        <v>202</v>
      </c>
      <c r="AD64" s="109" cm="1">
        <f t="array" ref="AD64">INDEX(AC57:AK57,IF(MATCH(AD62,AC57:AK57,1)&lt;AF64,MATCH(AD62,AC57:AK57,1)+1,MATCH(AD62,AC57:AK57,1)))</f>
        <v>5400</v>
      </c>
      <c r="AE64" s="89" t="s">
        <v>156</v>
      </c>
      <c r="AF64" s="104">
        <f>MATCH(MAX(AC57:AK57),AC57:AK57,0)</f>
        <v>9</v>
      </c>
      <c r="AI64" s="21"/>
      <c r="AJ64" s="21"/>
      <c r="AK64" s="21"/>
      <c r="AL64" s="89"/>
      <c r="AM64" s="109"/>
      <c r="AN64" s="89"/>
    </row>
    <row r="65" spans="2:40" ht="15" customHeight="1">
      <c r="B65" s="106" t="s">
        <v>158</v>
      </c>
      <c r="C65" s="110">
        <f>'Take-off'!$C$24</f>
        <v>0</v>
      </c>
      <c r="D65" s="21"/>
      <c r="E65" s="21"/>
      <c r="G65" s="21"/>
      <c r="H65" s="21"/>
      <c r="I65" s="21"/>
      <c r="J65" s="21"/>
      <c r="K65" s="21"/>
      <c r="L65" s="106"/>
      <c r="M65" s="110"/>
      <c r="N65" s="21"/>
      <c r="O65" s="106" t="s">
        <v>158</v>
      </c>
      <c r="P65" s="110">
        <f>'Take-off'!$C$24</f>
        <v>0</v>
      </c>
      <c r="Q65" s="21"/>
      <c r="R65" s="21"/>
      <c r="V65" s="21"/>
      <c r="W65" s="21"/>
      <c r="X65" s="21"/>
      <c r="Y65" s="106"/>
      <c r="Z65" s="110"/>
      <c r="AA65" s="21"/>
      <c r="AC65" s="106" t="s">
        <v>158</v>
      </c>
      <c r="AD65" s="110">
        <f>'Take-off'!$C$24</f>
        <v>0</v>
      </c>
      <c r="AE65" s="21"/>
      <c r="AF65" s="21"/>
      <c r="AI65" s="21"/>
      <c r="AJ65" s="21"/>
      <c r="AK65" s="21"/>
      <c r="AL65" s="106"/>
      <c r="AM65" s="110"/>
      <c r="AN65" s="21"/>
    </row>
    <row r="66" spans="2:40" ht="15" customHeight="1">
      <c r="B66" s="89" t="s">
        <v>159</v>
      </c>
      <c r="C66" s="109">
        <f>INDEX(A58:A60,MATCH(C65,A58:A60,1))</f>
        <v>0</v>
      </c>
      <c r="D66" s="21"/>
      <c r="E66" s="38"/>
      <c r="G66" s="21"/>
      <c r="H66" s="21"/>
      <c r="I66" s="21"/>
      <c r="J66" s="21"/>
      <c r="K66" s="21"/>
      <c r="L66" s="89"/>
      <c r="M66" s="109"/>
      <c r="N66" s="21"/>
      <c r="O66" s="89" t="s">
        <v>159</v>
      </c>
      <c r="P66" s="109">
        <f>INDEX(N58:N60,MATCH(P65,N58:N60,1))</f>
        <v>0</v>
      </c>
      <c r="Q66" s="21"/>
      <c r="R66" s="38"/>
      <c r="V66" s="21"/>
      <c r="W66" s="21"/>
      <c r="X66" s="21"/>
      <c r="Y66" s="89"/>
      <c r="Z66" s="109"/>
      <c r="AA66" s="21"/>
      <c r="AC66" s="89" t="s">
        <v>159</v>
      </c>
      <c r="AD66" s="109">
        <f>INDEX(AB58:AB60,MATCH(AD65,AB58:AB60,1))</f>
        <v>0</v>
      </c>
      <c r="AE66" s="21"/>
      <c r="AF66" s="38"/>
      <c r="AI66" s="21"/>
      <c r="AJ66" s="21"/>
      <c r="AK66" s="21"/>
      <c r="AL66" s="89"/>
      <c r="AM66" s="109"/>
      <c r="AN66" s="21"/>
    </row>
    <row r="67" spans="2:40" ht="15" customHeight="1">
      <c r="B67" s="89" t="s">
        <v>160</v>
      </c>
      <c r="C67" s="109" cm="1">
        <f t="array" ref="C67">INDEX(A58:A60,IF(MATCH(C65,A58:A60,1)&lt;E63,MATCH(C65,A58:A60,1)+1,MATCH(C65,A58:A60,1)))</f>
        <v>30</v>
      </c>
      <c r="D67" s="21"/>
      <c r="E67" s="38"/>
      <c r="G67" s="21"/>
      <c r="H67" s="21"/>
      <c r="I67" s="21"/>
      <c r="J67" s="21"/>
      <c r="K67" s="21"/>
      <c r="L67" s="89"/>
      <c r="M67" s="109"/>
      <c r="N67" s="21"/>
      <c r="O67" s="89" t="s">
        <v>160</v>
      </c>
      <c r="P67" s="109" cm="1">
        <f t="array" ref="P67">INDEX(N58:N60,IF(MATCH(P65,N58:N60,1)&lt;R63,MATCH(P65,N58:N60,1)+1,MATCH(P65,N58:N60,1)))</f>
        <v>30</v>
      </c>
      <c r="Q67" s="21"/>
      <c r="R67" s="38"/>
      <c r="V67" s="21"/>
      <c r="W67" s="21"/>
      <c r="X67" s="21"/>
      <c r="Y67" s="89"/>
      <c r="Z67" s="109"/>
      <c r="AA67" s="21"/>
      <c r="AC67" s="89" t="s">
        <v>160</v>
      </c>
      <c r="AD67" s="109" cm="1">
        <f t="array" ref="AD67">INDEX(AB58:AB60,IF(MATCH(AD65,AB58:AB60,1)&lt;AF63,MATCH(AD65,AB58:AB60,1)+1,MATCH(AD65,AB58:AB60,1)))</f>
        <v>30</v>
      </c>
      <c r="AE67" s="21"/>
      <c r="AF67" s="38"/>
      <c r="AI67" s="21"/>
      <c r="AJ67" s="21"/>
      <c r="AK67" s="21"/>
      <c r="AL67" s="89"/>
      <c r="AM67" s="109"/>
      <c r="AN67" s="21"/>
    </row>
    <row r="68" spans="2:40" ht="15" customHeight="1">
      <c r="B68" s="108" t="s">
        <v>161</v>
      </c>
      <c r="C68" s="107">
        <f>INDEX(B58:I60,MATCH(C65,A58:A60,1),MATCH(C62,B57:I57,1))</f>
        <v>5100</v>
      </c>
      <c r="D68" s="21"/>
      <c r="E68" s="38"/>
      <c r="G68" s="21"/>
      <c r="H68" s="21"/>
      <c r="I68" s="21"/>
      <c r="J68" s="21"/>
      <c r="K68" s="21"/>
      <c r="L68" s="108"/>
      <c r="M68" s="107"/>
      <c r="N68" s="21"/>
      <c r="O68" s="108" t="s">
        <v>161</v>
      </c>
      <c r="P68" s="107" t="e">
        <f>INDEX(O58:W60,MATCH(P65,N58:N60,1),MATCH(P62,O57:W57,1))</f>
        <v>#N/A</v>
      </c>
      <c r="Q68" s="21"/>
      <c r="R68" s="38"/>
      <c r="V68" s="21"/>
      <c r="W68" s="21"/>
      <c r="X68" s="21"/>
      <c r="Y68" s="108"/>
      <c r="Z68" s="107"/>
      <c r="AA68" s="21"/>
      <c r="AC68" s="108" t="s">
        <v>161</v>
      </c>
      <c r="AD68" s="107">
        <f>INDEX(AC58:AK60,MATCH(AD65,AB58:AB60,1),MATCH(AD62,AC57:AK57,1))</f>
        <v>4300</v>
      </c>
      <c r="AE68" s="21"/>
      <c r="AF68" s="38"/>
      <c r="AI68" s="21"/>
      <c r="AJ68" s="21"/>
      <c r="AK68" s="21"/>
      <c r="AL68" s="108"/>
      <c r="AM68" s="107"/>
      <c r="AN68" s="21"/>
    </row>
    <row r="69" spans="2:40" ht="15" customHeight="1">
      <c r="B69" s="108" t="s">
        <v>203</v>
      </c>
      <c r="C69" s="107" cm="1">
        <f t="array" ref="C69">INDEX(B58:I60,MATCH(C65,A58:A60,1),IF(MATCH(C62,B57:I57,1)&lt;E64,MATCH(C62,B57:I57,1)+1,MATCH(C65,A58:A60,1)))</f>
        <v>6500</v>
      </c>
      <c r="E69" s="38"/>
      <c r="G69" s="21"/>
      <c r="H69" s="21"/>
      <c r="I69" s="21"/>
      <c r="J69" s="21"/>
      <c r="K69" s="21"/>
      <c r="L69" s="108"/>
      <c r="M69" s="107"/>
      <c r="O69" s="108" t="s">
        <v>203</v>
      </c>
      <c r="P69" s="107" t="e" cm="1">
        <f t="array" ref="P69">INDEX(O58:W60,MATCH(P65,N58:N60,1),IF(MATCH(P62,O57:W57,1)&lt;R64,MATCH(P62,O57:W57,1)+1,MATCH(P65,N58:N60,1)))</f>
        <v>#N/A</v>
      </c>
      <c r="R69" s="38"/>
      <c r="V69" s="21"/>
      <c r="W69" s="21"/>
      <c r="X69" s="21"/>
      <c r="Y69" s="108"/>
      <c r="Z69" s="107"/>
      <c r="AC69" s="108" t="s">
        <v>203</v>
      </c>
      <c r="AD69" s="107" cm="1">
        <f t="array" ref="AD69">INDEX(AC58:AK60,MATCH(AD65,AB58:AB60,1),IF(MATCH(AD62,AC57:AK57,1)&lt;AF64,MATCH(AD62,AC57:AK57,1)+1,MATCH(AD65,AB58:AB60,1)))</f>
        <v>5400</v>
      </c>
      <c r="AF69" s="38"/>
      <c r="AI69" s="21"/>
      <c r="AJ69" s="21"/>
      <c r="AK69" s="21"/>
      <c r="AL69" s="108"/>
      <c r="AM69" s="107"/>
    </row>
    <row r="70" spans="2:40" ht="15" customHeight="1">
      <c r="B70" s="108" t="s">
        <v>162</v>
      </c>
      <c r="C70" s="107" cm="1">
        <f t="array" ref="C70">INDEX(B58:I60,IF(MATCH(C65,A58:A60,1)&lt;E63,MATCH(C65,A58:A60,1)+1,MATCH(C65,A58:A60,1)),MATCH(C62,B57:I57,1))</f>
        <v>4300</v>
      </c>
      <c r="E70" s="38"/>
      <c r="G70" s="21"/>
      <c r="H70" s="21"/>
      <c r="I70" s="21"/>
      <c r="J70" s="21"/>
      <c r="K70" s="21"/>
      <c r="L70" s="108"/>
      <c r="M70" s="107"/>
      <c r="O70" s="108" t="s">
        <v>162</v>
      </c>
      <c r="P70" s="107" t="e" cm="1">
        <f t="array" ref="P70">INDEX(O58:W60,IF(MATCH(P65,N58:N60,1)&lt;R63,MATCH(P65,N58:N60,1)+1,MATCH(P65,N58:N60,1)),MATCH(P62,O57:W57,1))</f>
        <v>#N/A</v>
      </c>
      <c r="R70" s="38"/>
      <c r="V70" s="21"/>
      <c r="W70" s="21"/>
      <c r="X70" s="21"/>
      <c r="Y70" s="108"/>
      <c r="Z70" s="107"/>
      <c r="AC70" s="108" t="s">
        <v>162</v>
      </c>
      <c r="AD70" s="107" cm="1">
        <f t="array" ref="AD70">INDEX(AC58:AK60,IF(MATCH(AD65,AB58:AB60,1)&lt;AF63,MATCH(AD65,AB58:AB60,1)+1,MATCH(AD65,AB58:AB60,1)),MATCH(AD62,AC57:AK57,1))</f>
        <v>3550</v>
      </c>
      <c r="AF70" s="38"/>
      <c r="AI70" s="21"/>
      <c r="AJ70" s="21"/>
      <c r="AK70" s="21"/>
      <c r="AL70" s="108"/>
      <c r="AM70" s="107"/>
    </row>
    <row r="71" spans="2:40" ht="15" customHeight="1">
      <c r="B71" s="108" t="s">
        <v>204</v>
      </c>
      <c r="C71" s="107" cm="1">
        <f t="array" ref="C71">INDEX(B58:I60,IF(MATCH(C65,A58:A60,1)&lt;E63,MATCH(C65,A58:A60,1)+1,MATCH(C65,A58:A60,1)),IF(MATCH(C62,B57:I57,1)&lt;E64,MATCH(C62,B57:I57,1)+1,MATCH(C62,B57:I57,1)))</f>
        <v>5400</v>
      </c>
      <c r="G71" s="21"/>
      <c r="H71" s="21"/>
      <c r="I71" s="21"/>
      <c r="J71" s="21"/>
      <c r="K71" s="21"/>
      <c r="L71" s="108"/>
      <c r="M71" s="107"/>
      <c r="O71" s="108" t="s">
        <v>204</v>
      </c>
      <c r="P71" s="107" t="e" cm="1">
        <f t="array" ref="P71">INDEX(O58:W60,IF(MATCH(P65,N58:N60,1)&lt;R63,MATCH(P65,N58:N60,1)+1,MATCH(P65,N58:N60,1)),IF(MATCH(P62,O57:W57,1)&lt;R64,MATCH(P62,O57:W57,1)+1,MATCH(P62,O57:W57,1)))</f>
        <v>#N/A</v>
      </c>
      <c r="V71" s="21"/>
      <c r="W71" s="21"/>
      <c r="X71" s="21"/>
      <c r="Y71" s="108"/>
      <c r="Z71" s="107"/>
      <c r="AC71" s="108" t="s">
        <v>204</v>
      </c>
      <c r="AD71" s="107" cm="1">
        <f t="array" ref="AD71">INDEX(AC58:AK60,IF(MATCH(AD65,AB58:AB60,1)&lt;AF63,MATCH(AD65,AB58:AB60,1)+1,MATCH(AD65,AB58:AB60,1)),IF(MATCH(AD62,AC57:AK57,1)&lt;AF64,MATCH(AD62,AC57:AK57,1)+1,MATCH(AD62,AC57:AK57,1)))</f>
        <v>4500</v>
      </c>
      <c r="AI71" s="21"/>
      <c r="AJ71" s="21"/>
      <c r="AK71" s="21"/>
      <c r="AL71" s="108"/>
      <c r="AM71" s="107"/>
    </row>
    <row r="72" spans="2:40" ht="15" customHeight="1">
      <c r="B72" s="89" t="s">
        <v>205</v>
      </c>
      <c r="C72" s="109">
        <f>IFERROR(C68+(C62-C63)*(C69-C68)/(C64-C63),C68)</f>
        <v>6068.3969230769235</v>
      </c>
      <c r="G72" s="21"/>
      <c r="H72" s="21"/>
      <c r="I72" s="21"/>
      <c r="J72" s="21"/>
      <c r="K72" s="21"/>
      <c r="L72" s="89"/>
      <c r="M72" s="109"/>
      <c r="O72" s="89" t="s">
        <v>205</v>
      </c>
      <c r="P72" s="109" t="e">
        <f>IFERROR(P68+(P62-P63)*(P69-P68)/(P64-P63),P68)</f>
        <v>#N/A</v>
      </c>
      <c r="V72" s="21"/>
      <c r="W72" s="21"/>
      <c r="X72" s="21"/>
      <c r="Y72" s="89"/>
      <c r="Z72" s="109"/>
      <c r="AC72" s="89" t="s">
        <v>205</v>
      </c>
      <c r="AD72" s="109">
        <f>IFERROR(AD68+(AD62-AD63)*(AD69-AD68)/(AD64-AD63),AD68)</f>
        <v>4513.5070000000005</v>
      </c>
      <c r="AI72" s="21"/>
      <c r="AJ72" s="21"/>
      <c r="AK72" s="21"/>
      <c r="AL72" s="89"/>
      <c r="AM72" s="109"/>
    </row>
    <row r="73" spans="2:40" ht="15" customHeight="1">
      <c r="B73" s="89" t="s">
        <v>206</v>
      </c>
      <c r="C73" s="109">
        <f>IFERROR(C70+(C62-C63)*(C71-C70)/(C64-C63),C70)</f>
        <v>5060.8832967032968</v>
      </c>
      <c r="G73" s="21"/>
      <c r="H73" s="21"/>
      <c r="I73" s="21"/>
      <c r="J73" s="21"/>
      <c r="K73" s="21"/>
      <c r="L73" s="89"/>
      <c r="M73" s="109"/>
      <c r="O73" s="89" t="s">
        <v>206</v>
      </c>
      <c r="P73" s="109" t="e">
        <f>IFERROR(P70+(P62-P63)*(P71-P70)/(P64-P63),P70)</f>
        <v>#N/A</v>
      </c>
      <c r="V73" s="21"/>
      <c r="W73" s="21"/>
      <c r="X73" s="21"/>
      <c r="Y73" s="89"/>
      <c r="Z73" s="109"/>
      <c r="AC73" s="89" t="s">
        <v>206</v>
      </c>
      <c r="AD73" s="109">
        <f>IFERROR(AD70+(AD62-AD63)*(AD71-AD70)/(AD64-AD63),AD70)</f>
        <v>3734.3924090909095</v>
      </c>
      <c r="AI73" s="21"/>
      <c r="AJ73" s="21"/>
      <c r="AK73" s="21"/>
      <c r="AL73" s="89"/>
      <c r="AM73" s="109"/>
    </row>
    <row r="74" spans="2:40" ht="15" customHeight="1">
      <c r="B74" s="108" t="s">
        <v>207</v>
      </c>
      <c r="C74" s="107">
        <f>IFERROR(C72+(C65-C66)*(C73-C72)/(C67-C66),C72)</f>
        <v>6068.3969230769235</v>
      </c>
      <c r="G74" s="21"/>
      <c r="H74" s="21"/>
      <c r="I74" s="21"/>
      <c r="J74" s="21"/>
      <c r="K74" s="21"/>
      <c r="L74" s="108"/>
      <c r="M74" s="107"/>
      <c r="O74" s="108" t="s">
        <v>207</v>
      </c>
      <c r="P74" s="107" t="e">
        <f>IFERROR(P72+(P65-P66)*(P73-P72)/(P67-P66),P72)</f>
        <v>#N/A</v>
      </c>
      <c r="V74" s="21"/>
      <c r="W74" s="21"/>
      <c r="X74" s="21"/>
      <c r="Y74" s="108"/>
      <c r="Z74" s="107"/>
      <c r="AC74" s="108" t="s">
        <v>207</v>
      </c>
      <c r="AD74" s="107">
        <f>IFERROR(AD72+(AD65-AD66)*(AD73-AD72)/(AD67-AD66),AD72)</f>
        <v>4513.5070000000005</v>
      </c>
      <c r="AI74" s="21"/>
      <c r="AJ74" s="21"/>
      <c r="AK74" s="21"/>
      <c r="AL74" s="108"/>
      <c r="AM74" s="107"/>
    </row>
  </sheetData>
  <sheetProtection algorithmName="SHA-512" hashValue="q+jU4IDXGKnX9IeOz+dFwPILQZecVexciVQdf3J2AY7evRAd8sBCGj/sjTlArYIlreHLtE6bhxE/WGtMK0LPFQ==" saltValue="M8EB7dr/xAAx9R4Zbcr0vQ==" spinCount="100000" sheet="1" objects="1" scenarios="1"/>
  <mergeCells count="22">
    <mergeCell ref="B3:L3"/>
    <mergeCell ref="O3:Y3"/>
    <mergeCell ref="AB3:AL3"/>
    <mergeCell ref="B4:F4"/>
    <mergeCell ref="O4:S4"/>
    <mergeCell ref="AB4:AF4"/>
    <mergeCell ref="AR16:AS16"/>
    <mergeCell ref="AZ16:BA16"/>
    <mergeCell ref="D62:E62"/>
    <mergeCell ref="Q62:R62"/>
    <mergeCell ref="D42:E42"/>
    <mergeCell ref="Q42:R42"/>
    <mergeCell ref="AD42:AE42"/>
    <mergeCell ref="B56:I56"/>
    <mergeCell ref="O56:V56"/>
    <mergeCell ref="AB56:AI56"/>
    <mergeCell ref="B30:G30"/>
    <mergeCell ref="O30:T30"/>
    <mergeCell ref="AB30:AG30"/>
    <mergeCell ref="D16:E16"/>
    <mergeCell ref="Q16:R16"/>
    <mergeCell ref="AD16:AE16"/>
  </mergeCells>
  <conditionalFormatting sqref="B6:E13">
    <cfRule type="colorScale" priority="6">
      <colorScale>
        <cfvo type="min"/>
        <cfvo type="max"/>
        <color rgb="FFFCFCFF"/>
        <color rgb="FFF8696B"/>
      </colorScale>
    </cfRule>
  </conditionalFormatting>
  <conditionalFormatting sqref="B32:F39">
    <cfRule type="colorScale" priority="296">
      <colorScale>
        <cfvo type="min"/>
        <cfvo type="max"/>
        <color rgb="FFFCFCFF"/>
        <color rgb="FFF8696B"/>
      </colorScale>
    </cfRule>
  </conditionalFormatting>
  <conditionalFormatting sqref="B58:H60">
    <cfRule type="colorScale" priority="301">
      <colorScale>
        <cfvo type="min"/>
        <cfvo type="max"/>
        <color rgb="FFFCFCFF"/>
        <color rgb="FFF8696B"/>
      </colorScale>
    </cfRule>
  </conditionalFormatting>
  <conditionalFormatting sqref="J6:M14">
    <cfRule type="colorScale" priority="7">
      <colorScale>
        <cfvo type="min"/>
        <cfvo type="max"/>
        <color rgb="FFFCFCFF"/>
        <color rgb="FFF8696B"/>
      </colorScale>
    </cfRule>
  </conditionalFormatting>
  <conditionalFormatting sqref="O6:R13">
    <cfRule type="colorScale" priority="4">
      <colorScale>
        <cfvo type="min"/>
        <cfvo type="max"/>
        <color rgb="FFFCFCFF"/>
        <color rgb="FFF8696B"/>
      </colorScale>
    </cfRule>
  </conditionalFormatting>
  <conditionalFormatting sqref="O58:V60">
    <cfRule type="colorScale" priority="218">
      <colorScale>
        <cfvo type="min"/>
        <cfvo type="max"/>
        <color rgb="FFFCFCFF"/>
        <color rgb="FFF8696B"/>
      </colorScale>
    </cfRule>
  </conditionalFormatting>
  <conditionalFormatting sqref="P32:R39">
    <cfRule type="colorScale" priority="217">
      <colorScale>
        <cfvo type="min"/>
        <cfvo type="max"/>
        <color rgb="FFFCFCFF"/>
        <color rgb="FFF8696B"/>
      </colorScale>
    </cfRule>
  </conditionalFormatting>
  <conditionalFormatting sqref="W6:Y14">
    <cfRule type="colorScale" priority="5">
      <colorScale>
        <cfvo type="min"/>
        <cfvo type="max"/>
        <color rgb="FFFCFCFF"/>
        <color rgb="FFF8696B"/>
      </colorScale>
    </cfRule>
  </conditionalFormatting>
  <conditionalFormatting sqref="AB6:AE13">
    <cfRule type="colorScale" priority="1">
      <colorScale>
        <cfvo type="min"/>
        <cfvo type="max"/>
        <color rgb="FFFCFCFF"/>
        <color rgb="FFF8696B"/>
      </colorScale>
    </cfRule>
  </conditionalFormatting>
  <conditionalFormatting sqref="AC58:AJ60">
    <cfRule type="colorScale" priority="310">
      <colorScale>
        <cfvo type="min"/>
        <cfvo type="max"/>
        <color rgb="FFFCFCFF"/>
        <color rgb="FFF8696B"/>
      </colorScale>
    </cfRule>
  </conditionalFormatting>
  <conditionalFormatting sqref="AD32:AI39">
    <cfRule type="colorScale" priority="309">
      <colorScale>
        <cfvo type="min"/>
        <cfvo type="max"/>
        <color rgb="FFFCFCFF"/>
        <color rgb="FFF8696B"/>
      </colorScale>
    </cfRule>
  </conditionalFormatting>
  <conditionalFormatting sqref="AJ6:AL14">
    <cfRule type="colorScale" priority="2">
      <colorScale>
        <cfvo type="min"/>
        <cfvo type="max"/>
        <color rgb="FFFCFCFF"/>
        <color rgb="FFF8696B"/>
      </colorScale>
    </cfRule>
  </conditionalFormatting>
  <pageMargins left="0.25" right="0.25" top="0.75" bottom="0.75" header="0" footer="0"/>
  <pageSetup paperSize="9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53EB3-1E48-4C2C-A725-570E923640F8}">
  <sheetPr codeName="Blad13">
    <pageSetUpPr fitToPage="1"/>
  </sheetPr>
  <dimension ref="A1:BC74"/>
  <sheetViews>
    <sheetView topLeftCell="V52" workbookViewId="0">
      <selection activeCell="AH58" sqref="AH58"/>
    </sheetView>
  </sheetViews>
  <sheetFormatPr defaultColWidth="14.44140625" defaultRowHeight="15" customHeight="1"/>
  <cols>
    <col min="1" max="12" width="9.109375" customWidth="1"/>
    <col min="13" max="13" width="5" customWidth="1"/>
    <col min="14" max="58" width="9.109375" customWidth="1"/>
  </cols>
  <sheetData>
    <row r="1" spans="1:55" ht="14.25" customHeight="1">
      <c r="A1" s="1"/>
      <c r="B1" s="19" t="s">
        <v>194</v>
      </c>
      <c r="C1" s="108" t="s">
        <v>157</v>
      </c>
      <c r="D1" s="130">
        <f>IF('Take-off'!$C$9="",'Take-off'!$C$16,MAX(0,'Take-off'!$C$16+30*(1013-'Take-off'!$C$9)))</f>
        <v>1177</v>
      </c>
      <c r="E1" s="55"/>
      <c r="F1" s="55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31"/>
      <c r="AW1" s="1"/>
      <c r="AX1" s="1"/>
      <c r="AY1" s="1"/>
      <c r="AZ1" s="1"/>
      <c r="BA1" s="1"/>
      <c r="BB1" s="1"/>
      <c r="BC1" s="1"/>
    </row>
    <row r="2" spans="1:55" ht="14.25" customHeight="1">
      <c r="A2" s="1"/>
      <c r="B2" s="19" t="s">
        <v>196</v>
      </c>
      <c r="C2" s="106" t="s">
        <v>158</v>
      </c>
      <c r="D2" s="130">
        <f>IF('Take-off'!C13='Dropdown lists'!B30, 'Take-off'!$C$8, 'Take-off'!$C$8)</f>
        <v>0</v>
      </c>
      <c r="E2" s="132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31"/>
      <c r="AW2" s="1"/>
      <c r="AX2" s="1"/>
      <c r="AY2" s="1"/>
      <c r="AZ2" s="1"/>
      <c r="BA2" s="1"/>
      <c r="BB2" s="1"/>
      <c r="BC2" s="1"/>
    </row>
    <row r="3" spans="1:55" ht="14.25" customHeight="1">
      <c r="A3" s="1"/>
      <c r="B3" s="387" t="s">
        <v>149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213"/>
      <c r="N3" s="1"/>
      <c r="O3" s="387" t="s">
        <v>214</v>
      </c>
      <c r="P3" s="387"/>
      <c r="Q3" s="387"/>
      <c r="R3" s="387"/>
      <c r="S3" s="387"/>
      <c r="T3" s="387"/>
      <c r="U3" s="387"/>
      <c r="V3" s="387"/>
      <c r="W3" s="387"/>
      <c r="X3" s="387"/>
      <c r="Y3" s="387"/>
      <c r="Z3" s="1"/>
      <c r="AA3" s="1"/>
      <c r="AB3" s="387" t="s">
        <v>215</v>
      </c>
      <c r="AC3" s="387"/>
      <c r="AD3" s="387"/>
      <c r="AE3" s="387"/>
      <c r="AF3" s="387"/>
      <c r="AG3" s="387"/>
      <c r="AH3" s="387"/>
      <c r="AI3" s="387"/>
      <c r="AJ3" s="387"/>
      <c r="AK3" s="387"/>
      <c r="AL3" s="387"/>
      <c r="AM3" s="1"/>
      <c r="AN3" s="1"/>
      <c r="AO3" s="1"/>
      <c r="AP3" s="1"/>
      <c r="AQ3" s="1"/>
      <c r="AR3" s="1"/>
      <c r="AS3" s="1"/>
      <c r="AT3" s="1"/>
      <c r="AU3" s="1"/>
      <c r="AV3" s="131"/>
      <c r="AW3" s="1"/>
      <c r="AX3" s="1"/>
      <c r="AY3" s="1"/>
      <c r="AZ3" s="1"/>
      <c r="BA3" s="1"/>
      <c r="BB3" s="1"/>
      <c r="BC3" s="1"/>
    </row>
    <row r="4" spans="1:55" ht="15" customHeight="1">
      <c r="A4" s="181"/>
      <c r="B4" s="383" t="s">
        <v>216</v>
      </c>
      <c r="C4" s="383"/>
      <c r="D4" s="383"/>
      <c r="E4" s="383"/>
      <c r="F4" s="383"/>
      <c r="G4" s="188"/>
      <c r="H4" s="188"/>
      <c r="I4" s="188"/>
      <c r="J4" s="188"/>
      <c r="K4" s="188"/>
      <c r="L4" s="188"/>
      <c r="M4" s="188"/>
      <c r="N4" s="181"/>
      <c r="O4" s="383" t="s">
        <v>216</v>
      </c>
      <c r="P4" s="383"/>
      <c r="Q4" s="383"/>
      <c r="R4" s="383"/>
      <c r="S4" s="383"/>
      <c r="T4" s="188"/>
      <c r="U4" s="188"/>
      <c r="V4" s="188"/>
      <c r="W4" s="188"/>
      <c r="X4" s="188"/>
      <c r="Y4" s="188"/>
      <c r="Z4" s="108"/>
      <c r="AA4" s="181"/>
      <c r="AB4" s="383" t="s">
        <v>216</v>
      </c>
      <c r="AC4" s="383"/>
      <c r="AD4" s="383"/>
      <c r="AE4" s="383"/>
      <c r="AF4" s="383"/>
      <c r="AG4" s="188"/>
      <c r="AH4" s="188"/>
      <c r="AI4" s="188"/>
      <c r="AJ4" s="188"/>
      <c r="AK4" s="188"/>
      <c r="AL4" s="188"/>
      <c r="AM4" s="21"/>
      <c r="AN4" s="21"/>
      <c r="AO4" s="21"/>
      <c r="AP4" s="108"/>
      <c r="AQ4" s="107"/>
      <c r="AU4" s="21"/>
      <c r="AV4" s="21"/>
      <c r="AW4" s="21"/>
      <c r="AX4" s="108"/>
      <c r="AY4" s="107"/>
    </row>
    <row r="5" spans="1:55" ht="15" customHeight="1">
      <c r="A5" s="181" t="s">
        <v>217</v>
      </c>
      <c r="B5" s="191">
        <v>0</v>
      </c>
      <c r="C5" s="192">
        <v>1000</v>
      </c>
      <c r="D5" s="193">
        <v>2000</v>
      </c>
      <c r="E5" s="193">
        <v>3000</v>
      </c>
      <c r="F5" s="194">
        <v>4000</v>
      </c>
      <c r="G5" s="182"/>
      <c r="H5" s="183"/>
      <c r="I5" s="181"/>
      <c r="J5" s="182"/>
      <c r="K5" s="183"/>
      <c r="L5" s="181"/>
      <c r="M5" s="181"/>
      <c r="N5" s="181" t="s">
        <v>217</v>
      </c>
      <c r="O5" s="191">
        <v>0</v>
      </c>
      <c r="P5" s="192">
        <v>1000</v>
      </c>
      <c r="Q5" s="193">
        <v>2000</v>
      </c>
      <c r="R5" s="193">
        <v>3000</v>
      </c>
      <c r="S5" s="194">
        <v>4000</v>
      </c>
      <c r="T5" s="182"/>
      <c r="U5" s="183"/>
      <c r="V5" s="181"/>
      <c r="W5" s="182"/>
      <c r="X5" s="183"/>
      <c r="Y5" s="181"/>
      <c r="AA5" s="181" t="s">
        <v>217</v>
      </c>
      <c r="AB5" s="191">
        <v>0</v>
      </c>
      <c r="AC5" s="192">
        <v>1000</v>
      </c>
      <c r="AD5" s="193">
        <v>2000</v>
      </c>
      <c r="AE5" s="193">
        <v>3000</v>
      </c>
      <c r="AF5" s="194">
        <v>4000</v>
      </c>
      <c r="AG5" s="182"/>
      <c r="AH5" s="183"/>
      <c r="AI5" s="181"/>
      <c r="AJ5" s="182"/>
      <c r="AK5" s="183"/>
      <c r="AL5" s="181"/>
      <c r="AM5" s="108"/>
      <c r="AN5" s="107"/>
      <c r="AR5" s="21"/>
      <c r="AS5" s="21"/>
      <c r="AT5" s="21"/>
      <c r="AU5" s="108"/>
      <c r="AV5" s="107"/>
    </row>
    <row r="6" spans="1:55" ht="15" customHeight="1">
      <c r="A6" s="181">
        <v>-30</v>
      </c>
      <c r="B6" s="191">
        <v>2950</v>
      </c>
      <c r="C6" s="192">
        <v>3050</v>
      </c>
      <c r="D6" s="193">
        <v>3150</v>
      </c>
      <c r="E6" s="193">
        <v>3300</v>
      </c>
      <c r="F6" s="194">
        <v>99999</v>
      </c>
      <c r="G6" s="182"/>
      <c r="H6" s="107"/>
      <c r="I6" s="181"/>
      <c r="J6" s="182"/>
      <c r="K6" s="183"/>
      <c r="L6" s="181"/>
      <c r="M6" s="181"/>
      <c r="N6" s="181">
        <v>-30</v>
      </c>
      <c r="O6" s="191"/>
      <c r="P6" s="192"/>
      <c r="Q6" s="193"/>
      <c r="R6" s="193"/>
      <c r="S6" s="194">
        <v>99999</v>
      </c>
      <c r="T6" s="182"/>
      <c r="U6" s="107"/>
      <c r="V6" s="181"/>
      <c r="W6" s="182"/>
      <c r="X6" s="183"/>
      <c r="Y6" s="181"/>
      <c r="AA6" s="181">
        <v>-30</v>
      </c>
      <c r="AB6" s="191">
        <v>3000</v>
      </c>
      <c r="AC6" s="192">
        <v>3100</v>
      </c>
      <c r="AD6" s="193">
        <v>3200</v>
      </c>
      <c r="AE6" s="193">
        <v>3300</v>
      </c>
      <c r="AF6" s="194">
        <v>99999</v>
      </c>
      <c r="AG6" s="182"/>
      <c r="AH6" s="107"/>
      <c r="AI6" s="181"/>
      <c r="AJ6" s="182"/>
      <c r="AK6" s="183"/>
      <c r="AL6" s="181"/>
      <c r="AM6" s="108"/>
      <c r="AN6" s="107"/>
      <c r="AR6" s="21"/>
      <c r="AS6" s="21"/>
      <c r="AT6" s="21"/>
      <c r="AU6" s="108"/>
      <c r="AV6" s="107"/>
    </row>
    <row r="7" spans="1:55" ht="15" customHeight="1">
      <c r="A7" s="181">
        <v>-20</v>
      </c>
      <c r="B7" s="196">
        <v>2950</v>
      </c>
      <c r="C7" s="189">
        <v>3050</v>
      </c>
      <c r="D7" s="181">
        <v>3150</v>
      </c>
      <c r="E7" s="181">
        <v>3300</v>
      </c>
      <c r="F7" s="197">
        <v>99999</v>
      </c>
      <c r="G7" s="182"/>
      <c r="H7" s="107"/>
      <c r="J7" s="108"/>
      <c r="K7" s="107"/>
      <c r="N7" s="181">
        <v>-20</v>
      </c>
      <c r="O7" s="196"/>
      <c r="P7" s="189"/>
      <c r="Q7" s="181"/>
      <c r="R7" s="181"/>
      <c r="S7" s="197">
        <v>99999</v>
      </c>
      <c r="T7" s="182"/>
      <c r="U7" s="107"/>
      <c r="W7" s="108"/>
      <c r="X7" s="107"/>
      <c r="AA7" s="181">
        <v>-20</v>
      </c>
      <c r="AB7" s="196">
        <v>3000</v>
      </c>
      <c r="AC7" s="189">
        <v>3100</v>
      </c>
      <c r="AD7" s="181">
        <v>3200</v>
      </c>
      <c r="AE7" s="181">
        <v>3300</v>
      </c>
      <c r="AF7" s="197">
        <v>99999</v>
      </c>
      <c r="AG7" s="182"/>
      <c r="AH7" s="107"/>
      <c r="AJ7" s="108"/>
      <c r="AK7" s="107"/>
      <c r="AM7" s="108"/>
      <c r="AN7" s="107"/>
      <c r="AR7" s="21"/>
      <c r="AS7" s="21"/>
      <c r="AT7" s="21"/>
      <c r="AU7" s="108"/>
      <c r="AV7" s="107"/>
    </row>
    <row r="8" spans="1:55" ht="15" customHeight="1">
      <c r="A8" s="181">
        <v>-10</v>
      </c>
      <c r="B8" s="196">
        <v>3050</v>
      </c>
      <c r="C8" s="189">
        <v>3170</v>
      </c>
      <c r="D8" s="181">
        <v>3300</v>
      </c>
      <c r="E8" s="181">
        <v>3450</v>
      </c>
      <c r="F8" s="197">
        <v>99999</v>
      </c>
      <c r="G8" s="182"/>
      <c r="H8" s="107"/>
      <c r="J8" s="108"/>
      <c r="K8" s="107"/>
      <c r="N8" s="181">
        <v>-10</v>
      </c>
      <c r="O8" s="196"/>
      <c r="P8" s="189"/>
      <c r="Q8" s="181"/>
      <c r="R8" s="181"/>
      <c r="S8" s="197">
        <v>99999</v>
      </c>
      <c r="T8" s="182"/>
      <c r="U8" s="107"/>
      <c r="W8" s="108"/>
      <c r="X8" s="107"/>
      <c r="AA8" s="181">
        <v>-10</v>
      </c>
      <c r="AB8" s="196">
        <v>3050</v>
      </c>
      <c r="AC8" s="189">
        <v>3200</v>
      </c>
      <c r="AD8" s="181">
        <v>3300</v>
      </c>
      <c r="AE8" s="181">
        <v>3500</v>
      </c>
      <c r="AF8" s="197">
        <v>99999</v>
      </c>
      <c r="AG8" s="182"/>
      <c r="AH8" s="107"/>
      <c r="AJ8" s="108"/>
      <c r="AK8" s="107"/>
      <c r="AM8" s="108"/>
      <c r="AN8" s="107"/>
      <c r="AR8" s="21"/>
      <c r="AS8" s="21"/>
      <c r="AT8" s="21"/>
      <c r="AU8" s="108"/>
      <c r="AV8" s="107"/>
    </row>
    <row r="9" spans="1:55" ht="15" customHeight="1">
      <c r="A9" s="181">
        <v>0</v>
      </c>
      <c r="B9" s="196">
        <v>3170</v>
      </c>
      <c r="C9" s="189">
        <v>3300</v>
      </c>
      <c r="D9" s="181">
        <v>3450</v>
      </c>
      <c r="E9" s="181">
        <v>3620</v>
      </c>
      <c r="F9" s="197">
        <v>99999</v>
      </c>
      <c r="G9" s="182"/>
      <c r="H9" s="107"/>
      <c r="J9" s="108"/>
      <c r="K9" s="107"/>
      <c r="N9" s="181">
        <v>0</v>
      </c>
      <c r="O9" s="196"/>
      <c r="P9" s="189"/>
      <c r="Q9" s="181"/>
      <c r="R9" s="181"/>
      <c r="S9" s="197">
        <v>99999</v>
      </c>
      <c r="T9" s="182"/>
      <c r="U9" s="107"/>
      <c r="W9" s="108"/>
      <c r="X9" s="107"/>
      <c r="AA9" s="181">
        <v>0</v>
      </c>
      <c r="AB9" s="196">
        <v>3200</v>
      </c>
      <c r="AC9" s="189">
        <v>3300</v>
      </c>
      <c r="AD9" s="181">
        <v>3450</v>
      </c>
      <c r="AE9" s="181">
        <v>3650</v>
      </c>
      <c r="AF9" s="197">
        <v>99999</v>
      </c>
      <c r="AG9" s="182"/>
      <c r="AH9" s="107"/>
      <c r="AJ9" s="108"/>
      <c r="AK9" s="107"/>
      <c r="AM9" s="108"/>
      <c r="AN9" s="107"/>
      <c r="AR9" s="21"/>
      <c r="AS9" s="21"/>
      <c r="AT9" s="21"/>
      <c r="AU9" s="108"/>
      <c r="AV9" s="107"/>
    </row>
    <row r="10" spans="1:55" ht="15" customHeight="1">
      <c r="A10" s="181">
        <v>10</v>
      </c>
      <c r="B10" s="196">
        <v>3300</v>
      </c>
      <c r="C10" s="189">
        <v>3450</v>
      </c>
      <c r="D10" s="181">
        <v>3600</v>
      </c>
      <c r="E10" s="181">
        <v>3800</v>
      </c>
      <c r="F10" s="197">
        <v>99999</v>
      </c>
      <c r="G10" s="182"/>
      <c r="H10" s="107"/>
      <c r="J10" s="108"/>
      <c r="K10" s="107"/>
      <c r="N10" s="181">
        <v>10</v>
      </c>
      <c r="O10" s="196"/>
      <c r="P10" s="189"/>
      <c r="Q10" s="181"/>
      <c r="R10" s="181"/>
      <c r="S10" s="197">
        <v>99999</v>
      </c>
      <c r="T10" s="182"/>
      <c r="U10" s="107"/>
      <c r="W10" s="108"/>
      <c r="X10" s="107"/>
      <c r="AA10" s="181">
        <v>10</v>
      </c>
      <c r="AB10" s="196">
        <v>3350</v>
      </c>
      <c r="AC10" s="189">
        <v>3450</v>
      </c>
      <c r="AD10" s="181">
        <v>3650</v>
      </c>
      <c r="AE10" s="181">
        <v>3800</v>
      </c>
      <c r="AF10" s="197">
        <v>99999</v>
      </c>
      <c r="AG10" s="182"/>
      <c r="AH10" s="107"/>
      <c r="AJ10" s="108"/>
      <c r="AK10" s="107"/>
      <c r="AM10" s="108"/>
      <c r="AN10" s="107"/>
      <c r="AR10" s="21"/>
      <c r="AS10" s="21"/>
      <c r="AT10" s="21"/>
      <c r="AU10" s="108"/>
      <c r="AV10" s="107"/>
    </row>
    <row r="11" spans="1:55" ht="15" customHeight="1">
      <c r="A11" s="181">
        <v>20</v>
      </c>
      <c r="B11" s="196">
        <v>3450</v>
      </c>
      <c r="C11" s="189">
        <v>3650</v>
      </c>
      <c r="D11" s="181">
        <v>3800</v>
      </c>
      <c r="E11" s="181">
        <v>4000</v>
      </c>
      <c r="F11" s="197">
        <v>99999</v>
      </c>
      <c r="G11" s="182"/>
      <c r="H11" s="107"/>
      <c r="J11" s="108"/>
      <c r="K11" s="107"/>
      <c r="N11" s="181">
        <v>20</v>
      </c>
      <c r="O11" s="196"/>
      <c r="P11" s="189"/>
      <c r="Q11" s="181"/>
      <c r="R11" s="181"/>
      <c r="S11" s="197">
        <v>99999</v>
      </c>
      <c r="T11" s="182"/>
      <c r="U11" s="107"/>
      <c r="W11" s="108"/>
      <c r="X11" s="107"/>
      <c r="AA11" s="181">
        <v>20</v>
      </c>
      <c r="AB11" s="196">
        <v>3475</v>
      </c>
      <c r="AC11" s="189">
        <v>3650</v>
      </c>
      <c r="AD11" s="181">
        <v>3800</v>
      </c>
      <c r="AE11" s="181">
        <v>4000</v>
      </c>
      <c r="AF11" s="197">
        <v>99999</v>
      </c>
      <c r="AG11" s="182"/>
      <c r="AH11" s="107"/>
      <c r="AJ11" s="108"/>
      <c r="AK11" s="107"/>
      <c r="AM11" s="108"/>
      <c r="AN11" s="107"/>
      <c r="AR11" s="21"/>
      <c r="AS11" s="21"/>
      <c r="AT11" s="21"/>
      <c r="AU11" s="108"/>
      <c r="AV11" s="107"/>
    </row>
    <row r="12" spans="1:55" ht="15" customHeight="1">
      <c r="A12" s="181">
        <v>30</v>
      </c>
      <c r="B12" s="196">
        <v>3610</v>
      </c>
      <c r="C12" s="189">
        <v>3800</v>
      </c>
      <c r="D12" s="181">
        <v>4000</v>
      </c>
      <c r="E12" s="181">
        <v>4200</v>
      </c>
      <c r="F12" s="197">
        <v>99999</v>
      </c>
      <c r="G12" s="182"/>
      <c r="H12" s="107"/>
      <c r="J12" s="108"/>
      <c r="K12" s="107"/>
      <c r="N12" s="181"/>
      <c r="O12" s="196"/>
      <c r="P12" s="189"/>
      <c r="Q12" s="181"/>
      <c r="R12" s="181"/>
      <c r="S12" s="197"/>
      <c r="T12" s="182"/>
      <c r="U12" s="107"/>
      <c r="W12" s="108"/>
      <c r="X12" s="107"/>
      <c r="AA12" s="181">
        <v>30</v>
      </c>
      <c r="AB12" s="196">
        <v>3650</v>
      </c>
      <c r="AC12" s="189">
        <v>3800</v>
      </c>
      <c r="AD12" s="181">
        <v>4000</v>
      </c>
      <c r="AE12" s="181">
        <v>4250</v>
      </c>
      <c r="AF12" s="197">
        <v>99999</v>
      </c>
      <c r="AG12" s="182"/>
      <c r="AH12" s="107"/>
      <c r="AJ12" s="108"/>
      <c r="AK12" s="107"/>
      <c r="AM12" s="108"/>
      <c r="AN12" s="107"/>
      <c r="AR12" s="21"/>
      <c r="AS12" s="21"/>
      <c r="AT12" s="21"/>
      <c r="AU12" s="108"/>
      <c r="AV12" s="107"/>
    </row>
    <row r="13" spans="1:55" ht="15" customHeight="1">
      <c r="A13" s="181">
        <v>40</v>
      </c>
      <c r="B13" s="196">
        <v>3820</v>
      </c>
      <c r="C13" s="189">
        <v>4050</v>
      </c>
      <c r="D13" s="181">
        <v>4250</v>
      </c>
      <c r="E13" s="181">
        <v>4500</v>
      </c>
      <c r="F13" s="197">
        <v>99999</v>
      </c>
      <c r="G13" s="182"/>
      <c r="H13" s="107"/>
      <c r="J13" s="108"/>
      <c r="K13" s="107"/>
      <c r="N13" s="181">
        <v>30</v>
      </c>
      <c r="O13" s="196"/>
      <c r="P13" s="189"/>
      <c r="Q13" s="181"/>
      <c r="R13" s="181"/>
      <c r="S13" s="197">
        <v>99999</v>
      </c>
      <c r="T13" s="182"/>
      <c r="U13" s="107"/>
      <c r="W13" s="108"/>
      <c r="X13" s="107"/>
      <c r="AA13" s="181">
        <v>40</v>
      </c>
      <c r="AB13" s="196">
        <v>3850</v>
      </c>
      <c r="AC13" s="189">
        <v>4050</v>
      </c>
      <c r="AD13" s="181">
        <v>4250</v>
      </c>
      <c r="AE13" s="181">
        <v>4500</v>
      </c>
      <c r="AF13" s="197">
        <v>99999</v>
      </c>
      <c r="AG13" s="182"/>
      <c r="AH13" s="107"/>
      <c r="AJ13" s="108"/>
      <c r="AK13" s="107"/>
      <c r="AM13" s="108"/>
      <c r="AN13" s="107"/>
      <c r="AR13" s="21"/>
      <c r="AS13" s="21"/>
      <c r="AT13" s="21"/>
      <c r="AU13" s="108"/>
      <c r="AV13" s="107"/>
    </row>
    <row r="14" spans="1:55" ht="15" customHeight="1">
      <c r="A14" s="181">
        <v>45</v>
      </c>
      <c r="B14" s="198">
        <v>99999</v>
      </c>
      <c r="C14" s="199">
        <v>99999</v>
      </c>
      <c r="D14" s="199">
        <v>99999</v>
      </c>
      <c r="E14" s="199">
        <v>99999</v>
      </c>
      <c r="F14" s="201">
        <v>99999</v>
      </c>
      <c r="G14" s="182"/>
      <c r="H14" s="107"/>
      <c r="J14" s="108"/>
      <c r="K14" s="107"/>
      <c r="N14" s="181">
        <v>35</v>
      </c>
      <c r="O14" s="198">
        <v>99999</v>
      </c>
      <c r="P14" s="199">
        <v>99999</v>
      </c>
      <c r="Q14" s="199">
        <v>99999</v>
      </c>
      <c r="R14" s="199">
        <v>99999</v>
      </c>
      <c r="S14" s="201">
        <v>99999</v>
      </c>
      <c r="T14" s="182"/>
      <c r="U14" s="107"/>
      <c r="W14" s="108"/>
      <c r="X14" s="107"/>
      <c r="AA14" s="181">
        <v>45</v>
      </c>
      <c r="AB14" s="198">
        <v>99999</v>
      </c>
      <c r="AC14" s="199">
        <v>99999</v>
      </c>
      <c r="AD14" s="199">
        <v>99999</v>
      </c>
      <c r="AE14" s="199">
        <v>99999</v>
      </c>
      <c r="AF14" s="201">
        <v>99999</v>
      </c>
      <c r="AG14" s="182"/>
      <c r="AH14" s="107"/>
      <c r="AJ14" s="108"/>
      <c r="AK14" s="107"/>
      <c r="AM14" s="108"/>
      <c r="AN14" s="107"/>
      <c r="AR14" s="21"/>
      <c r="AS14" s="21"/>
      <c r="AT14" s="21"/>
      <c r="AU14" s="108"/>
      <c r="AV14" s="107"/>
    </row>
    <row r="15" spans="1:55" ht="15" customHeight="1">
      <c r="B15" s="182"/>
      <c r="C15" s="183"/>
      <c r="D15" s="181"/>
      <c r="E15" s="181"/>
      <c r="F15" s="181"/>
      <c r="G15" s="115"/>
      <c r="H15" s="115"/>
      <c r="I15" s="115"/>
      <c r="J15" s="108"/>
      <c r="K15" s="107"/>
      <c r="O15" s="182"/>
      <c r="P15" s="183"/>
      <c r="Q15" s="181"/>
      <c r="R15" s="181"/>
      <c r="S15" s="181"/>
      <c r="T15" s="115"/>
      <c r="U15" s="115"/>
      <c r="V15" s="115"/>
      <c r="W15" s="108"/>
      <c r="X15" s="107"/>
      <c r="Z15" s="108"/>
      <c r="AB15" s="182"/>
      <c r="AC15" s="183"/>
      <c r="AD15" s="181"/>
      <c r="AE15" s="181"/>
      <c r="AF15" s="181"/>
      <c r="AG15" s="115"/>
      <c r="AH15" s="115"/>
      <c r="AI15" s="115"/>
      <c r="AJ15" s="108"/>
      <c r="AK15" s="107"/>
      <c r="AM15" s="21"/>
      <c r="AN15" s="21"/>
      <c r="AO15" s="21"/>
      <c r="AP15" s="108"/>
      <c r="AQ15" s="107"/>
      <c r="AU15" s="21"/>
      <c r="AV15" s="21"/>
      <c r="AW15" s="21"/>
      <c r="AX15" s="108"/>
      <c r="AY15" s="107"/>
    </row>
    <row r="16" spans="1:55" ht="15" customHeight="1">
      <c r="B16" s="108" t="s">
        <v>157</v>
      </c>
      <c r="C16" s="107">
        <f>D1</f>
        <v>1177</v>
      </c>
      <c r="D16" s="374" t="s">
        <v>200</v>
      </c>
      <c r="E16" s="321"/>
      <c r="G16" s="21"/>
      <c r="H16" s="21"/>
      <c r="I16" s="21"/>
      <c r="J16" s="108"/>
      <c r="K16" s="107"/>
      <c r="L16" s="184"/>
      <c r="O16" s="108" t="s">
        <v>157</v>
      </c>
      <c r="P16" s="107">
        <f>D1</f>
        <v>1177</v>
      </c>
      <c r="Q16" s="374" t="s">
        <v>200</v>
      </c>
      <c r="R16" s="321"/>
      <c r="T16" s="21"/>
      <c r="U16" s="21"/>
      <c r="V16" s="21"/>
      <c r="W16" s="108"/>
      <c r="X16" s="107"/>
      <c r="Y16" s="184"/>
      <c r="Z16" s="108"/>
      <c r="AB16" s="108" t="s">
        <v>157</v>
      </c>
      <c r="AC16" s="107">
        <f>D1</f>
        <v>1177</v>
      </c>
      <c r="AD16" s="374" t="s">
        <v>200</v>
      </c>
      <c r="AE16" s="321"/>
      <c r="AG16" s="21"/>
      <c r="AH16" s="21"/>
      <c r="AI16" s="21"/>
      <c r="AJ16" s="108"/>
      <c r="AK16" s="107"/>
      <c r="AL16" s="184"/>
      <c r="AM16" s="21"/>
      <c r="AN16" s="21"/>
      <c r="AO16" s="21"/>
      <c r="AP16" s="108"/>
      <c r="AQ16" s="107"/>
      <c r="AR16" s="374"/>
      <c r="AS16" s="321"/>
      <c r="AU16" s="21"/>
      <c r="AV16" s="21"/>
      <c r="AW16" s="21"/>
      <c r="AX16" s="108"/>
      <c r="AY16" s="107"/>
      <c r="AZ16" s="374"/>
      <c r="BA16" s="321"/>
    </row>
    <row r="17" spans="1:53" ht="15" customHeight="1">
      <c r="B17" s="89" t="s">
        <v>201</v>
      </c>
      <c r="C17" s="109">
        <f>INDEX(B5:F5,MATCH(C16,B5:F5,1))</f>
        <v>1000</v>
      </c>
      <c r="D17" s="89" t="s">
        <v>155</v>
      </c>
      <c r="E17" s="104">
        <f>MATCH(MAX(A6:A14),A6:A14,1)</f>
        <v>9</v>
      </c>
      <c r="G17" s="21"/>
      <c r="H17" s="21"/>
      <c r="I17" s="21"/>
      <c r="J17" s="89"/>
      <c r="K17" s="109"/>
      <c r="L17" s="89"/>
      <c r="M17" s="104"/>
      <c r="O17" s="89" t="s">
        <v>201</v>
      </c>
      <c r="P17" s="109">
        <f>INDEX(O5:S5,MATCH(P16,O5:S5,1))</f>
        <v>1000</v>
      </c>
      <c r="Q17" s="89" t="s">
        <v>155</v>
      </c>
      <c r="R17" s="104">
        <f>MATCH(MAX(N6:N14),N6:N14,1)</f>
        <v>9</v>
      </c>
      <c r="T17" s="21"/>
      <c r="U17" s="21"/>
      <c r="V17" s="21"/>
      <c r="W17" s="89"/>
      <c r="X17" s="109"/>
      <c r="Y17" s="89"/>
      <c r="Z17" s="89"/>
      <c r="AB17" s="89" t="s">
        <v>201</v>
      </c>
      <c r="AC17" s="109">
        <f>INDEX(AB5:AF5,MATCH(AC16,AB5:AF5,1))</f>
        <v>1000</v>
      </c>
      <c r="AD17" s="89" t="s">
        <v>155</v>
      </c>
      <c r="AE17" s="104">
        <f>MATCH(MAX(AA6:AA14),AA6:AA14,1)</f>
        <v>9</v>
      </c>
      <c r="AG17" s="21"/>
      <c r="AH17" s="21"/>
      <c r="AI17" s="21"/>
      <c r="AJ17" s="89"/>
      <c r="AK17" s="109"/>
      <c r="AL17" s="89"/>
      <c r="AM17" s="21"/>
      <c r="AN17" s="21"/>
      <c r="AO17" s="21"/>
      <c r="AP17" s="89"/>
      <c r="AQ17" s="109"/>
      <c r="AR17" s="89"/>
      <c r="AS17" s="104"/>
      <c r="AU17" s="21"/>
      <c r="AV17" s="21"/>
      <c r="AW17" s="21"/>
      <c r="AX17" s="89"/>
      <c r="AY17" s="109"/>
      <c r="AZ17" s="89"/>
      <c r="BA17" s="104"/>
    </row>
    <row r="18" spans="1:53" ht="15" customHeight="1">
      <c r="B18" s="89" t="s">
        <v>202</v>
      </c>
      <c r="C18" s="109" cm="1">
        <f t="array" ref="C18">INDEX(B5:F5,IF(MATCH(C16,B5:F5,1)&lt;E18,MATCH(C16,B5:F5,1)+1,MATCH(C16,B5:F5,1)))</f>
        <v>2000</v>
      </c>
      <c r="D18" s="89" t="s">
        <v>156</v>
      </c>
      <c r="E18" s="104">
        <f>MATCH(MAX(B5:F5),B5:F5,0)</f>
        <v>5</v>
      </c>
      <c r="G18" s="21"/>
      <c r="H18" s="21"/>
      <c r="I18" s="21"/>
      <c r="J18" s="89"/>
      <c r="K18" s="109"/>
      <c r="L18" s="89"/>
      <c r="M18" s="104"/>
      <c r="O18" s="89" t="s">
        <v>202</v>
      </c>
      <c r="P18" s="109" cm="1">
        <f t="array" ref="P18">INDEX(O5:S5,IF(MATCH(P16,O5:S5,1)&lt;R18,MATCH(P16,O5:S5,1)+1,MATCH(P16,O5:S5,1)))</f>
        <v>2000</v>
      </c>
      <c r="Q18" s="89" t="s">
        <v>156</v>
      </c>
      <c r="R18" s="104">
        <f>MATCH(MAX(O5:S5),O5:S5,0)</f>
        <v>5</v>
      </c>
      <c r="T18" s="21"/>
      <c r="U18" s="21"/>
      <c r="V18" s="21"/>
      <c r="W18" s="89"/>
      <c r="X18" s="109"/>
      <c r="Y18" s="89"/>
      <c r="Z18" s="89"/>
      <c r="AB18" s="89" t="s">
        <v>202</v>
      </c>
      <c r="AC18" s="109" cm="1">
        <f t="array" ref="AC18">INDEX(AB5:AF5,IF(MATCH(AC16,AB5:AF5,1)&lt;AE18,MATCH(AC16,AB5:AF5,1)+1,MATCH(AC16,AB5:AF5,1)))</f>
        <v>2000</v>
      </c>
      <c r="AD18" s="89" t="s">
        <v>156</v>
      </c>
      <c r="AE18" s="104">
        <f>MATCH(MAX(AB5:AF5),AB5:AF5,0)</f>
        <v>5</v>
      </c>
      <c r="AG18" s="21"/>
      <c r="AH18" s="21"/>
      <c r="AI18" s="21"/>
      <c r="AJ18" s="89"/>
      <c r="AK18" s="109"/>
      <c r="AL18" s="89"/>
      <c r="AM18" s="21"/>
      <c r="AN18" s="21"/>
      <c r="AO18" s="21"/>
      <c r="AP18" s="89"/>
      <c r="AQ18" s="109"/>
      <c r="AR18" s="89"/>
      <c r="AS18" s="104"/>
      <c r="AU18" s="21"/>
      <c r="AV18" s="21"/>
      <c r="AW18" s="21"/>
      <c r="AX18" s="89"/>
      <c r="AY18" s="109"/>
      <c r="AZ18" s="89"/>
      <c r="BA18" s="104"/>
    </row>
    <row r="19" spans="1:53" ht="15" customHeight="1">
      <c r="B19" s="106" t="s">
        <v>158</v>
      </c>
      <c r="C19" s="110">
        <f>D2</f>
        <v>0</v>
      </c>
      <c r="D19" s="21"/>
      <c r="E19" s="21"/>
      <c r="G19" s="21"/>
      <c r="H19" s="21"/>
      <c r="I19" s="21"/>
      <c r="J19" s="106"/>
      <c r="K19" s="110"/>
      <c r="L19" s="21"/>
      <c r="M19" s="21"/>
      <c r="O19" s="106" t="s">
        <v>158</v>
      </c>
      <c r="P19" s="110">
        <f>D2</f>
        <v>0</v>
      </c>
      <c r="Q19" s="21"/>
      <c r="R19" s="21"/>
      <c r="T19" s="21"/>
      <c r="U19" s="21"/>
      <c r="V19" s="21"/>
      <c r="W19" s="106"/>
      <c r="X19" s="110"/>
      <c r="Y19" s="21"/>
      <c r="Z19" s="106"/>
      <c r="AB19" s="106" t="s">
        <v>158</v>
      </c>
      <c r="AC19" s="110">
        <f>D2</f>
        <v>0</v>
      </c>
      <c r="AD19" s="21"/>
      <c r="AE19" s="21"/>
      <c r="AG19" s="21"/>
      <c r="AH19" s="21"/>
      <c r="AI19" s="21"/>
      <c r="AJ19" s="106"/>
      <c r="AK19" s="110"/>
      <c r="AL19" s="21"/>
      <c r="AM19" s="21"/>
      <c r="AN19" s="21"/>
      <c r="AO19" s="21"/>
      <c r="AP19" s="106"/>
      <c r="AQ19" s="110"/>
      <c r="AR19" s="21"/>
      <c r="AS19" s="21"/>
      <c r="AU19" s="21"/>
      <c r="AV19" s="21"/>
      <c r="AW19" s="21"/>
      <c r="AX19" s="106"/>
      <c r="AY19" s="110"/>
      <c r="AZ19" s="21"/>
      <c r="BA19" s="21"/>
    </row>
    <row r="20" spans="1:53" ht="15" customHeight="1">
      <c r="B20" s="89" t="s">
        <v>159</v>
      </c>
      <c r="C20" s="109">
        <f>INDEX(A6:A14,MATCH(C19,A6:A14,1))</f>
        <v>0</v>
      </c>
      <c r="D20" s="21"/>
      <c r="E20" s="38"/>
      <c r="G20" s="21"/>
      <c r="H20" s="21"/>
      <c r="I20" s="21"/>
      <c r="J20" s="89"/>
      <c r="K20" s="109"/>
      <c r="L20" s="21"/>
      <c r="M20" s="38"/>
      <c r="O20" s="89" t="s">
        <v>159</v>
      </c>
      <c r="P20" s="109">
        <f>INDEX(N6:N14,MATCH(P19,N6:N14,1))</f>
        <v>0</v>
      </c>
      <c r="Q20" s="21"/>
      <c r="R20" s="38"/>
      <c r="T20" s="21"/>
      <c r="U20" s="21"/>
      <c r="V20" s="21"/>
      <c r="W20" s="89"/>
      <c r="X20" s="109"/>
      <c r="Y20" s="21"/>
      <c r="Z20" s="89"/>
      <c r="AB20" s="89" t="s">
        <v>159</v>
      </c>
      <c r="AC20" s="109">
        <f>INDEX(AA6:AA14,MATCH(AC19,AA6:AA14,1))</f>
        <v>0</v>
      </c>
      <c r="AD20" s="21"/>
      <c r="AE20" s="38"/>
      <c r="AG20" s="21"/>
      <c r="AH20" s="21"/>
      <c r="AI20" s="21"/>
      <c r="AJ20" s="89"/>
      <c r="AK20" s="109"/>
      <c r="AL20" s="21"/>
      <c r="AM20" s="21"/>
      <c r="AN20" s="21"/>
      <c r="AO20" s="21"/>
      <c r="AP20" s="89"/>
      <c r="AQ20" s="109"/>
      <c r="AR20" s="21"/>
      <c r="AS20" s="38"/>
      <c r="AU20" s="21"/>
      <c r="AV20" s="21"/>
      <c r="AW20" s="21"/>
      <c r="AX20" s="89"/>
      <c r="AY20" s="109"/>
      <c r="AZ20" s="21"/>
      <c r="BA20" s="38"/>
    </row>
    <row r="21" spans="1:53" ht="15" customHeight="1">
      <c r="B21" s="89" t="s">
        <v>160</v>
      </c>
      <c r="C21" s="109" cm="1">
        <f t="array" ref="C21">INDEX(A6:A14,IF(MATCH(C19,A6:A14,1)&lt;E17,MATCH(C19,A6:A14,1)+1,MATCH(C19,A6:A14,1)))</f>
        <v>10</v>
      </c>
      <c r="D21" s="21"/>
      <c r="E21" s="38"/>
      <c r="G21" s="21"/>
      <c r="H21" s="21"/>
      <c r="I21" s="21"/>
      <c r="J21" s="89"/>
      <c r="K21" s="109"/>
      <c r="L21" s="21"/>
      <c r="M21" s="38"/>
      <c r="O21" s="89" t="s">
        <v>160</v>
      </c>
      <c r="P21" s="109" cm="1">
        <f t="array" ref="P21">INDEX(N6:N14,IF(MATCH(P19,N6:N14,1)&lt;R17,MATCH(P19,N6:N14,1)+1,MATCH(P19,N6:N14,1)))</f>
        <v>10</v>
      </c>
      <c r="Q21" s="21"/>
      <c r="R21" s="38"/>
      <c r="T21" s="21"/>
      <c r="U21" s="21"/>
      <c r="V21" s="21"/>
      <c r="W21" s="89"/>
      <c r="X21" s="109"/>
      <c r="Y21" s="21"/>
      <c r="Z21" s="89"/>
      <c r="AB21" s="89" t="s">
        <v>160</v>
      </c>
      <c r="AC21" s="109" cm="1">
        <f t="array" ref="AC21">INDEX(AA6:AA14,IF(MATCH(AC19,AA6:AA14,1)&lt;AE17,MATCH(AC19,AA6:AA14,1)+1,MATCH(AC19,AA6:AA14,1)))</f>
        <v>10</v>
      </c>
      <c r="AD21" s="21"/>
      <c r="AE21" s="38"/>
      <c r="AG21" s="21"/>
      <c r="AH21" s="21"/>
      <c r="AI21" s="21"/>
      <c r="AJ21" s="89"/>
      <c r="AK21" s="109"/>
      <c r="AL21" s="21"/>
      <c r="AM21" s="21"/>
      <c r="AN21" s="21"/>
      <c r="AO21" s="21"/>
      <c r="AP21" s="89"/>
      <c r="AQ21" s="109"/>
      <c r="AR21" s="21"/>
      <c r="AS21" s="38"/>
      <c r="AU21" s="21"/>
      <c r="AV21" s="21"/>
      <c r="AW21" s="21"/>
      <c r="AX21" s="89"/>
      <c r="AY21" s="109"/>
      <c r="AZ21" s="21"/>
      <c r="BA21" s="38"/>
    </row>
    <row r="22" spans="1:53" ht="15" customHeight="1">
      <c r="B22" s="108" t="s">
        <v>161</v>
      </c>
      <c r="C22" s="107">
        <f>INDEX(B6:F14,MATCH(C19,A6:A14,1),MATCH(C16,B5:F5,1))</f>
        <v>3300</v>
      </c>
      <c r="D22" s="21"/>
      <c r="E22" s="38"/>
      <c r="G22" s="21"/>
      <c r="H22" s="21"/>
      <c r="I22" s="21"/>
      <c r="J22" s="108"/>
      <c r="K22" s="107"/>
      <c r="L22" s="21"/>
      <c r="M22" s="38"/>
      <c r="O22" s="108" t="s">
        <v>161</v>
      </c>
      <c r="P22" s="107">
        <f>INDEX(O6:S14,MATCH(P19,N6:N14,1),MATCH(P16,O5:S5,1))</f>
        <v>0</v>
      </c>
      <c r="Q22" s="21"/>
      <c r="R22" s="38"/>
      <c r="T22" s="21"/>
      <c r="U22" s="21"/>
      <c r="V22" s="21"/>
      <c r="W22" s="108"/>
      <c r="X22" s="107"/>
      <c r="Y22" s="21"/>
      <c r="Z22" s="108"/>
      <c r="AB22" s="108" t="s">
        <v>161</v>
      </c>
      <c r="AC22" s="107">
        <f>INDEX(AB6:AF14,MATCH(AC19,AA6:AA14,1),MATCH(AC16,AB5:AF5,1))</f>
        <v>3300</v>
      </c>
      <c r="AD22" s="21"/>
      <c r="AE22" s="38"/>
      <c r="AG22" s="21"/>
      <c r="AH22" s="21"/>
      <c r="AI22" s="21"/>
      <c r="AJ22" s="108"/>
      <c r="AK22" s="107"/>
      <c r="AL22" s="21"/>
      <c r="AM22" s="21"/>
      <c r="AN22" s="21"/>
      <c r="AO22" s="21"/>
      <c r="AP22" s="108"/>
      <c r="AQ22" s="107"/>
      <c r="AR22" s="21"/>
      <c r="AS22" s="38"/>
      <c r="AU22" s="21"/>
      <c r="AV22" s="21"/>
      <c r="AW22" s="21"/>
      <c r="AX22" s="108"/>
      <c r="AY22" s="107"/>
      <c r="AZ22" s="21"/>
      <c r="BA22" s="38"/>
    </row>
    <row r="23" spans="1:53" ht="15" customHeight="1">
      <c r="B23" s="108" t="s">
        <v>203</v>
      </c>
      <c r="C23" s="107" cm="1">
        <f t="array" ref="C23">INDEX(B6:F14,MATCH(C19,A6:A14,1),IF(MATCH(C16,B5:F5,1)&lt;E18,MATCH(C16,B5:F5,1)+1,MATCH(C19,A6:A14,1)))</f>
        <v>3450</v>
      </c>
      <c r="E23" s="38"/>
      <c r="G23" s="21"/>
      <c r="H23" s="21"/>
      <c r="I23" s="21"/>
      <c r="J23" s="108"/>
      <c r="K23" s="107"/>
      <c r="M23" s="38"/>
      <c r="O23" s="108" t="s">
        <v>203</v>
      </c>
      <c r="P23" s="107" cm="1">
        <f t="array" ref="P23">INDEX(O6:S14,MATCH(P19,N6:N14,1),IF(MATCH(P16,O5:S5,1)&lt;R18,MATCH(P16,O5:S5,1)+1,MATCH(P19,N6:N14,1)))</f>
        <v>0</v>
      </c>
      <c r="R23" s="38"/>
      <c r="T23" s="21"/>
      <c r="U23" s="21"/>
      <c r="V23" s="21"/>
      <c r="W23" s="108"/>
      <c r="X23" s="107"/>
      <c r="Z23" s="108"/>
      <c r="AB23" s="108" t="s">
        <v>203</v>
      </c>
      <c r="AC23" s="107" cm="1">
        <f t="array" ref="AC23">INDEX(AB6:AF14,MATCH(AC19,AA6:AA14,1),IF(MATCH(AC16,AB5:AF5,1)&lt;AE18,MATCH(AC16,AB5:AF5,1)+1,MATCH(AC19,AA6:AA14,1)))</f>
        <v>3450</v>
      </c>
      <c r="AE23" s="38"/>
      <c r="AG23" s="21"/>
      <c r="AH23" s="21"/>
      <c r="AI23" s="21"/>
      <c r="AJ23" s="108"/>
      <c r="AK23" s="107"/>
      <c r="AM23" s="21"/>
      <c r="AN23" s="21"/>
      <c r="AO23" s="21"/>
      <c r="AP23" s="108"/>
      <c r="AQ23" s="107"/>
      <c r="AS23" s="38"/>
      <c r="AU23" s="21"/>
      <c r="AV23" s="21"/>
      <c r="AW23" s="21"/>
      <c r="AX23" s="108"/>
      <c r="AY23" s="107"/>
      <c r="BA23" s="38"/>
    </row>
    <row r="24" spans="1:53" ht="15" customHeight="1">
      <c r="B24" s="108" t="s">
        <v>162</v>
      </c>
      <c r="C24" s="107" cm="1">
        <f t="array" ref="C24">INDEX(B6:F14,IF(MATCH(C19,A6:A14,1)&lt;E17,MATCH(C19,A6:A14,1)+1,MATCH(C19,A6:A14,1)),MATCH(C16,B5:F5,1))</f>
        <v>3450</v>
      </c>
      <c r="E24" s="38"/>
      <c r="G24" s="21"/>
      <c r="H24" s="21"/>
      <c r="I24" s="21"/>
      <c r="J24" s="108"/>
      <c r="K24" s="107"/>
      <c r="M24" s="38"/>
      <c r="O24" s="108" t="s">
        <v>162</v>
      </c>
      <c r="P24" s="107" cm="1">
        <f t="array" ref="P24">INDEX(O6:S14,IF(MATCH(P19,N6:N14,1)&lt;R17,MATCH(P19,N6:N14,1)+1,MATCH(P19,N6:N14,1)),MATCH(P16,O5:S5,1))</f>
        <v>0</v>
      </c>
      <c r="R24" s="38"/>
      <c r="T24" s="21"/>
      <c r="U24" s="21"/>
      <c r="V24" s="21"/>
      <c r="W24" s="108"/>
      <c r="X24" s="107"/>
      <c r="Z24" s="108"/>
      <c r="AB24" s="108" t="s">
        <v>162</v>
      </c>
      <c r="AC24" s="107" cm="1">
        <f t="array" ref="AC24">INDEX(AB6:AF14,IF(MATCH(AC19,AA6:AA14,1)&lt;AE17,MATCH(AC19,AA6:AA14,1)+1,MATCH(AC19,AA6:AA14,1)),MATCH(AC16,AB5:AF5,1))</f>
        <v>3450</v>
      </c>
      <c r="AE24" s="38"/>
      <c r="AG24" s="21"/>
      <c r="AH24" s="21"/>
      <c r="AI24" s="21"/>
      <c r="AJ24" s="108"/>
      <c r="AK24" s="107"/>
      <c r="AM24" s="21"/>
      <c r="AN24" s="21"/>
      <c r="AO24" s="21"/>
      <c r="AP24" s="108"/>
      <c r="AQ24" s="107"/>
      <c r="AS24" s="38"/>
      <c r="AU24" s="21"/>
      <c r="AV24" s="21"/>
      <c r="AW24" s="21"/>
      <c r="AX24" s="108"/>
      <c r="AY24" s="107"/>
      <c r="BA24" s="38"/>
    </row>
    <row r="25" spans="1:53" ht="15" customHeight="1">
      <c r="B25" s="108" t="s">
        <v>204</v>
      </c>
      <c r="C25" s="107" cm="1">
        <f t="array" ref="C25">INDEX(B6:F14,IF(MATCH(C19,A6:A14,1)&lt;E17,MATCH(C19,A6:A14,1)+1,MATCH(C19,A6:A14,1)),IF(MATCH(C16,B5:F5,1)&lt;E18,MATCH(C16,B5:F5,1)+1,MATCH(C16,B5:F5,1)))</f>
        <v>3600</v>
      </c>
      <c r="G25" s="21"/>
      <c r="H25" s="21"/>
      <c r="I25" s="21"/>
      <c r="J25" s="108"/>
      <c r="K25" s="107"/>
      <c r="O25" s="108" t="s">
        <v>204</v>
      </c>
      <c r="P25" s="107" cm="1">
        <f t="array" ref="P25">INDEX(O6:S14,IF(MATCH(P19,N6:N14,1)&lt;R17,MATCH(P19,N6:N14,1)+1,MATCH(P19,N6:N14,1)),IF(MATCH(P16,O5:S5,1)&lt;R18,MATCH(P16,O5:S5,1)+1,MATCH(P16,O5:S5,1)))</f>
        <v>0</v>
      </c>
      <c r="T25" s="21"/>
      <c r="U25" s="21"/>
      <c r="V25" s="21"/>
      <c r="W25" s="108"/>
      <c r="X25" s="107"/>
      <c r="Z25" s="108"/>
      <c r="AB25" s="108" t="s">
        <v>204</v>
      </c>
      <c r="AC25" s="107" cm="1">
        <f t="array" ref="AC25">INDEX(AB6:AF14,IF(MATCH(AC19,AA6:AA14,1)&lt;AE17,MATCH(AC19,AA6:AA14,1)+1,MATCH(AC19,AA6:AA14,1)),IF(MATCH(AC16,AB5:AF5,1)&lt;AE18,MATCH(AC16,AB5:AF5,1)+1,MATCH(AC16,AB5:AF5,1)))</f>
        <v>3650</v>
      </c>
      <c r="AG25" s="21"/>
      <c r="AH25" s="21"/>
      <c r="AI25" s="21"/>
      <c r="AJ25" s="108"/>
      <c r="AK25" s="107"/>
      <c r="AM25" s="21"/>
      <c r="AN25" s="21"/>
      <c r="AO25" s="21"/>
      <c r="AP25" s="108"/>
      <c r="AQ25" s="107"/>
      <c r="AU25" s="21"/>
      <c r="AV25" s="21"/>
      <c r="AW25" s="21"/>
      <c r="AX25" s="108"/>
      <c r="AY25" s="107"/>
    </row>
    <row r="26" spans="1:53" ht="15" customHeight="1">
      <c r="B26" s="89" t="s">
        <v>205</v>
      </c>
      <c r="C26" s="109">
        <f>IFERROR(C22+(C16-C17)*(C23-C22)/(C18-C17),C22)</f>
        <v>3326.55</v>
      </c>
      <c r="G26" s="21"/>
      <c r="H26" s="21"/>
      <c r="I26" s="21"/>
      <c r="J26" s="89"/>
      <c r="K26" s="109"/>
      <c r="O26" s="89" t="s">
        <v>205</v>
      </c>
      <c r="P26" s="109">
        <f>IFERROR(P22+(P16-P17)*(P23-P22)/(P18-P17),P22)</f>
        <v>0</v>
      </c>
      <c r="T26" s="21"/>
      <c r="U26" s="21"/>
      <c r="V26" s="21"/>
      <c r="W26" s="89"/>
      <c r="X26" s="109"/>
      <c r="Z26" s="89"/>
      <c r="AB26" s="89" t="s">
        <v>205</v>
      </c>
      <c r="AC26" s="109">
        <f>IFERROR(AC22+(AC16-AC17)*(AC23-AC22)/(AC18-AC17),AC22)</f>
        <v>3326.55</v>
      </c>
      <c r="AG26" s="21"/>
      <c r="AH26" s="21"/>
      <c r="AI26" s="21"/>
      <c r="AJ26" s="89"/>
      <c r="AK26" s="109"/>
      <c r="AM26" s="21"/>
      <c r="AN26" s="21"/>
      <c r="AO26" s="21"/>
      <c r="AP26" s="89"/>
      <c r="AQ26" s="109"/>
      <c r="AU26" s="21"/>
      <c r="AV26" s="21"/>
      <c r="AW26" s="21"/>
      <c r="AX26" s="89"/>
      <c r="AY26" s="109"/>
    </row>
    <row r="27" spans="1:53" ht="15" customHeight="1">
      <c r="B27" s="89" t="s">
        <v>206</v>
      </c>
      <c r="C27" s="109">
        <f>IFERROR(C24+(C16-C17)*(C25-C24)/(C18-C17),C24)</f>
        <v>3476.55</v>
      </c>
      <c r="G27" s="21"/>
      <c r="H27" s="21"/>
      <c r="I27" s="21"/>
      <c r="J27" s="89"/>
      <c r="K27" s="109"/>
      <c r="O27" s="89" t="s">
        <v>206</v>
      </c>
      <c r="P27" s="109">
        <f>IFERROR(P24+(P16-P17)*(P25-P24)/(P18-P17),P24)</f>
        <v>0</v>
      </c>
      <c r="T27" s="21"/>
      <c r="U27" s="21"/>
      <c r="V27" s="21"/>
      <c r="W27" s="89"/>
      <c r="X27" s="109"/>
      <c r="Z27" s="89"/>
      <c r="AB27" s="89" t="s">
        <v>206</v>
      </c>
      <c r="AC27" s="109">
        <f>IFERROR(AC24+(AC16-AC17)*(AC25-AC24)/(AC18-AC17),AC24)</f>
        <v>3485.4</v>
      </c>
      <c r="AG27" s="21"/>
      <c r="AH27" s="21"/>
      <c r="AI27" s="21"/>
      <c r="AJ27" s="89"/>
      <c r="AK27" s="109"/>
      <c r="AM27" s="21"/>
      <c r="AN27" s="21"/>
      <c r="AO27" s="21"/>
      <c r="AP27" s="89"/>
      <c r="AQ27" s="109"/>
      <c r="AU27" s="21"/>
      <c r="AV27" s="21"/>
      <c r="AW27" s="21"/>
      <c r="AX27" s="89"/>
      <c r="AY27" s="109"/>
    </row>
    <row r="28" spans="1:53" ht="15" customHeight="1">
      <c r="B28" s="108" t="s">
        <v>207</v>
      </c>
      <c r="C28" s="107">
        <f>IFERROR(C26+(C19-C20)*(C27-C26)/(C21-C20),C26)</f>
        <v>3326.55</v>
      </c>
      <c r="G28" s="21"/>
      <c r="H28" s="21"/>
      <c r="I28" s="21"/>
      <c r="J28" s="108"/>
      <c r="K28" s="107"/>
      <c r="O28" s="108" t="s">
        <v>207</v>
      </c>
      <c r="P28" s="107">
        <f>IFERROR(P26+(P19-P20)*(P27-P26)/(P21-P20),P26)</f>
        <v>0</v>
      </c>
      <c r="T28" s="21"/>
      <c r="U28" s="21"/>
      <c r="V28" s="21"/>
      <c r="W28" s="108"/>
      <c r="X28" s="107"/>
      <c r="Z28" s="108"/>
      <c r="AB28" s="108" t="s">
        <v>207</v>
      </c>
      <c r="AC28" s="107">
        <f>IFERROR(AC26+(AC19-AC20)*(AC27-AC26)/(AC21-AC20),AC26)</f>
        <v>3326.55</v>
      </c>
      <c r="AG28" s="21"/>
      <c r="AH28" s="21"/>
      <c r="AI28" s="21"/>
      <c r="AJ28" s="108"/>
      <c r="AK28" s="107"/>
      <c r="AM28" s="21"/>
      <c r="AN28" s="21"/>
      <c r="AO28" s="21"/>
      <c r="AP28" s="108"/>
      <c r="AQ28" s="107"/>
      <c r="AU28" s="21"/>
      <c r="AV28" s="21"/>
      <c r="AW28" s="21"/>
      <c r="AX28" s="108"/>
      <c r="AY28" s="107"/>
    </row>
    <row r="30" spans="1:53" ht="15" customHeight="1">
      <c r="A30" s="181"/>
      <c r="B30" s="386" t="s">
        <v>208</v>
      </c>
      <c r="C30" s="386"/>
      <c r="D30" s="386"/>
      <c r="E30" s="386"/>
      <c r="F30" s="386"/>
      <c r="G30" s="386"/>
      <c r="H30" s="188"/>
      <c r="I30" s="188"/>
      <c r="J30" s="188"/>
      <c r="K30" s="188"/>
      <c r="L30" s="188"/>
      <c r="M30" s="188"/>
      <c r="N30" s="181"/>
      <c r="O30" s="386" t="s">
        <v>208</v>
      </c>
      <c r="P30" s="386"/>
      <c r="Q30" s="386"/>
      <c r="R30" s="386"/>
      <c r="S30" s="386"/>
      <c r="T30" s="386"/>
      <c r="U30" s="188"/>
      <c r="V30" s="188"/>
      <c r="W30" s="188"/>
      <c r="X30" s="188"/>
      <c r="Y30" s="188"/>
      <c r="AA30" s="181"/>
      <c r="AB30" s="386" t="s">
        <v>208</v>
      </c>
      <c r="AC30" s="386"/>
      <c r="AD30" s="386"/>
      <c r="AE30" s="386"/>
      <c r="AF30" s="386"/>
      <c r="AG30" s="386"/>
      <c r="AH30" s="188"/>
      <c r="AI30" s="188"/>
      <c r="AJ30" s="188"/>
      <c r="AK30" s="188"/>
      <c r="AL30" s="188"/>
    </row>
    <row r="31" spans="1:53" ht="15" customHeight="1">
      <c r="A31" s="181" t="s">
        <v>29</v>
      </c>
      <c r="B31" s="185">
        <v>2950</v>
      </c>
      <c r="C31" s="186">
        <v>3450</v>
      </c>
      <c r="D31" s="187">
        <v>3900</v>
      </c>
      <c r="E31" s="187">
        <v>4320</v>
      </c>
      <c r="F31" s="187">
        <v>4750</v>
      </c>
      <c r="G31" s="194">
        <v>5000</v>
      </c>
      <c r="H31" s="181"/>
      <c r="I31" s="181"/>
      <c r="J31" s="181"/>
      <c r="K31" s="181"/>
      <c r="L31" s="181"/>
      <c r="M31" s="181"/>
      <c r="N31" s="181" t="s">
        <v>29</v>
      </c>
      <c r="O31" s="185">
        <v>3600</v>
      </c>
      <c r="P31" s="186">
        <v>4300</v>
      </c>
      <c r="Q31" s="187">
        <v>5000</v>
      </c>
      <c r="R31" s="187">
        <v>5700</v>
      </c>
      <c r="S31" s="194">
        <v>6000</v>
      </c>
      <c r="T31" s="181"/>
      <c r="U31" s="181"/>
      <c r="V31" s="181"/>
      <c r="W31" s="181"/>
      <c r="X31" s="181"/>
      <c r="AA31" s="181" t="s">
        <v>29</v>
      </c>
      <c r="AB31" s="185">
        <v>3000</v>
      </c>
      <c r="AC31" s="186">
        <v>3450</v>
      </c>
      <c r="AD31" s="187">
        <v>3900</v>
      </c>
      <c r="AE31" s="187">
        <v>4350</v>
      </c>
      <c r="AF31" s="187">
        <v>4800</v>
      </c>
      <c r="AG31" s="194">
        <v>5000</v>
      </c>
      <c r="AH31" s="181"/>
      <c r="AI31" s="181"/>
      <c r="AJ31" s="181"/>
      <c r="AK31" s="181"/>
      <c r="AL31" s="181"/>
    </row>
    <row r="32" spans="1:53" ht="15" customHeight="1">
      <c r="A32" s="181">
        <v>9000</v>
      </c>
      <c r="B32" s="191">
        <v>2580</v>
      </c>
      <c r="C32" s="192">
        <v>2950</v>
      </c>
      <c r="D32" s="193">
        <v>3300</v>
      </c>
      <c r="E32" s="193">
        <v>3650</v>
      </c>
      <c r="F32" s="193">
        <v>3950</v>
      </c>
      <c r="G32" s="194">
        <v>99999</v>
      </c>
      <c r="H32" s="181"/>
      <c r="I32" s="181"/>
      <c r="J32" s="181"/>
      <c r="K32" s="181"/>
      <c r="L32" s="181"/>
      <c r="M32" s="181"/>
      <c r="N32" s="181">
        <v>10000</v>
      </c>
      <c r="O32" s="191"/>
      <c r="P32" s="192"/>
      <c r="Q32" s="193"/>
      <c r="R32" s="193"/>
      <c r="S32" s="194">
        <v>99999</v>
      </c>
      <c r="T32" s="181"/>
      <c r="U32" s="181"/>
      <c r="V32" s="181"/>
      <c r="W32" s="181"/>
      <c r="X32" s="181"/>
      <c r="AA32" s="181">
        <v>9000</v>
      </c>
      <c r="AB32" s="191">
        <v>2650</v>
      </c>
      <c r="AC32" s="192">
        <v>3000</v>
      </c>
      <c r="AD32" s="193">
        <v>3350</v>
      </c>
      <c r="AE32" s="193">
        <v>3700</v>
      </c>
      <c r="AF32" s="193">
        <v>4050</v>
      </c>
      <c r="AG32" s="194">
        <v>99999</v>
      </c>
      <c r="AH32" s="181"/>
      <c r="AI32" s="181"/>
      <c r="AJ32" s="181"/>
      <c r="AK32" s="181"/>
      <c r="AL32" s="181"/>
    </row>
    <row r="33" spans="1:38" ht="15" customHeight="1">
      <c r="A33" s="181">
        <v>9500</v>
      </c>
      <c r="B33" s="196">
        <v>2600</v>
      </c>
      <c r="C33" s="189">
        <v>3000</v>
      </c>
      <c r="D33" s="181">
        <v>3350</v>
      </c>
      <c r="E33" s="181">
        <v>3710</v>
      </c>
      <c r="F33" s="181">
        <v>4090</v>
      </c>
      <c r="G33" s="197">
        <v>99999</v>
      </c>
      <c r="H33" s="181"/>
      <c r="I33" s="181"/>
      <c r="J33" s="181"/>
      <c r="K33" s="181"/>
      <c r="L33" s="181"/>
      <c r="M33" s="181"/>
      <c r="N33" s="181">
        <v>11000</v>
      </c>
      <c r="O33" s="196"/>
      <c r="P33" s="189"/>
      <c r="Q33" s="181"/>
      <c r="R33" s="181"/>
      <c r="S33" s="197">
        <v>99999</v>
      </c>
      <c r="T33" s="181"/>
      <c r="U33" s="181"/>
      <c r="V33" s="181"/>
      <c r="W33" s="181"/>
      <c r="X33" s="181"/>
      <c r="AA33" s="181">
        <v>9500</v>
      </c>
      <c r="AB33" s="196">
        <v>2700</v>
      </c>
      <c r="AC33" s="189">
        <v>3050</v>
      </c>
      <c r="AD33" s="181">
        <v>3400</v>
      </c>
      <c r="AE33" s="181">
        <v>3800</v>
      </c>
      <c r="AF33" s="181">
        <v>4150</v>
      </c>
      <c r="AG33" s="197">
        <v>99999</v>
      </c>
      <c r="AH33" s="181"/>
      <c r="AI33" s="181"/>
      <c r="AJ33" s="181"/>
      <c r="AK33" s="181"/>
      <c r="AL33" s="181"/>
    </row>
    <row r="34" spans="1:38" ht="15" customHeight="1">
      <c r="A34" s="181">
        <v>10000</v>
      </c>
      <c r="B34" s="196">
        <v>2650</v>
      </c>
      <c r="C34" s="189">
        <v>3050</v>
      </c>
      <c r="D34" s="181">
        <v>3450</v>
      </c>
      <c r="E34" s="181">
        <v>3800</v>
      </c>
      <c r="F34" s="181">
        <v>4200</v>
      </c>
      <c r="G34" s="197">
        <v>99999</v>
      </c>
      <c r="H34" s="181"/>
      <c r="I34" s="181"/>
      <c r="J34" s="181"/>
      <c r="K34" s="181"/>
      <c r="L34" s="181"/>
      <c r="M34" s="181"/>
      <c r="N34" s="181">
        <v>12000</v>
      </c>
      <c r="O34" s="196"/>
      <c r="P34" s="189"/>
      <c r="Q34" s="181"/>
      <c r="R34" s="181"/>
      <c r="S34" s="197">
        <v>99999</v>
      </c>
      <c r="T34" s="181"/>
      <c r="U34" s="181"/>
      <c r="V34" s="181"/>
      <c r="W34" s="181"/>
      <c r="X34" s="181"/>
      <c r="AA34" s="181">
        <v>10000</v>
      </c>
      <c r="AB34" s="196">
        <v>2750</v>
      </c>
      <c r="AC34" s="189">
        <v>3100</v>
      </c>
      <c r="AD34" s="181">
        <v>3500</v>
      </c>
      <c r="AE34" s="181">
        <v>3850</v>
      </c>
      <c r="AF34" s="181">
        <v>4250</v>
      </c>
      <c r="AG34" s="197">
        <v>99999</v>
      </c>
      <c r="AH34" s="181"/>
      <c r="AI34" s="181"/>
      <c r="AJ34" s="181"/>
      <c r="AK34" s="181"/>
      <c r="AL34" s="181"/>
    </row>
    <row r="35" spans="1:38" ht="15" customHeight="1">
      <c r="A35" s="181">
        <v>10500</v>
      </c>
      <c r="B35" s="196">
        <v>2700</v>
      </c>
      <c r="C35" s="189">
        <v>3120</v>
      </c>
      <c r="D35" s="181">
        <v>3500</v>
      </c>
      <c r="E35" s="181">
        <v>3900</v>
      </c>
      <c r="F35" s="181">
        <v>4300</v>
      </c>
      <c r="G35" s="197">
        <v>99999</v>
      </c>
      <c r="H35" s="181"/>
      <c r="I35" s="181"/>
      <c r="J35" s="181"/>
      <c r="K35" s="181"/>
      <c r="L35" s="181"/>
      <c r="M35" s="181"/>
      <c r="N35" s="181">
        <v>13000</v>
      </c>
      <c r="O35" s="196"/>
      <c r="P35" s="189"/>
      <c r="Q35" s="181"/>
      <c r="R35" s="181"/>
      <c r="S35" s="197">
        <v>99999</v>
      </c>
      <c r="T35" s="181"/>
      <c r="U35" s="181"/>
      <c r="V35" s="181"/>
      <c r="W35" s="181"/>
      <c r="X35" s="181"/>
      <c r="AA35" s="181">
        <v>10500</v>
      </c>
      <c r="AB35" s="196">
        <v>2800</v>
      </c>
      <c r="AC35" s="189">
        <v>3180</v>
      </c>
      <c r="AD35" s="181">
        <v>3550</v>
      </c>
      <c r="AE35" s="181">
        <v>3950</v>
      </c>
      <c r="AF35" s="181">
        <v>4300</v>
      </c>
      <c r="AG35" s="197">
        <v>99999</v>
      </c>
      <c r="AH35" s="181"/>
      <c r="AI35" s="181"/>
      <c r="AJ35" s="181"/>
      <c r="AK35" s="181"/>
      <c r="AL35" s="181"/>
    </row>
    <row r="36" spans="1:38" ht="15" customHeight="1">
      <c r="A36" s="181">
        <v>11000</v>
      </c>
      <c r="B36" s="196">
        <v>2750</v>
      </c>
      <c r="C36" s="189">
        <v>3200</v>
      </c>
      <c r="D36" s="181">
        <v>3600</v>
      </c>
      <c r="E36" s="181">
        <v>4000</v>
      </c>
      <c r="F36" s="181">
        <v>4400</v>
      </c>
      <c r="G36" s="197">
        <v>99999</v>
      </c>
      <c r="H36" s="181"/>
      <c r="I36" s="181"/>
      <c r="J36" s="181"/>
      <c r="K36" s="181"/>
      <c r="L36" s="181"/>
      <c r="M36" s="181"/>
      <c r="N36" s="181">
        <v>14000</v>
      </c>
      <c r="O36" s="196"/>
      <c r="P36" s="189"/>
      <c r="Q36" s="181"/>
      <c r="R36" s="181"/>
      <c r="S36" s="197">
        <v>99999</v>
      </c>
      <c r="T36" s="181"/>
      <c r="U36" s="181"/>
      <c r="V36" s="181"/>
      <c r="W36" s="181"/>
      <c r="X36" s="181"/>
      <c r="AA36" s="181">
        <v>11000</v>
      </c>
      <c r="AB36" s="196">
        <v>2850</v>
      </c>
      <c r="AC36" s="189">
        <v>3250</v>
      </c>
      <c r="AD36" s="181">
        <v>3650</v>
      </c>
      <c r="AE36" s="181">
        <v>4050</v>
      </c>
      <c r="AF36" s="181">
        <v>4450</v>
      </c>
      <c r="AG36" s="197">
        <v>99999</v>
      </c>
      <c r="AH36" s="181"/>
      <c r="AI36" s="181"/>
      <c r="AJ36" s="181"/>
      <c r="AK36" s="181"/>
      <c r="AL36" s="181"/>
    </row>
    <row r="37" spans="1:38" ht="15" customHeight="1">
      <c r="A37" s="181">
        <v>11500</v>
      </c>
      <c r="B37" s="196">
        <v>2800</v>
      </c>
      <c r="C37" s="189">
        <v>3250</v>
      </c>
      <c r="D37" s="181">
        <v>3700</v>
      </c>
      <c r="E37" s="181">
        <v>4100</v>
      </c>
      <c r="F37" s="181">
        <v>4500</v>
      </c>
      <c r="G37" s="197">
        <v>99999</v>
      </c>
      <c r="H37" s="181"/>
      <c r="I37" s="181"/>
      <c r="J37" s="181"/>
      <c r="K37" s="181"/>
      <c r="L37" s="181"/>
      <c r="M37" s="181"/>
      <c r="N37" s="181">
        <v>15000</v>
      </c>
      <c r="O37" s="196"/>
      <c r="P37" s="189"/>
      <c r="Q37" s="181"/>
      <c r="R37" s="181"/>
      <c r="S37" s="197">
        <v>99999</v>
      </c>
      <c r="T37" s="181"/>
      <c r="U37" s="181"/>
      <c r="V37" s="181"/>
      <c r="W37" s="181"/>
      <c r="X37" s="181"/>
      <c r="AA37" s="181">
        <v>11500</v>
      </c>
      <c r="AB37" s="196">
        <v>2900</v>
      </c>
      <c r="AC37" s="189">
        <v>3300</v>
      </c>
      <c r="AD37" s="181">
        <v>3700</v>
      </c>
      <c r="AE37" s="181">
        <v>4150</v>
      </c>
      <c r="AF37" s="181">
        <v>4550</v>
      </c>
      <c r="AG37" s="197">
        <v>99999</v>
      </c>
      <c r="AH37" s="181"/>
      <c r="AI37" s="181"/>
      <c r="AJ37" s="181"/>
      <c r="AK37" s="181"/>
      <c r="AL37" s="181"/>
    </row>
    <row r="38" spans="1:38" ht="15" customHeight="1">
      <c r="A38" s="181">
        <v>12000</v>
      </c>
      <c r="B38" s="196">
        <v>2900</v>
      </c>
      <c r="C38" s="189">
        <v>3350</v>
      </c>
      <c r="D38" s="181">
        <v>3800</v>
      </c>
      <c r="E38" s="181">
        <v>4200</v>
      </c>
      <c r="F38" s="181">
        <v>4650</v>
      </c>
      <c r="G38" s="197">
        <v>99999</v>
      </c>
      <c r="H38" s="181"/>
      <c r="I38" s="181"/>
      <c r="J38" s="181"/>
      <c r="K38" s="181"/>
      <c r="L38" s="181"/>
      <c r="M38" s="181"/>
      <c r="N38" s="181">
        <v>16000</v>
      </c>
      <c r="O38" s="196"/>
      <c r="P38" s="189"/>
      <c r="Q38" s="181"/>
      <c r="R38" s="181"/>
      <c r="S38" s="197">
        <v>99999</v>
      </c>
      <c r="T38" s="181"/>
      <c r="U38" s="181"/>
      <c r="V38" s="181"/>
      <c r="W38" s="181"/>
      <c r="X38" s="181"/>
      <c r="AA38" s="181">
        <v>12000</v>
      </c>
      <c r="AB38" s="196">
        <v>2950</v>
      </c>
      <c r="AC38" s="189">
        <v>3350</v>
      </c>
      <c r="AD38" s="181">
        <v>3800</v>
      </c>
      <c r="AE38" s="181">
        <v>4250</v>
      </c>
      <c r="AF38" s="181">
        <v>4650</v>
      </c>
      <c r="AG38" s="197">
        <v>99999</v>
      </c>
      <c r="AH38" s="181"/>
      <c r="AI38" s="181"/>
      <c r="AJ38" s="181"/>
      <c r="AK38" s="181"/>
      <c r="AL38" s="181"/>
    </row>
    <row r="39" spans="1:38" ht="15" customHeight="1">
      <c r="A39" s="181">
        <v>12500</v>
      </c>
      <c r="B39" s="198">
        <v>2950</v>
      </c>
      <c r="C39" s="199">
        <v>3450</v>
      </c>
      <c r="D39" s="200">
        <v>3900</v>
      </c>
      <c r="E39" s="200">
        <v>4320</v>
      </c>
      <c r="F39" s="200">
        <v>4750</v>
      </c>
      <c r="G39" s="197">
        <v>99999</v>
      </c>
      <c r="H39" s="181"/>
      <c r="I39" s="181"/>
      <c r="J39" s="181"/>
      <c r="K39" s="181"/>
      <c r="L39" s="181"/>
      <c r="M39" s="181"/>
      <c r="N39" s="181">
        <v>16600</v>
      </c>
      <c r="O39" s="198"/>
      <c r="P39" s="199"/>
      <c r="Q39" s="200"/>
      <c r="R39" s="200"/>
      <c r="S39" s="197">
        <v>99999</v>
      </c>
      <c r="T39" s="181"/>
      <c r="U39" s="181"/>
      <c r="V39" s="181"/>
      <c r="W39" s="181"/>
      <c r="X39" s="181"/>
      <c r="AA39" s="181">
        <v>12500</v>
      </c>
      <c r="AB39" s="198">
        <v>3000</v>
      </c>
      <c r="AC39" s="199">
        <v>3450</v>
      </c>
      <c r="AD39" s="200">
        <v>3900</v>
      </c>
      <c r="AE39" s="200">
        <v>4350</v>
      </c>
      <c r="AF39" s="200">
        <v>4800</v>
      </c>
      <c r="AG39" s="197">
        <v>99999</v>
      </c>
      <c r="AH39" s="181"/>
      <c r="AI39" s="181"/>
      <c r="AJ39" s="181"/>
      <c r="AK39" s="181"/>
      <c r="AL39" s="181"/>
    </row>
    <row r="40" spans="1:38" ht="15" customHeight="1">
      <c r="A40" s="181">
        <v>12600</v>
      </c>
      <c r="B40" s="198">
        <v>99999</v>
      </c>
      <c r="C40" s="199">
        <v>99999</v>
      </c>
      <c r="D40" s="199">
        <v>99999</v>
      </c>
      <c r="E40" s="199">
        <v>99999</v>
      </c>
      <c r="F40" s="199">
        <v>99999</v>
      </c>
      <c r="G40" s="212">
        <v>99999</v>
      </c>
      <c r="H40" s="189"/>
      <c r="I40" s="189"/>
      <c r="J40" s="189"/>
      <c r="K40" s="189"/>
      <c r="L40" s="189"/>
      <c r="M40" s="190"/>
      <c r="N40" s="181">
        <v>16700</v>
      </c>
      <c r="O40" s="198">
        <v>99999</v>
      </c>
      <c r="P40" s="199">
        <v>99999</v>
      </c>
      <c r="Q40" s="199">
        <v>99999</v>
      </c>
      <c r="R40" s="199">
        <v>99999</v>
      </c>
      <c r="S40" s="212">
        <v>99999</v>
      </c>
      <c r="T40" s="189"/>
      <c r="U40" s="189"/>
      <c r="V40" s="189"/>
      <c r="W40" s="189"/>
      <c r="X40" s="189"/>
      <c r="AA40" s="181">
        <v>12600</v>
      </c>
      <c r="AB40" s="198">
        <v>99999</v>
      </c>
      <c r="AC40" s="199">
        <v>99999</v>
      </c>
      <c r="AD40" s="199">
        <v>99999</v>
      </c>
      <c r="AE40" s="199">
        <v>99999</v>
      </c>
      <c r="AF40" s="199">
        <v>99999</v>
      </c>
      <c r="AG40" s="212">
        <v>99999</v>
      </c>
      <c r="AH40" s="189"/>
      <c r="AI40" s="189"/>
      <c r="AJ40" s="189"/>
      <c r="AK40" s="189"/>
      <c r="AL40" s="189"/>
    </row>
    <row r="41" spans="1:38" ht="15" customHeight="1">
      <c r="B41" s="182"/>
      <c r="C41" s="183"/>
      <c r="D41" s="181"/>
      <c r="E41" s="181"/>
      <c r="F41" s="181"/>
      <c r="G41" s="115"/>
      <c r="H41" s="115"/>
      <c r="I41" s="115"/>
      <c r="J41" s="182"/>
      <c r="K41" s="183"/>
      <c r="L41" s="181"/>
      <c r="M41" s="181"/>
      <c r="O41" s="182"/>
      <c r="P41" s="183"/>
      <c r="Q41" s="181"/>
      <c r="R41" s="181"/>
      <c r="S41" s="181"/>
      <c r="T41" s="115"/>
      <c r="U41" s="115"/>
      <c r="V41" s="115"/>
      <c r="W41" s="182"/>
      <c r="X41" s="183"/>
      <c r="Y41" s="181"/>
      <c r="AB41" s="182"/>
      <c r="AC41" s="183"/>
      <c r="AD41" s="181"/>
      <c r="AE41" s="181"/>
      <c r="AF41" s="181"/>
      <c r="AG41" s="115"/>
      <c r="AH41" s="115"/>
      <c r="AI41" s="115"/>
      <c r="AJ41" s="182"/>
      <c r="AK41" s="183"/>
      <c r="AL41" s="181"/>
    </row>
    <row r="42" spans="1:38" ht="15" customHeight="1">
      <c r="B42" s="108" t="s">
        <v>157</v>
      </c>
      <c r="C42" s="107">
        <f>C28</f>
        <v>3326.55</v>
      </c>
      <c r="D42" s="374" t="s">
        <v>200</v>
      </c>
      <c r="E42" s="321"/>
      <c r="G42" s="21"/>
      <c r="H42" s="21"/>
      <c r="I42" s="21"/>
      <c r="J42" s="108"/>
      <c r="K42" s="107"/>
      <c r="L42" s="184"/>
      <c r="O42" s="108" t="s">
        <v>157</v>
      </c>
      <c r="P42" s="107">
        <f>P28</f>
        <v>0</v>
      </c>
      <c r="Q42" s="374" t="s">
        <v>200</v>
      </c>
      <c r="R42" s="321"/>
      <c r="T42" s="21"/>
      <c r="U42" s="21"/>
      <c r="V42" s="21"/>
      <c r="W42" s="108"/>
      <c r="X42" s="107"/>
      <c r="Y42" s="184"/>
      <c r="AB42" s="108" t="s">
        <v>157</v>
      </c>
      <c r="AC42" s="107">
        <f>AC28</f>
        <v>3326.55</v>
      </c>
      <c r="AD42" s="374" t="s">
        <v>200</v>
      </c>
      <c r="AE42" s="321"/>
      <c r="AG42" s="21"/>
      <c r="AH42" s="21"/>
      <c r="AI42" s="21"/>
      <c r="AJ42" s="108"/>
      <c r="AK42" s="107"/>
      <c r="AL42" s="184"/>
    </row>
    <row r="43" spans="1:38" ht="15" customHeight="1">
      <c r="B43" s="89" t="s">
        <v>201</v>
      </c>
      <c r="C43" s="109">
        <f>INDEX(B31:G31,MATCH(C42,B31:G31,1))</f>
        <v>2950</v>
      </c>
      <c r="D43" s="89" t="s">
        <v>155</v>
      </c>
      <c r="E43" s="104">
        <f>MATCH(MAX(A32:A40),A32:A40,1)</f>
        <v>9</v>
      </c>
      <c r="G43" s="21"/>
      <c r="H43" s="21"/>
      <c r="I43" s="21"/>
      <c r="J43" s="89"/>
      <c r="K43" s="109"/>
      <c r="L43" s="89"/>
      <c r="M43" s="104"/>
      <c r="O43" s="89" t="s">
        <v>201</v>
      </c>
      <c r="P43" s="109" t="e">
        <f>INDEX(O31:S31,MATCH(P42,O31:S31,1))</f>
        <v>#N/A</v>
      </c>
      <c r="Q43" s="89" t="s">
        <v>155</v>
      </c>
      <c r="R43" s="104">
        <f>MATCH(MAX(N32:N40),N32:N40,1)</f>
        <v>9</v>
      </c>
      <c r="T43" s="21"/>
      <c r="U43" s="21"/>
      <c r="V43" s="21"/>
      <c r="W43" s="89"/>
      <c r="X43" s="109"/>
      <c r="Y43" s="89"/>
      <c r="AB43" s="89" t="s">
        <v>201</v>
      </c>
      <c r="AC43" s="109">
        <f>INDEX(AB31:AG31,MATCH(AC42,AB31:AG31,1))</f>
        <v>3000</v>
      </c>
      <c r="AD43" s="89" t="s">
        <v>155</v>
      </c>
      <c r="AE43" s="104">
        <f>MATCH(MAX(AA32:AA40),AA32:AA40,1)</f>
        <v>9</v>
      </c>
      <c r="AG43" s="21"/>
      <c r="AH43" s="21"/>
      <c r="AI43" s="21"/>
      <c r="AJ43" s="89"/>
      <c r="AK43" s="109"/>
      <c r="AL43" s="89"/>
    </row>
    <row r="44" spans="1:38" ht="15" customHeight="1">
      <c r="B44" s="89" t="s">
        <v>202</v>
      </c>
      <c r="C44" s="109" cm="1">
        <f t="array" ref="C44">INDEX(B31:G31,IF(MATCH(C42,B31:G31,1)&lt;E44,MATCH(C42,B31:G31,1)+1,MATCH(C42,B31:G31,1)))</f>
        <v>3450</v>
      </c>
      <c r="D44" s="89" t="s">
        <v>156</v>
      </c>
      <c r="E44" s="104">
        <f>MATCH(MAX(B31:G31),B31:G31,0)</f>
        <v>6</v>
      </c>
      <c r="G44" s="21"/>
      <c r="H44" s="21"/>
      <c r="I44" s="21"/>
      <c r="J44" s="89"/>
      <c r="K44" s="109"/>
      <c r="L44" s="89"/>
      <c r="M44" s="104"/>
      <c r="O44" s="89" t="s">
        <v>202</v>
      </c>
      <c r="P44" s="109" t="e" cm="1">
        <f t="array" ref="P44">INDEX(O31:S31,IF(MATCH(P42,O31:S31,1)&lt;R44,MATCH(P42,O31:S31,1)+1,MATCH(P42,O31:S31,1)))</f>
        <v>#N/A</v>
      </c>
      <c r="Q44" s="89" t="s">
        <v>156</v>
      </c>
      <c r="R44" s="104">
        <f>MATCH(MAX(O31:S31),O31:S31,0)</f>
        <v>5</v>
      </c>
      <c r="T44" s="21"/>
      <c r="U44" s="21"/>
      <c r="V44" s="21"/>
      <c r="W44" s="89"/>
      <c r="X44" s="109"/>
      <c r="Y44" s="89"/>
      <c r="AB44" s="89" t="s">
        <v>202</v>
      </c>
      <c r="AC44" s="109" cm="1">
        <f t="array" ref="AC44">INDEX(AB31:AG31,IF(MATCH(AC42,AB31:AG31,1)&lt;AE44,MATCH(AC42,AB31:AG31,1)+1,MATCH(AC42,AB31:AG31,1)))</f>
        <v>3450</v>
      </c>
      <c r="AD44" s="89" t="s">
        <v>156</v>
      </c>
      <c r="AE44" s="104">
        <f>MATCH(MAX(AB31:AG31),AB31:AG31,0)</f>
        <v>6</v>
      </c>
      <c r="AG44" s="21"/>
      <c r="AH44" s="21"/>
      <c r="AI44" s="21"/>
      <c r="AJ44" s="89"/>
      <c r="AK44" s="109"/>
      <c r="AL44" s="89"/>
    </row>
    <row r="45" spans="1:38" ht="15" customHeight="1">
      <c r="B45" s="106" t="s">
        <v>158</v>
      </c>
      <c r="C45" s="110">
        <f>'Take-off'!$C$14</f>
        <v>12350</v>
      </c>
      <c r="D45" s="21"/>
      <c r="E45" s="21"/>
      <c r="G45" s="21"/>
      <c r="H45" s="21"/>
      <c r="I45" s="21"/>
      <c r="J45" s="106"/>
      <c r="K45" s="110"/>
      <c r="L45" s="21"/>
      <c r="M45" s="21"/>
      <c r="O45" s="106" t="s">
        <v>158</v>
      </c>
      <c r="P45" s="110">
        <f>'Take-off'!$C$14</f>
        <v>12350</v>
      </c>
      <c r="Q45" s="21"/>
      <c r="R45" s="21"/>
      <c r="T45" s="21"/>
      <c r="U45" s="21"/>
      <c r="V45" s="21"/>
      <c r="W45" s="106"/>
      <c r="X45" s="110"/>
      <c r="Y45" s="21"/>
      <c r="AB45" s="106" t="s">
        <v>158</v>
      </c>
      <c r="AC45" s="110">
        <f>'Take-off'!$C$14</f>
        <v>12350</v>
      </c>
      <c r="AD45" s="21"/>
      <c r="AE45" s="21"/>
      <c r="AG45" s="21"/>
      <c r="AH45" s="21"/>
      <c r="AI45" s="21"/>
      <c r="AJ45" s="106"/>
      <c r="AK45" s="110"/>
      <c r="AL45" s="21"/>
    </row>
    <row r="46" spans="1:38" ht="15" customHeight="1">
      <c r="B46" s="89" t="s">
        <v>159</v>
      </c>
      <c r="C46" s="109">
        <f>INDEX(A32:A40,MATCH(C45,A32:A40,1))</f>
        <v>12000</v>
      </c>
      <c r="D46" s="21"/>
      <c r="E46" s="38"/>
      <c r="G46" s="21"/>
      <c r="H46" s="21"/>
      <c r="I46" s="21"/>
      <c r="J46" s="89"/>
      <c r="K46" s="109"/>
      <c r="L46" s="21"/>
      <c r="M46" s="38"/>
      <c r="O46" s="89" t="s">
        <v>159</v>
      </c>
      <c r="P46" s="109">
        <f>INDEX(N32:N40,MATCH(P45,N32:N40,1))</f>
        <v>12000</v>
      </c>
      <c r="Q46" s="21"/>
      <c r="R46" s="38"/>
      <c r="T46" s="21"/>
      <c r="U46" s="21"/>
      <c r="V46" s="21"/>
      <c r="W46" s="89"/>
      <c r="X46" s="109"/>
      <c r="Y46" s="21"/>
      <c r="AB46" s="89" t="s">
        <v>159</v>
      </c>
      <c r="AC46" s="109">
        <f>INDEX(AA32:AA40,MATCH(AC45,AA32:AA40,1))</f>
        <v>12000</v>
      </c>
      <c r="AD46" s="21"/>
      <c r="AE46" s="38"/>
      <c r="AG46" s="21"/>
      <c r="AH46" s="21"/>
      <c r="AI46" s="21"/>
      <c r="AJ46" s="89"/>
      <c r="AK46" s="109"/>
      <c r="AL46" s="21"/>
    </row>
    <row r="47" spans="1:38" ht="15" customHeight="1">
      <c r="B47" s="89" t="s">
        <v>160</v>
      </c>
      <c r="C47" s="109" cm="1">
        <f t="array" ref="C47">INDEX(A32:A40,IF(MATCH(C45,A32:A40,1)&lt;E43,MATCH(C45,A32:A40,1)+1,MATCH(C45,A32:A40,1)))</f>
        <v>12500</v>
      </c>
      <c r="D47" s="21"/>
      <c r="E47" s="38"/>
      <c r="G47" s="21"/>
      <c r="H47" s="21"/>
      <c r="I47" s="21"/>
      <c r="J47" s="89"/>
      <c r="K47" s="109"/>
      <c r="L47" s="21"/>
      <c r="M47" s="38"/>
      <c r="O47" s="89" t="s">
        <v>160</v>
      </c>
      <c r="P47" s="109" cm="1">
        <f t="array" ref="P47">INDEX(N32:N40,IF(MATCH(P45,N32:N40,1)&lt;R43,MATCH(P45,N32:N40,1)+1,MATCH(P45,N32:N40,1)))</f>
        <v>13000</v>
      </c>
      <c r="Q47" s="21"/>
      <c r="R47" s="38"/>
      <c r="T47" s="21"/>
      <c r="U47" s="21"/>
      <c r="V47" s="21"/>
      <c r="W47" s="89"/>
      <c r="X47" s="109"/>
      <c r="Y47" s="21"/>
      <c r="AB47" s="89" t="s">
        <v>160</v>
      </c>
      <c r="AC47" s="109" cm="1">
        <f t="array" ref="AC47">INDEX(AA32:AA40,IF(MATCH(AC45,AA32:AA40,1)&lt;AE43,MATCH(AC45,AA32:AA40,1)+1,MATCH(AC45,AA32:AA40,1)))</f>
        <v>12500</v>
      </c>
      <c r="AD47" s="21"/>
      <c r="AE47" s="38"/>
      <c r="AG47" s="21"/>
      <c r="AH47" s="21"/>
      <c r="AI47" s="21"/>
      <c r="AJ47" s="89"/>
      <c r="AK47" s="109"/>
      <c r="AL47" s="21"/>
    </row>
    <row r="48" spans="1:38" ht="15" customHeight="1">
      <c r="B48" s="108" t="s">
        <v>161</v>
      </c>
      <c r="C48" s="107">
        <f>INDEX(B32:G40,MATCH(C45,A32:A40,1),MATCH(C42,B31:G31,1))</f>
        <v>2900</v>
      </c>
      <c r="D48" s="21"/>
      <c r="E48" s="38"/>
      <c r="G48" s="21"/>
      <c r="H48" s="21"/>
      <c r="I48" s="21"/>
      <c r="J48" s="108"/>
      <c r="K48" s="107"/>
      <c r="L48" s="21"/>
      <c r="M48" s="38"/>
      <c r="O48" s="108" t="s">
        <v>161</v>
      </c>
      <c r="P48" s="107" t="e">
        <f>INDEX(O32:S40,MATCH(P45,N32:N40,1),MATCH(P42,O31:S31,1))</f>
        <v>#N/A</v>
      </c>
      <c r="Q48" s="21"/>
      <c r="R48" s="38"/>
      <c r="T48" s="21"/>
      <c r="U48" s="21"/>
      <c r="V48" s="21"/>
      <c r="W48" s="108"/>
      <c r="X48" s="107"/>
      <c r="Y48" s="21"/>
      <c r="AB48" s="108" t="s">
        <v>161</v>
      </c>
      <c r="AC48" s="107">
        <f>INDEX(AB32:AG40,MATCH(AC45,AA32:AA40,1),MATCH(AC42,AB31:AG31,1))</f>
        <v>2950</v>
      </c>
      <c r="AD48" s="21"/>
      <c r="AE48" s="38"/>
      <c r="AG48" s="21"/>
      <c r="AH48" s="21"/>
      <c r="AI48" s="21"/>
      <c r="AJ48" s="108"/>
      <c r="AK48" s="107"/>
      <c r="AL48" s="21"/>
    </row>
    <row r="49" spans="1:40" ht="15" customHeight="1">
      <c r="B49" s="108" t="s">
        <v>203</v>
      </c>
      <c r="C49" s="107" cm="1">
        <f t="array" ref="C49">INDEX(B32:G40,MATCH(C45,A32:A40,1),IF(MATCH(C42,B31:G31,1)&lt;E44,MATCH(C42,B31:G31,1)+1,MATCH(C45,A32:A40,1)))</f>
        <v>3350</v>
      </c>
      <c r="E49" s="38"/>
      <c r="G49" s="21"/>
      <c r="H49" s="21"/>
      <c r="I49" s="21"/>
      <c r="J49" s="108"/>
      <c r="K49" s="107"/>
      <c r="M49" s="38"/>
      <c r="O49" s="108" t="s">
        <v>203</v>
      </c>
      <c r="P49" s="107" t="e" cm="1">
        <f t="array" ref="P49">INDEX(O32:S40,MATCH(P45,N32:N40,1),IF(MATCH(P42,O31:S31,1)&lt;R44,MATCH(P42,O31:S31,1)+1,MATCH(P45,N32:N40,1)))</f>
        <v>#N/A</v>
      </c>
      <c r="R49" s="38"/>
      <c r="T49" s="21"/>
      <c r="U49" s="21"/>
      <c r="V49" s="21"/>
      <c r="W49" s="108"/>
      <c r="X49" s="107"/>
      <c r="AB49" s="108" t="s">
        <v>203</v>
      </c>
      <c r="AC49" s="107" cm="1">
        <f t="array" ref="AC49">INDEX(AB32:AG40,MATCH(AC45,AA32:AA40,1),IF(MATCH(AC42,AB31:AG31,1)&lt;AE44,MATCH(AC42,AB31:AG31,1)+1,MATCH(AC45,AA32:AA40,1)))</f>
        <v>3350</v>
      </c>
      <c r="AE49" s="38"/>
      <c r="AG49" s="21"/>
      <c r="AH49" s="21"/>
      <c r="AI49" s="21"/>
      <c r="AJ49" s="108"/>
      <c r="AK49" s="107"/>
    </row>
    <row r="50" spans="1:40" ht="15" customHeight="1">
      <c r="B50" s="108" t="s">
        <v>162</v>
      </c>
      <c r="C50" s="107" cm="1">
        <f t="array" ref="C50">INDEX(B32:G40,IF(MATCH(C45,A32:A40,1)&lt;E43,MATCH(C45,A32:A40,1)+1,MATCH(C45,A32:A40,1)),MATCH(C42,B31:G31,1))</f>
        <v>2950</v>
      </c>
      <c r="E50" s="38"/>
      <c r="G50" s="21"/>
      <c r="H50" s="21"/>
      <c r="I50" s="21"/>
      <c r="J50" s="108"/>
      <c r="K50" s="107"/>
      <c r="M50" s="38"/>
      <c r="O50" s="108" t="s">
        <v>162</v>
      </c>
      <c r="P50" s="107" t="e" cm="1">
        <f t="array" ref="P50">INDEX(O32:S40,IF(MATCH(P45,N32:N40,1)&lt;R43,MATCH(P45,N32:N40,1)+1,MATCH(P45,N32:N40,1)),MATCH(P42,O31:S31,1))</f>
        <v>#N/A</v>
      </c>
      <c r="R50" s="38"/>
      <c r="T50" s="21"/>
      <c r="U50" s="21"/>
      <c r="V50" s="21"/>
      <c r="W50" s="108"/>
      <c r="X50" s="107"/>
      <c r="AB50" s="108" t="s">
        <v>162</v>
      </c>
      <c r="AC50" s="107" cm="1">
        <f t="array" ref="AC50">INDEX(AB32:AG40,IF(MATCH(AC45,AA32:AA40,1)&lt;AE43,MATCH(AC45,AA32:AA40,1)+1,MATCH(AC45,AA32:AA40,1)),MATCH(AC42,AB31:AG31,1))</f>
        <v>3000</v>
      </c>
      <c r="AE50" s="38"/>
      <c r="AG50" s="21"/>
      <c r="AH50" s="21"/>
      <c r="AI50" s="21"/>
      <c r="AJ50" s="108"/>
      <c r="AK50" s="107"/>
    </row>
    <row r="51" spans="1:40" ht="15" customHeight="1">
      <c r="B51" s="108" t="s">
        <v>204</v>
      </c>
      <c r="C51" s="107" cm="1">
        <f t="array" ref="C51">INDEX(B32:G40,IF(MATCH(C45,A32:A40,1)&lt;E43,MATCH(C45,A32:A40,1)+1,MATCH(C45,A32:A40,1)),IF(MATCH(C42,B31:G31,1)&lt;E44,MATCH(C42,B31:G31,1)+1,MATCH(C42,B31:G31,1)))</f>
        <v>3450</v>
      </c>
      <c r="G51" s="21"/>
      <c r="H51" s="21"/>
      <c r="I51" s="21"/>
      <c r="J51" s="108"/>
      <c r="K51" s="107"/>
      <c r="O51" s="108" t="s">
        <v>204</v>
      </c>
      <c r="P51" s="107" t="e" cm="1">
        <f t="array" ref="P51">INDEX(O32:S40,IF(MATCH(P45,N32:N40,1)&lt;R43,MATCH(P45,N32:N40,1)+1,MATCH(P45,N32:N40,1)),IF(MATCH(P42,O31:S31,1)&lt;R44,MATCH(P42,O31:S31,1)+1,MATCH(P42,O31:S31,1)))</f>
        <v>#N/A</v>
      </c>
      <c r="T51" s="21"/>
      <c r="U51" s="21"/>
      <c r="V51" s="21"/>
      <c r="W51" s="108"/>
      <c r="X51" s="107"/>
      <c r="AB51" s="108" t="s">
        <v>204</v>
      </c>
      <c r="AC51" s="107" cm="1">
        <f t="array" ref="AC51">INDEX(AB32:AG40,IF(MATCH(AC45,AA32:AA40,1)&lt;AE43,MATCH(AC45,AA32:AA40,1)+1,MATCH(AC45,AA32:AA40,1)),IF(MATCH(AC42,AB31:AG31,1)&lt;AE44,MATCH(AC42,AB31:AG31,1)+1,MATCH(AC42,AB31:AG31,1)))</f>
        <v>3450</v>
      </c>
      <c r="AG51" s="21"/>
      <c r="AH51" s="21"/>
      <c r="AI51" s="21"/>
      <c r="AJ51" s="108"/>
      <c r="AK51" s="107"/>
    </row>
    <row r="52" spans="1:40" ht="15" customHeight="1">
      <c r="B52" s="89" t="s">
        <v>205</v>
      </c>
      <c r="C52" s="109">
        <f>IFERROR(C48+(C42-C43)*(C49-C48)/(C44-C43),C48)</f>
        <v>3238.895</v>
      </c>
      <c r="G52" s="21"/>
      <c r="H52" s="21"/>
      <c r="I52" s="21"/>
      <c r="J52" s="89"/>
      <c r="K52" s="109"/>
      <c r="O52" s="89" t="s">
        <v>205</v>
      </c>
      <c r="P52" s="109" t="e">
        <f>IFERROR(P48+(P42-P43)*(P49-P48)/(P44-P43),P48)</f>
        <v>#N/A</v>
      </c>
      <c r="T52" s="21"/>
      <c r="U52" s="21"/>
      <c r="V52" s="21"/>
      <c r="W52" s="89"/>
      <c r="X52" s="109"/>
      <c r="AB52" s="89" t="s">
        <v>205</v>
      </c>
      <c r="AC52" s="109">
        <f>IFERROR(AC48+(AC42-AC43)*(AC49-AC48)/(AC44-AC43),AC48)</f>
        <v>3240.2666666666669</v>
      </c>
      <c r="AG52" s="21"/>
      <c r="AH52" s="21"/>
      <c r="AI52" s="21"/>
      <c r="AJ52" s="89"/>
      <c r="AK52" s="109"/>
    </row>
    <row r="53" spans="1:40" ht="15" customHeight="1">
      <c r="B53" s="89" t="s">
        <v>206</v>
      </c>
      <c r="C53" s="109">
        <f>IFERROR(C50+(C42-C43)*(C51-C50)/(C44-C43),C50)</f>
        <v>3326.55</v>
      </c>
      <c r="G53" s="21"/>
      <c r="H53" s="21"/>
      <c r="I53" s="21"/>
      <c r="J53" s="89"/>
      <c r="K53" s="109"/>
      <c r="O53" s="89" t="s">
        <v>206</v>
      </c>
      <c r="P53" s="109" t="e">
        <f>IFERROR(P50+(P42-P43)*(P51-P50)/(P44-P43),P50)</f>
        <v>#N/A</v>
      </c>
      <c r="T53" s="21"/>
      <c r="U53" s="21"/>
      <c r="V53" s="21"/>
      <c r="W53" s="89"/>
      <c r="X53" s="109"/>
      <c r="AB53" s="89" t="s">
        <v>206</v>
      </c>
      <c r="AC53" s="109">
        <f>IFERROR(AC50+(AC42-AC43)*(AC51-AC50)/(AC44-AC43),AC50)</f>
        <v>3326.55</v>
      </c>
      <c r="AG53" s="21"/>
      <c r="AH53" s="21"/>
      <c r="AI53" s="21"/>
      <c r="AJ53" s="89"/>
      <c r="AK53" s="109"/>
    </row>
    <row r="54" spans="1:40" ht="15" customHeight="1">
      <c r="B54" s="108" t="s">
        <v>207</v>
      </c>
      <c r="C54" s="107">
        <f>IFERROR(C52+(C45-C46)*(C53-C52)/(C47-C46),C52)</f>
        <v>3300.2535000000003</v>
      </c>
      <c r="G54" s="21"/>
      <c r="H54" s="21"/>
      <c r="I54" s="21"/>
      <c r="J54" s="108"/>
      <c r="K54" s="107"/>
      <c r="O54" s="108" t="s">
        <v>207</v>
      </c>
      <c r="P54" s="107" t="e">
        <f>IFERROR(P52+(P45-P46)*(P53-P52)/(P47-P46),P52)</f>
        <v>#N/A</v>
      </c>
      <c r="T54" s="21"/>
      <c r="U54" s="21"/>
      <c r="V54" s="21"/>
      <c r="W54" s="108"/>
      <c r="X54" s="107"/>
      <c r="AB54" s="108" t="s">
        <v>207</v>
      </c>
      <c r="AC54" s="107">
        <f>IFERROR(AC52+(AC45-AC46)*(AC53-AC52)/(AC47-AC46),AC52)</f>
        <v>3300.665</v>
      </c>
      <c r="AG54" s="21"/>
      <c r="AH54" s="21"/>
      <c r="AI54" s="21"/>
      <c r="AJ54" s="108"/>
      <c r="AK54" s="107"/>
    </row>
    <row r="55" spans="1:40" ht="15" customHeight="1">
      <c r="J55" s="181"/>
      <c r="K55" s="181"/>
      <c r="L55" s="181"/>
      <c r="M55" s="181"/>
      <c r="W55" s="181"/>
      <c r="X55" s="181"/>
      <c r="Y55" s="181"/>
      <c r="AJ55" s="181"/>
      <c r="AK55" s="181"/>
      <c r="AL55" s="181"/>
    </row>
    <row r="56" spans="1:40" ht="15" customHeight="1">
      <c r="A56" s="181"/>
      <c r="B56" s="386" t="s">
        <v>209</v>
      </c>
      <c r="C56" s="386"/>
      <c r="D56" s="386"/>
      <c r="E56" s="386"/>
      <c r="F56" s="386"/>
      <c r="G56" s="386"/>
      <c r="H56" s="386"/>
      <c r="I56" s="386"/>
      <c r="J56" s="188"/>
      <c r="K56" s="188"/>
      <c r="L56" s="188"/>
      <c r="M56" s="188"/>
      <c r="N56" s="181"/>
      <c r="O56" s="386" t="s">
        <v>209</v>
      </c>
      <c r="P56" s="386"/>
      <c r="Q56" s="386"/>
      <c r="R56" s="386"/>
      <c r="S56" s="386"/>
      <c r="T56" s="386"/>
      <c r="U56" s="386"/>
      <c r="V56" s="386"/>
      <c r="W56" s="188"/>
      <c r="X56" s="188"/>
      <c r="Y56" s="188"/>
      <c r="AA56" s="181"/>
      <c r="AB56" s="386" t="s">
        <v>209</v>
      </c>
      <c r="AC56" s="386"/>
      <c r="AD56" s="386"/>
      <c r="AE56" s="386"/>
      <c r="AF56" s="386"/>
      <c r="AG56" s="386"/>
      <c r="AH56" s="386"/>
      <c r="AI56" s="386"/>
      <c r="AJ56" s="188"/>
      <c r="AK56" s="188"/>
      <c r="AL56" s="188"/>
    </row>
    <row r="57" spans="1:40" ht="15" customHeight="1">
      <c r="A57" s="181" t="s">
        <v>38</v>
      </c>
      <c r="B57" s="202">
        <v>2600</v>
      </c>
      <c r="C57" s="202">
        <v>3000</v>
      </c>
      <c r="D57" s="202">
        <v>3500</v>
      </c>
      <c r="E57" s="202">
        <v>3950</v>
      </c>
      <c r="F57" s="192">
        <v>4400</v>
      </c>
      <c r="G57" s="192">
        <v>4850</v>
      </c>
      <c r="H57" s="194">
        <v>5000</v>
      </c>
      <c r="I57" s="181"/>
      <c r="J57" s="181"/>
      <c r="K57" s="181"/>
      <c r="L57" s="181"/>
      <c r="M57" s="181"/>
      <c r="N57" s="181" t="s">
        <v>38</v>
      </c>
      <c r="O57" s="191">
        <v>2400</v>
      </c>
      <c r="P57" s="202">
        <v>2800</v>
      </c>
      <c r="Q57" s="202">
        <v>3500</v>
      </c>
      <c r="R57" s="202">
        <v>4350</v>
      </c>
      <c r="S57" s="202">
        <v>5100</v>
      </c>
      <c r="T57" s="202">
        <v>5900</v>
      </c>
      <c r="U57" s="194">
        <v>6000</v>
      </c>
      <c r="W57" s="181"/>
      <c r="X57" s="181"/>
      <c r="Y57" s="181"/>
      <c r="AA57" s="181" t="s">
        <v>38</v>
      </c>
      <c r="AB57" s="191">
        <v>2600</v>
      </c>
      <c r="AC57" s="202">
        <v>3100</v>
      </c>
      <c r="AD57" s="202">
        <v>3550</v>
      </c>
      <c r="AE57" s="202">
        <v>4000</v>
      </c>
      <c r="AF57" s="202">
        <v>4450</v>
      </c>
      <c r="AG57" s="202">
        <v>4900</v>
      </c>
      <c r="AH57" s="203">
        <v>5500</v>
      </c>
      <c r="AI57" s="190"/>
      <c r="AJ57" s="181"/>
      <c r="AL57" s="181"/>
      <c r="AM57" s="181"/>
      <c r="AN57" s="181"/>
    </row>
    <row r="58" spans="1:40" ht="15" customHeight="1">
      <c r="A58" s="181">
        <v>-10</v>
      </c>
      <c r="B58" s="191">
        <v>3300</v>
      </c>
      <c r="C58" s="202">
        <v>3800</v>
      </c>
      <c r="D58" s="202">
        <v>4300</v>
      </c>
      <c r="E58" s="202">
        <v>4900</v>
      </c>
      <c r="F58" s="202">
        <v>5400</v>
      </c>
      <c r="G58" s="202">
        <v>6000</v>
      </c>
      <c r="H58" s="203">
        <v>99999</v>
      </c>
      <c r="I58" s="181"/>
      <c r="J58" s="181"/>
      <c r="K58" s="181"/>
      <c r="N58" s="181">
        <v>-10</v>
      </c>
      <c r="O58" s="191"/>
      <c r="P58" s="202"/>
      <c r="Q58" s="202"/>
      <c r="R58" s="202"/>
      <c r="S58" s="202"/>
      <c r="T58" s="202"/>
      <c r="U58" s="203">
        <v>99999</v>
      </c>
      <c r="W58" s="181"/>
      <c r="AA58" s="181">
        <v>-10</v>
      </c>
      <c r="AB58" s="191">
        <v>3350</v>
      </c>
      <c r="AC58" s="202">
        <v>3900</v>
      </c>
      <c r="AD58" s="202">
        <v>4450</v>
      </c>
      <c r="AE58" s="202">
        <v>5000</v>
      </c>
      <c r="AF58" s="202">
        <v>5500</v>
      </c>
      <c r="AG58" s="202">
        <v>6000</v>
      </c>
      <c r="AH58" s="203">
        <v>99999</v>
      </c>
      <c r="AI58" s="188"/>
      <c r="AJ58" s="181"/>
      <c r="AL58" s="181"/>
    </row>
    <row r="59" spans="1:40" ht="15" customHeight="1">
      <c r="A59" s="181">
        <v>0</v>
      </c>
      <c r="B59" s="196">
        <v>2600</v>
      </c>
      <c r="C59" s="188">
        <v>3000</v>
      </c>
      <c r="D59" s="188">
        <v>3500</v>
      </c>
      <c r="E59" s="188">
        <v>3950</v>
      </c>
      <c r="F59" s="188">
        <v>4400</v>
      </c>
      <c r="G59" s="188">
        <v>4850</v>
      </c>
      <c r="H59" s="203">
        <v>99999</v>
      </c>
      <c r="I59" s="181"/>
      <c r="J59" s="181"/>
      <c r="K59" s="181"/>
      <c r="N59" s="181">
        <v>0</v>
      </c>
      <c r="O59" s="196"/>
      <c r="P59" s="188"/>
      <c r="Q59" s="188"/>
      <c r="R59" s="188"/>
      <c r="S59" s="188"/>
      <c r="T59" s="188"/>
      <c r="U59" s="203">
        <v>99999</v>
      </c>
      <c r="W59" s="181"/>
      <c r="AA59" s="181">
        <v>0</v>
      </c>
      <c r="AB59" s="196">
        <v>2600</v>
      </c>
      <c r="AC59" s="188">
        <v>3100</v>
      </c>
      <c r="AD59" s="188">
        <v>3550</v>
      </c>
      <c r="AE59" s="188">
        <v>4000</v>
      </c>
      <c r="AF59" s="188">
        <v>4450</v>
      </c>
      <c r="AG59" s="188">
        <v>4900</v>
      </c>
      <c r="AH59" s="204">
        <v>99999</v>
      </c>
      <c r="AI59" s="188"/>
      <c r="AJ59" s="181"/>
      <c r="AL59" s="181"/>
    </row>
    <row r="60" spans="1:40" ht="15" customHeight="1">
      <c r="A60" s="181">
        <v>30</v>
      </c>
      <c r="B60" s="198">
        <v>1950</v>
      </c>
      <c r="C60" s="207">
        <v>2300</v>
      </c>
      <c r="D60" s="207">
        <v>2650</v>
      </c>
      <c r="E60" s="207">
        <v>3050</v>
      </c>
      <c r="F60" s="207">
        <v>3400</v>
      </c>
      <c r="G60" s="207">
        <v>3750</v>
      </c>
      <c r="H60" s="206">
        <v>99999</v>
      </c>
      <c r="I60" s="181"/>
      <c r="J60" s="181"/>
      <c r="K60" s="181"/>
      <c r="N60" s="181">
        <v>30</v>
      </c>
      <c r="O60" s="198"/>
      <c r="P60" s="207"/>
      <c r="Q60" s="207"/>
      <c r="R60" s="207"/>
      <c r="S60" s="207"/>
      <c r="T60" s="207"/>
      <c r="U60" s="206">
        <v>99999</v>
      </c>
      <c r="W60" s="181"/>
      <c r="AA60" s="181">
        <v>30</v>
      </c>
      <c r="AB60" s="198">
        <v>2000</v>
      </c>
      <c r="AC60" s="207">
        <v>2300</v>
      </c>
      <c r="AD60" s="207">
        <v>2650</v>
      </c>
      <c r="AE60" s="207">
        <v>3050</v>
      </c>
      <c r="AF60" s="207">
        <v>3400</v>
      </c>
      <c r="AG60" s="207">
        <v>3800</v>
      </c>
      <c r="AH60" s="210">
        <v>99999</v>
      </c>
      <c r="AI60" s="188"/>
      <c r="AJ60" s="181"/>
      <c r="AL60" s="181"/>
    </row>
    <row r="61" spans="1:40" ht="15" customHeight="1">
      <c r="B61" s="182"/>
      <c r="C61" s="183"/>
      <c r="D61" s="181"/>
      <c r="E61" s="181"/>
      <c r="F61" s="181"/>
      <c r="G61" s="115"/>
      <c r="H61" s="115"/>
      <c r="I61" s="115"/>
      <c r="J61" s="108"/>
      <c r="K61" s="107"/>
      <c r="O61" s="182"/>
      <c r="P61" s="183"/>
      <c r="Q61" s="181"/>
      <c r="R61" s="181"/>
      <c r="S61" s="181"/>
      <c r="T61" s="115"/>
      <c r="U61" s="115"/>
      <c r="V61" s="115"/>
      <c r="W61" s="108"/>
      <c r="X61" s="107"/>
      <c r="AB61" s="182"/>
      <c r="AC61" s="183"/>
      <c r="AD61" s="181"/>
      <c r="AE61" s="181"/>
      <c r="AF61" s="181"/>
      <c r="AG61" s="115"/>
      <c r="AH61" s="115"/>
      <c r="AI61" s="115"/>
      <c r="AJ61" s="182"/>
      <c r="AK61" s="107"/>
    </row>
    <row r="62" spans="1:40" ht="15" customHeight="1">
      <c r="B62" s="108" t="s">
        <v>157</v>
      </c>
      <c r="C62" s="107">
        <f>C54</f>
        <v>3300.2535000000003</v>
      </c>
      <c r="D62" s="374" t="s">
        <v>200</v>
      </c>
      <c r="E62" s="321"/>
      <c r="G62" s="21"/>
      <c r="H62" s="21"/>
      <c r="I62" s="21"/>
      <c r="J62" s="108"/>
      <c r="K62" s="107"/>
      <c r="L62" s="184"/>
      <c r="O62" s="108" t="s">
        <v>157</v>
      </c>
      <c r="P62" s="107" t="e">
        <f>P54</f>
        <v>#N/A</v>
      </c>
      <c r="Q62" s="374" t="s">
        <v>200</v>
      </c>
      <c r="R62" s="321"/>
      <c r="T62" s="21"/>
      <c r="U62" s="21"/>
      <c r="V62" s="21"/>
      <c r="W62" s="108"/>
      <c r="X62" s="107"/>
      <c r="Y62" s="184"/>
      <c r="AB62" s="108" t="s">
        <v>157</v>
      </c>
      <c r="AC62" s="107">
        <f>AC54</f>
        <v>3300.665</v>
      </c>
      <c r="AD62" s="374" t="s">
        <v>200</v>
      </c>
      <c r="AE62" s="321"/>
      <c r="AG62" s="21"/>
      <c r="AH62" s="21"/>
      <c r="AI62" s="21"/>
      <c r="AJ62" s="108"/>
      <c r="AK62" s="107"/>
      <c r="AL62" s="184"/>
    </row>
    <row r="63" spans="1:40" ht="15" customHeight="1">
      <c r="B63" s="89" t="s">
        <v>201</v>
      </c>
      <c r="C63" s="109">
        <f>INDEX(B57:H57,MATCH(C62,B57:H57,1))</f>
        <v>3000</v>
      </c>
      <c r="D63" s="89" t="s">
        <v>155</v>
      </c>
      <c r="E63" s="104">
        <f>MATCH(MAX(A58:A60),A58:A60,1)</f>
        <v>3</v>
      </c>
      <c r="G63" s="21"/>
      <c r="H63" s="21"/>
      <c r="I63" s="21"/>
      <c r="J63" s="89"/>
      <c r="K63" s="109"/>
      <c r="L63" s="89"/>
      <c r="M63" s="104"/>
      <c r="O63" s="89" t="s">
        <v>201</v>
      </c>
      <c r="P63" s="109" t="e">
        <f>INDEX(O57:U57,MATCH(P62,O57:U57,1))</f>
        <v>#N/A</v>
      </c>
      <c r="Q63" s="89" t="s">
        <v>155</v>
      </c>
      <c r="R63" s="104">
        <f>MATCH(MAX(N58:N60),N58:N60,1)</f>
        <v>3</v>
      </c>
      <c r="T63" s="21"/>
      <c r="U63" s="21"/>
      <c r="V63" s="21"/>
      <c r="W63" s="89"/>
      <c r="X63" s="109"/>
      <c r="Y63" s="89"/>
      <c r="AB63" s="89" t="s">
        <v>201</v>
      </c>
      <c r="AC63" s="109">
        <f>INDEX(AB57:AH57,MATCH(AC62,AB57:AH57,1))</f>
        <v>3100</v>
      </c>
      <c r="AD63" s="89" t="s">
        <v>155</v>
      </c>
      <c r="AE63" s="104">
        <f>MATCH(MAX(AA58:AA60),AA58:AA60,1)</f>
        <v>3</v>
      </c>
      <c r="AG63" s="21"/>
      <c r="AH63" s="21"/>
      <c r="AI63" s="21"/>
      <c r="AJ63" s="89"/>
      <c r="AK63" s="109"/>
      <c r="AL63" s="89"/>
    </row>
    <row r="64" spans="1:40" ht="15" customHeight="1">
      <c r="B64" s="89" t="s">
        <v>202</v>
      </c>
      <c r="C64" s="109" cm="1">
        <f t="array" ref="C64">INDEX(B57:H57,IF(MATCH(C62,B57:H57,1)&lt;E64,MATCH(C62,B57:H57,1)+1,MATCH(C62,B57:H57,1)))</f>
        <v>3500</v>
      </c>
      <c r="D64" s="89" t="s">
        <v>156</v>
      </c>
      <c r="E64" s="104">
        <f>MATCH(MAX(B57:H57),B57:H57,0)</f>
        <v>7</v>
      </c>
      <c r="G64" s="21"/>
      <c r="H64" s="21"/>
      <c r="I64" s="21"/>
      <c r="J64" s="89"/>
      <c r="K64" s="109"/>
      <c r="L64" s="89"/>
      <c r="M64" s="104"/>
      <c r="O64" s="89" t="s">
        <v>202</v>
      </c>
      <c r="P64" s="109" t="e" cm="1">
        <f t="array" ref="P64">INDEX(O57:U57,IF(MATCH(P62,O57:U57,1)&lt;R64,MATCH(P62,O57:U57,1)+1,MATCH(P62,O57:U57,1)))</f>
        <v>#N/A</v>
      </c>
      <c r="Q64" s="89" t="s">
        <v>156</v>
      </c>
      <c r="R64" s="104">
        <f>MATCH(MAX(O57:U57),O57:U57,0)</f>
        <v>7</v>
      </c>
      <c r="T64" s="21"/>
      <c r="U64" s="21"/>
      <c r="V64" s="21"/>
      <c r="W64" s="89"/>
      <c r="X64" s="109"/>
      <c r="Y64" s="89"/>
      <c r="AB64" s="89" t="s">
        <v>202</v>
      </c>
      <c r="AC64" s="109" cm="1">
        <f t="array" ref="AC64">INDEX(AB57:AH57,IF(MATCH(AC62,AB57:AH57,1)&lt;AE64,MATCH(AC62,AB57:AH57,1)+1,MATCH(AC62,AB57:AH57,1)))</f>
        <v>3550</v>
      </c>
      <c r="AD64" s="89" t="s">
        <v>156</v>
      </c>
      <c r="AE64" s="104">
        <f>MATCH(MAX(AB57:AH57),AB57:AH57,0)</f>
        <v>7</v>
      </c>
      <c r="AG64" s="21"/>
      <c r="AH64" s="21"/>
      <c r="AI64" s="21"/>
      <c r="AJ64" s="89"/>
      <c r="AK64" s="109"/>
      <c r="AL64" s="89"/>
    </row>
    <row r="65" spans="2:38" ht="15" customHeight="1">
      <c r="B65" s="106" t="s">
        <v>158</v>
      </c>
      <c r="C65" s="110">
        <f>'Take-off'!$C$24</f>
        <v>0</v>
      </c>
      <c r="D65" s="21"/>
      <c r="E65" s="21"/>
      <c r="G65" s="21"/>
      <c r="H65" s="21"/>
      <c r="I65" s="21"/>
      <c r="J65" s="106"/>
      <c r="K65" s="110"/>
      <c r="L65" s="21"/>
      <c r="M65" s="21"/>
      <c r="O65" s="106" t="s">
        <v>158</v>
      </c>
      <c r="P65" s="110">
        <f>'Take-off'!$C$24</f>
        <v>0</v>
      </c>
      <c r="Q65" s="21"/>
      <c r="R65" s="21"/>
      <c r="T65" s="21"/>
      <c r="U65" s="21"/>
      <c r="V65" s="21"/>
      <c r="W65" s="106"/>
      <c r="X65" s="110"/>
      <c r="Y65" s="21"/>
      <c r="AB65" s="106" t="s">
        <v>158</v>
      </c>
      <c r="AC65" s="110">
        <f>'Take-off'!$C$24</f>
        <v>0</v>
      </c>
      <c r="AD65" s="21"/>
      <c r="AE65" s="21"/>
      <c r="AG65" s="21"/>
      <c r="AH65" s="21"/>
      <c r="AI65" s="21"/>
      <c r="AJ65" s="106"/>
      <c r="AK65" s="110"/>
      <c r="AL65" s="21"/>
    </row>
    <row r="66" spans="2:38" ht="15" customHeight="1">
      <c r="B66" s="89" t="s">
        <v>159</v>
      </c>
      <c r="C66" s="109">
        <f>INDEX(A58:A60,MATCH(C65,A58:A60,1))</f>
        <v>0</v>
      </c>
      <c r="D66" s="21"/>
      <c r="E66" s="38"/>
      <c r="G66" s="21"/>
      <c r="H66" s="21"/>
      <c r="I66" s="21"/>
      <c r="J66" s="89"/>
      <c r="K66" s="109"/>
      <c r="L66" s="21"/>
      <c r="M66" s="38"/>
      <c r="O66" s="89" t="s">
        <v>159</v>
      </c>
      <c r="P66" s="109">
        <f>INDEX(N58:N60,MATCH(P65,N58:N60,1))</f>
        <v>0</v>
      </c>
      <c r="Q66" s="21"/>
      <c r="R66" s="38"/>
      <c r="T66" s="21"/>
      <c r="U66" s="21"/>
      <c r="V66" s="21"/>
      <c r="W66" s="89"/>
      <c r="X66" s="109"/>
      <c r="Y66" s="21"/>
      <c r="AB66" s="89" t="s">
        <v>159</v>
      </c>
      <c r="AC66" s="109">
        <f>INDEX(AA58:AA60,MATCH(AC65,AA58:AA60,1))</f>
        <v>0</v>
      </c>
      <c r="AD66" s="21"/>
      <c r="AE66" s="38"/>
      <c r="AG66" s="21"/>
      <c r="AH66" s="21"/>
      <c r="AI66" s="21"/>
      <c r="AJ66" s="89"/>
      <c r="AK66" s="109"/>
      <c r="AL66" s="21"/>
    </row>
    <row r="67" spans="2:38" ht="15" customHeight="1">
      <c r="B67" s="89" t="s">
        <v>160</v>
      </c>
      <c r="C67" s="109" cm="1">
        <f t="array" ref="C67">INDEX(A58:A60,IF(MATCH(C65,A58:A60,1)&lt;E63,MATCH(C65,A58:A60,1)+1,MATCH(C65,A58:A60,1)))</f>
        <v>30</v>
      </c>
      <c r="D67" s="21"/>
      <c r="E67" s="38"/>
      <c r="G67" s="21"/>
      <c r="H67" s="21"/>
      <c r="I67" s="21"/>
      <c r="J67" s="89"/>
      <c r="K67" s="109"/>
      <c r="L67" s="21"/>
      <c r="M67" s="38"/>
      <c r="O67" s="89" t="s">
        <v>160</v>
      </c>
      <c r="P67" s="109" cm="1">
        <f t="array" ref="P67">INDEX(N58:N60,IF(MATCH(P65,N58:N60,1)&lt;R63,MATCH(P65,N58:N60,1)+1,MATCH(P65,N58:N60,1)))</f>
        <v>30</v>
      </c>
      <c r="Q67" s="21"/>
      <c r="R67" s="38"/>
      <c r="T67" s="21"/>
      <c r="U67" s="21"/>
      <c r="V67" s="21"/>
      <c r="W67" s="89"/>
      <c r="X67" s="109"/>
      <c r="Y67" s="21"/>
      <c r="AB67" s="89" t="s">
        <v>160</v>
      </c>
      <c r="AC67" s="109" cm="1">
        <f t="array" ref="AC67">INDEX(AA58:AA60,IF(MATCH(AC65,AA58:AA60,1)&lt;AE63,MATCH(AC65,AA58:AA60,1)+1,MATCH(AC65,AA58:AA60,1)))</f>
        <v>30</v>
      </c>
      <c r="AD67" s="21"/>
      <c r="AE67" s="38"/>
      <c r="AG67" s="21"/>
      <c r="AH67" s="21"/>
      <c r="AI67" s="21"/>
      <c r="AJ67" s="89"/>
      <c r="AK67" s="109"/>
      <c r="AL67" s="21"/>
    </row>
    <row r="68" spans="2:38" ht="15" customHeight="1">
      <c r="B68" s="108" t="s">
        <v>161</v>
      </c>
      <c r="C68" s="107">
        <f>INDEX(B58:H60,MATCH(C65,A58:A60,1),MATCH(C62,B57:H57,1))</f>
        <v>3000</v>
      </c>
      <c r="D68" s="21"/>
      <c r="E68" s="38"/>
      <c r="G68" s="21"/>
      <c r="H68" s="21"/>
      <c r="I68" s="21"/>
      <c r="J68" s="108"/>
      <c r="K68" s="107"/>
      <c r="L68" s="21"/>
      <c r="M68" s="38"/>
      <c r="O68" s="108" t="s">
        <v>161</v>
      </c>
      <c r="P68" s="107" t="e">
        <f>INDEX(O58:U60,MATCH(P65,N58:N60,1),MATCH(P62,O57:U57,1))</f>
        <v>#N/A</v>
      </c>
      <c r="Q68" s="21"/>
      <c r="R68" s="38"/>
      <c r="T68" s="21"/>
      <c r="U68" s="21"/>
      <c r="V68" s="21"/>
      <c r="W68" s="108"/>
      <c r="X68" s="107"/>
      <c r="Y68" s="21"/>
      <c r="AB68" s="108" t="s">
        <v>161</v>
      </c>
      <c r="AC68" s="107">
        <f>INDEX(AB58:AH60,MATCH(AC65,AA58:AA60,1),MATCH(AC62,AB57:AH57,1))</f>
        <v>3100</v>
      </c>
      <c r="AD68" s="21"/>
      <c r="AE68" s="38"/>
      <c r="AG68" s="21"/>
      <c r="AH68" s="21"/>
      <c r="AI68" s="21"/>
      <c r="AJ68" s="108"/>
      <c r="AK68" s="107"/>
      <c r="AL68" s="21"/>
    </row>
    <row r="69" spans="2:38" ht="15" customHeight="1">
      <c r="B69" s="108" t="s">
        <v>203</v>
      </c>
      <c r="C69" s="107" cm="1">
        <f t="array" ref="C69">INDEX(B58:H60,MATCH(C65,A58:A60,1),IF(MATCH(C62,B57:H57,1)&lt;E64,MATCH(C62,B57:H57,1)+1,MATCH(C65,A58:A60,1)))</f>
        <v>3500</v>
      </c>
      <c r="E69" s="38"/>
      <c r="G69" s="21"/>
      <c r="H69" s="21"/>
      <c r="I69" s="21"/>
      <c r="J69" s="108"/>
      <c r="K69" s="107"/>
      <c r="M69" s="38"/>
      <c r="O69" s="108" t="s">
        <v>203</v>
      </c>
      <c r="P69" s="107" t="e" cm="1">
        <f t="array" ref="P69">INDEX(O58:U60,MATCH(P65,N58:N60,1),IF(MATCH(P62,O57:U57,1)&lt;R64,MATCH(P62,O57:U57,1)+1,MATCH(P65,N58:N60,1)))</f>
        <v>#N/A</v>
      </c>
      <c r="R69" s="38"/>
      <c r="T69" s="21"/>
      <c r="U69" s="21"/>
      <c r="V69" s="21"/>
      <c r="W69" s="108"/>
      <c r="X69" s="107"/>
      <c r="AB69" s="108" t="s">
        <v>203</v>
      </c>
      <c r="AC69" s="107" cm="1">
        <f t="array" ref="AC69">INDEX(AB58:AH60,MATCH(AC65,AA58:AA60,1),IF(MATCH(AC62,AB57:AH57,1)&lt;AE64,MATCH(AC62,AB57:AH57,1)+1,MATCH(AC65,AA58:AA60,1)))</f>
        <v>3550</v>
      </c>
      <c r="AE69" s="38"/>
      <c r="AG69" s="21"/>
      <c r="AH69" s="21"/>
      <c r="AI69" s="21"/>
      <c r="AJ69" s="108"/>
      <c r="AK69" s="107"/>
    </row>
    <row r="70" spans="2:38" ht="15" customHeight="1">
      <c r="B70" s="108" t="s">
        <v>162</v>
      </c>
      <c r="C70" s="107" cm="1">
        <f t="array" ref="C70">INDEX(B58:H60,IF(MATCH(C65,A58:A60,1)&lt;E63,MATCH(C65,A58:A60,1)+1,MATCH(C65,A58:A60,1)),MATCH(C62,B57:H57,1))</f>
        <v>2300</v>
      </c>
      <c r="E70" s="38"/>
      <c r="G70" s="21"/>
      <c r="H70" s="21"/>
      <c r="I70" s="21"/>
      <c r="J70" s="108"/>
      <c r="K70" s="107"/>
      <c r="M70" s="38"/>
      <c r="O70" s="108" t="s">
        <v>162</v>
      </c>
      <c r="P70" s="107" t="e" cm="1">
        <f t="array" ref="P70">INDEX(O58:U60,IF(MATCH(P65,N58:N60,1)&lt;R63,MATCH(P65,N58:N60,1)+1,MATCH(P65,N58:N60,1)),MATCH(P62,O57:U57,1))</f>
        <v>#N/A</v>
      </c>
      <c r="R70" s="38"/>
      <c r="T70" s="21"/>
      <c r="U70" s="21"/>
      <c r="V70" s="21"/>
      <c r="W70" s="108"/>
      <c r="X70" s="107"/>
      <c r="AB70" s="108" t="s">
        <v>162</v>
      </c>
      <c r="AC70" s="107" cm="1">
        <f t="array" ref="AC70">INDEX(AB58:AH60,IF(MATCH(AC65,AA58:AA60,1)&lt;AE63,MATCH(AC65,AA58:AA60,1)+1,MATCH(AC65,AA58:AA60,1)),MATCH(AC62,AB57:AH57,1))</f>
        <v>2300</v>
      </c>
      <c r="AE70" s="38"/>
      <c r="AG70" s="21"/>
      <c r="AH70" s="21"/>
      <c r="AI70" s="21"/>
      <c r="AJ70" s="108"/>
      <c r="AK70" s="107"/>
    </row>
    <row r="71" spans="2:38" ht="15" customHeight="1">
      <c r="B71" s="108" t="s">
        <v>204</v>
      </c>
      <c r="C71" s="107" cm="1">
        <f t="array" ref="C71">INDEX(B58:H60,IF(MATCH(C65,A58:A60,1)&lt;E63,MATCH(C65,A58:A60,1)+1,MATCH(C65,A58:A60,1)),IF(MATCH(C62,B57:H57,1)&lt;E64,MATCH(C62,B57:H57,1)+1,MATCH(C62,B57:H57,1)))</f>
        <v>2650</v>
      </c>
      <c r="G71" s="21"/>
      <c r="H71" s="21"/>
      <c r="I71" s="21"/>
      <c r="J71" s="108"/>
      <c r="K71" s="107"/>
      <c r="O71" s="108" t="s">
        <v>204</v>
      </c>
      <c r="P71" s="107" t="e" cm="1">
        <f t="array" ref="P71">INDEX(O58:U60,IF(MATCH(P65,N58:N60,1)&lt;R63,MATCH(P65,N58:N60,1)+1,MATCH(P65,N58:N60,1)),IF(MATCH(P62,O57:U57,1)&lt;R64,MATCH(P62,O57:U57,1)+1,MATCH(P62,O57:U57,1)))</f>
        <v>#N/A</v>
      </c>
      <c r="T71" s="21"/>
      <c r="U71" s="21"/>
      <c r="V71" s="21"/>
      <c r="W71" s="108"/>
      <c r="X71" s="107"/>
      <c r="AB71" s="108" t="s">
        <v>204</v>
      </c>
      <c r="AC71" s="107" cm="1">
        <f t="array" ref="AC71">INDEX(AB58:AH60,IF(MATCH(AC65,AA58:AA60,1)&lt;AE63,MATCH(AC65,AA58:AA60,1)+1,MATCH(AC65,AA58:AA60,1)),IF(MATCH(AC62,AB57:AH57,1)&lt;AE64,MATCH(AC62,AB57:AH57,1)+1,MATCH(AC62,AB57:AH57,1)))</f>
        <v>2650</v>
      </c>
      <c r="AG71" s="21"/>
      <c r="AH71" s="21"/>
      <c r="AI71" s="21"/>
      <c r="AJ71" s="108"/>
      <c r="AK71" s="107"/>
    </row>
    <row r="72" spans="2:38" ht="15" customHeight="1">
      <c r="B72" s="89" t="s">
        <v>205</v>
      </c>
      <c r="C72" s="109">
        <f>IFERROR(C68+(C62-C63)*(C69-C68)/(C64-C63),C68)</f>
        <v>3300.2535000000003</v>
      </c>
      <c r="G72" s="21"/>
      <c r="H72" s="21"/>
      <c r="I72" s="21"/>
      <c r="J72" s="89"/>
      <c r="K72" s="109"/>
      <c r="O72" s="89" t="s">
        <v>205</v>
      </c>
      <c r="P72" s="109" t="e">
        <f>IFERROR(P68+(P62-P63)*(P69-P68)/(P64-P63),P68)</f>
        <v>#N/A</v>
      </c>
      <c r="T72" s="21"/>
      <c r="U72" s="21"/>
      <c r="V72" s="21"/>
      <c r="W72" s="89"/>
      <c r="X72" s="109"/>
      <c r="AB72" s="89" t="s">
        <v>205</v>
      </c>
      <c r="AC72" s="109">
        <f>IFERROR(AC68+(AC62-AC63)*(AC69-AC68)/(AC64-AC63),AC68)</f>
        <v>3300.665</v>
      </c>
      <c r="AG72" s="21"/>
      <c r="AH72" s="21"/>
      <c r="AI72" s="21"/>
      <c r="AJ72" s="89"/>
      <c r="AK72" s="109"/>
    </row>
    <row r="73" spans="2:38" ht="15" customHeight="1">
      <c r="B73" s="89" t="s">
        <v>206</v>
      </c>
      <c r="C73" s="109">
        <f>IFERROR(C70+(C62-C63)*(C71-C70)/(C64-C63),C70)</f>
        <v>2510.1774500000001</v>
      </c>
      <c r="G73" s="21"/>
      <c r="H73" s="21"/>
      <c r="I73" s="21"/>
      <c r="J73" s="89"/>
      <c r="K73" s="109"/>
      <c r="O73" s="89" t="s">
        <v>206</v>
      </c>
      <c r="P73" s="109" t="e">
        <f>IFERROR(P70+(P62-P63)*(P71-P70)/(P64-P63),P70)</f>
        <v>#N/A</v>
      </c>
      <c r="T73" s="21"/>
      <c r="U73" s="21"/>
      <c r="V73" s="21"/>
      <c r="W73" s="89"/>
      <c r="X73" s="109"/>
      <c r="AB73" s="89" t="s">
        <v>206</v>
      </c>
      <c r="AC73" s="109">
        <f>IFERROR(AC70+(AC62-AC63)*(AC71-AC70)/(AC64-AC63),AC70)</f>
        <v>2456.0727777777779</v>
      </c>
      <c r="AG73" s="21"/>
      <c r="AH73" s="21"/>
      <c r="AI73" s="21"/>
      <c r="AJ73" s="89"/>
      <c r="AK73" s="109"/>
    </row>
    <row r="74" spans="2:38" ht="15" customHeight="1">
      <c r="B74" s="108" t="s">
        <v>207</v>
      </c>
      <c r="C74" s="107">
        <f>IFERROR(C72+(C65-C66)*(C73-C72)/(C67-C66),C72)</f>
        <v>3300.2535000000003</v>
      </c>
      <c r="G74" s="21"/>
      <c r="H74" s="21"/>
      <c r="I74" s="21"/>
      <c r="J74" s="108"/>
      <c r="K74" s="107"/>
      <c r="O74" s="108" t="s">
        <v>207</v>
      </c>
      <c r="P74" s="107" t="e">
        <f>IFERROR(P72+(P65-P66)*(P73-P72)/(P67-P66),P72)</f>
        <v>#N/A</v>
      </c>
      <c r="T74" s="21"/>
      <c r="U74" s="21"/>
      <c r="V74" s="21"/>
      <c r="W74" s="108"/>
      <c r="X74" s="107"/>
      <c r="AB74" s="108" t="s">
        <v>207</v>
      </c>
      <c r="AC74" s="107">
        <f>IFERROR(AC72+(AC65-AC66)*(AC73-AC72)/(AC67-AC66),AC72)</f>
        <v>3300.665</v>
      </c>
      <c r="AG74" s="21"/>
      <c r="AH74" s="21"/>
      <c r="AI74" s="21"/>
      <c r="AJ74" s="108"/>
      <c r="AK74" s="107"/>
    </row>
  </sheetData>
  <sheetProtection algorithmName="SHA-512" hashValue="nt4kNk8w0XKPJsIe8ubjgWJIax7GfpsxNrJq3XcQxr4QVBHbH86G6woD0xkbte9baT8Cdsf0lYH+PYx3MV7cHw==" saltValue="u7dgp+tMVXVs6VZ2DjAdaA==" spinCount="100000" sheet="1" objects="1" scenarios="1"/>
  <mergeCells count="23">
    <mergeCell ref="AR16:AS16"/>
    <mergeCell ref="AZ16:BA16"/>
    <mergeCell ref="D62:E62"/>
    <mergeCell ref="Q62:R62"/>
    <mergeCell ref="AD62:AE62"/>
    <mergeCell ref="D42:E42"/>
    <mergeCell ref="Q42:R42"/>
    <mergeCell ref="AD42:AE42"/>
    <mergeCell ref="B56:I56"/>
    <mergeCell ref="O56:V56"/>
    <mergeCell ref="AB56:AI56"/>
    <mergeCell ref="B30:G30"/>
    <mergeCell ref="O30:T30"/>
    <mergeCell ref="AB30:AG30"/>
    <mergeCell ref="D16:E16"/>
    <mergeCell ref="Q16:R16"/>
    <mergeCell ref="AD16:AE16"/>
    <mergeCell ref="B3:L3"/>
    <mergeCell ref="O3:Y3"/>
    <mergeCell ref="AB3:AL3"/>
    <mergeCell ref="B4:F4"/>
    <mergeCell ref="O4:S4"/>
    <mergeCell ref="AB4:AF4"/>
  </mergeCells>
  <conditionalFormatting sqref="B6:E13">
    <cfRule type="colorScale" priority="6">
      <colorScale>
        <cfvo type="min"/>
        <cfvo type="max"/>
        <color rgb="FFFCFCFF"/>
        <color rgb="FFF8696B"/>
      </colorScale>
    </cfRule>
  </conditionalFormatting>
  <conditionalFormatting sqref="B32:F39">
    <cfRule type="colorScale" priority="8">
      <colorScale>
        <cfvo type="min"/>
        <cfvo type="max"/>
        <color rgb="FFFCFCFF"/>
        <color rgb="FFF8696B"/>
      </colorScale>
    </cfRule>
  </conditionalFormatting>
  <conditionalFormatting sqref="B58:G60">
    <cfRule type="colorScale" priority="300">
      <colorScale>
        <cfvo type="min"/>
        <cfvo type="max"/>
        <color rgb="FFFCFCFF"/>
        <color rgb="FFF8696B"/>
      </colorScale>
    </cfRule>
  </conditionalFormatting>
  <conditionalFormatting sqref="J6:M14">
    <cfRule type="colorScale" priority="7">
      <colorScale>
        <cfvo type="min"/>
        <cfvo type="max"/>
        <color rgb="FFFCFCFF"/>
        <color rgb="FFF8696B"/>
      </colorScale>
    </cfRule>
  </conditionalFormatting>
  <conditionalFormatting sqref="O6:R13">
    <cfRule type="colorScale" priority="4">
      <colorScale>
        <cfvo type="min"/>
        <cfvo type="max"/>
        <color rgb="FFFCFCFF"/>
        <color rgb="FFF8696B"/>
      </colorScale>
    </cfRule>
  </conditionalFormatting>
  <conditionalFormatting sqref="O32:R39">
    <cfRule type="colorScale" priority="11">
      <colorScale>
        <cfvo type="min"/>
        <cfvo type="max"/>
        <color rgb="FFFCFCFF"/>
        <color rgb="FFF8696B"/>
      </colorScale>
    </cfRule>
  </conditionalFormatting>
  <conditionalFormatting sqref="O58:T60">
    <cfRule type="colorScale" priority="212">
      <colorScale>
        <cfvo type="min"/>
        <cfvo type="max"/>
        <color rgb="FFFCFCFF"/>
        <color rgb="FFF8696B"/>
      </colorScale>
    </cfRule>
  </conditionalFormatting>
  <conditionalFormatting sqref="W6:Y14">
    <cfRule type="colorScale" priority="5">
      <colorScale>
        <cfvo type="min"/>
        <cfvo type="max"/>
        <color rgb="FFFCFCFF"/>
        <color rgb="FFF8696B"/>
      </colorScale>
    </cfRule>
  </conditionalFormatting>
  <conditionalFormatting sqref="AB6:AE13">
    <cfRule type="colorScale" priority="1">
      <colorScale>
        <cfvo type="min"/>
        <cfvo type="max"/>
        <color rgb="FFFCFCFF"/>
        <color rgb="FFF8696B"/>
      </colorScale>
    </cfRule>
  </conditionalFormatting>
  <conditionalFormatting sqref="AB32:AF39">
    <cfRule type="colorScale" priority="306">
      <colorScale>
        <cfvo type="min"/>
        <cfvo type="max"/>
        <color rgb="FFFCFCFF"/>
        <color rgb="FFF8696B"/>
      </colorScale>
    </cfRule>
  </conditionalFormatting>
  <conditionalFormatting sqref="AB58:AG60">
    <cfRule type="colorScale" priority="307">
      <colorScale>
        <cfvo type="min"/>
        <cfvo type="max"/>
        <color rgb="FFFCFCFF"/>
        <color rgb="FFF8696B"/>
      </colorScale>
    </cfRule>
  </conditionalFormatting>
  <conditionalFormatting sqref="AJ6:AL14">
    <cfRule type="colorScale" priority="2">
      <colorScale>
        <cfvo type="min"/>
        <cfvo type="max"/>
        <color rgb="FFFCFCFF"/>
        <color rgb="FFF8696B"/>
      </colorScale>
    </cfRule>
  </conditionalFormatting>
  <pageMargins left="0.25" right="0.25" top="0.75" bottom="0.75" header="0" footer="0"/>
  <pageSetup paperSize="9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7A7A-3C74-4037-B50E-6EFEA5C13DAB}">
  <sheetPr codeName="Blad14">
    <pageSetUpPr fitToPage="1"/>
  </sheetPr>
  <dimension ref="A1:BC54"/>
  <sheetViews>
    <sheetView topLeftCell="A19" workbookViewId="0">
      <selection activeCell="A31" sqref="A31:A38"/>
    </sheetView>
  </sheetViews>
  <sheetFormatPr defaultColWidth="14.44140625" defaultRowHeight="15" customHeight="1"/>
  <cols>
    <col min="1" max="12" width="9.109375" customWidth="1"/>
    <col min="13" max="13" width="5" customWidth="1"/>
    <col min="14" max="58" width="9.109375" customWidth="1"/>
  </cols>
  <sheetData>
    <row r="1" spans="1:55" ht="14.25" customHeight="1">
      <c r="A1" s="1"/>
      <c r="B1" s="19" t="s">
        <v>194</v>
      </c>
      <c r="C1" s="108" t="s">
        <v>157</v>
      </c>
      <c r="D1" s="130">
        <f>IF(Landing!$C$9="",Landing!$C$15,MAX(0,Landing!$C$15+30*(1013-Landing!$C$9)))</f>
        <v>1172</v>
      </c>
      <c r="F1" s="55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31"/>
      <c r="AW1" s="1"/>
      <c r="AX1" s="1"/>
      <c r="AY1" s="1"/>
      <c r="AZ1" s="1"/>
      <c r="BA1" s="1"/>
      <c r="BB1" s="1"/>
      <c r="BC1" s="1"/>
    </row>
    <row r="2" spans="1:55" ht="14.25" customHeight="1">
      <c r="A2" s="1"/>
      <c r="B2" s="19" t="s">
        <v>196</v>
      </c>
      <c r="C2" s="106" t="s">
        <v>158</v>
      </c>
      <c r="D2" s="130">
        <f>Landing!C8</f>
        <v>0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AM2" s="1"/>
      <c r="AN2" s="1"/>
      <c r="AO2" s="1"/>
      <c r="AP2" s="1"/>
      <c r="AQ2" s="1"/>
      <c r="AR2" s="1"/>
      <c r="AS2" s="1"/>
      <c r="AT2" s="1"/>
      <c r="AU2" s="1"/>
      <c r="AV2" s="131"/>
      <c r="AW2" s="1"/>
      <c r="AX2" s="1"/>
      <c r="AY2" s="1"/>
      <c r="AZ2" s="1"/>
      <c r="BA2" s="1"/>
      <c r="BB2" s="1"/>
      <c r="BC2" s="1"/>
    </row>
    <row r="3" spans="1:55" ht="14.25" customHeight="1">
      <c r="A3" s="1"/>
      <c r="B3" s="387" t="s">
        <v>218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213"/>
      <c r="AM3" s="1"/>
      <c r="AN3" s="1"/>
      <c r="AO3" s="1"/>
      <c r="AP3" s="1"/>
      <c r="AQ3" s="1"/>
      <c r="AR3" s="1"/>
      <c r="AS3" s="1"/>
      <c r="AT3" s="1"/>
      <c r="AU3" s="1"/>
      <c r="AV3" s="131"/>
      <c r="AW3" s="1"/>
      <c r="AX3" s="1"/>
      <c r="AY3" s="1"/>
      <c r="AZ3" s="1"/>
      <c r="BA3" s="1"/>
      <c r="BB3" s="1"/>
      <c r="BC3" s="1"/>
    </row>
    <row r="4" spans="1:55" ht="15" customHeight="1" thickBot="1">
      <c r="A4" s="181"/>
      <c r="B4" s="383" t="s">
        <v>216</v>
      </c>
      <c r="C4" s="383"/>
      <c r="D4" s="383"/>
      <c r="E4" s="383"/>
      <c r="F4" s="383"/>
      <c r="G4" s="188"/>
      <c r="H4" s="188"/>
      <c r="I4" s="188"/>
      <c r="J4" s="188"/>
      <c r="K4" s="188"/>
      <c r="L4" s="188"/>
      <c r="M4" s="188"/>
      <c r="AM4" s="21"/>
      <c r="AN4" s="21"/>
      <c r="AO4" s="21"/>
      <c r="AP4" s="108"/>
      <c r="AQ4" s="107"/>
      <c r="AU4" s="21"/>
      <c r="AV4" s="21"/>
      <c r="AW4" s="21"/>
      <c r="AX4" s="108"/>
      <c r="AY4" s="107"/>
    </row>
    <row r="5" spans="1:55" ht="15" customHeight="1" thickBot="1">
      <c r="A5" s="181" t="s">
        <v>217</v>
      </c>
      <c r="B5" s="191">
        <v>0</v>
      </c>
      <c r="C5" s="192">
        <v>1000</v>
      </c>
      <c r="D5" s="193">
        <v>2000</v>
      </c>
      <c r="E5" s="193">
        <v>3000</v>
      </c>
      <c r="F5" s="194">
        <v>4000</v>
      </c>
      <c r="G5" s="182"/>
      <c r="H5" s="183"/>
      <c r="I5" s="181"/>
      <c r="J5" s="182"/>
      <c r="K5" s="183"/>
      <c r="L5" s="181"/>
      <c r="M5" s="181"/>
      <c r="AM5" s="108"/>
      <c r="AN5" s="107"/>
      <c r="AR5" s="21"/>
      <c r="AS5" s="21"/>
      <c r="AT5" s="21"/>
      <c r="AU5" s="108"/>
      <c r="AV5" s="107"/>
    </row>
    <row r="6" spans="1:55" ht="15" customHeight="1">
      <c r="A6" s="181">
        <v>-30</v>
      </c>
      <c r="B6" s="249">
        <v>780</v>
      </c>
      <c r="C6" s="250">
        <v>770</v>
      </c>
      <c r="D6" s="251">
        <v>760</v>
      </c>
      <c r="E6" s="251">
        <v>750</v>
      </c>
      <c r="F6" s="194">
        <v>0</v>
      </c>
      <c r="G6" s="182"/>
      <c r="H6" s="107"/>
      <c r="I6" s="181"/>
      <c r="J6" s="182"/>
      <c r="K6" s="183"/>
      <c r="L6" s="181"/>
      <c r="M6" s="181"/>
      <c r="AM6" s="108"/>
      <c r="AN6" s="107"/>
      <c r="AR6" s="21"/>
      <c r="AS6" s="21"/>
      <c r="AT6" s="21"/>
      <c r="AU6" s="108"/>
      <c r="AV6" s="107"/>
    </row>
    <row r="7" spans="1:55" ht="15" customHeight="1">
      <c r="A7" s="181">
        <v>-20</v>
      </c>
      <c r="B7" s="252">
        <v>780</v>
      </c>
      <c r="C7" s="253">
        <v>770</v>
      </c>
      <c r="D7" s="254">
        <v>760</v>
      </c>
      <c r="E7" s="254">
        <v>750</v>
      </c>
      <c r="F7" s="197">
        <v>0</v>
      </c>
      <c r="G7" s="182"/>
      <c r="H7" s="107"/>
      <c r="J7" s="108"/>
      <c r="K7" s="107"/>
      <c r="AM7" s="108"/>
      <c r="AN7" s="107"/>
      <c r="AR7" s="21"/>
      <c r="AS7" s="21"/>
      <c r="AT7" s="21"/>
      <c r="AU7" s="108"/>
      <c r="AV7" s="107"/>
    </row>
    <row r="8" spans="1:55" ht="15" customHeight="1">
      <c r="A8" s="181">
        <v>-10</v>
      </c>
      <c r="B8" s="252">
        <v>770</v>
      </c>
      <c r="C8" s="253">
        <v>760</v>
      </c>
      <c r="D8" s="254">
        <v>745</v>
      </c>
      <c r="E8" s="254">
        <v>730</v>
      </c>
      <c r="F8" s="197">
        <v>0</v>
      </c>
      <c r="G8" s="182"/>
      <c r="H8" s="107"/>
      <c r="J8" s="108"/>
      <c r="K8" s="107"/>
      <c r="AM8" s="108"/>
      <c r="AN8" s="107"/>
      <c r="AR8" s="21"/>
      <c r="AS8" s="21"/>
      <c r="AT8" s="21"/>
      <c r="AU8" s="108"/>
      <c r="AV8" s="107"/>
    </row>
    <row r="9" spans="1:55" ht="15" customHeight="1">
      <c r="A9" s="181">
        <v>0</v>
      </c>
      <c r="B9" s="252">
        <v>760</v>
      </c>
      <c r="C9" s="253">
        <v>750</v>
      </c>
      <c r="D9" s="254">
        <v>730</v>
      </c>
      <c r="E9" s="254">
        <v>720</v>
      </c>
      <c r="F9" s="197">
        <v>0</v>
      </c>
      <c r="G9" s="182"/>
      <c r="H9" s="107"/>
      <c r="J9" s="108"/>
      <c r="K9" s="107"/>
      <c r="AM9" s="108"/>
      <c r="AN9" s="107"/>
      <c r="AR9" s="21"/>
      <c r="AS9" s="21"/>
      <c r="AT9" s="21"/>
      <c r="AU9" s="108"/>
      <c r="AV9" s="107"/>
    </row>
    <row r="10" spans="1:55" ht="15" customHeight="1">
      <c r="A10" s="181">
        <v>10</v>
      </c>
      <c r="B10" s="252">
        <v>750</v>
      </c>
      <c r="C10" s="253">
        <v>735</v>
      </c>
      <c r="D10" s="254">
        <v>720</v>
      </c>
      <c r="E10" s="254">
        <v>705</v>
      </c>
      <c r="F10" s="197">
        <v>0</v>
      </c>
      <c r="G10" s="182"/>
      <c r="H10" s="107"/>
      <c r="J10" s="108"/>
      <c r="K10" s="107"/>
      <c r="AM10" s="108"/>
      <c r="AN10" s="107"/>
      <c r="AR10" s="21"/>
      <c r="AS10" s="21"/>
      <c r="AT10" s="21"/>
      <c r="AU10" s="108"/>
      <c r="AV10" s="107"/>
    </row>
    <row r="11" spans="1:55" ht="15" customHeight="1">
      <c r="A11" s="181">
        <v>20</v>
      </c>
      <c r="B11" s="252">
        <v>740</v>
      </c>
      <c r="C11" s="253">
        <v>720</v>
      </c>
      <c r="D11" s="254">
        <v>710</v>
      </c>
      <c r="E11" s="254">
        <v>690</v>
      </c>
      <c r="F11" s="197">
        <v>0</v>
      </c>
      <c r="G11" s="182"/>
      <c r="H11" s="107"/>
      <c r="J11" s="108"/>
      <c r="K11" s="107"/>
      <c r="AM11" s="108"/>
      <c r="AN11" s="107"/>
      <c r="AR11" s="21"/>
      <c r="AS11" s="21"/>
      <c r="AT11" s="21"/>
      <c r="AU11" s="108"/>
      <c r="AV11" s="107"/>
    </row>
    <row r="12" spans="1:55" ht="15" customHeight="1">
      <c r="A12" s="181">
        <v>30</v>
      </c>
      <c r="B12" s="252">
        <v>720</v>
      </c>
      <c r="C12" s="253">
        <v>700</v>
      </c>
      <c r="D12" s="254">
        <v>670</v>
      </c>
      <c r="E12" s="254">
        <v>620</v>
      </c>
      <c r="F12" s="197">
        <v>0</v>
      </c>
      <c r="G12" s="182"/>
      <c r="H12" s="107"/>
      <c r="J12" s="108"/>
      <c r="K12" s="107"/>
      <c r="AM12" s="108"/>
      <c r="AN12" s="107"/>
      <c r="AR12" s="21"/>
      <c r="AS12" s="21"/>
      <c r="AT12" s="21"/>
      <c r="AU12" s="108"/>
      <c r="AV12" s="107"/>
    </row>
    <row r="13" spans="1:55" ht="15" customHeight="1" thickBot="1">
      <c r="A13" s="181">
        <v>35</v>
      </c>
      <c r="B13" s="198">
        <v>0</v>
      </c>
      <c r="C13" s="199">
        <v>0</v>
      </c>
      <c r="D13" s="199">
        <v>0</v>
      </c>
      <c r="E13" s="199">
        <v>0</v>
      </c>
      <c r="F13" s="201">
        <v>0</v>
      </c>
      <c r="G13" s="182"/>
      <c r="H13" s="107"/>
      <c r="J13" s="108"/>
      <c r="K13" s="107"/>
      <c r="AM13" s="108"/>
      <c r="AN13" s="107"/>
      <c r="AR13" s="21"/>
      <c r="AS13" s="21"/>
      <c r="AT13" s="21"/>
      <c r="AU13" s="108"/>
      <c r="AV13" s="107"/>
    </row>
    <row r="14" spans="1:55" ht="15" customHeight="1">
      <c r="B14" s="182"/>
      <c r="C14" s="183"/>
      <c r="D14" s="181"/>
      <c r="E14" s="181"/>
      <c r="F14" s="181"/>
      <c r="G14" s="115"/>
      <c r="H14" s="115"/>
      <c r="I14" s="115"/>
      <c r="J14" s="108"/>
      <c r="K14" s="107"/>
      <c r="AM14" s="21"/>
      <c r="AN14" s="21"/>
      <c r="AO14" s="21"/>
      <c r="AP14" s="108"/>
      <c r="AQ14" s="107"/>
      <c r="AU14" s="21"/>
      <c r="AV14" s="21"/>
      <c r="AW14" s="21"/>
      <c r="AX14" s="108"/>
      <c r="AY14" s="107"/>
    </row>
    <row r="15" spans="1:55" ht="15" customHeight="1">
      <c r="B15" s="108" t="s">
        <v>157</v>
      </c>
      <c r="C15" s="107">
        <f>D1</f>
        <v>1172</v>
      </c>
      <c r="D15" s="374" t="s">
        <v>200</v>
      </c>
      <c r="E15" s="374"/>
      <c r="G15" s="21"/>
      <c r="H15" s="21"/>
      <c r="I15" s="21"/>
      <c r="J15" s="108"/>
      <c r="K15" s="107"/>
      <c r="L15" s="184"/>
      <c r="AM15" s="21"/>
      <c r="AN15" s="21"/>
      <c r="AO15" s="21"/>
      <c r="AP15" s="108"/>
      <c r="AQ15" s="107"/>
      <c r="AR15" s="374"/>
      <c r="AS15" s="374"/>
      <c r="AU15" s="21"/>
      <c r="AV15" s="21"/>
      <c r="AW15" s="21"/>
      <c r="AX15" s="108"/>
      <c r="AY15" s="107"/>
      <c r="AZ15" s="374"/>
      <c r="BA15" s="374"/>
    </row>
    <row r="16" spans="1:55" ht="15" customHeight="1">
      <c r="B16" s="89" t="s">
        <v>201</v>
      </c>
      <c r="C16" s="109">
        <f>INDEX(B5:F5,MATCH(C15,B5:F5,1))</f>
        <v>1000</v>
      </c>
      <c r="D16" s="89" t="s">
        <v>155</v>
      </c>
      <c r="E16" s="104">
        <f>MATCH(MAX(A6:A13),A6:A13,1)</f>
        <v>8</v>
      </c>
      <c r="G16" s="21"/>
      <c r="H16" s="21"/>
      <c r="I16" s="21"/>
      <c r="J16" s="89"/>
      <c r="K16" s="109"/>
      <c r="L16" s="89"/>
      <c r="M16" s="104"/>
      <c r="AM16" s="21"/>
      <c r="AN16" s="21"/>
      <c r="AO16" s="21"/>
      <c r="AP16" s="89"/>
      <c r="AQ16" s="109"/>
      <c r="AR16" s="89"/>
      <c r="AS16" s="104"/>
      <c r="AU16" s="21"/>
      <c r="AV16" s="21"/>
      <c r="AW16" s="21"/>
      <c r="AX16" s="89"/>
      <c r="AY16" s="109"/>
      <c r="AZ16" s="89"/>
      <c r="BA16" s="104"/>
    </row>
    <row r="17" spans="1:53" ht="15" customHeight="1">
      <c r="B17" s="89" t="s">
        <v>202</v>
      </c>
      <c r="C17" s="109" cm="1">
        <f t="array" ref="C17">INDEX(B5:F5,IF(MATCH(C15,B5:F5,1)&lt;E17,MATCH(C15,B5:F5,1)+1,MATCH(C15,B5:F5,1)))</f>
        <v>2000</v>
      </c>
      <c r="D17" s="89" t="s">
        <v>156</v>
      </c>
      <c r="E17" s="104">
        <f>MATCH(MAX(B5:F5),B5:F5,0)</f>
        <v>5</v>
      </c>
      <c r="G17" s="21"/>
      <c r="H17" s="21"/>
      <c r="I17" s="21"/>
      <c r="J17" s="89"/>
      <c r="K17" s="109"/>
      <c r="L17" s="89"/>
      <c r="M17" s="104"/>
      <c r="AM17" s="21"/>
      <c r="AN17" s="21"/>
      <c r="AO17" s="21"/>
      <c r="AP17" s="89"/>
      <c r="AQ17" s="109"/>
      <c r="AR17" s="89"/>
      <c r="AS17" s="104"/>
      <c r="AU17" s="21"/>
      <c r="AV17" s="21"/>
      <c r="AW17" s="21"/>
      <c r="AX17" s="89"/>
      <c r="AY17" s="109"/>
      <c r="AZ17" s="89"/>
      <c r="BA17" s="104"/>
    </row>
    <row r="18" spans="1:53" ht="15" customHeight="1">
      <c r="B18" s="106" t="s">
        <v>158</v>
      </c>
      <c r="C18" s="110">
        <f>D2</f>
        <v>0</v>
      </c>
      <c r="D18" s="21"/>
      <c r="E18" s="21"/>
      <c r="G18" s="21"/>
      <c r="H18" s="21"/>
      <c r="I18" s="21"/>
      <c r="J18" s="106"/>
      <c r="K18" s="110"/>
      <c r="L18" s="21"/>
      <c r="M18" s="21"/>
      <c r="O18" s="263"/>
      <c r="W18" s="263"/>
      <c r="Z18" s="263"/>
      <c r="AB18" s="263"/>
      <c r="AJ18" s="263"/>
      <c r="AM18" s="21"/>
      <c r="AN18" s="21"/>
      <c r="AO18" s="21"/>
      <c r="AP18" s="106"/>
      <c r="AQ18" s="110"/>
      <c r="AR18" s="21"/>
      <c r="AS18" s="21"/>
      <c r="AU18" s="21"/>
      <c r="AV18" s="21"/>
      <c r="AW18" s="21"/>
      <c r="AX18" s="106"/>
      <c r="AY18" s="110"/>
      <c r="AZ18" s="21"/>
      <c r="BA18" s="21"/>
    </row>
    <row r="19" spans="1:53" ht="15" customHeight="1">
      <c r="B19" s="89" t="s">
        <v>159</v>
      </c>
      <c r="C19" s="109">
        <f>INDEX(A6:A13,MATCH(C18,A6:A13,1))</f>
        <v>0</v>
      </c>
      <c r="D19" s="21"/>
      <c r="E19" s="38"/>
      <c r="G19" s="21"/>
      <c r="H19" s="21"/>
      <c r="I19" s="21"/>
      <c r="J19" s="89"/>
      <c r="K19" s="109"/>
      <c r="L19" s="21"/>
      <c r="M19" s="38"/>
      <c r="AM19" s="21"/>
      <c r="AN19" s="21"/>
      <c r="AO19" s="21"/>
      <c r="AP19" s="89"/>
      <c r="AQ19" s="109"/>
      <c r="AR19" s="21"/>
      <c r="AS19" s="38"/>
      <c r="AU19" s="21"/>
      <c r="AV19" s="21"/>
      <c r="AW19" s="21"/>
      <c r="AX19" s="89"/>
      <c r="AY19" s="109"/>
      <c r="AZ19" s="21"/>
      <c r="BA19" s="38"/>
    </row>
    <row r="20" spans="1:53" ht="15" customHeight="1">
      <c r="B20" s="89" t="s">
        <v>160</v>
      </c>
      <c r="C20" s="109" cm="1">
        <f t="array" ref="C20">INDEX(A6:A13,IF(MATCH(C18,A6:A13,1)&lt;E16,MATCH(C18,A6:A13,1)+1,MATCH(C18,A6:A13,1)))</f>
        <v>10</v>
      </c>
      <c r="D20" s="21"/>
      <c r="E20" s="38"/>
      <c r="G20" s="21"/>
      <c r="H20" s="21"/>
      <c r="I20" s="21"/>
      <c r="J20" s="89"/>
      <c r="K20" s="109"/>
      <c r="L20" s="21"/>
      <c r="M20" s="38"/>
      <c r="AM20" s="21"/>
      <c r="AN20" s="21"/>
      <c r="AO20" s="21"/>
      <c r="AP20" s="89"/>
      <c r="AQ20" s="109"/>
      <c r="AR20" s="21"/>
      <c r="AS20" s="38"/>
      <c r="AU20" s="21"/>
      <c r="AV20" s="21"/>
      <c r="AW20" s="21"/>
      <c r="AX20" s="89"/>
      <c r="AY20" s="109"/>
      <c r="AZ20" s="21"/>
      <c r="BA20" s="38"/>
    </row>
    <row r="21" spans="1:53" ht="15" customHeight="1">
      <c r="B21" s="108" t="s">
        <v>161</v>
      </c>
      <c r="C21" s="107">
        <f>INDEX(B6:F13,MATCH(C18,A6:A13,1),MATCH(C15,B5:F5,1))</f>
        <v>750</v>
      </c>
      <c r="D21" s="21"/>
      <c r="E21" s="38"/>
      <c r="G21" s="21"/>
      <c r="H21" s="21"/>
      <c r="I21" s="21"/>
      <c r="J21" s="108"/>
      <c r="K21" s="107"/>
      <c r="L21" s="21"/>
      <c r="M21" s="38"/>
      <c r="AM21" s="21"/>
      <c r="AN21" s="21"/>
      <c r="AO21" s="21"/>
      <c r="AP21" s="108"/>
      <c r="AQ21" s="107"/>
      <c r="AR21" s="21"/>
      <c r="AS21" s="38"/>
      <c r="AU21" s="21"/>
      <c r="AV21" s="21"/>
      <c r="AW21" s="21"/>
      <c r="AX21" s="108"/>
      <c r="AY21" s="107"/>
      <c r="AZ21" s="21"/>
      <c r="BA21" s="38"/>
    </row>
    <row r="22" spans="1:53" ht="15" customHeight="1">
      <c r="B22" s="108" t="s">
        <v>203</v>
      </c>
      <c r="C22" s="107" cm="1">
        <f t="array" ref="C22">INDEX(B6:F13,MATCH(C18,A6:A13,1),IF(MATCH(C15,B5:F5,1)&lt;E17,MATCH(C15,B5:F5,1)+1,MATCH(C18,A6:A13,1)))</f>
        <v>730</v>
      </c>
      <c r="E22" s="38"/>
      <c r="G22" s="21"/>
      <c r="H22" s="21"/>
      <c r="I22" s="21"/>
      <c r="J22" s="108"/>
      <c r="K22" s="107"/>
      <c r="M22" s="38"/>
      <c r="AM22" s="21"/>
      <c r="AN22" s="21"/>
      <c r="AO22" s="21"/>
      <c r="AP22" s="108"/>
      <c r="AQ22" s="107"/>
      <c r="AS22" s="38"/>
      <c r="AU22" s="21"/>
      <c r="AV22" s="21"/>
      <c r="AW22" s="21"/>
      <c r="AX22" s="108"/>
      <c r="AY22" s="107"/>
      <c r="BA22" s="38"/>
    </row>
    <row r="23" spans="1:53" ht="15" customHeight="1">
      <c r="B23" s="108" t="s">
        <v>162</v>
      </c>
      <c r="C23" s="107" cm="1">
        <f t="array" ref="C23">INDEX(B6:F13,IF(MATCH(C18,A6:A13,1)&lt;E16,MATCH(C18,A6:A13,1)+1,MATCH(C18,A6:A13,1)),MATCH(C15,B5:F5,1))</f>
        <v>735</v>
      </c>
      <c r="E23" s="38"/>
      <c r="G23" s="21"/>
      <c r="H23" s="21"/>
      <c r="I23" s="21"/>
      <c r="J23" s="108"/>
      <c r="K23" s="107"/>
      <c r="M23" s="38"/>
      <c r="AM23" s="21"/>
      <c r="AN23" s="21"/>
      <c r="AO23" s="21"/>
      <c r="AP23" s="108"/>
      <c r="AQ23" s="107"/>
      <c r="AS23" s="38"/>
      <c r="AU23" s="21"/>
      <c r="AV23" s="21"/>
      <c r="AW23" s="21"/>
      <c r="AX23" s="108"/>
      <c r="AY23" s="107"/>
      <c r="BA23" s="38"/>
    </row>
    <row r="24" spans="1:53" ht="15" customHeight="1">
      <c r="B24" s="108" t="s">
        <v>204</v>
      </c>
      <c r="C24" s="107" cm="1">
        <f t="array" ref="C24">INDEX(B6:F13,IF(MATCH(C18,A6:A13,1)&lt;E16,MATCH(C18,A6:A13,1)+1,MATCH(C18,A6:A13,1)),IF(MATCH(C15,B5:F5,1)&lt;E17,MATCH(C15,B5:F5,1)+1,MATCH(C15,B5:F5,1)))</f>
        <v>720</v>
      </c>
      <c r="G24" s="21"/>
      <c r="H24" s="21"/>
      <c r="I24" s="21"/>
      <c r="J24" s="108"/>
      <c r="K24" s="107"/>
      <c r="AM24" s="21"/>
      <c r="AN24" s="21"/>
      <c r="AO24" s="21"/>
      <c r="AP24" s="108"/>
      <c r="AQ24" s="107"/>
      <c r="AU24" s="21"/>
      <c r="AV24" s="21"/>
      <c r="AW24" s="21"/>
      <c r="AX24" s="108"/>
      <c r="AY24" s="107"/>
    </row>
    <row r="25" spans="1:53" ht="15" customHeight="1">
      <c r="B25" s="89" t="s">
        <v>205</v>
      </c>
      <c r="C25" s="109">
        <f>IFERROR(C21+(C15-C16)*(C22-C21)/(C17-C16),C21)</f>
        <v>746.56</v>
      </c>
      <c r="G25" s="21"/>
      <c r="H25" s="21"/>
      <c r="I25" s="21"/>
      <c r="J25" s="89"/>
      <c r="K25" s="109"/>
      <c r="AM25" s="21"/>
      <c r="AN25" s="21"/>
      <c r="AO25" s="21"/>
      <c r="AP25" s="89"/>
      <c r="AQ25" s="109"/>
      <c r="AU25" s="21"/>
      <c r="AV25" s="21"/>
      <c r="AW25" s="21"/>
      <c r="AX25" s="89"/>
      <c r="AY25" s="109"/>
    </row>
    <row r="26" spans="1:53" ht="15" customHeight="1">
      <c r="B26" s="89" t="s">
        <v>206</v>
      </c>
      <c r="C26" s="109">
        <f>IFERROR(C23+(C15-C16)*(C24-C23)/(C17-C16),C23)</f>
        <v>732.42</v>
      </c>
      <c r="G26" s="21"/>
      <c r="H26" s="21"/>
      <c r="I26" s="21"/>
      <c r="J26" s="89"/>
      <c r="K26" s="109"/>
      <c r="AM26" s="21"/>
      <c r="AN26" s="21"/>
      <c r="AO26" s="21"/>
      <c r="AP26" s="89"/>
      <c r="AQ26" s="109"/>
      <c r="AU26" s="21"/>
      <c r="AV26" s="21"/>
      <c r="AW26" s="21"/>
      <c r="AX26" s="89"/>
      <c r="AY26" s="109"/>
    </row>
    <row r="27" spans="1:53" ht="15" customHeight="1">
      <c r="B27" s="108" t="s">
        <v>207</v>
      </c>
      <c r="C27" s="107">
        <f>IFERROR(C25+(C18-C19)*(C26-C25)/(C20-C19),C25)</f>
        <v>746.56</v>
      </c>
      <c r="G27" s="21"/>
      <c r="H27" s="21"/>
      <c r="I27" s="21"/>
      <c r="J27" s="108"/>
      <c r="K27" s="107"/>
      <c r="AM27" s="21"/>
      <c r="AN27" s="21"/>
      <c r="AO27" s="21"/>
      <c r="AP27" s="108"/>
      <c r="AQ27" s="107"/>
      <c r="AU27" s="21"/>
      <c r="AV27" s="21"/>
      <c r="AW27" s="21"/>
      <c r="AX27" s="108"/>
      <c r="AY27" s="107"/>
    </row>
    <row r="29" spans="1:53" ht="15" customHeight="1" thickBot="1">
      <c r="A29" s="181"/>
      <c r="B29" s="388" t="s">
        <v>228</v>
      </c>
      <c r="C29" s="386"/>
      <c r="D29" s="386"/>
      <c r="E29" s="386"/>
      <c r="F29" s="386"/>
      <c r="G29" s="386"/>
      <c r="H29" s="188"/>
      <c r="I29" s="188"/>
      <c r="J29" s="188"/>
      <c r="K29" s="188"/>
      <c r="L29" s="188"/>
      <c r="M29" s="188"/>
      <c r="N29" s="181"/>
      <c r="O29" s="388" t="s">
        <v>229</v>
      </c>
      <c r="P29" s="386"/>
      <c r="Q29" s="386"/>
      <c r="R29" s="386"/>
      <c r="S29" s="386"/>
      <c r="T29" s="386"/>
      <c r="U29" s="188"/>
      <c r="V29" s="188"/>
      <c r="W29" s="188"/>
      <c r="X29" s="188"/>
      <c r="Y29" s="188"/>
      <c r="AA29" s="181"/>
      <c r="AH29" s="188"/>
      <c r="AI29" s="188"/>
      <c r="AJ29" s="188"/>
      <c r="AK29" s="188"/>
      <c r="AL29" s="188"/>
    </row>
    <row r="30" spans="1:53" ht="15" customHeight="1" thickBot="1">
      <c r="A30" s="181" t="s">
        <v>29</v>
      </c>
      <c r="B30" s="185">
        <v>610</v>
      </c>
      <c r="C30" s="186">
        <v>700</v>
      </c>
      <c r="D30" s="186">
        <v>780</v>
      </c>
      <c r="E30" s="194">
        <v>900</v>
      </c>
      <c r="F30" s="181"/>
      <c r="G30" s="181"/>
      <c r="H30" s="181"/>
      <c r="I30" s="181"/>
      <c r="J30" s="181"/>
      <c r="K30" s="181"/>
      <c r="L30" s="181"/>
      <c r="M30" s="181"/>
      <c r="N30" s="181"/>
      <c r="P30" s="181" t="s">
        <v>29</v>
      </c>
      <c r="Q30" s="185">
        <v>700</v>
      </c>
      <c r="R30" s="205">
        <v>760</v>
      </c>
      <c r="S30" s="205">
        <v>820</v>
      </c>
      <c r="T30" s="205">
        <v>870</v>
      </c>
      <c r="U30" s="205">
        <v>940</v>
      </c>
      <c r="V30" s="205">
        <v>980</v>
      </c>
      <c r="W30" s="205">
        <v>1030</v>
      </c>
      <c r="X30" s="186">
        <v>1080</v>
      </c>
      <c r="Y30" s="187">
        <v>1130</v>
      </c>
      <c r="Z30" s="187">
        <v>1170</v>
      </c>
      <c r="AA30" s="194">
        <v>1200</v>
      </c>
      <c r="AB30" s="181"/>
      <c r="AC30" s="181"/>
      <c r="AD30" s="181"/>
      <c r="AE30" s="181"/>
      <c r="AN30" s="181"/>
      <c r="AO30" s="181"/>
      <c r="AP30" s="181"/>
      <c r="AQ30" s="181"/>
      <c r="AR30" s="181"/>
    </row>
    <row r="31" spans="1:53" ht="15" customHeight="1">
      <c r="A31" s="181">
        <v>9000</v>
      </c>
      <c r="B31" s="249">
        <v>1150</v>
      </c>
      <c r="C31" s="250">
        <v>1200</v>
      </c>
      <c r="D31" s="250">
        <v>1200</v>
      </c>
      <c r="E31" s="194">
        <v>0</v>
      </c>
      <c r="F31" s="181"/>
      <c r="G31" s="181"/>
      <c r="H31" s="181"/>
      <c r="I31" s="181"/>
      <c r="J31" s="181"/>
      <c r="K31" s="181"/>
      <c r="L31" s="181"/>
      <c r="M31" s="181"/>
      <c r="N31" s="181"/>
      <c r="P31" s="181">
        <v>1</v>
      </c>
      <c r="Q31" s="243">
        <v>5</v>
      </c>
      <c r="R31" s="244">
        <v>5.5</v>
      </c>
      <c r="S31" s="244">
        <v>6</v>
      </c>
      <c r="T31" s="244">
        <v>6.5</v>
      </c>
      <c r="U31" s="244">
        <v>7</v>
      </c>
      <c r="V31" s="244">
        <v>7.5</v>
      </c>
      <c r="W31" s="244">
        <v>8</v>
      </c>
      <c r="X31" s="244">
        <v>8.5</v>
      </c>
      <c r="Y31" s="245">
        <v>9</v>
      </c>
      <c r="Z31" s="245">
        <v>9.5</v>
      </c>
      <c r="AA31" s="194">
        <v>10</v>
      </c>
      <c r="AB31" s="181"/>
      <c r="AC31" s="181"/>
      <c r="AD31" s="181"/>
      <c r="AE31" s="181"/>
      <c r="AN31" s="181"/>
      <c r="AO31" s="181"/>
      <c r="AP31" s="181"/>
      <c r="AQ31" s="181"/>
      <c r="AR31" s="181"/>
    </row>
    <row r="32" spans="1:53" ht="15" customHeight="1">
      <c r="A32" s="181">
        <v>9500</v>
      </c>
      <c r="B32" s="252">
        <v>1050</v>
      </c>
      <c r="C32" s="253">
        <v>1160</v>
      </c>
      <c r="D32" s="253">
        <v>1200</v>
      </c>
      <c r="E32" s="197">
        <v>0</v>
      </c>
      <c r="F32" s="181"/>
      <c r="G32" s="181"/>
      <c r="H32" s="181"/>
      <c r="I32" s="181"/>
      <c r="J32" s="181"/>
      <c r="K32" s="181"/>
      <c r="L32" s="181"/>
      <c r="M32" s="181"/>
      <c r="O32" s="182"/>
      <c r="P32" s="183"/>
      <c r="Q32" s="181"/>
      <c r="R32" s="181"/>
      <c r="S32" s="181"/>
      <c r="T32" s="115"/>
      <c r="U32" s="115"/>
      <c r="V32" s="115"/>
      <c r="W32" s="182"/>
      <c r="X32" s="183"/>
      <c r="Y32" s="181"/>
      <c r="AB32" s="181"/>
      <c r="AC32" s="181"/>
      <c r="AD32" s="181"/>
      <c r="AE32" s="181"/>
      <c r="AN32" s="181"/>
      <c r="AO32" s="181"/>
      <c r="AP32" s="181"/>
      <c r="AQ32" s="181"/>
      <c r="AR32" s="181"/>
    </row>
    <row r="33" spans="1:44" ht="15" customHeight="1">
      <c r="A33" s="181">
        <v>10000</v>
      </c>
      <c r="B33" s="252">
        <v>970</v>
      </c>
      <c r="C33" s="253">
        <v>1070</v>
      </c>
      <c r="D33" s="253">
        <v>1140</v>
      </c>
      <c r="E33" s="197">
        <v>0</v>
      </c>
      <c r="F33" s="181"/>
      <c r="G33" s="181"/>
      <c r="H33" s="181"/>
      <c r="I33" s="181"/>
      <c r="J33" s="181"/>
      <c r="K33" s="181"/>
      <c r="L33" s="181"/>
      <c r="M33" s="181"/>
      <c r="O33" s="108" t="s">
        <v>157</v>
      </c>
      <c r="P33" s="107">
        <f>C53</f>
        <v>854.92</v>
      </c>
      <c r="Q33" s="374" t="s">
        <v>200</v>
      </c>
      <c r="R33" s="321"/>
      <c r="T33" s="21"/>
      <c r="U33" s="21"/>
      <c r="V33" s="21"/>
      <c r="W33" s="108"/>
      <c r="X33" s="107"/>
      <c r="Y33" s="184"/>
      <c r="AB33" s="181"/>
      <c r="AC33" s="181"/>
      <c r="AD33" s="181"/>
      <c r="AE33" s="181"/>
      <c r="AN33" s="181"/>
      <c r="AO33" s="181"/>
      <c r="AP33" s="181"/>
      <c r="AQ33" s="181"/>
      <c r="AR33" s="181"/>
    </row>
    <row r="34" spans="1:44" ht="15" customHeight="1">
      <c r="A34" s="181">
        <v>10500</v>
      </c>
      <c r="B34" s="252">
        <v>890</v>
      </c>
      <c r="C34" s="253">
        <v>990</v>
      </c>
      <c r="D34" s="253">
        <v>1060</v>
      </c>
      <c r="E34" s="197">
        <v>0</v>
      </c>
      <c r="F34" s="181"/>
      <c r="G34" s="181"/>
      <c r="H34" s="181"/>
      <c r="I34" s="181"/>
      <c r="J34" s="181"/>
      <c r="K34" s="181"/>
      <c r="L34" s="181"/>
      <c r="M34" s="181"/>
      <c r="O34" s="89" t="s">
        <v>201</v>
      </c>
      <c r="P34" s="109">
        <f>INDEX(Q30:AA30,MATCH(P33,Q30:AA30,1))</f>
        <v>820</v>
      </c>
      <c r="Q34" s="89" t="s">
        <v>155</v>
      </c>
      <c r="R34" s="104">
        <f>MATCH(MAX(P31:P31),P31:P31,1)</f>
        <v>1</v>
      </c>
      <c r="T34" s="21"/>
      <c r="U34" s="21"/>
      <c r="V34" s="21"/>
      <c r="W34" s="89"/>
      <c r="X34" s="109"/>
      <c r="Y34" s="89"/>
      <c r="AB34" s="181"/>
      <c r="AC34" s="181"/>
      <c r="AD34" s="181"/>
      <c r="AE34" s="181"/>
      <c r="AN34" s="181"/>
      <c r="AO34" s="181"/>
      <c r="AP34" s="181"/>
      <c r="AQ34" s="181"/>
      <c r="AR34" s="181"/>
    </row>
    <row r="35" spans="1:44" ht="15" customHeight="1">
      <c r="A35" s="181">
        <v>11000</v>
      </c>
      <c r="B35" s="252">
        <v>810</v>
      </c>
      <c r="C35" s="253">
        <v>920</v>
      </c>
      <c r="D35" s="253">
        <v>980</v>
      </c>
      <c r="E35" s="197">
        <v>0</v>
      </c>
      <c r="F35" s="181"/>
      <c r="G35" s="181"/>
      <c r="H35" s="181"/>
      <c r="I35" s="181"/>
      <c r="J35" s="181"/>
      <c r="K35" s="181"/>
      <c r="L35" s="181"/>
      <c r="M35" s="181"/>
      <c r="O35" s="89" t="s">
        <v>202</v>
      </c>
      <c r="P35" s="109" cm="1">
        <f t="array" ref="P35">INDEX(Q30:AA30,IF(MATCH(P33,Q30:AA30,1)&lt;R35,MATCH(P33,Q30:AA30,1)+1,MATCH(P33,Q30:AA30,1)))</f>
        <v>870</v>
      </c>
      <c r="Q35" s="89" t="s">
        <v>156</v>
      </c>
      <c r="R35" s="104">
        <f>MATCH(MAX(Q30:AA30),Q30:AA30,0)</f>
        <v>11</v>
      </c>
      <c r="T35" s="21"/>
      <c r="U35" s="21"/>
      <c r="V35" s="21"/>
      <c r="W35" s="89"/>
      <c r="X35" s="109"/>
      <c r="Y35" s="89"/>
      <c r="AB35" s="181"/>
      <c r="AC35" s="181"/>
      <c r="AD35" s="181"/>
      <c r="AE35" s="181"/>
      <c r="AN35" s="181"/>
      <c r="AO35" s="181"/>
      <c r="AP35" s="181"/>
      <c r="AQ35" s="181"/>
      <c r="AR35" s="181"/>
    </row>
    <row r="36" spans="1:44" ht="15" customHeight="1">
      <c r="A36" s="181">
        <v>11500</v>
      </c>
      <c r="B36" s="252">
        <v>740</v>
      </c>
      <c r="C36" s="253">
        <v>840</v>
      </c>
      <c r="D36" s="253">
        <v>910</v>
      </c>
      <c r="E36" s="197">
        <v>0</v>
      </c>
      <c r="F36" s="181"/>
      <c r="G36" s="181"/>
      <c r="H36" s="181"/>
      <c r="I36" s="181"/>
      <c r="J36" s="181"/>
      <c r="K36" s="181"/>
      <c r="L36" s="181"/>
      <c r="M36" s="181"/>
      <c r="O36" s="106" t="s">
        <v>158</v>
      </c>
      <c r="P36" s="110">
        <v>1</v>
      </c>
      <c r="Q36" s="21"/>
      <c r="R36" s="21"/>
      <c r="T36" s="21"/>
      <c r="U36" s="21"/>
      <c r="V36" s="21"/>
      <c r="W36" s="106"/>
      <c r="X36" s="110"/>
      <c r="Y36" s="21"/>
      <c r="AB36" s="181"/>
      <c r="AC36" s="181"/>
      <c r="AD36" s="181"/>
      <c r="AE36" s="181"/>
      <c r="AN36" s="181"/>
      <c r="AO36" s="181"/>
      <c r="AP36" s="181"/>
      <c r="AQ36" s="181"/>
      <c r="AR36" s="181"/>
    </row>
    <row r="37" spans="1:44" ht="15" customHeight="1" thickBot="1">
      <c r="A37" s="181">
        <v>12000</v>
      </c>
      <c r="B37" s="258">
        <v>680</v>
      </c>
      <c r="C37" s="259">
        <v>770</v>
      </c>
      <c r="D37" s="259">
        <v>840</v>
      </c>
      <c r="E37" s="197">
        <v>0</v>
      </c>
      <c r="F37" s="181"/>
      <c r="G37" s="181"/>
      <c r="H37" s="181"/>
      <c r="I37" s="181"/>
      <c r="J37" s="181"/>
      <c r="K37" s="181"/>
      <c r="L37" s="181"/>
      <c r="M37" s="181"/>
      <c r="O37" s="89" t="s">
        <v>159</v>
      </c>
      <c r="P37" s="109">
        <f>INDEX(P31:P31,MATCH(P36,P31:P31,1))</f>
        <v>1</v>
      </c>
      <c r="Q37" s="21"/>
      <c r="R37" s="38"/>
      <c r="T37" s="21"/>
      <c r="U37" s="21"/>
      <c r="V37" s="21"/>
      <c r="W37" s="89"/>
      <c r="X37" s="109"/>
      <c r="Y37" s="21"/>
      <c r="AB37" s="181"/>
      <c r="AC37" s="181"/>
      <c r="AD37" s="181"/>
      <c r="AE37" s="181"/>
      <c r="AN37" s="181"/>
      <c r="AO37" s="181"/>
      <c r="AP37" s="181"/>
      <c r="AQ37" s="181"/>
      <c r="AR37" s="181"/>
    </row>
    <row r="38" spans="1:44" ht="15" customHeight="1" thickBot="1">
      <c r="A38" s="181">
        <v>12500</v>
      </c>
      <c r="B38" s="198">
        <v>610</v>
      </c>
      <c r="C38" s="199">
        <v>700</v>
      </c>
      <c r="D38" s="199">
        <v>780</v>
      </c>
      <c r="E38" s="212">
        <v>0</v>
      </c>
      <c r="F38" s="189"/>
      <c r="G38" s="181"/>
      <c r="H38" s="181"/>
      <c r="I38" s="181"/>
      <c r="J38" s="181"/>
      <c r="K38" s="181"/>
      <c r="L38" s="181"/>
      <c r="M38" s="181"/>
      <c r="O38" s="89" t="s">
        <v>160</v>
      </c>
      <c r="P38" s="109" cm="1">
        <f t="array" ref="P38">INDEX(P31:P31,IF(MATCH(P36,P31:P31,1)&lt;R34,MATCH(P36,P31:P31,1)+1,MATCH(P36,P31:P31,1)))</f>
        <v>1</v>
      </c>
      <c r="Q38" s="21"/>
      <c r="R38" s="38"/>
      <c r="T38" s="21"/>
      <c r="U38" s="21"/>
      <c r="V38" s="21"/>
      <c r="W38" s="89"/>
      <c r="X38" s="109"/>
      <c r="Y38" s="21"/>
      <c r="AB38" s="181"/>
      <c r="AC38" s="181"/>
      <c r="AD38" s="181"/>
      <c r="AE38" s="181"/>
      <c r="AN38" s="181"/>
      <c r="AO38" s="181"/>
      <c r="AP38" s="181"/>
      <c r="AQ38" s="181"/>
      <c r="AR38" s="181"/>
    </row>
    <row r="39" spans="1:44" ht="15" customHeight="1">
      <c r="B39" s="182"/>
      <c r="C39" s="183"/>
      <c r="D39" s="181"/>
      <c r="E39" s="181"/>
      <c r="F39" s="181"/>
      <c r="G39" s="115"/>
      <c r="H39" s="115"/>
      <c r="I39" s="115"/>
      <c r="J39" s="189"/>
      <c r="K39" s="189"/>
      <c r="L39" s="189"/>
      <c r="M39" s="189"/>
      <c r="O39" s="108" t="s">
        <v>161</v>
      </c>
      <c r="P39" s="107">
        <f>INDEX(Q31:AA31,MATCH(P36,P31:P31,1),MATCH(P33,Q30:AA30,1))</f>
        <v>6</v>
      </c>
      <c r="Q39" s="21"/>
      <c r="R39" s="38"/>
      <c r="T39" s="21"/>
      <c r="U39" s="21"/>
      <c r="V39" s="21"/>
      <c r="W39" s="108"/>
      <c r="X39" s="107"/>
      <c r="Y39" s="21"/>
      <c r="AB39" s="189"/>
      <c r="AC39" s="189"/>
      <c r="AD39" s="189"/>
      <c r="AE39" s="189"/>
      <c r="AN39" s="189"/>
      <c r="AO39" s="189"/>
      <c r="AP39" s="189"/>
      <c r="AQ39" s="189"/>
      <c r="AR39" s="189"/>
    </row>
    <row r="40" spans="1:44" ht="15" customHeight="1">
      <c r="B40" s="108" t="s">
        <v>157</v>
      </c>
      <c r="C40" s="107">
        <f>C27</f>
        <v>746.56</v>
      </c>
      <c r="D40" s="374" t="s">
        <v>200</v>
      </c>
      <c r="E40" s="374"/>
      <c r="G40" s="21"/>
      <c r="H40" s="21"/>
      <c r="I40" s="21"/>
      <c r="J40" s="182"/>
      <c r="K40" s="183"/>
      <c r="L40" s="181"/>
      <c r="M40" s="181"/>
      <c r="O40" s="108" t="s">
        <v>203</v>
      </c>
      <c r="P40" s="107" cm="1">
        <f t="array" ref="P40">INDEX(Q31:AA31,MATCH(P36,P31:P31,1),IF(MATCH(P33,Q30:AA30,1)&lt;R35,MATCH(P33,Q30:AA30,1)+1,MATCH(P36,P31:P31,1)))</f>
        <v>6.5</v>
      </c>
      <c r="R40" s="38"/>
      <c r="T40" s="21"/>
      <c r="U40" s="21"/>
      <c r="V40" s="21"/>
      <c r="W40" s="108"/>
      <c r="X40" s="107"/>
    </row>
    <row r="41" spans="1:44" ht="15" customHeight="1">
      <c r="B41" s="89" t="s">
        <v>201</v>
      </c>
      <c r="C41" s="109">
        <f>INDEX(B30:E30,MATCH(C40,B30:E30,1))</f>
        <v>700</v>
      </c>
      <c r="D41" s="89" t="s">
        <v>155</v>
      </c>
      <c r="E41" s="104">
        <f>MATCH(MAX(A31:A38),A31:A38,1)</f>
        <v>8</v>
      </c>
      <c r="G41" s="21"/>
      <c r="H41" s="21"/>
      <c r="I41" s="21"/>
      <c r="J41" s="108"/>
      <c r="K41" s="107"/>
      <c r="L41" s="184"/>
      <c r="O41" s="108" t="s">
        <v>162</v>
      </c>
      <c r="P41" s="107" cm="1">
        <f t="array" ref="P41">INDEX(Q31:AA31,IF(MATCH(P36,P31:P31,1)&lt;R34,MATCH(P36,P31:P31,1)+1,MATCH(P36,P31:P31,1)),MATCH(P33,Q30:AA30,1))</f>
        <v>6</v>
      </c>
      <c r="R41" s="38"/>
      <c r="T41" s="21"/>
      <c r="U41" s="21"/>
      <c r="V41" s="21"/>
      <c r="W41" s="108"/>
      <c r="X41" s="107"/>
      <c r="AG41" s="21"/>
      <c r="AH41" s="21"/>
      <c r="AI41" s="21"/>
      <c r="AJ41" s="108"/>
      <c r="AK41" s="107"/>
      <c r="AL41" s="184"/>
    </row>
    <row r="42" spans="1:44" ht="15" customHeight="1">
      <c r="B42" s="89" t="s">
        <v>202</v>
      </c>
      <c r="C42" s="109" cm="1">
        <f t="array" ref="C42">INDEX(B30:E30,IF(MATCH(C40,B30:E30,1)&lt;E42,MATCH(C40,B30:E30,1)+1,MATCH(C40,B30:E30,1)))</f>
        <v>780</v>
      </c>
      <c r="D42" s="89" t="s">
        <v>156</v>
      </c>
      <c r="E42" s="104">
        <f>MATCH(MAX(B30:E30),B30:E30,0)</f>
        <v>4</v>
      </c>
      <c r="G42" s="21"/>
      <c r="H42" s="21"/>
      <c r="I42" s="21"/>
      <c r="J42" s="89"/>
      <c r="K42" s="109"/>
      <c r="L42" s="89"/>
      <c r="M42" s="104"/>
      <c r="O42" s="108" t="s">
        <v>204</v>
      </c>
      <c r="P42" s="107" cm="1">
        <f t="array" ref="P42">INDEX(Q31:AA31,IF(MATCH(P36,P31:P31,1)&lt;R34,MATCH(P36,P31:P31,1)+1,MATCH(P36,P31:P31,1)),IF(MATCH(P33,Q30:AA30,1)&lt;R35,MATCH(P33,Q30:AA30,1)+1,MATCH(P33,Q30:AA30,1)))</f>
        <v>6.5</v>
      </c>
      <c r="T42" s="21"/>
      <c r="U42" s="21"/>
      <c r="V42" s="21"/>
      <c r="W42" s="108"/>
      <c r="X42" s="107"/>
      <c r="AG42" s="21"/>
      <c r="AH42" s="21"/>
      <c r="AI42" s="21"/>
      <c r="AJ42" s="89"/>
      <c r="AK42" s="109"/>
      <c r="AL42" s="89"/>
    </row>
    <row r="43" spans="1:44" ht="15" customHeight="1">
      <c r="B43" s="106" t="s">
        <v>158</v>
      </c>
      <c r="C43" s="110">
        <f>Landing!C11</f>
        <v>11000</v>
      </c>
      <c r="D43" s="21"/>
      <c r="E43" s="21"/>
      <c r="G43" s="21"/>
      <c r="H43" s="21"/>
      <c r="I43" s="21"/>
      <c r="J43" s="89"/>
      <c r="K43" s="109"/>
      <c r="L43" s="89"/>
      <c r="M43" s="104"/>
      <c r="O43" s="89" t="s">
        <v>205</v>
      </c>
      <c r="P43" s="109">
        <f>IFERROR(P39+(P33-P34)*(P40-P39)/(P35-P34),P39)</f>
        <v>6.3491999999999997</v>
      </c>
      <c r="T43" s="21"/>
      <c r="U43" s="21"/>
      <c r="V43" s="21"/>
      <c r="W43" s="89"/>
      <c r="X43" s="109"/>
      <c r="AG43" s="21"/>
      <c r="AH43" s="21"/>
      <c r="AI43" s="21"/>
      <c r="AJ43" s="89"/>
      <c r="AK43" s="109"/>
      <c r="AL43" s="89"/>
    </row>
    <row r="44" spans="1:44" ht="15" customHeight="1">
      <c r="B44" s="89" t="s">
        <v>159</v>
      </c>
      <c r="C44" s="109">
        <f>INDEX(A31:A38,MATCH(C43,A31:A38,1))</f>
        <v>11000</v>
      </c>
      <c r="D44" s="21"/>
      <c r="E44" s="38"/>
      <c r="G44" s="21"/>
      <c r="H44" s="21"/>
      <c r="I44" s="21"/>
      <c r="J44" s="106"/>
      <c r="K44" s="110"/>
      <c r="L44" s="21"/>
      <c r="M44" s="21"/>
      <c r="O44" s="89" t="s">
        <v>206</v>
      </c>
      <c r="P44" s="109">
        <f>IFERROR(P41+(P33-P34)*(P42-P41)/(P35-P34),P41)</f>
        <v>6.3491999999999997</v>
      </c>
      <c r="T44" s="21"/>
      <c r="U44" s="21"/>
      <c r="V44" s="21"/>
      <c r="W44" s="89"/>
      <c r="X44" s="109"/>
      <c r="AB44" s="263"/>
      <c r="AG44" s="21"/>
      <c r="AH44" s="21"/>
      <c r="AI44" s="21"/>
      <c r="AJ44" s="106"/>
      <c r="AK44" s="110"/>
      <c r="AL44" s="21"/>
    </row>
    <row r="45" spans="1:44" ht="15" customHeight="1">
      <c r="B45" s="89" t="s">
        <v>160</v>
      </c>
      <c r="C45" s="109" cm="1">
        <f t="array" ref="C45">INDEX(A31:A38,IF(MATCH(C43,A31:A38,1)&lt;E41,MATCH(C43,A31:A38,1)+1,MATCH(C43,A31:A38,1)))</f>
        <v>11500</v>
      </c>
      <c r="D45" s="21"/>
      <c r="E45" s="38"/>
      <c r="G45" s="21"/>
      <c r="H45" s="21"/>
      <c r="I45" s="21"/>
      <c r="J45" s="89"/>
      <c r="K45" s="109"/>
      <c r="L45" s="21"/>
      <c r="M45" s="38"/>
      <c r="O45" s="108" t="s">
        <v>207</v>
      </c>
      <c r="P45" s="110">
        <f>IFERROR(P43+(P36-P37)*(P44-P43)/(P38-P37),P43)</f>
        <v>6.3491999999999997</v>
      </c>
      <c r="T45" s="21"/>
      <c r="U45" s="21"/>
      <c r="V45" s="21"/>
      <c r="W45" s="108"/>
      <c r="X45" s="107"/>
      <c r="AG45" s="21"/>
      <c r="AH45" s="21"/>
      <c r="AI45" s="21"/>
      <c r="AJ45" s="89"/>
      <c r="AK45" s="109"/>
      <c r="AL45" s="21"/>
    </row>
    <row r="46" spans="1:44" ht="15" customHeight="1">
      <c r="B46" s="108" t="s">
        <v>161</v>
      </c>
      <c r="C46" s="107">
        <f>INDEX(B31:E38,MATCH(C43,A31:A38,1),MATCH(C40,B30:E30,1))</f>
        <v>920</v>
      </c>
      <c r="D46" s="21"/>
      <c r="E46" s="38"/>
      <c r="G46" s="21"/>
      <c r="H46" s="21"/>
      <c r="I46" s="21"/>
      <c r="J46" s="89"/>
      <c r="K46" s="109"/>
      <c r="L46" s="21"/>
      <c r="M46" s="38"/>
      <c r="W46" s="181"/>
      <c r="X46" s="181"/>
      <c r="Y46" s="181"/>
      <c r="AG46" s="21"/>
      <c r="AH46" s="21"/>
      <c r="AI46" s="21"/>
      <c r="AJ46" s="89"/>
      <c r="AK46" s="109"/>
      <c r="AL46" s="21"/>
    </row>
    <row r="47" spans="1:44" ht="15" customHeight="1">
      <c r="B47" s="108" t="s">
        <v>203</v>
      </c>
      <c r="C47" s="107" cm="1">
        <f t="array" ref="C47">INDEX(B31:E38,MATCH(C43,A31:A38,1),IF(MATCH(C40,B30:E30,1)&lt;E42,MATCH(C40,B30:E30,1)+1,MATCH(C43,A31:A38,1)))</f>
        <v>980</v>
      </c>
      <c r="E47" s="38"/>
      <c r="G47" s="21"/>
      <c r="H47" s="21"/>
      <c r="I47" s="21"/>
      <c r="J47" s="108"/>
      <c r="K47" s="107"/>
      <c r="L47" s="21"/>
      <c r="M47" s="38"/>
      <c r="AG47" s="21"/>
      <c r="AH47" s="21"/>
      <c r="AI47" s="21"/>
      <c r="AJ47" s="108"/>
      <c r="AK47" s="107"/>
      <c r="AL47" s="21"/>
    </row>
    <row r="48" spans="1:44" ht="15" customHeight="1">
      <c r="B48" s="108" t="s">
        <v>162</v>
      </c>
      <c r="C48" s="107" cm="1">
        <f t="array" ref="C48">INDEX(B31:E38,IF(MATCH(C43,A31:A38,1)&lt;E41,MATCH(C43,A31:A38,1)+1,MATCH(C43,A31:A38,1)),MATCH(C40,B30:E30,1))</f>
        <v>840</v>
      </c>
      <c r="E48" s="38"/>
      <c r="G48" s="21"/>
      <c r="H48" s="21"/>
      <c r="I48" s="21"/>
      <c r="J48" s="108"/>
      <c r="K48" s="107"/>
      <c r="M48" s="38"/>
      <c r="AG48" s="21"/>
      <c r="AH48" s="21"/>
      <c r="AI48" s="21"/>
      <c r="AJ48" s="108"/>
      <c r="AK48" s="107"/>
    </row>
    <row r="49" spans="2:38" ht="15" customHeight="1">
      <c r="B49" s="108" t="s">
        <v>204</v>
      </c>
      <c r="C49" s="107" cm="1">
        <f t="array" ref="C49">INDEX(B31:E38,IF(MATCH(C43,A31:A38,1)&lt;E41,MATCH(C43,A31:A38,1)+1,MATCH(C43,A31:A38,1)),IF(MATCH(C40,B30:E30,1)&lt;E42,MATCH(C40,B30:E30,1)+1,MATCH(C40,B30:E30,1)))</f>
        <v>910</v>
      </c>
      <c r="G49" s="21"/>
      <c r="H49" s="21"/>
      <c r="I49" s="21"/>
      <c r="J49" s="108"/>
      <c r="K49" s="107"/>
      <c r="M49" s="38"/>
      <c r="AG49" s="21"/>
      <c r="AH49" s="21"/>
      <c r="AI49" s="21"/>
      <c r="AJ49" s="108"/>
      <c r="AK49" s="107"/>
    </row>
    <row r="50" spans="2:38" ht="15" customHeight="1">
      <c r="B50" s="89" t="s">
        <v>205</v>
      </c>
      <c r="C50" s="109">
        <f>IFERROR(C46+(C40-C41)*(C47-C46)/(C42-C41),C46)</f>
        <v>954.92</v>
      </c>
      <c r="G50" s="21"/>
      <c r="H50" s="21"/>
      <c r="I50" s="21"/>
      <c r="J50" s="108"/>
      <c r="K50" s="107"/>
      <c r="AG50" s="21"/>
      <c r="AH50" s="21"/>
      <c r="AI50" s="21"/>
      <c r="AJ50" s="108"/>
      <c r="AK50" s="107"/>
    </row>
    <row r="51" spans="2:38" ht="15" customHeight="1">
      <c r="B51" s="89" t="s">
        <v>206</v>
      </c>
      <c r="C51" s="109">
        <f>IFERROR(C48+(C40-C41)*(C49-C48)/(C42-C41),C48)</f>
        <v>880.74</v>
      </c>
      <c r="G51" s="21"/>
      <c r="H51" s="21"/>
      <c r="I51" s="21"/>
      <c r="J51" s="89"/>
      <c r="K51" s="109"/>
      <c r="AG51" s="21"/>
      <c r="AH51" s="21"/>
      <c r="AI51" s="21"/>
      <c r="AJ51" s="89"/>
      <c r="AK51" s="109"/>
    </row>
    <row r="52" spans="2:38" ht="15" customHeight="1">
      <c r="B52" s="108" t="s">
        <v>207</v>
      </c>
      <c r="C52" s="261">
        <f>IFERROR(C50+(C43-C44)*(C51-C50)/(C45-C44),C50)</f>
        <v>954.92</v>
      </c>
      <c r="G52" s="21"/>
      <c r="H52" s="21"/>
      <c r="I52" s="21"/>
      <c r="J52" s="89"/>
      <c r="K52" s="109"/>
      <c r="AG52" s="21"/>
      <c r="AH52" s="21"/>
      <c r="AI52" s="21"/>
      <c r="AJ52" s="89"/>
      <c r="AK52" s="109"/>
    </row>
    <row r="53" spans="2:38" ht="15" customHeight="1">
      <c r="B53" t="s">
        <v>219</v>
      </c>
      <c r="C53" s="262">
        <f>C52-100</f>
        <v>854.92</v>
      </c>
      <c r="J53" s="108"/>
      <c r="K53" s="107"/>
      <c r="AG53" s="21"/>
      <c r="AH53" s="21"/>
      <c r="AI53" s="21"/>
      <c r="AJ53" s="108"/>
      <c r="AK53" s="107"/>
    </row>
    <row r="54" spans="2:38" ht="15" customHeight="1">
      <c r="J54" s="181"/>
      <c r="K54" s="181"/>
      <c r="L54" s="181"/>
      <c r="M54" s="181"/>
      <c r="AJ54" s="181"/>
      <c r="AK54" s="181"/>
      <c r="AL54" s="181"/>
    </row>
  </sheetData>
  <sheetProtection algorithmName="SHA-512" hashValue="Zgx6mHffXJlVnzN/byXpJwtvd3DxIXYTLJaHAOb4LX6RyP/EzRq76dAmx6lQjEPO/8g9Oymij4m1b7Z3F3Y/RQ==" saltValue="ZFxZAnlkJcCoTllf6ciUFA==" spinCount="100000" sheet="1" objects="1" scenarios="1"/>
  <mergeCells count="9">
    <mergeCell ref="AR15:AS15"/>
    <mergeCell ref="AZ15:BA15"/>
    <mergeCell ref="B29:G29"/>
    <mergeCell ref="O29:T29"/>
    <mergeCell ref="D40:E40"/>
    <mergeCell ref="Q33:R33"/>
    <mergeCell ref="D15:E15"/>
    <mergeCell ref="B3:L3"/>
    <mergeCell ref="B4:F4"/>
  </mergeCells>
  <conditionalFormatting sqref="B31:D37">
    <cfRule type="colorScale" priority="313">
      <colorScale>
        <cfvo type="min"/>
        <cfvo type="max"/>
        <color rgb="FFFCFCFF"/>
        <color rgb="FFF8696B"/>
      </colorScale>
    </cfRule>
  </conditionalFormatting>
  <conditionalFormatting sqref="B6:E12">
    <cfRule type="colorScale" priority="6">
      <colorScale>
        <cfvo type="min"/>
        <cfvo type="max"/>
        <color rgb="FFFCFCFF"/>
        <color rgb="FFF8696B"/>
      </colorScale>
    </cfRule>
  </conditionalFormatting>
  <conditionalFormatting sqref="J6:M13">
    <cfRule type="colorScale" priority="7">
      <colorScale>
        <cfvo type="min"/>
        <cfvo type="max"/>
        <color rgb="FFFCFCFF"/>
        <color rgb="FFF8696B"/>
      </colorScale>
    </cfRule>
  </conditionalFormatting>
  <conditionalFormatting sqref="Q31:Z31">
    <cfRule type="colorScale" priority="287">
      <colorScale>
        <cfvo type="min"/>
        <cfvo type="max"/>
        <color rgb="FFFCFCFF"/>
        <color rgb="FFF8696B"/>
      </colorScale>
    </cfRule>
  </conditionalFormatting>
  <pageMargins left="0.25" right="0.25" top="0.75" bottom="0.75" header="0" footer="0"/>
  <pageSetup paperSize="9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E2F9C-A91B-41ED-9FB5-7F11D6389268}">
  <sheetPr codeName="Blad15">
    <pageSetUpPr fitToPage="1"/>
  </sheetPr>
  <dimension ref="A1:BC60"/>
  <sheetViews>
    <sheetView topLeftCell="A37" workbookViewId="0">
      <selection activeCell="C56" sqref="C56"/>
    </sheetView>
  </sheetViews>
  <sheetFormatPr defaultColWidth="14.44140625" defaultRowHeight="15" customHeight="1"/>
  <cols>
    <col min="1" max="12" width="9.109375" customWidth="1"/>
    <col min="13" max="13" width="5" customWidth="1"/>
    <col min="14" max="58" width="9.109375" customWidth="1"/>
  </cols>
  <sheetData>
    <row r="1" spans="1:55" ht="14.25" customHeight="1">
      <c r="A1" s="1"/>
      <c r="B1" s="19" t="s">
        <v>194</v>
      </c>
      <c r="C1" s="108" t="s">
        <v>157</v>
      </c>
      <c r="D1" s="130">
        <f>IF('Take-off'!$C$9="",'Take-off'!$C$16,MAX(0,'Take-off'!$C$16+30*(1013-'Take-off'!$C$9)))+35</f>
        <v>1212</v>
      </c>
      <c r="F1" s="55" t="s">
        <v>220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31"/>
      <c r="AW1" s="1"/>
      <c r="AX1" s="1"/>
      <c r="AY1" s="1"/>
      <c r="AZ1" s="1"/>
      <c r="BA1" s="1"/>
      <c r="BB1" s="1"/>
      <c r="BC1" s="1"/>
    </row>
    <row r="2" spans="1:55" ht="14.25" customHeight="1">
      <c r="A2" s="1"/>
      <c r="B2" s="19" t="s">
        <v>196</v>
      </c>
      <c r="C2" s="106" t="s">
        <v>158</v>
      </c>
      <c r="D2" s="130">
        <f>IF('Take-off'!$C$13='Dropdown lists'!$B$30, 'Take-off'!$C$8+10, 'Take-off'!$C$8)</f>
        <v>0</v>
      </c>
      <c r="E2" s="132" t="s">
        <v>213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31"/>
      <c r="AW2" s="1"/>
      <c r="AX2" s="1"/>
      <c r="AY2" s="1"/>
      <c r="AZ2" s="1"/>
      <c r="BA2" s="1"/>
      <c r="BB2" s="1"/>
      <c r="BC2" s="1"/>
    </row>
    <row r="3" spans="1:55" ht="14.25" customHeight="1">
      <c r="A3" s="1"/>
      <c r="B3" s="387" t="s">
        <v>218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213"/>
      <c r="N3" s="1"/>
      <c r="O3" s="387" t="s">
        <v>221</v>
      </c>
      <c r="P3" s="387"/>
      <c r="Q3" s="387"/>
      <c r="R3" s="387"/>
      <c r="S3" s="387"/>
      <c r="T3" s="387"/>
      <c r="U3" s="387"/>
      <c r="V3" s="387"/>
      <c r="W3" s="387"/>
      <c r="X3" s="387"/>
      <c r="Y3" s="387"/>
      <c r="Z3" s="1"/>
      <c r="AA3" s="1"/>
      <c r="AB3" s="387" t="s">
        <v>222</v>
      </c>
      <c r="AC3" s="387"/>
      <c r="AD3" s="387"/>
      <c r="AE3" s="387"/>
      <c r="AF3" s="387"/>
      <c r="AG3" s="387"/>
      <c r="AH3" s="387"/>
      <c r="AI3" s="387"/>
      <c r="AJ3" s="387"/>
      <c r="AK3" s="387"/>
      <c r="AL3" s="387"/>
      <c r="AM3" s="1"/>
      <c r="AN3" s="1"/>
      <c r="AO3" s="1"/>
      <c r="AP3" s="1"/>
      <c r="AQ3" s="1"/>
      <c r="AR3" s="1"/>
      <c r="AS3" s="1"/>
      <c r="AT3" s="1"/>
      <c r="AU3" s="1"/>
      <c r="AV3" s="131"/>
      <c r="AW3" s="1"/>
      <c r="AX3" s="1"/>
      <c r="AY3" s="1"/>
      <c r="AZ3" s="1"/>
      <c r="BA3" s="1"/>
      <c r="BB3" s="1"/>
      <c r="BC3" s="1"/>
    </row>
    <row r="4" spans="1:55" ht="15" customHeight="1">
      <c r="A4" s="181"/>
      <c r="B4" s="383" t="s">
        <v>216</v>
      </c>
      <c r="C4" s="383"/>
      <c r="D4" s="383"/>
      <c r="E4" s="383"/>
      <c r="F4" s="383"/>
      <c r="G4" s="188"/>
      <c r="H4" s="188"/>
      <c r="I4" s="188"/>
      <c r="J4" s="188"/>
      <c r="K4" s="188"/>
      <c r="L4" s="188"/>
      <c r="M4" s="188"/>
      <c r="N4" s="181"/>
      <c r="O4" s="383" t="s">
        <v>216</v>
      </c>
      <c r="P4" s="383"/>
      <c r="Q4" s="383"/>
      <c r="R4" s="383"/>
      <c r="S4" s="383"/>
      <c r="T4" s="188"/>
      <c r="U4" s="188"/>
      <c r="V4" s="188"/>
      <c r="W4" s="188"/>
      <c r="X4" s="188"/>
      <c r="Y4" s="188"/>
      <c r="Z4" s="108"/>
      <c r="AA4" s="181"/>
      <c r="AB4" s="383" t="s">
        <v>216</v>
      </c>
      <c r="AC4" s="383"/>
      <c r="AD4" s="383"/>
      <c r="AE4" s="383"/>
      <c r="AF4" s="383"/>
      <c r="AG4" s="188"/>
      <c r="AH4" s="188"/>
      <c r="AI4" s="188"/>
      <c r="AJ4" s="188"/>
      <c r="AK4" s="188"/>
      <c r="AL4" s="188"/>
      <c r="AM4" s="21"/>
      <c r="AN4" s="21"/>
      <c r="AO4" s="21"/>
      <c r="AP4" s="108"/>
      <c r="AQ4" s="107"/>
      <c r="AU4" s="21"/>
      <c r="AV4" s="21"/>
      <c r="AW4" s="21"/>
      <c r="AX4" s="108"/>
      <c r="AY4" s="107"/>
    </row>
    <row r="5" spans="1:55" ht="15" customHeight="1">
      <c r="A5" s="181" t="s">
        <v>217</v>
      </c>
      <c r="B5" s="191">
        <v>0</v>
      </c>
      <c r="C5" s="192">
        <v>1000</v>
      </c>
      <c r="D5" s="193">
        <v>2000</v>
      </c>
      <c r="E5" s="193">
        <v>3000</v>
      </c>
      <c r="F5" s="194">
        <v>4000</v>
      </c>
      <c r="G5" s="182"/>
      <c r="H5" s="183"/>
      <c r="I5" s="181"/>
      <c r="J5" s="182"/>
      <c r="K5" s="183"/>
      <c r="L5" s="181"/>
      <c r="M5" s="181"/>
      <c r="N5" s="181" t="s">
        <v>217</v>
      </c>
      <c r="O5" s="191">
        <v>0</v>
      </c>
      <c r="P5" s="192">
        <v>1000</v>
      </c>
      <c r="Q5" s="193">
        <v>2000</v>
      </c>
      <c r="R5" s="193">
        <v>3000</v>
      </c>
      <c r="S5" s="194">
        <v>4000</v>
      </c>
      <c r="T5" s="182"/>
      <c r="U5" s="183"/>
      <c r="V5" s="181"/>
      <c r="W5" s="182"/>
      <c r="X5" s="183"/>
      <c r="Y5" s="181"/>
      <c r="AA5" s="181" t="s">
        <v>217</v>
      </c>
      <c r="AB5" s="191">
        <v>0</v>
      </c>
      <c r="AC5" s="192">
        <v>1000</v>
      </c>
      <c r="AD5" s="193">
        <v>2000</v>
      </c>
      <c r="AE5" s="193">
        <v>3000</v>
      </c>
      <c r="AF5" s="194">
        <v>4000</v>
      </c>
      <c r="AG5" s="182"/>
      <c r="AH5" s="183"/>
      <c r="AI5" s="181"/>
      <c r="AJ5" s="182"/>
      <c r="AK5" s="183"/>
      <c r="AL5" s="181"/>
      <c r="AM5" s="108"/>
      <c r="AN5" s="107"/>
      <c r="AR5" s="21"/>
      <c r="AS5" s="21"/>
      <c r="AT5" s="21"/>
      <c r="AU5" s="108"/>
      <c r="AV5" s="107"/>
    </row>
    <row r="6" spans="1:55" ht="15" customHeight="1">
      <c r="A6" s="181">
        <v>-30</v>
      </c>
      <c r="B6" s="249">
        <v>5.7</v>
      </c>
      <c r="C6" s="250">
        <v>5.4</v>
      </c>
      <c r="D6" s="251">
        <v>5.3</v>
      </c>
      <c r="E6" s="251">
        <v>5.0999999999999996</v>
      </c>
      <c r="F6" s="194">
        <v>0</v>
      </c>
      <c r="G6" s="182"/>
      <c r="H6" s="107"/>
      <c r="I6" s="181"/>
      <c r="J6" s="182"/>
      <c r="K6" s="183"/>
      <c r="L6" s="181"/>
      <c r="M6" s="181"/>
      <c r="N6" s="181">
        <v>-30</v>
      </c>
      <c r="O6" s="243"/>
      <c r="P6" s="244"/>
      <c r="Q6" s="245"/>
      <c r="R6" s="245"/>
      <c r="S6" s="194">
        <v>99999</v>
      </c>
      <c r="T6" s="182"/>
      <c r="U6" s="107"/>
      <c r="V6" s="181"/>
      <c r="W6" s="182"/>
      <c r="X6" s="183"/>
      <c r="Y6" s="181"/>
      <c r="AA6" s="181">
        <v>-30</v>
      </c>
      <c r="AB6" s="243">
        <v>4.5</v>
      </c>
      <c r="AC6" s="244">
        <v>4.4000000000000004</v>
      </c>
      <c r="AD6" s="245">
        <v>4.2</v>
      </c>
      <c r="AE6" s="245">
        <v>4</v>
      </c>
      <c r="AF6" s="194">
        <v>99999</v>
      </c>
      <c r="AG6" s="182"/>
      <c r="AH6" s="107"/>
      <c r="AI6" s="181"/>
      <c r="AJ6" s="182"/>
      <c r="AK6" s="183"/>
      <c r="AL6" s="181"/>
      <c r="AM6" s="108"/>
      <c r="AN6" s="107"/>
      <c r="AR6" s="21"/>
      <c r="AS6" s="21"/>
      <c r="AT6" s="21"/>
      <c r="AU6" s="108"/>
      <c r="AV6" s="107"/>
    </row>
    <row r="7" spans="1:55" ht="15" customHeight="1">
      <c r="A7" s="181">
        <v>-20</v>
      </c>
      <c r="B7" s="252">
        <v>5.7</v>
      </c>
      <c r="C7" s="253">
        <v>5.4</v>
      </c>
      <c r="D7" s="254">
        <v>5.3</v>
      </c>
      <c r="E7" s="254">
        <v>5.0999999999999996</v>
      </c>
      <c r="F7" s="197">
        <v>0</v>
      </c>
      <c r="G7" s="182"/>
      <c r="H7" s="107"/>
      <c r="J7" s="108"/>
      <c r="K7" s="107"/>
      <c r="N7" s="181">
        <v>-20</v>
      </c>
      <c r="O7" s="246"/>
      <c r="P7" s="247"/>
      <c r="Q7" s="248"/>
      <c r="R7" s="248"/>
      <c r="S7" s="197">
        <v>99999</v>
      </c>
      <c r="T7" s="182"/>
      <c r="U7" s="107"/>
      <c r="W7" s="108"/>
      <c r="X7" s="107"/>
      <c r="AA7" s="181">
        <v>-20</v>
      </c>
      <c r="AB7" s="246">
        <v>4.5</v>
      </c>
      <c r="AC7" s="247">
        <v>4.4000000000000004</v>
      </c>
      <c r="AD7" s="248">
        <v>4.2</v>
      </c>
      <c r="AE7" s="248">
        <v>4</v>
      </c>
      <c r="AF7" s="197">
        <v>99999</v>
      </c>
      <c r="AG7" s="182"/>
      <c r="AH7" s="107"/>
      <c r="AJ7" s="108"/>
      <c r="AK7" s="107"/>
      <c r="AM7" s="108"/>
      <c r="AN7" s="107"/>
      <c r="AR7" s="21"/>
      <c r="AS7" s="21"/>
      <c r="AT7" s="21"/>
      <c r="AU7" s="108"/>
      <c r="AV7" s="107"/>
    </row>
    <row r="8" spans="1:55" ht="15" customHeight="1">
      <c r="A8" s="181">
        <v>-10</v>
      </c>
      <c r="B8" s="252">
        <v>5.6</v>
      </c>
      <c r="C8" s="253">
        <v>5.3</v>
      </c>
      <c r="D8" s="254">
        <v>5.0999999999999996</v>
      </c>
      <c r="E8" s="254">
        <v>4.9000000000000004</v>
      </c>
      <c r="F8" s="197">
        <v>0</v>
      </c>
      <c r="G8" s="182"/>
      <c r="H8" s="107"/>
      <c r="J8" s="108"/>
      <c r="K8" s="107"/>
      <c r="N8" s="181">
        <v>-10</v>
      </c>
      <c r="O8" s="246"/>
      <c r="P8" s="247"/>
      <c r="Q8" s="248"/>
      <c r="R8" s="248"/>
      <c r="S8" s="197">
        <v>99999</v>
      </c>
      <c r="T8" s="182"/>
      <c r="U8" s="107"/>
      <c r="W8" s="108"/>
      <c r="X8" s="107"/>
      <c r="AA8" s="181">
        <v>-10</v>
      </c>
      <c r="AB8" s="246">
        <v>4.4000000000000004</v>
      </c>
      <c r="AC8" s="247">
        <v>4.2</v>
      </c>
      <c r="AD8" s="248">
        <v>4</v>
      </c>
      <c r="AE8" s="248">
        <v>3.8</v>
      </c>
      <c r="AF8" s="197">
        <v>99999</v>
      </c>
      <c r="AG8" s="182"/>
      <c r="AH8" s="107"/>
      <c r="AJ8" s="108"/>
      <c r="AK8" s="107"/>
      <c r="AM8" s="108"/>
      <c r="AN8" s="107"/>
      <c r="AR8" s="21"/>
      <c r="AS8" s="21"/>
      <c r="AT8" s="21"/>
      <c r="AU8" s="108"/>
      <c r="AV8" s="107"/>
    </row>
    <row r="9" spans="1:55" ht="15" customHeight="1">
      <c r="A9" s="181">
        <v>0</v>
      </c>
      <c r="B9" s="252">
        <v>5.35</v>
      </c>
      <c r="C9" s="253">
        <v>5.15</v>
      </c>
      <c r="D9" s="254">
        <v>4.9000000000000004</v>
      </c>
      <c r="E9" s="254">
        <v>4.7</v>
      </c>
      <c r="F9" s="197">
        <v>0</v>
      </c>
      <c r="G9" s="182"/>
      <c r="H9" s="107"/>
      <c r="J9" s="108"/>
      <c r="K9" s="107"/>
      <c r="N9" s="181">
        <v>0</v>
      </c>
      <c r="O9" s="246"/>
      <c r="P9" s="247"/>
      <c r="Q9" s="248"/>
      <c r="R9" s="248"/>
      <c r="S9" s="197">
        <v>99999</v>
      </c>
      <c r="T9" s="182"/>
      <c r="U9" s="107"/>
      <c r="W9" s="108"/>
      <c r="X9" s="107"/>
      <c r="AA9" s="181">
        <v>0</v>
      </c>
      <c r="AB9" s="246">
        <v>4.2</v>
      </c>
      <c r="AC9" s="247">
        <v>4</v>
      </c>
      <c r="AD9" s="248">
        <v>3.75</v>
      </c>
      <c r="AE9" s="248">
        <v>3.5</v>
      </c>
      <c r="AF9" s="197">
        <v>99999</v>
      </c>
      <c r="AG9" s="182"/>
      <c r="AH9" s="107"/>
      <c r="AJ9" s="108"/>
      <c r="AK9" s="107"/>
      <c r="AM9" s="108"/>
      <c r="AN9" s="107"/>
      <c r="AR9" s="21"/>
      <c r="AS9" s="21"/>
      <c r="AT9" s="21"/>
      <c r="AU9" s="108"/>
      <c r="AV9" s="107"/>
    </row>
    <row r="10" spans="1:55" ht="15" customHeight="1">
      <c r="A10" s="181">
        <v>10</v>
      </c>
      <c r="B10" s="252">
        <v>5.0999999999999996</v>
      </c>
      <c r="C10" s="253">
        <v>4.9000000000000004</v>
      </c>
      <c r="D10" s="254">
        <v>4.7</v>
      </c>
      <c r="E10" s="254">
        <v>4.4000000000000004</v>
      </c>
      <c r="F10" s="197">
        <v>0</v>
      </c>
      <c r="G10" s="182"/>
      <c r="H10" s="107"/>
      <c r="J10" s="108"/>
      <c r="K10" s="107"/>
      <c r="N10" s="181">
        <v>10</v>
      </c>
      <c r="O10" s="246"/>
      <c r="P10" s="247"/>
      <c r="Q10" s="248"/>
      <c r="R10" s="248"/>
      <c r="S10" s="197">
        <v>99999</v>
      </c>
      <c r="T10" s="182"/>
      <c r="U10" s="107"/>
      <c r="W10" s="108"/>
      <c r="X10" s="107"/>
      <c r="AA10" s="181">
        <v>10</v>
      </c>
      <c r="AB10" s="246">
        <v>4</v>
      </c>
      <c r="AC10" s="247">
        <v>3.8</v>
      </c>
      <c r="AD10" s="248">
        <v>3.55</v>
      </c>
      <c r="AE10" s="248">
        <v>3.25</v>
      </c>
      <c r="AF10" s="197">
        <v>99999</v>
      </c>
      <c r="AG10" s="182"/>
      <c r="AH10" s="107"/>
      <c r="AJ10" s="108"/>
      <c r="AK10" s="107"/>
      <c r="AM10" s="108"/>
      <c r="AN10" s="107"/>
      <c r="AR10" s="21"/>
      <c r="AS10" s="21"/>
      <c r="AT10" s="21"/>
      <c r="AU10" s="108"/>
      <c r="AV10" s="107"/>
    </row>
    <row r="11" spans="1:55" ht="15" customHeight="1">
      <c r="A11" s="181">
        <v>20</v>
      </c>
      <c r="B11" s="252">
        <v>4.9000000000000004</v>
      </c>
      <c r="C11" s="253">
        <v>4.7</v>
      </c>
      <c r="D11" s="254">
        <v>4.5</v>
      </c>
      <c r="E11" s="254">
        <v>4.0999999999999996</v>
      </c>
      <c r="F11" s="197">
        <v>0</v>
      </c>
      <c r="G11" s="182"/>
      <c r="H11" s="107"/>
      <c r="J11" s="108"/>
      <c r="K11" s="107"/>
      <c r="N11" s="181">
        <v>20</v>
      </c>
      <c r="O11" s="246"/>
      <c r="P11" s="247"/>
      <c r="Q11" s="248"/>
      <c r="R11" s="248"/>
      <c r="S11" s="197">
        <v>99999</v>
      </c>
      <c r="T11" s="182"/>
      <c r="U11" s="107"/>
      <c r="W11" s="108"/>
      <c r="X11" s="107"/>
      <c r="AA11" s="181">
        <v>20</v>
      </c>
      <c r="AB11" s="246">
        <v>3.8</v>
      </c>
      <c r="AC11" s="247">
        <v>3.5</v>
      </c>
      <c r="AD11" s="248">
        <v>3.3</v>
      </c>
      <c r="AE11" s="248">
        <v>2.9</v>
      </c>
      <c r="AF11" s="197">
        <v>99999</v>
      </c>
      <c r="AG11" s="182"/>
      <c r="AH11" s="107"/>
      <c r="AJ11" s="108"/>
      <c r="AK11" s="107"/>
      <c r="AM11" s="108"/>
      <c r="AN11" s="107"/>
      <c r="AR11" s="21"/>
      <c r="AS11" s="21"/>
      <c r="AT11" s="21"/>
      <c r="AU11" s="108"/>
      <c r="AV11" s="107"/>
    </row>
    <row r="12" spans="1:55" ht="15" customHeight="1">
      <c r="A12" s="181">
        <v>30</v>
      </c>
      <c r="B12" s="252">
        <v>4.5999999999999996</v>
      </c>
      <c r="C12" s="253">
        <v>4.3</v>
      </c>
      <c r="D12" s="254">
        <v>3.9</v>
      </c>
      <c r="E12" s="254">
        <v>3.4</v>
      </c>
      <c r="F12" s="197">
        <v>0</v>
      </c>
      <c r="G12" s="182"/>
      <c r="H12" s="107"/>
      <c r="J12" s="108"/>
      <c r="K12" s="107"/>
      <c r="N12" s="181"/>
      <c r="O12" s="246"/>
      <c r="P12" s="247"/>
      <c r="Q12" s="248"/>
      <c r="R12" s="248"/>
      <c r="S12" s="197"/>
      <c r="T12" s="182"/>
      <c r="U12" s="107"/>
      <c r="W12" s="108"/>
      <c r="X12" s="107"/>
      <c r="AA12" s="181">
        <v>30</v>
      </c>
      <c r="AB12" s="246">
        <v>3.55</v>
      </c>
      <c r="AC12" s="247">
        <v>3.1</v>
      </c>
      <c r="AD12" s="248">
        <v>2.7</v>
      </c>
      <c r="AE12" s="248">
        <v>2.2000000000000002</v>
      </c>
      <c r="AF12" s="197">
        <v>99999</v>
      </c>
      <c r="AG12" s="182"/>
      <c r="AH12" s="107"/>
      <c r="AJ12" s="108"/>
      <c r="AK12" s="107"/>
      <c r="AM12" s="108"/>
      <c r="AN12" s="107"/>
      <c r="AR12" s="21"/>
      <c r="AS12" s="21"/>
      <c r="AT12" s="21"/>
      <c r="AU12" s="108"/>
      <c r="AV12" s="107"/>
    </row>
    <row r="13" spans="1:55" ht="15" customHeight="1">
      <c r="A13" s="181">
        <v>40</v>
      </c>
      <c r="B13" s="252">
        <v>3.9</v>
      </c>
      <c r="C13" s="253">
        <v>3.5</v>
      </c>
      <c r="D13" s="254">
        <v>3.1</v>
      </c>
      <c r="E13" s="254">
        <v>2.6</v>
      </c>
      <c r="F13" s="197">
        <v>0</v>
      </c>
      <c r="G13" s="182"/>
      <c r="H13" s="107"/>
      <c r="J13" s="108"/>
      <c r="K13" s="107"/>
      <c r="N13" s="181">
        <v>30</v>
      </c>
      <c r="O13" s="246"/>
      <c r="P13" s="247"/>
      <c r="Q13" s="248"/>
      <c r="R13" s="248"/>
      <c r="S13" s="197">
        <v>99999</v>
      </c>
      <c r="T13" s="182"/>
      <c r="U13" s="107"/>
      <c r="W13" s="108"/>
      <c r="X13" s="107"/>
      <c r="AA13" s="181">
        <v>40</v>
      </c>
      <c r="AB13" s="246">
        <v>2.8</v>
      </c>
      <c r="AC13" s="247">
        <v>2.4</v>
      </c>
      <c r="AD13" s="248">
        <v>1.9</v>
      </c>
      <c r="AE13" s="248">
        <v>1.4</v>
      </c>
      <c r="AF13" s="197">
        <v>99999</v>
      </c>
      <c r="AG13" s="182"/>
      <c r="AH13" s="107"/>
      <c r="AJ13" s="108"/>
      <c r="AK13" s="107"/>
      <c r="AM13" s="108"/>
      <c r="AN13" s="107"/>
      <c r="AR13" s="21"/>
      <c r="AS13" s="21"/>
      <c r="AT13" s="21"/>
      <c r="AU13" s="108"/>
      <c r="AV13" s="107"/>
    </row>
    <row r="14" spans="1:55" ht="15" customHeight="1">
      <c r="A14" s="181">
        <v>45</v>
      </c>
      <c r="B14" s="198">
        <v>0</v>
      </c>
      <c r="C14" s="199">
        <v>0</v>
      </c>
      <c r="D14" s="199">
        <v>0</v>
      </c>
      <c r="E14" s="199">
        <v>0</v>
      </c>
      <c r="F14" s="201">
        <v>0</v>
      </c>
      <c r="G14" s="182"/>
      <c r="H14" s="107"/>
      <c r="J14" s="108"/>
      <c r="K14" s="107"/>
      <c r="N14" s="181">
        <v>35</v>
      </c>
      <c r="O14" s="198">
        <v>99999</v>
      </c>
      <c r="P14" s="199">
        <v>99999</v>
      </c>
      <c r="Q14" s="199">
        <v>99999</v>
      </c>
      <c r="R14" s="199">
        <v>99999</v>
      </c>
      <c r="S14" s="201">
        <v>99999</v>
      </c>
      <c r="T14" s="182"/>
      <c r="U14" s="107"/>
      <c r="W14" s="108"/>
      <c r="X14" s="107"/>
      <c r="AA14" s="181">
        <v>45</v>
      </c>
      <c r="AB14" s="198">
        <v>99999</v>
      </c>
      <c r="AC14" s="199">
        <v>99999</v>
      </c>
      <c r="AD14" s="199">
        <v>99999</v>
      </c>
      <c r="AE14" s="199">
        <v>99999</v>
      </c>
      <c r="AF14" s="201">
        <v>99999</v>
      </c>
      <c r="AG14" s="182"/>
      <c r="AH14" s="107"/>
      <c r="AJ14" s="108"/>
      <c r="AK14" s="107"/>
      <c r="AM14" s="108"/>
      <c r="AN14" s="107"/>
      <c r="AR14" s="21"/>
      <c r="AS14" s="21"/>
      <c r="AT14" s="21"/>
      <c r="AU14" s="108"/>
      <c r="AV14" s="107"/>
    </row>
    <row r="15" spans="1:55" ht="15" customHeight="1">
      <c r="B15" s="182"/>
      <c r="C15" s="183"/>
      <c r="D15" s="181"/>
      <c r="E15" s="181"/>
      <c r="F15" s="181"/>
      <c r="G15" s="115"/>
      <c r="H15" s="115"/>
      <c r="I15" s="115"/>
      <c r="J15" s="108"/>
      <c r="K15" s="107"/>
      <c r="O15" s="182"/>
      <c r="P15" s="183"/>
      <c r="Q15" s="181"/>
      <c r="R15" s="181"/>
      <c r="S15" s="181"/>
      <c r="T15" s="115"/>
      <c r="U15" s="115"/>
      <c r="V15" s="115"/>
      <c r="W15" s="108"/>
      <c r="X15" s="107"/>
      <c r="Z15" s="108"/>
      <c r="AB15" s="182"/>
      <c r="AC15" s="183"/>
      <c r="AD15" s="181"/>
      <c r="AE15" s="181"/>
      <c r="AF15" s="181"/>
      <c r="AG15" s="115"/>
      <c r="AH15" s="115"/>
      <c r="AI15" s="115"/>
      <c r="AJ15" s="108"/>
      <c r="AK15" s="107"/>
      <c r="AM15" s="21"/>
      <c r="AN15" s="21"/>
      <c r="AO15" s="21"/>
      <c r="AP15" s="108"/>
      <c r="AQ15" s="107"/>
      <c r="AU15" s="21"/>
      <c r="AV15" s="21"/>
      <c r="AW15" s="21"/>
      <c r="AX15" s="108"/>
      <c r="AY15" s="107"/>
    </row>
    <row r="16" spans="1:55" ht="15" customHeight="1">
      <c r="B16" s="108" t="s">
        <v>157</v>
      </c>
      <c r="C16" s="107">
        <f>D1</f>
        <v>1212</v>
      </c>
      <c r="D16" s="374" t="s">
        <v>200</v>
      </c>
      <c r="E16" s="321"/>
      <c r="G16" s="21"/>
      <c r="H16" s="21"/>
      <c r="I16" s="21"/>
      <c r="J16" s="108"/>
      <c r="K16" s="107"/>
      <c r="L16" s="184"/>
      <c r="O16" s="108" t="s">
        <v>157</v>
      </c>
      <c r="P16" s="107">
        <f>D1</f>
        <v>1212</v>
      </c>
      <c r="Q16" s="374" t="s">
        <v>200</v>
      </c>
      <c r="R16" s="321"/>
      <c r="T16" s="21"/>
      <c r="U16" s="21"/>
      <c r="V16" s="21"/>
      <c r="W16" s="108"/>
      <c r="X16" s="107"/>
      <c r="Y16" s="184"/>
      <c r="Z16" s="108"/>
      <c r="AB16" s="108" t="s">
        <v>157</v>
      </c>
      <c r="AC16" s="107">
        <f>D1</f>
        <v>1212</v>
      </c>
      <c r="AD16" s="374" t="s">
        <v>200</v>
      </c>
      <c r="AE16" s="321"/>
      <c r="AG16" s="21"/>
      <c r="AH16" s="21"/>
      <c r="AI16" s="21"/>
      <c r="AJ16" s="108"/>
      <c r="AK16" s="107"/>
      <c r="AL16" s="184"/>
      <c r="AM16" s="21"/>
      <c r="AN16" s="21"/>
      <c r="AO16" s="21"/>
      <c r="AP16" s="108"/>
      <c r="AQ16" s="107"/>
      <c r="AR16" s="374"/>
      <c r="AS16" s="321"/>
      <c r="AU16" s="21"/>
      <c r="AV16" s="21"/>
      <c r="AW16" s="21"/>
      <c r="AX16" s="108"/>
      <c r="AY16" s="107"/>
      <c r="AZ16" s="374"/>
      <c r="BA16" s="321"/>
    </row>
    <row r="17" spans="1:53" ht="15" customHeight="1">
      <c r="B17" s="89" t="s">
        <v>201</v>
      </c>
      <c r="C17" s="109">
        <f>INDEX(B5:F5,MATCH(C16,B5:F5,1))</f>
        <v>1000</v>
      </c>
      <c r="D17" s="89" t="s">
        <v>155</v>
      </c>
      <c r="E17" s="104">
        <f>MATCH(MAX(A6:A14),A6:A14,1)</f>
        <v>9</v>
      </c>
      <c r="G17" s="21"/>
      <c r="H17" s="21"/>
      <c r="I17" s="21"/>
      <c r="J17" s="89"/>
      <c r="K17" s="109"/>
      <c r="L17" s="89"/>
      <c r="M17" s="104"/>
      <c r="O17" s="89" t="s">
        <v>201</v>
      </c>
      <c r="P17" s="109">
        <f>INDEX(O5:S5,MATCH(P16,O5:S5,1))</f>
        <v>1000</v>
      </c>
      <c r="Q17" s="89" t="s">
        <v>155</v>
      </c>
      <c r="R17" s="104">
        <f>MATCH(MAX(N6:N14),N6:N14,1)</f>
        <v>9</v>
      </c>
      <c r="T17" s="21"/>
      <c r="U17" s="21"/>
      <c r="V17" s="21"/>
      <c r="W17" s="89"/>
      <c r="X17" s="109"/>
      <c r="Y17" s="89"/>
      <c r="Z17" s="89"/>
      <c r="AB17" s="89" t="s">
        <v>201</v>
      </c>
      <c r="AC17" s="109">
        <f>INDEX(AB5:AF5,MATCH(AC16,AB5:AF5,1))</f>
        <v>1000</v>
      </c>
      <c r="AD17" s="89" t="s">
        <v>155</v>
      </c>
      <c r="AE17" s="104">
        <f>MATCH(MAX(AA6:AA14),AA6:AA14,1)</f>
        <v>9</v>
      </c>
      <c r="AG17" s="21"/>
      <c r="AH17" s="21"/>
      <c r="AI17" s="21"/>
      <c r="AJ17" s="89"/>
      <c r="AK17" s="109"/>
      <c r="AL17" s="89"/>
      <c r="AM17" s="21"/>
      <c r="AN17" s="21"/>
      <c r="AO17" s="21"/>
      <c r="AP17" s="89"/>
      <c r="AQ17" s="109"/>
      <c r="AR17" s="89"/>
      <c r="AS17" s="104"/>
      <c r="AU17" s="21"/>
      <c r="AV17" s="21"/>
      <c r="AW17" s="21"/>
      <c r="AX17" s="89"/>
      <c r="AY17" s="109"/>
      <c r="AZ17" s="89"/>
      <c r="BA17" s="104"/>
    </row>
    <row r="18" spans="1:53" ht="15" customHeight="1">
      <c r="B18" s="89" t="s">
        <v>202</v>
      </c>
      <c r="C18" s="109" cm="1">
        <f t="array" ref="C18">INDEX(B5:F5,IF(MATCH(C16,B5:F5,1)&lt;E18,MATCH(C16,B5:F5,1)+1,MATCH(C16,B5:F5,1)))</f>
        <v>2000</v>
      </c>
      <c r="D18" s="89" t="s">
        <v>156</v>
      </c>
      <c r="E18" s="104">
        <f>MATCH(MAX(B5:F5),B5:F5,0)</f>
        <v>5</v>
      </c>
      <c r="G18" s="21"/>
      <c r="H18" s="21"/>
      <c r="I18" s="21"/>
      <c r="J18" s="89"/>
      <c r="K18" s="109"/>
      <c r="L18" s="89"/>
      <c r="M18" s="104"/>
      <c r="O18" s="89" t="s">
        <v>202</v>
      </c>
      <c r="P18" s="109" cm="1">
        <f t="array" ref="P18">INDEX(O5:S5,IF(MATCH(P16,O5:S5,1)&lt;R18,MATCH(P16,O5:S5,1)+1,MATCH(P16,O5:S5,1)))</f>
        <v>2000</v>
      </c>
      <c r="Q18" s="89" t="s">
        <v>156</v>
      </c>
      <c r="R18" s="104">
        <f>MATCH(MAX(O5:S5),O5:S5,0)</f>
        <v>5</v>
      </c>
      <c r="T18" s="21"/>
      <c r="U18" s="21"/>
      <c r="V18" s="21"/>
      <c r="W18" s="89"/>
      <c r="X18" s="109"/>
      <c r="Y18" s="89"/>
      <c r="Z18" s="89"/>
      <c r="AB18" s="89" t="s">
        <v>202</v>
      </c>
      <c r="AC18" s="109" cm="1">
        <f t="array" ref="AC18">INDEX(AB5:AF5,IF(MATCH(AC16,AB5:AF5,1)&lt;AE18,MATCH(AC16,AB5:AF5,1)+1,MATCH(AC16,AB5:AF5,1)))</f>
        <v>2000</v>
      </c>
      <c r="AD18" s="89" t="s">
        <v>156</v>
      </c>
      <c r="AE18" s="104">
        <f>MATCH(MAX(AB5:AF5),AB5:AF5,0)</f>
        <v>5</v>
      </c>
      <c r="AG18" s="21"/>
      <c r="AH18" s="21"/>
      <c r="AI18" s="21"/>
      <c r="AJ18" s="89"/>
      <c r="AK18" s="109"/>
      <c r="AL18" s="89"/>
      <c r="AM18" s="21"/>
      <c r="AN18" s="21"/>
      <c r="AO18" s="21"/>
      <c r="AP18" s="89"/>
      <c r="AQ18" s="109"/>
      <c r="AR18" s="89"/>
      <c r="AS18" s="104"/>
      <c r="AU18" s="21"/>
      <c r="AV18" s="21"/>
      <c r="AW18" s="21"/>
      <c r="AX18" s="89"/>
      <c r="AY18" s="109"/>
      <c r="AZ18" s="89"/>
      <c r="BA18" s="104"/>
    </row>
    <row r="19" spans="1:53" ht="15" customHeight="1">
      <c r="B19" s="106" t="s">
        <v>158</v>
      </c>
      <c r="C19" s="110">
        <f>D2</f>
        <v>0</v>
      </c>
      <c r="D19" s="21"/>
      <c r="E19" s="21"/>
      <c r="G19" s="21"/>
      <c r="H19" s="21"/>
      <c r="I19" s="21"/>
      <c r="J19" s="106"/>
      <c r="K19" s="110"/>
      <c r="L19" s="21"/>
      <c r="M19" s="21"/>
      <c r="O19" s="106" t="s">
        <v>158</v>
      </c>
      <c r="P19" s="110">
        <f>D2</f>
        <v>0</v>
      </c>
      <c r="Q19" s="21"/>
      <c r="R19" s="21"/>
      <c r="T19" s="21"/>
      <c r="U19" s="21"/>
      <c r="V19" s="21"/>
      <c r="W19" s="106"/>
      <c r="X19" s="110"/>
      <c r="Y19" s="21"/>
      <c r="Z19" s="106"/>
      <c r="AB19" s="106" t="s">
        <v>158</v>
      </c>
      <c r="AC19" s="110">
        <f>D2</f>
        <v>0</v>
      </c>
      <c r="AD19" s="21"/>
      <c r="AE19" s="21"/>
      <c r="AG19" s="21"/>
      <c r="AH19" s="21"/>
      <c r="AI19" s="21"/>
      <c r="AJ19" s="106"/>
      <c r="AK19" s="110"/>
      <c r="AL19" s="21"/>
      <c r="AM19" s="21"/>
      <c r="AN19" s="21"/>
      <c r="AO19" s="21"/>
      <c r="AP19" s="106"/>
      <c r="AQ19" s="110"/>
      <c r="AR19" s="21"/>
      <c r="AS19" s="21"/>
      <c r="AU19" s="21"/>
      <c r="AV19" s="21"/>
      <c r="AW19" s="21"/>
      <c r="AX19" s="106"/>
      <c r="AY19" s="110"/>
      <c r="AZ19" s="21"/>
      <c r="BA19" s="21"/>
    </row>
    <row r="20" spans="1:53" ht="15" customHeight="1">
      <c r="B20" s="89" t="s">
        <v>159</v>
      </c>
      <c r="C20" s="109">
        <f>INDEX(A6:A14,MATCH(C19,A6:A14,1))</f>
        <v>0</v>
      </c>
      <c r="D20" s="21"/>
      <c r="E20" s="38"/>
      <c r="G20" s="21"/>
      <c r="H20" s="21"/>
      <c r="I20" s="21"/>
      <c r="J20" s="89"/>
      <c r="K20" s="109"/>
      <c r="L20" s="21"/>
      <c r="M20" s="38"/>
      <c r="O20" s="89" t="s">
        <v>159</v>
      </c>
      <c r="P20" s="109">
        <f>INDEX(N6:N14,MATCH(P19,N6:N14,1))</f>
        <v>0</v>
      </c>
      <c r="Q20" s="21"/>
      <c r="R20" s="38"/>
      <c r="T20" s="21"/>
      <c r="U20" s="21"/>
      <c r="V20" s="21"/>
      <c r="W20" s="89"/>
      <c r="X20" s="109"/>
      <c r="Y20" s="21"/>
      <c r="Z20" s="89"/>
      <c r="AB20" s="89" t="s">
        <v>159</v>
      </c>
      <c r="AC20" s="109">
        <f>INDEX(AA6:AA14,MATCH(AC19,AA6:AA14,1))</f>
        <v>0</v>
      </c>
      <c r="AD20" s="21"/>
      <c r="AE20" s="38"/>
      <c r="AG20" s="21"/>
      <c r="AH20" s="21"/>
      <c r="AI20" s="21"/>
      <c r="AJ20" s="89"/>
      <c r="AK20" s="109"/>
      <c r="AL20" s="21"/>
      <c r="AM20" s="21"/>
      <c r="AN20" s="21"/>
      <c r="AO20" s="21"/>
      <c r="AP20" s="89"/>
      <c r="AQ20" s="109"/>
      <c r="AR20" s="21"/>
      <c r="AS20" s="38"/>
      <c r="AU20" s="21"/>
      <c r="AV20" s="21"/>
      <c r="AW20" s="21"/>
      <c r="AX20" s="89"/>
      <c r="AY20" s="109"/>
      <c r="AZ20" s="21"/>
      <c r="BA20" s="38"/>
    </row>
    <row r="21" spans="1:53" ht="15" customHeight="1">
      <c r="B21" s="89" t="s">
        <v>160</v>
      </c>
      <c r="C21" s="109" cm="1">
        <f t="array" ref="C21">INDEX(A6:A14,IF(MATCH(C19,A6:A14,1)&lt;E17,MATCH(C19,A6:A14,1)+1,MATCH(C19,A6:A14,1)))</f>
        <v>10</v>
      </c>
      <c r="D21" s="21"/>
      <c r="E21" s="38"/>
      <c r="G21" s="21"/>
      <c r="H21" s="21"/>
      <c r="I21" s="21"/>
      <c r="J21" s="89"/>
      <c r="K21" s="109"/>
      <c r="L21" s="21"/>
      <c r="M21" s="38"/>
      <c r="O21" s="89" t="s">
        <v>160</v>
      </c>
      <c r="P21" s="109" cm="1">
        <f t="array" ref="P21">INDEX(N6:N14,IF(MATCH(P19,N6:N14,1)&lt;R17,MATCH(P19,N6:N14,1)+1,MATCH(P19,N6:N14,1)))</f>
        <v>10</v>
      </c>
      <c r="Q21" s="21"/>
      <c r="R21" s="38"/>
      <c r="T21" s="21"/>
      <c r="U21" s="21"/>
      <c r="V21" s="21"/>
      <c r="W21" s="89"/>
      <c r="X21" s="109"/>
      <c r="Y21" s="21"/>
      <c r="Z21" s="89"/>
      <c r="AB21" s="89" t="s">
        <v>160</v>
      </c>
      <c r="AC21" s="109" cm="1">
        <f t="array" ref="AC21">INDEX(AA6:AA14,IF(MATCH(AC19,AA6:AA14,1)&lt;AE17,MATCH(AC19,AA6:AA14,1)+1,MATCH(AC19,AA6:AA14,1)))</f>
        <v>10</v>
      </c>
      <c r="AD21" s="21"/>
      <c r="AE21" s="38"/>
      <c r="AG21" s="21"/>
      <c r="AH21" s="21"/>
      <c r="AI21" s="21"/>
      <c r="AJ21" s="89"/>
      <c r="AK21" s="109"/>
      <c r="AL21" s="21"/>
      <c r="AM21" s="21"/>
      <c r="AN21" s="21"/>
      <c r="AO21" s="21"/>
      <c r="AP21" s="89"/>
      <c r="AQ21" s="109"/>
      <c r="AR21" s="21"/>
      <c r="AS21" s="38"/>
      <c r="AU21" s="21"/>
      <c r="AV21" s="21"/>
      <c r="AW21" s="21"/>
      <c r="AX21" s="89"/>
      <c r="AY21" s="109"/>
      <c r="AZ21" s="21"/>
      <c r="BA21" s="38"/>
    </row>
    <row r="22" spans="1:53" ht="15" customHeight="1">
      <c r="B22" s="108" t="s">
        <v>161</v>
      </c>
      <c r="C22" s="107">
        <f>INDEX(B6:F14,MATCH(C19,A6:A14,1),MATCH(C16,B5:F5,1))</f>
        <v>5.15</v>
      </c>
      <c r="D22" s="21"/>
      <c r="E22" s="38"/>
      <c r="G22" s="21"/>
      <c r="H22" s="21"/>
      <c r="I22" s="21"/>
      <c r="J22" s="108"/>
      <c r="K22" s="107"/>
      <c r="L22" s="21"/>
      <c r="M22" s="38"/>
      <c r="O22" s="108" t="s">
        <v>161</v>
      </c>
      <c r="P22" s="107">
        <f>INDEX(O6:S14,MATCH(P19,N6:N14,1),MATCH(P16,O5:S5,1))</f>
        <v>0</v>
      </c>
      <c r="Q22" s="21"/>
      <c r="R22" s="38"/>
      <c r="T22" s="21"/>
      <c r="U22" s="21"/>
      <c r="V22" s="21"/>
      <c r="W22" s="108"/>
      <c r="X22" s="107"/>
      <c r="Y22" s="21"/>
      <c r="Z22" s="108"/>
      <c r="AB22" s="108" t="s">
        <v>161</v>
      </c>
      <c r="AC22" s="107">
        <f>INDEX(AB6:AF14,MATCH(AC19,AA6:AA14,1),MATCH(AC16,AB5:AF5,1))</f>
        <v>4</v>
      </c>
      <c r="AD22" s="21"/>
      <c r="AE22" s="38"/>
      <c r="AG22" s="21"/>
      <c r="AH22" s="21"/>
      <c r="AI22" s="21"/>
      <c r="AJ22" s="108"/>
      <c r="AK22" s="107"/>
      <c r="AL22" s="21"/>
      <c r="AM22" s="21"/>
      <c r="AN22" s="21"/>
      <c r="AO22" s="21"/>
      <c r="AP22" s="108"/>
      <c r="AQ22" s="107"/>
      <c r="AR22" s="21"/>
      <c r="AS22" s="38"/>
      <c r="AU22" s="21"/>
      <c r="AV22" s="21"/>
      <c r="AW22" s="21"/>
      <c r="AX22" s="108"/>
      <c r="AY22" s="107"/>
      <c r="AZ22" s="21"/>
      <c r="BA22" s="38"/>
    </row>
    <row r="23" spans="1:53" ht="15" customHeight="1">
      <c r="B23" s="108" t="s">
        <v>203</v>
      </c>
      <c r="C23" s="107" cm="1">
        <f t="array" ref="C23">INDEX(B6:F14,MATCH(C19,A6:A14,1),IF(MATCH(C16,B5:F5,1)&lt;E18,MATCH(C16,B5:F5,1)+1,MATCH(C19,A6:A14,1)))</f>
        <v>4.9000000000000004</v>
      </c>
      <c r="E23" s="38"/>
      <c r="G23" s="21"/>
      <c r="H23" s="21"/>
      <c r="I23" s="21"/>
      <c r="J23" s="108"/>
      <c r="K23" s="107"/>
      <c r="M23" s="38"/>
      <c r="O23" s="108" t="s">
        <v>203</v>
      </c>
      <c r="P23" s="107" cm="1">
        <f t="array" ref="P23">INDEX(O6:S14,MATCH(P19,N6:N14,1),IF(MATCH(P16,O5:S5,1)&lt;R18,MATCH(P16,O5:S5,1)+1,MATCH(P19,N6:N14,1)))</f>
        <v>0</v>
      </c>
      <c r="R23" s="38"/>
      <c r="T23" s="21"/>
      <c r="U23" s="21"/>
      <c r="V23" s="21"/>
      <c r="W23" s="108"/>
      <c r="X23" s="107"/>
      <c r="Z23" s="108"/>
      <c r="AB23" s="108" t="s">
        <v>203</v>
      </c>
      <c r="AC23" s="107" cm="1">
        <f t="array" ref="AC23">INDEX(AB6:AF14,MATCH(AC19,AA6:AA14,1),IF(MATCH(AC16,AB5:AF5,1)&lt;AE18,MATCH(AC16,AB5:AF5,1)+1,MATCH(AC19,AA6:AA14,1)))</f>
        <v>3.75</v>
      </c>
      <c r="AE23" s="38"/>
      <c r="AG23" s="21"/>
      <c r="AH23" s="21"/>
      <c r="AI23" s="21"/>
      <c r="AJ23" s="108"/>
      <c r="AK23" s="107"/>
      <c r="AM23" s="21"/>
      <c r="AN23" s="21"/>
      <c r="AO23" s="21"/>
      <c r="AP23" s="108"/>
      <c r="AQ23" s="107"/>
      <c r="AS23" s="38"/>
      <c r="AU23" s="21"/>
      <c r="AV23" s="21"/>
      <c r="AW23" s="21"/>
      <c r="AX23" s="108"/>
      <c r="AY23" s="107"/>
      <c r="BA23" s="38"/>
    </row>
    <row r="24" spans="1:53" ht="15" customHeight="1">
      <c r="B24" s="108" t="s">
        <v>162</v>
      </c>
      <c r="C24" s="107" cm="1">
        <f t="array" ref="C24">INDEX(B6:F14,IF(MATCH(C19,A6:A14,1)&lt;E17,MATCH(C19,A6:A14,1)+1,MATCH(C19,A6:A14,1)),MATCH(C16,B5:F5,1))</f>
        <v>4.9000000000000004</v>
      </c>
      <c r="E24" s="38"/>
      <c r="G24" s="21"/>
      <c r="H24" s="21"/>
      <c r="I24" s="21"/>
      <c r="J24" s="108"/>
      <c r="K24" s="107"/>
      <c r="M24" s="38"/>
      <c r="O24" s="108" t="s">
        <v>162</v>
      </c>
      <c r="P24" s="107" cm="1">
        <f t="array" ref="P24">INDEX(O6:S14,IF(MATCH(P19,N6:N14,1)&lt;R17,MATCH(P19,N6:N14,1)+1,MATCH(P19,N6:N14,1)),MATCH(P16,O5:S5,1))</f>
        <v>0</v>
      </c>
      <c r="R24" s="38"/>
      <c r="T24" s="21"/>
      <c r="U24" s="21"/>
      <c r="V24" s="21"/>
      <c r="W24" s="108"/>
      <c r="X24" s="107"/>
      <c r="Z24" s="108"/>
      <c r="AB24" s="108" t="s">
        <v>162</v>
      </c>
      <c r="AC24" s="107" cm="1">
        <f t="array" ref="AC24">INDEX(AB6:AF14,IF(MATCH(AC19,AA6:AA14,1)&lt;AE17,MATCH(AC19,AA6:AA14,1)+1,MATCH(AC19,AA6:AA14,1)),MATCH(AC16,AB5:AF5,1))</f>
        <v>3.8</v>
      </c>
      <c r="AE24" s="38"/>
      <c r="AG24" s="21"/>
      <c r="AH24" s="21"/>
      <c r="AI24" s="21"/>
      <c r="AJ24" s="108"/>
      <c r="AK24" s="107"/>
      <c r="AM24" s="21"/>
      <c r="AN24" s="21"/>
      <c r="AO24" s="21"/>
      <c r="AP24" s="108"/>
      <c r="AQ24" s="107"/>
      <c r="AS24" s="38"/>
      <c r="AU24" s="21"/>
      <c r="AV24" s="21"/>
      <c r="AW24" s="21"/>
      <c r="AX24" s="108"/>
      <c r="AY24" s="107"/>
      <c r="BA24" s="38"/>
    </row>
    <row r="25" spans="1:53" ht="15" customHeight="1">
      <c r="B25" s="108" t="s">
        <v>204</v>
      </c>
      <c r="C25" s="107" cm="1">
        <f t="array" ref="C25">INDEX(B6:F14,IF(MATCH(C19,A6:A14,1)&lt;E17,MATCH(C19,A6:A14,1)+1,MATCH(C19,A6:A14,1)),IF(MATCH(C16,B5:F5,1)&lt;E18,MATCH(C16,B5:F5,1)+1,MATCH(C16,B5:F5,1)))</f>
        <v>4.7</v>
      </c>
      <c r="G25" s="21"/>
      <c r="H25" s="21"/>
      <c r="I25" s="21"/>
      <c r="J25" s="108"/>
      <c r="K25" s="107"/>
      <c r="O25" s="108" t="s">
        <v>204</v>
      </c>
      <c r="P25" s="107" cm="1">
        <f t="array" ref="P25">INDEX(O6:S14,IF(MATCH(P19,N6:N14,1)&lt;R17,MATCH(P19,N6:N14,1)+1,MATCH(P19,N6:N14,1)),IF(MATCH(P16,O5:S5,1)&lt;R18,MATCH(P16,O5:S5,1)+1,MATCH(P16,O5:S5,1)))</f>
        <v>0</v>
      </c>
      <c r="T25" s="21"/>
      <c r="U25" s="21"/>
      <c r="V25" s="21"/>
      <c r="W25" s="108"/>
      <c r="X25" s="107"/>
      <c r="Z25" s="108"/>
      <c r="AB25" s="108" t="s">
        <v>204</v>
      </c>
      <c r="AC25" s="107" cm="1">
        <f t="array" ref="AC25">INDEX(AB6:AF14,IF(MATCH(AC19,AA6:AA14,1)&lt;AE17,MATCH(AC19,AA6:AA14,1)+1,MATCH(AC19,AA6:AA14,1)),IF(MATCH(AC16,AB5:AF5,1)&lt;AE18,MATCH(AC16,AB5:AF5,1)+1,MATCH(AC16,AB5:AF5,1)))</f>
        <v>3.55</v>
      </c>
      <c r="AG25" s="21"/>
      <c r="AH25" s="21"/>
      <c r="AI25" s="21"/>
      <c r="AJ25" s="108"/>
      <c r="AK25" s="107"/>
      <c r="AM25" s="21"/>
      <c r="AN25" s="21"/>
      <c r="AO25" s="21"/>
      <c r="AP25" s="108"/>
      <c r="AQ25" s="107"/>
      <c r="AU25" s="21"/>
      <c r="AV25" s="21"/>
      <c r="AW25" s="21"/>
      <c r="AX25" s="108"/>
      <c r="AY25" s="107"/>
    </row>
    <row r="26" spans="1:53" ht="15" customHeight="1">
      <c r="B26" s="89" t="s">
        <v>205</v>
      </c>
      <c r="C26" s="109">
        <f>IFERROR(C22+(C16-C17)*(C23-C22)/(C18-C17),C22)</f>
        <v>5.0970000000000004</v>
      </c>
      <c r="G26" s="21"/>
      <c r="H26" s="21"/>
      <c r="I26" s="21"/>
      <c r="J26" s="89"/>
      <c r="K26" s="109"/>
      <c r="O26" s="89" t="s">
        <v>205</v>
      </c>
      <c r="P26" s="109">
        <f>IFERROR(P22+(P16-P17)*(P23-P22)/(P18-P17),P22)</f>
        <v>0</v>
      </c>
      <c r="T26" s="21"/>
      <c r="U26" s="21"/>
      <c r="V26" s="21"/>
      <c r="W26" s="89"/>
      <c r="X26" s="109"/>
      <c r="Z26" s="89"/>
      <c r="AB26" s="89" t="s">
        <v>205</v>
      </c>
      <c r="AC26" s="109">
        <f>IFERROR(AC22+(AC16-AC17)*(AC23-AC22)/(AC18-AC17),AC22)</f>
        <v>3.9470000000000001</v>
      </c>
      <c r="AG26" s="21"/>
      <c r="AH26" s="21"/>
      <c r="AI26" s="21"/>
      <c r="AJ26" s="89"/>
      <c r="AK26" s="109"/>
      <c r="AM26" s="21"/>
      <c r="AN26" s="21"/>
      <c r="AO26" s="21"/>
      <c r="AP26" s="89"/>
      <c r="AQ26" s="109"/>
      <c r="AU26" s="21"/>
      <c r="AV26" s="21"/>
      <c r="AW26" s="21"/>
      <c r="AX26" s="89"/>
      <c r="AY26" s="109"/>
    </row>
    <row r="27" spans="1:53" ht="15" customHeight="1">
      <c r="B27" s="89" t="s">
        <v>206</v>
      </c>
      <c r="C27" s="109">
        <f>IFERROR(C24+(C16-C17)*(C25-C24)/(C18-C17),C24)</f>
        <v>4.8576000000000006</v>
      </c>
      <c r="G27" s="21"/>
      <c r="H27" s="21"/>
      <c r="I27" s="21"/>
      <c r="J27" s="89"/>
      <c r="K27" s="109"/>
      <c r="O27" s="89" t="s">
        <v>206</v>
      </c>
      <c r="P27" s="109">
        <f>IFERROR(P24+(P16-P17)*(P25-P24)/(P18-P17),P24)</f>
        <v>0</v>
      </c>
      <c r="T27" s="21"/>
      <c r="U27" s="21"/>
      <c r="V27" s="21"/>
      <c r="W27" s="89"/>
      <c r="X27" s="109"/>
      <c r="Z27" s="89"/>
      <c r="AB27" s="89" t="s">
        <v>206</v>
      </c>
      <c r="AC27" s="109">
        <f>IFERROR(AC24+(AC16-AC17)*(AC25-AC24)/(AC18-AC17),AC24)</f>
        <v>3.7469999999999999</v>
      </c>
      <c r="AG27" s="21"/>
      <c r="AH27" s="21"/>
      <c r="AI27" s="21"/>
      <c r="AJ27" s="89"/>
      <c r="AK27" s="109"/>
      <c r="AM27" s="21"/>
      <c r="AN27" s="21"/>
      <c r="AO27" s="21"/>
      <c r="AP27" s="89"/>
      <c r="AQ27" s="109"/>
      <c r="AU27" s="21"/>
      <c r="AV27" s="21"/>
      <c r="AW27" s="21"/>
      <c r="AX27" s="89"/>
      <c r="AY27" s="109"/>
    </row>
    <row r="28" spans="1:53" ht="15" customHeight="1">
      <c r="B28" s="108" t="s">
        <v>207</v>
      </c>
      <c r="C28" s="107">
        <f>IFERROR(C26+(C19-C20)*(C27-C26)/(C21-C20),C26)</f>
        <v>5.0970000000000004</v>
      </c>
      <c r="G28" s="21"/>
      <c r="H28" s="21"/>
      <c r="I28" s="21"/>
      <c r="J28" s="108"/>
      <c r="K28" s="107"/>
      <c r="O28" s="108" t="s">
        <v>207</v>
      </c>
      <c r="P28" s="107">
        <f>IFERROR(P26+(P19-P20)*(P27-P26)/(P21-P20),P26)</f>
        <v>0</v>
      </c>
      <c r="T28" s="21"/>
      <c r="U28" s="21"/>
      <c r="V28" s="21"/>
      <c r="W28" s="108"/>
      <c r="X28" s="107"/>
      <c r="Z28" s="108"/>
      <c r="AB28" s="108" t="s">
        <v>207</v>
      </c>
      <c r="AC28" s="107">
        <f>IFERROR(AC26+(AC19-AC20)*(AC27-AC26)/(AC21-AC20),AC26)</f>
        <v>3.9470000000000001</v>
      </c>
      <c r="AG28" s="21"/>
      <c r="AH28" s="21"/>
      <c r="AI28" s="21"/>
      <c r="AJ28" s="108"/>
      <c r="AK28" s="107"/>
      <c r="AM28" s="21"/>
      <c r="AN28" s="21"/>
      <c r="AO28" s="21"/>
      <c r="AP28" s="108"/>
      <c r="AQ28" s="107"/>
      <c r="AU28" s="21"/>
      <c r="AV28" s="21"/>
      <c r="AW28" s="21"/>
      <c r="AX28" s="108"/>
      <c r="AY28" s="107"/>
    </row>
    <row r="30" spans="1:53" ht="15" customHeight="1">
      <c r="A30" s="181"/>
      <c r="B30" s="386" t="s">
        <v>212</v>
      </c>
      <c r="C30" s="386"/>
      <c r="D30" s="386"/>
      <c r="E30" s="386"/>
      <c r="F30" s="386"/>
      <c r="G30" s="386"/>
      <c r="H30" s="188"/>
      <c r="I30" s="188"/>
      <c r="J30" s="188"/>
      <c r="K30" s="188"/>
      <c r="L30" s="188"/>
      <c r="M30" s="188"/>
      <c r="N30" s="181"/>
      <c r="O30" s="386" t="s">
        <v>208</v>
      </c>
      <c r="P30" s="386"/>
      <c r="Q30" s="386"/>
      <c r="R30" s="386"/>
      <c r="S30" s="386"/>
      <c r="T30" s="386"/>
      <c r="U30" s="188"/>
      <c r="V30" s="188"/>
      <c r="W30" s="188"/>
      <c r="X30" s="188"/>
      <c r="Y30" s="188"/>
      <c r="AA30" s="181"/>
      <c r="AB30" s="386" t="s">
        <v>208</v>
      </c>
      <c r="AC30" s="386"/>
      <c r="AD30" s="386"/>
      <c r="AE30" s="386"/>
      <c r="AF30" s="386"/>
      <c r="AG30" s="386"/>
      <c r="AH30" s="188"/>
      <c r="AI30" s="188"/>
      <c r="AJ30" s="188"/>
      <c r="AK30" s="188"/>
      <c r="AL30" s="188"/>
    </row>
    <row r="31" spans="1:53" ht="15" customHeight="1">
      <c r="A31" s="181" t="s">
        <v>29</v>
      </c>
      <c r="B31" s="185">
        <v>1.9</v>
      </c>
      <c r="C31" s="277">
        <v>2.8</v>
      </c>
      <c r="D31" s="187">
        <v>3.8</v>
      </c>
      <c r="E31" s="187">
        <v>4.8</v>
      </c>
      <c r="F31" s="187">
        <v>6</v>
      </c>
      <c r="G31" s="194">
        <v>7</v>
      </c>
      <c r="H31" s="181"/>
      <c r="I31" s="181"/>
      <c r="J31" s="181"/>
      <c r="K31" s="181"/>
      <c r="L31" s="181"/>
      <c r="M31" s="181"/>
      <c r="O31" s="181" t="s">
        <v>29</v>
      </c>
      <c r="P31" s="185">
        <v>1</v>
      </c>
      <c r="Q31" s="186">
        <v>2</v>
      </c>
      <c r="R31" s="187">
        <v>3</v>
      </c>
      <c r="S31" s="187">
        <v>4</v>
      </c>
      <c r="T31" s="194">
        <v>5</v>
      </c>
      <c r="U31" s="181"/>
      <c r="V31" s="181"/>
      <c r="W31" s="181"/>
      <c r="X31" s="181"/>
      <c r="AA31" s="181" t="s">
        <v>29</v>
      </c>
      <c r="AB31" s="185">
        <v>0.9</v>
      </c>
      <c r="AC31" s="186">
        <v>2</v>
      </c>
      <c r="AD31" s="187">
        <v>3.1</v>
      </c>
      <c r="AE31" s="187">
        <v>4.5</v>
      </c>
      <c r="AF31" s="194">
        <v>5</v>
      </c>
      <c r="AG31" s="181"/>
      <c r="AH31" s="181"/>
      <c r="AI31" s="181"/>
      <c r="AJ31" s="181"/>
      <c r="AK31" s="181"/>
    </row>
    <row r="32" spans="1:53" ht="15" customHeight="1">
      <c r="A32" s="181">
        <v>9000</v>
      </c>
      <c r="B32" s="249">
        <v>5.4</v>
      </c>
      <c r="C32" s="250">
        <v>6.6</v>
      </c>
      <c r="D32" s="251">
        <v>8</v>
      </c>
      <c r="E32" s="251">
        <v>9.6</v>
      </c>
      <c r="F32" s="251">
        <v>11.3</v>
      </c>
      <c r="G32" s="194">
        <v>0</v>
      </c>
      <c r="H32" s="181"/>
      <c r="I32" s="181"/>
      <c r="J32" s="181"/>
      <c r="K32" s="181"/>
      <c r="L32" s="181"/>
      <c r="M32" s="181"/>
      <c r="O32" s="181">
        <v>10000</v>
      </c>
      <c r="P32" s="243"/>
      <c r="Q32" s="244"/>
      <c r="R32" s="245"/>
      <c r="S32" s="245"/>
      <c r="T32" s="194">
        <v>99999</v>
      </c>
      <c r="U32" s="181"/>
      <c r="V32" s="181"/>
      <c r="W32" s="181"/>
      <c r="X32" s="181"/>
      <c r="AA32" s="181">
        <v>9000</v>
      </c>
      <c r="AB32" s="243">
        <v>5.2</v>
      </c>
      <c r="AC32" s="244">
        <v>6.6</v>
      </c>
      <c r="AD32" s="245">
        <v>8.1999999999999993</v>
      </c>
      <c r="AE32" s="245">
        <v>10</v>
      </c>
      <c r="AF32" s="194">
        <v>99999</v>
      </c>
      <c r="AG32" s="181"/>
      <c r="AH32" s="181"/>
      <c r="AI32" s="181"/>
      <c r="AJ32" s="181"/>
      <c r="AK32" s="181"/>
    </row>
    <row r="33" spans="1:38" ht="15" customHeight="1">
      <c r="A33" s="181">
        <v>9500</v>
      </c>
      <c r="B33" s="252">
        <v>4.7</v>
      </c>
      <c r="C33" s="253">
        <v>5.9</v>
      </c>
      <c r="D33" s="254">
        <v>7.3</v>
      </c>
      <c r="E33" s="254">
        <v>8.6999999999999993</v>
      </c>
      <c r="F33" s="254">
        <v>10.3</v>
      </c>
      <c r="G33" s="197">
        <v>0</v>
      </c>
      <c r="H33" s="181"/>
      <c r="I33" s="181"/>
      <c r="J33" s="181"/>
      <c r="K33" s="181"/>
      <c r="L33" s="181"/>
      <c r="M33" s="181"/>
      <c r="O33" s="181">
        <v>11000</v>
      </c>
      <c r="P33" s="246"/>
      <c r="Q33" s="247"/>
      <c r="R33" s="248"/>
      <c r="S33" s="248"/>
      <c r="T33" s="197">
        <v>99999</v>
      </c>
      <c r="U33" s="181"/>
      <c r="V33" s="181"/>
      <c r="W33" s="181"/>
      <c r="X33" s="181"/>
      <c r="AA33" s="181">
        <v>9500</v>
      </c>
      <c r="AB33" s="246">
        <v>4.4000000000000004</v>
      </c>
      <c r="AC33" s="247">
        <v>5.7</v>
      </c>
      <c r="AD33" s="248">
        <v>7.2</v>
      </c>
      <c r="AE33" s="248">
        <v>9.1</v>
      </c>
      <c r="AF33" s="197">
        <v>99999</v>
      </c>
      <c r="AG33" s="181"/>
      <c r="AH33" s="181"/>
      <c r="AI33" s="181"/>
      <c r="AJ33" s="181"/>
      <c r="AK33" s="181"/>
    </row>
    <row r="34" spans="1:38" ht="15" customHeight="1">
      <c r="A34" s="181">
        <v>10000</v>
      </c>
      <c r="B34" s="252">
        <v>4.0999999999999996</v>
      </c>
      <c r="C34" s="253">
        <v>5.3</v>
      </c>
      <c r="D34" s="254">
        <v>6.6</v>
      </c>
      <c r="E34" s="254">
        <v>7.9</v>
      </c>
      <c r="F34" s="254">
        <v>9.5</v>
      </c>
      <c r="G34" s="197">
        <v>0</v>
      </c>
      <c r="H34" s="181"/>
      <c r="I34" s="181"/>
      <c r="J34" s="181"/>
      <c r="K34" s="181"/>
      <c r="L34" s="181"/>
      <c r="M34" s="181"/>
      <c r="O34" s="181">
        <v>12000</v>
      </c>
      <c r="P34" s="246"/>
      <c r="Q34" s="247"/>
      <c r="R34" s="248"/>
      <c r="S34" s="248"/>
      <c r="T34" s="197">
        <v>99999</v>
      </c>
      <c r="U34" s="181"/>
      <c r="V34" s="181"/>
      <c r="W34" s="181"/>
      <c r="X34" s="181"/>
      <c r="AA34" s="181">
        <v>10000</v>
      </c>
      <c r="AB34" s="246">
        <v>3.6</v>
      </c>
      <c r="AC34" s="247">
        <v>4.9000000000000004</v>
      </c>
      <c r="AD34" s="248">
        <v>6.4</v>
      </c>
      <c r="AE34" s="248">
        <v>8.1999999999999993</v>
      </c>
      <c r="AF34" s="197">
        <v>99999</v>
      </c>
      <c r="AG34" s="181"/>
      <c r="AH34" s="181"/>
      <c r="AI34" s="181"/>
      <c r="AJ34" s="181"/>
      <c r="AK34" s="181"/>
    </row>
    <row r="35" spans="1:38" ht="15" customHeight="1">
      <c r="A35" s="181">
        <v>10500</v>
      </c>
      <c r="B35" s="252">
        <v>3.6</v>
      </c>
      <c r="C35" s="253">
        <v>4.7</v>
      </c>
      <c r="D35" s="254">
        <v>5.9</v>
      </c>
      <c r="E35" s="254">
        <v>7.2</v>
      </c>
      <c r="F35" s="254">
        <v>8.6999999999999993</v>
      </c>
      <c r="G35" s="197">
        <v>0</v>
      </c>
      <c r="H35" s="181"/>
      <c r="I35" s="181"/>
      <c r="J35" s="181"/>
      <c r="K35" s="181"/>
      <c r="L35" s="181"/>
      <c r="M35" s="181"/>
      <c r="O35" s="181">
        <v>13000</v>
      </c>
      <c r="P35" s="246"/>
      <c r="Q35" s="247"/>
      <c r="R35" s="248"/>
      <c r="S35" s="248"/>
      <c r="T35" s="197">
        <v>99999</v>
      </c>
      <c r="U35" s="181"/>
      <c r="V35" s="181"/>
      <c r="W35" s="181"/>
      <c r="X35" s="181"/>
      <c r="AA35" s="181">
        <v>10500</v>
      </c>
      <c r="AB35" s="246">
        <v>3</v>
      </c>
      <c r="AC35" s="247">
        <v>4.3</v>
      </c>
      <c r="AD35" s="248">
        <v>5.7</v>
      </c>
      <c r="AE35" s="248">
        <v>7.3</v>
      </c>
      <c r="AF35" s="197">
        <v>99999</v>
      </c>
      <c r="AG35" s="181"/>
      <c r="AH35" s="181"/>
      <c r="AI35" s="181"/>
      <c r="AJ35" s="181"/>
      <c r="AK35" s="181"/>
    </row>
    <row r="36" spans="1:38" ht="15" customHeight="1">
      <c r="A36" s="181">
        <v>11000</v>
      </c>
      <c r="B36" s="252">
        <v>3.1</v>
      </c>
      <c r="C36" s="253">
        <v>4.0999999999999996</v>
      </c>
      <c r="D36" s="254">
        <v>5.25</v>
      </c>
      <c r="E36" s="254">
        <v>6.6</v>
      </c>
      <c r="F36" s="254">
        <v>8</v>
      </c>
      <c r="G36" s="197">
        <v>0</v>
      </c>
      <c r="H36" s="181"/>
      <c r="I36" s="181"/>
      <c r="J36" s="181"/>
      <c r="K36" s="181"/>
      <c r="L36" s="181"/>
      <c r="M36" s="181"/>
      <c r="O36" s="181">
        <v>14000</v>
      </c>
      <c r="P36" s="246"/>
      <c r="Q36" s="247"/>
      <c r="R36" s="248"/>
      <c r="S36" s="248"/>
      <c r="T36" s="197">
        <v>99999</v>
      </c>
      <c r="U36" s="181"/>
      <c r="V36" s="181"/>
      <c r="W36" s="181"/>
      <c r="X36" s="181"/>
      <c r="AA36" s="181">
        <v>11000</v>
      </c>
      <c r="AB36" s="246">
        <v>2.4</v>
      </c>
      <c r="AC36" s="247">
        <v>3.7</v>
      </c>
      <c r="AD36" s="248">
        <v>5</v>
      </c>
      <c r="AE36" s="248">
        <v>6.5</v>
      </c>
      <c r="AF36" s="197">
        <v>99999</v>
      </c>
      <c r="AG36" s="181"/>
      <c r="AH36" s="181"/>
      <c r="AI36" s="181"/>
      <c r="AJ36" s="181"/>
      <c r="AK36" s="181"/>
    </row>
    <row r="37" spans="1:38" ht="15" customHeight="1">
      <c r="A37" s="181">
        <v>11500</v>
      </c>
      <c r="B37" s="252">
        <v>2.6</v>
      </c>
      <c r="C37" s="253">
        <v>3.6</v>
      </c>
      <c r="D37" s="254">
        <v>4.7</v>
      </c>
      <c r="E37" s="254">
        <v>6</v>
      </c>
      <c r="F37" s="254">
        <v>7.3</v>
      </c>
      <c r="G37" s="197">
        <v>0</v>
      </c>
      <c r="H37" s="181"/>
      <c r="I37" s="181"/>
      <c r="J37" s="181"/>
      <c r="K37" s="181"/>
      <c r="L37" s="181"/>
      <c r="M37" s="181"/>
      <c r="O37" s="181">
        <v>15000</v>
      </c>
      <c r="P37" s="246"/>
      <c r="Q37" s="247"/>
      <c r="R37" s="248"/>
      <c r="S37" s="248"/>
      <c r="T37" s="197">
        <v>99999</v>
      </c>
      <c r="U37" s="181"/>
      <c r="V37" s="181"/>
      <c r="W37" s="181"/>
      <c r="X37" s="181"/>
      <c r="AA37" s="181">
        <v>11500</v>
      </c>
      <c r="AB37" s="246">
        <v>1.9</v>
      </c>
      <c r="AC37" s="247">
        <v>3.1</v>
      </c>
      <c r="AD37" s="248">
        <v>4.3</v>
      </c>
      <c r="AE37" s="248">
        <v>5.8</v>
      </c>
      <c r="AF37" s="197">
        <v>99999</v>
      </c>
      <c r="AG37" s="181"/>
      <c r="AH37" s="181"/>
      <c r="AI37" s="181"/>
      <c r="AJ37" s="181"/>
      <c r="AK37" s="181"/>
    </row>
    <row r="38" spans="1:38" ht="15" customHeight="1">
      <c r="A38" s="181">
        <v>12000</v>
      </c>
      <c r="B38" s="252">
        <v>2.2000000000000002</v>
      </c>
      <c r="C38" s="253">
        <v>3.35</v>
      </c>
      <c r="D38" s="254">
        <v>4.2</v>
      </c>
      <c r="E38" s="254">
        <v>5.4</v>
      </c>
      <c r="F38" s="254">
        <v>6.7</v>
      </c>
      <c r="G38" s="197">
        <v>0</v>
      </c>
      <c r="H38" s="181"/>
      <c r="I38" s="181"/>
      <c r="J38" s="181"/>
      <c r="K38" s="181"/>
      <c r="L38" s="181"/>
      <c r="M38" s="181"/>
      <c r="O38" s="181">
        <v>16000</v>
      </c>
      <c r="P38" s="246"/>
      <c r="Q38" s="247"/>
      <c r="R38" s="248"/>
      <c r="S38" s="248"/>
      <c r="T38" s="197">
        <v>99999</v>
      </c>
      <c r="U38" s="181"/>
      <c r="V38" s="181"/>
      <c r="W38" s="181"/>
      <c r="X38" s="181"/>
      <c r="AA38" s="181">
        <v>12000</v>
      </c>
      <c r="AB38" s="246">
        <v>1.4</v>
      </c>
      <c r="AC38" s="247">
        <v>2.5</v>
      </c>
      <c r="AD38" s="248">
        <v>3.7</v>
      </c>
      <c r="AE38" s="248">
        <v>5.0999999999999996</v>
      </c>
      <c r="AF38" s="197">
        <v>99999</v>
      </c>
      <c r="AG38" s="181"/>
      <c r="AH38" s="181"/>
      <c r="AI38" s="181"/>
      <c r="AJ38" s="181"/>
      <c r="AK38" s="181"/>
    </row>
    <row r="39" spans="1:38" ht="15" customHeight="1">
      <c r="A39" s="181">
        <v>12500</v>
      </c>
      <c r="B39" s="258">
        <v>1.9</v>
      </c>
      <c r="C39" s="259">
        <v>2.8</v>
      </c>
      <c r="D39" s="260">
        <v>3.8</v>
      </c>
      <c r="E39" s="260">
        <v>4.8</v>
      </c>
      <c r="F39" s="260">
        <v>6</v>
      </c>
      <c r="G39" s="197">
        <v>0</v>
      </c>
      <c r="H39" s="181"/>
      <c r="I39" s="181"/>
      <c r="J39" s="181"/>
      <c r="K39" s="181"/>
      <c r="L39" s="181"/>
      <c r="M39" s="181"/>
      <c r="O39" s="181">
        <v>16600</v>
      </c>
      <c r="P39" s="255"/>
      <c r="Q39" s="256"/>
      <c r="R39" s="257"/>
      <c r="S39" s="257"/>
      <c r="T39" s="197">
        <v>99999</v>
      </c>
      <c r="U39" s="181"/>
      <c r="V39" s="181"/>
      <c r="W39" s="181"/>
      <c r="X39" s="181"/>
      <c r="AA39" s="181">
        <v>12500</v>
      </c>
      <c r="AB39" s="255">
        <v>0.9</v>
      </c>
      <c r="AC39" s="256">
        <v>2</v>
      </c>
      <c r="AD39" s="257">
        <v>3.1</v>
      </c>
      <c r="AE39" s="257">
        <v>4.5</v>
      </c>
      <c r="AF39" s="197">
        <v>99999</v>
      </c>
      <c r="AG39" s="181"/>
      <c r="AH39" s="181"/>
      <c r="AI39" s="181"/>
      <c r="AJ39" s="181"/>
      <c r="AK39" s="181"/>
    </row>
    <row r="40" spans="1:38" ht="15" customHeight="1">
      <c r="A40" s="181">
        <v>12600</v>
      </c>
      <c r="B40" s="198">
        <v>0</v>
      </c>
      <c r="C40" s="199">
        <v>0</v>
      </c>
      <c r="D40" s="199">
        <v>0</v>
      </c>
      <c r="E40" s="199">
        <v>0</v>
      </c>
      <c r="F40" s="199">
        <v>0</v>
      </c>
      <c r="G40" s="212">
        <v>0</v>
      </c>
      <c r="H40" s="189"/>
      <c r="I40" s="189"/>
      <c r="J40" s="189"/>
      <c r="K40" s="189"/>
      <c r="L40" s="189"/>
      <c r="M40" s="190"/>
      <c r="O40" s="181">
        <v>16700</v>
      </c>
      <c r="P40" s="198">
        <v>99999</v>
      </c>
      <c r="Q40" s="199">
        <v>99999</v>
      </c>
      <c r="R40" s="199">
        <v>99999</v>
      </c>
      <c r="S40" s="199">
        <v>99999</v>
      </c>
      <c r="T40" s="212">
        <v>99999</v>
      </c>
      <c r="U40" s="189"/>
      <c r="V40" s="189"/>
      <c r="W40" s="189"/>
      <c r="X40" s="189"/>
      <c r="AA40" s="181">
        <v>12600</v>
      </c>
      <c r="AB40" s="198">
        <v>99999</v>
      </c>
      <c r="AC40" s="199">
        <v>99999</v>
      </c>
      <c r="AD40" s="199">
        <v>99999</v>
      </c>
      <c r="AE40" s="199">
        <v>99999</v>
      </c>
      <c r="AF40" s="212">
        <v>99999</v>
      </c>
      <c r="AG40" s="189"/>
      <c r="AH40" s="189"/>
      <c r="AI40" s="189"/>
      <c r="AJ40" s="189"/>
      <c r="AK40" s="189"/>
    </row>
    <row r="41" spans="1:38" ht="15" customHeight="1">
      <c r="B41" s="182"/>
      <c r="C41" s="183"/>
      <c r="D41" s="181"/>
      <c r="E41" s="181"/>
      <c r="F41" s="181"/>
      <c r="G41" s="115"/>
      <c r="H41" s="115"/>
      <c r="I41" s="115"/>
      <c r="J41" s="182"/>
      <c r="K41" s="183"/>
      <c r="L41" s="181"/>
      <c r="M41" s="181"/>
      <c r="O41" s="182"/>
      <c r="P41" s="183"/>
      <c r="Q41" s="181"/>
      <c r="R41" s="181"/>
      <c r="S41" s="181"/>
      <c r="T41" s="115"/>
      <c r="U41" s="115"/>
      <c r="V41" s="115"/>
      <c r="W41" s="182"/>
      <c r="X41" s="183"/>
      <c r="Y41" s="181"/>
      <c r="AB41" s="182"/>
      <c r="AC41" s="183"/>
      <c r="AD41" s="181"/>
      <c r="AE41" s="181"/>
      <c r="AF41" s="181"/>
      <c r="AG41" s="115"/>
      <c r="AH41" s="115"/>
      <c r="AI41" s="115"/>
      <c r="AJ41" s="182"/>
      <c r="AK41" s="183"/>
      <c r="AL41" s="181"/>
    </row>
    <row r="42" spans="1:38" ht="15" customHeight="1">
      <c r="B42" s="108" t="s">
        <v>157</v>
      </c>
      <c r="C42" s="107">
        <f>C28</f>
        <v>5.0970000000000004</v>
      </c>
      <c r="D42" s="374" t="s">
        <v>200</v>
      </c>
      <c r="E42" s="321"/>
      <c r="G42" s="21"/>
      <c r="H42" s="21"/>
      <c r="I42" s="21"/>
      <c r="J42" s="108"/>
      <c r="K42" s="107"/>
      <c r="L42" s="184"/>
      <c r="O42" s="108" t="s">
        <v>157</v>
      </c>
      <c r="P42" s="107">
        <f>P28</f>
        <v>0</v>
      </c>
      <c r="Q42" s="374" t="s">
        <v>200</v>
      </c>
      <c r="R42" s="321"/>
      <c r="T42" s="21"/>
      <c r="U42" s="21"/>
      <c r="V42" s="21"/>
      <c r="W42" s="108"/>
      <c r="X42" s="107"/>
      <c r="Y42" s="184"/>
      <c r="AB42" s="108" t="s">
        <v>157</v>
      </c>
      <c r="AC42" s="107">
        <f>AC28</f>
        <v>3.9470000000000001</v>
      </c>
      <c r="AD42" s="374" t="s">
        <v>200</v>
      </c>
      <c r="AE42" s="321"/>
      <c r="AG42" s="21"/>
      <c r="AH42" s="21"/>
      <c r="AI42" s="21"/>
      <c r="AJ42" s="108"/>
      <c r="AK42" s="107"/>
      <c r="AL42" s="184"/>
    </row>
    <row r="43" spans="1:38" ht="15" customHeight="1">
      <c r="B43" s="89" t="s">
        <v>201</v>
      </c>
      <c r="C43" s="109">
        <f>INDEX(B31:G31,MATCH(C42,B31:G31,1))</f>
        <v>4.8</v>
      </c>
      <c r="D43" s="89" t="s">
        <v>155</v>
      </c>
      <c r="E43" s="104">
        <f>MATCH(MAX(A32:A40),A32:A40,1)</f>
        <v>9</v>
      </c>
      <c r="G43" s="21"/>
      <c r="H43" s="21"/>
      <c r="I43" s="21"/>
      <c r="J43" s="89"/>
      <c r="K43" s="109"/>
      <c r="L43" s="89"/>
      <c r="M43" s="104"/>
      <c r="O43" s="89" t="s">
        <v>201</v>
      </c>
      <c r="P43" s="109" t="e">
        <f>INDEX(P31:T31,MATCH(P42,P31:T31,1))</f>
        <v>#N/A</v>
      </c>
      <c r="Q43" s="89" t="s">
        <v>155</v>
      </c>
      <c r="R43" s="104">
        <f>MATCH(MAX(O32:O40),O32:O40,1)</f>
        <v>9</v>
      </c>
      <c r="T43" s="21"/>
      <c r="U43" s="21"/>
      <c r="V43" s="21"/>
      <c r="W43" s="89"/>
      <c r="X43" s="109"/>
      <c r="Y43" s="89"/>
      <c r="AB43" s="89" t="s">
        <v>201</v>
      </c>
      <c r="AC43" s="109">
        <f>INDEX(AB31:AF31,MATCH(AC42,AB31:AF31,1))</f>
        <v>3.1</v>
      </c>
      <c r="AD43" s="89" t="s">
        <v>155</v>
      </c>
      <c r="AE43" s="104">
        <f>MATCH(MAX(AA32:AA40),AA32:AA40,1)</f>
        <v>9</v>
      </c>
      <c r="AG43" s="21"/>
      <c r="AH43" s="21"/>
      <c r="AI43" s="21"/>
      <c r="AJ43" s="89"/>
      <c r="AK43" s="109"/>
      <c r="AL43" s="89"/>
    </row>
    <row r="44" spans="1:38" ht="15" customHeight="1">
      <c r="B44" s="89" t="s">
        <v>202</v>
      </c>
      <c r="C44" s="109" cm="1">
        <f t="array" ref="C44">INDEX(B31:G31,IF(MATCH(C42,B31:G31,1)&lt;E44,MATCH(C42,B31:G31,1)+1,MATCH(C42,B31:G31,1)))</f>
        <v>6</v>
      </c>
      <c r="D44" s="89" t="s">
        <v>156</v>
      </c>
      <c r="E44" s="104">
        <f>MATCH(MAX(B31:G31),B31:G31,0)</f>
        <v>6</v>
      </c>
      <c r="G44" s="21"/>
      <c r="H44" s="21"/>
      <c r="I44" s="21"/>
      <c r="J44" s="89"/>
      <c r="K44" s="109"/>
      <c r="L44" s="89"/>
      <c r="M44" s="104"/>
      <c r="O44" s="89" t="s">
        <v>202</v>
      </c>
      <c r="P44" s="109" t="e" cm="1">
        <f t="array" ref="P44">INDEX(P31:T31,IF(MATCH(P42,P31:T31,1)&lt;R44,MATCH(P42,P31:T31,1)+1,MATCH(P42,P31:T31,1)))</f>
        <v>#N/A</v>
      </c>
      <c r="Q44" s="89" t="s">
        <v>156</v>
      </c>
      <c r="R44" s="104">
        <f>MATCH(MAX(P31:T31),P31:T31,0)</f>
        <v>5</v>
      </c>
      <c r="T44" s="21"/>
      <c r="U44" s="21"/>
      <c r="V44" s="21"/>
      <c r="W44" s="89"/>
      <c r="X44" s="109"/>
      <c r="Y44" s="89"/>
      <c r="AB44" s="89" t="s">
        <v>202</v>
      </c>
      <c r="AC44" s="109" cm="1">
        <f t="array" ref="AC44">INDEX(AB31:AF31,IF(MATCH(AC42,AB31:AF31,1)&lt;AE44,MATCH(AC42,AB31:AF31,1)+1,MATCH(AC42,AB31:AF31,1)))</f>
        <v>4.5</v>
      </c>
      <c r="AD44" s="89" t="s">
        <v>156</v>
      </c>
      <c r="AE44" s="104">
        <f>MATCH(MAX(AB31:AF31),AB31:AF31,0)</f>
        <v>5</v>
      </c>
      <c r="AG44" s="21"/>
      <c r="AH44" s="21"/>
      <c r="AI44" s="21"/>
      <c r="AJ44" s="89"/>
      <c r="AK44" s="109"/>
      <c r="AL44" s="89"/>
    </row>
    <row r="45" spans="1:38" ht="15" customHeight="1">
      <c r="B45" s="106" t="s">
        <v>158</v>
      </c>
      <c r="C45" s="110">
        <f>'Take-off'!$C$14</f>
        <v>12350</v>
      </c>
      <c r="D45" s="21"/>
      <c r="E45" s="21"/>
      <c r="G45" s="21"/>
      <c r="H45" s="21"/>
      <c r="I45" s="21"/>
      <c r="J45" s="106"/>
      <c r="K45" s="110"/>
      <c r="L45" s="21"/>
      <c r="M45" s="21"/>
      <c r="O45" s="106" t="s">
        <v>158</v>
      </c>
      <c r="P45" s="110">
        <f>'Take-off'!$C$14</f>
        <v>12350</v>
      </c>
      <c r="Q45" s="21"/>
      <c r="R45" s="21"/>
      <c r="T45" s="21"/>
      <c r="U45" s="21"/>
      <c r="V45" s="21"/>
      <c r="W45" s="106"/>
      <c r="X45" s="110"/>
      <c r="Y45" s="21"/>
      <c r="AB45" s="106" t="s">
        <v>158</v>
      </c>
      <c r="AC45" s="110">
        <f>'Take-off'!$C$14</f>
        <v>12350</v>
      </c>
      <c r="AD45" s="21"/>
      <c r="AE45" s="21"/>
      <c r="AG45" s="21"/>
      <c r="AH45" s="21"/>
      <c r="AI45" s="21"/>
      <c r="AJ45" s="106"/>
      <c r="AK45" s="110"/>
      <c r="AL45" s="21"/>
    </row>
    <row r="46" spans="1:38" ht="15" customHeight="1">
      <c r="B46" s="89" t="s">
        <v>159</v>
      </c>
      <c r="C46" s="109">
        <f>INDEX(A32:A40,MATCH(C45,A32:A40,1))</f>
        <v>12000</v>
      </c>
      <c r="D46" s="21"/>
      <c r="E46" s="38"/>
      <c r="G46" s="21"/>
      <c r="H46" s="21"/>
      <c r="I46" s="21"/>
      <c r="J46" s="89"/>
      <c r="K46" s="109"/>
      <c r="L46" s="21"/>
      <c r="M46" s="38"/>
      <c r="O46" s="89" t="s">
        <v>159</v>
      </c>
      <c r="P46" s="109">
        <f>INDEX(O32:O40,MATCH(P45,O32:O40,1))</f>
        <v>12000</v>
      </c>
      <c r="Q46" s="21"/>
      <c r="R46" s="38"/>
      <c r="T46" s="21"/>
      <c r="U46" s="21"/>
      <c r="V46" s="21"/>
      <c r="W46" s="89"/>
      <c r="X46" s="109"/>
      <c r="Y46" s="21"/>
      <c r="AB46" s="89" t="s">
        <v>159</v>
      </c>
      <c r="AC46" s="109">
        <f>INDEX(AA32:AA40,MATCH(AC45,AA32:AA40,1))</f>
        <v>12000</v>
      </c>
      <c r="AD46" s="21"/>
      <c r="AE46" s="38"/>
      <c r="AG46" s="21"/>
      <c r="AH46" s="21"/>
      <c r="AI46" s="21"/>
      <c r="AJ46" s="89"/>
      <c r="AK46" s="109"/>
      <c r="AL46" s="21"/>
    </row>
    <row r="47" spans="1:38" ht="15" customHeight="1">
      <c r="B47" s="89" t="s">
        <v>160</v>
      </c>
      <c r="C47" s="109" cm="1">
        <f t="array" ref="C47">INDEX(A32:A40,IF(MATCH(C45,A32:A40,1)&lt;E43,MATCH(C45,A32:A40,1)+1,MATCH(C45,A32:A40,1)))</f>
        <v>12500</v>
      </c>
      <c r="D47" s="21"/>
      <c r="E47" s="38"/>
      <c r="G47" s="21"/>
      <c r="H47" s="21"/>
      <c r="I47" s="21"/>
      <c r="J47" s="89"/>
      <c r="K47" s="109"/>
      <c r="L47" s="21"/>
      <c r="M47" s="38"/>
      <c r="O47" s="89" t="s">
        <v>160</v>
      </c>
      <c r="P47" s="109" cm="1">
        <f t="array" ref="P47">INDEX(O32:O40,IF(MATCH(P45,O32:O40,1)&lt;R43,MATCH(P45,O32:O40,1)+1,MATCH(P45,O32:O40,1)))</f>
        <v>13000</v>
      </c>
      <c r="Q47" s="21"/>
      <c r="R47" s="38"/>
      <c r="T47" s="21"/>
      <c r="U47" s="21"/>
      <c r="V47" s="21"/>
      <c r="W47" s="89"/>
      <c r="X47" s="109"/>
      <c r="Y47" s="21"/>
      <c r="AB47" s="89" t="s">
        <v>160</v>
      </c>
      <c r="AC47" s="109" cm="1">
        <f t="array" ref="AC47">INDEX(AA32:AA40,IF(MATCH(AC45,AA32:AA40,1)&lt;AE43,MATCH(AC45,AA32:AA40,1)+1,MATCH(AC45,AA32:AA40,1)))</f>
        <v>12500</v>
      </c>
      <c r="AD47" s="21"/>
      <c r="AE47" s="38"/>
      <c r="AG47" s="21"/>
      <c r="AH47" s="21"/>
      <c r="AI47" s="21"/>
      <c r="AJ47" s="89"/>
      <c r="AK47" s="109"/>
      <c r="AL47" s="21"/>
    </row>
    <row r="48" spans="1:38" ht="15" customHeight="1">
      <c r="B48" s="108" t="s">
        <v>161</v>
      </c>
      <c r="C48" s="107">
        <f>INDEX(B32:G40,MATCH(C45,A32:A40,1),MATCH(C42,B31:G31,1))</f>
        <v>5.4</v>
      </c>
      <c r="D48" s="21"/>
      <c r="E48" s="38"/>
      <c r="G48" s="21"/>
      <c r="H48" s="21"/>
      <c r="I48" s="21"/>
      <c r="J48" s="108"/>
      <c r="K48" s="107"/>
      <c r="L48" s="21"/>
      <c r="M48" s="38"/>
      <c r="O48" s="108" t="s">
        <v>161</v>
      </c>
      <c r="P48" s="107" t="e">
        <f>INDEX(P32:T40,MATCH(P45,O32:O40,1),MATCH(P42,P31:T31,1))</f>
        <v>#N/A</v>
      </c>
      <c r="Q48" s="21"/>
      <c r="R48" s="38"/>
      <c r="T48" s="21"/>
      <c r="U48" s="21"/>
      <c r="V48" s="21"/>
      <c r="W48" s="108"/>
      <c r="X48" s="107"/>
      <c r="Y48" s="21"/>
      <c r="AB48" s="108" t="s">
        <v>161</v>
      </c>
      <c r="AC48" s="107">
        <f>INDEX(AB32:AF40,MATCH(AC45,AA32:AA40,1),MATCH(AC42,AB31:AF31,1))</f>
        <v>3.7</v>
      </c>
      <c r="AD48" s="21"/>
      <c r="AE48" s="38"/>
      <c r="AG48" s="21"/>
      <c r="AH48" s="21"/>
      <c r="AI48" s="21"/>
      <c r="AJ48" s="108"/>
      <c r="AK48" s="107"/>
      <c r="AL48" s="21"/>
    </row>
    <row r="49" spans="2:38" ht="15" customHeight="1">
      <c r="B49" s="108" t="s">
        <v>203</v>
      </c>
      <c r="C49" s="107" cm="1">
        <f t="array" ref="C49">INDEX(B32:G40,MATCH(C45,A32:A40,1),IF(MATCH(C42,B31:G31,1)&lt;E44,MATCH(C42,B31:G31,1)+1,MATCH(C45,A32:A40,1)))</f>
        <v>6.7</v>
      </c>
      <c r="E49" s="38"/>
      <c r="G49" s="21"/>
      <c r="H49" s="21"/>
      <c r="I49" s="21"/>
      <c r="J49" s="108"/>
      <c r="K49" s="107"/>
      <c r="M49" s="38"/>
      <c r="O49" s="108" t="s">
        <v>203</v>
      </c>
      <c r="P49" s="107" t="e" cm="1">
        <f t="array" ref="P49">INDEX(P32:T40,MATCH(P45,O32:O40,1),IF(MATCH(P42,P31:T31,1)&lt;R44,MATCH(P42,P31:T31,1)+1,MATCH(P45,O32:O40,1)))</f>
        <v>#N/A</v>
      </c>
      <c r="R49" s="38"/>
      <c r="T49" s="21"/>
      <c r="U49" s="21"/>
      <c r="V49" s="21"/>
      <c r="W49" s="108"/>
      <c r="X49" s="107"/>
      <c r="AB49" s="108" t="s">
        <v>203</v>
      </c>
      <c r="AC49" s="107" cm="1">
        <f t="array" ref="AC49">INDEX(AB32:AF40,MATCH(AC45,AA32:AA40,1),IF(MATCH(AC42,AB31:AF31,1)&lt;AE44,MATCH(AC42,AB31:AF31,1)+1,MATCH(AC45,AA32:AA40,1)))</f>
        <v>5.0999999999999996</v>
      </c>
      <c r="AE49" s="38"/>
      <c r="AG49" s="21"/>
      <c r="AH49" s="21"/>
      <c r="AI49" s="21"/>
      <c r="AJ49" s="108"/>
      <c r="AK49" s="107"/>
    </row>
    <row r="50" spans="2:38" ht="15" customHeight="1">
      <c r="B50" s="108" t="s">
        <v>162</v>
      </c>
      <c r="C50" s="107" cm="1">
        <f t="array" ref="C50">INDEX(B32:G40,IF(MATCH(C45,A32:A40,1)&lt;E43,MATCH(C45,A32:A40,1)+1,MATCH(C45,A32:A40,1)),MATCH(C42,B31:G31,1))</f>
        <v>4.8</v>
      </c>
      <c r="E50" s="38"/>
      <c r="G50" s="21"/>
      <c r="H50" s="21"/>
      <c r="I50" s="21"/>
      <c r="J50" s="108"/>
      <c r="K50" s="107"/>
      <c r="M50" s="38"/>
      <c r="O50" s="108" t="s">
        <v>162</v>
      </c>
      <c r="P50" s="107" t="e" cm="1">
        <f t="array" ref="P50">INDEX(P32:T40,IF(MATCH(P45,O32:O40,1)&lt;R43,MATCH(P45,O32:O40,1)+1,MATCH(P45,O32:O40,1)),MATCH(P42,P31:T31,1))</f>
        <v>#N/A</v>
      </c>
      <c r="R50" s="38"/>
      <c r="T50" s="21"/>
      <c r="U50" s="21"/>
      <c r="V50" s="21"/>
      <c r="W50" s="108"/>
      <c r="X50" s="107"/>
      <c r="AB50" s="108" t="s">
        <v>162</v>
      </c>
      <c r="AC50" s="107" cm="1">
        <f t="array" ref="AC50">INDEX(AB32:AF40,IF(MATCH(AC45,AA32:AA40,1)&lt;AE43,MATCH(AC45,AA32:AA40,1)+1,MATCH(AC45,AA32:AA40,1)),MATCH(AC42,AB31:AF31,1))</f>
        <v>3.1</v>
      </c>
      <c r="AE50" s="38"/>
      <c r="AG50" s="21"/>
      <c r="AH50" s="21"/>
      <c r="AI50" s="21"/>
      <c r="AJ50" s="108"/>
      <c r="AK50" s="107"/>
    </row>
    <row r="51" spans="2:38" ht="15" customHeight="1">
      <c r="B51" s="108" t="s">
        <v>204</v>
      </c>
      <c r="C51" s="107" cm="1">
        <f t="array" ref="C51">INDEX(B32:G40,IF(MATCH(C45,A32:A40,1)&lt;E43,MATCH(C45,A32:A40,1)+1,MATCH(C45,A32:A40,1)),IF(MATCH(C42,B31:G31,1)&lt;E44,MATCH(C42,B31:G31,1)+1,MATCH(C42,B31:G31,1)))</f>
        <v>6</v>
      </c>
      <c r="G51" s="21"/>
      <c r="H51" s="21"/>
      <c r="I51" s="21"/>
      <c r="J51" s="108"/>
      <c r="K51" s="107"/>
      <c r="O51" s="108" t="s">
        <v>204</v>
      </c>
      <c r="P51" s="107" t="e" cm="1">
        <f t="array" ref="P51">INDEX(P32:T40,IF(MATCH(P45,O32:O40,1)&lt;R43,MATCH(P45,O32:O40,1)+1,MATCH(P45,O32:O40,1)),IF(MATCH(P42,P31:T31,1)&lt;R44,MATCH(P42,P31:T31,1)+1,MATCH(P42,P31:T31,1)))</f>
        <v>#N/A</v>
      </c>
      <c r="T51" s="21"/>
      <c r="U51" s="21"/>
      <c r="V51" s="21"/>
      <c r="W51" s="108"/>
      <c r="X51" s="107"/>
      <c r="AB51" s="108" t="s">
        <v>204</v>
      </c>
      <c r="AC51" s="107" cm="1">
        <f t="array" ref="AC51">INDEX(AB32:AF40,IF(MATCH(AC45,AA32:AA40,1)&lt;AE43,MATCH(AC45,AA32:AA40,1)+1,MATCH(AC45,AA32:AA40,1)),IF(MATCH(AC42,AB31:AF31,1)&lt;AE44,MATCH(AC42,AB31:AF31,1)+1,MATCH(AC42,AB31:AF31,1)))</f>
        <v>4.5</v>
      </c>
      <c r="AG51" s="21"/>
      <c r="AH51" s="21"/>
      <c r="AI51" s="21"/>
      <c r="AJ51" s="108"/>
      <c r="AK51" s="107"/>
    </row>
    <row r="52" spans="2:38" ht="15" customHeight="1">
      <c r="B52" s="89" t="s">
        <v>205</v>
      </c>
      <c r="C52" s="109">
        <f>IFERROR(C48+(C42-C43)*(C49-C48)/(C44-C43),C48)</f>
        <v>5.721750000000001</v>
      </c>
      <c r="G52" s="21"/>
      <c r="H52" s="21"/>
      <c r="I52" s="21"/>
      <c r="J52" s="89"/>
      <c r="K52" s="109"/>
      <c r="O52" s="89" t="s">
        <v>205</v>
      </c>
      <c r="P52" s="109" t="e">
        <f>IFERROR(P48+(P42-P43)*(P49-P48)/(P44-P43),P48)</f>
        <v>#N/A</v>
      </c>
      <c r="T52" s="21"/>
      <c r="U52" s="21"/>
      <c r="V52" s="21"/>
      <c r="W52" s="89"/>
      <c r="X52" s="109"/>
      <c r="AB52" s="89" t="s">
        <v>205</v>
      </c>
      <c r="AC52" s="109">
        <f>IFERROR(AC48+(AC42-AC43)*(AC49-AC48)/(AC44-AC43),AC48)</f>
        <v>4.5469999999999997</v>
      </c>
      <c r="AG52" s="21"/>
      <c r="AH52" s="21"/>
      <c r="AI52" s="21"/>
      <c r="AJ52" s="89"/>
      <c r="AK52" s="109"/>
    </row>
    <row r="53" spans="2:38" ht="15" customHeight="1">
      <c r="B53" s="89" t="s">
        <v>206</v>
      </c>
      <c r="C53" s="109">
        <f>IFERROR(C50+(C42-C43)*(C51-C50)/(C44-C43),C50)</f>
        <v>5.0970000000000004</v>
      </c>
      <c r="G53" s="21"/>
      <c r="H53" s="21"/>
      <c r="I53" s="21"/>
      <c r="J53" s="89"/>
      <c r="K53" s="109"/>
      <c r="O53" s="89" t="s">
        <v>206</v>
      </c>
      <c r="P53" s="109" t="e">
        <f>IFERROR(P50+(P42-P43)*(P51-P50)/(P44-P43),P50)</f>
        <v>#N/A</v>
      </c>
      <c r="T53" s="21"/>
      <c r="U53" s="21"/>
      <c r="V53" s="21"/>
      <c r="W53" s="89"/>
      <c r="X53" s="109"/>
      <c r="AB53" s="89" t="s">
        <v>206</v>
      </c>
      <c r="AC53" s="109">
        <f>IFERROR(AC50+(AC42-AC43)*(AC51-AC50)/(AC44-AC43),AC50)</f>
        <v>3.9470000000000001</v>
      </c>
      <c r="AG53" s="21"/>
      <c r="AH53" s="21"/>
      <c r="AI53" s="21"/>
      <c r="AJ53" s="89"/>
      <c r="AK53" s="109"/>
    </row>
    <row r="54" spans="2:38" ht="15" customHeight="1">
      <c r="B54" s="108" t="s">
        <v>207</v>
      </c>
      <c r="C54" s="261">
        <f>IFERROR(C52+(C45-C46)*(C53-C52)/(C47-C46),C52)</f>
        <v>5.2844250000000006</v>
      </c>
      <c r="G54" s="21"/>
      <c r="H54" s="21"/>
      <c r="I54" s="21"/>
      <c r="J54" s="108"/>
      <c r="K54" s="107"/>
      <c r="O54" s="108" t="s">
        <v>207</v>
      </c>
      <c r="P54" s="107" t="e">
        <f>IFERROR(P52+(P45-P46)*(P53-P52)/(P47-P46),P52)</f>
        <v>#N/A</v>
      </c>
      <c r="T54" s="21"/>
      <c r="U54" s="21"/>
      <c r="V54" s="21"/>
      <c r="W54" s="108"/>
      <c r="X54" s="107"/>
      <c r="AB54" s="108" t="s">
        <v>207</v>
      </c>
      <c r="AC54" s="107">
        <f>IFERROR(AC52+(AC45-AC46)*(AC53-AC52)/(AC47-AC46),AC52)</f>
        <v>4.1269999999999998</v>
      </c>
      <c r="AG54" s="21"/>
      <c r="AH54" s="21"/>
      <c r="AI54" s="21"/>
      <c r="AJ54" s="108"/>
      <c r="AK54" s="107"/>
    </row>
    <row r="55" spans="2:38" ht="15" customHeight="1">
      <c r="B55" s="108" t="s">
        <v>234</v>
      </c>
      <c r="C55" s="262">
        <f>C54+C60</f>
        <v>5.0383722331639769</v>
      </c>
      <c r="J55" s="181"/>
      <c r="K55" s="181"/>
      <c r="L55" s="181"/>
      <c r="M55" s="181"/>
      <c r="O55" t="s">
        <v>219</v>
      </c>
      <c r="P55" t="e">
        <f>IF('Take-off'!$C$13='Dropdown lists'!$B$30,P54 -0.8, P54)</f>
        <v>#N/A</v>
      </c>
      <c r="W55" s="181"/>
      <c r="X55" s="181"/>
      <c r="Y55" s="181"/>
      <c r="AJ55" s="181"/>
      <c r="AK55" s="181"/>
      <c r="AL55" s="181"/>
    </row>
    <row r="57" spans="2:38" ht="15" customHeight="1">
      <c r="B57" t="s">
        <v>231</v>
      </c>
    </row>
    <row r="58" spans="2:38" ht="15" customHeight="1">
      <c r="B58" t="s">
        <v>232</v>
      </c>
      <c r="C58">
        <v>-30</v>
      </c>
      <c r="D58" t="s">
        <v>230</v>
      </c>
    </row>
    <row r="59" spans="2:38" ht="15" customHeight="1">
      <c r="B59" t="s">
        <v>233</v>
      </c>
      <c r="C59" s="195">
        <f>'Take-off'!$C$33*6076/60</f>
        <v>12192.506666666666</v>
      </c>
      <c r="D59" t="s">
        <v>230</v>
      </c>
    </row>
    <row r="60" spans="2:38" ht="15" customHeight="1">
      <c r="B60" t="s">
        <v>29</v>
      </c>
      <c r="C60">
        <f>C58/C59*100</f>
        <v>-0.24605276683602387</v>
      </c>
    </row>
  </sheetData>
  <sheetProtection algorithmName="SHA-512" hashValue="IEMzkY8+Aj34ezmnfOiG4SVn9Esm6xAH6SA8GLPR79j5IStrQuOnTZCyi9MXMn2kqZ2NmdxroY+zgyzIAZcudQ==" saltValue="TxpUIUIVGiYcxnIfisKkow==" spinCount="100000" sheet="1" objects="1" scenarios="1"/>
  <mergeCells count="17">
    <mergeCell ref="B3:L3"/>
    <mergeCell ref="O3:Y3"/>
    <mergeCell ref="AB3:AL3"/>
    <mergeCell ref="B4:F4"/>
    <mergeCell ref="O4:S4"/>
    <mergeCell ref="AB4:AF4"/>
    <mergeCell ref="AR16:AS16"/>
    <mergeCell ref="AZ16:BA16"/>
    <mergeCell ref="B30:G30"/>
    <mergeCell ref="O30:T30"/>
    <mergeCell ref="AB30:AG30"/>
    <mergeCell ref="D42:E42"/>
    <mergeCell ref="Q42:R42"/>
    <mergeCell ref="AD42:AE42"/>
    <mergeCell ref="D16:E16"/>
    <mergeCell ref="Q16:R16"/>
    <mergeCell ref="AD16:AE16"/>
  </mergeCells>
  <conditionalFormatting sqref="B6:E13">
    <cfRule type="colorScale" priority="6">
      <colorScale>
        <cfvo type="min"/>
        <cfvo type="max"/>
        <color rgb="FFFCFCFF"/>
        <color rgb="FFF8696B"/>
      </colorScale>
    </cfRule>
  </conditionalFormatting>
  <conditionalFormatting sqref="B32:F39">
    <cfRule type="colorScale" priority="302">
      <colorScale>
        <cfvo type="min"/>
        <cfvo type="max"/>
        <color rgb="FFFCFCFF"/>
        <color rgb="FFF8696B"/>
      </colorScale>
    </cfRule>
  </conditionalFormatting>
  <conditionalFormatting sqref="J6:M14">
    <cfRule type="colorScale" priority="7">
      <colorScale>
        <cfvo type="min"/>
        <cfvo type="max"/>
        <color rgb="FFFCFCFF"/>
        <color rgb="FFF8696B"/>
      </colorScale>
    </cfRule>
  </conditionalFormatting>
  <conditionalFormatting sqref="O6:R13">
    <cfRule type="colorScale" priority="4">
      <colorScale>
        <cfvo type="min"/>
        <cfvo type="max"/>
        <color rgb="FFFCFCFF"/>
        <color rgb="FFF8696B"/>
      </colorScale>
    </cfRule>
  </conditionalFormatting>
  <conditionalFormatting sqref="P32:S39">
    <cfRule type="colorScale" priority="10">
      <colorScale>
        <cfvo type="min"/>
        <cfvo type="max"/>
        <color rgb="FFFCFCFF"/>
        <color rgb="FFF8696B"/>
      </colorScale>
    </cfRule>
  </conditionalFormatting>
  <conditionalFormatting sqref="W6:Y14">
    <cfRule type="colorScale" priority="5">
      <colorScale>
        <cfvo type="min"/>
        <cfvo type="max"/>
        <color rgb="FFFCFCFF"/>
        <color rgb="FFF8696B"/>
      </colorScale>
    </cfRule>
  </conditionalFormatting>
  <conditionalFormatting sqref="AB6:AE13">
    <cfRule type="colorScale" priority="1">
      <colorScale>
        <cfvo type="min"/>
        <cfvo type="max"/>
        <color rgb="FFFCFCFF"/>
        <color rgb="FFF8696B"/>
      </colorScale>
    </cfRule>
  </conditionalFormatting>
  <conditionalFormatting sqref="AB32:AE39">
    <cfRule type="colorScale" priority="3">
      <colorScale>
        <cfvo type="min"/>
        <cfvo type="max"/>
        <color rgb="FFFCFCFF"/>
        <color rgb="FFF8696B"/>
      </colorScale>
    </cfRule>
  </conditionalFormatting>
  <conditionalFormatting sqref="AJ6:AL14">
    <cfRule type="colorScale" priority="2">
      <colorScale>
        <cfvo type="min"/>
        <cfvo type="max"/>
        <color rgb="FFFCFCFF"/>
        <color rgb="FFF8696B"/>
      </colorScale>
    </cfRule>
  </conditionalFormatting>
  <pageMargins left="0.25" right="0.25" top="0.75" bottom="0.75" header="0" footer="0"/>
  <pageSetup paperSize="9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633C3-59BD-4D2C-8574-A914A735ABA6}">
  <sheetPr codeName="Blad16">
    <pageSetUpPr fitToPage="1"/>
  </sheetPr>
  <dimension ref="A1:BC95"/>
  <sheetViews>
    <sheetView topLeftCell="A44" workbookViewId="0">
      <selection activeCell="AC94" sqref="AC94"/>
    </sheetView>
  </sheetViews>
  <sheetFormatPr defaultColWidth="14.44140625" defaultRowHeight="15" customHeight="1"/>
  <cols>
    <col min="1" max="12" width="9.109375" customWidth="1"/>
    <col min="13" max="13" width="5" customWidth="1"/>
    <col min="14" max="58" width="9.109375" customWidth="1"/>
  </cols>
  <sheetData>
    <row r="1" spans="1:55" ht="14.25" customHeight="1">
      <c r="A1" s="1"/>
      <c r="B1" s="19" t="s">
        <v>194</v>
      </c>
      <c r="C1" s="108" t="s">
        <v>157</v>
      </c>
      <c r="D1" s="130">
        <f>IF('Take-off'!$C$9="",'Take-off'!$C$16,MAX(0,'Take-off'!$C$16+30*(1013-'Take-off'!$C$9)))</f>
        <v>1177</v>
      </c>
      <c r="E1" s="55"/>
      <c r="F1" s="55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31"/>
      <c r="AW1" s="1"/>
      <c r="AX1" s="1"/>
      <c r="AY1" s="1"/>
      <c r="AZ1" s="1"/>
      <c r="BA1" s="1"/>
      <c r="BB1" s="1"/>
      <c r="BC1" s="1"/>
    </row>
    <row r="2" spans="1:55" ht="14.25" customHeight="1">
      <c r="A2" s="1"/>
      <c r="B2" s="19" t="s">
        <v>196</v>
      </c>
      <c r="C2" s="106" t="s">
        <v>158</v>
      </c>
      <c r="D2" s="130">
        <f>IF('Take-off'!$C$13='Dropdown lists'!$B$30, 'Take-off'!$C$8+10, 'Take-off'!$C$8)</f>
        <v>0</v>
      </c>
      <c r="E2" s="132" t="s">
        <v>213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31"/>
      <c r="AW2" s="1"/>
      <c r="AX2" s="1"/>
      <c r="AY2" s="1"/>
      <c r="AZ2" s="1"/>
      <c r="BA2" s="1"/>
      <c r="BB2" s="1"/>
      <c r="BC2" s="1"/>
    </row>
    <row r="3" spans="1:55" ht="14.25" customHeight="1">
      <c r="A3" s="1"/>
      <c r="B3" s="387" t="s">
        <v>223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213"/>
      <c r="N3" s="1"/>
      <c r="O3" s="387" t="s">
        <v>224</v>
      </c>
      <c r="P3" s="387"/>
      <c r="Q3" s="387"/>
      <c r="R3" s="387"/>
      <c r="S3" s="387"/>
      <c r="T3" s="387"/>
      <c r="U3" s="387"/>
      <c r="V3" s="387"/>
      <c r="W3" s="387"/>
      <c r="X3" s="387"/>
      <c r="Y3" s="387"/>
      <c r="Z3" s="1"/>
      <c r="AA3" s="1"/>
      <c r="AB3" s="387" t="s">
        <v>225</v>
      </c>
      <c r="AC3" s="387"/>
      <c r="AD3" s="387"/>
      <c r="AE3" s="387"/>
      <c r="AF3" s="387"/>
      <c r="AG3" s="387"/>
      <c r="AH3" s="387"/>
      <c r="AI3" s="387"/>
      <c r="AJ3" s="387"/>
      <c r="AK3" s="387"/>
      <c r="AL3" s="387"/>
      <c r="AM3" s="1"/>
      <c r="AN3" s="1"/>
      <c r="AO3" s="1"/>
      <c r="AP3" s="1"/>
      <c r="AQ3" s="1"/>
      <c r="AR3" s="1"/>
      <c r="AS3" s="1"/>
      <c r="AT3" s="1"/>
      <c r="AU3" s="1"/>
      <c r="AV3" s="131"/>
      <c r="AW3" s="1"/>
      <c r="AX3" s="1"/>
      <c r="AY3" s="1"/>
      <c r="AZ3" s="1"/>
      <c r="BA3" s="1"/>
      <c r="BB3" s="1"/>
      <c r="BC3" s="1"/>
    </row>
    <row r="4" spans="1:55" ht="15" customHeight="1">
      <c r="A4" s="181"/>
      <c r="B4" s="383" t="s">
        <v>216</v>
      </c>
      <c r="C4" s="383"/>
      <c r="D4" s="383"/>
      <c r="E4" s="383"/>
      <c r="F4" s="383"/>
      <c r="G4" s="188"/>
      <c r="H4" s="188"/>
      <c r="I4" s="188"/>
      <c r="J4" s="188"/>
      <c r="K4" s="188"/>
      <c r="L4" s="188"/>
      <c r="M4" s="188"/>
      <c r="N4" s="181"/>
      <c r="O4" s="383" t="s">
        <v>216</v>
      </c>
      <c r="P4" s="383"/>
      <c r="Q4" s="383"/>
      <c r="R4" s="383"/>
      <c r="S4" s="383"/>
      <c r="T4" s="188"/>
      <c r="U4" s="188"/>
      <c r="V4" s="188"/>
      <c r="W4" s="188"/>
      <c r="X4" s="188"/>
      <c r="Y4" s="188"/>
      <c r="Z4" s="108"/>
      <c r="AA4" s="181"/>
      <c r="AB4" s="383" t="s">
        <v>216</v>
      </c>
      <c r="AC4" s="383"/>
      <c r="AD4" s="383"/>
      <c r="AE4" s="383"/>
      <c r="AF4" s="383"/>
      <c r="AG4" s="188"/>
      <c r="AH4" s="188"/>
      <c r="AI4" s="188"/>
      <c r="AJ4" s="188"/>
      <c r="AK4" s="188"/>
      <c r="AL4" s="188"/>
      <c r="AM4" s="21"/>
      <c r="AN4" s="21"/>
      <c r="AO4" s="21"/>
      <c r="AP4" s="108"/>
      <c r="AQ4" s="107"/>
      <c r="AU4" s="21"/>
      <c r="AV4" s="21"/>
      <c r="AW4" s="21"/>
      <c r="AX4" s="108"/>
      <c r="AY4" s="107"/>
    </row>
    <row r="5" spans="1:55" ht="15" customHeight="1">
      <c r="A5" s="181" t="s">
        <v>217</v>
      </c>
      <c r="B5" s="191">
        <v>0</v>
      </c>
      <c r="C5" s="192">
        <v>1000</v>
      </c>
      <c r="D5" s="193">
        <v>2000</v>
      </c>
      <c r="E5" s="193">
        <v>3000</v>
      </c>
      <c r="F5" s="194">
        <v>4000</v>
      </c>
      <c r="G5" s="182"/>
      <c r="H5" s="183"/>
      <c r="I5" s="181"/>
      <c r="J5" s="182"/>
      <c r="K5" s="183"/>
      <c r="L5" s="181"/>
      <c r="M5" s="181"/>
      <c r="N5" s="181" t="s">
        <v>217</v>
      </c>
      <c r="O5" s="191">
        <v>0</v>
      </c>
      <c r="P5" s="192">
        <v>1000</v>
      </c>
      <c r="Q5" s="193">
        <v>2000</v>
      </c>
      <c r="R5" s="193">
        <v>3000</v>
      </c>
      <c r="S5" s="194">
        <v>4000</v>
      </c>
      <c r="T5" s="182"/>
      <c r="U5" s="183"/>
      <c r="V5" s="181"/>
      <c r="W5" s="182"/>
      <c r="X5" s="183"/>
      <c r="Y5" s="181"/>
      <c r="AA5" s="181" t="s">
        <v>217</v>
      </c>
      <c r="AB5" s="191">
        <v>0</v>
      </c>
      <c r="AC5" s="192">
        <v>1000</v>
      </c>
      <c r="AD5" s="193">
        <v>2000</v>
      </c>
      <c r="AE5" s="193">
        <v>3000</v>
      </c>
      <c r="AF5" s="194">
        <v>4000</v>
      </c>
      <c r="AG5" s="182"/>
      <c r="AH5" s="183"/>
      <c r="AI5" s="181"/>
      <c r="AJ5" s="182"/>
      <c r="AK5" s="183"/>
      <c r="AL5" s="181"/>
      <c r="AM5" s="108"/>
      <c r="AN5" s="107"/>
      <c r="AR5" s="21"/>
      <c r="AS5" s="21"/>
      <c r="AT5" s="21"/>
      <c r="AU5" s="108"/>
      <c r="AV5" s="107"/>
    </row>
    <row r="6" spans="1:55" ht="15" customHeight="1">
      <c r="A6" s="181">
        <v>-30</v>
      </c>
      <c r="B6" s="191">
        <v>1600</v>
      </c>
      <c r="C6" s="192">
        <v>1650</v>
      </c>
      <c r="D6" s="193">
        <v>1750</v>
      </c>
      <c r="E6" s="193">
        <v>1850</v>
      </c>
      <c r="F6" s="194">
        <v>99999</v>
      </c>
      <c r="G6" s="182"/>
      <c r="H6" s="107"/>
      <c r="I6" s="181"/>
      <c r="J6" s="182"/>
      <c r="K6" s="183"/>
      <c r="L6" s="181"/>
      <c r="M6" s="181"/>
      <c r="N6" s="181">
        <v>-30</v>
      </c>
      <c r="O6" s="191"/>
      <c r="P6" s="192"/>
      <c r="Q6" s="193"/>
      <c r="R6" s="193"/>
      <c r="S6" s="194">
        <v>99999</v>
      </c>
      <c r="T6" s="182"/>
      <c r="U6" s="107"/>
      <c r="V6" s="181"/>
      <c r="W6" s="182"/>
      <c r="X6" s="183"/>
      <c r="Y6" s="181"/>
      <c r="AA6" s="181">
        <v>-30</v>
      </c>
      <c r="AB6" s="191">
        <v>1550</v>
      </c>
      <c r="AC6" s="192">
        <v>1650</v>
      </c>
      <c r="AD6" s="193">
        <v>1700</v>
      </c>
      <c r="AE6" s="193">
        <v>1800</v>
      </c>
      <c r="AF6" s="194">
        <v>99999</v>
      </c>
      <c r="AG6" s="182"/>
      <c r="AH6" s="107"/>
      <c r="AI6" s="181"/>
      <c r="AJ6" s="182"/>
      <c r="AK6" s="183"/>
      <c r="AL6" s="181"/>
      <c r="AM6" s="108"/>
      <c r="AN6" s="107"/>
      <c r="AR6" s="21"/>
      <c r="AS6" s="21"/>
      <c r="AT6" s="21"/>
      <c r="AU6" s="108"/>
      <c r="AV6" s="107"/>
    </row>
    <row r="7" spans="1:55" ht="15" customHeight="1">
      <c r="A7" s="181">
        <v>-20</v>
      </c>
      <c r="B7" s="196">
        <v>1600</v>
      </c>
      <c r="C7" s="189">
        <v>1650</v>
      </c>
      <c r="D7" s="181">
        <v>1750</v>
      </c>
      <c r="E7" s="181">
        <v>1850</v>
      </c>
      <c r="F7" s="197">
        <v>99999</v>
      </c>
      <c r="G7" s="182"/>
      <c r="H7" s="107"/>
      <c r="J7" s="108"/>
      <c r="K7" s="107"/>
      <c r="N7" s="181">
        <v>-20</v>
      </c>
      <c r="O7" s="196"/>
      <c r="P7" s="189"/>
      <c r="Q7" s="181"/>
      <c r="R7" s="181"/>
      <c r="S7" s="197">
        <v>99999</v>
      </c>
      <c r="T7" s="182"/>
      <c r="U7" s="107"/>
      <c r="W7" s="108"/>
      <c r="X7" s="107"/>
      <c r="AA7" s="181">
        <v>-20</v>
      </c>
      <c r="AB7" s="196">
        <v>1550</v>
      </c>
      <c r="AC7" s="189">
        <v>1650</v>
      </c>
      <c r="AD7" s="181">
        <v>1700</v>
      </c>
      <c r="AE7" s="181">
        <v>1800</v>
      </c>
      <c r="AF7" s="197">
        <v>99999</v>
      </c>
      <c r="AG7" s="182"/>
      <c r="AH7" s="107"/>
      <c r="AJ7" s="108"/>
      <c r="AK7" s="107"/>
      <c r="AM7" s="108"/>
      <c r="AN7" s="107"/>
      <c r="AR7" s="21"/>
      <c r="AS7" s="21"/>
      <c r="AT7" s="21"/>
      <c r="AU7" s="108"/>
      <c r="AV7" s="107"/>
    </row>
    <row r="8" spans="1:55" ht="15" customHeight="1">
      <c r="A8" s="181">
        <v>-10</v>
      </c>
      <c r="B8" s="196">
        <v>1650</v>
      </c>
      <c r="C8" s="189">
        <v>1750</v>
      </c>
      <c r="D8" s="181">
        <v>1850</v>
      </c>
      <c r="E8" s="181">
        <v>1950</v>
      </c>
      <c r="F8" s="197">
        <v>99999</v>
      </c>
      <c r="G8" s="182"/>
      <c r="H8" s="107"/>
      <c r="J8" s="108"/>
      <c r="K8" s="107"/>
      <c r="N8" s="181">
        <v>-10</v>
      </c>
      <c r="O8" s="196"/>
      <c r="P8" s="189"/>
      <c r="Q8" s="181"/>
      <c r="R8" s="181"/>
      <c r="S8" s="197">
        <v>99999</v>
      </c>
      <c r="T8" s="182"/>
      <c r="U8" s="107"/>
      <c r="W8" s="108"/>
      <c r="X8" s="107"/>
      <c r="AA8" s="181">
        <v>-10</v>
      </c>
      <c r="AB8" s="196">
        <v>1600</v>
      </c>
      <c r="AC8" s="189">
        <v>1700</v>
      </c>
      <c r="AD8" s="181">
        <v>1790</v>
      </c>
      <c r="AE8" s="181">
        <v>1900</v>
      </c>
      <c r="AF8" s="197">
        <v>99999</v>
      </c>
      <c r="AG8" s="182"/>
      <c r="AH8" s="107"/>
      <c r="AJ8" s="108"/>
      <c r="AK8" s="107"/>
      <c r="AM8" s="108"/>
      <c r="AN8" s="107"/>
      <c r="AR8" s="21"/>
      <c r="AS8" s="21"/>
      <c r="AT8" s="21"/>
      <c r="AU8" s="108"/>
      <c r="AV8" s="107"/>
    </row>
    <row r="9" spans="1:55" ht="15" customHeight="1">
      <c r="A9" s="181">
        <v>0</v>
      </c>
      <c r="B9" s="196">
        <v>1750</v>
      </c>
      <c r="C9" s="189">
        <v>1850</v>
      </c>
      <c r="D9" s="181">
        <v>1960</v>
      </c>
      <c r="E9" s="181">
        <v>2100</v>
      </c>
      <c r="F9" s="197">
        <v>99999</v>
      </c>
      <c r="G9" s="182"/>
      <c r="H9" s="107"/>
      <c r="J9" s="108"/>
      <c r="K9" s="107"/>
      <c r="N9" s="181">
        <v>0</v>
      </c>
      <c r="O9" s="196"/>
      <c r="P9" s="189"/>
      <c r="Q9" s="181"/>
      <c r="R9" s="181"/>
      <c r="S9" s="197">
        <v>99999</v>
      </c>
      <c r="T9" s="182"/>
      <c r="U9" s="107"/>
      <c r="W9" s="108"/>
      <c r="X9" s="107"/>
      <c r="AA9" s="181">
        <v>0</v>
      </c>
      <c r="AB9" s="196">
        <v>1700</v>
      </c>
      <c r="AC9" s="189">
        <v>1800</v>
      </c>
      <c r="AD9" s="181">
        <v>1890</v>
      </c>
      <c r="AE9" s="181">
        <v>2000</v>
      </c>
      <c r="AF9" s="197">
        <v>99999</v>
      </c>
      <c r="AG9" s="182"/>
      <c r="AH9" s="107"/>
      <c r="AJ9" s="108"/>
      <c r="AK9" s="107"/>
      <c r="AM9" s="108"/>
      <c r="AN9" s="107"/>
      <c r="AR9" s="21"/>
      <c r="AS9" s="21"/>
      <c r="AT9" s="21"/>
      <c r="AU9" s="108"/>
      <c r="AV9" s="107"/>
    </row>
    <row r="10" spans="1:55" ht="15" customHeight="1">
      <c r="A10" s="181">
        <v>10</v>
      </c>
      <c r="B10" s="196">
        <v>1840</v>
      </c>
      <c r="C10" s="189">
        <v>1950</v>
      </c>
      <c r="D10" s="181">
        <v>2100</v>
      </c>
      <c r="E10" s="181">
        <v>2200</v>
      </c>
      <c r="F10" s="197">
        <v>99999</v>
      </c>
      <c r="G10" s="182"/>
      <c r="H10" s="107"/>
      <c r="J10" s="108"/>
      <c r="K10" s="107"/>
      <c r="N10" s="181">
        <v>10</v>
      </c>
      <c r="O10" s="196"/>
      <c r="P10" s="189"/>
      <c r="Q10" s="181"/>
      <c r="R10" s="181"/>
      <c r="S10" s="197">
        <v>99999</v>
      </c>
      <c r="T10" s="182"/>
      <c r="U10" s="107"/>
      <c r="W10" s="108"/>
      <c r="X10" s="107"/>
      <c r="AA10" s="181">
        <v>10</v>
      </c>
      <c r="AB10" s="196">
        <v>1800</v>
      </c>
      <c r="AC10" s="189">
        <v>1900</v>
      </c>
      <c r="AD10" s="181">
        <v>2000</v>
      </c>
      <c r="AE10" s="181">
        <v>2120</v>
      </c>
      <c r="AF10" s="197">
        <v>99999</v>
      </c>
      <c r="AG10" s="182"/>
      <c r="AH10" s="107"/>
      <c r="AJ10" s="108"/>
      <c r="AK10" s="107"/>
      <c r="AM10" s="108"/>
      <c r="AN10" s="107"/>
      <c r="AR10" s="21"/>
      <c r="AS10" s="21"/>
      <c r="AT10" s="21"/>
      <c r="AU10" s="108"/>
      <c r="AV10" s="107"/>
    </row>
    <row r="11" spans="1:55" ht="15" customHeight="1">
      <c r="A11" s="181">
        <v>20</v>
      </c>
      <c r="B11" s="196">
        <v>1950</v>
      </c>
      <c r="C11" s="189">
        <v>2100</v>
      </c>
      <c r="D11" s="181">
        <v>2220</v>
      </c>
      <c r="E11" s="181">
        <v>2400</v>
      </c>
      <c r="F11" s="197">
        <v>99999</v>
      </c>
      <c r="G11" s="182"/>
      <c r="H11" s="107"/>
      <c r="J11" s="108"/>
      <c r="K11" s="107"/>
      <c r="N11" s="181">
        <v>20</v>
      </c>
      <c r="O11" s="196"/>
      <c r="P11" s="189"/>
      <c r="Q11" s="181"/>
      <c r="R11" s="181"/>
      <c r="S11" s="197">
        <v>99999</v>
      </c>
      <c r="T11" s="182"/>
      <c r="U11" s="107"/>
      <c r="W11" s="108"/>
      <c r="X11" s="107"/>
      <c r="AA11" s="181">
        <v>20</v>
      </c>
      <c r="AB11" s="196">
        <v>1900</v>
      </c>
      <c r="AC11" s="189">
        <v>2000</v>
      </c>
      <c r="AD11" s="181">
        <v>2150</v>
      </c>
      <c r="AE11" s="181">
        <v>2300</v>
      </c>
      <c r="AF11" s="197">
        <v>99999</v>
      </c>
      <c r="AG11" s="182"/>
      <c r="AH11" s="107"/>
      <c r="AJ11" s="108"/>
      <c r="AK11" s="107"/>
      <c r="AM11" s="108"/>
      <c r="AN11" s="107"/>
      <c r="AR11" s="21"/>
      <c r="AS11" s="21"/>
      <c r="AT11" s="21"/>
      <c r="AU11" s="108"/>
      <c r="AV11" s="107"/>
    </row>
    <row r="12" spans="1:55" ht="15" customHeight="1">
      <c r="A12" s="181">
        <v>30</v>
      </c>
      <c r="B12" s="196">
        <v>2100</v>
      </c>
      <c r="C12" s="189">
        <v>2250</v>
      </c>
      <c r="D12" s="181">
        <v>2400</v>
      </c>
      <c r="E12" s="181">
        <v>2600</v>
      </c>
      <c r="F12" s="197">
        <v>99999</v>
      </c>
      <c r="G12" s="182"/>
      <c r="H12" s="107"/>
      <c r="J12" s="108"/>
      <c r="K12" s="107"/>
      <c r="N12" s="181"/>
      <c r="O12" s="196"/>
      <c r="P12" s="189"/>
      <c r="Q12" s="181"/>
      <c r="R12" s="181"/>
      <c r="S12" s="197"/>
      <c r="T12" s="182"/>
      <c r="U12" s="107"/>
      <c r="W12" s="108"/>
      <c r="X12" s="107"/>
      <c r="AA12" s="181">
        <v>30</v>
      </c>
      <c r="AB12" s="196">
        <v>2050</v>
      </c>
      <c r="AC12" s="189">
        <v>2200</v>
      </c>
      <c r="AD12" s="181">
        <v>2340</v>
      </c>
      <c r="AE12" s="181">
        <v>2500</v>
      </c>
      <c r="AF12" s="197">
        <v>99999</v>
      </c>
      <c r="AG12" s="182"/>
      <c r="AH12" s="107"/>
      <c r="AJ12" s="108"/>
      <c r="AK12" s="107"/>
      <c r="AM12" s="108"/>
      <c r="AN12" s="107"/>
      <c r="AR12" s="21"/>
      <c r="AS12" s="21"/>
      <c r="AT12" s="21"/>
      <c r="AU12" s="108"/>
      <c r="AV12" s="107"/>
    </row>
    <row r="13" spans="1:55" ht="15" customHeight="1">
      <c r="A13" s="181">
        <v>40</v>
      </c>
      <c r="B13" s="196">
        <v>2300</v>
      </c>
      <c r="C13" s="189">
        <v>2450</v>
      </c>
      <c r="D13" s="181">
        <v>2630</v>
      </c>
      <c r="E13" s="181">
        <v>2900</v>
      </c>
      <c r="F13" s="197">
        <v>99999</v>
      </c>
      <c r="G13" s="182"/>
      <c r="H13" s="107"/>
      <c r="J13" s="108"/>
      <c r="K13" s="107"/>
      <c r="N13" s="181">
        <v>30</v>
      </c>
      <c r="O13" s="196"/>
      <c r="P13" s="189"/>
      <c r="Q13" s="181"/>
      <c r="R13" s="181"/>
      <c r="S13" s="197">
        <v>99999</v>
      </c>
      <c r="T13" s="182"/>
      <c r="U13" s="107"/>
      <c r="W13" s="108"/>
      <c r="X13" s="107"/>
      <c r="AA13" s="181">
        <v>40</v>
      </c>
      <c r="AB13" s="196">
        <v>2200</v>
      </c>
      <c r="AC13" s="189">
        <v>2400</v>
      </c>
      <c r="AD13" s="181">
        <v>2550</v>
      </c>
      <c r="AE13" s="181">
        <v>2800</v>
      </c>
      <c r="AF13" s="197">
        <v>99999</v>
      </c>
      <c r="AG13" s="182"/>
      <c r="AH13" s="107"/>
      <c r="AJ13" s="108"/>
      <c r="AK13" s="107"/>
      <c r="AM13" s="108"/>
      <c r="AN13" s="107"/>
      <c r="AR13" s="21"/>
      <c r="AS13" s="21"/>
      <c r="AT13" s="21"/>
      <c r="AU13" s="108"/>
      <c r="AV13" s="107"/>
    </row>
    <row r="14" spans="1:55" ht="15" customHeight="1">
      <c r="A14" s="181">
        <v>45</v>
      </c>
      <c r="B14" s="198">
        <v>99999</v>
      </c>
      <c r="C14" s="199">
        <v>99999</v>
      </c>
      <c r="D14" s="199">
        <v>99999</v>
      </c>
      <c r="E14" s="199">
        <v>99999</v>
      </c>
      <c r="F14" s="201">
        <v>99999</v>
      </c>
      <c r="G14" s="182"/>
      <c r="H14" s="107"/>
      <c r="J14" s="108"/>
      <c r="K14" s="107"/>
      <c r="N14" s="181">
        <v>35</v>
      </c>
      <c r="O14" s="198">
        <v>99999</v>
      </c>
      <c r="P14" s="199">
        <v>99999</v>
      </c>
      <c r="Q14" s="199">
        <v>99999</v>
      </c>
      <c r="R14" s="199">
        <v>99999</v>
      </c>
      <c r="S14" s="201">
        <v>99999</v>
      </c>
      <c r="T14" s="182"/>
      <c r="U14" s="107"/>
      <c r="W14" s="108"/>
      <c r="X14" s="107"/>
      <c r="AA14" s="181">
        <v>45</v>
      </c>
      <c r="AB14" s="198">
        <v>99999</v>
      </c>
      <c r="AC14" s="199">
        <v>99999</v>
      </c>
      <c r="AD14" s="199">
        <v>99999</v>
      </c>
      <c r="AE14" s="199">
        <v>99999</v>
      </c>
      <c r="AF14" s="201">
        <v>99999</v>
      </c>
      <c r="AG14" s="182"/>
      <c r="AH14" s="107"/>
      <c r="AJ14" s="108"/>
      <c r="AK14" s="107"/>
      <c r="AM14" s="108"/>
      <c r="AN14" s="107"/>
      <c r="AR14" s="21"/>
      <c r="AS14" s="21"/>
      <c r="AT14" s="21"/>
      <c r="AU14" s="108"/>
      <c r="AV14" s="107"/>
    </row>
    <row r="15" spans="1:55" ht="15" customHeight="1">
      <c r="B15" s="182"/>
      <c r="C15" s="183"/>
      <c r="D15" s="181"/>
      <c r="E15" s="181"/>
      <c r="F15" s="181"/>
      <c r="G15" s="115"/>
      <c r="H15" s="115"/>
      <c r="I15" s="115"/>
      <c r="J15" s="108"/>
      <c r="K15" s="107"/>
      <c r="O15" s="182"/>
      <c r="P15" s="183"/>
      <c r="Q15" s="181"/>
      <c r="R15" s="181"/>
      <c r="S15" s="181"/>
      <c r="T15" s="115"/>
      <c r="U15" s="115"/>
      <c r="V15" s="115"/>
      <c r="W15" s="108"/>
      <c r="X15" s="107"/>
      <c r="Z15" s="108"/>
      <c r="AB15" s="182"/>
      <c r="AC15" s="183"/>
      <c r="AD15" s="181"/>
      <c r="AE15" s="181"/>
      <c r="AF15" s="181"/>
      <c r="AG15" s="115"/>
      <c r="AH15" s="115"/>
      <c r="AI15" s="115"/>
      <c r="AJ15" s="108"/>
      <c r="AK15" s="107"/>
      <c r="AM15" s="21"/>
      <c r="AN15" s="21"/>
      <c r="AO15" s="21"/>
      <c r="AP15" s="108"/>
      <c r="AQ15" s="107"/>
      <c r="AU15" s="21"/>
      <c r="AV15" s="21"/>
      <c r="AW15" s="21"/>
      <c r="AX15" s="108"/>
      <c r="AY15" s="107"/>
    </row>
    <row r="16" spans="1:55" ht="15" customHeight="1">
      <c r="B16" s="108" t="s">
        <v>157</v>
      </c>
      <c r="C16" s="107">
        <f>D1</f>
        <v>1177</v>
      </c>
      <c r="D16" s="374" t="s">
        <v>200</v>
      </c>
      <c r="E16" s="321"/>
      <c r="G16" s="21"/>
      <c r="H16" s="21"/>
      <c r="I16" s="21"/>
      <c r="J16" s="108"/>
      <c r="K16" s="107"/>
      <c r="L16" s="184"/>
      <c r="O16" s="108" t="s">
        <v>157</v>
      </c>
      <c r="P16" s="107">
        <f>D1</f>
        <v>1177</v>
      </c>
      <c r="Q16" s="374" t="s">
        <v>200</v>
      </c>
      <c r="R16" s="321"/>
      <c r="T16" s="21"/>
      <c r="U16" s="21"/>
      <c r="V16" s="21"/>
      <c r="W16" s="108"/>
      <c r="X16" s="107"/>
      <c r="Y16" s="184"/>
      <c r="Z16" s="108"/>
      <c r="AB16" s="108" t="s">
        <v>157</v>
      </c>
      <c r="AC16" s="107">
        <f>D1</f>
        <v>1177</v>
      </c>
      <c r="AD16" s="374" t="s">
        <v>200</v>
      </c>
      <c r="AE16" s="321"/>
      <c r="AG16" s="21"/>
      <c r="AH16" s="21"/>
      <c r="AI16" s="21"/>
      <c r="AJ16" s="108"/>
      <c r="AK16" s="107"/>
      <c r="AL16" s="184"/>
      <c r="AM16" s="21"/>
      <c r="AN16" s="21"/>
      <c r="AO16" s="21"/>
      <c r="AP16" s="108"/>
      <c r="AQ16" s="107"/>
      <c r="AR16" s="374"/>
      <c r="AS16" s="321"/>
      <c r="AU16" s="21"/>
      <c r="AV16" s="21"/>
      <c r="AW16" s="21"/>
      <c r="AX16" s="108"/>
      <c r="AY16" s="107"/>
      <c r="AZ16" s="374"/>
      <c r="BA16" s="321"/>
    </row>
    <row r="17" spans="1:53" ht="15" customHeight="1">
      <c r="B17" s="89" t="s">
        <v>201</v>
      </c>
      <c r="C17" s="109">
        <f>INDEX(B5:F5,MATCH(C16,B5:F5,1))</f>
        <v>1000</v>
      </c>
      <c r="D17" s="89" t="s">
        <v>155</v>
      </c>
      <c r="E17" s="104">
        <f>MATCH(MAX(A6:A14),A6:A14,1)</f>
        <v>9</v>
      </c>
      <c r="G17" s="21"/>
      <c r="H17" s="21"/>
      <c r="I17" s="21"/>
      <c r="J17" s="89"/>
      <c r="K17" s="109"/>
      <c r="L17" s="89"/>
      <c r="M17" s="104"/>
      <c r="O17" s="89" t="s">
        <v>201</v>
      </c>
      <c r="P17" s="109">
        <f>INDEX(O5:S5,MATCH(P16,O5:S5,1))</f>
        <v>1000</v>
      </c>
      <c r="Q17" s="89" t="s">
        <v>155</v>
      </c>
      <c r="R17" s="104">
        <f>MATCH(MAX(N6:N14),N6:N14,1)</f>
        <v>9</v>
      </c>
      <c r="T17" s="21"/>
      <c r="U17" s="21"/>
      <c r="V17" s="21"/>
      <c r="W17" s="89"/>
      <c r="X17" s="109"/>
      <c r="Y17" s="89"/>
      <c r="Z17" s="89"/>
      <c r="AB17" s="89" t="s">
        <v>201</v>
      </c>
      <c r="AC17" s="109">
        <f>INDEX(AB5:AF5,MATCH(AC16,AB5:AF5,1))</f>
        <v>1000</v>
      </c>
      <c r="AD17" s="89" t="s">
        <v>155</v>
      </c>
      <c r="AE17" s="104">
        <f>MATCH(MAX(AA6:AA14),AA6:AA14,1)</f>
        <v>9</v>
      </c>
      <c r="AG17" s="21"/>
      <c r="AH17" s="21"/>
      <c r="AI17" s="21"/>
      <c r="AJ17" s="89"/>
      <c r="AK17" s="109"/>
      <c r="AL17" s="89"/>
      <c r="AM17" s="21"/>
      <c r="AN17" s="21"/>
      <c r="AO17" s="21"/>
      <c r="AP17" s="89"/>
      <c r="AQ17" s="109"/>
      <c r="AR17" s="89"/>
      <c r="AS17" s="104"/>
      <c r="AU17" s="21"/>
      <c r="AV17" s="21"/>
      <c r="AW17" s="21"/>
      <c r="AX17" s="89"/>
      <c r="AY17" s="109"/>
      <c r="AZ17" s="89"/>
      <c r="BA17" s="104"/>
    </row>
    <row r="18" spans="1:53" ht="15" customHeight="1">
      <c r="B18" s="89" t="s">
        <v>202</v>
      </c>
      <c r="C18" s="109" cm="1">
        <f t="array" ref="C18">INDEX(B5:F5,IF(MATCH(C16,B5:F5,1)&lt;E18,MATCH(C16,B5:F5,1)+1,MATCH(C16,B5:F5,1)))</f>
        <v>2000</v>
      </c>
      <c r="D18" s="89" t="s">
        <v>156</v>
      </c>
      <c r="E18" s="104">
        <f>MATCH(MAX(B5:F5),B5:F5,0)</f>
        <v>5</v>
      </c>
      <c r="G18" s="21"/>
      <c r="H18" s="21"/>
      <c r="I18" s="21"/>
      <c r="J18" s="89"/>
      <c r="K18" s="109"/>
      <c r="L18" s="89"/>
      <c r="M18" s="104"/>
      <c r="O18" s="89" t="s">
        <v>202</v>
      </c>
      <c r="P18" s="109" cm="1">
        <f t="array" ref="P18">INDEX(O5:S5,IF(MATCH(P16,O5:S5,1)&lt;R18,MATCH(P16,O5:S5,1)+1,MATCH(P16,O5:S5,1)))</f>
        <v>2000</v>
      </c>
      <c r="Q18" s="89" t="s">
        <v>156</v>
      </c>
      <c r="R18" s="104">
        <f>MATCH(MAX(O5:S5),O5:S5,0)</f>
        <v>5</v>
      </c>
      <c r="T18" s="21"/>
      <c r="U18" s="21"/>
      <c r="V18" s="21"/>
      <c r="W18" s="89"/>
      <c r="X18" s="109"/>
      <c r="Y18" s="89"/>
      <c r="Z18" s="89"/>
      <c r="AB18" s="89" t="s">
        <v>202</v>
      </c>
      <c r="AC18" s="109" cm="1">
        <f t="array" ref="AC18">INDEX(AB5:AF5,IF(MATCH(AC16,AB5:AF5,1)&lt;AE18,MATCH(AC16,AB5:AF5,1)+1,MATCH(AC16,AB5:AF5,1)))</f>
        <v>2000</v>
      </c>
      <c r="AD18" s="89" t="s">
        <v>156</v>
      </c>
      <c r="AE18" s="104">
        <f>MATCH(MAX(AB5:AF5),AB5:AF5,0)</f>
        <v>5</v>
      </c>
      <c r="AG18" s="21"/>
      <c r="AH18" s="21"/>
      <c r="AI18" s="21"/>
      <c r="AJ18" s="89"/>
      <c r="AK18" s="109"/>
      <c r="AL18" s="89"/>
      <c r="AM18" s="21"/>
      <c r="AN18" s="21"/>
      <c r="AO18" s="21"/>
      <c r="AP18" s="89"/>
      <c r="AQ18" s="109"/>
      <c r="AR18" s="89"/>
      <c r="AS18" s="104"/>
      <c r="AU18" s="21"/>
      <c r="AV18" s="21"/>
      <c r="AW18" s="21"/>
      <c r="AX18" s="89"/>
      <c r="AY18" s="109"/>
      <c r="AZ18" s="89"/>
      <c r="BA18" s="104"/>
    </row>
    <row r="19" spans="1:53" ht="15" customHeight="1">
      <c r="B19" s="106" t="s">
        <v>158</v>
      </c>
      <c r="C19" s="110">
        <f>D2</f>
        <v>0</v>
      </c>
      <c r="D19" s="21"/>
      <c r="E19" s="21"/>
      <c r="G19" s="21"/>
      <c r="H19" s="21"/>
      <c r="I19" s="21"/>
      <c r="J19" s="106"/>
      <c r="K19" s="110"/>
      <c r="L19" s="21"/>
      <c r="M19" s="21"/>
      <c r="O19" s="106" t="s">
        <v>158</v>
      </c>
      <c r="P19" s="110">
        <f>D2</f>
        <v>0</v>
      </c>
      <c r="Q19" s="21"/>
      <c r="R19" s="21"/>
      <c r="T19" s="21"/>
      <c r="U19" s="21"/>
      <c r="V19" s="21"/>
      <c r="W19" s="106"/>
      <c r="X19" s="110"/>
      <c r="Y19" s="21"/>
      <c r="Z19" s="106"/>
      <c r="AB19" s="106" t="s">
        <v>158</v>
      </c>
      <c r="AC19" s="110">
        <f>D2</f>
        <v>0</v>
      </c>
      <c r="AD19" s="21"/>
      <c r="AE19" s="21"/>
      <c r="AG19" s="21"/>
      <c r="AH19" s="21"/>
      <c r="AI19" s="21"/>
      <c r="AJ19" s="106"/>
      <c r="AK19" s="110"/>
      <c r="AL19" s="21"/>
      <c r="AM19" s="21"/>
      <c r="AN19" s="21"/>
      <c r="AO19" s="21"/>
      <c r="AP19" s="106"/>
      <c r="AQ19" s="110"/>
      <c r="AR19" s="21"/>
      <c r="AS19" s="21"/>
      <c r="AU19" s="21"/>
      <c r="AV19" s="21"/>
      <c r="AW19" s="21"/>
      <c r="AX19" s="106"/>
      <c r="AY19" s="110"/>
      <c r="AZ19" s="21"/>
      <c r="BA19" s="21"/>
    </row>
    <row r="20" spans="1:53" ht="15" customHeight="1">
      <c r="B20" s="89" t="s">
        <v>159</v>
      </c>
      <c r="C20" s="109">
        <f>INDEX(A6:A14,MATCH(C19,A6:A14,1))</f>
        <v>0</v>
      </c>
      <c r="D20" s="21"/>
      <c r="E20" s="38"/>
      <c r="G20" s="21"/>
      <c r="H20" s="21"/>
      <c r="I20" s="21"/>
      <c r="J20" s="89"/>
      <c r="K20" s="109"/>
      <c r="L20" s="21"/>
      <c r="M20" s="38"/>
      <c r="O20" s="89" t="s">
        <v>159</v>
      </c>
      <c r="P20" s="109">
        <f>INDEX(N6:N14,MATCH(P19,N6:N14,1))</f>
        <v>0</v>
      </c>
      <c r="Q20" s="21"/>
      <c r="R20" s="38"/>
      <c r="T20" s="21"/>
      <c r="U20" s="21"/>
      <c r="V20" s="21"/>
      <c r="W20" s="89"/>
      <c r="X20" s="109"/>
      <c r="Y20" s="21"/>
      <c r="Z20" s="89"/>
      <c r="AB20" s="89" t="s">
        <v>159</v>
      </c>
      <c r="AC20" s="109">
        <f>INDEX(AA6:AA14,MATCH(AC19,AA6:AA14,1))</f>
        <v>0</v>
      </c>
      <c r="AD20" s="21"/>
      <c r="AE20" s="38"/>
      <c r="AG20" s="21"/>
      <c r="AH20" s="21"/>
      <c r="AI20" s="21"/>
      <c r="AJ20" s="89"/>
      <c r="AK20" s="109"/>
      <c r="AL20" s="21"/>
      <c r="AM20" s="21"/>
      <c r="AN20" s="21"/>
      <c r="AO20" s="21"/>
      <c r="AP20" s="89"/>
      <c r="AQ20" s="109"/>
      <c r="AR20" s="21"/>
      <c r="AS20" s="38"/>
      <c r="AU20" s="21"/>
      <c r="AV20" s="21"/>
      <c r="AW20" s="21"/>
      <c r="AX20" s="89"/>
      <c r="AY20" s="109"/>
      <c r="AZ20" s="21"/>
      <c r="BA20" s="38"/>
    </row>
    <row r="21" spans="1:53" ht="15" customHeight="1">
      <c r="B21" s="89" t="s">
        <v>160</v>
      </c>
      <c r="C21" s="109" cm="1">
        <f t="array" ref="C21">INDEX(A6:A14,IF(MATCH(C19,A6:A14,1)&lt;E17,MATCH(C19,A6:A14,1)+1,MATCH(C19,A6:A14,1)))</f>
        <v>10</v>
      </c>
      <c r="D21" s="21"/>
      <c r="E21" s="38"/>
      <c r="G21" s="21"/>
      <c r="H21" s="21"/>
      <c r="I21" s="21"/>
      <c r="J21" s="89"/>
      <c r="K21" s="109"/>
      <c r="L21" s="21"/>
      <c r="M21" s="38"/>
      <c r="O21" s="89" t="s">
        <v>160</v>
      </c>
      <c r="P21" s="109" cm="1">
        <f t="array" ref="P21">INDEX(N6:N14,IF(MATCH(P19,N6:N14,1)&lt;R17,MATCH(P19,N6:N14,1)+1,MATCH(P19,N6:N14,1)))</f>
        <v>10</v>
      </c>
      <c r="Q21" s="21"/>
      <c r="R21" s="38"/>
      <c r="T21" s="21"/>
      <c r="U21" s="21"/>
      <c r="V21" s="21"/>
      <c r="W21" s="89"/>
      <c r="X21" s="109"/>
      <c r="Y21" s="21"/>
      <c r="Z21" s="89"/>
      <c r="AB21" s="89" t="s">
        <v>160</v>
      </c>
      <c r="AC21" s="109" cm="1">
        <f t="array" ref="AC21">INDEX(AA6:AA14,IF(MATCH(AC19,AA6:AA14,1)&lt;AE17,MATCH(AC19,AA6:AA14,1)+1,MATCH(AC19,AA6:AA14,1)))</f>
        <v>10</v>
      </c>
      <c r="AD21" s="21"/>
      <c r="AE21" s="38"/>
      <c r="AG21" s="21"/>
      <c r="AH21" s="21"/>
      <c r="AI21" s="21"/>
      <c r="AJ21" s="89"/>
      <c r="AK21" s="109"/>
      <c r="AL21" s="21"/>
      <c r="AM21" s="21"/>
      <c r="AN21" s="21"/>
      <c r="AO21" s="21"/>
      <c r="AP21" s="89"/>
      <c r="AQ21" s="109"/>
      <c r="AR21" s="21"/>
      <c r="AS21" s="38"/>
      <c r="AU21" s="21"/>
      <c r="AV21" s="21"/>
      <c r="AW21" s="21"/>
      <c r="AX21" s="89"/>
      <c r="AY21" s="109"/>
      <c r="AZ21" s="21"/>
      <c r="BA21" s="38"/>
    </row>
    <row r="22" spans="1:53" ht="15" customHeight="1">
      <c r="B22" s="108" t="s">
        <v>161</v>
      </c>
      <c r="C22" s="107">
        <f>INDEX(B6:F14,MATCH(C19,A6:A14,1),MATCH(C16,B5:F5,1))</f>
        <v>1850</v>
      </c>
      <c r="D22" s="21"/>
      <c r="E22" s="38"/>
      <c r="G22" s="21"/>
      <c r="H22" s="21"/>
      <c r="I22" s="21"/>
      <c r="J22" s="108"/>
      <c r="K22" s="107"/>
      <c r="L22" s="21"/>
      <c r="M22" s="38"/>
      <c r="O22" s="108" t="s">
        <v>161</v>
      </c>
      <c r="P22" s="107">
        <f>INDEX(O6:S14,MATCH(P19,N6:N14,1),MATCH(P16,O5:S5,1))</f>
        <v>0</v>
      </c>
      <c r="Q22" s="21"/>
      <c r="R22" s="38"/>
      <c r="T22" s="21"/>
      <c r="U22" s="21"/>
      <c r="V22" s="21"/>
      <c r="W22" s="108"/>
      <c r="X22" s="107"/>
      <c r="Y22" s="21"/>
      <c r="Z22" s="108"/>
      <c r="AB22" s="108" t="s">
        <v>161</v>
      </c>
      <c r="AC22" s="107">
        <f>INDEX(AB6:AF14,MATCH(AC19,AA6:AA14,1),MATCH(AC16,AB5:AF5,1))</f>
        <v>1800</v>
      </c>
      <c r="AD22" s="21"/>
      <c r="AE22" s="38"/>
      <c r="AG22" s="21"/>
      <c r="AH22" s="21"/>
      <c r="AI22" s="21"/>
      <c r="AJ22" s="108"/>
      <c r="AK22" s="107"/>
      <c r="AL22" s="21"/>
      <c r="AM22" s="21"/>
      <c r="AN22" s="21"/>
      <c r="AO22" s="21"/>
      <c r="AP22" s="108"/>
      <c r="AQ22" s="107"/>
      <c r="AR22" s="21"/>
      <c r="AS22" s="38"/>
      <c r="AU22" s="21"/>
      <c r="AV22" s="21"/>
      <c r="AW22" s="21"/>
      <c r="AX22" s="108"/>
      <c r="AY22" s="107"/>
      <c r="AZ22" s="21"/>
      <c r="BA22" s="38"/>
    </row>
    <row r="23" spans="1:53" ht="15" customHeight="1">
      <c r="B23" s="108" t="s">
        <v>203</v>
      </c>
      <c r="C23" s="107" cm="1">
        <f t="array" ref="C23">INDEX(B6:F14,MATCH(C19,A6:A14,1),IF(MATCH(C16,B5:F5,1)&lt;E18,MATCH(C16,B5:F5,1)+1,MATCH(C19,A6:A14,1)))</f>
        <v>1960</v>
      </c>
      <c r="E23" s="38"/>
      <c r="G23" s="21"/>
      <c r="H23" s="21"/>
      <c r="I23" s="21"/>
      <c r="J23" s="108"/>
      <c r="K23" s="107"/>
      <c r="M23" s="38"/>
      <c r="O23" s="108" t="s">
        <v>203</v>
      </c>
      <c r="P23" s="107" cm="1">
        <f t="array" ref="P23">INDEX(O6:S14,MATCH(P19,N6:N14,1),IF(MATCH(P16,O5:S5,1)&lt;R18,MATCH(P16,O5:S5,1)+1,MATCH(P19,N6:N14,1)))</f>
        <v>0</v>
      </c>
      <c r="R23" s="38"/>
      <c r="T23" s="21"/>
      <c r="U23" s="21"/>
      <c r="V23" s="21"/>
      <c r="W23" s="108"/>
      <c r="X23" s="107"/>
      <c r="Z23" s="108"/>
      <c r="AB23" s="108" t="s">
        <v>203</v>
      </c>
      <c r="AC23" s="107" cm="1">
        <f t="array" ref="AC23">INDEX(AB6:AF14,MATCH(AC19,AA6:AA14,1),IF(MATCH(AC16,AB5:AF5,1)&lt;AE18,MATCH(AC16,AB5:AF5,1)+1,MATCH(AC19,AA6:AA14,1)))</f>
        <v>1890</v>
      </c>
      <c r="AE23" s="38"/>
      <c r="AG23" s="21"/>
      <c r="AH23" s="21"/>
      <c r="AI23" s="21"/>
      <c r="AJ23" s="108"/>
      <c r="AK23" s="107"/>
      <c r="AM23" s="21"/>
      <c r="AN23" s="21"/>
      <c r="AO23" s="21"/>
      <c r="AP23" s="108"/>
      <c r="AQ23" s="107"/>
      <c r="AS23" s="38"/>
      <c r="AU23" s="21"/>
      <c r="AV23" s="21"/>
      <c r="AW23" s="21"/>
      <c r="AX23" s="108"/>
      <c r="AY23" s="107"/>
      <c r="BA23" s="38"/>
    </row>
    <row r="24" spans="1:53" ht="15" customHeight="1">
      <c r="B24" s="108" t="s">
        <v>162</v>
      </c>
      <c r="C24" s="107" cm="1">
        <f t="array" ref="C24">INDEX(B6:F14,IF(MATCH(C19,A6:A14,1)&lt;E17,MATCH(C19,A6:A14,1)+1,MATCH(C19,A6:A14,1)),MATCH(C16,B5:F5,1))</f>
        <v>1950</v>
      </c>
      <c r="E24" s="38"/>
      <c r="G24" s="21"/>
      <c r="H24" s="21"/>
      <c r="I24" s="21"/>
      <c r="J24" s="108"/>
      <c r="K24" s="107"/>
      <c r="M24" s="38"/>
      <c r="O24" s="108" t="s">
        <v>162</v>
      </c>
      <c r="P24" s="107" cm="1">
        <f t="array" ref="P24">INDEX(O6:S14,IF(MATCH(P19,N6:N14,1)&lt;R17,MATCH(P19,N6:N14,1)+1,MATCH(P19,N6:N14,1)),MATCH(P16,O5:S5,1))</f>
        <v>0</v>
      </c>
      <c r="R24" s="38"/>
      <c r="T24" s="21"/>
      <c r="U24" s="21"/>
      <c r="V24" s="21"/>
      <c r="W24" s="108"/>
      <c r="X24" s="107"/>
      <c r="Z24" s="108"/>
      <c r="AB24" s="108" t="s">
        <v>162</v>
      </c>
      <c r="AC24" s="107" cm="1">
        <f t="array" ref="AC24">INDEX(AB6:AF14,IF(MATCH(AC19,AA6:AA14,1)&lt;AE17,MATCH(AC19,AA6:AA14,1)+1,MATCH(AC19,AA6:AA14,1)),MATCH(AC16,AB5:AF5,1))</f>
        <v>1900</v>
      </c>
      <c r="AE24" s="38"/>
      <c r="AG24" s="21"/>
      <c r="AH24" s="21"/>
      <c r="AI24" s="21"/>
      <c r="AJ24" s="108"/>
      <c r="AK24" s="107"/>
      <c r="AM24" s="21"/>
      <c r="AN24" s="21"/>
      <c r="AO24" s="21"/>
      <c r="AP24" s="108"/>
      <c r="AQ24" s="107"/>
      <c r="AS24" s="38"/>
      <c r="AU24" s="21"/>
      <c r="AV24" s="21"/>
      <c r="AW24" s="21"/>
      <c r="AX24" s="108"/>
      <c r="AY24" s="107"/>
      <c r="BA24" s="38"/>
    </row>
    <row r="25" spans="1:53" ht="15" customHeight="1">
      <c r="B25" s="108" t="s">
        <v>204</v>
      </c>
      <c r="C25" s="107" cm="1">
        <f t="array" ref="C25">INDEX(B6:F14,IF(MATCH(C19,A6:A14,1)&lt;E17,MATCH(C19,A6:A14,1)+1,MATCH(C19,A6:A14,1)),IF(MATCH(C16,B5:F5,1)&lt;E18,MATCH(C16,B5:F5,1)+1,MATCH(C16,B5:F5,1)))</f>
        <v>2100</v>
      </c>
      <c r="G25" s="21"/>
      <c r="H25" s="21"/>
      <c r="I25" s="21"/>
      <c r="J25" s="108"/>
      <c r="K25" s="107"/>
      <c r="O25" s="108" t="s">
        <v>204</v>
      </c>
      <c r="P25" s="107" cm="1">
        <f t="array" ref="P25">INDEX(O6:S14,IF(MATCH(P19,N6:N14,1)&lt;R17,MATCH(P19,N6:N14,1)+1,MATCH(P19,N6:N14,1)),IF(MATCH(P16,O5:S5,1)&lt;R18,MATCH(P16,O5:S5,1)+1,MATCH(P16,O5:S5,1)))</f>
        <v>0</v>
      </c>
      <c r="T25" s="21"/>
      <c r="U25" s="21"/>
      <c r="V25" s="21"/>
      <c r="W25" s="108"/>
      <c r="X25" s="107"/>
      <c r="Z25" s="108"/>
      <c r="AB25" s="108" t="s">
        <v>204</v>
      </c>
      <c r="AC25" s="107" cm="1">
        <f t="array" ref="AC25">INDEX(AB6:AF14,IF(MATCH(AC19,AA6:AA14,1)&lt;AE17,MATCH(AC19,AA6:AA14,1)+1,MATCH(AC19,AA6:AA14,1)),IF(MATCH(AC16,AB5:AF5,1)&lt;AE18,MATCH(AC16,AB5:AF5,1)+1,MATCH(AC16,AB5:AF5,1)))</f>
        <v>2000</v>
      </c>
      <c r="AG25" s="21"/>
      <c r="AH25" s="21"/>
      <c r="AI25" s="21"/>
      <c r="AJ25" s="108"/>
      <c r="AK25" s="107"/>
      <c r="AM25" s="21"/>
      <c r="AN25" s="21"/>
      <c r="AO25" s="21"/>
      <c r="AP25" s="108"/>
      <c r="AQ25" s="107"/>
      <c r="AU25" s="21"/>
      <c r="AV25" s="21"/>
      <c r="AW25" s="21"/>
      <c r="AX25" s="108"/>
      <c r="AY25" s="107"/>
    </row>
    <row r="26" spans="1:53" ht="15" customHeight="1">
      <c r="B26" s="89" t="s">
        <v>205</v>
      </c>
      <c r="C26" s="109">
        <f>IFERROR(C22+(C16-C17)*(C23-C22)/(C18-C17),C22)</f>
        <v>1869.47</v>
      </c>
      <c r="G26" s="21"/>
      <c r="H26" s="21"/>
      <c r="I26" s="21"/>
      <c r="J26" s="89"/>
      <c r="K26" s="109"/>
      <c r="O26" s="89" t="s">
        <v>205</v>
      </c>
      <c r="P26" s="109">
        <f>IFERROR(P22+(P16-P17)*(P23-P22)/(P18-P17),P22)</f>
        <v>0</v>
      </c>
      <c r="T26" s="21"/>
      <c r="U26" s="21"/>
      <c r="V26" s="21"/>
      <c r="W26" s="89"/>
      <c r="X26" s="109"/>
      <c r="Z26" s="89"/>
      <c r="AB26" s="89" t="s">
        <v>205</v>
      </c>
      <c r="AC26" s="109">
        <f>IFERROR(AC22+(AC16-AC17)*(AC23-AC22)/(AC18-AC17),AC22)</f>
        <v>1815.93</v>
      </c>
      <c r="AG26" s="21"/>
      <c r="AH26" s="21"/>
      <c r="AI26" s="21"/>
      <c r="AJ26" s="89"/>
      <c r="AK26" s="109"/>
      <c r="AM26" s="21"/>
      <c r="AN26" s="21"/>
      <c r="AO26" s="21"/>
      <c r="AP26" s="89"/>
      <c r="AQ26" s="109"/>
      <c r="AU26" s="21"/>
      <c r="AV26" s="21"/>
      <c r="AW26" s="21"/>
      <c r="AX26" s="89"/>
      <c r="AY26" s="109"/>
    </row>
    <row r="27" spans="1:53" ht="15" customHeight="1">
      <c r="B27" s="89" t="s">
        <v>206</v>
      </c>
      <c r="C27" s="109">
        <f>IFERROR(C24+(C16-C17)*(C25-C24)/(C18-C17),C24)</f>
        <v>1976.55</v>
      </c>
      <c r="G27" s="21"/>
      <c r="H27" s="21"/>
      <c r="I27" s="21"/>
      <c r="J27" s="89"/>
      <c r="K27" s="109"/>
      <c r="O27" s="89" t="s">
        <v>206</v>
      </c>
      <c r="P27" s="109">
        <f>IFERROR(P24+(P16-P17)*(P25-P24)/(P18-P17),P24)</f>
        <v>0</v>
      </c>
      <c r="T27" s="21"/>
      <c r="U27" s="21"/>
      <c r="V27" s="21"/>
      <c r="W27" s="89"/>
      <c r="X27" s="109"/>
      <c r="Z27" s="89"/>
      <c r="AB27" s="89" t="s">
        <v>206</v>
      </c>
      <c r="AC27" s="109">
        <f>IFERROR(AC24+(AC16-AC17)*(AC25-AC24)/(AC18-AC17),AC24)</f>
        <v>1917.7</v>
      </c>
      <c r="AG27" s="21"/>
      <c r="AH27" s="21"/>
      <c r="AI27" s="21"/>
      <c r="AJ27" s="89"/>
      <c r="AK27" s="109"/>
      <c r="AM27" s="21"/>
      <c r="AN27" s="21"/>
      <c r="AO27" s="21"/>
      <c r="AP27" s="89"/>
      <c r="AQ27" s="109"/>
      <c r="AU27" s="21"/>
      <c r="AV27" s="21"/>
      <c r="AW27" s="21"/>
      <c r="AX27" s="89"/>
      <c r="AY27" s="109"/>
    </row>
    <row r="28" spans="1:53" ht="15" customHeight="1">
      <c r="B28" s="108" t="s">
        <v>207</v>
      </c>
      <c r="C28" s="107">
        <f>IFERROR(C26+(C19-C20)*(C27-C26)/(C21-C20),C26)</f>
        <v>1869.47</v>
      </c>
      <c r="G28" s="21"/>
      <c r="H28" s="21"/>
      <c r="I28" s="21"/>
      <c r="J28" s="108"/>
      <c r="K28" s="107"/>
      <c r="O28" s="108" t="s">
        <v>207</v>
      </c>
      <c r="P28" s="107">
        <f>IFERROR(P26+(P19-P20)*(P27-P26)/(P21-P20),P26)</f>
        <v>0</v>
      </c>
      <c r="T28" s="21"/>
      <c r="U28" s="21"/>
      <c r="V28" s="21"/>
      <c r="W28" s="108"/>
      <c r="X28" s="107"/>
      <c r="Z28" s="108"/>
      <c r="AB28" s="108" t="s">
        <v>207</v>
      </c>
      <c r="AC28" s="107">
        <f>IFERROR(AC26+(AC19-AC20)*(AC27-AC26)/(AC21-AC20),AC26)</f>
        <v>1815.93</v>
      </c>
      <c r="AG28" s="21"/>
      <c r="AH28" s="21"/>
      <c r="AI28" s="21"/>
      <c r="AJ28" s="108"/>
      <c r="AK28" s="107"/>
      <c r="AM28" s="21"/>
      <c r="AN28" s="21"/>
      <c r="AO28" s="21"/>
      <c r="AP28" s="108"/>
      <c r="AQ28" s="107"/>
      <c r="AU28" s="21"/>
      <c r="AV28" s="21"/>
      <c r="AW28" s="21"/>
      <c r="AX28" s="108"/>
      <c r="AY28" s="107"/>
    </row>
    <row r="30" spans="1:53" ht="15" customHeight="1" thickBot="1">
      <c r="A30" s="181"/>
      <c r="B30" s="386" t="s">
        <v>208</v>
      </c>
      <c r="C30" s="386"/>
      <c r="D30" s="386"/>
      <c r="E30" s="386"/>
      <c r="F30" s="386"/>
      <c r="G30" s="386"/>
      <c r="H30" s="188"/>
      <c r="I30" s="188"/>
      <c r="J30" s="188"/>
      <c r="K30" s="188"/>
      <c r="L30" s="188"/>
      <c r="M30" s="188"/>
      <c r="N30" s="181"/>
      <c r="O30" s="386" t="s">
        <v>208</v>
      </c>
      <c r="P30" s="386"/>
      <c r="Q30" s="386"/>
      <c r="R30" s="386"/>
      <c r="S30" s="386"/>
      <c r="T30" s="386"/>
      <c r="U30" s="188"/>
      <c r="V30" s="188"/>
      <c r="W30" s="188"/>
      <c r="X30" s="188"/>
      <c r="Y30" s="188"/>
      <c r="AA30" s="181"/>
      <c r="AB30" s="386" t="s">
        <v>208</v>
      </c>
      <c r="AC30" s="386"/>
      <c r="AD30" s="386"/>
      <c r="AE30" s="386"/>
      <c r="AF30" s="386"/>
      <c r="AG30" s="386"/>
      <c r="AH30" s="188"/>
      <c r="AI30" s="188"/>
      <c r="AJ30" s="188"/>
      <c r="AK30" s="188"/>
      <c r="AL30" s="188"/>
    </row>
    <row r="31" spans="1:53" ht="15" customHeight="1" thickBot="1">
      <c r="A31" s="181" t="s">
        <v>29</v>
      </c>
      <c r="B31" s="185">
        <v>1600</v>
      </c>
      <c r="C31" s="186">
        <v>2100</v>
      </c>
      <c r="D31" s="187">
        <v>2500</v>
      </c>
      <c r="E31" s="187">
        <v>3000</v>
      </c>
      <c r="F31" s="194">
        <v>3500</v>
      </c>
      <c r="G31" s="181"/>
      <c r="H31" s="181"/>
      <c r="I31" s="181"/>
      <c r="J31" s="181"/>
      <c r="K31" s="181"/>
      <c r="L31" s="181"/>
      <c r="M31" s="181"/>
      <c r="N31" s="181" t="s">
        <v>29</v>
      </c>
      <c r="O31" s="185">
        <v>1900</v>
      </c>
      <c r="P31" s="186">
        <v>2350</v>
      </c>
      <c r="Q31" s="187">
        <v>2850</v>
      </c>
      <c r="R31" s="187">
        <v>3350</v>
      </c>
      <c r="S31" s="194">
        <v>4500</v>
      </c>
      <c r="T31" s="181"/>
      <c r="U31" s="181"/>
      <c r="V31" s="181"/>
      <c r="W31" s="181"/>
      <c r="X31" s="181"/>
      <c r="AA31" s="181" t="s">
        <v>29</v>
      </c>
      <c r="AB31" s="185">
        <v>1550</v>
      </c>
      <c r="AC31" s="186">
        <v>2000</v>
      </c>
      <c r="AD31" s="187">
        <v>2500</v>
      </c>
      <c r="AE31" s="187">
        <v>3050</v>
      </c>
      <c r="AF31" s="194">
        <v>4500</v>
      </c>
      <c r="AG31" s="181"/>
      <c r="AH31" s="181"/>
      <c r="AI31" s="181"/>
      <c r="AJ31" s="181"/>
      <c r="AK31" s="181"/>
    </row>
    <row r="32" spans="1:53" ht="15" customHeight="1">
      <c r="A32" s="181">
        <v>9000</v>
      </c>
      <c r="B32" s="191">
        <v>1200</v>
      </c>
      <c r="C32" s="192">
        <v>1500</v>
      </c>
      <c r="D32" s="193">
        <v>1800</v>
      </c>
      <c r="E32" s="193">
        <v>2100</v>
      </c>
      <c r="F32" s="194">
        <v>99999</v>
      </c>
      <c r="G32" s="181"/>
      <c r="H32" s="181"/>
      <c r="I32" s="181"/>
      <c r="J32" s="181"/>
      <c r="K32" s="181"/>
      <c r="L32" s="181"/>
      <c r="M32" s="181"/>
      <c r="N32" s="181">
        <v>10000</v>
      </c>
      <c r="O32" s="191"/>
      <c r="P32" s="192"/>
      <c r="Q32" s="193"/>
      <c r="R32" s="193"/>
      <c r="S32" s="194">
        <v>99999</v>
      </c>
      <c r="T32" s="181"/>
      <c r="U32" s="181"/>
      <c r="V32" s="181"/>
      <c r="W32" s="181"/>
      <c r="X32" s="181"/>
      <c r="AA32" s="181">
        <v>9000</v>
      </c>
      <c r="AB32" s="191">
        <v>1190</v>
      </c>
      <c r="AC32" s="192">
        <v>1500</v>
      </c>
      <c r="AD32" s="193">
        <v>1850</v>
      </c>
      <c r="AE32" s="193">
        <v>2200</v>
      </c>
      <c r="AF32" s="194">
        <v>99999</v>
      </c>
      <c r="AG32" s="181"/>
      <c r="AH32" s="181"/>
      <c r="AI32" s="181"/>
      <c r="AJ32" s="181"/>
      <c r="AK32" s="181"/>
    </row>
    <row r="33" spans="1:38" ht="15" customHeight="1">
      <c r="A33" s="181">
        <v>9500</v>
      </c>
      <c r="B33" s="196">
        <v>1290</v>
      </c>
      <c r="C33" s="189">
        <v>1600</v>
      </c>
      <c r="D33" s="181">
        <v>1900</v>
      </c>
      <c r="E33" s="181">
        <v>2250</v>
      </c>
      <c r="F33" s="197">
        <v>99999</v>
      </c>
      <c r="G33" s="181"/>
      <c r="H33" s="181"/>
      <c r="I33" s="181"/>
      <c r="J33" s="181"/>
      <c r="K33" s="181"/>
      <c r="L33" s="181"/>
      <c r="M33" s="181"/>
      <c r="N33" s="181">
        <v>11000</v>
      </c>
      <c r="O33" s="196"/>
      <c r="P33" s="189"/>
      <c r="Q33" s="181"/>
      <c r="R33" s="181"/>
      <c r="S33" s="197">
        <v>99999</v>
      </c>
      <c r="T33" s="181"/>
      <c r="U33" s="181"/>
      <c r="V33" s="181"/>
      <c r="W33" s="181"/>
      <c r="X33" s="181"/>
      <c r="AA33" s="181">
        <v>9500</v>
      </c>
      <c r="AB33" s="196">
        <v>1220</v>
      </c>
      <c r="AC33" s="189">
        <v>1550</v>
      </c>
      <c r="AD33" s="181">
        <v>1950</v>
      </c>
      <c r="AE33" s="181">
        <v>2300</v>
      </c>
      <c r="AF33" s="197">
        <v>99999</v>
      </c>
      <c r="AG33" s="181"/>
      <c r="AH33" s="181"/>
      <c r="AI33" s="181"/>
      <c r="AJ33" s="181"/>
      <c r="AK33" s="181"/>
    </row>
    <row r="34" spans="1:38" ht="15" customHeight="1">
      <c r="A34" s="181">
        <v>10000</v>
      </c>
      <c r="B34" s="196">
        <v>1350</v>
      </c>
      <c r="C34" s="189">
        <v>1680</v>
      </c>
      <c r="D34" s="181">
        <v>2000</v>
      </c>
      <c r="E34" s="181">
        <v>2370</v>
      </c>
      <c r="F34" s="197">
        <v>99999</v>
      </c>
      <c r="G34" s="181"/>
      <c r="H34" s="181"/>
      <c r="I34" s="181"/>
      <c r="J34" s="181"/>
      <c r="K34" s="181"/>
      <c r="L34" s="181"/>
      <c r="M34" s="181"/>
      <c r="N34" s="181">
        <v>12000</v>
      </c>
      <c r="O34" s="196"/>
      <c r="P34" s="189"/>
      <c r="Q34" s="181"/>
      <c r="R34" s="181"/>
      <c r="S34" s="197">
        <v>99999</v>
      </c>
      <c r="T34" s="181"/>
      <c r="U34" s="181"/>
      <c r="V34" s="181"/>
      <c r="W34" s="181"/>
      <c r="X34" s="181"/>
      <c r="AA34" s="181">
        <v>10000</v>
      </c>
      <c r="AB34" s="196">
        <v>1300</v>
      </c>
      <c r="AC34" s="189">
        <v>1640</v>
      </c>
      <c r="AD34" s="181">
        <v>2050</v>
      </c>
      <c r="AE34" s="181">
        <v>2400</v>
      </c>
      <c r="AF34" s="197">
        <v>99999</v>
      </c>
      <c r="AG34" s="181"/>
      <c r="AH34" s="181"/>
      <c r="AI34" s="181"/>
      <c r="AJ34" s="181"/>
      <c r="AK34" s="181"/>
    </row>
    <row r="35" spans="1:38" ht="15" customHeight="1">
      <c r="A35" s="181">
        <v>10500</v>
      </c>
      <c r="B35" s="196">
        <v>1400</v>
      </c>
      <c r="C35" s="189">
        <v>1750</v>
      </c>
      <c r="D35" s="181">
        <v>2100</v>
      </c>
      <c r="E35" s="181">
        <v>2500</v>
      </c>
      <c r="F35" s="197">
        <v>99999</v>
      </c>
      <c r="G35" s="181"/>
      <c r="H35" s="181"/>
      <c r="I35" s="181"/>
      <c r="J35" s="181"/>
      <c r="K35" s="181"/>
      <c r="L35" s="181"/>
      <c r="M35" s="181"/>
      <c r="N35" s="181">
        <v>13000</v>
      </c>
      <c r="O35" s="196"/>
      <c r="P35" s="189"/>
      <c r="Q35" s="181"/>
      <c r="R35" s="181"/>
      <c r="S35" s="197">
        <v>99999</v>
      </c>
      <c r="T35" s="181"/>
      <c r="U35" s="181"/>
      <c r="V35" s="181"/>
      <c r="W35" s="181"/>
      <c r="X35" s="181"/>
      <c r="AA35" s="181">
        <v>10500</v>
      </c>
      <c r="AB35" s="196">
        <v>1350</v>
      </c>
      <c r="AC35" s="189">
        <v>1700</v>
      </c>
      <c r="AD35" s="181">
        <v>2150</v>
      </c>
      <c r="AE35" s="181">
        <v>2550</v>
      </c>
      <c r="AF35" s="197">
        <v>99999</v>
      </c>
      <c r="AG35" s="181"/>
      <c r="AH35" s="181"/>
      <c r="AI35" s="181"/>
      <c r="AJ35" s="181"/>
      <c r="AK35" s="181"/>
    </row>
    <row r="36" spans="1:38" ht="15" customHeight="1">
      <c r="A36" s="181">
        <v>11000</v>
      </c>
      <c r="B36" s="196">
        <v>1450</v>
      </c>
      <c r="C36" s="189">
        <v>1820</v>
      </c>
      <c r="D36" s="181">
        <v>2200</v>
      </c>
      <c r="E36" s="181">
        <v>2600</v>
      </c>
      <c r="F36" s="197">
        <v>99999</v>
      </c>
      <c r="G36" s="181"/>
      <c r="H36" s="181"/>
      <c r="I36" s="181"/>
      <c r="J36" s="181"/>
      <c r="K36" s="181"/>
      <c r="L36" s="181"/>
      <c r="M36" s="181"/>
      <c r="N36" s="181">
        <v>14000</v>
      </c>
      <c r="O36" s="196"/>
      <c r="P36" s="189"/>
      <c r="Q36" s="181"/>
      <c r="R36" s="181"/>
      <c r="S36" s="197">
        <v>99999</v>
      </c>
      <c r="T36" s="181"/>
      <c r="U36" s="181"/>
      <c r="V36" s="181"/>
      <c r="W36" s="181"/>
      <c r="X36" s="181"/>
      <c r="AA36" s="181">
        <v>11000</v>
      </c>
      <c r="AB36" s="196">
        <v>1400</v>
      </c>
      <c r="AC36" s="189">
        <v>1800</v>
      </c>
      <c r="AD36" s="181">
        <v>2250</v>
      </c>
      <c r="AE36" s="181">
        <v>2700</v>
      </c>
      <c r="AF36" s="197">
        <v>99999</v>
      </c>
      <c r="AG36" s="181"/>
      <c r="AH36" s="181"/>
      <c r="AI36" s="181"/>
      <c r="AJ36" s="181"/>
      <c r="AK36" s="181"/>
    </row>
    <row r="37" spans="1:38" ht="15" customHeight="1">
      <c r="A37" s="181">
        <v>11500</v>
      </c>
      <c r="B37" s="196">
        <v>1500</v>
      </c>
      <c r="C37" s="189">
        <v>1900</v>
      </c>
      <c r="D37" s="181">
        <v>2300</v>
      </c>
      <c r="E37" s="181">
        <v>2700</v>
      </c>
      <c r="F37" s="197">
        <v>99999</v>
      </c>
      <c r="G37" s="181"/>
      <c r="H37" s="181"/>
      <c r="I37" s="181"/>
      <c r="J37" s="181"/>
      <c r="K37" s="181"/>
      <c r="L37" s="181"/>
      <c r="M37" s="181"/>
      <c r="N37" s="181">
        <v>15000</v>
      </c>
      <c r="O37" s="196"/>
      <c r="P37" s="189"/>
      <c r="Q37" s="181"/>
      <c r="R37" s="181"/>
      <c r="S37" s="197">
        <v>99999</v>
      </c>
      <c r="T37" s="181"/>
      <c r="U37" s="181"/>
      <c r="V37" s="181"/>
      <c r="W37" s="181"/>
      <c r="X37" s="181"/>
      <c r="AA37" s="181">
        <v>11500</v>
      </c>
      <c r="AB37" s="196">
        <v>1450</v>
      </c>
      <c r="AC37" s="189">
        <v>1870</v>
      </c>
      <c r="AD37" s="181">
        <v>2320</v>
      </c>
      <c r="AE37" s="181">
        <v>2800</v>
      </c>
      <c r="AF37" s="197">
        <v>99999</v>
      </c>
      <c r="AG37" s="181"/>
      <c r="AH37" s="181"/>
      <c r="AI37" s="181"/>
      <c r="AJ37" s="181"/>
      <c r="AK37" s="181"/>
    </row>
    <row r="38" spans="1:38" ht="15" customHeight="1">
      <c r="A38" s="181">
        <v>12000</v>
      </c>
      <c r="B38" s="196">
        <v>1550</v>
      </c>
      <c r="C38" s="189">
        <v>2000</v>
      </c>
      <c r="D38" s="181">
        <v>2400</v>
      </c>
      <c r="E38" s="181">
        <v>2850</v>
      </c>
      <c r="F38" s="197">
        <v>99999</v>
      </c>
      <c r="G38" s="181"/>
      <c r="H38" s="181"/>
      <c r="I38" s="181"/>
      <c r="J38" s="181"/>
      <c r="K38" s="181"/>
      <c r="L38" s="181"/>
      <c r="M38" s="181"/>
      <c r="N38" s="181">
        <v>16000</v>
      </c>
      <c r="O38" s="196"/>
      <c r="P38" s="189"/>
      <c r="Q38" s="181"/>
      <c r="R38" s="181"/>
      <c r="S38" s="197">
        <v>99999</v>
      </c>
      <c r="T38" s="181"/>
      <c r="U38" s="181"/>
      <c r="V38" s="181"/>
      <c r="W38" s="181"/>
      <c r="X38" s="181"/>
      <c r="AA38" s="181">
        <v>12000</v>
      </c>
      <c r="AB38" s="196">
        <v>1500</v>
      </c>
      <c r="AC38" s="189">
        <v>1950</v>
      </c>
      <c r="AD38" s="181">
        <v>2420</v>
      </c>
      <c r="AE38" s="181">
        <v>2900</v>
      </c>
      <c r="AF38" s="197">
        <v>99999</v>
      </c>
      <c r="AG38" s="181"/>
      <c r="AH38" s="181"/>
      <c r="AI38" s="181"/>
      <c r="AJ38" s="181"/>
      <c r="AK38" s="181"/>
    </row>
    <row r="39" spans="1:38" ht="15" customHeight="1" thickBot="1">
      <c r="A39" s="181">
        <v>12500</v>
      </c>
      <c r="B39" s="198">
        <v>1600</v>
      </c>
      <c r="C39" s="199">
        <v>2100</v>
      </c>
      <c r="D39" s="200">
        <v>2500</v>
      </c>
      <c r="E39" s="200">
        <v>3000</v>
      </c>
      <c r="F39" s="197">
        <v>99999</v>
      </c>
      <c r="G39" s="181"/>
      <c r="H39" s="181"/>
      <c r="I39" s="181"/>
      <c r="J39" s="181"/>
      <c r="K39" s="181"/>
      <c r="L39" s="181"/>
      <c r="M39" s="181"/>
      <c r="N39" s="181">
        <v>16600</v>
      </c>
      <c r="O39" s="198"/>
      <c r="P39" s="199"/>
      <c r="Q39" s="200"/>
      <c r="R39" s="200"/>
      <c r="S39" s="197">
        <v>99999</v>
      </c>
      <c r="T39" s="181"/>
      <c r="U39" s="181"/>
      <c r="V39" s="181"/>
      <c r="W39" s="181"/>
      <c r="X39" s="181"/>
      <c r="AA39" s="181">
        <v>12500</v>
      </c>
      <c r="AB39" s="198">
        <v>1550</v>
      </c>
      <c r="AC39" s="199">
        <v>2000</v>
      </c>
      <c r="AD39" s="200">
        <v>2500</v>
      </c>
      <c r="AE39" s="200">
        <v>3050</v>
      </c>
      <c r="AF39" s="197">
        <v>99999</v>
      </c>
      <c r="AG39" s="181"/>
      <c r="AH39" s="181"/>
      <c r="AI39" s="181"/>
      <c r="AJ39" s="181"/>
      <c r="AK39" s="181"/>
    </row>
    <row r="40" spans="1:38" ht="15" customHeight="1" thickBot="1">
      <c r="A40" s="181">
        <v>12600</v>
      </c>
      <c r="B40" s="198">
        <v>99999</v>
      </c>
      <c r="C40" s="199">
        <v>99999</v>
      </c>
      <c r="D40" s="199">
        <v>99999</v>
      </c>
      <c r="E40" s="199">
        <v>99999</v>
      </c>
      <c r="F40" s="212">
        <v>99999</v>
      </c>
      <c r="G40" s="189"/>
      <c r="H40" s="189"/>
      <c r="I40" s="189"/>
      <c r="J40" s="189"/>
      <c r="K40" s="189"/>
      <c r="L40" s="189"/>
      <c r="M40" s="190"/>
      <c r="N40" s="181">
        <v>16700</v>
      </c>
      <c r="O40" s="198">
        <v>99999</v>
      </c>
      <c r="P40" s="199">
        <v>99999</v>
      </c>
      <c r="Q40" s="199">
        <v>99999</v>
      </c>
      <c r="R40" s="199">
        <v>99999</v>
      </c>
      <c r="S40" s="212">
        <v>99999</v>
      </c>
      <c r="T40" s="189"/>
      <c r="U40" s="189"/>
      <c r="V40" s="189"/>
      <c r="W40" s="189"/>
      <c r="X40" s="189"/>
      <c r="AA40" s="181">
        <v>12600</v>
      </c>
      <c r="AB40" s="198">
        <v>99999</v>
      </c>
      <c r="AC40" s="199">
        <v>99999</v>
      </c>
      <c r="AD40" s="199">
        <v>99999</v>
      </c>
      <c r="AE40" s="199">
        <v>99999</v>
      </c>
      <c r="AF40" s="212">
        <v>99999</v>
      </c>
      <c r="AG40" s="189"/>
      <c r="AH40" s="189"/>
      <c r="AI40" s="189"/>
      <c r="AJ40" s="189"/>
      <c r="AK40" s="189"/>
    </row>
    <row r="41" spans="1:38" ht="15" customHeight="1">
      <c r="B41" s="182"/>
      <c r="C41" s="183"/>
      <c r="D41" s="181"/>
      <c r="E41" s="181"/>
      <c r="F41" s="181"/>
      <c r="G41" s="115"/>
      <c r="H41" s="115"/>
      <c r="I41" s="115"/>
      <c r="J41" s="182"/>
      <c r="K41" s="183"/>
      <c r="L41" s="181"/>
      <c r="M41" s="181"/>
      <c r="O41" s="182"/>
      <c r="P41" s="183"/>
      <c r="Q41" s="181"/>
      <c r="R41" s="181"/>
      <c r="S41" s="181"/>
      <c r="T41" s="115"/>
      <c r="U41" s="115"/>
      <c r="V41" s="115"/>
      <c r="W41" s="182"/>
      <c r="X41" s="183"/>
      <c r="Y41" s="181"/>
      <c r="AB41" s="182"/>
      <c r="AC41" s="183"/>
      <c r="AD41" s="181"/>
      <c r="AE41" s="181"/>
      <c r="AF41" s="181"/>
      <c r="AG41" s="115"/>
      <c r="AH41" s="115"/>
      <c r="AI41" s="115"/>
      <c r="AJ41" s="182"/>
      <c r="AK41" s="183"/>
      <c r="AL41" s="181"/>
    </row>
    <row r="42" spans="1:38" ht="15" customHeight="1">
      <c r="B42" s="108" t="s">
        <v>157</v>
      </c>
      <c r="C42" s="107">
        <f>C28</f>
        <v>1869.47</v>
      </c>
      <c r="D42" s="374" t="s">
        <v>200</v>
      </c>
      <c r="E42" s="321"/>
      <c r="G42" s="21"/>
      <c r="H42" s="21"/>
      <c r="I42" s="21"/>
      <c r="J42" s="108"/>
      <c r="K42" s="107"/>
      <c r="L42" s="184"/>
      <c r="O42" s="108" t="s">
        <v>157</v>
      </c>
      <c r="P42" s="107">
        <f>P28</f>
        <v>0</v>
      </c>
      <c r="Q42" s="374" t="s">
        <v>200</v>
      </c>
      <c r="R42" s="321"/>
      <c r="T42" s="21"/>
      <c r="U42" s="21"/>
      <c r="V42" s="21"/>
      <c r="W42" s="108"/>
      <c r="X42" s="107"/>
      <c r="Y42" s="184"/>
      <c r="AB42" s="108" t="s">
        <v>157</v>
      </c>
      <c r="AC42" s="107">
        <f>AC28</f>
        <v>1815.93</v>
      </c>
      <c r="AD42" s="374" t="s">
        <v>200</v>
      </c>
      <c r="AE42" s="321"/>
      <c r="AG42" s="21"/>
      <c r="AH42" s="21"/>
      <c r="AI42" s="21"/>
      <c r="AJ42" s="108"/>
      <c r="AK42" s="107"/>
      <c r="AL42" s="184"/>
    </row>
    <row r="43" spans="1:38" ht="15" customHeight="1">
      <c r="B43" s="89" t="s">
        <v>201</v>
      </c>
      <c r="C43" s="109">
        <f>INDEX(B31:F31,MATCH(C42,B31:F31,1))</f>
        <v>1600</v>
      </c>
      <c r="D43" s="89" t="s">
        <v>155</v>
      </c>
      <c r="E43" s="104">
        <f>MATCH(MAX(A32:A40),A32:A40,1)</f>
        <v>9</v>
      </c>
      <c r="G43" s="21"/>
      <c r="H43" s="21"/>
      <c r="I43" s="21"/>
      <c r="J43" s="89"/>
      <c r="K43" s="109"/>
      <c r="L43" s="89"/>
      <c r="M43" s="104"/>
      <c r="O43" s="89" t="s">
        <v>201</v>
      </c>
      <c r="P43" s="109" t="e">
        <f>INDEX(O31:S31,MATCH(P42,O31:S31,1))</f>
        <v>#N/A</v>
      </c>
      <c r="Q43" s="89" t="s">
        <v>155</v>
      </c>
      <c r="R43" s="104">
        <f>MATCH(MAX(N32:N40),N32:N40,1)</f>
        <v>9</v>
      </c>
      <c r="T43" s="21"/>
      <c r="U43" s="21"/>
      <c r="V43" s="21"/>
      <c r="W43" s="89"/>
      <c r="X43" s="109"/>
      <c r="Y43" s="89"/>
      <c r="AB43" s="89" t="s">
        <v>201</v>
      </c>
      <c r="AC43" s="109">
        <f>INDEX(AB31:AF31,MATCH(AC42,AB31:AF31,1))</f>
        <v>1550</v>
      </c>
      <c r="AD43" s="89" t="s">
        <v>155</v>
      </c>
      <c r="AE43" s="104">
        <f>MATCH(MAX(AA32:AA40),AA32:AA40,1)</f>
        <v>9</v>
      </c>
      <c r="AG43" s="21"/>
      <c r="AH43" s="21"/>
      <c r="AI43" s="21"/>
      <c r="AJ43" s="89"/>
      <c r="AK43" s="109"/>
      <c r="AL43" s="89"/>
    </row>
    <row r="44" spans="1:38" ht="15" customHeight="1">
      <c r="B44" s="89" t="s">
        <v>202</v>
      </c>
      <c r="C44" s="109" cm="1">
        <f t="array" ref="C44">INDEX(B31:F31,IF(MATCH(C42,B31:F31,1)&lt;E44,MATCH(C42,B31:F31,1)+1,MATCH(C42,B31:F31,1)))</f>
        <v>2100</v>
      </c>
      <c r="D44" s="89" t="s">
        <v>156</v>
      </c>
      <c r="E44" s="104">
        <f>MATCH(MAX(B31:F31),B31:F31,0)</f>
        <v>5</v>
      </c>
      <c r="G44" s="21"/>
      <c r="H44" s="21"/>
      <c r="I44" s="21"/>
      <c r="J44" s="89"/>
      <c r="K44" s="109"/>
      <c r="L44" s="89"/>
      <c r="M44" s="104"/>
      <c r="O44" s="89" t="s">
        <v>202</v>
      </c>
      <c r="P44" s="109" t="e" cm="1">
        <f t="array" ref="P44">INDEX(O31:S31,IF(MATCH(P42,O31:S31,1)&lt;R44,MATCH(P42,O31:S31,1)+1,MATCH(P42,O31:S31,1)))</f>
        <v>#N/A</v>
      </c>
      <c r="Q44" s="89" t="s">
        <v>156</v>
      </c>
      <c r="R44" s="104">
        <f>MATCH(MAX(O31:S31),O31:S31,0)</f>
        <v>5</v>
      </c>
      <c r="T44" s="21"/>
      <c r="U44" s="21"/>
      <c r="V44" s="21"/>
      <c r="W44" s="89"/>
      <c r="X44" s="109"/>
      <c r="Y44" s="89"/>
      <c r="AB44" s="89" t="s">
        <v>202</v>
      </c>
      <c r="AC44" s="109" cm="1">
        <f t="array" ref="AC44">INDEX(AB31:AF31,IF(MATCH(AC42,AB31:AF31,1)&lt;AE44,MATCH(AC42,AB31:AF31,1)+1,MATCH(AC42,AB31:AF31,1)))</f>
        <v>2000</v>
      </c>
      <c r="AD44" s="89" t="s">
        <v>156</v>
      </c>
      <c r="AE44" s="104">
        <f>MATCH(MAX(AB31:AF31),AB31:AF31,0)</f>
        <v>5</v>
      </c>
      <c r="AG44" s="21"/>
      <c r="AH44" s="21"/>
      <c r="AI44" s="21"/>
      <c r="AJ44" s="89"/>
      <c r="AK44" s="109"/>
      <c r="AL44" s="89"/>
    </row>
    <row r="45" spans="1:38" ht="15" customHeight="1">
      <c r="B45" s="106" t="s">
        <v>158</v>
      </c>
      <c r="C45" s="110">
        <f>'Take-off'!$C$14</f>
        <v>12350</v>
      </c>
      <c r="D45" s="21"/>
      <c r="E45" s="21"/>
      <c r="G45" s="21"/>
      <c r="H45" s="21"/>
      <c r="I45" s="21"/>
      <c r="J45" s="106"/>
      <c r="K45" s="110"/>
      <c r="L45" s="21"/>
      <c r="M45" s="21"/>
      <c r="O45" s="106" t="s">
        <v>158</v>
      </c>
      <c r="P45" s="110">
        <f>'Take-off'!$C$14</f>
        <v>12350</v>
      </c>
      <c r="Q45" s="21"/>
      <c r="R45" s="21"/>
      <c r="T45" s="21"/>
      <c r="U45" s="21"/>
      <c r="V45" s="21"/>
      <c r="W45" s="106"/>
      <c r="X45" s="110"/>
      <c r="Y45" s="21"/>
      <c r="AB45" s="106" t="s">
        <v>158</v>
      </c>
      <c r="AC45" s="110">
        <f>'Take-off'!$C$14</f>
        <v>12350</v>
      </c>
      <c r="AD45" s="21"/>
      <c r="AE45" s="21"/>
      <c r="AG45" s="21"/>
      <c r="AH45" s="21"/>
      <c r="AI45" s="21"/>
      <c r="AJ45" s="106"/>
      <c r="AK45" s="110"/>
      <c r="AL45" s="21"/>
    </row>
    <row r="46" spans="1:38" ht="15" customHeight="1">
      <c r="B46" s="89" t="s">
        <v>159</v>
      </c>
      <c r="C46" s="109">
        <f>INDEX(A32:A40,MATCH(C45,A32:A40,1))</f>
        <v>12000</v>
      </c>
      <c r="D46" s="21"/>
      <c r="E46" s="38"/>
      <c r="G46" s="21"/>
      <c r="H46" s="21"/>
      <c r="I46" s="21"/>
      <c r="J46" s="89"/>
      <c r="K46" s="109"/>
      <c r="L46" s="21"/>
      <c r="M46" s="38"/>
      <c r="O46" s="89" t="s">
        <v>159</v>
      </c>
      <c r="P46" s="109">
        <f>INDEX(N32:N40,MATCH(P45,N32:N40,1))</f>
        <v>12000</v>
      </c>
      <c r="Q46" s="21"/>
      <c r="R46" s="38"/>
      <c r="T46" s="21"/>
      <c r="U46" s="21"/>
      <c r="V46" s="21"/>
      <c r="W46" s="89"/>
      <c r="X46" s="109"/>
      <c r="Y46" s="21"/>
      <c r="AB46" s="89" t="s">
        <v>159</v>
      </c>
      <c r="AC46" s="109">
        <f>INDEX(AA32:AA40,MATCH(AC45,AA32:AA40,1))</f>
        <v>12000</v>
      </c>
      <c r="AD46" s="21"/>
      <c r="AE46" s="38"/>
      <c r="AG46" s="21"/>
      <c r="AH46" s="21"/>
      <c r="AI46" s="21"/>
      <c r="AJ46" s="89"/>
      <c r="AK46" s="109"/>
      <c r="AL46" s="21"/>
    </row>
    <row r="47" spans="1:38" ht="15" customHeight="1">
      <c r="B47" s="89" t="s">
        <v>160</v>
      </c>
      <c r="C47" s="109" cm="1">
        <f t="array" ref="C47">INDEX(A32:A40,IF(MATCH(C45,A32:A40,1)&lt;E43,MATCH(C45,A32:A40,1)+1,MATCH(C45,A32:A40,1)))</f>
        <v>12500</v>
      </c>
      <c r="D47" s="21"/>
      <c r="E47" s="38"/>
      <c r="G47" s="21"/>
      <c r="H47" s="21"/>
      <c r="I47" s="21"/>
      <c r="J47" s="89"/>
      <c r="K47" s="109"/>
      <c r="L47" s="21"/>
      <c r="M47" s="38"/>
      <c r="O47" s="89" t="s">
        <v>160</v>
      </c>
      <c r="P47" s="109" cm="1">
        <f t="array" ref="P47">INDEX(N32:N40,IF(MATCH(P45,N32:N40,1)&lt;R43,MATCH(P45,N32:N40,1)+1,MATCH(P45,N32:N40,1)))</f>
        <v>13000</v>
      </c>
      <c r="Q47" s="21"/>
      <c r="R47" s="38"/>
      <c r="T47" s="21"/>
      <c r="U47" s="21"/>
      <c r="V47" s="21"/>
      <c r="W47" s="89"/>
      <c r="X47" s="109"/>
      <c r="Y47" s="21"/>
      <c r="AB47" s="89" t="s">
        <v>160</v>
      </c>
      <c r="AC47" s="109" cm="1">
        <f t="array" ref="AC47">INDEX(AA32:AA40,IF(MATCH(AC45,AA32:AA40,1)&lt;AE43,MATCH(AC45,AA32:AA40,1)+1,MATCH(AC45,AA32:AA40,1)))</f>
        <v>12500</v>
      </c>
      <c r="AD47" s="21"/>
      <c r="AE47" s="38"/>
      <c r="AG47" s="21"/>
      <c r="AH47" s="21"/>
      <c r="AI47" s="21"/>
      <c r="AJ47" s="89"/>
      <c r="AK47" s="109"/>
      <c r="AL47" s="21"/>
    </row>
    <row r="48" spans="1:38" ht="15" customHeight="1">
      <c r="B48" s="108" t="s">
        <v>161</v>
      </c>
      <c r="C48" s="107">
        <f>INDEX(B32:F40,MATCH(C45,A32:A40,1),MATCH(C42,B31:F31,1))</f>
        <v>1550</v>
      </c>
      <c r="D48" s="21"/>
      <c r="E48" s="38"/>
      <c r="G48" s="21"/>
      <c r="H48" s="21"/>
      <c r="I48" s="21"/>
      <c r="J48" s="108"/>
      <c r="K48" s="107"/>
      <c r="L48" s="21"/>
      <c r="M48" s="38"/>
      <c r="O48" s="108" t="s">
        <v>161</v>
      </c>
      <c r="P48" s="107" t="e">
        <f>INDEX(O32:S40,MATCH(P45,N32:N40,1),MATCH(P42,O31:S31,1))</f>
        <v>#N/A</v>
      </c>
      <c r="Q48" s="21"/>
      <c r="R48" s="38"/>
      <c r="T48" s="21"/>
      <c r="U48" s="21"/>
      <c r="V48" s="21"/>
      <c r="W48" s="108"/>
      <c r="X48" s="107"/>
      <c r="Y48" s="21"/>
      <c r="AB48" s="108" t="s">
        <v>161</v>
      </c>
      <c r="AC48" s="107">
        <f>INDEX(AB32:AF40,MATCH(AC45,AA32:AA40,1),MATCH(AC42,AB31:AF31,1))</f>
        <v>1500</v>
      </c>
      <c r="AD48" s="21"/>
      <c r="AE48" s="38"/>
      <c r="AG48" s="21"/>
      <c r="AH48" s="21"/>
      <c r="AI48" s="21"/>
      <c r="AJ48" s="108"/>
      <c r="AK48" s="107"/>
      <c r="AL48" s="21"/>
    </row>
    <row r="49" spans="1:41" ht="15" customHeight="1">
      <c r="B49" s="108" t="s">
        <v>203</v>
      </c>
      <c r="C49" s="107" cm="1">
        <f t="array" ref="C49">INDEX(B32:F40,MATCH(C45,A32:A40,1),IF(MATCH(C42,B31:F31,1)&lt;E44,MATCH(C42,B31:F31,1)+1,MATCH(C45,A32:A40,1)))</f>
        <v>2000</v>
      </c>
      <c r="E49" s="38"/>
      <c r="G49" s="21"/>
      <c r="H49" s="21"/>
      <c r="I49" s="21"/>
      <c r="J49" s="108"/>
      <c r="K49" s="107"/>
      <c r="M49" s="38"/>
      <c r="O49" s="108" t="s">
        <v>203</v>
      </c>
      <c r="P49" s="107" t="e" cm="1">
        <f t="array" ref="P49">INDEX(O32:S40,MATCH(P45,N32:N40,1),IF(MATCH(P42,O31:S31,1)&lt;R44,MATCH(P42,O31:S31,1)+1,MATCH(P45,N32:N40,1)))</f>
        <v>#N/A</v>
      </c>
      <c r="R49" s="38"/>
      <c r="T49" s="21"/>
      <c r="U49" s="21"/>
      <c r="V49" s="21"/>
      <c r="W49" s="108"/>
      <c r="X49" s="107"/>
      <c r="AB49" s="108" t="s">
        <v>203</v>
      </c>
      <c r="AC49" s="107" cm="1">
        <f t="array" ref="AC49">INDEX(AB32:AF40,MATCH(AC45,AA32:AA40,1),IF(MATCH(AC42,AB31:AF31,1)&lt;AE44,MATCH(AC42,AB31:AF31,1)+1,MATCH(AC45,AA32:AA40,1)))</f>
        <v>1950</v>
      </c>
      <c r="AE49" s="38"/>
      <c r="AG49" s="21"/>
      <c r="AH49" s="21"/>
      <c r="AI49" s="21"/>
      <c r="AJ49" s="108"/>
      <c r="AK49" s="107"/>
    </row>
    <row r="50" spans="1:41" ht="15" customHeight="1">
      <c r="B50" s="108" t="s">
        <v>162</v>
      </c>
      <c r="C50" s="107" cm="1">
        <f t="array" ref="C50">INDEX(B32:F40,IF(MATCH(C45,A32:A40,1)&lt;E43,MATCH(C45,A32:A40,1)+1,MATCH(C45,A32:A40,1)),MATCH(C42,B31:F31,1))</f>
        <v>1600</v>
      </c>
      <c r="E50" s="38"/>
      <c r="G50" s="21"/>
      <c r="H50" s="21"/>
      <c r="I50" s="21"/>
      <c r="J50" s="108"/>
      <c r="K50" s="107"/>
      <c r="M50" s="38"/>
      <c r="O50" s="108" t="s">
        <v>162</v>
      </c>
      <c r="P50" s="107" t="e" cm="1">
        <f t="array" ref="P50">INDEX(O32:S40,IF(MATCH(P45,N32:N40,1)&lt;R43,MATCH(P45,N32:N40,1)+1,MATCH(P45,N32:N40,1)),MATCH(P42,O31:S31,1))</f>
        <v>#N/A</v>
      </c>
      <c r="R50" s="38"/>
      <c r="T50" s="21"/>
      <c r="U50" s="21"/>
      <c r="V50" s="21"/>
      <c r="W50" s="108"/>
      <c r="X50" s="107"/>
      <c r="AB50" s="108" t="s">
        <v>162</v>
      </c>
      <c r="AC50" s="107" cm="1">
        <f t="array" ref="AC50">INDEX(AB32:AF40,IF(MATCH(AC45,AA32:AA40,1)&lt;AE43,MATCH(AC45,AA32:AA40,1)+1,MATCH(AC45,AA32:AA40,1)),MATCH(AC42,AB31:AF31,1))</f>
        <v>1550</v>
      </c>
      <c r="AE50" s="38"/>
      <c r="AG50" s="21"/>
      <c r="AH50" s="21"/>
      <c r="AI50" s="21"/>
      <c r="AJ50" s="108"/>
      <c r="AK50" s="107"/>
    </row>
    <row r="51" spans="1:41" ht="15" customHeight="1">
      <c r="B51" s="108" t="s">
        <v>204</v>
      </c>
      <c r="C51" s="107" cm="1">
        <f t="array" ref="C51">INDEX(B32:F40,IF(MATCH(C45,A32:A40,1)&lt;E43,MATCH(C45,A32:A40,1)+1,MATCH(C45,A32:A40,1)),IF(MATCH(C42,B31:F31,1)&lt;E44,MATCH(C42,B31:F31,1)+1,MATCH(C42,B31:F31,1)))</f>
        <v>2100</v>
      </c>
      <c r="G51" s="21"/>
      <c r="H51" s="21"/>
      <c r="I51" s="21"/>
      <c r="J51" s="108"/>
      <c r="K51" s="107"/>
      <c r="O51" s="108" t="s">
        <v>204</v>
      </c>
      <c r="P51" s="107" t="e" cm="1">
        <f t="array" ref="P51">INDEX(O32:S40,IF(MATCH(P45,N32:N40,1)&lt;R43,MATCH(P45,N32:N40,1)+1,MATCH(P45,N32:N40,1)),IF(MATCH(P42,O31:S31,1)&lt;R44,MATCH(P42,O31:S31,1)+1,MATCH(P42,O31:S31,1)))</f>
        <v>#N/A</v>
      </c>
      <c r="T51" s="21"/>
      <c r="U51" s="21"/>
      <c r="V51" s="21"/>
      <c r="W51" s="108"/>
      <c r="X51" s="107"/>
      <c r="AB51" s="108" t="s">
        <v>204</v>
      </c>
      <c r="AC51" s="107" cm="1">
        <f t="array" ref="AC51">INDEX(AB32:AF40,IF(MATCH(AC45,AA32:AA40,1)&lt;AE43,MATCH(AC45,AA32:AA40,1)+1,MATCH(AC45,AA32:AA40,1)),IF(MATCH(AC42,AB31:AF31,1)&lt;AE44,MATCH(AC42,AB31:AF31,1)+1,MATCH(AC42,AB31:AF31,1)))</f>
        <v>2000</v>
      </c>
      <c r="AG51" s="21"/>
      <c r="AH51" s="21"/>
      <c r="AI51" s="21"/>
      <c r="AJ51" s="108"/>
      <c r="AK51" s="107"/>
    </row>
    <row r="52" spans="1:41" ht="15" customHeight="1">
      <c r="B52" s="89" t="s">
        <v>205</v>
      </c>
      <c r="C52" s="109">
        <f>IFERROR(C48+(C42-C43)*(C49-C48)/(C44-C43),C48)</f>
        <v>1792.5230000000001</v>
      </c>
      <c r="G52" s="21"/>
      <c r="H52" s="21"/>
      <c r="I52" s="21"/>
      <c r="J52" s="89"/>
      <c r="K52" s="109"/>
      <c r="O52" s="89" t="s">
        <v>205</v>
      </c>
      <c r="P52" s="109" t="e">
        <f>IFERROR(P48+(P42-P43)*(P49-P48)/(P44-P43),P48)</f>
        <v>#N/A</v>
      </c>
      <c r="T52" s="21"/>
      <c r="U52" s="21"/>
      <c r="V52" s="21"/>
      <c r="W52" s="89"/>
      <c r="X52" s="109"/>
      <c r="AB52" s="89" t="s">
        <v>205</v>
      </c>
      <c r="AC52" s="109">
        <f>IFERROR(AC48+(AC42-AC43)*(AC49-AC48)/(AC44-AC43),AC48)</f>
        <v>1765.93</v>
      </c>
      <c r="AG52" s="21"/>
      <c r="AH52" s="21"/>
      <c r="AI52" s="21"/>
      <c r="AJ52" s="89"/>
      <c r="AK52" s="109"/>
    </row>
    <row r="53" spans="1:41" ht="15" customHeight="1">
      <c r="B53" s="89" t="s">
        <v>206</v>
      </c>
      <c r="C53" s="109">
        <f>IFERROR(C50+(C42-C43)*(C51-C50)/(C44-C43),C50)</f>
        <v>1869.47</v>
      </c>
      <c r="G53" s="21"/>
      <c r="H53" s="21"/>
      <c r="I53" s="21"/>
      <c r="J53" s="89"/>
      <c r="K53" s="109"/>
      <c r="O53" s="89" t="s">
        <v>206</v>
      </c>
      <c r="P53" s="109" t="e">
        <f>IFERROR(P50+(P42-P43)*(P51-P50)/(P44-P43),P50)</f>
        <v>#N/A</v>
      </c>
      <c r="T53" s="21"/>
      <c r="U53" s="21"/>
      <c r="V53" s="21"/>
      <c r="W53" s="89"/>
      <c r="X53" s="109"/>
      <c r="AB53" s="89" t="s">
        <v>206</v>
      </c>
      <c r="AC53" s="109">
        <f>IFERROR(AC50+(AC42-AC43)*(AC51-AC50)/(AC44-AC43),AC50)</f>
        <v>1815.93</v>
      </c>
      <c r="AG53" s="21"/>
      <c r="AH53" s="21"/>
      <c r="AI53" s="21"/>
      <c r="AJ53" s="89"/>
      <c r="AK53" s="109"/>
    </row>
    <row r="54" spans="1:41" ht="15" customHeight="1">
      <c r="B54" s="108" t="s">
        <v>207</v>
      </c>
      <c r="C54" s="107">
        <f>IFERROR(C52+(C45-C46)*(C53-C52)/(C47-C46),C52)</f>
        <v>1846.3859</v>
      </c>
      <c r="G54" s="21"/>
      <c r="H54" s="21"/>
      <c r="I54" s="21"/>
      <c r="J54" s="108"/>
      <c r="K54" s="107"/>
      <c r="O54" s="108" t="s">
        <v>207</v>
      </c>
      <c r="P54" s="107" t="e">
        <f>IFERROR(P52+(P45-P46)*(P53-P52)/(P47-P46),P52)</f>
        <v>#N/A</v>
      </c>
      <c r="T54" s="21"/>
      <c r="U54" s="21"/>
      <c r="V54" s="21"/>
      <c r="W54" s="108"/>
      <c r="X54" s="107"/>
      <c r="AB54" s="108" t="s">
        <v>207</v>
      </c>
      <c r="AC54" s="107">
        <f>IFERROR(AC52+(AC45-AC46)*(AC53-AC52)/(AC47-AC46),AC52)</f>
        <v>1800.93</v>
      </c>
      <c r="AG54" s="21"/>
      <c r="AH54" s="21"/>
      <c r="AI54" s="21"/>
      <c r="AJ54" s="108"/>
      <c r="AK54" s="107"/>
    </row>
    <row r="55" spans="1:41" ht="15" customHeight="1">
      <c r="J55" s="181"/>
      <c r="K55" s="181"/>
      <c r="L55" s="181"/>
      <c r="M55" s="181"/>
      <c r="W55" s="181"/>
      <c r="X55" s="181"/>
      <c r="Y55" s="181"/>
      <c r="AJ55" s="181"/>
      <c r="AK55" s="181"/>
      <c r="AL55" s="181"/>
    </row>
    <row r="56" spans="1:41" ht="15" customHeight="1" thickBot="1">
      <c r="A56" s="181"/>
      <c r="B56" s="386" t="s">
        <v>209</v>
      </c>
      <c r="C56" s="386"/>
      <c r="D56" s="386"/>
      <c r="E56" s="386"/>
      <c r="F56" s="386"/>
      <c r="G56" s="386"/>
      <c r="H56" s="386"/>
      <c r="I56" s="386"/>
      <c r="J56" s="188"/>
      <c r="K56" s="188"/>
      <c r="L56" s="188"/>
      <c r="M56" s="188"/>
      <c r="N56" s="181"/>
      <c r="O56" s="386" t="s">
        <v>209</v>
      </c>
      <c r="P56" s="386"/>
      <c r="Q56" s="386"/>
      <c r="R56" s="386"/>
      <c r="S56" s="386"/>
      <c r="T56" s="386"/>
      <c r="U56" s="386"/>
      <c r="V56" s="386"/>
      <c r="W56" s="188"/>
      <c r="X56" s="188"/>
      <c r="Y56" s="188"/>
      <c r="AA56" s="181"/>
      <c r="AB56" s="386" t="s">
        <v>209</v>
      </c>
      <c r="AC56" s="386"/>
      <c r="AD56" s="386"/>
      <c r="AE56" s="386"/>
      <c r="AF56" s="386"/>
      <c r="AG56" s="386"/>
      <c r="AH56" s="386"/>
      <c r="AI56" s="386"/>
      <c r="AJ56" s="188"/>
      <c r="AK56" s="188"/>
      <c r="AL56" s="188"/>
    </row>
    <row r="57" spans="1:41" ht="15" customHeight="1" thickBot="1">
      <c r="A57" s="181" t="s">
        <v>38</v>
      </c>
      <c r="B57" s="191">
        <v>1200</v>
      </c>
      <c r="C57" s="202">
        <v>1600</v>
      </c>
      <c r="D57" s="191">
        <v>2100</v>
      </c>
      <c r="E57" s="202">
        <v>2600</v>
      </c>
      <c r="F57" s="202">
        <v>3100</v>
      </c>
      <c r="G57" s="202">
        <v>3500</v>
      </c>
      <c r="H57" s="194">
        <v>4000</v>
      </c>
      <c r="I57" s="190"/>
      <c r="J57" s="190"/>
      <c r="K57" s="190"/>
      <c r="L57" s="181"/>
      <c r="M57" s="181"/>
      <c r="N57" s="181" t="s">
        <v>38</v>
      </c>
      <c r="O57" s="191">
        <v>1000</v>
      </c>
      <c r="P57" s="202">
        <v>1200</v>
      </c>
      <c r="Q57" s="202">
        <v>1500</v>
      </c>
      <c r="R57" s="202">
        <v>2000</v>
      </c>
      <c r="S57" s="202">
        <v>2500</v>
      </c>
      <c r="T57" s="202">
        <v>3000</v>
      </c>
      <c r="U57" s="202">
        <v>3500</v>
      </c>
      <c r="V57" s="194">
        <v>5000</v>
      </c>
      <c r="Y57" s="181"/>
      <c r="Z57" s="181"/>
      <c r="AA57" s="181" t="s">
        <v>38</v>
      </c>
      <c r="AB57" s="191">
        <v>950</v>
      </c>
      <c r="AC57" s="202">
        <v>1400</v>
      </c>
      <c r="AD57" s="202">
        <v>1900</v>
      </c>
      <c r="AE57" s="202">
        <v>2400</v>
      </c>
      <c r="AF57" s="202">
        <v>2900</v>
      </c>
      <c r="AG57" s="202">
        <v>3300</v>
      </c>
      <c r="AH57" s="194">
        <v>3500</v>
      </c>
      <c r="AM57" s="181"/>
      <c r="AN57" s="181"/>
      <c r="AO57" s="181"/>
    </row>
    <row r="58" spans="1:41" ht="15" customHeight="1" thickBot="1">
      <c r="A58" s="181">
        <v>-10</v>
      </c>
      <c r="B58" s="191">
        <v>1450</v>
      </c>
      <c r="C58" s="202">
        <v>1950</v>
      </c>
      <c r="D58" s="191">
        <v>2500</v>
      </c>
      <c r="E58" s="202">
        <v>3000</v>
      </c>
      <c r="F58" s="202">
        <v>3600</v>
      </c>
      <c r="G58" s="202">
        <v>4150</v>
      </c>
      <c r="H58" s="203">
        <v>99999</v>
      </c>
      <c r="I58" s="188"/>
      <c r="J58" s="188"/>
      <c r="K58" s="188"/>
      <c r="L58" s="181"/>
      <c r="N58" s="181">
        <v>-10</v>
      </c>
      <c r="O58" s="191"/>
      <c r="P58" s="202"/>
      <c r="Q58" s="202"/>
      <c r="R58" s="202"/>
      <c r="S58" s="202"/>
      <c r="T58" s="202"/>
      <c r="U58" s="202"/>
      <c r="V58" s="203">
        <v>99999</v>
      </c>
      <c r="Y58" s="181"/>
      <c r="AA58" s="181">
        <v>-10</v>
      </c>
      <c r="AB58" s="191">
        <v>1200</v>
      </c>
      <c r="AC58" s="202">
        <v>1750</v>
      </c>
      <c r="AD58" s="202">
        <v>2250</v>
      </c>
      <c r="AE58" s="202">
        <v>2900</v>
      </c>
      <c r="AF58" s="202">
        <v>3400</v>
      </c>
      <c r="AG58" s="202">
        <v>3950</v>
      </c>
      <c r="AH58" s="203">
        <v>99999</v>
      </c>
      <c r="AM58" s="181"/>
    </row>
    <row r="59" spans="1:41" ht="15" customHeight="1" thickBot="1">
      <c r="A59" s="181">
        <v>0</v>
      </c>
      <c r="B59" s="196">
        <v>1200</v>
      </c>
      <c r="C59" s="188">
        <v>1600</v>
      </c>
      <c r="D59" s="196">
        <v>2100</v>
      </c>
      <c r="E59" s="188">
        <v>2600</v>
      </c>
      <c r="F59" s="188">
        <v>3100</v>
      </c>
      <c r="G59" s="188">
        <v>3500</v>
      </c>
      <c r="H59" s="203">
        <v>99999</v>
      </c>
      <c r="I59" s="188"/>
      <c r="J59" s="188"/>
      <c r="K59" s="188"/>
      <c r="L59" s="181"/>
      <c r="N59" s="181">
        <v>0</v>
      </c>
      <c r="O59" s="196"/>
      <c r="P59" s="188"/>
      <c r="Q59" s="188"/>
      <c r="R59" s="188"/>
      <c r="S59" s="188"/>
      <c r="T59" s="188"/>
      <c r="U59" s="188"/>
      <c r="V59" s="203">
        <v>99999</v>
      </c>
      <c r="Y59" s="181"/>
      <c r="AA59" s="181">
        <v>0</v>
      </c>
      <c r="AB59" s="196">
        <v>950</v>
      </c>
      <c r="AC59" s="188">
        <v>1400</v>
      </c>
      <c r="AD59" s="188">
        <v>1900</v>
      </c>
      <c r="AE59" s="188">
        <v>2400</v>
      </c>
      <c r="AF59" s="188">
        <v>2900</v>
      </c>
      <c r="AG59" s="188">
        <v>3300</v>
      </c>
      <c r="AH59" s="203">
        <v>99999</v>
      </c>
      <c r="AM59" s="181"/>
    </row>
    <row r="60" spans="1:41" ht="15" customHeight="1" thickBot="1">
      <c r="A60" s="181">
        <v>30</v>
      </c>
      <c r="B60" s="198">
        <v>1000</v>
      </c>
      <c r="C60" s="207">
        <v>1250</v>
      </c>
      <c r="D60" s="198">
        <v>1650</v>
      </c>
      <c r="E60" s="207">
        <v>2000</v>
      </c>
      <c r="F60" s="207">
        <v>2400</v>
      </c>
      <c r="G60" s="207">
        <v>2800</v>
      </c>
      <c r="H60" s="206">
        <v>99999</v>
      </c>
      <c r="I60" s="188"/>
      <c r="J60" s="188"/>
      <c r="K60" s="188"/>
      <c r="L60" s="181"/>
      <c r="N60" s="181">
        <v>30</v>
      </c>
      <c r="O60" s="198"/>
      <c r="P60" s="207"/>
      <c r="Q60" s="207"/>
      <c r="R60" s="207"/>
      <c r="S60" s="207"/>
      <c r="T60" s="207"/>
      <c r="U60" s="207"/>
      <c r="V60" s="206">
        <v>99999</v>
      </c>
      <c r="Y60" s="181"/>
      <c r="AA60" s="181">
        <v>30</v>
      </c>
      <c r="AB60" s="198">
        <v>790</v>
      </c>
      <c r="AC60" s="207">
        <v>1100</v>
      </c>
      <c r="AD60" s="207">
        <v>1500</v>
      </c>
      <c r="AE60" s="207">
        <v>1900</v>
      </c>
      <c r="AF60" s="207">
        <v>2250</v>
      </c>
      <c r="AG60" s="207">
        <v>2700</v>
      </c>
      <c r="AH60" s="206">
        <v>99999</v>
      </c>
      <c r="AM60" s="181"/>
    </row>
    <row r="61" spans="1:41" ht="15" customHeight="1">
      <c r="B61" s="182"/>
      <c r="C61" s="183"/>
      <c r="D61" s="181"/>
      <c r="E61" s="181"/>
      <c r="F61" s="181"/>
      <c r="G61" s="115"/>
      <c r="H61" s="115"/>
      <c r="I61" s="115"/>
      <c r="J61" s="108"/>
      <c r="K61" s="107"/>
      <c r="O61" s="182"/>
      <c r="P61" s="183"/>
      <c r="Q61" s="181"/>
      <c r="R61" s="181"/>
      <c r="S61" s="181"/>
      <c r="T61" s="115"/>
      <c r="U61" s="115"/>
      <c r="V61" s="115"/>
      <c r="W61" s="108"/>
      <c r="X61" s="107"/>
      <c r="AB61" s="182"/>
      <c r="AC61" s="183"/>
      <c r="AD61" s="181"/>
      <c r="AE61" s="181"/>
      <c r="AF61" s="181"/>
      <c r="AG61" s="115"/>
      <c r="AH61" s="115"/>
      <c r="AI61" s="115"/>
      <c r="AJ61" s="108"/>
      <c r="AK61" s="107"/>
    </row>
    <row r="62" spans="1:41" ht="15" customHeight="1">
      <c r="B62" s="108" t="s">
        <v>157</v>
      </c>
      <c r="C62" s="107">
        <f>C54</f>
        <v>1846.3859</v>
      </c>
      <c r="D62" s="374" t="s">
        <v>200</v>
      </c>
      <c r="E62" s="321"/>
      <c r="G62" s="21"/>
      <c r="H62" s="21"/>
      <c r="I62" s="21"/>
      <c r="J62" s="108"/>
      <c r="K62" s="107"/>
      <c r="L62" s="184"/>
      <c r="O62" s="108" t="s">
        <v>157</v>
      </c>
      <c r="P62" s="107" t="e">
        <f>P54</f>
        <v>#N/A</v>
      </c>
      <c r="Q62" s="374" t="s">
        <v>200</v>
      </c>
      <c r="R62" s="321"/>
      <c r="T62" s="21"/>
      <c r="U62" s="21"/>
      <c r="V62" s="21"/>
      <c r="W62" s="108"/>
      <c r="X62" s="107"/>
      <c r="Y62" s="184"/>
      <c r="AB62" s="108" t="s">
        <v>157</v>
      </c>
      <c r="AC62" s="107">
        <f>AC54</f>
        <v>1800.93</v>
      </c>
      <c r="AD62" s="374" t="s">
        <v>200</v>
      </c>
      <c r="AE62" s="321"/>
      <c r="AG62" s="21"/>
      <c r="AH62" s="21"/>
      <c r="AI62" s="21"/>
      <c r="AJ62" s="108"/>
      <c r="AK62" s="107"/>
      <c r="AL62" s="184"/>
    </row>
    <row r="63" spans="1:41" ht="15" customHeight="1">
      <c r="B63" s="89" t="s">
        <v>201</v>
      </c>
      <c r="C63" s="109">
        <f>INDEX($B57:$H57,MATCH(C62,$B57:$H57,1))</f>
        <v>1600</v>
      </c>
      <c r="D63" s="89" t="s">
        <v>155</v>
      </c>
      <c r="E63" s="104">
        <f>MATCH(MAX($A58:$A60),$A58:$A60,1)</f>
        <v>3</v>
      </c>
      <c r="G63" s="21"/>
      <c r="H63" s="21"/>
      <c r="I63" s="21"/>
      <c r="J63" s="89"/>
      <c r="K63" s="109"/>
      <c r="L63" s="89"/>
      <c r="M63" s="104"/>
      <c r="O63" s="89" t="s">
        <v>201</v>
      </c>
      <c r="P63" s="109" t="e">
        <f>INDEX($O57:$V57,MATCH(P62,$O57:$V57,1))</f>
        <v>#N/A</v>
      </c>
      <c r="Q63" s="89" t="s">
        <v>155</v>
      </c>
      <c r="R63" s="104">
        <f>MATCH(MAX($N58:$N60),$N58:$N60,1)</f>
        <v>3</v>
      </c>
      <c r="T63" s="21"/>
      <c r="U63" s="21"/>
      <c r="V63" s="21"/>
      <c r="W63" s="89"/>
      <c r="X63" s="109"/>
      <c r="Y63" s="89"/>
      <c r="AB63" s="89" t="s">
        <v>201</v>
      </c>
      <c r="AC63" s="109">
        <f>INDEX($AB57:$AH57,MATCH(AC62,$AB57:$AH57,1))</f>
        <v>1400</v>
      </c>
      <c r="AD63" s="89" t="s">
        <v>155</v>
      </c>
      <c r="AE63" s="104">
        <f>MATCH(MAX($AA58:$AA60),$AA58:$AA60,1)</f>
        <v>3</v>
      </c>
      <c r="AG63" s="21"/>
      <c r="AH63" s="21"/>
      <c r="AI63" s="21"/>
      <c r="AJ63" s="89"/>
      <c r="AK63" s="109"/>
      <c r="AL63" s="89"/>
    </row>
    <row r="64" spans="1:41" ht="15" customHeight="1">
      <c r="B64" s="89" t="s">
        <v>202</v>
      </c>
      <c r="C64" s="109" cm="1">
        <f t="array" ref="C64">INDEX($B57:$H57,IF(MATCH(C62,$B57:$H57,1)&lt;E64,MATCH(C62,$B57:$H57,1)+1,MATCH(C62,$B57:$H57,1)))</f>
        <v>2100</v>
      </c>
      <c r="D64" s="89" t="s">
        <v>156</v>
      </c>
      <c r="E64" s="104">
        <f>MATCH(MAX($B57:$H57),$B57:$H57,0)</f>
        <v>7</v>
      </c>
      <c r="G64" s="21"/>
      <c r="H64" s="21"/>
      <c r="I64" s="21"/>
      <c r="J64" s="89"/>
      <c r="K64" s="109"/>
      <c r="L64" s="89"/>
      <c r="M64" s="104"/>
      <c r="O64" s="89" t="s">
        <v>202</v>
      </c>
      <c r="P64" s="109" t="e" cm="1">
        <f t="array" ref="P64">INDEX($O57:$V57,IF(MATCH(P62,$O57:$V57,1)&lt;R64,MATCH(P62,$O57:$V57,1)+1,MATCH(P62,$O57:$V57,1)))</f>
        <v>#N/A</v>
      </c>
      <c r="Q64" s="89" t="s">
        <v>156</v>
      </c>
      <c r="R64" s="104">
        <f>MATCH(MAX($O57:$V57),$O57:$V57,0)</f>
        <v>8</v>
      </c>
      <c r="T64" s="21"/>
      <c r="U64" s="21"/>
      <c r="V64" s="21"/>
      <c r="W64" s="89"/>
      <c r="X64" s="109"/>
      <c r="Y64" s="89"/>
      <c r="AB64" s="89" t="s">
        <v>202</v>
      </c>
      <c r="AC64" s="109" cm="1">
        <f t="array" ref="AC64">INDEX($AB57:$AH57,IF(MATCH(AC62,$AB57:$AH57,1)&lt;AE64,MATCH(AC62,$AB57:$AH57,1)+1,MATCH(AC62,$AB57:$AH57,1)))</f>
        <v>1900</v>
      </c>
      <c r="AD64" s="89" t="s">
        <v>156</v>
      </c>
      <c r="AE64" s="104">
        <f>MATCH(MAX($AB57:$AH57),$AB57:$AH57,0)</f>
        <v>7</v>
      </c>
      <c r="AG64" s="21"/>
      <c r="AH64" s="21"/>
      <c r="AI64" s="21"/>
      <c r="AJ64" s="89"/>
      <c r="AK64" s="109"/>
      <c r="AL64" s="89"/>
    </row>
    <row r="65" spans="1:38" ht="15" customHeight="1">
      <c r="B65" s="106" t="s">
        <v>158</v>
      </c>
      <c r="C65" s="110">
        <f>'Take-off'!$C$24</f>
        <v>0</v>
      </c>
      <c r="D65" s="21"/>
      <c r="E65" s="21"/>
      <c r="G65" s="21"/>
      <c r="H65" s="21"/>
      <c r="I65" s="21"/>
      <c r="J65" s="106"/>
      <c r="K65" s="110"/>
      <c r="L65" s="21"/>
      <c r="M65" s="21"/>
      <c r="O65" s="106" t="s">
        <v>158</v>
      </c>
      <c r="P65" s="110">
        <f>'Take-off'!$C$24</f>
        <v>0</v>
      </c>
      <c r="Q65" s="21"/>
      <c r="R65" s="21"/>
      <c r="T65" s="21"/>
      <c r="U65" s="21"/>
      <c r="V65" s="21"/>
      <c r="W65" s="106"/>
      <c r="X65" s="110"/>
      <c r="Y65" s="21"/>
      <c r="AB65" s="106" t="s">
        <v>158</v>
      </c>
      <c r="AC65" s="110">
        <f>'Take-off'!$C$24</f>
        <v>0</v>
      </c>
      <c r="AD65" s="21"/>
      <c r="AE65" s="21"/>
      <c r="AG65" s="21"/>
      <c r="AH65" s="21"/>
      <c r="AI65" s="21"/>
      <c r="AJ65" s="106"/>
      <c r="AK65" s="110"/>
      <c r="AL65" s="21"/>
    </row>
    <row r="66" spans="1:38" ht="15" customHeight="1">
      <c r="B66" s="89" t="s">
        <v>159</v>
      </c>
      <c r="C66" s="109">
        <f>INDEX($A58:$A60,MATCH(C65,$A58:$A60,1))</f>
        <v>0</v>
      </c>
      <c r="D66" s="21"/>
      <c r="E66" s="38"/>
      <c r="G66" s="21"/>
      <c r="H66" s="21"/>
      <c r="I66" s="21"/>
      <c r="J66" s="89"/>
      <c r="K66" s="109"/>
      <c r="L66" s="21"/>
      <c r="M66" s="38"/>
      <c r="O66" s="89" t="s">
        <v>159</v>
      </c>
      <c r="P66" s="109">
        <f>INDEX($N58:$N60,MATCH(P65,$N58:$N60,1))</f>
        <v>0</v>
      </c>
      <c r="Q66" s="21"/>
      <c r="R66" s="38"/>
      <c r="T66" s="21"/>
      <c r="U66" s="21"/>
      <c r="V66" s="21"/>
      <c r="W66" s="89"/>
      <c r="X66" s="109"/>
      <c r="Y66" s="21"/>
      <c r="AB66" s="89" t="s">
        <v>159</v>
      </c>
      <c r="AC66" s="109">
        <f>INDEX($AA58:$AA60,MATCH(AC65,$AA58:$AA60,1))</f>
        <v>0</v>
      </c>
      <c r="AD66" s="21"/>
      <c r="AE66" s="38"/>
      <c r="AG66" s="21"/>
      <c r="AH66" s="21"/>
      <c r="AI66" s="21"/>
      <c r="AJ66" s="89"/>
      <c r="AK66" s="109"/>
      <c r="AL66" s="21"/>
    </row>
    <row r="67" spans="1:38" ht="15" customHeight="1">
      <c r="B67" s="89" t="s">
        <v>160</v>
      </c>
      <c r="C67" s="109" cm="1">
        <f t="array" ref="C67">INDEX($A58:$A60,IF(MATCH(C65,$A58:$A60,1)&lt;E63,MATCH(C65,$A58:$A60,1)+1,MATCH(C65,$A58:$A60,1)))</f>
        <v>30</v>
      </c>
      <c r="D67" s="21"/>
      <c r="E67" s="38"/>
      <c r="G67" s="21"/>
      <c r="H67" s="21"/>
      <c r="I67" s="21"/>
      <c r="J67" s="89"/>
      <c r="K67" s="109"/>
      <c r="L67" s="21"/>
      <c r="M67" s="38"/>
      <c r="O67" s="89" t="s">
        <v>160</v>
      </c>
      <c r="P67" s="109" cm="1">
        <f t="array" ref="P67">INDEX($N58:$N60,IF(MATCH(P65,$N58:$N60,1)&lt;R63,MATCH(P65,$N58:$N60,1)+1,MATCH(P65,$N58:$N60,1)))</f>
        <v>30</v>
      </c>
      <c r="Q67" s="21"/>
      <c r="R67" s="38"/>
      <c r="T67" s="21"/>
      <c r="U67" s="21"/>
      <c r="V67" s="21"/>
      <c r="W67" s="89"/>
      <c r="X67" s="109"/>
      <c r="Y67" s="21"/>
      <c r="AB67" s="89" t="s">
        <v>160</v>
      </c>
      <c r="AC67" s="109" cm="1">
        <f t="array" ref="AC67">INDEX($AA58:$AA60,IF(MATCH(AC65,$AA58:$AA60,1)&lt;AE63,MATCH(AC65,$AA58:$AA60,1)+1,MATCH(AC65,$AA58:$AA60,1)))</f>
        <v>30</v>
      </c>
      <c r="AD67" s="21"/>
      <c r="AE67" s="38"/>
      <c r="AG67" s="21"/>
      <c r="AH67" s="21"/>
      <c r="AI67" s="21"/>
      <c r="AJ67" s="89"/>
      <c r="AK67" s="109"/>
      <c r="AL67" s="21"/>
    </row>
    <row r="68" spans="1:38" ht="15" customHeight="1">
      <c r="B68" s="108" t="s">
        <v>161</v>
      </c>
      <c r="C68" s="107">
        <f>INDEX($B58:$H60,MATCH(C65,$A58:$A60,1),MATCH(C62,$B57:$H57,1))</f>
        <v>1600</v>
      </c>
      <c r="D68" s="21"/>
      <c r="E68" s="38"/>
      <c r="G68" s="21"/>
      <c r="H68" s="21"/>
      <c r="I68" s="21"/>
      <c r="J68" s="108"/>
      <c r="K68" s="107"/>
      <c r="L68" s="21"/>
      <c r="M68" s="38"/>
      <c r="O68" s="108" t="s">
        <v>161</v>
      </c>
      <c r="P68" s="107" t="e">
        <f>INDEX($O58:$V60,MATCH(P65,$N58:$N60,1),MATCH(P62,$O57:$V57,1))</f>
        <v>#N/A</v>
      </c>
      <c r="Q68" s="21"/>
      <c r="R68" s="38"/>
      <c r="T68" s="21"/>
      <c r="U68" s="21"/>
      <c r="V68" s="21"/>
      <c r="W68" s="108"/>
      <c r="X68" s="107"/>
      <c r="Y68" s="21"/>
      <c r="AB68" s="108" t="s">
        <v>161</v>
      </c>
      <c r="AC68" s="107">
        <f>INDEX($AB58:$AH60,MATCH(AC65,$AA58:$AA60,1),MATCH(AC62,$AB57:$AH57,1))</f>
        <v>1400</v>
      </c>
      <c r="AD68" s="21"/>
      <c r="AE68" s="38"/>
      <c r="AG68" s="21"/>
      <c r="AH68" s="21"/>
      <c r="AI68" s="21"/>
      <c r="AJ68" s="108"/>
      <c r="AK68" s="107"/>
      <c r="AL68" s="21"/>
    </row>
    <row r="69" spans="1:38" ht="15" customHeight="1">
      <c r="B69" s="108" t="s">
        <v>203</v>
      </c>
      <c r="C69" s="107" cm="1">
        <f t="array" ref="C69">INDEX($B58:$H60,MATCH(C65,$A58:$A60,1),IF(MATCH(C62,$B57:$H57,1)&lt;E64,MATCH(C62,$B57:$H57,1)+1,MATCH(C65,$A58:$A60,1)))</f>
        <v>2100</v>
      </c>
      <c r="E69" s="38"/>
      <c r="G69" s="21"/>
      <c r="H69" s="21"/>
      <c r="I69" s="21"/>
      <c r="J69" s="108"/>
      <c r="K69" s="107"/>
      <c r="M69" s="38"/>
      <c r="O69" s="108" t="s">
        <v>203</v>
      </c>
      <c r="P69" s="107" t="e" cm="1">
        <f t="array" ref="P69">INDEX($O58:$V60,MATCH(P65,$N58:$N60,1),IF(MATCH(P62,$O57:$V57,1)&lt;R64,MATCH(P62,$O57:$V57,1)+1,MATCH(P65,$N58:$N60,1)))</f>
        <v>#N/A</v>
      </c>
      <c r="R69" s="38"/>
      <c r="T69" s="21"/>
      <c r="U69" s="21"/>
      <c r="V69" s="21"/>
      <c r="W69" s="108"/>
      <c r="X69" s="107"/>
      <c r="AB69" s="108" t="s">
        <v>203</v>
      </c>
      <c r="AC69" s="107" cm="1">
        <f t="array" ref="AC69">INDEX($AB58:$AH60,MATCH(AC65,$AA58:$AA60,1),IF(MATCH(AC62,$AB57:$AH57,1)&lt;AE64,MATCH(AC62,$AB57:$AH57,1)+1,MATCH(AC65,$AB58:$AH60,1)))</f>
        <v>1900</v>
      </c>
      <c r="AE69" s="38"/>
      <c r="AG69" s="21"/>
      <c r="AH69" s="21"/>
      <c r="AI69" s="21"/>
      <c r="AJ69" s="108"/>
      <c r="AK69" s="107"/>
    </row>
    <row r="70" spans="1:38" ht="15" customHeight="1">
      <c r="B70" s="108" t="s">
        <v>162</v>
      </c>
      <c r="C70" s="107" cm="1">
        <f t="array" ref="C70">INDEX($B58:$H60,IF(MATCH(C65,$A58:$A60,1)&lt;E63,MATCH(C65,$A58:$A60,1)+1,MATCH(C65,$A58:$A60,1)),MATCH(C62,$B57:$H57,1))</f>
        <v>1250</v>
      </c>
      <c r="E70" s="38"/>
      <c r="G70" s="21"/>
      <c r="H70" s="21"/>
      <c r="I70" s="21"/>
      <c r="J70" s="108"/>
      <c r="K70" s="107"/>
      <c r="M70" s="38"/>
      <c r="O70" s="108" t="s">
        <v>162</v>
      </c>
      <c r="P70" s="107" t="e" cm="1">
        <f t="array" ref="P70">INDEX($O58:$V60,IF(MATCH(P65,$N58:$N60,1)&lt;R63,MATCH(P65,$N58:$N60,1)+1,MATCH(P65,$N58:$N60,1)),MATCH(P62,$O57:$V57,1))</f>
        <v>#N/A</v>
      </c>
      <c r="R70" s="38"/>
      <c r="T70" s="21"/>
      <c r="U70" s="21"/>
      <c r="V70" s="21"/>
      <c r="W70" s="108"/>
      <c r="X70" s="107"/>
      <c r="AB70" s="108" t="s">
        <v>162</v>
      </c>
      <c r="AC70" s="107" cm="1">
        <f t="array" ref="AC70">INDEX($AB58:$AH60,IF(MATCH(AC65,$AA58:$AA60,1)&lt;AE63,MATCH(AC65,$AA58:$AA60,1)+1,MATCH(AC65,$AA58:$AA60,1)),MATCH(AC62,$AB57:$AH57,1))</f>
        <v>1100</v>
      </c>
      <c r="AE70" s="38"/>
      <c r="AG70" s="21"/>
      <c r="AH70" s="21"/>
      <c r="AI70" s="21"/>
      <c r="AJ70" s="108"/>
      <c r="AK70" s="107"/>
    </row>
    <row r="71" spans="1:38" ht="15" customHeight="1">
      <c r="B71" s="108" t="s">
        <v>204</v>
      </c>
      <c r="C71" s="107" cm="1">
        <f t="array" ref="C71">INDEX($B58:$H60,IF(MATCH(C65,$A58:$A60,1)&lt;E63,MATCH(C65,$A58:$A60,1)+1,MATCH(C65,$A58:$A60,1)),IF(MATCH(C62,$B57:$H57,1)&lt;E64,MATCH(C62,$B57:$H57,1)+1,MATCH(C62,$B57:$H57,1)))</f>
        <v>1650</v>
      </c>
      <c r="G71" s="21"/>
      <c r="H71" s="21"/>
      <c r="I71" s="21"/>
      <c r="J71" s="108"/>
      <c r="K71" s="107"/>
      <c r="O71" s="108" t="s">
        <v>204</v>
      </c>
      <c r="P71" s="107" t="e" cm="1">
        <f t="array" ref="P71">INDEX($O58:$V60,IF(MATCH(P65,$N58:$N60,1)&lt;R63,MATCH(P65,$N58:$N60,1)+1,MATCH(P65,$N58:$N60,1)),IF(MATCH(P62,$O57:$V57,1)&lt;R64,MATCH(P62,$O57:$V57,1)+1,MATCH(P62,$O57:$V57,1)))</f>
        <v>#N/A</v>
      </c>
      <c r="T71" s="21"/>
      <c r="U71" s="21"/>
      <c r="V71" s="21"/>
      <c r="W71" s="108"/>
      <c r="X71" s="107"/>
      <c r="AB71" s="108" t="s">
        <v>204</v>
      </c>
      <c r="AC71" s="107" cm="1">
        <f t="array" ref="AC71">INDEX($AB58:$AH60,IF(MATCH(AC65,$AA58:$AA60,1)&lt;AE63,MATCH(AC65,$AA58:$AA60,1)+1,MATCH(AC65,$AA58:$AA60,1)),IF(MATCH(AC62,$AB57:$AH57,1)&lt;AE64,MATCH(AC62,$AB57:$AH57,1)+1,MATCH(AC62,$AB57:$AH57,1)))</f>
        <v>1500</v>
      </c>
      <c r="AG71" s="21"/>
      <c r="AH71" s="21"/>
      <c r="AI71" s="21"/>
      <c r="AJ71" s="108"/>
      <c r="AK71" s="107"/>
    </row>
    <row r="72" spans="1:38" ht="15" customHeight="1">
      <c r="B72" s="89" t="s">
        <v>205</v>
      </c>
      <c r="C72" s="109">
        <f>IFERROR(C68+(C62-C63)*(C69-C68)/(C64-C63),C68)</f>
        <v>1846.3859</v>
      </c>
      <c r="G72" s="21"/>
      <c r="H72" s="21"/>
      <c r="I72" s="21"/>
      <c r="J72" s="89"/>
      <c r="K72" s="109"/>
      <c r="O72" s="89" t="s">
        <v>205</v>
      </c>
      <c r="P72" s="109" t="e">
        <f>IFERROR(P68+(P62-P63)*(P69-P68)/(P64-P63),P68)</f>
        <v>#N/A</v>
      </c>
      <c r="T72" s="21"/>
      <c r="U72" s="21"/>
      <c r="V72" s="21"/>
      <c r="W72" s="89"/>
      <c r="X72" s="109"/>
      <c r="AB72" s="89" t="s">
        <v>205</v>
      </c>
      <c r="AC72" s="109">
        <f>IFERROR(AC68+(AC62-AC63)*(AC69-AC68)/(AC64-AC63),AC68)</f>
        <v>1800.93</v>
      </c>
      <c r="AG72" s="21"/>
      <c r="AH72" s="21"/>
      <c r="AI72" s="21"/>
      <c r="AJ72" s="89"/>
      <c r="AK72" s="109"/>
    </row>
    <row r="73" spans="1:38" ht="15" customHeight="1">
      <c r="B73" s="89" t="s">
        <v>206</v>
      </c>
      <c r="C73" s="109">
        <f>IFERROR(C70+(C62-C63)*(C71-C70)/(C64-C63),C70)</f>
        <v>1447.1087199999999</v>
      </c>
      <c r="G73" s="21"/>
      <c r="H73" s="21"/>
      <c r="I73" s="21"/>
      <c r="J73" s="89"/>
      <c r="K73" s="109"/>
      <c r="O73" s="89" t="s">
        <v>206</v>
      </c>
      <c r="P73" s="109" t="e">
        <f>IFERROR(P70+(P62-P63)*(P71-P70)/(P64-P63),P70)</f>
        <v>#N/A</v>
      </c>
      <c r="T73" s="21"/>
      <c r="U73" s="21"/>
      <c r="V73" s="21"/>
      <c r="W73" s="89"/>
      <c r="X73" s="109"/>
      <c r="AB73" s="89" t="s">
        <v>206</v>
      </c>
      <c r="AC73" s="109">
        <f>IFERROR(AC70+(AC62-AC63)*(AC71-AC70)/(AC64-AC63),AC70)</f>
        <v>1420.7440000000001</v>
      </c>
      <c r="AG73" s="21"/>
      <c r="AH73" s="21"/>
      <c r="AI73" s="21"/>
      <c r="AJ73" s="89"/>
      <c r="AK73" s="109"/>
    </row>
    <row r="74" spans="1:38" ht="15" customHeight="1">
      <c r="B74" s="108" t="s">
        <v>207</v>
      </c>
      <c r="C74" s="107">
        <f>IFERROR(C72+(C65-C66)*(C73-C72)/(C67-C66),C72)</f>
        <v>1846.3859</v>
      </c>
      <c r="G74" s="21"/>
      <c r="H74" s="21"/>
      <c r="I74" s="21"/>
      <c r="J74" s="108"/>
      <c r="K74" s="107"/>
      <c r="O74" s="108" t="s">
        <v>207</v>
      </c>
      <c r="P74" s="107" t="e">
        <f>IFERROR(P72+(P65-P66)*(P73-P72)/(P67-P66),P72)</f>
        <v>#N/A</v>
      </c>
      <c r="T74" s="21"/>
      <c r="U74" s="21"/>
      <c r="V74" s="21"/>
      <c r="W74" s="108"/>
      <c r="X74" s="107"/>
      <c r="AB74" s="108" t="s">
        <v>207</v>
      </c>
      <c r="AC74" s="107">
        <f>IFERROR(AC72+(AC65-AC66)*(AC73-AC72)/(AC67-AC66),AC72)</f>
        <v>1800.93</v>
      </c>
      <c r="AG74" s="21"/>
      <c r="AH74" s="21"/>
      <c r="AI74" s="21"/>
      <c r="AJ74" s="108"/>
      <c r="AK74" s="107"/>
    </row>
    <row r="76" spans="1:38" ht="15" customHeight="1" thickBot="1">
      <c r="A76" s="181"/>
      <c r="B76" s="383" t="s">
        <v>210</v>
      </c>
      <c r="C76" s="383"/>
      <c r="D76" s="383"/>
      <c r="E76" s="383"/>
      <c r="F76" s="383"/>
      <c r="G76" s="383"/>
      <c r="H76" s="383"/>
      <c r="I76" s="383"/>
      <c r="N76" s="181"/>
      <c r="O76" s="383" t="s">
        <v>210</v>
      </c>
      <c r="P76" s="383"/>
      <c r="Q76" s="383"/>
      <c r="R76" s="383"/>
      <c r="S76" s="383"/>
      <c r="T76" s="383"/>
      <c r="U76" s="383"/>
      <c r="V76" s="383"/>
      <c r="AA76" s="181"/>
      <c r="AB76" s="383" t="s">
        <v>210</v>
      </c>
      <c r="AC76" s="383"/>
      <c r="AD76" s="383"/>
      <c r="AE76" s="383"/>
      <c r="AF76" s="383"/>
      <c r="AG76" s="383"/>
      <c r="AH76" s="383"/>
      <c r="AI76" s="383"/>
    </row>
    <row r="77" spans="1:38" ht="15" customHeight="1" thickBot="1">
      <c r="A77" s="181" t="s">
        <v>27</v>
      </c>
      <c r="B77" s="191">
        <v>1200</v>
      </c>
      <c r="C77" s="202">
        <v>1550</v>
      </c>
      <c r="D77" s="202">
        <v>1950</v>
      </c>
      <c r="E77" s="202">
        <v>2300</v>
      </c>
      <c r="F77" s="202">
        <v>2700</v>
      </c>
      <c r="G77" s="202">
        <v>3050</v>
      </c>
      <c r="H77" s="202">
        <v>3450</v>
      </c>
      <c r="I77" s="202">
        <v>3850</v>
      </c>
      <c r="J77" s="202">
        <v>4250</v>
      </c>
      <c r="K77" s="194">
        <v>4300</v>
      </c>
      <c r="L77" s="190"/>
      <c r="N77" s="181" t="s">
        <v>27</v>
      </c>
      <c r="O77" s="191">
        <v>1000</v>
      </c>
      <c r="P77" s="202">
        <v>1600</v>
      </c>
      <c r="Q77" s="202">
        <v>2200</v>
      </c>
      <c r="R77" s="202">
        <v>2800</v>
      </c>
      <c r="S77" s="202">
        <v>3400</v>
      </c>
      <c r="T77" s="202">
        <v>4000</v>
      </c>
      <c r="U77" s="202">
        <v>4600</v>
      </c>
      <c r="V77" s="194">
        <v>5000</v>
      </c>
      <c r="AA77" s="181" t="s">
        <v>27</v>
      </c>
      <c r="AB77" s="191">
        <v>750</v>
      </c>
      <c r="AC77" s="202">
        <v>1100</v>
      </c>
      <c r="AD77" s="202">
        <v>1500</v>
      </c>
      <c r="AE77" s="202">
        <v>1850</v>
      </c>
      <c r="AF77" s="202">
        <v>2200</v>
      </c>
      <c r="AG77" s="202">
        <v>2600</v>
      </c>
      <c r="AH77" s="202">
        <v>2950</v>
      </c>
      <c r="AI77" s="202">
        <v>3350</v>
      </c>
      <c r="AJ77" s="202">
        <v>3700</v>
      </c>
      <c r="AK77" s="202">
        <v>4100</v>
      </c>
      <c r="AL77" s="194">
        <v>4500</v>
      </c>
    </row>
    <row r="78" spans="1:38" ht="15" customHeight="1" thickBot="1">
      <c r="A78" s="181">
        <v>0</v>
      </c>
      <c r="B78" s="191">
        <v>1200</v>
      </c>
      <c r="C78" s="202">
        <v>1550</v>
      </c>
      <c r="D78" s="202">
        <v>1950</v>
      </c>
      <c r="E78" s="202">
        <v>2300</v>
      </c>
      <c r="F78" s="202">
        <v>2700</v>
      </c>
      <c r="G78" s="202">
        <v>3050</v>
      </c>
      <c r="H78" s="202">
        <v>3450</v>
      </c>
      <c r="I78" s="202">
        <v>3850</v>
      </c>
      <c r="J78" s="202">
        <v>4250</v>
      </c>
      <c r="K78" s="203">
        <v>99999</v>
      </c>
      <c r="L78" s="188"/>
      <c r="N78" s="181">
        <v>0</v>
      </c>
      <c r="O78" s="191"/>
      <c r="P78" s="202"/>
      <c r="Q78" s="202"/>
      <c r="R78" s="202"/>
      <c r="S78" s="202"/>
      <c r="T78" s="202"/>
      <c r="U78" s="202"/>
      <c r="V78" s="203">
        <v>99999</v>
      </c>
      <c r="AA78" s="181">
        <v>0</v>
      </c>
      <c r="AB78" s="191">
        <v>750</v>
      </c>
      <c r="AC78" s="202">
        <v>1100</v>
      </c>
      <c r="AD78" s="202">
        <v>1500</v>
      </c>
      <c r="AE78" s="202">
        <v>1850</v>
      </c>
      <c r="AF78" s="202">
        <v>2200</v>
      </c>
      <c r="AG78" s="202">
        <v>2600</v>
      </c>
      <c r="AH78" s="202">
        <v>2950</v>
      </c>
      <c r="AI78" s="202">
        <v>3350</v>
      </c>
      <c r="AJ78" s="202">
        <v>3700</v>
      </c>
      <c r="AK78" s="202">
        <v>4100</v>
      </c>
      <c r="AL78" s="203">
        <v>99999</v>
      </c>
    </row>
    <row r="79" spans="1:38" ht="15" customHeight="1" thickBot="1">
      <c r="A79" s="181">
        <v>50</v>
      </c>
      <c r="B79" s="198">
        <v>2250</v>
      </c>
      <c r="C79" s="207">
        <v>2750</v>
      </c>
      <c r="D79" s="207">
        <v>3350</v>
      </c>
      <c r="E79" s="207">
        <v>3950</v>
      </c>
      <c r="F79" s="207">
        <v>4600</v>
      </c>
      <c r="G79" s="207">
        <v>5350</v>
      </c>
      <c r="H79" s="207">
        <v>6100</v>
      </c>
      <c r="I79" s="207">
        <v>6900</v>
      </c>
      <c r="J79" s="207">
        <v>7850</v>
      </c>
      <c r="K79" s="203">
        <v>99999</v>
      </c>
      <c r="L79" s="188"/>
      <c r="N79" s="181">
        <v>50</v>
      </c>
      <c r="O79" s="198"/>
      <c r="P79" s="207"/>
      <c r="Q79" s="207"/>
      <c r="R79" s="207"/>
      <c r="S79" s="207"/>
      <c r="T79" s="207"/>
      <c r="U79" s="207"/>
      <c r="V79" s="203">
        <v>99999</v>
      </c>
      <c r="AA79" s="181">
        <v>50</v>
      </c>
      <c r="AB79" s="198">
        <v>1150</v>
      </c>
      <c r="AC79" s="207">
        <v>1600</v>
      </c>
      <c r="AD79" s="207">
        <v>2100</v>
      </c>
      <c r="AE79" s="207">
        <v>2600</v>
      </c>
      <c r="AF79" s="207">
        <v>3100</v>
      </c>
      <c r="AG79" s="207">
        <v>3650</v>
      </c>
      <c r="AH79" s="207">
        <v>4150</v>
      </c>
      <c r="AI79" s="207">
        <v>4700</v>
      </c>
      <c r="AJ79" s="207">
        <v>5200</v>
      </c>
      <c r="AK79" s="207">
        <v>5800</v>
      </c>
      <c r="AL79" s="203">
        <v>99999</v>
      </c>
    </row>
    <row r="80" spans="1:38" ht="15" customHeight="1">
      <c r="B80" s="182"/>
      <c r="C80" s="183"/>
      <c r="D80" s="181"/>
      <c r="E80" s="181"/>
      <c r="F80" s="181"/>
      <c r="G80" s="115"/>
      <c r="H80" s="115"/>
      <c r="I80" s="115"/>
      <c r="O80" s="182"/>
      <c r="P80" s="183"/>
      <c r="Q80" s="181"/>
      <c r="R80" s="181"/>
      <c r="S80" s="181"/>
      <c r="T80" s="115"/>
      <c r="U80" s="115"/>
      <c r="V80" s="115"/>
      <c r="AB80" s="182"/>
      <c r="AC80" s="183"/>
      <c r="AD80" s="181"/>
      <c r="AE80" s="181"/>
      <c r="AF80" s="181"/>
      <c r="AG80" s="115"/>
      <c r="AH80" s="115"/>
      <c r="AI80" s="115"/>
    </row>
    <row r="81" spans="2:35" ht="15" customHeight="1">
      <c r="B81" s="108" t="s">
        <v>157</v>
      </c>
      <c r="C81" s="107">
        <f>C74</f>
        <v>1846.3859</v>
      </c>
      <c r="D81" s="374" t="s">
        <v>200</v>
      </c>
      <c r="E81" s="321"/>
      <c r="G81" s="21"/>
      <c r="H81" s="21"/>
      <c r="I81" s="21"/>
      <c r="O81" s="108" t="s">
        <v>157</v>
      </c>
      <c r="P81" s="107" t="e">
        <f>P74</f>
        <v>#N/A</v>
      </c>
      <c r="Q81" s="374" t="s">
        <v>200</v>
      </c>
      <c r="R81" s="321"/>
      <c r="T81" s="21"/>
      <c r="U81" s="21"/>
      <c r="V81" s="21"/>
      <c r="AB81" s="108" t="s">
        <v>157</v>
      </c>
      <c r="AC81" s="107">
        <f>AC74</f>
        <v>1800.93</v>
      </c>
      <c r="AD81" s="374" t="s">
        <v>200</v>
      </c>
      <c r="AE81" s="321"/>
      <c r="AG81" s="21"/>
      <c r="AH81" s="21"/>
      <c r="AI81" s="21"/>
    </row>
    <row r="82" spans="2:35" ht="15" customHeight="1">
      <c r="B82" s="89" t="s">
        <v>201</v>
      </c>
      <c r="C82" s="109">
        <f>INDEX($B77:$K77,MATCH(C81,$B77:$K77,1))</f>
        <v>1550</v>
      </c>
      <c r="D82" s="89" t="s">
        <v>155</v>
      </c>
      <c r="E82" s="104">
        <f>MATCH(MAX($A78:$A79),$A78:$A79,1)</f>
        <v>2</v>
      </c>
      <c r="G82" s="21"/>
      <c r="H82" s="21"/>
      <c r="I82" s="21"/>
      <c r="O82" s="89" t="s">
        <v>201</v>
      </c>
      <c r="P82" s="109" t="e">
        <f>INDEX($O77:$V77,MATCH(P81,$O77:$V77,1))</f>
        <v>#N/A</v>
      </c>
      <c r="Q82" s="89" t="s">
        <v>155</v>
      </c>
      <c r="R82" s="104">
        <f>MATCH(MAX($N78:$N79),$N78:$N79,1)</f>
        <v>2</v>
      </c>
      <c r="T82" s="21"/>
      <c r="U82" s="21"/>
      <c r="V82" s="21"/>
      <c r="AB82" s="89" t="s">
        <v>201</v>
      </c>
      <c r="AC82" s="109">
        <f>INDEX($AB77:$AL77,MATCH(AC81,$AB77:$AL77,1))</f>
        <v>1500</v>
      </c>
      <c r="AD82" s="89" t="s">
        <v>155</v>
      </c>
      <c r="AE82" s="104">
        <f>MATCH(MAX($AA78:$AA79),$AA78:$AA79,1)</f>
        <v>2</v>
      </c>
      <c r="AG82" s="21"/>
      <c r="AH82" s="21"/>
      <c r="AI82" s="21"/>
    </row>
    <row r="83" spans="2:35" ht="15" customHeight="1">
      <c r="B83" s="89" t="s">
        <v>202</v>
      </c>
      <c r="C83" s="109" cm="1">
        <f t="array" ref="C83">INDEX($B77:$K77,IF(MATCH(C81,$B77:$K77,1)&lt;E83,MATCH(C81,$B77:$K77,1)+1,MATCH(C81,$B77:$K77,1)))</f>
        <v>1950</v>
      </c>
      <c r="D83" s="89" t="s">
        <v>156</v>
      </c>
      <c r="E83" s="104">
        <f>MATCH(MAX($B77:$K77),$B77:$K77,0)</f>
        <v>10</v>
      </c>
      <c r="G83" s="21"/>
      <c r="H83" s="21"/>
      <c r="I83" s="21"/>
      <c r="O83" s="89" t="s">
        <v>202</v>
      </c>
      <c r="P83" s="109" t="e" cm="1">
        <f t="array" ref="P83">INDEX($O77:$V77,IF(MATCH(P81,$O77:$V77,1)&lt;R83,MATCH(P81,$O77:$V77,1)+1,MATCH(P81,$O77:$V77,1)))</f>
        <v>#N/A</v>
      </c>
      <c r="Q83" s="89" t="s">
        <v>156</v>
      </c>
      <c r="R83" s="104">
        <f>MATCH(MAX($O77:$V77),$O77:$V77,0)</f>
        <v>8</v>
      </c>
      <c r="T83" s="21"/>
      <c r="U83" s="21"/>
      <c r="V83" s="21"/>
      <c r="AB83" s="89" t="s">
        <v>202</v>
      </c>
      <c r="AC83" s="109" cm="1">
        <f t="array" ref="AC83">INDEX($AB77:$AL77,IF(MATCH(AC81,$AB77:$AL77,1)&lt;AE83,MATCH(AC81,$AB77:$AL77,1)+1,MATCH(AC81,$AB77:$AL77,1)))</f>
        <v>1850</v>
      </c>
      <c r="AD83" s="89" t="s">
        <v>156</v>
      </c>
      <c r="AE83" s="104">
        <f>MATCH(MAX($AB77:$AL77),$AB77:$AL77,0)</f>
        <v>11</v>
      </c>
      <c r="AG83" s="21"/>
      <c r="AH83" s="21"/>
      <c r="AI83" s="21"/>
    </row>
    <row r="84" spans="2:35" ht="15" customHeight="1">
      <c r="B84" s="106" t="s">
        <v>158</v>
      </c>
      <c r="C84" s="110">
        <v>50</v>
      </c>
      <c r="D84" s="21"/>
      <c r="E84" s="21"/>
      <c r="G84" s="21"/>
      <c r="H84" s="21"/>
      <c r="I84" s="21"/>
      <c r="O84" s="106" t="s">
        <v>158</v>
      </c>
      <c r="P84" s="110">
        <v>50</v>
      </c>
      <c r="Q84" s="21"/>
      <c r="R84" s="21"/>
      <c r="T84" s="21"/>
      <c r="U84" s="21"/>
      <c r="V84" s="21"/>
      <c r="AB84" s="106" t="s">
        <v>158</v>
      </c>
      <c r="AC84" s="110">
        <v>50</v>
      </c>
      <c r="AD84" s="21"/>
      <c r="AE84" s="21"/>
      <c r="AG84" s="21"/>
      <c r="AH84" s="21"/>
      <c r="AI84" s="21"/>
    </row>
    <row r="85" spans="2:35" ht="15" customHeight="1">
      <c r="B85" s="89" t="s">
        <v>159</v>
      </c>
      <c r="C85" s="109">
        <f>INDEX($A78:$A79,MATCH(C84,$A78:$A79,1))</f>
        <v>50</v>
      </c>
      <c r="D85" s="21"/>
      <c r="E85" s="38"/>
      <c r="G85" s="21"/>
      <c r="H85" s="21"/>
      <c r="I85" s="21"/>
      <c r="O85" s="89" t="s">
        <v>159</v>
      </c>
      <c r="P85" s="109">
        <f>INDEX($N78:$N79,MATCH(P84,$N78:$N79,1))</f>
        <v>50</v>
      </c>
      <c r="Q85" s="21"/>
      <c r="R85" s="38"/>
      <c r="T85" s="21"/>
      <c r="U85" s="21"/>
      <c r="V85" s="21"/>
      <c r="AB85" s="89" t="s">
        <v>159</v>
      </c>
      <c r="AC85" s="109">
        <f>INDEX($AA78:$AA79,MATCH(AC84,$AA78:$AA79,1))</f>
        <v>50</v>
      </c>
      <c r="AD85" s="21"/>
      <c r="AE85" s="38"/>
      <c r="AG85" s="21"/>
      <c r="AH85" s="21"/>
      <c r="AI85" s="21"/>
    </row>
    <row r="86" spans="2:35" ht="15" customHeight="1">
      <c r="B86" s="89" t="s">
        <v>160</v>
      </c>
      <c r="C86" s="109" cm="1">
        <f t="array" ref="C86">INDEX($A78:$A79,IF(MATCH(C84,$A78:$A79,1)&lt;E82,MATCH(C84,$A78:$A79,1)+1,MATCH(C84,$A78:$A79,1)))</f>
        <v>50</v>
      </c>
      <c r="D86" s="21"/>
      <c r="E86" s="38"/>
      <c r="G86" s="21"/>
      <c r="H86" s="21"/>
      <c r="I86" s="21"/>
      <c r="O86" s="89" t="s">
        <v>160</v>
      </c>
      <c r="P86" s="109" cm="1">
        <f t="array" ref="P86">INDEX($N78:$N79,IF(MATCH(P84,$N78:$N79,1)&lt;R82,MATCH(P84,$N78:$N79,1)+1,MATCH(P84,$N78:$N79,1)))</f>
        <v>50</v>
      </c>
      <c r="Q86" s="21"/>
      <c r="R86" s="38"/>
      <c r="T86" s="21"/>
      <c r="U86" s="21"/>
      <c r="V86" s="21"/>
      <c r="AB86" s="89" t="s">
        <v>160</v>
      </c>
      <c r="AC86" s="109" cm="1">
        <f t="array" ref="AC86">INDEX($AA78:$AA79,IF(MATCH(AC84,$AA78:$AA79,1)&lt;AE82,MATCH(AC84,$AA78:$AA79,1)+1,MATCH(AC84,$AA78:$AA79,1)))</f>
        <v>50</v>
      </c>
      <c r="AD86" s="21"/>
      <c r="AE86" s="38"/>
      <c r="AG86" s="21"/>
      <c r="AH86" s="21"/>
      <c r="AI86" s="21"/>
    </row>
    <row r="87" spans="2:35" ht="15" customHeight="1">
      <c r="B87" s="108" t="s">
        <v>161</v>
      </c>
      <c r="C87" s="107">
        <f>INDEX($B78:$K79,MATCH(C84,$A78:$A79,1),MATCH(C81,$B77:$K77,1))</f>
        <v>2750</v>
      </c>
      <c r="D87" s="21"/>
      <c r="E87" s="38"/>
      <c r="G87" s="21"/>
      <c r="H87" s="21"/>
      <c r="I87" s="21"/>
      <c r="O87" s="108" t="s">
        <v>161</v>
      </c>
      <c r="P87" s="107" t="e">
        <f>INDEX($O78:$V79,MATCH(P84,$N78:$N79,1),MATCH(P81,$O77:$V77,1))</f>
        <v>#N/A</v>
      </c>
      <c r="Q87" s="21"/>
      <c r="R87" s="38"/>
      <c r="T87" s="21"/>
      <c r="U87" s="21"/>
      <c r="V87" s="21"/>
      <c r="AB87" s="108" t="s">
        <v>161</v>
      </c>
      <c r="AC87" s="107">
        <f>INDEX($AB78:$AL79,MATCH(AC84,$AA78:$AA79,1),MATCH(AC81,$AB77:$AL77,1))</f>
        <v>2100</v>
      </c>
      <c r="AD87" s="21"/>
      <c r="AE87" s="38"/>
      <c r="AG87" s="21"/>
      <c r="AH87" s="21"/>
      <c r="AI87" s="21"/>
    </row>
    <row r="88" spans="2:35" ht="15" customHeight="1">
      <c r="B88" s="108" t="s">
        <v>203</v>
      </c>
      <c r="C88" s="107" cm="1">
        <f t="array" ref="C88">INDEX($B78:$K79,MATCH(C84,$A78:$A79,1),IF(MATCH(C81,$B77:$K77,1)&lt;E83,MATCH(C81,$B77:$K77,1)+1,MATCH(C84,$A78:$A79,1)))</f>
        <v>3350</v>
      </c>
      <c r="E88" s="38"/>
      <c r="G88" s="21"/>
      <c r="H88" s="21"/>
      <c r="I88" s="21"/>
      <c r="O88" s="108" t="s">
        <v>203</v>
      </c>
      <c r="P88" s="107" t="e" cm="1">
        <f t="array" ref="P88">INDEX($O78:$V79,MATCH(P84,$N78:$N79,1),IF(MATCH(P81,$O77:$V77,1)&lt;R83,MATCH(P81,$O77:$V77,1)+1,MATCH(P84,$N78:$N79,1)))</f>
        <v>#N/A</v>
      </c>
      <c r="R88" s="38"/>
      <c r="T88" s="21"/>
      <c r="U88" s="21"/>
      <c r="V88" s="21"/>
      <c r="AB88" s="108" t="s">
        <v>203</v>
      </c>
      <c r="AC88" s="107" cm="1">
        <f t="array" ref="AC88">INDEX($AB78:$AL79,MATCH(AC84,$AA78:$AA79,1),IF(MATCH(AC81,$AB77:$AL77,1)&lt;AE83,MATCH(AC81,$AB77:$AL77,1)+1,MATCH(AC84,$AA78:$AA79,1)))</f>
        <v>2600</v>
      </c>
      <c r="AE88" s="38"/>
      <c r="AG88" s="21"/>
      <c r="AH88" s="21"/>
      <c r="AI88" s="21"/>
    </row>
    <row r="89" spans="2:35" ht="15" customHeight="1">
      <c r="B89" s="108" t="s">
        <v>162</v>
      </c>
      <c r="C89" s="107" cm="1">
        <f t="array" ref="C89">INDEX($B78:$K79,IF(MATCH(C84,$A78:$A79,1)&lt;E82,MATCH(C84,$A78:$A79,1)+1,MATCH(C84,$A78:$A79,1)),MATCH(C81,$B77:$K77,1))</f>
        <v>2750</v>
      </c>
      <c r="E89" s="38"/>
      <c r="G89" s="21"/>
      <c r="H89" s="21"/>
      <c r="I89" s="21"/>
      <c r="O89" s="108" t="s">
        <v>162</v>
      </c>
      <c r="P89" s="107" t="e" cm="1">
        <f t="array" ref="P89">INDEX($O78:$V79,IF(MATCH(P84,$N78:$N79,1)&lt;R82,MATCH(P84,$N78:$N79,1)+1,MATCH(P84,$N78:$N79,1)),MATCH(P81,$O77:$V77,1))</f>
        <v>#N/A</v>
      </c>
      <c r="R89" s="38"/>
      <c r="T89" s="21"/>
      <c r="U89" s="21"/>
      <c r="V89" s="21"/>
      <c r="AB89" s="108" t="s">
        <v>162</v>
      </c>
      <c r="AC89" s="107" cm="1">
        <f t="array" ref="AC89">INDEX($AB78:$AL79,IF(MATCH(AC84,$AA78:$AA79,1)&lt;AE82,MATCH(AC84,$AA78:$AA79,1)+1,MATCH(AC84,$AA78:$AA79,1)),MATCH(AC81,$AB77:$AL77,1))</f>
        <v>2100</v>
      </c>
      <c r="AE89" s="38"/>
      <c r="AG89" s="21"/>
      <c r="AH89" s="21"/>
      <c r="AI89" s="21"/>
    </row>
    <row r="90" spans="2:35" ht="15" customHeight="1">
      <c r="B90" s="108" t="s">
        <v>204</v>
      </c>
      <c r="C90" s="107" cm="1">
        <f t="array" ref="C90">INDEX($B78:$K79,IF(MATCH(C84,$A78:$A79,1)&lt;E82,MATCH(C84,$A78:$A79,1)+1,MATCH(C84,$A78:$A79,1)),IF(MATCH(C81,$B77:$K77,1)&lt;E83,MATCH(C81,$B77:$K77,1)+1,MATCH(C81,$B77:$K77,1)))</f>
        <v>3350</v>
      </c>
      <c r="G90" s="21"/>
      <c r="H90" s="21"/>
      <c r="I90" s="21"/>
      <c r="O90" s="108" t="s">
        <v>204</v>
      </c>
      <c r="P90" s="107" t="e" cm="1">
        <f t="array" ref="P90">INDEX($O78:$V79,IF(MATCH(P84,$N78:$N79,1)&lt;R82,MATCH(P84,$N78:$N79,1)+1,MATCH(P84,$N78:$N79,1)),IF(MATCH(P81,$O77:$V77,1)&lt;R83,MATCH(P81,$O77:$V77,1)+1,MATCH(P81,$O77:$V77,1)))</f>
        <v>#N/A</v>
      </c>
      <c r="T90" s="21"/>
      <c r="U90" s="21"/>
      <c r="V90" s="21"/>
      <c r="AB90" s="108" t="s">
        <v>204</v>
      </c>
      <c r="AC90" s="107" cm="1">
        <f t="array" ref="AC90">INDEX($AB78:$AL79,IF(MATCH(AC84,$AA78:$AA79,1)&lt;AE82,MATCH(AC84,$AA78:$AA79,1)+1,MATCH(AC84,$AA78:$AA79,1)),IF(MATCH(AC81,$AB77:$AL77,1)&lt;AE83,MATCH(AC81,$AB77:$AL77,1)+1,MATCH(AC81,$AB77:$AL77,1)))</f>
        <v>2600</v>
      </c>
      <c r="AG90" s="21"/>
      <c r="AH90" s="21"/>
      <c r="AI90" s="21"/>
    </row>
    <row r="91" spans="2:35" ht="15" customHeight="1">
      <c r="B91" s="89" t="s">
        <v>205</v>
      </c>
      <c r="C91" s="109">
        <f>IFERROR(C87+(C81-C82)*(C88-C87)/(C83-C82),C87)</f>
        <v>3194.5788499999999</v>
      </c>
      <c r="G91" s="21"/>
      <c r="H91" s="21"/>
      <c r="I91" s="21"/>
      <c r="O91" s="89" t="s">
        <v>205</v>
      </c>
      <c r="P91" s="109" t="e">
        <f>IFERROR(P87+(P81-P82)*(P88-P87)/(P83-P82),P87)</f>
        <v>#N/A</v>
      </c>
      <c r="T91" s="21"/>
      <c r="U91" s="21"/>
      <c r="V91" s="21"/>
      <c r="AB91" s="89" t="s">
        <v>205</v>
      </c>
      <c r="AC91" s="109">
        <f>IFERROR(AC87+(AC81-AC82)*(AC88-AC87)/(AC83-AC82),AC87)</f>
        <v>2529.9</v>
      </c>
      <c r="AG91" s="21"/>
      <c r="AH91" s="21"/>
      <c r="AI91" s="21"/>
    </row>
    <row r="92" spans="2:35" ht="15" customHeight="1">
      <c r="B92" s="89" t="s">
        <v>206</v>
      </c>
      <c r="C92" s="109">
        <f>IFERROR(C89+(C81-C82)*(C90-C89)/(C83-C82),C89)</f>
        <v>3194.5788499999999</v>
      </c>
      <c r="G92" s="21"/>
      <c r="H92" s="21"/>
      <c r="I92" s="21"/>
      <c r="O92" s="89" t="s">
        <v>206</v>
      </c>
      <c r="P92" s="109" t="e">
        <f>IFERROR(P89+(P81-P82)*(P90-P89)/(P83-P82),P89)</f>
        <v>#N/A</v>
      </c>
      <c r="T92" s="21"/>
      <c r="U92" s="21"/>
      <c r="V92" s="21"/>
      <c r="AB92" s="89" t="s">
        <v>206</v>
      </c>
      <c r="AC92" s="109">
        <f>IFERROR(AC89+(AC81-AC82)*(AC90-AC89)/(AC83-AC82),AC89)</f>
        <v>2529.9</v>
      </c>
      <c r="AG92" s="21"/>
      <c r="AH92" s="21"/>
      <c r="AI92" s="21"/>
    </row>
    <row r="93" spans="2:35" ht="15" customHeight="1">
      <c r="B93" s="108" t="s">
        <v>207</v>
      </c>
      <c r="C93" s="107">
        <f>IFERROR(C91+(C84-C85)*(C92-C91)/(C86-C85),C91)</f>
        <v>3194.5788499999999</v>
      </c>
      <c r="G93" s="21"/>
      <c r="H93" s="21"/>
      <c r="I93" s="21"/>
      <c r="O93" s="108" t="s">
        <v>207</v>
      </c>
      <c r="P93" s="107" t="e">
        <f>IFERROR(P91+(P84-P85)*(P92-P91)/(P86-P85),P91)</f>
        <v>#N/A</v>
      </c>
      <c r="T93" s="21"/>
      <c r="U93" s="21"/>
      <c r="V93" s="21"/>
      <c r="AB93" s="108" t="s">
        <v>207</v>
      </c>
      <c r="AC93" s="107">
        <f>IFERROR(AC91+(AC84-AC85)*(AC92-AC91)/(AC86-AC85),AC91)</f>
        <v>2529.9</v>
      </c>
      <c r="AG93" s="21"/>
      <c r="AH93" s="21"/>
      <c r="AI93" s="21"/>
    </row>
    <row r="94" spans="2:35" ht="15" customHeight="1">
      <c r="C94" s="214"/>
      <c r="P94" s="214"/>
      <c r="AC94" s="214"/>
    </row>
    <row r="95" spans="2:35" ht="15" customHeight="1">
      <c r="C95" s="195"/>
      <c r="P95" s="195"/>
      <c r="AC95" s="195"/>
    </row>
  </sheetData>
  <sheetProtection algorithmName="SHA-512" hashValue="RgmMK1f2Ck2AXzCcWy+55k6oGMkB/U6U0F+E7TvogaaceNqKGl4pkB8mYwxNLFer93Sg9eQkNESaKCcQbbUL7A==" saltValue="XrCXN/EWUqWmhXEL7RxplQ==" spinCount="100000" sheet="1" objects="1" scenarios="1"/>
  <mergeCells count="29">
    <mergeCell ref="AB56:AI56"/>
    <mergeCell ref="AD62:AE62"/>
    <mergeCell ref="AB76:AI76"/>
    <mergeCell ref="AD81:AE81"/>
    <mergeCell ref="AB3:AL3"/>
    <mergeCell ref="AB4:AF4"/>
    <mergeCell ref="AD16:AE16"/>
    <mergeCell ref="AB30:AG30"/>
    <mergeCell ref="AD42:AE42"/>
    <mergeCell ref="D81:E81"/>
    <mergeCell ref="B4:F4"/>
    <mergeCell ref="B3:L3"/>
    <mergeCell ref="O3:Y3"/>
    <mergeCell ref="O4:S4"/>
    <mergeCell ref="Q16:R16"/>
    <mergeCell ref="O30:T30"/>
    <mergeCell ref="Q42:R42"/>
    <mergeCell ref="O56:V56"/>
    <mergeCell ref="Q62:R62"/>
    <mergeCell ref="O76:V76"/>
    <mergeCell ref="Q81:R81"/>
    <mergeCell ref="D62:E62"/>
    <mergeCell ref="B56:I56"/>
    <mergeCell ref="B76:I76"/>
    <mergeCell ref="AR16:AS16"/>
    <mergeCell ref="AZ16:BA16"/>
    <mergeCell ref="D42:E42"/>
    <mergeCell ref="B30:G30"/>
    <mergeCell ref="D16:E16"/>
  </mergeCells>
  <conditionalFormatting sqref="B6:E13">
    <cfRule type="colorScale" priority="195">
      <colorScale>
        <cfvo type="min"/>
        <cfvo type="max"/>
        <color rgb="FFFCFCFF"/>
        <color rgb="FFF8696B"/>
      </colorScale>
    </cfRule>
  </conditionalFormatting>
  <conditionalFormatting sqref="B32:E39">
    <cfRule type="colorScale" priority="297">
      <colorScale>
        <cfvo type="min"/>
        <cfvo type="max"/>
        <color rgb="FFFCFCFF"/>
        <color rgb="FFF8696B"/>
      </colorScale>
    </cfRule>
  </conditionalFormatting>
  <conditionalFormatting sqref="B58:G60">
    <cfRule type="colorScale" priority="293">
      <colorScale>
        <cfvo type="min"/>
        <cfvo type="max"/>
        <color rgb="FFFCFCFF"/>
        <color rgb="FFF8696B"/>
      </colorScale>
    </cfRule>
  </conditionalFormatting>
  <conditionalFormatting sqref="B78:J79">
    <cfRule type="colorScale" priority="299">
      <colorScale>
        <cfvo type="min"/>
        <cfvo type="max"/>
        <color rgb="FFFCFCFF"/>
        <color rgb="FFF8696B"/>
      </colorScale>
    </cfRule>
  </conditionalFormatting>
  <conditionalFormatting sqref="J6:M14">
    <cfRule type="colorScale" priority="197">
      <colorScale>
        <cfvo type="min"/>
        <cfvo type="max"/>
        <color rgb="FFFCFCFF"/>
        <color rgb="FFF8696B"/>
      </colorScale>
    </cfRule>
  </conditionalFormatting>
  <conditionalFormatting sqref="O6:R13">
    <cfRule type="colorScale" priority="6">
      <colorScale>
        <cfvo type="min"/>
        <cfvo type="max"/>
        <color rgb="FFFCFCFF"/>
        <color rgb="FFF8696B"/>
      </colorScale>
    </cfRule>
  </conditionalFormatting>
  <conditionalFormatting sqref="O32:R39">
    <cfRule type="colorScale" priority="205">
      <colorScale>
        <cfvo type="min"/>
        <cfvo type="max"/>
        <color rgb="FFFCFCFF"/>
        <color rgb="FFF8696B"/>
      </colorScale>
    </cfRule>
  </conditionalFormatting>
  <conditionalFormatting sqref="O58:U60">
    <cfRule type="colorScale" priority="279">
      <colorScale>
        <cfvo type="min"/>
        <cfvo type="max"/>
        <color rgb="FFFCFCFF"/>
        <color rgb="FFF8696B"/>
      </colorScale>
    </cfRule>
  </conditionalFormatting>
  <conditionalFormatting sqref="O78:U79">
    <cfRule type="colorScale" priority="207">
      <colorScale>
        <cfvo type="min"/>
        <cfvo type="max"/>
        <color rgb="FFFCFCFF"/>
        <color rgb="FFF8696B"/>
      </colorScale>
    </cfRule>
  </conditionalFormatting>
  <conditionalFormatting sqref="W6:Y14">
    <cfRule type="colorScale" priority="7">
      <colorScale>
        <cfvo type="min"/>
        <cfvo type="max"/>
        <color rgb="FFFCFCFF"/>
        <color rgb="FFF8696B"/>
      </colorScale>
    </cfRule>
  </conditionalFormatting>
  <conditionalFormatting sqref="AB6:AE13">
    <cfRule type="colorScale" priority="1">
      <colorScale>
        <cfvo type="min"/>
        <cfvo type="max"/>
        <color rgb="FFFCFCFF"/>
        <color rgb="FFF8696B"/>
      </colorScale>
    </cfRule>
  </conditionalFormatting>
  <conditionalFormatting sqref="AB32:AE39">
    <cfRule type="colorScale" priority="3">
      <colorScale>
        <cfvo type="min"/>
        <cfvo type="max"/>
        <color rgb="FFFCFCFF"/>
        <color rgb="FFF8696B"/>
      </colorScale>
    </cfRule>
  </conditionalFormatting>
  <conditionalFormatting sqref="AB58:AG60">
    <cfRule type="colorScale" priority="303">
      <colorScale>
        <cfvo type="min"/>
        <cfvo type="max"/>
        <color rgb="FFFCFCFF"/>
        <color rgb="FFF8696B"/>
      </colorScale>
    </cfRule>
  </conditionalFormatting>
  <conditionalFormatting sqref="AB78:AK79">
    <cfRule type="colorScale" priority="305">
      <colorScale>
        <cfvo type="min"/>
        <cfvo type="max"/>
        <color rgb="FFFCFCFF"/>
        <color rgb="FFF8696B"/>
      </colorScale>
    </cfRule>
  </conditionalFormatting>
  <conditionalFormatting sqref="AJ6:AL14">
    <cfRule type="colorScale" priority="2">
      <colorScale>
        <cfvo type="min"/>
        <cfvo type="max"/>
        <color rgb="FFFCFCFF"/>
        <color rgb="FFF8696B"/>
      </colorScale>
    </cfRule>
  </conditionalFormatting>
  <pageMargins left="0.25" right="0.25" top="0.75" bottom="0.75" header="0" footer="0"/>
  <pageSetup paperSize="9"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d7783eb-294a-4872-a790-54a408345846">
      <Terms xmlns="http://schemas.microsoft.com/office/infopath/2007/PartnerControls"/>
    </lcf76f155ced4ddcb4097134ff3c332f>
    <TaxCatchAll xmlns="79cfe074-6702-4f56-92d6-0bfcd31daee5" xsi:nil="true"/>
    <SharedWithUsers xmlns="79cfe074-6702-4f56-92d6-0bfcd31daee5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2ECFDACB9C317E44B65EE510FC845ADF" ma:contentTypeVersion="13" ma:contentTypeDescription="Skapa ett nytt dokument." ma:contentTypeScope="" ma:versionID="1c9e161efc84c4d21ee7504099ada50c">
  <xsd:schema xmlns:xsd="http://www.w3.org/2001/XMLSchema" xmlns:xs="http://www.w3.org/2001/XMLSchema" xmlns:p="http://schemas.microsoft.com/office/2006/metadata/properties" xmlns:ns2="ad7783eb-294a-4872-a790-54a408345846" xmlns:ns3="79cfe074-6702-4f56-92d6-0bfcd31daee5" targetNamespace="http://schemas.microsoft.com/office/2006/metadata/properties" ma:root="true" ma:fieldsID="3e090ab344d7c3dd95f938bb7d7ad82f" ns2:_="" ns3:_="">
    <xsd:import namespace="ad7783eb-294a-4872-a790-54a408345846"/>
    <xsd:import namespace="79cfe074-6702-4f56-92d6-0bfcd31daee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7783eb-294a-4872-a790-54a4083458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Bildmarkeringar" ma:readOnly="false" ma:fieldId="{5cf76f15-5ced-4ddc-b409-7134ff3c332f}" ma:taxonomyMulti="true" ma:sspId="1c7cd0a3-83bd-4856-8d22-fbbffddc11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cfe074-6702-4f56-92d6-0bfcd31daee5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0a3a947-3e01-40ba-a188-cdf810524933}" ma:internalName="TaxCatchAll" ma:showField="CatchAllData" ma:web="79cfe074-6702-4f56-92d6-0bfcd31daee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133FA56-2022-4A3F-A4DE-6A147C872BD4}">
  <ds:schemaRefs>
    <ds:schemaRef ds:uri="http://schemas.microsoft.com/office/2006/metadata/properties"/>
    <ds:schemaRef ds:uri="http://www.w3.org/2000/xmlns/"/>
    <ds:schemaRef ds:uri="1d91a30b-cb45-4c1d-bf1d-32256a7aa33f"/>
    <ds:schemaRef ds:uri="http://schemas.microsoft.com/office/infopath/2007/PartnerControls"/>
    <ds:schemaRef ds:uri="e5bf17a6-ad0c-49d9-82da-3ce79b2f257d"/>
    <ds:schemaRef ds:uri="http://www.w3.org/2001/XMLSchema-instance"/>
    <ds:schemaRef ds:uri="ad7783eb-294a-4872-a790-54a408345846"/>
    <ds:schemaRef ds:uri="79cfe074-6702-4f56-92d6-0bfcd31daee5"/>
  </ds:schemaRefs>
</ds:datastoreItem>
</file>

<file path=customXml/itemProps2.xml><?xml version="1.0" encoding="utf-8"?>
<ds:datastoreItem xmlns:ds="http://schemas.openxmlformats.org/officeDocument/2006/customXml" ds:itemID="{A50126D6-4A57-45E8-A7B9-6496E810A2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A81A32E-62EC-4AC4-AB87-A3933B1016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d7783eb-294a-4872-a790-54a408345846"/>
    <ds:schemaRef ds:uri="79cfe074-6702-4f56-92d6-0bfcd31dae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13</vt:i4>
      </vt:variant>
    </vt:vector>
  </HeadingPairs>
  <TitlesOfParts>
    <vt:vector size="13" baseType="lpstr">
      <vt:lpstr>Take-off</vt:lpstr>
      <vt:lpstr>Landing</vt:lpstr>
      <vt:lpstr>Airport data</vt:lpstr>
      <vt:lpstr>Dropdown lists</vt:lpstr>
      <vt:lpstr>LDG Performance</vt:lpstr>
      <vt:lpstr>TAKE OFF Performance FLAPS UP</vt:lpstr>
      <vt:lpstr>TAKE OFF Performance FLAPS APPR</vt:lpstr>
      <vt:lpstr>Landing distance data</vt:lpstr>
      <vt:lpstr>Accelerate and GO (2)</vt:lpstr>
      <vt:lpstr>Accelerate and stop2</vt:lpstr>
      <vt:lpstr>OEI CLIMB GRADIENT</vt:lpstr>
      <vt:lpstr>NET GRADIENT OF CLIMB</vt:lpstr>
      <vt:lpstr>Takeoff distance (2)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Erik Jonasson</cp:lastModifiedBy>
  <cp:revision/>
  <dcterms:created xsi:type="dcterms:W3CDTF">2025-10-09T12:49:25Z</dcterms:created>
  <dcterms:modified xsi:type="dcterms:W3CDTF">2026-10-05T11:22:46Z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0x0101002ECFDACB9C317E44B65EE510FC845ADF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xd_ProgID">
    <vt:lpwstr/>
  </property>
  <property fmtid="{D5CDD505-2E9C-101B-9397-08002B2CF9AE}" pid="8" name="TemplateUrl">
    <vt:lpwstr/>
  </property>
  <property fmtid="{D5CDD505-2E9C-101B-9397-08002B2CF9AE}" pid="9" name="xd_Signature">
    <vt:bool>false</vt:bool>
  </property>
  <property fmtid="{D5CDD505-2E9C-101B-9397-08002B2CF9AE}" pid="10" name="Status">
    <vt:lpwstr>Ej påbörjad</vt:lpwstr>
  </property>
</Properties>
</file>