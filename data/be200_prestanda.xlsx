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9" documentId="11_136A2C62A7C78C276A7BCA893372D064D64834DC" xr6:coauthVersionLast="47" xr6:coauthVersionMax="47" xr10:uidLastSave="{F4070BE0-3B0B-42F6-A958-740683847EB8}"/>
  <bookViews>
    <workbookView xWindow="0" yWindow="0" windowWidth="0" windowHeight="0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  <sheet name="LTL_LDG Performance" sheetId="5" r:id="rId5"/>
    <sheet name="LTL_TAKE OFF Performance FLAPS " sheetId="6" r:id="rId6"/>
    <sheet name="Blad3" sheetId="7" r:id="rId7"/>
    <sheet name="LTL_Landing distance data" sheetId="8" r:id="rId8"/>
    <sheet name="LTL_Accelerate and GO (2)" sheetId="9" r:id="rId9"/>
    <sheet name="LTL_Accelerate and stop2" sheetId="10" r:id="rId10"/>
    <sheet name="LTL_OEI CLIMB GRADIENT" sheetId="11" r:id="rId11"/>
    <sheet name="LTL_NET GRADIENT OF CLIMB" sheetId="12" r:id="rId12"/>
    <sheet name="LTL_Takeoff distance (2)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 a="1"/>
  <c r="C8" i="2"/>
  <c r="C9" i="2" a="1"/>
  <c r="C9" i="2"/>
  <c r="C7" i="2" a="1"/>
  <c r="C7" i="2"/>
  <c r="C6" i="2" a="1"/>
  <c r="C6" i="2"/>
  <c r="C8" i="1" a="1"/>
  <c r="C8" i="1"/>
  <c r="C9" i="1" a="1"/>
  <c r="C9" i="1"/>
  <c r="C7" i="1" a="1"/>
  <c r="C7" i="1"/>
  <c r="C6" i="1" a="1"/>
  <c r="C6" i="1"/>
  <c r="AC85" i="13" a="1"/>
  <c r="AC85" i="13"/>
  <c r="P85" i="13" a="1"/>
  <c r="P85" i="13"/>
  <c r="C85" i="13" a="1"/>
  <c r="C85" i="13"/>
  <c r="AE83" i="13"/>
  <c r="R83" i="13"/>
  <c r="E83" i="13"/>
  <c r="AE82" i="13"/>
  <c r="R82" i="13"/>
  <c r="E82" i="13"/>
  <c r="AE64" i="13"/>
  <c r="R64" i="13"/>
  <c r="E64" i="13"/>
  <c r="AE63" i="13"/>
  <c r="R63" i="13"/>
  <c r="E63" i="13"/>
  <c r="AC45" i="13"/>
  <c r="P45" i="13"/>
  <c r="C45" i="13"/>
  <c r="AE44" i="13"/>
  <c r="R44" i="13"/>
  <c r="E44" i="13"/>
  <c r="AE43" i="13"/>
  <c r="R43" i="13"/>
  <c r="E43" i="13"/>
  <c r="AE18" i="13"/>
  <c r="R18" i="13"/>
  <c r="E18" i="13"/>
  <c r="AE17" i="13"/>
  <c r="R17" i="13"/>
  <c r="E17" i="13"/>
  <c r="AC45" i="12"/>
  <c r="P45" i="12"/>
  <c r="C45" i="12"/>
  <c r="AE44" i="12"/>
  <c r="R44" i="12"/>
  <c r="E44" i="12"/>
  <c r="AE43" i="12"/>
  <c r="R43" i="12"/>
  <c r="E43" i="12"/>
  <c r="AE18" i="12"/>
  <c r="R18" i="12"/>
  <c r="E18" i="12"/>
  <c r="AE17" i="12"/>
  <c r="R17" i="12"/>
  <c r="E17" i="12"/>
  <c r="C44" i="11"/>
  <c r="E43" i="11"/>
  <c r="E42" i="11"/>
  <c r="Q38" i="11" a="1"/>
  <c r="Q38" i="11"/>
  <c r="S36" i="11"/>
  <c r="S35" i="11"/>
  <c r="E18" i="11"/>
  <c r="E17" i="11"/>
  <c r="AE64" i="10"/>
  <c r="R64" i="10"/>
  <c r="E64" i="10"/>
  <c r="AE63" i="10"/>
  <c r="R63" i="10"/>
  <c r="E63" i="10"/>
  <c r="AC45" i="10"/>
  <c r="P45" i="10"/>
  <c r="C45" i="10"/>
  <c r="AE44" i="10"/>
  <c r="R44" i="10"/>
  <c r="E44" i="10"/>
  <c r="AE43" i="10"/>
  <c r="R43" i="10"/>
  <c r="E43" i="10"/>
  <c r="AE18" i="10"/>
  <c r="R18" i="10"/>
  <c r="E18" i="10"/>
  <c r="AE17" i="10"/>
  <c r="R17" i="10"/>
  <c r="E17" i="10"/>
  <c r="AF64" i="9"/>
  <c r="R64" i="9"/>
  <c r="E64" i="9"/>
  <c r="AF63" i="9"/>
  <c r="R63" i="9"/>
  <c r="E63" i="9"/>
  <c r="AC45" i="9"/>
  <c r="P45" i="9"/>
  <c r="C45" i="9"/>
  <c r="AE44" i="9"/>
  <c r="R44" i="9"/>
  <c r="E44" i="9"/>
  <c r="AE43" i="9"/>
  <c r="R43" i="9"/>
  <c r="E43" i="9"/>
  <c r="AE18" i="9"/>
  <c r="R18" i="9"/>
  <c r="E18" i="9"/>
  <c r="AE17" i="9"/>
  <c r="R17" i="9"/>
  <c r="E17" i="9"/>
  <c r="K90" i="8" a="1"/>
  <c r="K90" i="8"/>
  <c r="C90" i="8" a="1"/>
  <c r="C90" i="8"/>
  <c r="M88" i="8"/>
  <c r="E88" i="8"/>
  <c r="M87" i="8"/>
  <c r="E87" i="8"/>
  <c r="M69" i="8"/>
  <c r="E69" i="8"/>
  <c r="M68" i="8"/>
  <c r="E68" i="8"/>
  <c r="K49" i="8"/>
  <c r="C49" i="8"/>
  <c r="M48" i="8"/>
  <c r="E48" i="8"/>
  <c r="M47" i="8"/>
  <c r="E47" i="8"/>
  <c r="M23" i="8"/>
  <c r="E23" i="8"/>
  <c r="M22" i="8"/>
  <c r="E22" i="8"/>
  <c r="P31" i="7"/>
  <c r="N31" i="7"/>
  <c r="M31" i="7"/>
  <c r="J31" i="7"/>
  <c r="I31" i="7"/>
  <c r="C31" i="7"/>
  <c r="N30" i="7"/>
  <c r="M30" i="7"/>
  <c r="J30" i="7"/>
  <c r="I30" i="7"/>
  <c r="C30" i="7"/>
  <c r="N29" i="7"/>
  <c r="M29" i="7"/>
  <c r="J29" i="7"/>
  <c r="I29" i="7"/>
  <c r="C29" i="7"/>
  <c r="N28" i="7"/>
  <c r="M28" i="7"/>
  <c r="J28" i="7"/>
  <c r="I28" i="7"/>
  <c r="C28" i="7"/>
  <c r="I17" i="7"/>
  <c r="E17" i="7"/>
  <c r="I16" i="7"/>
  <c r="E16" i="7"/>
  <c r="I14" i="7"/>
  <c r="E14" i="7"/>
  <c r="I13" i="7"/>
  <c r="E13" i="7"/>
  <c r="N32" i="6"/>
  <c r="M32" i="6"/>
  <c r="J32" i="6"/>
  <c r="I32" i="6"/>
  <c r="N31" i="6"/>
  <c r="M31" i="6"/>
  <c r="J31" i="6"/>
  <c r="I31" i="6"/>
  <c r="J30" i="6"/>
  <c r="I30" i="6"/>
  <c r="N29" i="6"/>
  <c r="M29" i="6"/>
  <c r="J29" i="6"/>
  <c r="I29" i="6"/>
  <c r="N28" i="6"/>
  <c r="M28" i="6"/>
  <c r="J28" i="6"/>
  <c r="I28" i="6"/>
  <c r="I17" i="6"/>
  <c r="E17" i="6"/>
  <c r="I16" i="6"/>
  <c r="E16" i="6"/>
  <c r="I14" i="6"/>
  <c r="E14" i="6"/>
  <c r="I13" i="6"/>
  <c r="E13" i="6"/>
  <c r="D82" i="5"/>
  <c r="B82" i="5"/>
  <c r="C80" i="5"/>
  <c r="C79" i="5"/>
  <c r="C55" i="5"/>
  <c r="M16" i="5"/>
  <c r="K16" i="5"/>
  <c r="I16" i="5"/>
  <c r="E16" i="5"/>
  <c r="M15" i="5"/>
  <c r="K15" i="5"/>
  <c r="I15" i="5"/>
  <c r="E15" i="5"/>
  <c r="C13" i="5"/>
  <c r="C12" i="5"/>
  <c r="I29" i="4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29" i="2"/>
  <c r="G22" i="2" a="1"/>
  <c r="G22" i="2"/>
  <c r="C20" i="2"/>
  <c r="C18" i="2" a="1"/>
  <c r="C18" i="2"/>
  <c r="C17" i="2" a="1"/>
  <c r="C17" i="2"/>
  <c r="C16" i="2" a="1"/>
  <c r="C16" i="2"/>
  <c r="C101" i="8" s="1"/>
  <c r="C15" i="2" a="1"/>
  <c r="C15" i="2"/>
  <c r="C14" i="2"/>
  <c r="C70" i="1" a="1"/>
  <c r="C70" i="1"/>
  <c r="C69" i="1" a="1"/>
  <c r="C69" i="1"/>
  <c r="B60" i="1"/>
  <c r="B59" i="1"/>
  <c r="B58" i="1"/>
  <c r="B57" i="1"/>
  <c r="B56" i="1"/>
  <c r="B55" i="1"/>
  <c r="F25" i="1" a="1"/>
  <c r="F25" i="1"/>
  <c r="C22" i="1" a="1"/>
  <c r="C22" i="1"/>
  <c r="C21" i="1" a="1"/>
  <c r="C21" i="1"/>
  <c r="C57" i="1" s="1"/>
  <c r="C20" i="1" a="1"/>
  <c r="C20" i="1"/>
  <c r="C56" i="1" s="1"/>
  <c r="G19" i="1" a="1"/>
  <c r="G19" i="1"/>
  <c r="C19" i="1" a="1"/>
  <c r="C19" i="1"/>
  <c r="C55" i="1" s="1"/>
  <c r="C18" i="1" a="1"/>
  <c r="C18" i="1"/>
  <c r="C17" i="1" a="1"/>
  <c r="C17" i="1"/>
  <c r="C16" i="1" a="1"/>
  <c r="C16" i="1"/>
  <c r="F12" i="1"/>
  <c r="D2" i="13" l="1"/>
  <c r="D2" i="12"/>
  <c r="D2" i="10"/>
  <c r="D2" i="9"/>
  <c r="G2" i="8"/>
  <c r="K24" i="8" s="1"/>
  <c r="D1" i="13"/>
  <c r="D1" i="12"/>
  <c r="D1" i="10"/>
  <c r="D1" i="9"/>
  <c r="G1" i="8"/>
  <c r="K21" i="8" s="1"/>
  <c r="K101" i="8"/>
  <c r="F31" i="7"/>
  <c r="F30" i="7"/>
  <c r="F29" i="7"/>
  <c r="F28" i="7"/>
  <c r="F32" i="6"/>
  <c r="F31" i="6"/>
  <c r="F30" i="6"/>
  <c r="F29" i="6"/>
  <c r="F28" i="6"/>
  <c r="B34" i="7"/>
  <c r="B34" i="6"/>
  <c r="D2" i="11"/>
  <c r="C19" i="11" s="1"/>
  <c r="D2" i="8"/>
  <c r="C24" i="8" s="1"/>
  <c r="D1" i="11"/>
  <c r="C16" i="11" s="1"/>
  <c r="D1" i="8"/>
  <c r="C21" i="8" s="1"/>
  <c r="B32" i="5"/>
  <c r="D36" i="2"/>
  <c r="C36" i="2"/>
  <c r="E20" i="5" a="1"/>
  <c r="E20" i="5" s="1"/>
  <c r="E19" i="5" a="1"/>
  <c r="E19" i="5" s="1"/>
  <c r="E18" i="5" a="1"/>
  <c r="E18" i="5" s="1"/>
  <c r="E17" i="5" a="1"/>
  <c r="E17" i="5" s="1"/>
  <c r="I20" i="5" a="1"/>
  <c r="I20" i="5" s="1"/>
  <c r="I19" i="5" a="1"/>
  <c r="I19" i="5" s="1"/>
  <c r="I18" i="5" a="1"/>
  <c r="I18" i="5" s="1"/>
  <c r="I17" i="5" a="1"/>
  <c r="I17" i="5" s="1"/>
  <c r="K20" i="5" a="1"/>
  <c r="K20" i="5" s="1"/>
  <c r="K19" i="5" a="1"/>
  <c r="K19" i="5" s="1"/>
  <c r="K18" i="5" a="1"/>
  <c r="K18" i="5" s="1"/>
  <c r="K17" i="5" a="1"/>
  <c r="K17" i="5" s="1"/>
  <c r="M20" i="5" a="1"/>
  <c r="M20" i="5" s="1"/>
  <c r="M19" i="5" a="1"/>
  <c r="M19" i="5" s="1"/>
  <c r="M18" i="5" a="1"/>
  <c r="M18" i="5" s="1"/>
  <c r="M17" i="5" a="1"/>
  <c r="M17" i="5" s="1"/>
  <c r="E21" i="6" a="1"/>
  <c r="E21" i="6" s="1"/>
  <c r="E20" i="6" a="1"/>
  <c r="E20" i="6" s="1"/>
  <c r="E19" i="6" a="1"/>
  <c r="E19" i="6" s="1"/>
  <c r="E18" i="6" a="1"/>
  <c r="E18" i="6" s="1"/>
  <c r="I21" i="6" a="1"/>
  <c r="I21" i="6" s="1"/>
  <c r="I20" i="6" a="1"/>
  <c r="I20" i="6" s="1"/>
  <c r="I19" i="6" a="1"/>
  <c r="I19" i="6" s="1"/>
  <c r="I18" i="6" a="1"/>
  <c r="I18" i="6" s="1"/>
  <c r="E21" i="7" a="1"/>
  <c r="E21" i="7" s="1"/>
  <c r="E20" i="7" a="1"/>
  <c r="E20" i="7" s="1"/>
  <c r="E19" i="7" a="1"/>
  <c r="E19" i="7" s="1"/>
  <c r="E18" i="7" a="1"/>
  <c r="E18" i="7" s="1"/>
  <c r="I21" i="7" a="1"/>
  <c r="I21" i="7" s="1"/>
  <c r="I20" i="7" a="1"/>
  <c r="I20" i="7" s="1"/>
  <c r="I19" i="7" a="1"/>
  <c r="I19" i="7" s="1"/>
  <c r="I18" i="7" a="1"/>
  <c r="I18" i="7" s="1"/>
  <c r="C51" i="8" a="1"/>
  <c r="C51" i="8" s="1"/>
  <c r="C50" i="8" a="1"/>
  <c r="C50" i="8" s="1"/>
  <c r="K51" i="8" a="1"/>
  <c r="K51" i="8" s="1"/>
  <c r="K50" i="8" a="1"/>
  <c r="K50" i="8" s="1"/>
  <c r="C91" i="8" a="1"/>
  <c r="C91" i="8" s="1"/>
  <c r="K91" i="8" a="1"/>
  <c r="K91" i="8" s="1"/>
  <c r="C47" i="9" a="1"/>
  <c r="C47" i="9" s="1"/>
  <c r="C46" i="9" a="1"/>
  <c r="C46" i="9" s="1"/>
  <c r="P47" i="9" a="1"/>
  <c r="P47" i="9" s="1"/>
  <c r="P46" i="9" a="1"/>
  <c r="P46" i="9" s="1"/>
  <c r="AC47" i="9" a="1"/>
  <c r="AC47" i="9" s="1"/>
  <c r="AC46" i="9" a="1"/>
  <c r="AC46" i="9" s="1"/>
  <c r="C47" i="10" a="1"/>
  <c r="C47" i="10" s="1"/>
  <c r="C46" i="10" a="1"/>
  <c r="C46" i="10" s="1"/>
  <c r="P47" i="10" a="1"/>
  <c r="P47" i="10" s="1"/>
  <c r="P46" i="10" a="1"/>
  <c r="P46" i="10" s="1"/>
  <c r="AC47" i="10" a="1"/>
  <c r="AC47" i="10" s="1"/>
  <c r="AC46" i="10" a="1"/>
  <c r="AC46" i="10" s="1"/>
  <c r="Q39" i="11" a="1"/>
  <c r="Q39" i="11" s="1"/>
  <c r="C46" i="11" a="1"/>
  <c r="C46" i="11" s="1"/>
  <c r="C45" i="11" a="1"/>
  <c r="C45" i="11" s="1"/>
  <c r="C47" i="12" a="1"/>
  <c r="C47" i="12" s="1"/>
  <c r="C46" i="12" a="1"/>
  <c r="C46" i="12" s="1"/>
  <c r="P47" i="12" a="1"/>
  <c r="P47" i="12" s="1"/>
  <c r="P46" i="12" a="1"/>
  <c r="P46" i="12" s="1"/>
  <c r="AC47" i="12" a="1"/>
  <c r="AC47" i="12" s="1"/>
  <c r="AC46" i="12" a="1"/>
  <c r="AC46" i="12" s="1"/>
  <c r="C47" i="13" a="1"/>
  <c r="C47" i="13" s="1"/>
  <c r="C46" i="13" a="1"/>
  <c r="C46" i="13" s="1"/>
  <c r="P47" i="13" a="1"/>
  <c r="P47" i="13" s="1"/>
  <c r="P46" i="13" a="1"/>
  <c r="P46" i="13" s="1"/>
  <c r="AC47" i="13" a="1"/>
  <c r="AC47" i="13" s="1"/>
  <c r="AC46" i="13" a="1"/>
  <c r="AC46" i="13" s="1"/>
  <c r="C86" i="13" a="1"/>
  <c r="C86" i="13" s="1"/>
  <c r="P86" i="13" a="1"/>
  <c r="P86" i="13" s="1"/>
  <c r="AC86" i="13" a="1"/>
  <c r="AC86" i="13" s="1"/>
  <c r="I22" i="7" l="1"/>
  <c r="E22" i="7"/>
  <c r="I22" i="6"/>
  <c r="E22" i="6"/>
  <c r="M21" i="5"/>
  <c r="C26" i="2" s="1"/>
  <c r="K21" i="5"/>
  <c r="C45" i="1" s="1"/>
  <c r="I21" i="5"/>
  <c r="G45" i="1" s="1"/>
  <c r="E21" i="5"/>
  <c r="G26" i="2" s="1"/>
  <c r="C37" i="5"/>
  <c r="C22" i="2" s="1"/>
  <c r="C32" i="5"/>
  <c r="D32" i="5" s="1"/>
  <c r="C21" i="2" s="1"/>
  <c r="C23" i="8" a="1"/>
  <c r="C23" i="8" s="1"/>
  <c r="C22" i="8" a="1"/>
  <c r="C22" i="8" s="1"/>
  <c r="C18" i="11" a="1"/>
  <c r="C18" i="11" s="1"/>
  <c r="C17" i="11" a="1"/>
  <c r="C17" i="11" s="1"/>
  <c r="C30" i="8" a="1"/>
  <c r="C30" i="8" s="1"/>
  <c r="C29" i="8" a="1"/>
  <c r="C29" i="8" s="1"/>
  <c r="C32" i="8" s="1"/>
  <c r="C28" i="8" a="1"/>
  <c r="C28" i="8" s="1"/>
  <c r="C27" i="8" a="1"/>
  <c r="C27" i="8" s="1"/>
  <c r="C31" i="8" s="1"/>
  <c r="C26" i="8" a="1"/>
  <c r="C26" i="8" s="1"/>
  <c r="C25" i="8" a="1"/>
  <c r="C25" i="8" s="1"/>
  <c r="C25" i="11" a="1"/>
  <c r="C25" i="11" s="1"/>
  <c r="C24" i="11" a="1"/>
  <c r="C24" i="11" s="1"/>
  <c r="C27" i="11" s="1"/>
  <c r="C23" i="11" a="1"/>
  <c r="C23" i="11" s="1"/>
  <c r="C22" i="11" a="1"/>
  <c r="C22" i="11" s="1"/>
  <c r="C26" i="11" s="1"/>
  <c r="C21" i="11" a="1"/>
  <c r="C21" i="11" s="1"/>
  <c r="C20" i="11" a="1"/>
  <c r="C20" i="11" s="1"/>
  <c r="C39" i="6"/>
  <c r="C25" i="1" s="1"/>
  <c r="C34" i="6"/>
  <c r="D34" i="6" s="1"/>
  <c r="C24" i="1" s="1"/>
  <c r="C39" i="7"/>
  <c r="C34" i="7"/>
  <c r="D34" i="7" s="1"/>
  <c r="K23" i="8" a="1"/>
  <c r="K23" i="8" s="1"/>
  <c r="K22" i="8" a="1"/>
  <c r="K22" i="8" s="1"/>
  <c r="AC16" i="9"/>
  <c r="P16" i="9"/>
  <c r="C16" i="9"/>
  <c r="AC16" i="10"/>
  <c r="P16" i="10"/>
  <c r="C16" i="10"/>
  <c r="AC16" i="12"/>
  <c r="P16" i="12"/>
  <c r="C16" i="12"/>
  <c r="AC16" i="13"/>
  <c r="P16" i="13"/>
  <c r="C16" i="13"/>
  <c r="K30" i="8" a="1"/>
  <c r="K30" i="8" s="1"/>
  <c r="K29" i="8" a="1"/>
  <c r="K29" i="8" s="1"/>
  <c r="K32" i="8" s="1"/>
  <c r="K28" i="8" a="1"/>
  <c r="K28" i="8" s="1"/>
  <c r="K27" i="8" a="1"/>
  <c r="K27" i="8" s="1"/>
  <c r="K31" i="8" s="1"/>
  <c r="K26" i="8" a="1"/>
  <c r="K26" i="8" s="1"/>
  <c r="K25" i="8" a="1"/>
  <c r="K25" i="8" s="1"/>
  <c r="AC19" i="9"/>
  <c r="P19" i="9"/>
  <c r="C19" i="9"/>
  <c r="AC19" i="10"/>
  <c r="P19" i="10"/>
  <c r="C19" i="10"/>
  <c r="AC19" i="12"/>
  <c r="P19" i="12"/>
  <c r="C19" i="12"/>
  <c r="AC19" i="13"/>
  <c r="P19" i="13"/>
  <c r="C19" i="13"/>
  <c r="C25" i="13" l="1" a="1"/>
  <c r="C25" i="13" s="1"/>
  <c r="C24" i="13" a="1"/>
  <c r="C24" i="13" s="1"/>
  <c r="C23" i="13" a="1"/>
  <c r="C23" i="13" s="1"/>
  <c r="C22" i="13" a="1"/>
  <c r="C22" i="13" s="1"/>
  <c r="C21" i="13" a="1"/>
  <c r="C21" i="13" s="1"/>
  <c r="C20" i="13" a="1"/>
  <c r="C20" i="13" s="1"/>
  <c r="P25" i="13" a="1"/>
  <c r="P25" i="13" s="1"/>
  <c r="P24" i="13" a="1"/>
  <c r="P24" i="13" s="1"/>
  <c r="P23" i="13" a="1"/>
  <c r="P23" i="13" s="1"/>
  <c r="P22" i="13" a="1"/>
  <c r="P22" i="13" s="1"/>
  <c r="P21" i="13" a="1"/>
  <c r="P21" i="13" s="1"/>
  <c r="P20" i="13" a="1"/>
  <c r="P20" i="13" s="1"/>
  <c r="AC25" i="13" a="1"/>
  <c r="AC25" i="13" s="1"/>
  <c r="AC24" i="13" a="1"/>
  <c r="AC24" i="13" s="1"/>
  <c r="AC23" i="13" a="1"/>
  <c r="AC23" i="13" s="1"/>
  <c r="AC22" i="13" a="1"/>
  <c r="AC22" i="13" s="1"/>
  <c r="AC21" i="13" a="1"/>
  <c r="AC21" i="13" s="1"/>
  <c r="AC20" i="13" a="1"/>
  <c r="AC20" i="13" s="1"/>
  <c r="C25" i="12" a="1"/>
  <c r="C25" i="12" s="1"/>
  <c r="C24" i="12" a="1"/>
  <c r="C24" i="12" s="1"/>
  <c r="C23" i="12" a="1"/>
  <c r="C23" i="12" s="1"/>
  <c r="C22" i="12" a="1"/>
  <c r="C22" i="12" s="1"/>
  <c r="C21" i="12" a="1"/>
  <c r="C21" i="12" s="1"/>
  <c r="C20" i="12" a="1"/>
  <c r="C20" i="12" s="1"/>
  <c r="P25" i="12" a="1"/>
  <c r="P25" i="12" s="1"/>
  <c r="P24" i="12" a="1"/>
  <c r="P24" i="12" s="1"/>
  <c r="P23" i="12" a="1"/>
  <c r="P23" i="12" s="1"/>
  <c r="P22" i="12" a="1"/>
  <c r="P22" i="12" s="1"/>
  <c r="P21" i="12" a="1"/>
  <c r="P21" i="12" s="1"/>
  <c r="P20" i="12" a="1"/>
  <c r="P20" i="12" s="1"/>
  <c r="AC25" i="12" a="1"/>
  <c r="AC25" i="12" s="1"/>
  <c r="AC24" i="12" a="1"/>
  <c r="AC24" i="12" s="1"/>
  <c r="AC23" i="12" a="1"/>
  <c r="AC23" i="12" s="1"/>
  <c r="AC22" i="12" a="1"/>
  <c r="AC22" i="12" s="1"/>
  <c r="AC21" i="12" a="1"/>
  <c r="AC21" i="12" s="1"/>
  <c r="AC20" i="12" a="1"/>
  <c r="AC20" i="12" s="1"/>
  <c r="C25" i="10" a="1"/>
  <c r="C25" i="10" s="1"/>
  <c r="C24" i="10" a="1"/>
  <c r="C24" i="10" s="1"/>
  <c r="C23" i="10" a="1"/>
  <c r="C23" i="10" s="1"/>
  <c r="C22" i="10" a="1"/>
  <c r="C22" i="10" s="1"/>
  <c r="C21" i="10" a="1"/>
  <c r="C21" i="10" s="1"/>
  <c r="C20" i="10" a="1"/>
  <c r="C20" i="10" s="1"/>
  <c r="P25" i="10" a="1"/>
  <c r="P25" i="10" s="1"/>
  <c r="P24" i="10" a="1"/>
  <c r="P24" i="10" s="1"/>
  <c r="P23" i="10" a="1"/>
  <c r="P23" i="10" s="1"/>
  <c r="P22" i="10" a="1"/>
  <c r="P22" i="10" s="1"/>
  <c r="P21" i="10" a="1"/>
  <c r="P21" i="10" s="1"/>
  <c r="P20" i="10" a="1"/>
  <c r="P20" i="10" s="1"/>
  <c r="AC25" i="10" a="1"/>
  <c r="AC25" i="10" s="1"/>
  <c r="AC24" i="10" a="1"/>
  <c r="AC24" i="10" s="1"/>
  <c r="AC23" i="10" a="1"/>
  <c r="AC23" i="10" s="1"/>
  <c r="AC22" i="10" a="1"/>
  <c r="AC22" i="10" s="1"/>
  <c r="AC21" i="10" a="1"/>
  <c r="AC21" i="10" s="1"/>
  <c r="AC20" i="10" a="1"/>
  <c r="AC20" i="10" s="1"/>
  <c r="C25" i="9" a="1"/>
  <c r="C25" i="9" s="1"/>
  <c r="C24" i="9" a="1"/>
  <c r="C24" i="9" s="1"/>
  <c r="C23" i="9" a="1"/>
  <c r="C23" i="9" s="1"/>
  <c r="C22" i="9" a="1"/>
  <c r="C22" i="9" s="1"/>
  <c r="C21" i="9" a="1"/>
  <c r="C21" i="9" s="1"/>
  <c r="C20" i="9" a="1"/>
  <c r="C20" i="9" s="1"/>
  <c r="P25" i="9" a="1"/>
  <c r="P25" i="9" s="1"/>
  <c r="P24" i="9" a="1"/>
  <c r="P24" i="9" s="1"/>
  <c r="P23" i="9" a="1"/>
  <c r="P23" i="9" s="1"/>
  <c r="P22" i="9" a="1"/>
  <c r="P22" i="9" s="1"/>
  <c r="P21" i="9" a="1"/>
  <c r="P21" i="9" s="1"/>
  <c r="P20" i="9" a="1"/>
  <c r="P20" i="9" s="1"/>
  <c r="AC25" i="9" a="1"/>
  <c r="AC25" i="9" s="1"/>
  <c r="AC24" i="9" a="1"/>
  <c r="AC24" i="9" s="1"/>
  <c r="AC23" i="9" a="1"/>
  <c r="AC23" i="9" s="1"/>
  <c r="AC22" i="9" a="1"/>
  <c r="AC22" i="9" s="1"/>
  <c r="AC21" i="9" a="1"/>
  <c r="AC21" i="9" s="1"/>
  <c r="AC20" i="9" a="1"/>
  <c r="AC20" i="9" s="1"/>
  <c r="K33" i="8"/>
  <c r="K46" i="8" s="1"/>
  <c r="C18" i="13" a="1"/>
  <c r="C18" i="13" s="1"/>
  <c r="C17" i="13" a="1"/>
  <c r="C17" i="13" s="1"/>
  <c r="P18" i="13" a="1"/>
  <c r="P18" i="13" s="1"/>
  <c r="P17" i="13" a="1"/>
  <c r="P17" i="13" s="1"/>
  <c r="AC18" i="13" a="1"/>
  <c r="AC18" i="13" s="1"/>
  <c r="AC17" i="13" a="1"/>
  <c r="AC17" i="13" s="1"/>
  <c r="C18" i="12" a="1"/>
  <c r="C18" i="12" s="1"/>
  <c r="C17" i="12" a="1"/>
  <c r="C17" i="12" s="1"/>
  <c r="P18" i="12" a="1"/>
  <c r="P18" i="12" s="1"/>
  <c r="P17" i="12" a="1"/>
  <c r="P17" i="12" s="1"/>
  <c r="AC18" i="12" a="1"/>
  <c r="AC18" i="12" s="1"/>
  <c r="AC17" i="12" a="1"/>
  <c r="AC17" i="12" s="1"/>
  <c r="C18" i="10" a="1"/>
  <c r="C18" i="10" s="1"/>
  <c r="C17" i="10" a="1"/>
  <c r="C17" i="10" s="1"/>
  <c r="P18" i="10" a="1"/>
  <c r="P18" i="10" s="1"/>
  <c r="P17" i="10" a="1"/>
  <c r="P17" i="10" s="1"/>
  <c r="AC18" i="10" a="1"/>
  <c r="AC18" i="10" s="1"/>
  <c r="AC17" i="10" a="1"/>
  <c r="AC17" i="10" s="1"/>
  <c r="C18" i="9" a="1"/>
  <c r="C18" i="9" s="1"/>
  <c r="C17" i="9" a="1"/>
  <c r="C17" i="9" s="1"/>
  <c r="P18" i="9" a="1"/>
  <c r="P18" i="9" s="1"/>
  <c r="P17" i="9" a="1"/>
  <c r="P17" i="9" s="1"/>
  <c r="AC18" i="9" a="1"/>
  <c r="AC18" i="9" s="1"/>
  <c r="AC17" i="9" a="1"/>
  <c r="AC17" i="9" s="1"/>
  <c r="AC65" i="13"/>
  <c r="P65" i="13"/>
  <c r="C65" i="13"/>
  <c r="AC65" i="10"/>
  <c r="P65" i="10"/>
  <c r="C65" i="10"/>
  <c r="AD65" i="9"/>
  <c r="P65" i="9"/>
  <c r="C65" i="9"/>
  <c r="K70" i="8"/>
  <c r="F6" i="1"/>
  <c r="C28" i="11"/>
  <c r="C41" i="11" s="1"/>
  <c r="C33" i="8"/>
  <c r="C46" i="8" s="1"/>
  <c r="C70" i="8"/>
  <c r="F6" i="2"/>
  <c r="C39" i="1"/>
  <c r="C38" i="1"/>
  <c r="C32" i="1"/>
  <c r="C31" i="1"/>
  <c r="C40" i="1"/>
  <c r="C33" i="1"/>
  <c r="C72" i="8" l="1" a="1"/>
  <c r="C72" i="8" s="1"/>
  <c r="C71" i="8" a="1"/>
  <c r="C71" i="8" s="1"/>
  <c r="C48" i="8" a="1"/>
  <c r="C48" i="8" s="1"/>
  <c r="C47" i="8" a="1"/>
  <c r="C47" i="8" s="1"/>
  <c r="C55" i="8" a="1"/>
  <c r="C55" i="8" s="1"/>
  <c r="C54" i="8" a="1"/>
  <c r="C54" i="8" s="1"/>
  <c r="C57" i="8" s="1"/>
  <c r="C53" i="8" a="1"/>
  <c r="C53" i="8" s="1"/>
  <c r="C52" i="8" a="1"/>
  <c r="C52" i="8" s="1"/>
  <c r="C56" i="8" s="1"/>
  <c r="C58" i="8" s="1"/>
  <c r="C67" i="8" s="1"/>
  <c r="C43" i="11" a="1"/>
  <c r="C43" i="11" s="1"/>
  <c r="C42" i="11" a="1"/>
  <c r="C42" i="11" s="1"/>
  <c r="C50" i="11" a="1"/>
  <c r="C50" i="11" s="1"/>
  <c r="C49" i="11" a="1"/>
  <c r="C49" i="11" s="1"/>
  <c r="C52" i="11" s="1"/>
  <c r="C48" i="11" a="1"/>
  <c r="C48" i="11" s="1"/>
  <c r="C47" i="11" a="1"/>
  <c r="C47" i="11" s="1"/>
  <c r="C51" i="11" s="1"/>
  <c r="C53" i="11" s="1"/>
  <c r="C54" i="11" s="1"/>
  <c r="Q34" i="11" s="1"/>
  <c r="K72" i="8" a="1"/>
  <c r="K72" i="8" s="1"/>
  <c r="K71" i="8" a="1"/>
  <c r="K71" i="8" s="1"/>
  <c r="C67" i="9" a="1"/>
  <c r="C67" i="9" s="1"/>
  <c r="C66" i="9" a="1"/>
  <c r="C66" i="9" s="1"/>
  <c r="P67" i="9" a="1"/>
  <c r="P67" i="9" s="1"/>
  <c r="P66" i="9" a="1"/>
  <c r="P66" i="9" s="1"/>
  <c r="AD67" i="9" a="1"/>
  <c r="AD67" i="9" s="1"/>
  <c r="AD66" i="9" a="1"/>
  <c r="AD66" i="9" s="1"/>
  <c r="C67" i="10" a="1"/>
  <c r="C67" i="10" s="1"/>
  <c r="C66" i="10" a="1"/>
  <c r="C66" i="10" s="1"/>
  <c r="P67" i="10" a="1"/>
  <c r="P67" i="10" s="1"/>
  <c r="P66" i="10" a="1"/>
  <c r="P66" i="10" s="1"/>
  <c r="AC67" i="10" a="1"/>
  <c r="AC67" i="10" s="1"/>
  <c r="AC66" i="10" a="1"/>
  <c r="AC66" i="10" s="1"/>
  <c r="C67" i="13" a="1"/>
  <c r="C67" i="13" s="1"/>
  <c r="C66" i="13" a="1"/>
  <c r="C66" i="13" s="1"/>
  <c r="P67" i="13" a="1"/>
  <c r="P67" i="13" s="1"/>
  <c r="P66" i="13" a="1"/>
  <c r="P66" i="13" s="1"/>
  <c r="AC67" i="13" a="1"/>
  <c r="AC67" i="13" s="1"/>
  <c r="AC66" i="13" a="1"/>
  <c r="AC66" i="13" s="1"/>
  <c r="K48" i="8" a="1"/>
  <c r="K48" i="8" s="1"/>
  <c r="K47" i="8" a="1"/>
  <c r="K47" i="8" s="1"/>
  <c r="K55" i="8" a="1"/>
  <c r="K55" i="8" s="1"/>
  <c r="K54" i="8" a="1"/>
  <c r="K54" i="8" s="1"/>
  <c r="K57" i="8" s="1"/>
  <c r="K53" i="8" a="1"/>
  <c r="K53" i="8" s="1"/>
  <c r="K52" i="8" a="1"/>
  <c r="K52" i="8" s="1"/>
  <c r="K56" i="8" s="1"/>
  <c r="K58" i="8" s="1"/>
  <c r="K67" i="8" s="1"/>
  <c r="AC26" i="9"/>
  <c r="AC27" i="9"/>
  <c r="P26" i="9"/>
  <c r="P27" i="9"/>
  <c r="C26" i="9"/>
  <c r="C27" i="9"/>
  <c r="AC26" i="10"/>
  <c r="AC27" i="10"/>
  <c r="P26" i="10"/>
  <c r="P27" i="10"/>
  <c r="C26" i="10"/>
  <c r="C27" i="10"/>
  <c r="AC26" i="12"/>
  <c r="AC27" i="12"/>
  <c r="P26" i="12"/>
  <c r="P27" i="12"/>
  <c r="C26" i="12"/>
  <c r="C27" i="12"/>
  <c r="AC26" i="13"/>
  <c r="AC27" i="13"/>
  <c r="P26" i="13"/>
  <c r="P27" i="13"/>
  <c r="C26" i="13"/>
  <c r="C27" i="13"/>
  <c r="C28" i="13" l="1"/>
  <c r="C42" i="13" s="1"/>
  <c r="P28" i="13"/>
  <c r="P42" i="13" s="1"/>
  <c r="AC28" i="13"/>
  <c r="AC42" i="13" s="1"/>
  <c r="C28" i="12"/>
  <c r="C42" i="12" s="1"/>
  <c r="P28" i="12"/>
  <c r="P42" i="12" s="1"/>
  <c r="AC28" i="12"/>
  <c r="AC42" i="12" s="1"/>
  <c r="C28" i="10"/>
  <c r="C42" i="10" s="1"/>
  <c r="P28" i="10"/>
  <c r="P42" i="10" s="1"/>
  <c r="AC28" i="10"/>
  <c r="AC42" i="10" s="1"/>
  <c r="C28" i="9"/>
  <c r="C42" i="9" s="1"/>
  <c r="P28" i="9"/>
  <c r="P42" i="9" s="1"/>
  <c r="AC28" i="9"/>
  <c r="AC42" i="9" s="1"/>
  <c r="K69" i="8" a="1"/>
  <c r="K69" i="8" s="1"/>
  <c r="K68" i="8" a="1"/>
  <c r="K68" i="8" s="1"/>
  <c r="K76" i="8" a="1"/>
  <c r="K76" i="8" s="1"/>
  <c r="K75" i="8" a="1"/>
  <c r="K75" i="8" s="1"/>
  <c r="K78" i="8" s="1"/>
  <c r="K74" i="8" a="1"/>
  <c r="K74" i="8" s="1"/>
  <c r="K73" i="8" a="1"/>
  <c r="K73" i="8" s="1"/>
  <c r="K77" i="8" s="1"/>
  <c r="K79" i="8" s="1"/>
  <c r="K86" i="8" s="1"/>
  <c r="P41" i="11" a="1"/>
  <c r="P41" i="11" s="1"/>
  <c r="P40" i="11" a="1"/>
  <c r="P40" i="11" s="1"/>
  <c r="Q36" i="11" a="1"/>
  <c r="Q36" i="11" s="1"/>
  <c r="Q35" i="11" a="1"/>
  <c r="Q35" i="11" s="1"/>
  <c r="P43" i="11" a="1"/>
  <c r="P43" i="11" s="1"/>
  <c r="P42" i="11" a="1"/>
  <c r="P42" i="11" s="1"/>
  <c r="P45" i="11" s="1"/>
  <c r="C69" i="8" a="1"/>
  <c r="C69" i="8" s="1"/>
  <c r="C68" i="8" a="1"/>
  <c r="C68" i="8" s="1"/>
  <c r="C76" i="8" a="1"/>
  <c r="C76" i="8" s="1"/>
  <c r="C75" i="8" a="1"/>
  <c r="C75" i="8" s="1"/>
  <c r="C78" i="8" s="1"/>
  <c r="C74" i="8" a="1"/>
  <c r="C74" i="8" s="1"/>
  <c r="C73" i="8" a="1"/>
  <c r="C73" i="8" s="1"/>
  <c r="C77" i="8" s="1"/>
  <c r="C79" i="8" s="1"/>
  <c r="C86" i="8" s="1"/>
  <c r="C93" i="8" l="1" a="1"/>
  <c r="C93" i="8" s="1"/>
  <c r="C92" i="8" a="1"/>
  <c r="C92" i="8" s="1"/>
  <c r="C88" i="8" a="1"/>
  <c r="C88" i="8" s="1"/>
  <c r="C87" i="8" a="1"/>
  <c r="C87" i="8" s="1"/>
  <c r="C95" i="8" a="1"/>
  <c r="C95" i="8" s="1"/>
  <c r="C94" i="8" a="1"/>
  <c r="C94" i="8" s="1"/>
  <c r="C97" i="8" s="1"/>
  <c r="P44" i="11"/>
  <c r="P46" i="11" s="1"/>
  <c r="C31" i="2" s="1"/>
  <c r="K93" i="8" a="1"/>
  <c r="K93" i="8" s="1"/>
  <c r="K92" i="8" a="1"/>
  <c r="K92" i="8" s="1"/>
  <c r="K88" i="8" a="1"/>
  <c r="K88" i="8" s="1"/>
  <c r="K87" i="8" a="1"/>
  <c r="K87" i="8" s="1"/>
  <c r="K95" i="8" a="1"/>
  <c r="K95" i="8" s="1"/>
  <c r="K94" i="8" a="1"/>
  <c r="K94" i="8" s="1"/>
  <c r="K97" i="8" s="1"/>
  <c r="AC44" i="9" a="1"/>
  <c r="AC44" i="9" s="1"/>
  <c r="AC43" i="9" a="1"/>
  <c r="AC43" i="9" s="1"/>
  <c r="AC51" i="9" a="1"/>
  <c r="AC51" i="9" s="1"/>
  <c r="AC50" i="9" a="1"/>
  <c r="AC50" i="9" s="1"/>
  <c r="AC53" i="9" s="1"/>
  <c r="AC49" i="9" a="1"/>
  <c r="AC49" i="9" s="1"/>
  <c r="AC48" i="9" a="1"/>
  <c r="AC48" i="9" s="1"/>
  <c r="AC52" i="9" s="1"/>
  <c r="AC54" i="9" s="1"/>
  <c r="AD62" i="9" s="1"/>
  <c r="P44" i="9" a="1"/>
  <c r="P44" i="9" s="1"/>
  <c r="P43" i="9" a="1"/>
  <c r="P43" i="9" s="1"/>
  <c r="P51" i="9" a="1"/>
  <c r="P51" i="9" s="1"/>
  <c r="P50" i="9" a="1"/>
  <c r="P50" i="9" s="1"/>
  <c r="P53" i="9" s="1"/>
  <c r="P49" i="9" a="1"/>
  <c r="P49" i="9" s="1"/>
  <c r="P48" i="9" a="1"/>
  <c r="P48" i="9" s="1"/>
  <c r="P52" i="9" s="1"/>
  <c r="P54" i="9" s="1"/>
  <c r="P62" i="9" s="1"/>
  <c r="C44" i="9" a="1"/>
  <c r="C44" i="9" s="1"/>
  <c r="C43" i="9" a="1"/>
  <c r="C43" i="9" s="1"/>
  <c r="C51" i="9" a="1"/>
  <c r="C51" i="9" s="1"/>
  <c r="C50" i="9" a="1"/>
  <c r="C50" i="9" s="1"/>
  <c r="C53" i="9" s="1"/>
  <c r="C49" i="9" a="1"/>
  <c r="C49" i="9" s="1"/>
  <c r="C48" i="9" a="1"/>
  <c r="C48" i="9" s="1"/>
  <c r="C52" i="9" s="1"/>
  <c r="C54" i="9" s="1"/>
  <c r="C62" i="9" s="1"/>
  <c r="AC44" i="10" a="1"/>
  <c r="AC44" i="10" s="1"/>
  <c r="AC43" i="10" a="1"/>
  <c r="AC43" i="10" s="1"/>
  <c r="AC51" i="10" a="1"/>
  <c r="AC51" i="10" s="1"/>
  <c r="AC50" i="10" a="1"/>
  <c r="AC50" i="10" s="1"/>
  <c r="AC53" i="10" s="1"/>
  <c r="AC49" i="10" a="1"/>
  <c r="AC49" i="10" s="1"/>
  <c r="AC48" i="10" a="1"/>
  <c r="AC48" i="10" s="1"/>
  <c r="AC52" i="10" s="1"/>
  <c r="AC54" i="10" s="1"/>
  <c r="AC62" i="10" s="1"/>
  <c r="P44" i="10" a="1"/>
  <c r="P44" i="10" s="1"/>
  <c r="P43" i="10" a="1"/>
  <c r="P43" i="10" s="1"/>
  <c r="P51" i="10" a="1"/>
  <c r="P51" i="10" s="1"/>
  <c r="P50" i="10" a="1"/>
  <c r="P50" i="10" s="1"/>
  <c r="P53" i="10" s="1"/>
  <c r="P49" i="10" a="1"/>
  <c r="P49" i="10" s="1"/>
  <c r="P48" i="10" a="1"/>
  <c r="P48" i="10" s="1"/>
  <c r="P52" i="10" s="1"/>
  <c r="P54" i="10" s="1"/>
  <c r="P62" i="10" s="1"/>
  <c r="C44" i="10" a="1"/>
  <c r="C44" i="10" s="1"/>
  <c r="C43" i="10" a="1"/>
  <c r="C43" i="10" s="1"/>
  <c r="C51" i="10" a="1"/>
  <c r="C51" i="10" s="1"/>
  <c r="C50" i="10" a="1"/>
  <c r="C50" i="10" s="1"/>
  <c r="C53" i="10" s="1"/>
  <c r="C49" i="10" a="1"/>
  <c r="C49" i="10" s="1"/>
  <c r="C48" i="10" a="1"/>
  <c r="C48" i="10" s="1"/>
  <c r="C52" i="10" s="1"/>
  <c r="C54" i="10" s="1"/>
  <c r="C62" i="10" s="1"/>
  <c r="AC44" i="12" a="1"/>
  <c r="AC44" i="12" s="1"/>
  <c r="AC43" i="12" a="1"/>
  <c r="AC43" i="12" s="1"/>
  <c r="AC51" i="12" a="1"/>
  <c r="AC51" i="12" s="1"/>
  <c r="AC50" i="12" a="1"/>
  <c r="AC50" i="12" s="1"/>
  <c r="AC53" i="12" s="1"/>
  <c r="AC49" i="12" a="1"/>
  <c r="AC49" i="12" s="1"/>
  <c r="AC48" i="12" a="1"/>
  <c r="AC48" i="12" s="1"/>
  <c r="AC52" i="12" s="1"/>
  <c r="AC54" i="12" s="1"/>
  <c r="P44" i="12" a="1"/>
  <c r="P44" i="12" s="1"/>
  <c r="P43" i="12" a="1"/>
  <c r="P43" i="12" s="1"/>
  <c r="P51" i="12" a="1"/>
  <c r="P51" i="12" s="1"/>
  <c r="P50" i="12" a="1"/>
  <c r="P50" i="12" s="1"/>
  <c r="P53" i="12" s="1"/>
  <c r="P49" i="12" a="1"/>
  <c r="P49" i="12" s="1"/>
  <c r="P48" i="12" a="1"/>
  <c r="P48" i="12" s="1"/>
  <c r="P52" i="12" s="1"/>
  <c r="P54" i="12" s="1"/>
  <c r="P55" i="12" s="1"/>
  <c r="C44" i="12" a="1"/>
  <c r="C44" i="12" s="1"/>
  <c r="C43" i="12" a="1"/>
  <c r="C43" i="12" s="1"/>
  <c r="C51" i="12" a="1"/>
  <c r="C51" i="12" s="1"/>
  <c r="C50" i="12" a="1"/>
  <c r="C50" i="12" s="1"/>
  <c r="C53" i="12" s="1"/>
  <c r="C49" i="12" a="1"/>
  <c r="C49" i="12" s="1"/>
  <c r="C48" i="12" a="1"/>
  <c r="C48" i="12" s="1"/>
  <c r="C52" i="12" s="1"/>
  <c r="C54" i="12" s="1"/>
  <c r="C55" i="12" s="1"/>
  <c r="C42" i="1" s="1"/>
  <c r="AC44" i="13" a="1"/>
  <c r="AC44" i="13" s="1"/>
  <c r="AC43" i="13" a="1"/>
  <c r="AC43" i="13" s="1"/>
  <c r="AC51" i="13" a="1"/>
  <c r="AC51" i="13" s="1"/>
  <c r="AC50" i="13" a="1"/>
  <c r="AC50" i="13" s="1"/>
  <c r="AC53" i="13" s="1"/>
  <c r="AC49" i="13" a="1"/>
  <c r="AC49" i="13" s="1"/>
  <c r="AC48" i="13" a="1"/>
  <c r="AC48" i="13" s="1"/>
  <c r="AC52" i="13" s="1"/>
  <c r="AC54" i="13" s="1"/>
  <c r="AC62" i="13" s="1"/>
  <c r="P44" i="13" a="1"/>
  <c r="P44" i="13" s="1"/>
  <c r="P43" i="13" a="1"/>
  <c r="P43" i="13" s="1"/>
  <c r="P51" i="13" a="1"/>
  <c r="P51" i="13" s="1"/>
  <c r="P50" i="13" a="1"/>
  <c r="P50" i="13" s="1"/>
  <c r="P53" i="13" s="1"/>
  <c r="P49" i="13" a="1"/>
  <c r="P49" i="13" s="1"/>
  <c r="P48" i="13" a="1"/>
  <c r="P48" i="13" s="1"/>
  <c r="P52" i="13" s="1"/>
  <c r="P54" i="13" s="1"/>
  <c r="P62" i="13" s="1"/>
  <c r="C44" i="13" a="1"/>
  <c r="C44" i="13" s="1"/>
  <c r="C43" i="13" a="1"/>
  <c r="C43" i="13" s="1"/>
  <c r="C51" i="13" a="1"/>
  <c r="C51" i="13" s="1"/>
  <c r="C50" i="13" a="1"/>
  <c r="C50" i="13" s="1"/>
  <c r="C53" i="13" s="1"/>
  <c r="C49" i="13" a="1"/>
  <c r="C49" i="13" s="1"/>
  <c r="C48" i="13" a="1"/>
  <c r="C48" i="13" s="1"/>
  <c r="C52" i="13" s="1"/>
  <c r="C54" i="13" s="1"/>
  <c r="C62" i="13" s="1"/>
  <c r="C64" i="13" l="1" a="1"/>
  <c r="C64" i="13" s="1"/>
  <c r="C63" i="13" a="1"/>
  <c r="C63" i="13" s="1"/>
  <c r="C71" i="13" a="1"/>
  <c r="C71" i="13" s="1"/>
  <c r="C70" i="13" a="1"/>
  <c r="C70" i="13" s="1"/>
  <c r="C73" i="13" s="1"/>
  <c r="C69" i="13" a="1"/>
  <c r="C69" i="13" s="1"/>
  <c r="C68" i="13" a="1"/>
  <c r="C68" i="13" s="1"/>
  <c r="C72" i="13" s="1"/>
  <c r="C74" i="13" s="1"/>
  <c r="P64" i="13" a="1"/>
  <c r="P64" i="13" s="1"/>
  <c r="P63" i="13" a="1"/>
  <c r="P63" i="13" s="1"/>
  <c r="P71" i="13" a="1"/>
  <c r="P71" i="13" s="1"/>
  <c r="P70" i="13" a="1"/>
  <c r="P70" i="13" s="1"/>
  <c r="P73" i="13" s="1"/>
  <c r="P69" i="13" a="1"/>
  <c r="P69" i="13" s="1"/>
  <c r="P68" i="13" a="1"/>
  <c r="P68" i="13" s="1"/>
  <c r="P72" i="13" s="1"/>
  <c r="P74" i="13" s="1"/>
  <c r="P81" i="13" s="1"/>
  <c r="AC64" i="13" a="1"/>
  <c r="AC64" i="13" s="1"/>
  <c r="AC63" i="13" a="1"/>
  <c r="AC63" i="13" s="1"/>
  <c r="AC71" i="13" a="1"/>
  <c r="AC71" i="13" s="1"/>
  <c r="AC70" i="13" a="1"/>
  <c r="AC70" i="13" s="1"/>
  <c r="AC73" i="13" s="1"/>
  <c r="AC69" i="13" a="1"/>
  <c r="AC69" i="13" s="1"/>
  <c r="AC68" i="13" a="1"/>
  <c r="AC68" i="13" s="1"/>
  <c r="AC72" i="13" s="1"/>
  <c r="AC74" i="13" s="1"/>
  <c r="AC81" i="13" s="1"/>
  <c r="P31" i="6"/>
  <c r="C43" i="1"/>
  <c r="C64" i="10" a="1"/>
  <c r="C64" i="10" s="1"/>
  <c r="C63" i="10" a="1"/>
  <c r="C63" i="10" s="1"/>
  <c r="C71" i="10" a="1"/>
  <c r="C71" i="10" s="1"/>
  <c r="C70" i="10" a="1"/>
  <c r="C70" i="10" s="1"/>
  <c r="C73" i="10" s="1"/>
  <c r="C69" i="10" a="1"/>
  <c r="C69" i="10" s="1"/>
  <c r="C68" i="10" a="1"/>
  <c r="C68" i="10" s="1"/>
  <c r="C72" i="10" s="1"/>
  <c r="C74" i="10" s="1"/>
  <c r="B32" i="6" s="1"/>
  <c r="P64" i="10" a="1"/>
  <c r="P64" i="10" s="1"/>
  <c r="P63" i="10" a="1"/>
  <c r="P63" i="10" s="1"/>
  <c r="P71" i="10" a="1"/>
  <c r="P71" i="10" s="1"/>
  <c r="P70" i="10" a="1"/>
  <c r="P70" i="10" s="1"/>
  <c r="P73" i="10" s="1"/>
  <c r="P69" i="10" a="1"/>
  <c r="P69" i="10" s="1"/>
  <c r="P68" i="10" a="1"/>
  <c r="P68" i="10" s="1"/>
  <c r="P72" i="10" s="1"/>
  <c r="P74" i="10" s="1"/>
  <c r="AC64" i="10" a="1"/>
  <c r="AC64" i="10" s="1"/>
  <c r="AC63" i="10" a="1"/>
  <c r="AC63" i="10" s="1"/>
  <c r="AC71" i="10" a="1"/>
  <c r="AC71" i="10" s="1"/>
  <c r="AC70" i="10" a="1"/>
  <c r="AC70" i="10" s="1"/>
  <c r="AC73" i="10" s="1"/>
  <c r="AC69" i="10" a="1"/>
  <c r="AC69" i="10" s="1"/>
  <c r="AC68" i="10" a="1"/>
  <c r="AC68" i="10" s="1"/>
  <c r="AC72" i="10" s="1"/>
  <c r="AC74" i="10" s="1"/>
  <c r="B29" i="7" s="1"/>
  <c r="C64" i="9" a="1"/>
  <c r="C64" i="9" s="1"/>
  <c r="C63" i="9" a="1"/>
  <c r="C63" i="9" s="1"/>
  <c r="C71" i="9" a="1"/>
  <c r="C71" i="9" s="1"/>
  <c r="C70" i="9" a="1"/>
  <c r="C70" i="9" s="1"/>
  <c r="C73" i="9" s="1"/>
  <c r="C69" i="9" a="1"/>
  <c r="C69" i="9" s="1"/>
  <c r="C68" i="9" a="1"/>
  <c r="C68" i="9" s="1"/>
  <c r="C72" i="9" s="1"/>
  <c r="C74" i="9" s="1"/>
  <c r="B30" i="6" s="1"/>
  <c r="P64" i="9" a="1"/>
  <c r="P64" i="9" s="1"/>
  <c r="P63" i="9" a="1"/>
  <c r="P63" i="9" s="1"/>
  <c r="P71" i="9" a="1"/>
  <c r="P71" i="9" s="1"/>
  <c r="P70" i="9" a="1"/>
  <c r="P70" i="9" s="1"/>
  <c r="P73" i="9" s="1"/>
  <c r="P69" i="9" a="1"/>
  <c r="P69" i="9" s="1"/>
  <c r="P68" i="9" a="1"/>
  <c r="P68" i="9" s="1"/>
  <c r="P72" i="9" s="1"/>
  <c r="P74" i="9" s="1"/>
  <c r="AD64" i="9" a="1"/>
  <c r="AD64" i="9" s="1"/>
  <c r="AD63" i="9" a="1"/>
  <c r="AD63" i="9" s="1"/>
  <c r="AD71" i="9" a="1"/>
  <c r="AD71" i="9" s="1"/>
  <c r="AD70" i="9" a="1"/>
  <c r="AD70" i="9" s="1"/>
  <c r="AD73" i="9" s="1"/>
  <c r="AD69" i="9" a="1"/>
  <c r="AD69" i="9" s="1"/>
  <c r="AD68" i="9" a="1"/>
  <c r="AD68" i="9" s="1"/>
  <c r="AD72" i="9" s="1"/>
  <c r="AD74" i="9" s="1"/>
  <c r="B30" i="7" s="1"/>
  <c r="K96" i="8"/>
  <c r="K98" i="8" s="1"/>
  <c r="K100" i="8" s="1"/>
  <c r="K102" i="8" s="1"/>
  <c r="C96" i="8"/>
  <c r="C98" i="8" s="1"/>
  <c r="C100" i="8" s="1"/>
  <c r="C102" i="8" s="1"/>
  <c r="B83" i="5" l="1"/>
  <c r="G27" i="2"/>
  <c r="D37" i="2" s="1"/>
  <c r="D83" i="5"/>
  <c r="B54" i="5"/>
  <c r="C54" i="5" s="1"/>
  <c r="G46" i="1" s="1"/>
  <c r="B31" i="7"/>
  <c r="K30" i="7"/>
  <c r="L30" i="7" s="1"/>
  <c r="G30" i="7"/>
  <c r="Q30" i="7" s="1"/>
  <c r="B31" i="6"/>
  <c r="K30" i="6"/>
  <c r="G30" i="6"/>
  <c r="Q30" i="6" s="1"/>
  <c r="K29" i="7"/>
  <c r="G29" i="7"/>
  <c r="K32" i="6"/>
  <c r="G32" i="6"/>
  <c r="C30" i="1" s="1"/>
  <c r="AC88" i="13" a="1"/>
  <c r="AC88" i="13" s="1"/>
  <c r="AC87" i="13" a="1"/>
  <c r="AC87" i="13" s="1"/>
  <c r="AC83" i="13" a="1"/>
  <c r="AC83" i="13" s="1"/>
  <c r="AC82" i="13" a="1"/>
  <c r="AC82" i="13" s="1"/>
  <c r="AC90" i="13" a="1"/>
  <c r="AC90" i="13" s="1"/>
  <c r="AC89" i="13" a="1"/>
  <c r="AC89" i="13" s="1"/>
  <c r="AC92" i="13" s="1"/>
  <c r="P88" i="13" a="1"/>
  <c r="P88" i="13" s="1"/>
  <c r="P87" i="13" a="1"/>
  <c r="P87" i="13" s="1"/>
  <c r="P83" i="13" a="1"/>
  <c r="P83" i="13" s="1"/>
  <c r="P82" i="13" a="1"/>
  <c r="P82" i="13" s="1"/>
  <c r="P90" i="13" a="1"/>
  <c r="P90" i="13" s="1"/>
  <c r="P89" i="13" a="1"/>
  <c r="P89" i="13" s="1"/>
  <c r="P92" i="13" s="1"/>
  <c r="C81" i="13"/>
  <c r="B28" i="6"/>
  <c r="K28" i="6" l="1"/>
  <c r="G28" i="6"/>
  <c r="C28" i="1" s="1"/>
  <c r="C88" i="13" a="1"/>
  <c r="C88" i="13" s="1"/>
  <c r="C87" i="13" a="1"/>
  <c r="C87" i="13" s="1"/>
  <c r="C83" i="13" a="1"/>
  <c r="C83" i="13" s="1"/>
  <c r="C82" i="13" a="1"/>
  <c r="C82" i="13" s="1"/>
  <c r="C90" i="13" a="1"/>
  <c r="C90" i="13" s="1"/>
  <c r="C89" i="13" a="1"/>
  <c r="C89" i="13" s="1"/>
  <c r="C92" i="13" s="1"/>
  <c r="P91" i="13"/>
  <c r="P93" i="13" s="1"/>
  <c r="AC91" i="13"/>
  <c r="AC93" i="13" s="1"/>
  <c r="B28" i="7" s="1"/>
  <c r="L32" i="6"/>
  <c r="Q32" i="6" s="1"/>
  <c r="C37" i="1" s="1"/>
  <c r="C60" i="1" s="1"/>
  <c r="Q29" i="7"/>
  <c r="L29" i="7"/>
  <c r="K31" i="6"/>
  <c r="G31" i="6"/>
  <c r="K31" i="7"/>
  <c r="G31" i="7"/>
  <c r="D87" i="5" a="1"/>
  <c r="D87" i="5" s="1"/>
  <c r="D86" i="5" a="1"/>
  <c r="D86" i="5" s="1"/>
  <c r="D85" i="5" a="1"/>
  <c r="D85" i="5" s="1"/>
  <c r="D84" i="5" a="1"/>
  <c r="D84" i="5" s="1"/>
  <c r="B87" i="5" a="1"/>
  <c r="B87" i="5" s="1"/>
  <c r="B86" i="5" a="1"/>
  <c r="B86" i="5" s="1"/>
  <c r="B85" i="5" a="1"/>
  <c r="B85" i="5" s="1"/>
  <c r="B84" i="5" a="1"/>
  <c r="B84" i="5" s="1"/>
  <c r="B88" i="5" l="1"/>
  <c r="C27" i="2" s="1"/>
  <c r="C37" i="2" s="1"/>
  <c r="D88" i="5"/>
  <c r="C46" i="1" s="1"/>
  <c r="Q31" i="7"/>
  <c r="L31" i="7"/>
  <c r="L31" i="6"/>
  <c r="Q31" i="6" s="1"/>
  <c r="K28" i="7"/>
  <c r="G28" i="7"/>
  <c r="C91" i="13"/>
  <c r="C93" i="13" s="1"/>
  <c r="B29" i="6" s="1"/>
  <c r="L28" i="6"/>
  <c r="Q28" i="6" s="1"/>
  <c r="C35" i="1" s="1"/>
  <c r="C58" i="1" l="1"/>
  <c r="F21" i="1"/>
  <c r="K29" i="6"/>
  <c r="G29" i="6"/>
  <c r="C29" i="1" s="1"/>
  <c r="Q28" i="7"/>
  <c r="O28" i="7"/>
  <c r="L28" i="7"/>
  <c r="L29" i="6" l="1"/>
  <c r="O29" i="6" l="1"/>
  <c r="Q29" i="6" s="1"/>
  <c r="C36" i="1" s="1"/>
  <c r="C5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tc={dbfe3512-74e1-44ae-9d49-ac8c6aa65c95}</author>
    <author>tc={1e351f40-92c6-47ed-ab42-4b56f98145a6}</author>
    <author>tc={bedb02f0-b54e-4c0e-b1ef-9fc1f6e4d396}</author>
    <author>tc={8bd70d89-d93b-4af7-8c07-b787ac1c8294}</author>
    <author>tc={2fab5a5e-b843-4ed5-942d-1db510423e0e}</author>
  </authors>
  <commentList>
    <comment ref="I13" authorId="0" shapeId="0" xr:uid="{DBFE3512-74E1-44AE-9D49-AC8C6AA65C95}">
      <text>
        <t>[Threaded comment]
Your version of Excel allows you to read this threaded comment; however, any edits to it will get removed if the file is opened in a newer version of Excel. Learn more: https://go.microsoft.com/fwlink/?linkid=870924
Comment:
    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>
      </text>
    </comment>
    <comment ref="B19" authorId="1" shapeId="0" xr:uid="{1E351F40-92C6-47ED-AB42-4B56F98145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B21" authorId="2" shapeId="0" xr:uid="{BEDB02F0-B54E-4C0E-B1EF-9FC1F6E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I40" authorId="3" shapeId="0" xr:uid="{8BD70D89-D93B-4AF7-8C07-B787AC1C8294}">
      <text>
        <t>[Threaded comment]
Your version of Excel allows you to read this threaded comment; however, any edits to it will get removed if the file is opened in a newer version of Excel. Learn more: https://go.microsoft.com/fwlink/?linkid=870924
Comment:
    Hinderfritt 2,5%
Plus 0,8% marginal
Annars står det på SID eller på annan plats</t>
      </text>
    </comment>
    <comment ref="B42" authorId="4" shapeId="0" xr:uid="{2FAB5A5E-B843-4ED5-942D-1DB510423E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tc={efac0845-592d-4113-b9ac-c129a309f311}</author>
    <author>tc={a93e9c67-4bda-47ab-b37b-389aa85c152c}</author>
  </authors>
  <commentList>
    <comment ref="B20" authorId="0" shapeId="0" xr:uid="{EFAC0845-592D-4113-B9AC-C129A309F311}">
      <text>
        <t>[Threaded comment]
Your version of Excel allows you to read this threaded comment; however, any edits to it will get removed if the file is opened in a newer version of Excel. Learn more: https://go.microsoft.com/fwlink/?linkid=870924
Comment:
    RWCC eller "70%" (OM-A 8.1.5.6 Commencement and continuation of an approach)</t>
      </text>
    </comment>
    <comment ref="B31" authorId="1" shapeId="0" xr:uid="{A93E9C67-4BDA-47AB-B37B-389AA85C152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tc={f71a44d2-93cc-405d-95ec-df9f3e162a39}</author>
    <author>tc={c1dfbf76-7a3e-408a-9f9d-3aff83575622}</author>
  </authors>
  <commentList>
    <comment ref="A30" authorId="0" shapeId="0" xr:uid="{F71A44D2-93CC-405D-95EC-DF9F3E162A39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31" authorId="1" shapeId="0" xr:uid="{C1DFBF76-7A3E-408A-9F9D-3AFF83575622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tc={917e309f-6a41-497a-86b0-a27f2143dc6c}</author>
    <author>tc={2a2bbff1-76aa-4fbe-ba85-36a2f297ce86}</author>
  </authors>
  <commentList>
    <comment ref="A30" authorId="0" shapeId="0" xr:uid="{917E309F-6A41-497A-86B0-A27F2143DC6C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31" authorId="1" shapeId="0" xr:uid="{2A2BBFF1-76AA-4FBE-BA85-36A2F297CE86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<sst xmlns="http://schemas.openxmlformats.org/spreadsheetml/2006/main" count="1298" uniqueCount="265">
  <si>
    <t>SE-LTL</t>
  </si>
  <si>
    <t xml:space="preserve">Take-off distance Beech 200 </t>
  </si>
  <si>
    <t>Version</t>
  </si>
  <si>
    <t>Interpoleringsverktyg för startsträcka från AFM.</t>
  </si>
  <si>
    <t>Flygplats och bana:</t>
  </si>
  <si>
    <t>ESUP RWY 29</t>
  </si>
  <si>
    <t>ESUP 300450Z AUTO 00000KT 9999 ///////// M02/M02 Q1034</t>
  </si>
  <si>
    <t>Wind direction:</t>
  </si>
  <si>
    <t>°</t>
  </si>
  <si>
    <t>Wind speed:</t>
  </si>
  <si>
    <t>kt</t>
  </si>
  <si>
    <t>Outside air temperature:</t>
  </si>
  <si>
    <t>°C</t>
  </si>
  <si>
    <t>QNH</t>
  </si>
  <si>
    <t>Hpa</t>
  </si>
  <si>
    <t>Runway Condition Code</t>
  </si>
  <si>
    <t>MANUAL MET -&gt;</t>
  </si>
  <si>
    <t>Runway contaminant</t>
  </si>
  <si>
    <t>No contaminant</t>
  </si>
  <si>
    <t>Contaminant depth</t>
  </si>
  <si>
    <t>mm</t>
  </si>
  <si>
    <t>Max:</t>
  </si>
  <si>
    <t>Engine Anti-ice</t>
  </si>
  <si>
    <t>OFF</t>
  </si>
  <si>
    <t>Take off mass:</t>
  </si>
  <si>
    <t>Lbs</t>
  </si>
  <si>
    <t>Airport data (Expandable)</t>
  </si>
  <si>
    <t>Treshold elevation:</t>
  </si>
  <si>
    <t>ft</t>
  </si>
  <si>
    <t>Runway Slope:</t>
  </si>
  <si>
    <t>%</t>
  </si>
  <si>
    <t>+ = upphill</t>
  </si>
  <si>
    <t>RWY Heading:</t>
  </si>
  <si>
    <t>ASDA:</t>
  </si>
  <si>
    <t>m</t>
  </si>
  <si>
    <t>Req gradient:</t>
  </si>
  <si>
    <t>TORA:</t>
  </si>
  <si>
    <t>TODA:</t>
  </si>
  <si>
    <t>TOR</t>
  </si>
  <si>
    <t>LDA:</t>
  </si>
  <si>
    <t>Calculated data</t>
  </si>
  <si>
    <t>Head/Tail wind</t>
  </si>
  <si>
    <t>Kt</t>
  </si>
  <si>
    <t>Crosswind</t>
  </si>
  <si>
    <t>Limit</t>
  </si>
  <si>
    <t>FLAPS:</t>
  </si>
  <si>
    <t>UP</t>
  </si>
  <si>
    <t>TAKE-OFF</t>
  </si>
  <si>
    <t>APP</t>
  </si>
  <si>
    <t>FULL</t>
  </si>
  <si>
    <t>Dry Runway (Expandable)</t>
  </si>
  <si>
    <t>Ground Roll [m]</t>
  </si>
  <si>
    <t>Take off distance [m]</t>
  </si>
  <si>
    <t>Accelerade &amp; STOP [m]</t>
  </si>
  <si>
    <t>V1 [kts]</t>
  </si>
  <si>
    <t>VR [kts]</t>
  </si>
  <si>
    <t>V2 [kts]</t>
  </si>
  <si>
    <t>Selected contaminant</t>
  </si>
  <si>
    <t>Standard Procedure Design Gradient (PDG): 3,3%</t>
  </si>
  <si>
    <t>Climb</t>
  </si>
  <si>
    <t>Net Gradient OEI wings level [%]</t>
  </si>
  <si>
    <t>Gradient includes wind, 150% &amp; 50%</t>
  </si>
  <si>
    <t>Emergency Return</t>
  </si>
  <si>
    <t>VREF [kts]</t>
  </si>
  <si>
    <t>Landing Distance [m]</t>
  </si>
  <si>
    <t>Flaps UP</t>
  </si>
  <si>
    <t>Engine out procedure</t>
  </si>
  <si>
    <t>Minimum cloud base:</t>
  </si>
  <si>
    <t>Escape Route:</t>
  </si>
  <si>
    <t>Landning distance Beech 200 - SE-LTL</t>
  </si>
  <si>
    <t>Interpoleringsverktyg för landningsträcka</t>
  </si>
  <si>
    <t>2026-XY-ZV</t>
  </si>
  <si>
    <t>Remove manual MET</t>
  </si>
  <si>
    <t>Manual MET -&gt;</t>
  </si>
  <si>
    <t>REFRESH METAR</t>
  </si>
  <si>
    <t>Landing weight</t>
  </si>
  <si>
    <t>Max landing weight</t>
  </si>
  <si>
    <t>Airport data</t>
  </si>
  <si>
    <t>Elevation: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</si>
  <si>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</si>
  <si>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</si>
  <si>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</si>
  <si>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</si>
  <si>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</si>
  <si>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</si>
  <si>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</si>
  <si>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</si>
  <si>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Landing distance</t>
  </si>
  <si>
    <t>Airport</t>
  </si>
  <si>
    <t>Runway Threshold Elevation:</t>
  </si>
  <si>
    <t>TORA</t>
  </si>
  <si>
    <t>TODA</t>
  </si>
  <si>
    <t>ASDA</t>
  </si>
  <si>
    <t>RWY Slope:</t>
  </si>
  <si>
    <t>RWY
HDG</t>
  </si>
  <si>
    <t>Minimum departure climb gradient, obstacles</t>
  </si>
  <si>
    <t>Uppdaterad</t>
  </si>
  <si>
    <t>ESCAPE ROUTE INFO</t>
  </si>
  <si>
    <t>Min cloud base</t>
  </si>
  <si>
    <t>Routing</t>
  </si>
  <si>
    <t>[ft]</t>
  </si>
  <si>
    <t>[m]</t>
  </si>
  <si>
    <t>[%]</t>
  </si>
  <si>
    <t>[°]</t>
  </si>
  <si>
    <t>[Date]</t>
  </si>
  <si>
    <t>No airport selected</t>
  </si>
  <si>
    <t>-</t>
  </si>
  <si>
    <t>Custom airport</t>
  </si>
  <si>
    <t>Kör mot OY gör en racetrack entry och stig på QDR 090 till MSA.</t>
  </si>
  <si>
    <t>ÄNDRA ljusgröna RADER VID BEHOV</t>
  </si>
  <si>
    <t>ESKM RWY 16</t>
  </si>
  <si>
    <t>ESKM RWY 34</t>
  </si>
  <si>
    <t>ESND RWY 09</t>
  </si>
  <si>
    <t>ESSA</t>
  </si>
  <si>
    <t>ESND RWY 27</t>
  </si>
  <si>
    <t>ESNU 14 B</t>
  </si>
  <si>
    <t>ESNU 14 FULL</t>
  </si>
  <si>
    <t>ESNU 32</t>
  </si>
  <si>
    <t>ESNU 32 D</t>
  </si>
  <si>
    <t>ESNZ RWY 12 G</t>
  </si>
  <si>
    <t>ESNZ RWY 30</t>
  </si>
  <si>
    <t>ESOH RWY 18</t>
  </si>
  <si>
    <t>ESOH RWY 36</t>
  </si>
  <si>
    <t>ESPA RWY 14 A3</t>
  </si>
  <si>
    <t>ESPA RWY 32 A5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</si>
  <si>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</si>
  <si>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</si>
  <si>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</si>
  <si>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</si>
  <si>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</si>
  <si>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</si>
  <si>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</si>
  <si>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</si>
  <si>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</si>
  <si>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</si>
  <si>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</si>
  <si>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</si>
  <si>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</si>
  <si>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</si>
  <si>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</si>
  <si>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</si>
  <si>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</si>
  <si>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</si>
  <si>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</si>
  <si>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</si>
  <si>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ESUP RWY 11</t>
  </si>
  <si>
    <t>ESUT RWY 15</t>
  </si>
  <si>
    <t>Climb STRAIGHT ahead to "SUT" LOCATOR and enter published holding.</t>
  </si>
  <si>
    <t>Source:</t>
  </si>
  <si>
    <t>AIP</t>
  </si>
  <si>
    <t>AIP AD</t>
  </si>
  <si>
    <t>AIP AD 2.12</t>
  </si>
  <si>
    <t>Uträknat från AIP "AOC"</t>
  </si>
  <si>
    <t>Factors</t>
  </si>
  <si>
    <t>X-wind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</si>
  <si>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</si>
  <si>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</si>
  <si>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</si>
  <si>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</si>
  <si>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</si>
  <si>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</si>
  <si>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</si>
  <si>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</si>
  <si>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</si>
  <si>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N/A</t>
  </si>
  <si>
    <t>Compacted snow</t>
  </si>
  <si>
    <t>Dry snow</t>
  </si>
  <si>
    <t>Wet snow</t>
  </si>
  <si>
    <t>Slush</t>
  </si>
  <si>
    <t>Standing water</t>
  </si>
  <si>
    <t>Technique</t>
  </si>
  <si>
    <t>Static T/O power</t>
  </si>
  <si>
    <t>Rolling take off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</si>
  <si>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</si>
  <si>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</si>
  <si>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</si>
  <si>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</si>
  <si>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</si>
  <si>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</si>
  <si>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</si>
  <si>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</si>
  <si>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</si>
  <si>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</si>
  <si>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</si>
  <si>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</si>
  <si>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</si>
  <si>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</si>
  <si>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</si>
  <si>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</si>
  <si>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</si>
  <si>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</si>
  <si>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</si>
  <si>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</si>
  <si>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</si>
  <si>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</si>
  <si>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</si>
  <si>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</si>
  <si>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</si>
  <si>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</si>
  <si>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</si>
  <si>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2900Ft Max i grafen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</si>
  <si>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</si>
  <si>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</si>
  <si>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</si>
  <si>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</si>
  <si>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</si>
  <si>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</si>
  <si>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</si>
  <si>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</si>
  <si>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Runwayfactor &lt;5</t>
  </si>
  <si>
    <t>Runwayfactor &lt;3</t>
  </si>
  <si>
    <t>Slope</t>
  </si>
  <si>
    <t>Totalt</t>
  </si>
  <si>
    <t>Factor for Contaminant type</t>
  </si>
  <si>
    <t>Tot before</t>
  </si>
  <si>
    <t>Correction</t>
  </si>
  <si>
    <t>Rulebased factor</t>
  </si>
  <si>
    <t>Correction 15ft istället för 35ft</t>
  </si>
  <si>
    <t>Total contaminated</t>
  </si>
  <si>
    <t>Ground Roll</t>
  </si>
  <si>
    <t>Take off distance</t>
  </si>
  <si>
    <t>Accelerate GO DRY</t>
  </si>
  <si>
    <t>Accelerate GO WET/CONT</t>
  </si>
  <si>
    <t>35 fot</t>
  </si>
  <si>
    <t>Accelerate stop</t>
  </si>
  <si>
    <t>TDR</t>
  </si>
  <si>
    <t>TAKE OFF PERFORMANCE (FLAPS APPROACH)</t>
  </si>
  <si>
    <t xml:space="preserve"> Mass</t>
  </si>
  <si>
    <t>Windcorrected distances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</si>
  <si>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</si>
  <si>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</si>
  <si>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</si>
  <si>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</si>
  <si>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</si>
  <si>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</si>
  <si>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</si>
  <si>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</si>
  <si>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</si>
  <si>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</si>
  <si>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</si>
  <si>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</si>
  <si>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</si>
  <si>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</si>
  <si>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</si>
  <si>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</si>
  <si>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</si>
  <si>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</si>
  <si>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</si>
  <si>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</si>
  <si>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</si>
  <si>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</si>
  <si>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</si>
  <si>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</si>
  <si>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</si>
  <si>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</si>
  <si>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ROC</t>
  </si>
  <si>
    <t>ROC-&gt;Gradient</t>
  </si>
  <si>
    <t>ICE VANE CORR</t>
  </si>
  <si>
    <t>35 fot extra</t>
  </si>
  <si>
    <t>NET GRADIENT OF CLIMB - FLAPS TAKEOFF</t>
  </si>
  <si>
    <t>NET GRADIENT OF CLIMB - FLAPS APPROACH</t>
  </si>
  <si>
    <t>Gradient</t>
  </si>
  <si>
    <t>TAKE OFF DISTANCE - FLAPS UP</t>
  </si>
  <si>
    <t>TAKE OFF DISTANCE - FLAPS TAKEOFF</t>
  </si>
  <si>
    <t>TAKE OFF DISTANCE - FLAPS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</si>
</sst>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yyyy\-mm\-dd"/>
  </numFmts>
  <fonts count="2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b/>
      <sz val="25"/>
      <color theme="1"/>
      <name val="Calibri"/>
    </font>
    <font>
      <b/>
      <sz val="12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17"/>
      <color theme="1"/>
      <name val="Calibri"/>
    </font>
    <font>
      <b/>
      <sz val="17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24"/>
      <color theme="1"/>
      <name val="Calibri"/>
    </font>
    <font>
      <sz val="25"/>
      <color theme="1"/>
      <name val="Calibri"/>
    </font>
    <font>
      <sz val="8"/>
      <color rgb="FF000000"/>
      <name val="Arial"/>
    </font>
    <font>
      <sz val="8"/>
      <color theme="1"/>
      <name val="Calibri"/>
    </font>
    <font>
      <sz val="9"/>
      <color rgb="FF000000"/>
      <name val="Google Sans"/>
    </font>
    <font>
      <sz val="11"/>
      <color theme="0"/>
      <name val="Calibri"/>
    </font>
    <font>
      <sz val="12"/>
      <color theme="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4"/>
        <bgColor theme="4"/>
      </patternFill>
    </fill>
  </fills>
  <borders count="100">
    <border>
      <left/>
      <right/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/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3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 wrapText="1"/>
    </xf>
    <xf numFmtId="0" fontId="4" fillId="0" borderId="0" xfId="0" applyFont="1"/>
    <xf numFmtId="0" fontId="2" fillId="2" borderId="15" xfId="0" applyFont="1" applyFill="1" applyBorder="1" applyAlignment="1">
      <alignment horizontal="center" wrapText="1"/>
    </xf>
    <xf numFmtId="0" fontId="2" fillId="2" borderId="16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0" borderId="0" xfId="0" applyFont="1"/>
    <xf numFmtId="0" fontId="2" fillId="2" borderId="17" xfId="0" applyFont="1" applyFill="1" applyBorder="1" applyAlignment="1">
      <alignment horizontal="center"/>
    </xf>
    <xf numFmtId="0" fontId="2" fillId="0" borderId="18" xfId="0" applyFont="1" applyBorder="1"/>
    <xf numFmtId="0" fontId="2" fillId="2" borderId="19" xfId="0" quotePrefix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vertical="center"/>
    </xf>
    <xf numFmtId="0" fontId="2" fillId="2" borderId="19" xfId="0" applyFont="1" applyFill="1" applyBorder="1" applyAlignment="1">
      <alignment horizontal="center" wrapText="1"/>
    </xf>
    <xf numFmtId="0" fontId="2" fillId="0" borderId="20" xfId="0" applyFont="1" applyBorder="1"/>
    <xf numFmtId="1" fontId="2" fillId="2" borderId="19" xfId="0" quotePrefix="1" applyNumberFormat="1" applyFont="1" applyFill="1" applyBorder="1" applyAlignment="1">
      <alignment horizontal="center" wrapText="1"/>
    </xf>
    <xf numFmtId="1" fontId="2" fillId="2" borderId="19" xfId="0" applyNumberFormat="1" applyFont="1" applyFill="1" applyBorder="1" applyAlignment="1">
      <alignment horizontal="center" wrapText="1"/>
    </xf>
    <xf numFmtId="0" fontId="2" fillId="3" borderId="21" xfId="0" applyFont="1" applyFill="1" applyBorder="1" applyAlignment="1">
      <alignment horizontal="center"/>
    </xf>
    <xf numFmtId="1" fontId="2" fillId="3" borderId="22" xfId="0" applyNumberFormat="1" applyFont="1" applyFill="1" applyBorder="1" applyAlignment="1">
      <alignment horizontal="center"/>
    </xf>
    <xf numFmtId="0" fontId="2" fillId="0" borderId="23" xfId="0" applyFont="1" applyBorder="1"/>
    <xf numFmtId="1" fontId="2" fillId="3" borderId="19" xfId="0" applyNumberFormat="1" applyFont="1" applyFill="1" applyBorder="1" applyAlignment="1">
      <alignment horizontal="center"/>
    </xf>
    <xf numFmtId="1" fontId="2" fillId="3" borderId="24" xfId="0" applyNumberFormat="1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2" fontId="2" fillId="3" borderId="25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" fillId="3" borderId="27" xfId="0" applyNumberFormat="1" applyFont="1" applyFill="1" applyBorder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2" fillId="3" borderId="28" xfId="0" applyNumberFormat="1" applyFont="1" applyFill="1" applyBorder="1" applyAlignment="1">
      <alignment horizontal="center"/>
    </xf>
    <xf numFmtId="2" fontId="2" fillId="3" borderId="28" xfId="0" applyNumberFormat="1" applyFont="1" applyFill="1" applyBorder="1" applyAlignment="1">
      <alignment horizontal="center"/>
    </xf>
    <xf numFmtId="165" fontId="2" fillId="3" borderId="29" xfId="0" applyNumberFormat="1" applyFont="1" applyFill="1" applyBorder="1" applyAlignment="1">
      <alignment horizontal="center"/>
    </xf>
    <xf numFmtId="1" fontId="2" fillId="3" borderId="30" xfId="0" applyNumberFormat="1" applyFont="1" applyFill="1" applyBorder="1" applyAlignment="1">
      <alignment horizontal="center"/>
    </xf>
    <xf numFmtId="1" fontId="2" fillId="2" borderId="31" xfId="0" applyNumberFormat="1" applyFont="1" applyFill="1" applyBorder="1" applyAlignment="1">
      <alignment horizontal="center"/>
    </xf>
    <xf numFmtId="166" fontId="2" fillId="2" borderId="32" xfId="0" applyNumberFormat="1" applyFont="1" applyFill="1" applyBorder="1" applyAlignment="1">
      <alignment horizontal="center"/>
    </xf>
    <xf numFmtId="166" fontId="2" fillId="2" borderId="0" xfId="0" applyNumberFormat="1" applyFont="1" applyFill="1" applyAlignment="1">
      <alignment horizontal="center"/>
    </xf>
    <xf numFmtId="1" fontId="2" fillId="2" borderId="22" xfId="0" applyNumberFormat="1" applyFont="1" applyFill="1" applyBorder="1" applyAlignment="1">
      <alignment horizontal="center"/>
    </xf>
    <xf numFmtId="1" fontId="2" fillId="2" borderId="25" xfId="0" applyNumberFormat="1" applyFont="1" applyFill="1" applyBorder="1" applyAlignment="1">
      <alignment horizontal="center"/>
    </xf>
    <xf numFmtId="1" fontId="2" fillId="2" borderId="33" xfId="0" applyNumberFormat="1" applyFont="1" applyFill="1" applyBorder="1" applyAlignment="1">
      <alignment horizontal="center"/>
    </xf>
    <xf numFmtId="2" fontId="2" fillId="2" borderId="33" xfId="0" applyNumberFormat="1" applyFont="1" applyFill="1" applyBorder="1" applyAlignment="1">
      <alignment horizontal="center"/>
    </xf>
    <xf numFmtId="2" fontId="2" fillId="2" borderId="25" xfId="0" applyNumberFormat="1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1" fontId="2" fillId="2" borderId="34" xfId="0" applyNumberFormat="1" applyFont="1" applyFill="1" applyBorder="1" applyAlignment="1">
      <alignment horizontal="center"/>
    </xf>
    <xf numFmtId="1" fontId="2" fillId="2" borderId="35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21" xfId="0" applyNumberFormat="1" applyFont="1" applyFill="1" applyBorder="1" applyAlignment="1">
      <alignment horizontal="center"/>
    </xf>
    <xf numFmtId="0" fontId="2" fillId="2" borderId="3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2" fontId="2" fillId="2" borderId="24" xfId="0" applyNumberFormat="1" applyFont="1" applyFill="1" applyBorder="1" applyAlignment="1">
      <alignment horizontal="center"/>
    </xf>
    <xf numFmtId="1" fontId="2" fillId="2" borderId="19" xfId="0" applyNumberFormat="1" applyFont="1" applyFill="1" applyBorder="1" applyAlignment="1">
      <alignment horizontal="center"/>
    </xf>
    <xf numFmtId="166" fontId="2" fillId="2" borderId="27" xfId="0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4" fillId="5" borderId="0" xfId="0" applyFont="1" applyFill="1"/>
    <xf numFmtId="0" fontId="2" fillId="2" borderId="31" xfId="0" applyFont="1" applyFill="1" applyBorder="1" applyAlignment="1">
      <alignment horizontal="center"/>
    </xf>
    <xf numFmtId="0" fontId="6" fillId="0" borderId="36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/>
    </xf>
    <xf numFmtId="0" fontId="8" fillId="0" borderId="38" xfId="0" applyFont="1" applyBorder="1" applyAlignment="1">
      <alignment horizontal="center" vertical="center"/>
    </xf>
    <xf numFmtId="166" fontId="9" fillId="0" borderId="39" xfId="0" applyNumberFormat="1" applyFont="1" applyBorder="1" applyAlignment="1">
      <alignment horizontal="center" vertical="center"/>
    </xf>
    <xf numFmtId="0" fontId="2" fillId="2" borderId="27" xfId="0" applyFont="1" applyFill="1" applyBorder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0" fontId="12" fillId="7" borderId="43" xfId="0" applyFont="1" applyFill="1" applyBorder="1" applyAlignment="1">
      <alignment horizontal="left" vertical="center"/>
    </xf>
    <xf numFmtId="0" fontId="13" fillId="0" borderId="47" xfId="0" applyFont="1" applyBorder="1" applyAlignment="1">
      <alignment horizontal="right" vertical="center"/>
    </xf>
    <xf numFmtId="0" fontId="2" fillId="0" borderId="47" xfId="0" applyFont="1" applyBorder="1" applyAlignment="1">
      <alignment vertical="center"/>
    </xf>
    <xf numFmtId="0" fontId="2" fillId="0" borderId="47" xfId="0" applyFont="1" applyBorder="1" applyAlignment="1">
      <alignment horizontal="left" vertical="center"/>
    </xf>
    <xf numFmtId="0" fontId="2" fillId="2" borderId="28" xfId="0" applyFont="1" applyFill="1" applyBorder="1" applyAlignment="1">
      <alignment horizontal="center"/>
    </xf>
    <xf numFmtId="0" fontId="2" fillId="2" borderId="30" xfId="0" applyFont="1" applyFill="1" applyBorder="1" applyAlignment="1">
      <alignment horizontal="center"/>
    </xf>
    <xf numFmtId="0" fontId="13" fillId="8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0" borderId="47" xfId="0" applyFont="1" applyBorder="1" applyAlignment="1">
      <alignment horizontal="left"/>
    </xf>
    <xf numFmtId="0" fontId="2" fillId="0" borderId="0" xfId="0" applyFont="1" applyAlignment="1">
      <alignment horizontal="center" wrapText="1"/>
    </xf>
    <xf numFmtId="0" fontId="2" fillId="0" borderId="47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3" fillId="9" borderId="4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2" fillId="9" borderId="47" xfId="0" applyFont="1" applyFill="1" applyBorder="1"/>
    <xf numFmtId="1" fontId="1" fillId="11" borderId="47" xfId="0" applyNumberFormat="1" applyFont="1" applyFill="1" applyBorder="1" applyAlignment="1">
      <alignment horizontal="center" vertical="center"/>
    </xf>
    <xf numFmtId="1" fontId="2" fillId="11" borderId="47" xfId="0" applyNumberFormat="1" applyFont="1" applyFill="1" applyBorder="1" applyAlignment="1">
      <alignment horizontal="center" vertical="center"/>
    </xf>
    <xf numFmtId="1" fontId="1" fillId="8" borderId="4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" fontId="2" fillId="8" borderId="47" xfId="0" applyNumberFormat="1" applyFont="1" applyFill="1" applyBorder="1" applyAlignment="1">
      <alignment horizontal="center" vertical="center"/>
    </xf>
    <xf numFmtId="0" fontId="2" fillId="6" borderId="50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6" fillId="0" borderId="0" xfId="0" applyFont="1"/>
    <xf numFmtId="0" fontId="2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/>
    </xf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1" fontId="2" fillId="0" borderId="0" xfId="0" applyNumberFormat="1" applyFont="1"/>
    <xf numFmtId="1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2" fillId="6" borderId="50" xfId="0" applyFont="1" applyFill="1" applyBorder="1" applyAlignment="1">
      <alignment horizontal="center"/>
    </xf>
    <xf numFmtId="0" fontId="2" fillId="6" borderId="51" xfId="0" applyFont="1" applyFill="1" applyBorder="1" applyAlignment="1">
      <alignment horizontal="center"/>
    </xf>
    <xf numFmtId="1" fontId="2" fillId="0" borderId="0" xfId="0" applyNumberFormat="1" applyFont="1" applyAlignment="1">
      <alignment vertical="center"/>
    </xf>
    <xf numFmtId="0" fontId="7" fillId="0" borderId="52" xfId="0" applyFont="1" applyBorder="1" applyAlignment="1">
      <alignment horizontal="center" vertical="center"/>
    </xf>
    <xf numFmtId="1" fontId="4" fillId="0" borderId="0" xfId="0" applyNumberFormat="1" applyFont="1"/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7" fillId="0" borderId="56" xfId="0" applyFont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/>
    </xf>
    <xf numFmtId="1" fontId="2" fillId="0" borderId="36" xfId="0" applyNumberFormat="1" applyFont="1" applyBorder="1" applyAlignment="1">
      <alignment horizontal="center" vertical="center"/>
    </xf>
    <xf numFmtId="1" fontId="2" fillId="0" borderId="60" xfId="0" applyNumberFormat="1" applyFont="1" applyBorder="1" applyAlignment="1">
      <alignment horizontal="center" vertical="center"/>
    </xf>
    <xf numFmtId="1" fontId="2" fillId="0" borderId="61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 vertical="center"/>
    </xf>
    <xf numFmtId="1" fontId="2" fillId="0" borderId="62" xfId="0" applyNumberFormat="1" applyFont="1" applyBorder="1" applyAlignment="1">
      <alignment horizontal="center" vertical="center"/>
    </xf>
    <xf numFmtId="0" fontId="2" fillId="0" borderId="63" xfId="0" applyFont="1" applyBorder="1" applyAlignment="1">
      <alignment horizontal="right" vertical="center"/>
    </xf>
    <xf numFmtId="1" fontId="2" fillId="0" borderId="64" xfId="0" applyNumberFormat="1" applyFont="1" applyBorder="1" applyAlignment="1">
      <alignment horizontal="center" vertical="center"/>
    </xf>
    <xf numFmtId="1" fontId="2" fillId="0" borderId="65" xfId="0" applyNumberFormat="1" applyFont="1" applyBorder="1" applyAlignment="1">
      <alignment horizontal="center" vertical="center"/>
    </xf>
    <xf numFmtId="165" fontId="2" fillId="0" borderId="66" xfId="0" applyNumberFormat="1" applyFont="1" applyBorder="1" applyAlignment="1">
      <alignment horizontal="center" vertical="center"/>
    </xf>
    <xf numFmtId="165" fontId="2" fillId="0" borderId="64" xfId="0" applyNumberFormat="1" applyFont="1" applyBorder="1" applyAlignment="1">
      <alignment horizontal="center" vertical="center"/>
    </xf>
    <xf numFmtId="1" fontId="2" fillId="0" borderId="44" xfId="0" applyNumberFormat="1" applyFont="1" applyBorder="1" applyAlignment="1">
      <alignment horizontal="center" vertical="center"/>
    </xf>
    <xf numFmtId="0" fontId="2" fillId="0" borderId="67" xfId="0" applyFont="1" applyBorder="1" applyAlignment="1">
      <alignment horizontal="right" vertical="center"/>
    </xf>
    <xf numFmtId="1" fontId="2" fillId="0" borderId="66" xfId="0" applyNumberFormat="1" applyFont="1" applyBorder="1" applyAlignment="1">
      <alignment horizontal="center" vertical="center"/>
    </xf>
    <xf numFmtId="1" fontId="2" fillId="0" borderId="68" xfId="0" applyNumberFormat="1" applyFont="1" applyBorder="1" applyAlignment="1">
      <alignment horizontal="center" vertical="center"/>
    </xf>
    <xf numFmtId="1" fontId="1" fillId="0" borderId="69" xfId="0" applyNumberFormat="1" applyFont="1" applyBorder="1" applyAlignment="1">
      <alignment horizontal="center" vertical="center"/>
    </xf>
    <xf numFmtId="1" fontId="1" fillId="0" borderId="71" xfId="0" applyNumberFormat="1" applyFont="1" applyBorder="1" applyAlignment="1">
      <alignment horizontal="center" vertical="center"/>
    </xf>
    <xf numFmtId="1" fontId="2" fillId="0" borderId="72" xfId="0" applyNumberFormat="1" applyFont="1" applyBorder="1" applyAlignment="1">
      <alignment horizontal="center" vertical="center"/>
    </xf>
    <xf numFmtId="0" fontId="2" fillId="0" borderId="73" xfId="0" applyFont="1" applyBorder="1" applyAlignment="1">
      <alignment horizontal="right" vertical="center"/>
    </xf>
    <xf numFmtId="1" fontId="2" fillId="0" borderId="74" xfId="0" applyNumberFormat="1" applyFont="1" applyBorder="1" applyAlignment="1">
      <alignment horizontal="center" vertical="center"/>
    </xf>
    <xf numFmtId="1" fontId="2" fillId="0" borderId="47" xfId="0" applyNumberFormat="1" applyFont="1" applyBorder="1" applyAlignment="1">
      <alignment horizontal="center"/>
    </xf>
    <xf numFmtId="1" fontId="2" fillId="0" borderId="75" xfId="0" applyNumberFormat="1" applyFont="1" applyBorder="1" applyAlignment="1">
      <alignment horizontal="center" vertical="center"/>
    </xf>
    <xf numFmtId="1" fontId="2" fillId="0" borderId="76" xfId="0" applyNumberFormat="1" applyFont="1" applyBorder="1" applyAlignment="1">
      <alignment horizontal="center" vertical="center"/>
    </xf>
    <xf numFmtId="165" fontId="2" fillId="0" borderId="76" xfId="0" applyNumberFormat="1" applyFont="1" applyBorder="1" applyAlignment="1">
      <alignment horizontal="center" vertical="center"/>
    </xf>
    <xf numFmtId="165" fontId="2" fillId="0" borderId="74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77" xfId="0" applyFont="1" applyBorder="1" applyAlignment="1">
      <alignment horizontal="right" vertical="center"/>
    </xf>
    <xf numFmtId="1" fontId="2" fillId="0" borderId="48" xfId="0" applyNumberFormat="1" applyFont="1" applyBorder="1" applyAlignment="1">
      <alignment horizontal="center" vertical="center"/>
    </xf>
    <xf numFmtId="0" fontId="2" fillId="0" borderId="78" xfId="0" applyFont="1" applyBorder="1" applyAlignment="1">
      <alignment horizontal="right" vertical="center"/>
    </xf>
    <xf numFmtId="1" fontId="2" fillId="0" borderId="47" xfId="0" applyNumberFormat="1" applyFont="1" applyBorder="1" applyAlignment="1">
      <alignment horizontal="center" vertical="center"/>
    </xf>
    <xf numFmtId="165" fontId="2" fillId="0" borderId="79" xfId="0" applyNumberFormat="1" applyFont="1" applyBorder="1" applyAlignment="1">
      <alignment horizontal="center" vertical="center"/>
    </xf>
    <xf numFmtId="0" fontId="2" fillId="5" borderId="0" xfId="0" applyFont="1" applyFill="1"/>
    <xf numFmtId="0" fontId="2" fillId="0" borderId="82" xfId="0" applyFont="1" applyBorder="1" applyAlignment="1">
      <alignment horizontal="right" vertical="center"/>
    </xf>
    <xf numFmtId="0" fontId="2" fillId="0" borderId="83" xfId="0" applyFont="1" applyBorder="1" applyAlignment="1">
      <alignment horizontal="right" vertical="center"/>
    </xf>
    <xf numFmtId="4" fontId="2" fillId="0" borderId="8" xfId="0" applyNumberFormat="1" applyFont="1" applyBorder="1" applyAlignment="1">
      <alignment horizontal="center" vertical="center"/>
    </xf>
    <xf numFmtId="0" fontId="2" fillId="0" borderId="84" xfId="0" applyFont="1" applyBorder="1" applyAlignment="1">
      <alignment horizontal="right" vertical="center"/>
    </xf>
    <xf numFmtId="165" fontId="2" fillId="0" borderId="11" xfId="0" applyNumberFormat="1" applyFont="1" applyBorder="1" applyAlignment="1">
      <alignment horizontal="center" vertical="center"/>
    </xf>
    <xf numFmtId="1" fontId="18" fillId="0" borderId="0" xfId="0" applyNumberFormat="1" applyFont="1"/>
    <xf numFmtId="165" fontId="1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2" fillId="0" borderId="11" xfId="0" applyNumberFormat="1" applyFont="1" applyBorder="1" applyAlignment="1">
      <alignment horizontal="center" vertical="center"/>
    </xf>
    <xf numFmtId="1" fontId="2" fillId="0" borderId="88" xfId="0" applyNumberFormat="1" applyFont="1" applyBorder="1" applyAlignment="1">
      <alignment horizontal="center" vertical="center"/>
    </xf>
    <xf numFmtId="0" fontId="2" fillId="0" borderId="89" xfId="0" applyFont="1" applyBorder="1" applyAlignment="1">
      <alignment horizontal="right" vertical="center"/>
    </xf>
    <xf numFmtId="1" fontId="2" fillId="0" borderId="15" xfId="0" applyNumberFormat="1" applyFont="1" applyBorder="1" applyAlignment="1">
      <alignment horizontal="center" vertical="center"/>
    </xf>
    <xf numFmtId="0" fontId="2" fillId="0" borderId="81" xfId="0" applyFont="1" applyBorder="1" applyAlignment="1">
      <alignment horizontal="left" vertical="center"/>
    </xf>
    <xf numFmtId="0" fontId="2" fillId="0" borderId="81" xfId="0" applyFont="1" applyBorder="1"/>
    <xf numFmtId="1" fontId="2" fillId="0" borderId="81" xfId="0" applyNumberFormat="1" applyFont="1" applyBorder="1" applyAlignment="1">
      <alignment horizontal="center" vertical="center"/>
    </xf>
    <xf numFmtId="1" fontId="2" fillId="0" borderId="90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2" fillId="0" borderId="0" xfId="0" applyNumberFormat="1" applyFont="1" applyAlignment="1">
      <alignment wrapText="1"/>
    </xf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left"/>
    </xf>
    <xf numFmtId="0" fontId="4" fillId="0" borderId="80" xfId="0" applyFont="1" applyBorder="1"/>
    <xf numFmtId="0" fontId="4" fillId="0" borderId="81" xfId="0" applyFont="1" applyBorder="1"/>
    <xf numFmtId="0" fontId="4" fillId="0" borderId="83" xfId="0" applyFont="1" applyBorder="1"/>
    <xf numFmtId="9" fontId="2" fillId="0" borderId="0" xfId="0" applyNumberFormat="1" applyFont="1"/>
    <xf numFmtId="10" fontId="2" fillId="0" borderId="0" xfId="0" applyNumberFormat="1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1" fontId="1" fillId="0" borderId="0" xfId="0" applyNumberFormat="1" applyFont="1"/>
    <xf numFmtId="0" fontId="7" fillId="0" borderId="0" xfId="0" applyFont="1" applyAlignment="1">
      <alignment wrapText="1"/>
    </xf>
    <xf numFmtId="0" fontId="7" fillId="0" borderId="0" xfId="0" applyFont="1"/>
    <xf numFmtId="1" fontId="1" fillId="0" borderId="95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1" fillId="0" borderId="97" xfId="0" applyFont="1" applyBorder="1"/>
    <xf numFmtId="1" fontId="1" fillId="0" borderId="98" xfId="0" applyNumberFormat="1" applyFont="1" applyBorder="1"/>
    <xf numFmtId="0" fontId="2" fillId="0" borderId="98" xfId="0" applyFont="1" applyBorder="1"/>
    <xf numFmtId="0" fontId="2" fillId="0" borderId="99" xfId="0" applyFont="1" applyBorder="1" applyAlignment="1">
      <alignment vertical="center"/>
    </xf>
    <xf numFmtId="0" fontId="2" fillId="0" borderId="97" xfId="0" applyFont="1" applyBorder="1"/>
    <xf numFmtId="0" fontId="2" fillId="0" borderId="80" xfId="0" applyFont="1" applyBorder="1"/>
    <xf numFmtId="1" fontId="2" fillId="0" borderId="81" xfId="0" applyNumberFormat="1" applyFont="1" applyBorder="1"/>
    <xf numFmtId="0" fontId="1" fillId="0" borderId="80" xfId="0" applyFont="1" applyBorder="1"/>
    <xf numFmtId="1" fontId="1" fillId="0" borderId="81" xfId="0" applyNumberFormat="1" applyFont="1" applyBorder="1"/>
    <xf numFmtId="0" fontId="2" fillId="0" borderId="83" xfId="0" applyFont="1" applyBorder="1" applyAlignment="1">
      <alignment vertical="center"/>
    </xf>
    <xf numFmtId="0" fontId="1" fillId="0" borderId="98" xfId="0" applyFont="1" applyBorder="1"/>
    <xf numFmtId="0" fontId="1" fillId="0" borderId="0" xfId="0" applyFont="1" applyAlignment="1">
      <alignment horizontal="left"/>
    </xf>
    <xf numFmtId="0" fontId="1" fillId="0" borderId="99" xfId="0" applyFont="1" applyBorder="1"/>
    <xf numFmtId="0" fontId="1" fillId="0" borderId="81" xfId="0" applyFont="1" applyBorder="1"/>
    <xf numFmtId="0" fontId="1" fillId="0" borderId="70" xfId="0" applyFont="1" applyBorder="1"/>
    <xf numFmtId="165" fontId="1" fillId="0" borderId="97" xfId="0" applyNumberFormat="1" applyFont="1" applyBorder="1"/>
    <xf numFmtId="0" fontId="1" fillId="0" borderId="42" xfId="0" applyFont="1" applyBorder="1"/>
    <xf numFmtId="165" fontId="1" fillId="0" borderId="98" xfId="0" applyNumberFormat="1" applyFont="1" applyBorder="1"/>
    <xf numFmtId="1" fontId="1" fillId="0" borderId="42" xfId="0" applyNumberFormat="1" applyFont="1" applyBorder="1"/>
    <xf numFmtId="165" fontId="2" fillId="0" borderId="98" xfId="0" applyNumberFormat="1" applyFont="1" applyBorder="1"/>
    <xf numFmtId="0" fontId="2" fillId="0" borderId="42" xfId="0" applyFont="1" applyBorder="1"/>
    <xf numFmtId="165" fontId="1" fillId="0" borderId="0" xfId="0" applyNumberFormat="1" applyFont="1"/>
    <xf numFmtId="1" fontId="1" fillId="0" borderId="83" xfId="0" applyNumberFormat="1" applyFont="1" applyBorder="1"/>
    <xf numFmtId="2" fontId="1" fillId="0" borderId="97" xfId="0" applyNumberFormat="1" applyFont="1" applyBorder="1"/>
    <xf numFmtId="2" fontId="1" fillId="0" borderId="98" xfId="0" applyNumberFormat="1" applyFont="1" applyBorder="1"/>
    <xf numFmtId="2" fontId="2" fillId="0" borderId="98" xfId="0" applyNumberFormat="1" applyFont="1" applyBorder="1"/>
    <xf numFmtId="0" fontId="1" fillId="0" borderId="83" xfId="0" applyFont="1" applyBorder="1"/>
    <xf numFmtId="165" fontId="1" fillId="0" borderId="80" xfId="0" applyNumberFormat="1" applyFont="1" applyBorder="1"/>
    <xf numFmtId="165" fontId="1" fillId="0" borderId="81" xfId="0" applyNumberFormat="1" applyFont="1" applyBorder="1"/>
    <xf numFmtId="0" fontId="1" fillId="0" borderId="43" xfId="0" applyFont="1" applyBorder="1"/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165" fontId="1" fillId="0" borderId="42" xfId="0" applyNumberFormat="1" applyFont="1" applyBorder="1"/>
    <xf numFmtId="165" fontId="2" fillId="0" borderId="81" xfId="0" applyNumberFormat="1" applyFont="1" applyBorder="1"/>
    <xf numFmtId="2" fontId="1" fillId="0" borderId="80" xfId="0" applyNumberFormat="1" applyFont="1" applyBorder="1"/>
    <xf numFmtId="2" fontId="1" fillId="0" borderId="81" xfId="0" applyNumberFormat="1" applyFont="1" applyBorder="1"/>
    <xf numFmtId="2" fontId="2" fillId="0" borderId="81" xfId="0" applyNumberFormat="1" applyFont="1" applyBorder="1"/>
    <xf numFmtId="2" fontId="4" fillId="0" borderId="0" xfId="0" applyNumberFormat="1" applyFont="1"/>
    <xf numFmtId="0" fontId="13" fillId="7" borderId="4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2" fillId="6" borderId="70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1" fontId="2" fillId="0" borderId="85" xfId="0" applyNumberFormat="1" applyFont="1" applyBorder="1" applyAlignment="1">
      <alignment vertical="center" wrapText="1"/>
    </xf>
    <xf numFmtId="0" fontId="2" fillId="0" borderId="0" xfId="0" applyFont="1" applyAlignment="1">
      <alignment horizontal="center" textRotation="90" wrapText="1"/>
    </xf>
    <xf numFmtId="0" fontId="4" fillId="0" borderId="0" xfId="0" applyFont="1" applyAlignment="1">
      <alignment horizontal="left" vertical="center"/>
    </xf>
    <xf numFmtId="0" fontId="2" fillId="0" borderId="0" xfId="0" quotePrefix="1" applyFont="1" applyAlignment="1">
      <alignment vertical="center"/>
    </xf>
    <xf numFmtId="0" fontId="2" fillId="0" borderId="0" xfId="0" applyFont="1" applyAlignment="1">
      <alignment horizontal="right" wrapText="1"/>
    </xf>
    <xf numFmtId="0" fontId="4" fillId="0" borderId="0" xfId="0" applyFont="1" applyAlignment="1">
      <alignment horizontal="center" vertical="top" textRotation="90"/>
    </xf>
    <xf numFmtId="0" fontId="2" fillId="0" borderId="0" xfId="0" applyFont="1" applyAlignment="1">
      <alignment horizontal="center"/>
    </xf>
    <xf numFmtId="0" fontId="17" fillId="0" borderId="80" xfId="0" applyFont="1" applyBorder="1" applyAlignment="1">
      <alignment horizontal="left" vertical="center"/>
    </xf>
    <xf numFmtId="0" fontId="5" fillId="0" borderId="36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10" borderId="48" xfId="0" applyFont="1" applyFill="1" applyBorder="1" applyAlignment="1">
      <alignment horizontal="center" vertical="center"/>
    </xf>
    <xf numFmtId="0" fontId="7" fillId="10" borderId="44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7" fillId="10" borderId="48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" fillId="0" borderId="81" xfId="0" applyFont="1" applyBorder="1" applyAlignment="1">
      <alignment horizontal="center"/>
    </xf>
    <xf numFmtId="0" fontId="1" fillId="5" borderId="81" xfId="0" applyFont="1" applyFill="1" applyBorder="1" applyAlignment="1">
      <alignment horizontal="center"/>
    </xf>
    <xf numFmtId="0" fontId="3" fillId="0" borderId="81" xfId="0" applyFont="1" applyBorder="1" applyAlignment="1"/>
    <xf numFmtId="0" fontId="9" fillId="0" borderId="50" xfId="0" applyFont="1" applyBorder="1" applyAlignment="1">
      <alignment horizontal="center" vertical="center"/>
    </xf>
    <xf numFmtId="0" fontId="0" fillId="0" borderId="0" xfId="0" applyAlignment="1"/>
    <xf numFmtId="0" fontId="10" fillId="6" borderId="70" xfId="0" applyFont="1" applyFill="1" applyBorder="1" applyAlignment="1">
      <alignment horizontal="right" vertical="center"/>
    </xf>
    <xf numFmtId="0" fontId="11" fillId="7" borderId="42" xfId="0" applyFont="1" applyFill="1" applyBorder="1" applyAlignment="1">
      <alignment horizontal="left" vertical="center"/>
    </xf>
    <xf numFmtId="0" fontId="3" fillId="0" borderId="42" xfId="0" applyFont="1" applyBorder="1" applyAlignment="1"/>
    <xf numFmtId="0" fontId="2" fillId="0" borderId="50" xfId="0" applyFont="1" applyBorder="1" applyAlignment="1">
      <alignment horizontal="right" vertical="center"/>
    </xf>
    <xf numFmtId="0" fontId="3" fillId="0" borderId="45" xfId="0" applyFont="1" applyBorder="1" applyAlignment="1"/>
    <xf numFmtId="0" fontId="3" fillId="0" borderId="46" xfId="0" applyFont="1" applyBorder="1" applyAlignment="1"/>
    <xf numFmtId="0" fontId="3" fillId="0" borderId="51" xfId="0" applyFont="1" applyBorder="1" applyAlignment="1"/>
    <xf numFmtId="0" fontId="14" fillId="0" borderId="51" xfId="0" applyFont="1" applyBorder="1" applyAlignment="1"/>
    <xf numFmtId="0" fontId="15" fillId="0" borderId="51" xfId="0" applyFont="1" applyBorder="1" applyAlignment="1"/>
    <xf numFmtId="0" fontId="2" fillId="0" borderId="51" xfId="0" applyFont="1" applyBorder="1"/>
    <xf numFmtId="0" fontId="2" fillId="12" borderId="96" xfId="0" applyFont="1" applyFill="1" applyBorder="1" applyAlignment="1">
      <alignment wrapText="1"/>
    </xf>
    <xf numFmtId="0" fontId="3" fillId="0" borderId="96" xfId="0" applyFont="1" applyBorder="1" applyAlignment="1"/>
    <xf numFmtId="0" fontId="2" fillId="6" borderId="96" xfId="0" applyFont="1" applyFill="1" applyBorder="1" applyAlignment="1">
      <alignment vertical="center"/>
    </xf>
    <xf numFmtId="0" fontId="2" fillId="4" borderId="96" xfId="0" applyFont="1" applyFill="1" applyBorder="1"/>
    <xf numFmtId="0" fontId="2" fillId="0" borderId="51" xfId="0" applyFont="1" applyBorder="1" applyAlignment="1">
      <alignment horizontal="left"/>
    </xf>
    <xf numFmtId="0" fontId="2" fillId="0" borderId="51" xfId="0" applyFont="1" applyBorder="1" applyAlignment="1">
      <alignment horizontal="center"/>
    </xf>
    <xf numFmtId="0" fontId="1" fillId="2" borderId="97" xfId="0" applyFont="1" applyFill="1" applyBorder="1" applyAlignment="1">
      <alignment horizontal="right" vertical="center"/>
    </xf>
    <xf numFmtId="0" fontId="1" fillId="2" borderId="98" xfId="0" applyFont="1" applyFill="1" applyBorder="1" applyAlignment="1">
      <alignment horizontal="center" vertical="center"/>
    </xf>
    <xf numFmtId="0" fontId="1" fillId="2" borderId="98" xfId="0" applyFont="1" applyFill="1" applyBorder="1" applyAlignment="1">
      <alignment horizontal="center"/>
    </xf>
    <xf numFmtId="0" fontId="1" fillId="2" borderId="99" xfId="0" applyFont="1" applyFill="1" applyBorder="1" applyAlignment="1">
      <alignment horizontal="center"/>
    </xf>
    <xf numFmtId="0" fontId="3" fillId="0" borderId="43" xfId="0" applyFont="1" applyBorder="1" applyAlignment="1"/>
    <xf numFmtId="0" fontId="17" fillId="0" borderId="50" xfId="0" applyFont="1" applyBorder="1" applyAlignment="1">
      <alignment horizontal="right" vertical="center"/>
    </xf>
    <xf numFmtId="0" fontId="3" fillId="0" borderId="86" xfId="0" applyFont="1" applyBorder="1" applyAlignment="1"/>
    <xf numFmtId="0" fontId="3" fillId="0" borderId="87" xfId="0" applyFont="1" applyBorder="1" applyAlignment="1"/>
    <xf numFmtId="0" fontId="4" fillId="0" borderId="50" xfId="0" applyFont="1" applyBorder="1" applyAlignment="1">
      <alignment horizontal="right"/>
    </xf>
    <xf numFmtId="0" fontId="4" fillId="0" borderId="51" xfId="0" applyFont="1" applyBorder="1"/>
    <xf numFmtId="0" fontId="3" fillId="0" borderId="91" xfId="0" applyFont="1" applyBorder="1" applyAlignment="1"/>
    <xf numFmtId="0" fontId="4" fillId="0" borderId="50" xfId="0" applyFont="1" applyBorder="1"/>
    <xf numFmtId="0" fontId="3" fillId="0" borderId="67" xfId="0" applyFont="1" applyBorder="1" applyAlignment="1"/>
    <xf numFmtId="0" fontId="3" fillId="0" borderId="92" xfId="0" applyFont="1" applyBorder="1" applyAlignment="1"/>
    <xf numFmtId="0" fontId="3" fillId="0" borderId="93" xfId="0" applyFont="1" applyBorder="1" applyAlignment="1"/>
    <xf numFmtId="0" fontId="3" fillId="0" borderId="94" xfId="0" applyFont="1" applyBorder="1" applyAlignment="1"/>
    <xf numFmtId="0" fontId="3" fillId="0" borderId="37" xfId="0" applyFont="1" applyBorder="1" applyAlignment="1"/>
    <xf numFmtId="0" fontId="11" fillId="7" borderId="40" xfId="0" applyFont="1" applyFill="1" applyBorder="1" applyAlignment="1">
      <alignment horizontal="left" vertical="center"/>
    </xf>
    <xf numFmtId="0" fontId="3" fillId="0" borderId="40" xfId="0" applyFont="1" applyBorder="1" applyAlignment="1"/>
    <xf numFmtId="0" fontId="3" fillId="0" borderId="41" xfId="0" applyFont="1" applyBorder="1" applyAlignment="1"/>
    <xf numFmtId="0" fontId="2" fillId="6" borderId="96" xfId="0" applyFont="1" applyFill="1" applyBorder="1" applyAlignment="1">
      <alignment horizontal="center" vertical="center"/>
    </xf>
    <xf numFmtId="0" fontId="2" fillId="6" borderId="96" xfId="0" applyFont="1" applyFill="1" applyBorder="1" applyAlignment="1">
      <alignment horizontal="center"/>
    </xf>
    <xf numFmtId="0" fontId="1" fillId="0" borderId="50" xfId="0" applyFont="1" applyBorder="1" applyAlignment="1">
      <alignment horizontal="right" vertical="center"/>
    </xf>
    <xf numFmtId="0" fontId="1" fillId="0" borderId="51" xfId="0" applyFont="1" applyBorder="1" applyAlignment="1">
      <alignment horizontal="center"/>
    </xf>
    <xf numFmtId="0" fontId="2" fillId="6" borderId="97" xfId="0" applyFont="1" applyFill="1" applyBorder="1" applyAlignment="1">
      <alignment horizontal="center" vertical="center"/>
    </xf>
    <xf numFmtId="0" fontId="3" fillId="0" borderId="98" xfId="0" applyFont="1" applyBorder="1" applyAlignment="1"/>
    <xf numFmtId="0" fontId="3" fillId="0" borderId="99" xfId="0" applyFont="1" applyBorder="1" applyAlignment="1"/>
    <xf numFmtId="0" fontId="17" fillId="0" borderId="50" xfId="0" applyFont="1" applyBorder="1" applyAlignment="1">
      <alignment horizontal="right" vertical="center" wrapText="1"/>
    </xf>
    <xf numFmtId="1" fontId="1" fillId="0" borderId="51" xfId="0" applyNumberFormat="1" applyFont="1" applyBorder="1" applyAlignment="1">
      <alignment horizontal="right" vertical="center"/>
    </xf>
    <xf numFmtId="0" fontId="2" fillId="0" borderId="50" xfId="0" applyFont="1" applyBorder="1" applyAlignment="1">
      <alignment horizontal="center" vertical="center"/>
    </xf>
    <xf numFmtId="0" fontId="3" fillId="0" borderId="17" xfId="0" applyFont="1" applyBorder="1" applyAlignment="1"/>
    <xf numFmtId="0" fontId="3" fillId="0" borderId="19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  <xf numFmtId="1" fontId="2" fillId="3" borderId="26" xfId="0" applyNumberFormat="1" applyFont="1" applyFill="1" applyBorder="1" applyAlignment="1">
      <alignment horizontal="center"/>
    </xf>
    <xf numFmtId="0" fontId="1" fillId="4" borderId="96" xfId="0" applyFont="1" applyFill="1" applyBorder="1" applyAlignment="1">
      <alignment horizontal="center" vertical="center"/>
    </xf>
    <xf numFmtId="1" fontId="2" fillId="3" borderId="29" xfId="0" applyNumberFormat="1" applyFont="1" applyFill="1" applyBorder="1" applyAlignment="1">
      <alignment horizontal="center"/>
    </xf>
    <xf numFmtId="2" fontId="2" fillId="2" borderId="31" xfId="0" applyNumberFormat="1" applyFont="1" applyFill="1" applyBorder="1" applyAlignment="1">
      <alignment horizontal="center"/>
    </xf>
    <xf numFmtId="1" fontId="2" fillId="2" borderId="95" xfId="0" applyNumberFormat="1" applyFont="1" applyFill="1" applyBorder="1" applyAlignment="1">
      <alignment horizontal="center"/>
    </xf>
    <xf numFmtId="0" fontId="2" fillId="2" borderId="95" xfId="0" applyFont="1" applyFill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3" fillId="0" borderId="49" xfId="0" applyFont="1" applyBorder="1" applyAlignment="1"/>
    <xf numFmtId="0" fontId="19" fillId="13" borderId="96" xfId="0" applyFont="1" applyFill="1" applyBorder="1" applyAlignment="1">
      <alignment horizontal="center" vertical="center"/>
    </xf>
    <xf numFmtId="1" fontId="19" fillId="13" borderId="96" xfId="0" applyNumberFormat="1" applyFont="1" applyFill="1" applyBorder="1" applyAlignment="1">
      <alignment horizontal="center" vertical="center"/>
    </xf>
    <xf numFmtId="2" fontId="19" fillId="13" borderId="96" xfId="0" applyNumberFormat="1" applyFont="1" applyFill="1" applyBorder="1" applyAlignment="1">
      <alignment horizontal="center" vertical="center"/>
    </xf>
    <xf numFmtId="0" fontId="2" fillId="14" borderId="96" xfId="0" applyFont="1" applyFill="1" applyBorder="1"/>
    <xf numFmtId="0" fontId="2" fillId="14" borderId="96" xfId="0" applyFont="1" applyFill="1" applyBorder="1" applyAlignment="1">
      <alignment horizontal="center" vertical="center"/>
    </xf>
    <xf numFmtId="0" fontId="2" fillId="14" borderId="96" xfId="0" applyFont="1" applyFill="1" applyBorder="1" applyAlignment="1">
      <alignment horizontal="right"/>
    </xf>
    <xf numFmtId="0" fontId="2" fillId="14" borderId="96" xfId="0" applyFont="1" applyFill="1" applyBorder="1" applyAlignment="1">
      <alignment horizontal="left"/>
    </xf>
    <xf numFmtId="0" fontId="3" fillId="0" borderId="53" xfId="0" applyFont="1" applyBorder="1" applyAlignment="1"/>
    <xf numFmtId="0" fontId="2" fillId="15" borderId="96" xfId="0" applyFont="1" applyFill="1" applyBorder="1"/>
    <xf numFmtId="0" fontId="2" fillId="15" borderId="96" xfId="0" applyFont="1" applyFill="1" applyBorder="1" applyAlignment="1">
      <alignment horizontal="center" vertical="center"/>
    </xf>
    <xf numFmtId="0" fontId="18" fillId="8" borderId="96" xfId="0" applyFont="1" applyFill="1" applyBorder="1"/>
    <xf numFmtId="0" fontId="1" fillId="16" borderId="96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 applyAlignment="1">
      <alignment vertical="center"/>
    </xf>
    <xf numFmtId="0" fontId="1" fillId="0" borderId="50" xfId="0" applyFont="1" applyBorder="1"/>
    <xf numFmtId="0" fontId="5" fillId="12" borderId="96" xfId="0" applyFont="1" applyFill="1" applyBorder="1" applyAlignment="1">
      <alignment horizontal="center" vertical="center"/>
    </xf>
    <xf numFmtId="0" fontId="1" fillId="0" borderId="51" xfId="0" applyFont="1" applyBorder="1"/>
    <xf numFmtId="165" fontId="1" fillId="0" borderId="50" xfId="0" applyNumberFormat="1" applyFont="1" applyBorder="1"/>
    <xf numFmtId="2" fontId="1" fillId="0" borderId="50" xfId="0" applyNumberFormat="1" applyFont="1" applyBorder="1"/>
  </cellXfs>
  <cellStyles count="1">
    <cellStyle name="Normal" xfId="0" builtinId="0"/>
  </cellStyles>
  <dxfs count="4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Selected Contaminant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'Take-off'!$B$55</c:f>
              <c:strCache>
                <c:ptCount val="1"/>
                <c:pt idx="0">
                  <c:v>ASDA:</c:v>
                </c:pt>
              </c:strCache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'Take-off'!$C$55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9-4A42-BE61-F176542A5416}"/>
            </c:ext>
          </c:extLst>
        </c:ser>
        <c:ser>
          <c:idx val="1"/>
          <c:order val="1"/>
          <c:tx>
            <c:strRef>
              <c:f>'Take-off'!$B$56</c:f>
              <c:strCache>
                <c:ptCount val="1"/>
                <c:pt idx="0">
                  <c:v>TORA:</c:v>
                </c:pt>
              </c:strCache>
            </c:strRef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'Take-off'!$C$56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9-4A42-BE61-F176542A5416}"/>
            </c:ext>
          </c:extLst>
        </c:ser>
        <c:ser>
          <c:idx val="2"/>
          <c:order val="2"/>
          <c:tx>
            <c:strRef>
              <c:f>'Take-off'!$B$57</c:f>
              <c:strCache>
                <c:ptCount val="1"/>
                <c:pt idx="0">
                  <c:v>TODA:</c:v>
                </c:pt>
              </c:strCache>
            </c:strRef>
          </c:tx>
          <c:spPr>
            <a:solidFill>
              <a:srgbClr val="999999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'Take-off'!$C$57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9-4A42-BE61-F176542A5416}"/>
            </c:ext>
          </c:extLst>
        </c:ser>
        <c:ser>
          <c:idx val="3"/>
          <c:order val="3"/>
          <c:tx>
            <c:strRef>
              <c:f>'Take-off'!$B$58</c:f>
              <c:strCache>
                <c:ptCount val="1"/>
                <c:pt idx="0">
                  <c:v>Ground Roll [m]</c:v>
                </c:pt>
              </c:strCache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'Take-off'!$C$58</c:f>
              <c:numCache>
                <c:formatCode>0</c:formatCode>
                <c:ptCount val="1"/>
                <c:pt idx="0">
                  <c:v>487.19512195121956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29-4A42-BE61-F176542A5416}"/>
            </c:ext>
          </c:extLst>
        </c:ser>
        <c:ser>
          <c:idx val="4"/>
          <c:order val="4"/>
          <c:tx>
            <c:strRef>
              <c:f>'Take-off'!$B$59</c:f>
              <c:strCache>
                <c:ptCount val="1"/>
                <c:pt idx="0">
                  <c:v>Take off distance [m]</c:v>
                </c:pt>
              </c:strCache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'Take-off'!$C$59</c:f>
              <c:numCache>
                <c:formatCode>0</c:formatCode>
                <c:ptCount val="1"/>
                <c:pt idx="0">
                  <c:v>963.41463414634154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29-4A42-BE61-F176542A5416}"/>
            </c:ext>
          </c:extLst>
        </c:ser>
        <c:ser>
          <c:idx val="5"/>
          <c:order val="5"/>
          <c:tx>
            <c:strRef>
              <c:f>'Take-off'!$B$60</c:f>
              <c:strCache>
                <c:ptCount val="1"/>
                <c:pt idx="0">
                  <c:v>Accelerade &amp; STOP [m]</c:v>
                </c:pt>
              </c:strCache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'Take-off'!$C$60</c:f>
              <c:numCache>
                <c:formatCode>0</c:formatCode>
                <c:ptCount val="1"/>
                <c:pt idx="0">
                  <c:v>926.82926829268297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29-4A42-BE61-F176542A5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6860980"/>
        <c:axId val="592389054"/>
      </c:barChart>
      <c:catAx>
        <c:axId val="182686098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2389054"/>
        <c:crosses val="autoZero"/>
        <c:auto val="1"/>
        <c:lblAlgn val="ctr"/>
        <c:lblOffset val="100"/>
        <c:noMultiLvlLbl val="1"/>
      </c:catAx>
      <c:valAx>
        <c:axId val="5923890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Flaps UP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6860980"/>
        <c:crosses val="max"/>
        <c:crossBetween val="between"/>
      </c:valAx>
    </c:plotArea>
    <c:legend>
      <c:legendPos val="tr"/>
      <c:overlay val="1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2300</c:v>
                </c:pt>
                <c:pt idx="1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A-431C-8642-39D7CCD2B969}"/>
            </c:ext>
          </c:extLst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1926.5384756097562</c:v>
                </c:pt>
                <c:pt idx="1">
                  <c:v>1133.2579268292684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A-431C-8642-39D7CCD2B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872040"/>
        <c:axId val="1220987704"/>
      </c:barChart>
      <c:catAx>
        <c:axId val="8058720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0987704"/>
        <c:crosses val="autoZero"/>
        <c:auto val="1"/>
        <c:lblAlgn val="ctr"/>
        <c:lblOffset val="100"/>
        <c:noMultiLvlLbl val="1"/>
      </c:catAx>
      <c:valAx>
        <c:axId val="12209877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5872040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209550</xdr:colOff>
      <xdr:row>46</xdr:row>
      <xdr:rowOff>76200</xdr:rowOff>
    </xdr:from>
    <xdr:ext cx="5715000" cy="3533775"/>
    <xdr:graphicFrame macro="">
      <xdr:nvGraphicFramePr>
        <xdr:cNvPr id="2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266700</xdr:colOff>
      <xdr:row>31</xdr:row>
      <xdr:rowOff>104775</xdr:rowOff>
    </xdr:from>
    <xdr:ext cx="5153025" cy="2667000"/>
    <xdr:graphicFrame macro="">
      <xdr:nvGraphicFramePr>
        <xdr:cNvPr id="2" name="Chart 2" title="Diagra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ns-ops" id="{BC107197-E4A2-4D78-A12F-12AE4EB72F2D}" userId="" providerId="google-sheets"/>
  <person displayName="Erik Jonasson" id="{4650A6DE-A670-426F-BF1A-97AD2C13CD85}" userId="" providerId="google-sheets"/>
  <person displayName="markus.uppenberg@jonair.se" id="{D06A7672-6E3D-4428-A40C-A6D15A12D151}" userId="markus.uppenberg@jonair.se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3" dT="2026-09-09T09:57:58.00" personId="{4650A6DE-A670-426F-BF1A-97AD2C13CD85}" id="{DBFE3512-74E1-44AE-9D49-AC8C6AA65C95}" done="1">
    <text>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ext>
    <mentions>
      <mention mentionpersonId="{D06A7672-6E3D-4428-A40C-A6D15A12D151}" mentionId="{A05733FD-5863-4EA4-9AC3-680C825143DA}" startIndex="0" length="27"/>
    </mentions>
  </threadedComment>
  <threadedComment ref="B19" dT="2026-09-08T18:06:20.00" personId="{00000000-0000-0000-0000-000000000000}" id="{1E351F40-92C6-47ED-AB42-4B56F98145A6}" done="1">
    <text>Includes 10m for aircraft alignment</text>
  </threadedComment>
  <threadedComment ref="B21" dT="2026-09-08T18:06:20.00" personId="{00000000-0000-0000-0000-000000000000}" id="{BEDB02F0-B54E-4C0E-B1EF-9FC1F6E4D396}" done="1">
    <text>Includes 10m for aircraft alignment</text>
  </threadedComment>
  <threadedComment ref="I40" dT="2026-09-08T18:06:20.00" personId="{BC107197-E4A2-4D78-A12F-12AE4EB72F2D}" id="{8BD70D89-D93B-4AF7-8C07-B787AC1C8294}">
    <text>Hinderfritt 2,5%
Plus 0,8% marginal
Annars står det på SID eller på annan plats</text>
  </threadedComment>
  <threadedComment ref="B42" dT="2026-09-08T18:06:20.00" personId="{00000000-0000-0000-0000-000000000000}" id="{2FAB5A5E-B843-4ED5-942D-1DB510423E0E}">
    <text>Climb Gradient (%) wind corrected = Climb Gradient (%) x (Airspeed/ GS)
50% headwind
150% tailwind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9-08T18:06:20.00" personId="{00000000-0000-0000-0000-000000000000}" id="{EFAC0845-592D-4113-B9AC-C129A309F311}">
    <text>RWCC eller "70%" (OM-A 8.1.5.6 Commencement and continuation of an approach)</text>
  </threadedComment>
  <threadedComment ref="B31" dT="2026-09-08T18:06:20.00" personId="{00000000-0000-0000-0000-000000000000}" id="{A93E9C67-4BDA-47AB-B37B-389AA85C152C}">
    <text>Climb Gradient (%) wind corrected = Climb Gradient (%) x (Airspeed/ GS)
50% headwind
150% tailwind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0" dT="2026-09-08T18:06:20.00" personId="{00000000-0000-0000-0000-000000000000}" id="{F71A44D2-93CC-405D-95EC-DF9F3E162A39}">
    <text>Till 35 fot</text>
  </threadedComment>
  <threadedComment ref="A31" dT="2026-09-08T18:06:20.00" personId="{00000000-0000-0000-0000-000000000000}" id="{C1DFBF76-7A3E-408A-9F9D-3AFF83575622}">
    <text>Till 15 fot enligt reglerna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30" dT="2026-09-08T18:06:20.00" personId="{00000000-0000-0000-0000-000000000000}" id="{917E309F-6A41-497A-86B0-A27F2143DC6C}">
    <text>Till 35 fot</text>
  </threadedComment>
  <threadedComment ref="A31" dT="2026-09-08T18:06:20.00" personId="{00000000-0000-0000-0000-000000000000}" id="{2A2BBFF1-76AA-4FBE-BA85-36A2F297CE86}">
    <text>Till 15 fot enligt reglerna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006"/>
  <sheetViews>
    <sheetView showGridLines="0" tabSelected="1" workbookViewId="0">
      <selection activeCell="L4" sqref="L4"/>
    </sheetView>
  </sheetViews>
  <sheetFormatPr defaultColWidth="14.42578125" defaultRowHeight="15" customHeight="1" outlineLevelRow="1"/>
  <cols>
    <col min="1" max="1" width="4" customWidth="1"/>
    <col min="2" max="2" width="28.28515625" customWidth="1"/>
    <col min="3" max="3" width="19.28515625" customWidth="1"/>
    <col min="4" max="4" width="9.140625" customWidth="1"/>
    <col min="5" max="5" width="6.5703125" customWidth="1"/>
    <col min="6" max="6" width="15" customWidth="1"/>
    <col min="7" max="7" width="9" customWidth="1"/>
    <col min="8" max="8" width="5.42578125" customWidth="1"/>
    <col min="9" max="9" width="6.140625" customWidth="1"/>
    <col min="10" max="13" width="12.140625" customWidth="1"/>
    <col min="16" max="16" width="50.28515625" customWidth="1"/>
  </cols>
  <sheetData>
    <row r="1" spans="1:12" ht="15" customHeight="1">
      <c r="B1" s="259" t="s">
        <v>0</v>
      </c>
      <c r="C1" s="260"/>
      <c r="D1" s="260"/>
      <c r="E1" s="260"/>
      <c r="F1" s="260"/>
      <c r="G1" s="260"/>
    </row>
    <row r="2" spans="1:12">
      <c r="A2" s="55"/>
      <c r="B2" s="57" t="s">
        <v>1</v>
      </c>
      <c r="C2" s="58"/>
      <c r="D2" s="58"/>
      <c r="E2" s="58"/>
      <c r="F2" s="59" t="s">
        <v>0</v>
      </c>
      <c r="G2" s="61" t="s">
        <v>2</v>
      </c>
      <c r="H2" s="12"/>
    </row>
    <row r="3" spans="1:12" ht="14.25" customHeight="1">
      <c r="A3" s="55"/>
      <c r="B3" s="261" t="s">
        <v>3</v>
      </c>
      <c r="C3" s="262"/>
      <c r="D3" s="262"/>
      <c r="E3" s="262"/>
      <c r="F3" s="64"/>
      <c r="G3" s="62">
        <v>46266</v>
      </c>
      <c r="H3" s="12"/>
    </row>
    <row r="4" spans="1:12" ht="52.5" customHeight="1">
      <c r="A4" s="55"/>
      <c r="B4" s="263" t="s">
        <v>4</v>
      </c>
      <c r="C4" s="264" t="s">
        <v>5</v>
      </c>
      <c r="D4" s="265"/>
      <c r="E4" s="265"/>
      <c r="F4" s="265"/>
      <c r="G4" s="65"/>
      <c r="I4" s="12"/>
    </row>
    <row r="5" spans="1:12" ht="30" customHeight="1">
      <c r="A5" s="55"/>
      <c r="B5" s="266"/>
      <c r="C5" s="227" t="s">
        <v>6</v>
      </c>
      <c r="D5" s="267"/>
      <c r="E5" s="267"/>
      <c r="F5" s="267"/>
      <c r="G5" s="268"/>
      <c r="I5" s="12"/>
    </row>
    <row r="6" spans="1:12" ht="14.25" customHeight="1">
      <c r="A6" s="55"/>
      <c r="B6" s="266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0</v>
      </c>
      <c r="D6" s="67" t="s">
        <v>8</v>
      </c>
      <c r="E6" s="68"/>
      <c r="F6" s="228" t="str">
        <f>IF(C24&lt;0, "Tailwind", "")</f>
        <v/>
      </c>
      <c r="G6" s="269"/>
      <c r="I6" s="12"/>
    </row>
    <row r="7" spans="1:12" ht="14.25" customHeight="1">
      <c r="A7" s="55"/>
      <c r="B7" s="266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262"/>
      <c r="G7" s="269"/>
    </row>
    <row r="8" spans="1:12" ht="14.25" customHeight="1">
      <c r="A8" s="55"/>
      <c r="B8" s="266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29"/>
      <c r="G8" s="270"/>
      <c r="I8" s="12"/>
    </row>
    <row r="9" spans="1:12" ht="14.25" customHeight="1">
      <c r="A9" s="55"/>
      <c r="B9" s="266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262"/>
      <c r="G9" s="269"/>
    </row>
    <row r="10" spans="1:12" ht="22.5" customHeight="1">
      <c r="A10" s="55"/>
      <c r="B10" s="266" t="s">
        <v>15</v>
      </c>
      <c r="C10" s="80">
        <v>6</v>
      </c>
      <c r="D10" s="83"/>
      <c r="E10" s="233" t="s">
        <v>16</v>
      </c>
      <c r="F10" s="234"/>
      <c r="G10" s="271"/>
      <c r="J10" s="8"/>
    </row>
    <row r="11" spans="1:12" ht="22.5" customHeight="1">
      <c r="A11" s="55"/>
      <c r="B11" s="266" t="s">
        <v>17</v>
      </c>
      <c r="C11" s="80" t="s">
        <v>18</v>
      </c>
      <c r="D11" s="12"/>
      <c r="E11" s="262"/>
      <c r="F11" s="262"/>
      <c r="G11" s="269"/>
    </row>
    <row r="12" spans="1:12" ht="22.5" customHeight="1">
      <c r="A12" s="55"/>
      <c r="B12" s="266" t="s">
        <v>19</v>
      </c>
      <c r="C12" s="80">
        <v>0</v>
      </c>
      <c r="D12" s="83" t="s">
        <v>20</v>
      </c>
      <c r="E12" s="73" t="s">
        <v>21</v>
      </c>
      <c r="F12" s="88" t="str">
        <f>VLOOKUP(C11,'Dropdown lists'!B34:F40,5,FALSE)</f>
        <v>N/A</v>
      </c>
      <c r="G12" s="272"/>
    </row>
    <row r="13" spans="1:12" ht="22.5" customHeight="1">
      <c r="A13" s="55"/>
      <c r="B13" s="266" t="s">
        <v>22</v>
      </c>
      <c r="C13" s="80" t="s">
        <v>23</v>
      </c>
      <c r="D13" s="83"/>
      <c r="E13" s="12"/>
      <c r="F13" s="79"/>
      <c r="G13" s="272"/>
      <c r="I13" s="273"/>
      <c r="J13" s="274"/>
      <c r="K13" s="274"/>
      <c r="L13" s="274"/>
    </row>
    <row r="14" spans="1:12" ht="22.5" customHeight="1">
      <c r="A14" s="55"/>
      <c r="B14" s="266" t="s">
        <v>24</v>
      </c>
      <c r="C14" s="80">
        <v>12500</v>
      </c>
      <c r="D14" s="83" t="s">
        <v>25</v>
      </c>
      <c r="E14" s="12"/>
      <c r="F14" s="12"/>
      <c r="G14" s="272"/>
      <c r="I14" s="274"/>
      <c r="J14" s="274"/>
      <c r="K14" s="274"/>
      <c r="L14" s="274"/>
    </row>
    <row r="15" spans="1:12" ht="14.25" customHeight="1">
      <c r="A15" s="55"/>
      <c r="B15" s="90" t="s">
        <v>26</v>
      </c>
      <c r="C15" s="275"/>
      <c r="D15" s="274"/>
      <c r="E15" s="274"/>
      <c r="F15" s="274"/>
      <c r="G15" s="269"/>
      <c r="I15" s="276"/>
    </row>
    <row r="16" spans="1:12" ht="14.25" customHeight="1" outlineLevel="1">
      <c r="A16" s="55"/>
      <c r="B16" s="266" t="s">
        <v>27</v>
      </c>
      <c r="C16" s="99">
        <f t="array" ref="C16">INDEX('Airport data'!$A$5:$L1006,MATCH($C$4,'Airport data'!$A$5:$A1006,0),2)</f>
        <v>541</v>
      </c>
      <c r="D16" s="83" t="s">
        <v>28</v>
      </c>
      <c r="F16" s="12"/>
      <c r="G16" s="272"/>
      <c r="H16" s="83"/>
    </row>
    <row r="17" spans="1:13" ht="14.25" customHeight="1" outlineLevel="1">
      <c r="A17" s="55"/>
      <c r="B17" s="266" t="s">
        <v>29</v>
      </c>
      <c r="C17" s="101">
        <f t="array" ref="C17">INDEX('Airport data'!$A$5:$L1006,MATCH($C$4,'Airport data'!$A$5:$A1006,0),7)</f>
        <v>0</v>
      </c>
      <c r="D17" s="83" t="s">
        <v>30</v>
      </c>
      <c r="E17" s="235" t="s">
        <v>31</v>
      </c>
      <c r="F17" s="262"/>
      <c r="G17" s="269"/>
      <c r="H17" s="12"/>
    </row>
    <row r="18" spans="1:13" outlineLevel="1">
      <c r="A18" s="55"/>
      <c r="B18" s="266" t="s">
        <v>32</v>
      </c>
      <c r="C18" s="99">
        <f t="array" ref="C18">INDEX('Airport data'!$A$5:$L1006,MATCH($C$4,'Airport data'!$A$5:$A1006,0),8)</f>
        <v>285</v>
      </c>
      <c r="D18" s="83" t="s">
        <v>8</v>
      </c>
      <c r="F18" s="12"/>
      <c r="G18" s="272"/>
      <c r="H18" s="12"/>
    </row>
    <row r="19" spans="1:13" outlineLevel="1">
      <c r="A19" s="55"/>
      <c r="B19" s="266" t="s">
        <v>33</v>
      </c>
      <c r="C19" s="99">
        <f t="array" ref="C19">INDEX('Airport data'!$A$5:$L1006,MATCH($C$4,'Airport data'!$A$5:$A1006,0),5)-10</f>
        <v>2290</v>
      </c>
      <c r="D19" s="83" t="s">
        <v>34</v>
      </c>
      <c r="E19" s="236" t="s">
        <v>35</v>
      </c>
      <c r="F19" s="262"/>
      <c r="G19" s="277">
        <f t="array" ref="G19">INDEX('Airport data'!$A$5:$L1006,MATCH($C$4,'Airport data'!$A$5:$A1006,0),9)</f>
        <v>3.3</v>
      </c>
      <c r="H19" s="72"/>
    </row>
    <row r="20" spans="1:13" outlineLevel="1">
      <c r="A20" s="55"/>
      <c r="B20" s="266" t="s">
        <v>36</v>
      </c>
      <c r="C20" s="99">
        <f t="array" ref="C20">INDEX('Airport data'!$A$5:$L1006,MATCH($C$4,'Airport data'!$A$5:$A1006,0),3)-10</f>
        <v>2290</v>
      </c>
      <c r="D20" s="83" t="s">
        <v>34</v>
      </c>
      <c r="G20" s="272"/>
      <c r="H20" s="12"/>
      <c r="J20" s="8"/>
    </row>
    <row r="21" spans="1:13" outlineLevel="1">
      <c r="A21" s="55"/>
      <c r="B21" s="266" t="s">
        <v>37</v>
      </c>
      <c r="C21" s="99">
        <f t="array" ref="C21">INDEX('Airport data'!$A$5:$L1006,MATCH($C$4,'Airport data'!$A$5:$A1006,0),4)-10</f>
        <v>2290</v>
      </c>
      <c r="D21" s="83" t="s">
        <v>34</v>
      </c>
      <c r="E21" s="8" t="s">
        <v>38</v>
      </c>
      <c r="F21" s="106">
        <f>C35*1.15</f>
        <v>560.27439024390242</v>
      </c>
      <c r="G21" s="272"/>
      <c r="H21" s="12"/>
      <c r="J21" s="8"/>
    </row>
    <row r="22" spans="1:13" outlineLevel="1">
      <c r="A22" s="55"/>
      <c r="B22" s="266" t="s">
        <v>39</v>
      </c>
      <c r="C22" s="99">
        <f t="array" ref="C22">INDEX('Airport data'!$A$5:$L1006,MATCH($C$4,'Airport data'!$A$5:$A1006,0),6)</f>
        <v>2300</v>
      </c>
      <c r="D22" s="83" t="s">
        <v>34</v>
      </c>
      <c r="E22" s="72"/>
      <c r="F22" s="72"/>
      <c r="G22" s="278"/>
      <c r="J22" s="8"/>
    </row>
    <row r="23" spans="1:13" ht="15.75" customHeight="1">
      <c r="A23" s="55"/>
      <c r="B23" s="102" t="s">
        <v>40</v>
      </c>
      <c r="C23" s="275"/>
      <c r="D23" s="274"/>
      <c r="E23" s="274"/>
      <c r="F23" s="274"/>
      <c r="G23" s="269"/>
      <c r="H23" s="12"/>
      <c r="J23" s="8"/>
    </row>
    <row r="24" spans="1:13" ht="15.75" customHeight="1">
      <c r="A24" s="55"/>
      <c r="B24" s="266" t="s">
        <v>41</v>
      </c>
      <c r="C24" s="110">
        <f>'LTL_TAKE OFF Performance FLAPS '!D34</f>
        <v>0</v>
      </c>
      <c r="D24" s="83" t="s">
        <v>42</v>
      </c>
      <c r="E24" s="95"/>
      <c r="F24" s="12"/>
      <c r="G24" s="272"/>
    </row>
    <row r="25" spans="1:13" ht="15.75" customHeight="1">
      <c r="A25" s="55"/>
      <c r="B25" s="266" t="s">
        <v>43</v>
      </c>
      <c r="C25" s="110">
        <f>ABS('LTL_TAKE OFF Performance FLAPS '!C39*C7)</f>
        <v>0</v>
      </c>
      <c r="D25" s="83" t="s">
        <v>42</v>
      </c>
      <c r="E25" s="73" t="s">
        <v>44</v>
      </c>
      <c r="F25" s="88">
        <f t="array" ref="F25">IF(ISBLANK(#REF!), 25,  INDEX('Dropdown lists'!$B$4:$D$10,MATCH(C10,'Dropdown lists'!$B$4:$B$10,0),3))</f>
        <v>25</v>
      </c>
      <c r="G25" s="272"/>
      <c r="H25" s="12"/>
    </row>
    <row r="26" spans="1:13" ht="15.75" customHeight="1">
      <c r="A26" s="55"/>
      <c r="B26" s="279" t="s">
        <v>45</v>
      </c>
      <c r="C26" s="280" t="s">
        <v>46</v>
      </c>
      <c r="D26" s="280" t="s">
        <v>47</v>
      </c>
      <c r="E26" s="281" t="s">
        <v>48</v>
      </c>
      <c r="F26" s="281"/>
      <c r="G26" s="282" t="s">
        <v>49</v>
      </c>
    </row>
    <row r="27" spans="1:13" ht="15.75" customHeight="1">
      <c r="A27" s="55"/>
      <c r="B27" s="230" t="s">
        <v>50</v>
      </c>
      <c r="C27" s="265"/>
      <c r="D27" s="265"/>
      <c r="E27" s="265"/>
      <c r="F27" s="265"/>
      <c r="G27" s="283"/>
    </row>
    <row r="28" spans="1:13" ht="14.25" hidden="1" customHeight="1" outlineLevel="1">
      <c r="A28" s="55"/>
      <c r="B28" s="135" t="s">
        <v>51</v>
      </c>
      <c r="C28" s="142">
        <f>'LTL_TAKE OFF Performance FLAPS '!G28</f>
        <v>487.19512195121956</v>
      </c>
      <c r="F28" s="12"/>
      <c r="G28" s="272"/>
      <c r="H28" s="12"/>
      <c r="I28" s="8"/>
      <c r="J28" s="8"/>
      <c r="K28" s="8"/>
      <c r="L28" s="8"/>
      <c r="M28" s="8"/>
    </row>
    <row r="29" spans="1:13" ht="14.25" hidden="1" customHeight="1" outlineLevel="1">
      <c r="A29" s="55"/>
      <c r="B29" s="143" t="s">
        <v>52</v>
      </c>
      <c r="C29" s="144">
        <f>MAX('LTL_TAKE OFF Performance FLAPS '!G29:G30)</f>
        <v>963.41463414634154</v>
      </c>
      <c r="F29" s="12"/>
      <c r="G29" s="272"/>
      <c r="H29" s="12"/>
      <c r="I29" s="8"/>
      <c r="J29" s="8"/>
      <c r="K29" s="8"/>
      <c r="L29" s="8"/>
      <c r="M29" s="8"/>
    </row>
    <row r="30" spans="1:13" ht="15.75" hidden="1" customHeight="1" outlineLevel="1">
      <c r="A30" s="55"/>
      <c r="B30" s="143" t="s">
        <v>53</v>
      </c>
      <c r="C30" s="144">
        <f>MAX('LTL_TAKE OFF Performance FLAPS '!G32)</f>
        <v>926.82926829268297</v>
      </c>
      <c r="F30" s="12"/>
      <c r="G30" s="272"/>
      <c r="H30" s="12"/>
      <c r="I30" s="8"/>
      <c r="J30" s="8"/>
      <c r="K30" s="8"/>
      <c r="L30" s="8"/>
      <c r="M30" s="8"/>
    </row>
    <row r="31" spans="1:13" ht="15.75" hidden="1" customHeight="1" outlineLevel="1">
      <c r="A31" s="55"/>
      <c r="B31" s="123" t="s">
        <v>54</v>
      </c>
      <c r="C31" s="146">
        <f>'LTL_TAKE OFF Performance FLAPS '!E$22</f>
        <v>94</v>
      </c>
      <c r="F31" s="12"/>
      <c r="G31" s="272"/>
      <c r="H31" s="12"/>
      <c r="I31" s="8"/>
      <c r="J31" s="8"/>
      <c r="K31" s="8"/>
      <c r="L31" s="8"/>
      <c r="M31" s="8"/>
    </row>
    <row r="32" spans="1:13" ht="15.75" hidden="1" customHeight="1" outlineLevel="1">
      <c r="A32" s="55"/>
      <c r="B32" s="123" t="s">
        <v>55</v>
      </c>
      <c r="C32" s="146">
        <f>'LTL_TAKE OFF Performance FLAPS '!E$22</f>
        <v>94</v>
      </c>
      <c r="F32" s="12"/>
      <c r="G32" s="272"/>
      <c r="H32" s="12"/>
      <c r="I32" s="8"/>
      <c r="J32" s="8"/>
      <c r="K32" s="8"/>
      <c r="L32" s="8"/>
      <c r="M32" s="8"/>
    </row>
    <row r="33" spans="1:9" ht="15.75" hidden="1" customHeight="1" outlineLevel="1">
      <c r="A33" s="148"/>
      <c r="B33" s="149" t="s">
        <v>56</v>
      </c>
      <c r="C33" s="142">
        <f>'LTL_TAKE OFF Performance FLAPS '!I22</f>
        <v>103</v>
      </c>
      <c r="F33" s="12"/>
      <c r="G33" s="272"/>
      <c r="H33" s="12"/>
    </row>
    <row r="34" spans="1:9" ht="15.75" customHeight="1" collapsed="1">
      <c r="A34" s="55"/>
      <c r="B34" s="230" t="s">
        <v>57</v>
      </c>
      <c r="C34" s="265"/>
      <c r="D34" s="265"/>
      <c r="E34" s="265"/>
      <c r="F34" s="265"/>
      <c r="G34" s="283"/>
      <c r="H34" s="12"/>
      <c r="I34" s="12"/>
    </row>
    <row r="35" spans="1:9" ht="15.75" customHeight="1">
      <c r="A35" s="55"/>
      <c r="B35" s="135" t="s">
        <v>51</v>
      </c>
      <c r="C35" s="142">
        <f>'LTL_TAKE OFF Performance FLAPS '!Q28</f>
        <v>487.19512195121956</v>
      </c>
      <c r="F35" s="12"/>
      <c r="G35" s="272"/>
      <c r="H35" s="12"/>
      <c r="I35" s="151"/>
    </row>
    <row r="36" spans="1:9" ht="15.75" customHeight="1">
      <c r="A36" s="55"/>
      <c r="B36" s="143" t="s">
        <v>52</v>
      </c>
      <c r="C36" s="144">
        <f>MAX('LTL_TAKE OFF Performance FLAPS '!Q29:Q31)</f>
        <v>963.41463414634154</v>
      </c>
      <c r="F36" s="12"/>
      <c r="G36" s="272"/>
      <c r="H36" s="12"/>
      <c r="I36" s="12"/>
    </row>
    <row r="37" spans="1:9" ht="15.75" customHeight="1">
      <c r="A37" s="55"/>
      <c r="B37" s="143" t="s">
        <v>53</v>
      </c>
      <c r="C37" s="144">
        <f>MAX('LTL_TAKE OFF Performance FLAPS '!Q32)</f>
        <v>926.82926829268297</v>
      </c>
      <c r="F37" s="12"/>
      <c r="G37" s="272"/>
      <c r="H37" s="12"/>
      <c r="I37" s="73"/>
    </row>
    <row r="38" spans="1:9" ht="15.75" customHeight="1">
      <c r="A38" s="55"/>
      <c r="B38" s="143" t="s">
        <v>54</v>
      </c>
      <c r="C38" s="146">
        <f>'LTL_TAKE OFF Performance FLAPS '!E$22</f>
        <v>94</v>
      </c>
      <c r="F38" s="12"/>
      <c r="G38" s="272"/>
      <c r="H38" s="12"/>
    </row>
    <row r="39" spans="1:9" ht="15.75" customHeight="1">
      <c r="A39" s="55"/>
      <c r="B39" s="123" t="s">
        <v>55</v>
      </c>
      <c r="C39" s="146">
        <f>'LTL_TAKE OFF Performance FLAPS '!E$22</f>
        <v>94</v>
      </c>
      <c r="F39" s="12"/>
      <c r="G39" s="272"/>
      <c r="H39" s="12"/>
    </row>
    <row r="40" spans="1:9" ht="15.75" customHeight="1">
      <c r="A40" s="55"/>
      <c r="B40" s="149" t="s">
        <v>56</v>
      </c>
      <c r="C40" s="144">
        <f>'LTL_TAKE OFF Performance FLAPS '!I$22</f>
        <v>103</v>
      </c>
      <c r="F40" s="12"/>
      <c r="G40" s="272"/>
      <c r="H40" s="12"/>
      <c r="I40" s="88" t="s">
        <v>58</v>
      </c>
    </row>
    <row r="41" spans="1:9" ht="15.75" customHeight="1">
      <c r="A41" s="55"/>
      <c r="B41" s="230" t="s">
        <v>59</v>
      </c>
      <c r="C41" s="265"/>
      <c r="D41" s="265"/>
      <c r="E41" s="265"/>
      <c r="F41" s="265"/>
      <c r="G41" s="283"/>
      <c r="H41" s="12"/>
      <c r="I41" s="12"/>
    </row>
    <row r="42" spans="1:9" ht="15.75" customHeight="1">
      <c r="A42" s="55"/>
      <c r="B42" s="152" t="s">
        <v>60</v>
      </c>
      <c r="C42" s="153">
        <f>IF(  C24&gt;0, 'LTL_NET GRADIENT OF CLIMB'!C55*(125/(125-50%*ABS(C24))),  'LTL_NET GRADIENT OF CLIMB'!C55*(125/(125+150%*ABS(C24)))  )</f>
        <v>5.5398499999999995</v>
      </c>
      <c r="F42" s="12"/>
      <c r="G42" s="272"/>
      <c r="H42" s="12"/>
      <c r="I42" s="99"/>
    </row>
    <row r="43" spans="1:9" ht="15.75" customHeight="1">
      <c r="A43" s="55"/>
      <c r="B43" s="284" t="s">
        <v>61</v>
      </c>
      <c r="C43" s="231" t="str">
        <f>IF(C42&gt;G19,"", "Check jeppessen climb requriment")</f>
        <v/>
      </c>
      <c r="D43" s="285"/>
      <c r="E43" s="286"/>
      <c r="F43" s="12"/>
      <c r="G43" s="272"/>
      <c r="H43" s="12"/>
      <c r="I43" s="99"/>
    </row>
    <row r="44" spans="1:9" ht="15.75" customHeight="1">
      <c r="A44" s="55"/>
      <c r="B44" s="230" t="s">
        <v>62</v>
      </c>
      <c r="C44" s="265"/>
      <c r="D44" s="265"/>
      <c r="E44" s="265"/>
      <c r="F44" s="265"/>
      <c r="G44" s="283"/>
      <c r="H44" s="12"/>
      <c r="I44" s="99"/>
    </row>
    <row r="45" spans="1:9" ht="15.75" customHeight="1">
      <c r="A45" s="55"/>
      <c r="B45" s="152" t="s">
        <v>63</v>
      </c>
      <c r="C45" s="157">
        <f>'LTL_LDG Performance'!K21</f>
        <v>121</v>
      </c>
      <c r="D45" s="95"/>
      <c r="F45" s="92"/>
      <c r="G45" s="158">
        <f>'LTL_LDG Performance'!I21</f>
        <v>97</v>
      </c>
      <c r="H45" s="12"/>
      <c r="I45" s="99"/>
    </row>
    <row r="46" spans="1:9" ht="15.75" customHeight="1">
      <c r="A46" s="55"/>
      <c r="B46" s="159" t="s">
        <v>64</v>
      </c>
      <c r="C46" s="160">
        <f>('LTL_LDG Performance'!D88/3.28)*'LTL_LDG Performance'!C55</f>
        <v>1937.9637195121952</v>
      </c>
      <c r="D46" s="161"/>
      <c r="E46" s="162"/>
      <c r="F46" s="163"/>
      <c r="G46" s="164">
        <f>'LTL_LDG Performance'!C54</f>
        <v>1139.9786585365853</v>
      </c>
      <c r="H46" s="12"/>
      <c r="I46" s="99"/>
    </row>
    <row r="47" spans="1:9" ht="15.75" customHeight="1">
      <c r="H47" s="12"/>
      <c r="I47" s="99"/>
    </row>
    <row r="48" spans="1:9" ht="15.75" customHeight="1">
      <c r="B48" s="73"/>
      <c r="F48" s="92"/>
      <c r="G48" s="92"/>
      <c r="H48" s="12"/>
      <c r="I48" s="99"/>
    </row>
    <row r="49" spans="2:9" ht="15.75" customHeight="1">
      <c r="B49" s="73"/>
      <c r="F49" s="92"/>
      <c r="G49" s="92"/>
      <c r="H49" s="12"/>
      <c r="I49" s="99"/>
    </row>
    <row r="50" spans="2:9" ht="15.75" customHeight="1">
      <c r="B50" s="73"/>
      <c r="F50" s="92"/>
      <c r="G50" s="92"/>
      <c r="H50" s="12"/>
      <c r="I50" s="99"/>
    </row>
    <row r="51" spans="2:9" ht="15.75" customHeight="1">
      <c r="B51" s="73"/>
      <c r="F51" s="92"/>
      <c r="G51" s="92"/>
    </row>
    <row r="52" spans="2:9" ht="15.75" customHeight="1">
      <c r="B52" s="73"/>
      <c r="F52" s="92"/>
      <c r="G52" s="92"/>
    </row>
    <row r="53" spans="2:9" ht="15.75" customHeight="1">
      <c r="B53" s="73"/>
      <c r="F53" s="92"/>
      <c r="G53" s="92"/>
    </row>
    <row r="54" spans="2:9" ht="15.75" customHeight="1">
      <c r="C54" s="12" t="s">
        <v>65</v>
      </c>
      <c r="D54" s="92"/>
    </row>
    <row r="55" spans="2:9" ht="15" customHeight="1">
      <c r="B55" s="99" t="str">
        <f>'Take-off'!$B19</f>
        <v>ASDA:</v>
      </c>
      <c r="C55" s="99">
        <f>'Take-off'!$C19</f>
        <v>2290</v>
      </c>
    </row>
    <row r="56" spans="2:9" ht="15" customHeight="1">
      <c r="B56" s="99" t="str">
        <f>'Take-off'!$B20</f>
        <v>TORA:</v>
      </c>
      <c r="C56" s="99">
        <f>'Take-off'!$C20</f>
        <v>2290</v>
      </c>
    </row>
    <row r="57" spans="2:9" ht="15" customHeight="1">
      <c r="B57" s="99" t="str">
        <f>'Take-off'!$B21</f>
        <v>TODA:</v>
      </c>
      <c r="C57" s="99">
        <f>'Take-off'!$C21</f>
        <v>2290</v>
      </c>
    </row>
    <row r="58" spans="2:9" ht="15" customHeight="1">
      <c r="B58" s="12" t="str">
        <f t="shared" ref="B58:C58" si="0">B35</f>
        <v>Ground Roll [m]</v>
      </c>
      <c r="C58" s="99">
        <f t="shared" si="0"/>
        <v>487.19512195121956</v>
      </c>
    </row>
    <row r="59" spans="2:9" ht="15" customHeight="1">
      <c r="B59" s="12" t="str">
        <f t="shared" ref="B59:C59" si="1">B36</f>
        <v>Take off distance [m]</v>
      </c>
      <c r="C59" s="99">
        <f t="shared" si="1"/>
        <v>963.41463414634154</v>
      </c>
    </row>
    <row r="60" spans="2:9" ht="15.75" customHeight="1">
      <c r="B60" s="12" t="str">
        <f t="shared" ref="B60:C60" si="2">B37</f>
        <v>Accelerade &amp; STOP [m]</v>
      </c>
      <c r="C60" s="99">
        <f t="shared" si="2"/>
        <v>926.82926829268297</v>
      </c>
    </row>
    <row r="61" spans="2:9" ht="15.75" customHeight="1"/>
    <row r="62" spans="2:9" ht="15.75" customHeight="1"/>
    <row r="63" spans="2:9" ht="15.75" customHeight="1"/>
    <row r="64" spans="2:9" ht="15.75" customHeight="1"/>
    <row r="65" spans="2:7" ht="15.75" customHeight="1"/>
    <row r="66" spans="2:7" ht="15.75" customHeight="1"/>
    <row r="67" spans="2:7" ht="15.75" customHeight="1"/>
    <row r="68" spans="2:7" ht="15.75" customHeight="1">
      <c r="B68" s="230" t="s">
        <v>66</v>
      </c>
      <c r="C68" s="265"/>
      <c r="D68" s="265"/>
      <c r="E68" s="265"/>
      <c r="F68" s="265"/>
      <c r="G68" s="283"/>
    </row>
    <row r="69" spans="2:7" ht="15.75" customHeight="1">
      <c r="B69" s="287" t="s">
        <v>67</v>
      </c>
      <c r="C69" s="99">
        <f t="array" ref="C69">INDEX('Airport data'!$B$5:$M$44,MATCH($C$4,'Airport data'!$A$5:$A$44,0),10)</f>
        <v>0</v>
      </c>
      <c r="D69" s="8" t="s">
        <v>28</v>
      </c>
      <c r="G69" s="288"/>
    </row>
    <row r="70" spans="2:7" ht="15.75" customHeight="1">
      <c r="B70" s="287" t="s">
        <v>68</v>
      </c>
      <c r="C70" s="232">
        <f t="array" ref="C70">INDEX('Airport data'!$B$5:$M$44,MATCH($C$4,'Airport data'!$A$5:$A$44,0),11)</f>
        <v>0</v>
      </c>
      <c r="D70" s="285"/>
      <c r="E70" s="285"/>
      <c r="F70" s="285"/>
      <c r="G70" s="289"/>
    </row>
    <row r="71" spans="2:7" ht="15.75" customHeight="1">
      <c r="B71" s="290"/>
      <c r="C71" s="291"/>
      <c r="D71" s="262"/>
      <c r="E71" s="262"/>
      <c r="F71" s="262"/>
      <c r="G71" s="269"/>
    </row>
    <row r="72" spans="2:7" ht="15.75" customHeight="1">
      <c r="B72" s="290"/>
      <c r="C72" s="292"/>
      <c r="D72" s="293"/>
      <c r="E72" s="293"/>
      <c r="F72" s="293"/>
      <c r="G72" s="294"/>
    </row>
    <row r="73" spans="2:7" ht="15.75" customHeight="1">
      <c r="B73" s="173"/>
      <c r="C73" s="174"/>
      <c r="D73" s="174"/>
      <c r="E73" s="174"/>
      <c r="F73" s="174"/>
      <c r="G73" s="175"/>
    </row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2">
    <mergeCell ref="I13:L14"/>
    <mergeCell ref="C15:G15"/>
    <mergeCell ref="E17:G17"/>
    <mergeCell ref="E19:F19"/>
    <mergeCell ref="B41:G41"/>
    <mergeCell ref="C43:E43"/>
    <mergeCell ref="B44:G44"/>
    <mergeCell ref="B68:G68"/>
    <mergeCell ref="C70:G72"/>
    <mergeCell ref="F8:F9"/>
    <mergeCell ref="G8:G9"/>
    <mergeCell ref="C23:G23"/>
    <mergeCell ref="B27:G27"/>
    <mergeCell ref="B34:G34"/>
    <mergeCell ref="E10:E11"/>
    <mergeCell ref="F10:F11"/>
    <mergeCell ref="G10:G11"/>
    <mergeCell ref="B1:G1"/>
    <mergeCell ref="B3:E3"/>
    <mergeCell ref="C4:F4"/>
    <mergeCell ref="C5:G5"/>
    <mergeCell ref="F6:G7"/>
  </mergeCells>
  <conditionalFormatting sqref="C42">
    <cfRule type="cellIs" dxfId="46" priority="1" operator="lessThan">
      <formula>3.3</formula>
    </cfRule>
  </conditionalFormatting>
  <conditionalFormatting sqref="C42">
    <cfRule type="cellIs" dxfId="45" priority="2" operator="greaterThanOrEqual">
      <formula>$G$19</formula>
    </cfRule>
  </conditionalFormatting>
  <conditionalFormatting sqref="C43">
    <cfRule type="notContainsBlanks" dxfId="44" priority="3">
      <formula>LEN(TRIM(C43))&gt;0</formula>
    </cfRule>
  </conditionalFormatting>
  <conditionalFormatting sqref="F6:G6">
    <cfRule type="notContainsBlanks" dxfId="43" priority="4">
      <formula>LEN(TRIM(F6))&gt;0</formula>
    </cfRule>
  </conditionalFormatting>
  <conditionalFormatting sqref="C46 F46:G46">
    <cfRule type="cellIs" dxfId="42" priority="5" operator="greaterThan">
      <formula>$C$22</formula>
    </cfRule>
  </conditionalFormatting>
  <conditionalFormatting sqref="C46 F46:G46">
    <cfRule type="cellIs" dxfId="41" priority="6" operator="lessThan">
      <formula>$C$22</formula>
    </cfRule>
  </conditionalFormatting>
  <conditionalFormatting sqref="C6:C9">
    <cfRule type="expression" dxfId="40" priority="7">
      <formula>E6&lt;&gt;""</formula>
    </cfRule>
  </conditionalFormatting>
  <conditionalFormatting sqref="E6:E9">
    <cfRule type="notContainsBlanks" dxfId="39" priority="8">
      <formula>LEN(TRIM(E6))&gt;0</formula>
    </cfRule>
  </conditionalFormatting>
  <conditionalFormatting sqref="F8:F9">
    <cfRule type="expression" dxfId="38" priority="9">
      <formula>E6&lt;&gt;""</formula>
    </cfRule>
  </conditionalFormatting>
  <conditionalFormatting sqref="F8:F9">
    <cfRule type="expression" dxfId="37" priority="10">
      <formula>E7&lt;&gt;""</formula>
    </cfRule>
  </conditionalFormatting>
  <conditionalFormatting sqref="F8:F9">
    <cfRule type="expression" dxfId="36" priority="11">
      <formula>E8&lt;&gt;""</formula>
    </cfRule>
  </conditionalFormatting>
  <conditionalFormatting sqref="F8:F9">
    <cfRule type="expression" dxfId="35" priority="12">
      <formula>E9&lt;&gt;""</formula>
    </cfRule>
  </conditionalFormatting>
  <conditionalFormatting sqref="C25">
    <cfRule type="cellIs" dxfId="34" priority="13" operator="greaterThan">
      <formula>F25</formula>
    </cfRule>
  </conditionalFormatting>
  <conditionalFormatting sqref="C24">
    <cfRule type="cellIs" dxfId="33" priority="14" operator="lessThan">
      <formula>-10</formula>
    </cfRule>
  </conditionalFormatting>
  <conditionalFormatting sqref="C5">
    <cfRule type="expression" dxfId="32" priority="15">
      <formula>AND(LEN(C5)&gt;=4, LEFT(C5, 4) &lt;&gt; LEFT(C4, 4))</formula>
    </cfRule>
  </conditionalFormatting>
  <conditionalFormatting sqref="C28">
    <cfRule type="cellIs" dxfId="31" priority="16" operator="lessThanOrEqual">
      <formula>C20</formula>
    </cfRule>
  </conditionalFormatting>
  <conditionalFormatting sqref="C28">
    <cfRule type="cellIs" dxfId="30" priority="17" operator="greaterThan">
      <formula>C20</formula>
    </cfRule>
  </conditionalFormatting>
  <conditionalFormatting sqref="C29">
    <cfRule type="cellIs" dxfId="29" priority="18" operator="lessThanOrEqual">
      <formula>C21</formula>
    </cfRule>
  </conditionalFormatting>
  <conditionalFormatting sqref="C29">
    <cfRule type="cellIs" dxfId="28" priority="19" operator="greaterThan">
      <formula>"C21"</formula>
    </cfRule>
  </conditionalFormatting>
  <conditionalFormatting sqref="C30">
    <cfRule type="cellIs" dxfId="27" priority="20" operator="lessThanOrEqual">
      <formula>C19</formula>
    </cfRule>
  </conditionalFormatting>
  <conditionalFormatting sqref="C30">
    <cfRule type="cellIs" dxfId="26" priority="21" operator="greaterThan">
      <formula>C19</formula>
    </cfRule>
  </conditionalFormatting>
  <conditionalFormatting sqref="C35 I35">
    <cfRule type="cellIs" dxfId="25" priority="22" operator="lessThanOrEqual">
      <formula>C20</formula>
    </cfRule>
  </conditionalFormatting>
  <conditionalFormatting sqref="C35 I35">
    <cfRule type="cellIs" dxfId="24" priority="23" operator="greaterThan">
      <formula>C20</formula>
    </cfRule>
  </conditionalFormatting>
  <conditionalFormatting sqref="C36">
    <cfRule type="cellIs" dxfId="23" priority="24" operator="lessThanOrEqual">
      <formula>C21</formula>
    </cfRule>
  </conditionalFormatting>
  <conditionalFormatting sqref="C36">
    <cfRule type="cellIs" dxfId="22" priority="25" operator="greaterThan">
      <formula>C21</formula>
    </cfRule>
  </conditionalFormatting>
  <conditionalFormatting sqref="C37">
    <cfRule type="cellIs" dxfId="21" priority="26" operator="lessThanOrEqual">
      <formula>C19</formula>
    </cfRule>
  </conditionalFormatting>
  <conditionalFormatting sqref="C37">
    <cfRule type="cellIs" dxfId="20" priority="27" operator="greaterThan">
      <formula>C19</formula>
    </cfRule>
  </conditionalFormatting>
  <dataValidations count="1">
    <dataValidation type="list" allowBlank="1" showErrorMessage="1" sqref="F2" xr:uid="{00000000-0002-0000-0000-000000000000}">
      <formula1>"SE-LTL,SE-KVL,SE-MJU"</formula1>
    </dataValidation>
  </dataValidations>
  <printOptions horizontalCentered="1" verticalCentered="1"/>
  <pageMargins left="0.39370078740157483" right="0.39370078740157483" top="0.59055118110236227" bottom="0.59055118110236227" header="0" footer="0"/>
  <pageSetup paperSize="9" orientation="portrait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1000000}">
          <x14:formula1>
            <xm:f>'Airport data'!$A$5:$A$44</xm:f>
          </x14:formula1>
          <xm:sqref>C4</xm:sqref>
        </x14:dataValidation>
        <x14:dataValidation type="list" allowBlank="1" showErrorMessage="1" xr:uid="{00000000-0002-0000-0000-000002000000}">
          <x14:formula1>
            <xm:f>'Dropdown lists'!$B$30:$B$31</xm:f>
          </x14:formula1>
          <xm:sqref>C13</xm:sqref>
        </x14:dataValidation>
        <x14:dataValidation type="list" allowBlank="1" showErrorMessage="1" xr:uid="{00000000-0002-0000-0000-000003000000}">
          <x14:formula1>
            <xm:f>'Dropdown lists'!$B$4:$B$9</xm:f>
          </x14:formula1>
          <xm:sqref>C10</xm:sqref>
        </x14:dataValidation>
        <x14:dataValidation type="list" allowBlank="1" showErrorMessage="1" xr:uid="{00000000-0002-0000-0000-000004000000}">
          <x14:formula1>
            <xm:f>'Dropdown lists'!$B$34:$B$40</xm:f>
          </x14:formula1>
          <xm:sqref>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K1003"/>
  <sheetViews>
    <sheetView showGridLines="0" workbookViewId="0"/>
  </sheetViews>
  <sheetFormatPr defaultColWidth="14.42578125" defaultRowHeight="15" customHeight="1"/>
  <cols>
    <col min="1" max="1" width="4.42578125" customWidth="1"/>
    <col min="2" max="2" width="27" customWidth="1"/>
    <col min="3" max="3" width="16" customWidth="1"/>
    <col min="4" max="4" width="4.42578125" customWidth="1"/>
    <col min="5" max="5" width="9" customWidth="1"/>
    <col min="6" max="6" width="15.28515625" customWidth="1"/>
    <col min="7" max="7" width="9" customWidth="1"/>
    <col min="9" max="9" width="4.85546875" customWidth="1"/>
  </cols>
  <sheetData>
    <row r="2" spans="2:9">
      <c r="B2" s="240" t="s">
        <v>69</v>
      </c>
      <c r="C2" s="295"/>
      <c r="D2" s="295"/>
      <c r="E2" s="295"/>
      <c r="F2" s="295"/>
      <c r="G2" s="61" t="s">
        <v>2</v>
      </c>
      <c r="H2" s="12"/>
    </row>
    <row r="3" spans="2:9">
      <c r="B3" s="261" t="s">
        <v>70</v>
      </c>
      <c r="C3" s="262"/>
      <c r="D3" s="262"/>
      <c r="E3" s="262"/>
      <c r="F3" s="262"/>
      <c r="G3" s="62" t="s">
        <v>71</v>
      </c>
      <c r="H3" s="12"/>
    </row>
    <row r="4" spans="2:9" ht="52.5" customHeight="1">
      <c r="B4" s="263" t="s">
        <v>4</v>
      </c>
      <c r="C4" s="296" t="s">
        <v>5</v>
      </c>
      <c r="D4" s="297"/>
      <c r="E4" s="297"/>
      <c r="F4" s="297"/>
      <c r="G4" s="298"/>
      <c r="H4" s="12"/>
      <c r="I4" s="12"/>
    </row>
    <row r="5" spans="2:9" ht="30.75" customHeight="1">
      <c r="B5" s="266"/>
      <c r="C5" s="227" t="s">
        <v>6</v>
      </c>
      <c r="D5" s="267"/>
      <c r="E5" s="267"/>
      <c r="F5" s="267"/>
      <c r="G5" s="268"/>
      <c r="H5" s="12"/>
      <c r="I5" s="12"/>
    </row>
    <row r="6" spans="2:9">
      <c r="B6" s="266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0</v>
      </c>
      <c r="D6" s="67" t="s">
        <v>8</v>
      </c>
      <c r="E6" s="68"/>
      <c r="F6" s="228" t="str">
        <f>IF(C21&lt;0, "Tailwind", "")</f>
        <v/>
      </c>
      <c r="G6" s="269"/>
      <c r="H6" s="12"/>
      <c r="I6" s="12"/>
    </row>
    <row r="7" spans="2:9">
      <c r="B7" s="266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262"/>
      <c r="G7" s="269"/>
      <c r="H7" s="12"/>
    </row>
    <row r="8" spans="2:9" ht="18" customHeight="1">
      <c r="B8" s="266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29" t="s">
        <v>72</v>
      </c>
      <c r="G8" s="270" t="b">
        <v>0</v>
      </c>
      <c r="H8" s="12"/>
    </row>
    <row r="9" spans="2:9">
      <c r="B9" s="266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262"/>
      <c r="G9" s="269"/>
      <c r="H9" s="12"/>
      <c r="I9" s="82"/>
    </row>
    <row r="10" spans="2:9" ht="22.5" customHeight="1">
      <c r="B10" s="266" t="s">
        <v>15</v>
      </c>
      <c r="C10" s="84">
        <v>6</v>
      </c>
      <c r="D10" s="83"/>
      <c r="E10" s="237" t="s">
        <v>73</v>
      </c>
      <c r="F10" s="234" t="s">
        <v>74</v>
      </c>
      <c r="G10" s="271" t="b">
        <v>0</v>
      </c>
      <c r="H10" s="12"/>
    </row>
    <row r="11" spans="2:9" ht="22.5" customHeight="1">
      <c r="B11" s="266" t="s">
        <v>75</v>
      </c>
      <c r="C11" s="84">
        <v>12500</v>
      </c>
      <c r="D11" s="83" t="s">
        <v>25</v>
      </c>
      <c r="E11" s="262"/>
      <c r="F11" s="262"/>
      <c r="G11" s="269"/>
      <c r="H11" s="12"/>
      <c r="I11" s="12"/>
    </row>
    <row r="12" spans="2:9">
      <c r="B12" s="73" t="s">
        <v>76</v>
      </c>
      <c r="C12" s="66">
        <v>12500</v>
      </c>
      <c r="D12" s="8" t="s">
        <v>25</v>
      </c>
      <c r="E12" s="262"/>
      <c r="G12" s="272"/>
      <c r="H12" s="12"/>
      <c r="I12" s="12"/>
    </row>
    <row r="13" spans="2:9">
      <c r="B13" s="266"/>
      <c r="D13" s="83"/>
      <c r="E13" s="262"/>
      <c r="G13" s="272"/>
      <c r="H13" s="12"/>
      <c r="I13" s="12"/>
    </row>
    <row r="14" spans="2:9">
      <c r="B14" s="90" t="s">
        <v>77</v>
      </c>
      <c r="C14" s="299" t="str">
        <f>IF(C11&gt;C12, "Overweight landning","")</f>
        <v/>
      </c>
      <c r="D14" s="274"/>
      <c r="E14" s="274"/>
      <c r="F14" s="274"/>
      <c r="G14" s="269"/>
      <c r="H14" s="12"/>
    </row>
    <row r="15" spans="2:9">
      <c r="B15" s="266" t="s">
        <v>78</v>
      </c>
      <c r="C15" s="99">
        <f t="array" ref="C15">INDEX('Airport data'!$B$5:$H$43,MATCH($C$4,'Airport data'!$A$5:$A$43,0),1)</f>
        <v>541</v>
      </c>
      <c r="D15" s="83" t="s">
        <v>28</v>
      </c>
      <c r="G15" s="272"/>
      <c r="H15" s="12"/>
    </row>
    <row r="16" spans="2:9">
      <c r="B16" s="266" t="s">
        <v>29</v>
      </c>
      <c r="C16" s="101">
        <f t="array" ref="C16">INDEX('Airport data'!$B$5:$H$43,MATCH($C$4,'Airport data'!$A$5:$A$43,0),5)</f>
        <v>2300</v>
      </c>
      <c r="D16" s="83" t="s">
        <v>30</v>
      </c>
      <c r="E16" s="83"/>
      <c r="F16" s="235" t="s">
        <v>31</v>
      </c>
      <c r="G16" s="269"/>
      <c r="H16" s="12"/>
    </row>
    <row r="17" spans="2:11">
      <c r="B17" s="266" t="s">
        <v>32</v>
      </c>
      <c r="C17" s="99">
        <f t="array" ref="C17">INDEX('Airport data'!$B$5:$H$43,MATCH($C$4,'Airport data'!$A$5:$A$43,0),7)</f>
        <v>285</v>
      </c>
      <c r="D17" s="83" t="s">
        <v>8</v>
      </c>
      <c r="G17" s="272"/>
      <c r="H17" s="12"/>
    </row>
    <row r="18" spans="2:11">
      <c r="B18" s="266" t="s">
        <v>39</v>
      </c>
      <c r="C18" s="99">
        <f t="array" ref="C18">INDEX('Airport data'!$B$5:$H$43,MATCH($C$4,'Airport data'!$A$5:$A$43,0),4)</f>
        <v>2300</v>
      </c>
      <c r="D18" s="83" t="s">
        <v>34</v>
      </c>
      <c r="G18" s="272"/>
      <c r="H18" s="12"/>
    </row>
    <row r="19" spans="2:11">
      <c r="B19" s="102" t="s">
        <v>40</v>
      </c>
      <c r="C19" s="300"/>
      <c r="D19" s="300"/>
      <c r="E19" s="300"/>
      <c r="F19" s="300"/>
      <c r="G19" s="103"/>
      <c r="H19" s="12"/>
      <c r="I19" s="101"/>
    </row>
    <row r="20" spans="2:11">
      <c r="B20" s="266" t="s">
        <v>79</v>
      </c>
      <c r="C20" s="101">
        <f>IF( ISBLANK(Landing!C10),1.67, VLOOKUP(Landing!C10,'Dropdown lists'!B4:C10,2))</f>
        <v>1.67</v>
      </c>
      <c r="D20" s="83"/>
      <c r="G20" s="272"/>
      <c r="H20" s="12"/>
      <c r="I20" s="99"/>
      <c r="J20" s="12"/>
      <c r="K20" s="12"/>
    </row>
    <row r="21" spans="2:11">
      <c r="B21" s="266" t="s">
        <v>41</v>
      </c>
      <c r="C21" s="104">
        <f>'LTL_LDG Performance'!D32</f>
        <v>0</v>
      </c>
      <c r="D21" s="83" t="s">
        <v>42</v>
      </c>
      <c r="E21" s="95"/>
      <c r="F21" s="95"/>
      <c r="G21" s="272"/>
      <c r="H21" s="12"/>
      <c r="I21" s="99"/>
      <c r="J21" s="12"/>
      <c r="K21" s="12"/>
    </row>
    <row r="22" spans="2:11">
      <c r="B22" s="266" t="s">
        <v>43</v>
      </c>
      <c r="C22" s="104">
        <f>ABS('LTL_LDG Performance'!C37*C7)</f>
        <v>0</v>
      </c>
      <c r="D22" s="83" t="s">
        <v>42</v>
      </c>
      <c r="E22" s="95"/>
      <c r="F22" s="95" t="s">
        <v>44</v>
      </c>
      <c r="G22" s="278">
        <f t="array" ref="G22">IF(ISBLANK(C10), 25,  INDEX('Dropdown lists'!$B$4:$D$10,MATCH($C$10,'Dropdown lists'!$B$4:$B$10,0),3))</f>
        <v>25</v>
      </c>
      <c r="H22" s="12"/>
      <c r="I22" s="12"/>
      <c r="J22" s="12"/>
      <c r="K22" s="12"/>
    </row>
    <row r="23" spans="2:11">
      <c r="B23" s="301"/>
      <c r="C23" s="1"/>
      <c r="D23" s="1"/>
      <c r="E23" s="93"/>
      <c r="F23" s="93"/>
      <c r="G23" s="302"/>
      <c r="H23" s="12"/>
      <c r="I23" s="12"/>
      <c r="J23" s="12"/>
      <c r="K23" s="12"/>
    </row>
    <row r="24" spans="2:11" ht="15.75" customHeight="1">
      <c r="B24" s="279" t="s">
        <v>45</v>
      </c>
      <c r="C24" s="280" t="s">
        <v>46</v>
      </c>
      <c r="D24" s="280" t="s">
        <v>47</v>
      </c>
      <c r="E24" s="281"/>
      <c r="F24" s="281" t="s">
        <v>48</v>
      </c>
      <c r="G24" s="282" t="s">
        <v>49</v>
      </c>
      <c r="H24" s="12"/>
      <c r="I24" s="12"/>
      <c r="J24" s="12"/>
      <c r="K24" s="12"/>
    </row>
    <row r="25" spans="2:11" ht="15.75" customHeight="1">
      <c r="B25" s="303" t="s">
        <v>80</v>
      </c>
      <c r="C25" s="304"/>
      <c r="D25" s="304"/>
      <c r="E25" s="304"/>
      <c r="F25" s="304"/>
      <c r="G25" s="305"/>
      <c r="H25" s="12"/>
      <c r="I25" s="99"/>
      <c r="J25" s="12"/>
    </row>
    <row r="26" spans="2:11" ht="15.75" customHeight="1">
      <c r="B26" s="123" t="s">
        <v>63</v>
      </c>
      <c r="C26" s="128">
        <f>'LTL_LDG Performance'!M21</f>
        <v>121</v>
      </c>
      <c r="D26" s="129"/>
      <c r="G26" s="131">
        <f>'LTL_LDG Performance'!E21</f>
        <v>97</v>
      </c>
      <c r="H26" s="12"/>
    </row>
    <row r="27" spans="2:11" ht="15.75" customHeight="1">
      <c r="B27" s="123" t="s">
        <v>81</v>
      </c>
      <c r="C27" s="137">
        <f>('LTL_LDG Performance'!B88/3.28)*Landing!C20</f>
        <v>1926.5384756097562</v>
      </c>
      <c r="D27" s="26"/>
      <c r="G27" s="131">
        <f>'LTL_Landing distance data'!C102*C20</f>
        <v>1133.2579268292684</v>
      </c>
      <c r="H27" s="12"/>
    </row>
    <row r="28" spans="2:11" ht="15.75" customHeight="1">
      <c r="B28" s="306" t="s">
        <v>82</v>
      </c>
      <c r="C28" s="262"/>
      <c r="D28" s="26"/>
      <c r="G28" s="307"/>
      <c r="H28" s="12"/>
    </row>
    <row r="29" spans="2:11" ht="15.75" customHeight="1">
      <c r="B29" s="308"/>
      <c r="C29" s="238" t="str">
        <f>IF(ISBLANK(C10), "Dry &amp; Unfactored *1,67", "" )</f>
        <v/>
      </c>
      <c r="D29" s="262"/>
      <c r="E29" s="262"/>
      <c r="F29" s="262"/>
      <c r="G29" s="269"/>
      <c r="H29" s="12"/>
      <c r="I29" s="12"/>
      <c r="J29" s="12"/>
      <c r="K29" s="12"/>
    </row>
    <row r="30" spans="2:11" ht="15.75" customHeight="1">
      <c r="B30" s="230" t="s">
        <v>83</v>
      </c>
      <c r="C30" s="265"/>
      <c r="D30" s="265"/>
      <c r="E30" s="265"/>
      <c r="F30" s="265"/>
      <c r="G30" s="283"/>
      <c r="H30" s="12"/>
      <c r="I30" s="12"/>
      <c r="J30" s="12"/>
    </row>
    <row r="31" spans="2:11" ht="15.75" customHeight="1">
      <c r="B31" s="145" t="s">
        <v>84</v>
      </c>
      <c r="C31" s="147">
        <f>IF( C21&gt;0, 'LTL_OEI CLIMB GRADIENT'!P46*(125/(125+50%*C21)), 'LTL_OEI CLIMB GRADIENT'!P46*(125/(125-150%*C21)) )</f>
        <v>4.9399999999999995</v>
      </c>
      <c r="D31" s="239" t="s">
        <v>61</v>
      </c>
      <c r="E31" s="260"/>
      <c r="F31" s="260"/>
      <c r="G31" s="150"/>
      <c r="H31" s="12"/>
      <c r="I31" s="12"/>
      <c r="J31" s="12"/>
    </row>
    <row r="32" spans="2:11" ht="15.75" customHeight="1"/>
    <row r="33" spans="2:4" ht="15.75" customHeight="1"/>
    <row r="34" spans="2:4" ht="15.75" customHeight="1"/>
    <row r="35" spans="2:4" ht="15" customHeight="1">
      <c r="C35" s="12" t="s">
        <v>65</v>
      </c>
      <c r="D35" s="12" t="s">
        <v>85</v>
      </c>
    </row>
    <row r="36" spans="2:4" ht="15" customHeight="1">
      <c r="B36" s="12" t="s">
        <v>86</v>
      </c>
      <c r="C36" s="99">
        <f>Landing!$C$18</f>
        <v>2300</v>
      </c>
      <c r="D36" s="99">
        <f>Landing!$C$18</f>
        <v>2300</v>
      </c>
    </row>
    <row r="37" spans="2:4" ht="15" customHeight="1">
      <c r="B37" s="12" t="s">
        <v>87</v>
      </c>
      <c r="C37" s="99">
        <f>C27</f>
        <v>1926.5384756097562</v>
      </c>
      <c r="D37" s="99">
        <f>G27</f>
        <v>1133.2579268292684</v>
      </c>
    </row>
    <row r="38" spans="2:4" ht="15.75" customHeight="1"/>
    <row r="39" spans="2:4" ht="15.75" customHeight="1"/>
    <row r="40" spans="2:4" ht="15.75" customHeight="1"/>
    <row r="41" spans="2:4" ht="15.75" customHeight="1"/>
    <row r="42" spans="2:4" ht="15.75" customHeight="1"/>
    <row r="43" spans="2:4" ht="15.75" customHeight="1"/>
    <row r="44" spans="2:4" ht="15.75" customHeight="1"/>
    <row r="45" spans="2:4" ht="15.75" customHeight="1"/>
    <row r="46" spans="2:4" ht="15.75" customHeight="1"/>
    <row r="47" spans="2:4" ht="15.75" customHeight="1"/>
    <row r="48" spans="2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B2:F2"/>
    <mergeCell ref="B3:F3"/>
    <mergeCell ref="C4:G4"/>
    <mergeCell ref="C5:G5"/>
    <mergeCell ref="F6:G7"/>
    <mergeCell ref="B25:G25"/>
    <mergeCell ref="B28:C28"/>
    <mergeCell ref="C29:G29"/>
    <mergeCell ref="B30:G30"/>
    <mergeCell ref="D31:F31"/>
    <mergeCell ref="F8:F9"/>
    <mergeCell ref="F10:F11"/>
    <mergeCell ref="E10:E13"/>
    <mergeCell ref="C14:G14"/>
    <mergeCell ref="F16:G16"/>
    <mergeCell ref="G8:G9"/>
    <mergeCell ref="G10:G11"/>
  </mergeCells>
  <conditionalFormatting sqref="C6:C9">
    <cfRule type="expression" dxfId="19" priority="1">
      <formula>E6&lt;&gt;""</formula>
    </cfRule>
  </conditionalFormatting>
  <conditionalFormatting sqref="E6:E9">
    <cfRule type="notContainsBlanks" dxfId="18" priority="2">
      <formula>LEN(TRIM(E6))&gt;0</formula>
    </cfRule>
  </conditionalFormatting>
  <conditionalFormatting sqref="F8:F9">
    <cfRule type="expression" dxfId="17" priority="3">
      <formula>E6&lt;&gt;""</formula>
    </cfRule>
  </conditionalFormatting>
  <conditionalFormatting sqref="F8:F9">
    <cfRule type="expression" dxfId="16" priority="4">
      <formula>E7&lt;&gt;""</formula>
    </cfRule>
  </conditionalFormatting>
  <conditionalFormatting sqref="F8:F9">
    <cfRule type="expression" dxfId="15" priority="5">
      <formula>E8&lt;&gt;""</formula>
    </cfRule>
  </conditionalFormatting>
  <conditionalFormatting sqref="F8:F9">
    <cfRule type="expression" dxfId="14" priority="6">
      <formula>E9&lt;&gt;""</formula>
    </cfRule>
  </conditionalFormatting>
  <conditionalFormatting sqref="C6:C9">
    <cfRule type="expression" dxfId="13" priority="7">
      <formula>$G$8=TRUE</formula>
    </cfRule>
  </conditionalFormatting>
  <conditionalFormatting sqref="C19 C29">
    <cfRule type="notContainsBlanks" dxfId="12" priority="8">
      <formula>LEN(TRIM(C19))&gt;0</formula>
    </cfRule>
  </conditionalFormatting>
  <conditionalFormatting sqref="C23:C24">
    <cfRule type="cellIs" dxfId="11" priority="9" operator="lessThan">
      <formula>$C$19</formula>
    </cfRule>
  </conditionalFormatting>
  <conditionalFormatting sqref="C27 G27">
    <cfRule type="cellIs" dxfId="10" priority="10" operator="lessThanOrEqual">
      <formula>$C$18</formula>
    </cfRule>
  </conditionalFormatting>
  <conditionalFormatting sqref="C27">
    <cfRule type="cellIs" dxfId="9" priority="11" operator="greaterThan">
      <formula>$C$18</formula>
    </cfRule>
  </conditionalFormatting>
  <conditionalFormatting sqref="C31">
    <cfRule type="cellIs" dxfId="8" priority="12" operator="lessThan">
      <formula>2.5</formula>
    </cfRule>
  </conditionalFormatting>
  <conditionalFormatting sqref="C14:F14">
    <cfRule type="notContainsBlanks" dxfId="7" priority="13">
      <formula>LEN(TRIM(C14))&gt;0</formula>
    </cfRule>
  </conditionalFormatting>
  <conditionalFormatting sqref="G27">
    <cfRule type="cellIs" dxfId="6" priority="14" operator="greaterThan">
      <formula>$C$18</formula>
    </cfRule>
  </conditionalFormatting>
  <conditionalFormatting sqref="J11:K13">
    <cfRule type="notContainsBlanks" dxfId="5" priority="15">
      <formula>LEN(TRIM(J11))&gt;0</formula>
    </cfRule>
  </conditionalFormatting>
  <conditionalFormatting sqref="E6:E9">
    <cfRule type="expression" dxfId="4" priority="16">
      <formula>$G$8=TRUE</formula>
    </cfRule>
  </conditionalFormatting>
  <conditionalFormatting sqref="F6:G6">
    <cfRule type="notContainsBlanks" dxfId="3" priority="17">
      <formula>LEN(TRIM(F6))&gt;0</formula>
    </cfRule>
  </conditionalFormatting>
  <conditionalFormatting sqref="C22">
    <cfRule type="cellIs" dxfId="2" priority="18" operator="greaterThan">
      <formula>G22</formula>
    </cfRule>
  </conditionalFormatting>
  <conditionalFormatting sqref="C21">
    <cfRule type="cellIs" dxfId="1" priority="19" operator="lessThan">
      <formula>-10</formula>
    </cfRule>
  </conditionalFormatting>
  <conditionalFormatting sqref="C5:G5">
    <cfRule type="expression" dxfId="0" priority="20">
      <formula>AND(LEN(C5)&gt;=4, LEFT(C5, 4) &lt;&gt; LEFT(C4, 4))</formula>
    </cfRule>
  </conditionalFormatting>
  <pageMargins left="0" right="0" top="0" bottom="0" header="0" footer="0"/>
  <pageSetup orientation="landscape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Ange ett värde från intervallet ='Airport data'!$A$5:$A$37" xr:uid="{00000000-0002-0000-0100-000000000000}">
          <x14:formula1>
            <xm:f>'Airport data'!$A$5:$A$43</xm:f>
          </x14:formula1>
          <xm:sqref>C4</xm:sqref>
        </x14:dataValidation>
        <x14:dataValidation type="list" allowBlank="1" showErrorMessage="1" xr:uid="{00000000-0002-0000-0100-000001000000}">
          <x14:formula1>
            <xm:f>'Dropdown lists'!$B$4:$B$9</xm:f>
          </x14:formula1>
          <xm:sqref>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1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2" width="20.140625" customWidth="1"/>
    <col min="3" max="3" width="11.7109375" customWidth="1"/>
    <col min="4" max="5" width="20.140625" customWidth="1"/>
    <col min="6" max="6" width="12.140625" customWidth="1"/>
    <col min="7" max="7" width="9.140625" customWidth="1"/>
    <col min="8" max="8" width="13.42578125" customWidth="1"/>
    <col min="9" max="9" width="17.42578125" customWidth="1"/>
    <col min="10" max="13" width="11.7109375" customWidth="1"/>
    <col min="14" max="14" width="30" customWidth="1"/>
    <col min="15" max="15" width="9.140625" customWidth="1"/>
    <col min="16" max="16" width="11" customWidth="1"/>
  </cols>
  <sheetData>
    <row r="1" spans="1:16" ht="14.25" customHeight="1">
      <c r="A1" s="244" t="s">
        <v>88</v>
      </c>
      <c r="B1" s="245" t="s">
        <v>89</v>
      </c>
      <c r="C1" s="245" t="s">
        <v>90</v>
      </c>
      <c r="D1" s="245" t="s">
        <v>91</v>
      </c>
      <c r="E1" s="245" t="s">
        <v>92</v>
      </c>
      <c r="F1" s="246" t="s">
        <v>39</v>
      </c>
      <c r="G1" s="241" t="s">
        <v>93</v>
      </c>
      <c r="H1" s="241" t="s">
        <v>94</v>
      </c>
      <c r="I1" s="241" t="s">
        <v>95</v>
      </c>
      <c r="J1" s="242" t="s">
        <v>96</v>
      </c>
      <c r="K1" s="243" t="s">
        <v>97</v>
      </c>
      <c r="L1" s="262"/>
      <c r="M1" s="262"/>
    </row>
    <row r="2" spans="1:16" ht="14.25" customHeight="1">
      <c r="A2" s="309"/>
      <c r="B2" s="310"/>
      <c r="C2" s="310"/>
      <c r="D2" s="310"/>
      <c r="E2" s="310"/>
      <c r="F2" s="311"/>
      <c r="G2" s="311"/>
      <c r="H2" s="311"/>
      <c r="I2" s="311"/>
      <c r="J2" s="312"/>
      <c r="K2" s="6" t="s">
        <v>98</v>
      </c>
      <c r="L2" s="6" t="s">
        <v>99</v>
      </c>
      <c r="M2" s="6"/>
    </row>
    <row r="3" spans="1:16">
      <c r="A3" s="309"/>
      <c r="B3" s="313"/>
      <c r="C3" s="313"/>
      <c r="D3" s="313"/>
      <c r="E3" s="313"/>
      <c r="F3" s="314"/>
      <c r="G3" s="314"/>
      <c r="H3" s="314"/>
      <c r="I3" s="314"/>
      <c r="J3" s="315"/>
      <c r="K3" s="6"/>
      <c r="L3" s="6"/>
      <c r="M3" s="6"/>
    </row>
    <row r="4" spans="1:16" ht="14.25" customHeight="1">
      <c r="A4" s="316"/>
      <c r="B4" s="7" t="s">
        <v>100</v>
      </c>
      <c r="C4" s="9" t="s">
        <v>101</v>
      </c>
      <c r="D4" s="9" t="s">
        <v>101</v>
      </c>
      <c r="E4" s="9" t="s">
        <v>101</v>
      </c>
      <c r="F4" s="9" t="s">
        <v>101</v>
      </c>
      <c r="G4" s="9" t="s">
        <v>102</v>
      </c>
      <c r="H4" s="9" t="s">
        <v>103</v>
      </c>
      <c r="I4" s="9" t="s">
        <v>102</v>
      </c>
      <c r="J4" s="10" t="s">
        <v>104</v>
      </c>
      <c r="K4" s="11"/>
      <c r="L4" s="11"/>
      <c r="M4" s="11"/>
    </row>
    <row r="5" spans="1:16" ht="14.25" customHeight="1">
      <c r="A5" s="13" t="s">
        <v>105</v>
      </c>
      <c r="B5" s="15" t="s">
        <v>106</v>
      </c>
      <c r="C5" s="17"/>
      <c r="D5" s="15" t="s">
        <v>106</v>
      </c>
      <c r="E5" s="15" t="s">
        <v>106</v>
      </c>
      <c r="F5" s="15" t="s">
        <v>106</v>
      </c>
      <c r="G5" s="15" t="s">
        <v>106</v>
      </c>
      <c r="H5" s="19" t="s">
        <v>106</v>
      </c>
      <c r="I5" s="20"/>
      <c r="J5" s="15" t="s">
        <v>106</v>
      </c>
      <c r="K5" s="11"/>
      <c r="L5" s="11"/>
      <c r="M5" s="11"/>
    </row>
    <row r="6" spans="1:16" ht="21" customHeight="1">
      <c r="A6" s="21" t="s">
        <v>107</v>
      </c>
      <c r="B6" s="22">
        <v>200</v>
      </c>
      <c r="C6" s="317">
        <v>2000</v>
      </c>
      <c r="D6" s="24">
        <v>2000</v>
      </c>
      <c r="E6" s="24">
        <v>2000</v>
      </c>
      <c r="F6" s="25">
        <v>2000</v>
      </c>
      <c r="G6" s="27">
        <v>0</v>
      </c>
      <c r="H6" s="25">
        <v>120</v>
      </c>
      <c r="I6" s="28">
        <v>3.3</v>
      </c>
      <c r="J6" s="29"/>
      <c r="K6" s="30">
        <v>666</v>
      </c>
      <c r="L6" s="30" t="s">
        <v>108</v>
      </c>
      <c r="M6" s="30"/>
      <c r="N6" s="318" t="s">
        <v>109</v>
      </c>
    </row>
    <row r="7" spans="1:16" ht="21" customHeight="1">
      <c r="A7" s="21"/>
      <c r="B7" s="31"/>
      <c r="C7" s="319"/>
      <c r="D7" s="31"/>
      <c r="E7" s="31"/>
      <c r="F7" s="31"/>
      <c r="G7" s="32"/>
      <c r="H7" s="31"/>
      <c r="I7" s="33"/>
      <c r="J7" s="34"/>
      <c r="K7" s="30"/>
      <c r="L7" s="30"/>
      <c r="M7" s="30"/>
      <c r="N7" s="274"/>
    </row>
    <row r="8" spans="1:16" ht="21" customHeight="1">
      <c r="A8" s="35" t="s">
        <v>110</v>
      </c>
      <c r="B8" s="35">
        <v>631</v>
      </c>
      <c r="C8" s="35">
        <f t="shared" ref="C8:C43" si="0">D8</f>
        <v>1814</v>
      </c>
      <c r="D8" s="35">
        <v>1814</v>
      </c>
      <c r="E8" s="35">
        <v>1814</v>
      </c>
      <c r="F8" s="35">
        <v>1814</v>
      </c>
      <c r="G8" s="320">
        <v>0</v>
      </c>
      <c r="H8" s="35">
        <v>156</v>
      </c>
      <c r="I8" s="56">
        <v>5</v>
      </c>
      <c r="J8" s="36"/>
      <c r="K8" s="37"/>
      <c r="L8" s="37"/>
      <c r="M8" s="37"/>
    </row>
    <row r="9" spans="1:16" ht="21" customHeight="1">
      <c r="A9" s="35" t="s">
        <v>111</v>
      </c>
      <c r="B9" s="35">
        <v>618</v>
      </c>
      <c r="C9" s="35">
        <f t="shared" si="0"/>
        <v>1814</v>
      </c>
      <c r="D9" s="35">
        <v>1814</v>
      </c>
      <c r="E9" s="35">
        <v>1814</v>
      </c>
      <c r="F9" s="35">
        <v>1814</v>
      </c>
      <c r="G9" s="320">
        <v>0</v>
      </c>
      <c r="H9" s="35">
        <v>336</v>
      </c>
      <c r="I9" s="56">
        <v>3.3</v>
      </c>
      <c r="J9" s="36"/>
      <c r="K9" s="37"/>
      <c r="L9" s="37"/>
      <c r="M9" s="37"/>
    </row>
    <row r="10" spans="1:16" ht="21" customHeight="1">
      <c r="A10" s="321" t="s">
        <v>112</v>
      </c>
      <c r="B10" s="38">
        <v>1172</v>
      </c>
      <c r="C10" s="35">
        <f t="shared" si="0"/>
        <v>1701</v>
      </c>
      <c r="D10" s="39">
        <v>1701</v>
      </c>
      <c r="E10" s="39">
        <v>1701</v>
      </c>
      <c r="F10" s="40">
        <v>1701</v>
      </c>
      <c r="G10" s="41">
        <v>0</v>
      </c>
      <c r="H10" s="40">
        <v>82</v>
      </c>
      <c r="I10" s="56">
        <v>3.3</v>
      </c>
      <c r="J10" s="36"/>
      <c r="K10" s="37"/>
      <c r="L10" s="37"/>
      <c r="M10" s="37"/>
      <c r="P10" s="8" t="s">
        <v>113</v>
      </c>
    </row>
    <row r="11" spans="1:16" ht="21" customHeight="1">
      <c r="A11" s="321" t="s">
        <v>114</v>
      </c>
      <c r="B11" s="38">
        <v>1177</v>
      </c>
      <c r="C11" s="35">
        <f t="shared" si="0"/>
        <v>1701</v>
      </c>
      <c r="D11" s="39">
        <v>1701</v>
      </c>
      <c r="E11" s="39">
        <v>1701</v>
      </c>
      <c r="F11" s="39">
        <v>1701</v>
      </c>
      <c r="G11" s="42">
        <v>0</v>
      </c>
      <c r="H11" s="39">
        <v>262</v>
      </c>
      <c r="I11" s="56">
        <v>3.3</v>
      </c>
      <c r="J11" s="36"/>
      <c r="K11" s="37"/>
      <c r="L11" s="37"/>
      <c r="M11" s="37"/>
    </row>
    <row r="12" spans="1:16" ht="21" customHeight="1">
      <c r="A12" s="43" t="s">
        <v>115</v>
      </c>
      <c r="B12" s="38">
        <v>25</v>
      </c>
      <c r="C12" s="35">
        <f t="shared" si="0"/>
        <v>1721</v>
      </c>
      <c r="D12" s="44">
        <v>1721</v>
      </c>
      <c r="E12" s="45">
        <v>1721</v>
      </c>
      <c r="F12" s="46">
        <v>2302</v>
      </c>
      <c r="G12" s="42">
        <v>0</v>
      </c>
      <c r="H12" s="39">
        <v>130</v>
      </c>
      <c r="I12" s="56">
        <v>3.4</v>
      </c>
      <c r="J12" s="36">
        <v>45604</v>
      </c>
      <c r="K12" s="37"/>
      <c r="L12" s="37"/>
      <c r="M12" s="37"/>
    </row>
    <row r="13" spans="1:16" ht="21" customHeight="1">
      <c r="A13" s="43" t="s">
        <v>116</v>
      </c>
      <c r="B13" s="38">
        <v>25</v>
      </c>
      <c r="C13" s="35">
        <f t="shared" si="0"/>
        <v>2302</v>
      </c>
      <c r="D13" s="44">
        <v>2302</v>
      </c>
      <c r="E13" s="45">
        <v>2302</v>
      </c>
      <c r="F13" s="46">
        <v>2302</v>
      </c>
      <c r="G13" s="42">
        <v>0</v>
      </c>
      <c r="H13" s="39">
        <v>130</v>
      </c>
      <c r="I13" s="56">
        <v>3.4</v>
      </c>
      <c r="J13" s="36">
        <v>45604</v>
      </c>
      <c r="K13" s="37"/>
      <c r="L13" s="37"/>
      <c r="M13" s="37"/>
    </row>
    <row r="14" spans="1:16" ht="21" customHeight="1">
      <c r="A14" s="43" t="s">
        <v>117</v>
      </c>
      <c r="B14" s="38">
        <v>17</v>
      </c>
      <c r="C14" s="35">
        <f t="shared" si="0"/>
        <v>2302</v>
      </c>
      <c r="D14" s="44">
        <v>2302</v>
      </c>
      <c r="E14" s="45">
        <v>2302</v>
      </c>
      <c r="F14" s="46">
        <v>2242</v>
      </c>
      <c r="G14" s="42">
        <v>0</v>
      </c>
      <c r="H14" s="39">
        <v>310</v>
      </c>
      <c r="I14" s="56">
        <v>3.3</v>
      </c>
      <c r="J14" s="36">
        <v>45604</v>
      </c>
      <c r="K14" s="37"/>
      <c r="L14" s="37"/>
      <c r="M14" s="37"/>
    </row>
    <row r="15" spans="1:16" ht="21" customHeight="1">
      <c r="A15" s="43" t="s">
        <v>118</v>
      </c>
      <c r="B15" s="38">
        <v>17</v>
      </c>
      <c r="C15" s="35">
        <f t="shared" si="0"/>
        <v>1599</v>
      </c>
      <c r="D15" s="44">
        <v>1599</v>
      </c>
      <c r="E15" s="45">
        <v>1599</v>
      </c>
      <c r="F15" s="46">
        <v>2242</v>
      </c>
      <c r="G15" s="42">
        <v>0</v>
      </c>
      <c r="H15" s="39">
        <v>310</v>
      </c>
      <c r="I15" s="56">
        <v>3.3</v>
      </c>
      <c r="J15" s="36">
        <v>45604</v>
      </c>
      <c r="K15" s="37"/>
      <c r="L15" s="37"/>
      <c r="M15" s="37"/>
    </row>
    <row r="16" spans="1:16" ht="21" customHeight="1">
      <c r="A16" s="47" t="s">
        <v>119</v>
      </c>
      <c r="B16" s="44">
        <v>1194</v>
      </c>
      <c r="C16" s="35">
        <f t="shared" si="0"/>
        <v>1907</v>
      </c>
      <c r="D16" s="39">
        <v>1907</v>
      </c>
      <c r="E16" s="39">
        <v>1907</v>
      </c>
      <c r="F16" s="39">
        <v>2500</v>
      </c>
      <c r="G16" s="42">
        <v>1.5</v>
      </c>
      <c r="H16" s="39">
        <v>109</v>
      </c>
      <c r="I16" s="56">
        <v>4.2</v>
      </c>
      <c r="J16" s="36"/>
      <c r="K16" s="37"/>
      <c r="L16" s="37"/>
      <c r="M16" s="37"/>
    </row>
    <row r="17" spans="1:13" ht="21" customHeight="1">
      <c r="A17" s="47" t="s">
        <v>120</v>
      </c>
      <c r="B17" s="44">
        <v>1234</v>
      </c>
      <c r="C17" s="35">
        <f t="shared" si="0"/>
        <v>2500</v>
      </c>
      <c r="D17" s="39">
        <v>2500</v>
      </c>
      <c r="E17" s="39">
        <v>2500</v>
      </c>
      <c r="F17" s="39">
        <v>2500</v>
      </c>
      <c r="G17" s="42">
        <v>-1.5</v>
      </c>
      <c r="H17" s="39">
        <v>289</v>
      </c>
      <c r="I17" s="56">
        <v>3.5</v>
      </c>
      <c r="J17" s="36"/>
      <c r="K17" s="37"/>
      <c r="L17" s="37"/>
      <c r="M17" s="37"/>
    </row>
    <row r="18" spans="1:13" ht="21" customHeight="1">
      <c r="A18" s="322" t="s">
        <v>121</v>
      </c>
      <c r="B18" s="38">
        <v>474</v>
      </c>
      <c r="C18" s="35">
        <f t="shared" si="0"/>
        <v>1508</v>
      </c>
      <c r="D18" s="39">
        <v>1508</v>
      </c>
      <c r="E18" s="39">
        <v>1508</v>
      </c>
      <c r="F18" s="40">
        <v>1508</v>
      </c>
      <c r="G18" s="41">
        <v>0</v>
      </c>
      <c r="H18" s="40">
        <v>172</v>
      </c>
      <c r="I18" s="56">
        <v>3.8</v>
      </c>
      <c r="J18" s="36"/>
      <c r="K18" s="37"/>
      <c r="L18" s="37"/>
      <c r="M18" s="37"/>
    </row>
    <row r="19" spans="1:13" ht="21" customHeight="1">
      <c r="A19" s="322" t="s">
        <v>122</v>
      </c>
      <c r="B19" s="38">
        <v>469</v>
      </c>
      <c r="C19" s="35">
        <f t="shared" si="0"/>
        <v>1508</v>
      </c>
      <c r="D19" s="39">
        <v>1508</v>
      </c>
      <c r="E19" s="39">
        <v>1508</v>
      </c>
      <c r="F19" s="39">
        <v>1508</v>
      </c>
      <c r="G19" s="42">
        <v>0</v>
      </c>
      <c r="H19" s="39">
        <v>352</v>
      </c>
      <c r="I19" s="56">
        <v>5.5</v>
      </c>
      <c r="J19" s="36"/>
      <c r="K19" s="37"/>
      <c r="L19" s="37"/>
      <c r="M19" s="37"/>
    </row>
    <row r="20" spans="1:13" ht="21" customHeight="1">
      <c r="A20" s="47" t="s">
        <v>123</v>
      </c>
      <c r="B20" s="44">
        <v>65</v>
      </c>
      <c r="C20" s="35">
        <f t="shared" si="0"/>
        <v>2260</v>
      </c>
      <c r="D20" s="39">
        <v>2260</v>
      </c>
      <c r="E20" s="39">
        <v>3160</v>
      </c>
      <c r="F20" s="39">
        <v>3350</v>
      </c>
      <c r="G20" s="42">
        <v>0</v>
      </c>
      <c r="H20" s="39">
        <v>127</v>
      </c>
      <c r="I20" s="56">
        <v>3.3</v>
      </c>
      <c r="J20" s="48"/>
      <c r="K20" s="49"/>
      <c r="L20" s="49"/>
      <c r="M20" s="49"/>
    </row>
    <row r="21" spans="1:13" ht="21" customHeight="1">
      <c r="A21" s="47" t="s">
        <v>124</v>
      </c>
      <c r="B21" s="44">
        <v>21</v>
      </c>
      <c r="C21" s="35">
        <f t="shared" si="0"/>
        <v>2335</v>
      </c>
      <c r="D21" s="39">
        <v>2335</v>
      </c>
      <c r="E21" s="39">
        <v>2395</v>
      </c>
      <c r="F21" s="39">
        <v>3350</v>
      </c>
      <c r="G21" s="42">
        <v>0</v>
      </c>
      <c r="H21" s="39">
        <v>307</v>
      </c>
      <c r="I21" s="56">
        <v>3.3</v>
      </c>
      <c r="J21" s="48"/>
      <c r="K21" s="49"/>
      <c r="L21" s="49"/>
      <c r="M21" s="49"/>
    </row>
    <row r="22" spans="1:13" ht="14.25" customHeight="1">
      <c r="A22" s="47" t="s">
        <v>125</v>
      </c>
      <c r="B22" s="38">
        <v>98</v>
      </c>
      <c r="C22" s="35">
        <f t="shared" si="0"/>
        <v>3301</v>
      </c>
      <c r="D22" s="44">
        <v>3301</v>
      </c>
      <c r="E22" s="45">
        <v>3301</v>
      </c>
      <c r="F22" s="46">
        <v>3301</v>
      </c>
      <c r="G22" s="42">
        <v>0</v>
      </c>
      <c r="H22" s="39">
        <v>4</v>
      </c>
      <c r="I22" s="56">
        <v>3.3</v>
      </c>
      <c r="J22" s="36"/>
      <c r="K22" s="37"/>
      <c r="L22" s="37"/>
      <c r="M22" s="37"/>
    </row>
    <row r="23" spans="1:13" ht="14.25" customHeight="1">
      <c r="A23" s="47" t="s">
        <v>126</v>
      </c>
      <c r="B23" s="38">
        <v>98</v>
      </c>
      <c r="C23" s="35">
        <f t="shared" si="0"/>
        <v>2276</v>
      </c>
      <c r="D23" s="44">
        <v>2276</v>
      </c>
      <c r="E23" s="45">
        <v>2276</v>
      </c>
      <c r="F23" s="46">
        <v>2500</v>
      </c>
      <c r="G23" s="42">
        <v>0</v>
      </c>
      <c r="H23" s="39">
        <v>4</v>
      </c>
      <c r="I23" s="56">
        <v>3.3</v>
      </c>
      <c r="J23" s="36"/>
      <c r="K23" s="37"/>
      <c r="L23" s="37"/>
      <c r="M23" s="37"/>
    </row>
    <row r="24" spans="1:13" ht="14.25" customHeight="1">
      <c r="A24" s="321" t="s">
        <v>127</v>
      </c>
      <c r="B24" s="38">
        <v>138</v>
      </c>
      <c r="C24" s="35">
        <f t="shared" si="0"/>
        <v>2500</v>
      </c>
      <c r="D24" s="44">
        <v>2500</v>
      </c>
      <c r="E24" s="44">
        <v>2500</v>
      </c>
      <c r="F24" s="39">
        <v>2500</v>
      </c>
      <c r="G24" s="42">
        <v>0</v>
      </c>
      <c r="H24" s="39">
        <v>4</v>
      </c>
      <c r="I24" s="56">
        <v>3.3</v>
      </c>
      <c r="J24" s="36"/>
      <c r="K24" s="37"/>
      <c r="L24" s="37"/>
      <c r="M24" s="37"/>
    </row>
    <row r="25" spans="1:13" ht="14.25" customHeight="1">
      <c r="A25" s="321" t="s">
        <v>128</v>
      </c>
      <c r="B25" s="38">
        <v>138</v>
      </c>
      <c r="C25" s="35">
        <f t="shared" si="0"/>
        <v>2147</v>
      </c>
      <c r="D25" s="44">
        <v>2147</v>
      </c>
      <c r="E25" s="44">
        <v>2147</v>
      </c>
      <c r="F25" s="39">
        <v>2147</v>
      </c>
      <c r="G25" s="42">
        <v>0</v>
      </c>
      <c r="H25" s="39">
        <v>4</v>
      </c>
      <c r="I25" s="56">
        <v>3.3</v>
      </c>
      <c r="J25" s="36"/>
      <c r="K25" s="37"/>
      <c r="L25" s="37"/>
      <c r="M25" s="37"/>
    </row>
    <row r="26" spans="1:13" ht="14.25" customHeight="1">
      <c r="A26" s="321" t="s">
        <v>129</v>
      </c>
      <c r="B26" s="38">
        <v>108</v>
      </c>
      <c r="C26" s="35">
        <f t="shared" si="0"/>
        <v>2800</v>
      </c>
      <c r="D26" s="44">
        <v>2800</v>
      </c>
      <c r="E26" s="44">
        <v>2500</v>
      </c>
      <c r="F26" s="39">
        <v>2500</v>
      </c>
      <c r="G26" s="42">
        <v>0</v>
      </c>
      <c r="H26" s="39">
        <v>70</v>
      </c>
      <c r="I26" s="56">
        <v>3.3</v>
      </c>
      <c r="J26" s="36"/>
      <c r="K26" s="37"/>
      <c r="L26" s="37"/>
      <c r="M26" s="37"/>
    </row>
    <row r="27" spans="1:13" ht="14.25" customHeight="1">
      <c r="A27" s="321" t="s">
        <v>130</v>
      </c>
      <c r="B27" s="38">
        <v>108</v>
      </c>
      <c r="C27" s="35">
        <f t="shared" si="0"/>
        <v>2179</v>
      </c>
      <c r="D27" s="44">
        <v>2179</v>
      </c>
      <c r="E27" s="44">
        <v>1879</v>
      </c>
      <c r="F27" s="39">
        <v>2500</v>
      </c>
      <c r="G27" s="42">
        <v>0</v>
      </c>
      <c r="H27" s="39">
        <v>70</v>
      </c>
      <c r="I27" s="56">
        <v>3.3</v>
      </c>
      <c r="J27" s="36"/>
      <c r="K27" s="37"/>
      <c r="L27" s="37"/>
      <c r="M27" s="37"/>
    </row>
    <row r="28" spans="1:13" ht="14.25" customHeight="1">
      <c r="A28" s="50" t="s">
        <v>131</v>
      </c>
      <c r="B28" s="38">
        <v>99</v>
      </c>
      <c r="C28" s="35">
        <f t="shared" si="0"/>
        <v>2500</v>
      </c>
      <c r="D28" s="44">
        <v>2500</v>
      </c>
      <c r="E28" s="44">
        <v>2500</v>
      </c>
      <c r="F28" s="39">
        <v>2500</v>
      </c>
      <c r="G28" s="42">
        <v>0</v>
      </c>
      <c r="H28" s="39">
        <v>184</v>
      </c>
      <c r="I28" s="56">
        <v>3.3</v>
      </c>
      <c r="J28" s="36"/>
      <c r="K28" s="37"/>
      <c r="L28" s="37"/>
      <c r="M28" s="37"/>
    </row>
    <row r="29" spans="1:13" ht="14.25" customHeight="1">
      <c r="A29" s="321" t="s">
        <v>132</v>
      </c>
      <c r="B29" s="38">
        <v>99</v>
      </c>
      <c r="C29" s="35">
        <f t="shared" si="0"/>
        <v>2147</v>
      </c>
      <c r="D29" s="44">
        <v>2147</v>
      </c>
      <c r="E29" s="44">
        <v>2147</v>
      </c>
      <c r="F29" s="39">
        <v>2500</v>
      </c>
      <c r="G29" s="42">
        <v>0</v>
      </c>
      <c r="H29" s="39">
        <v>184</v>
      </c>
      <c r="I29" s="56">
        <v>3.3</v>
      </c>
      <c r="J29" s="36"/>
      <c r="K29" s="37"/>
      <c r="L29" s="37"/>
      <c r="M29" s="37"/>
    </row>
    <row r="30" spans="1:13" ht="14.25" customHeight="1">
      <c r="A30" s="50" t="s">
        <v>133</v>
      </c>
      <c r="B30" s="38">
        <v>118</v>
      </c>
      <c r="C30" s="35">
        <f t="shared" si="0"/>
        <v>3301</v>
      </c>
      <c r="D30" s="44">
        <v>3301</v>
      </c>
      <c r="E30" s="45">
        <v>3301</v>
      </c>
      <c r="F30" s="46">
        <v>3301</v>
      </c>
      <c r="G30" s="51">
        <v>0</v>
      </c>
      <c r="H30" s="46">
        <v>184</v>
      </c>
      <c r="I30" s="56">
        <v>3.3</v>
      </c>
      <c r="J30" s="36"/>
      <c r="K30" s="37"/>
      <c r="L30" s="37"/>
      <c r="M30" s="37"/>
    </row>
    <row r="31" spans="1:13" ht="14.25" customHeight="1">
      <c r="A31" s="50" t="s">
        <v>134</v>
      </c>
      <c r="B31" s="38">
        <v>118</v>
      </c>
      <c r="C31" s="35">
        <f t="shared" si="0"/>
        <v>2288</v>
      </c>
      <c r="D31" s="44">
        <v>2288</v>
      </c>
      <c r="E31" s="45">
        <v>2288</v>
      </c>
      <c r="F31" s="46">
        <v>3301</v>
      </c>
      <c r="G31" s="51">
        <v>0</v>
      </c>
      <c r="H31" s="46">
        <v>184</v>
      </c>
      <c r="I31" s="56">
        <v>3.3</v>
      </c>
      <c r="J31" s="36"/>
      <c r="K31" s="37"/>
      <c r="L31" s="37"/>
      <c r="M31" s="37"/>
    </row>
    <row r="32" spans="1:13" ht="14.25" customHeight="1">
      <c r="A32" s="50" t="s">
        <v>135</v>
      </c>
      <c r="B32" s="38">
        <v>108</v>
      </c>
      <c r="C32" s="35">
        <f t="shared" si="0"/>
        <v>2179</v>
      </c>
      <c r="D32" s="44">
        <v>2179</v>
      </c>
      <c r="E32" s="45">
        <v>1879</v>
      </c>
      <c r="F32" s="46">
        <v>2500</v>
      </c>
      <c r="G32" s="51">
        <v>0</v>
      </c>
      <c r="H32" s="46">
        <v>70</v>
      </c>
      <c r="I32" s="56">
        <v>3.3</v>
      </c>
      <c r="J32" s="36"/>
      <c r="K32" s="37"/>
      <c r="L32" s="37"/>
      <c r="M32" s="37"/>
    </row>
    <row r="33" spans="1:13" ht="14.25" customHeight="1">
      <c r="A33" s="50" t="s">
        <v>136</v>
      </c>
      <c r="B33" s="38">
        <v>125</v>
      </c>
      <c r="C33" s="35">
        <f t="shared" si="0"/>
        <v>2500</v>
      </c>
      <c r="D33" s="44">
        <v>2500</v>
      </c>
      <c r="E33" s="45">
        <v>2500</v>
      </c>
      <c r="F33" s="46">
        <v>2500</v>
      </c>
      <c r="G33" s="51">
        <v>0</v>
      </c>
      <c r="H33" s="46">
        <v>250</v>
      </c>
      <c r="I33" s="56">
        <v>3.3</v>
      </c>
      <c r="J33" s="36"/>
      <c r="K33" s="37"/>
      <c r="L33" s="37"/>
      <c r="M33" s="37"/>
    </row>
    <row r="34" spans="1:13" ht="14.25" customHeight="1">
      <c r="A34" s="13" t="s">
        <v>137</v>
      </c>
      <c r="B34" s="38">
        <v>43</v>
      </c>
      <c r="C34" s="35">
        <f t="shared" si="0"/>
        <v>1668</v>
      </c>
      <c r="D34" s="44">
        <v>1668</v>
      </c>
      <c r="E34" s="44">
        <v>1668</v>
      </c>
      <c r="F34" s="44">
        <v>1668</v>
      </c>
      <c r="G34" s="51">
        <v>0</v>
      </c>
      <c r="H34" s="46">
        <v>299</v>
      </c>
      <c r="I34" s="56">
        <v>3.6</v>
      </c>
      <c r="J34" s="36"/>
      <c r="K34" s="37"/>
      <c r="L34" s="37"/>
      <c r="M34" s="37"/>
    </row>
    <row r="35" spans="1:13" ht="14.25" customHeight="1">
      <c r="A35" s="13" t="s">
        <v>138</v>
      </c>
      <c r="B35" s="38">
        <v>47</v>
      </c>
      <c r="C35" s="35">
        <f t="shared" si="0"/>
        <v>1779</v>
      </c>
      <c r="D35" s="44">
        <v>1779</v>
      </c>
      <c r="E35" s="44">
        <v>1779</v>
      </c>
      <c r="F35" s="44">
        <v>1668</v>
      </c>
      <c r="G35" s="51">
        <v>0</v>
      </c>
      <c r="H35" s="46">
        <v>119</v>
      </c>
      <c r="I35" s="56">
        <v>5.6</v>
      </c>
      <c r="J35" s="36"/>
      <c r="K35" s="37"/>
      <c r="L35" s="37"/>
      <c r="M35" s="37"/>
    </row>
    <row r="36" spans="1:13" ht="14.25" customHeight="1">
      <c r="A36" s="323" t="s">
        <v>139</v>
      </c>
      <c r="B36" s="38">
        <v>43</v>
      </c>
      <c r="C36" s="35">
        <f t="shared" si="0"/>
        <v>1779</v>
      </c>
      <c r="D36" s="46">
        <v>1779</v>
      </c>
      <c r="E36" s="46">
        <v>1779</v>
      </c>
      <c r="F36" s="46">
        <v>1668</v>
      </c>
      <c r="G36" s="51">
        <v>0</v>
      </c>
      <c r="H36" s="46">
        <v>299</v>
      </c>
      <c r="I36" s="56">
        <v>3.6</v>
      </c>
      <c r="J36" s="36"/>
      <c r="K36" s="37"/>
      <c r="L36" s="37"/>
      <c r="M36" s="37"/>
    </row>
    <row r="37" spans="1:13" ht="14.25" customHeight="1">
      <c r="A37" s="323" t="s">
        <v>140</v>
      </c>
      <c r="B37" s="38">
        <v>47</v>
      </c>
      <c r="C37" s="35">
        <f t="shared" si="0"/>
        <v>1668</v>
      </c>
      <c r="D37" s="46">
        <v>1668</v>
      </c>
      <c r="E37" s="46">
        <v>1668</v>
      </c>
      <c r="F37" s="46">
        <v>1668</v>
      </c>
      <c r="G37" s="51">
        <v>0</v>
      </c>
      <c r="H37" s="46">
        <v>119</v>
      </c>
      <c r="I37" s="56">
        <v>5.6</v>
      </c>
      <c r="J37" s="36"/>
      <c r="K37" s="37"/>
      <c r="L37" s="37"/>
      <c r="M37" s="37"/>
    </row>
    <row r="38" spans="1:13" ht="14.25" customHeight="1">
      <c r="A38" s="43" t="s">
        <v>141</v>
      </c>
      <c r="B38" s="38">
        <v>13</v>
      </c>
      <c r="C38" s="35">
        <f t="shared" si="0"/>
        <v>2205</v>
      </c>
      <c r="D38" s="46">
        <v>2205</v>
      </c>
      <c r="E38" s="46">
        <v>2205</v>
      </c>
      <c r="F38" s="46">
        <v>2205</v>
      </c>
      <c r="G38" s="42">
        <v>0</v>
      </c>
      <c r="H38" s="39">
        <v>85</v>
      </c>
      <c r="I38" s="56">
        <v>3.3</v>
      </c>
      <c r="J38" s="36"/>
      <c r="K38" s="37"/>
      <c r="L38" s="37"/>
      <c r="M38" s="37"/>
    </row>
    <row r="39" spans="1:13" ht="14.25" customHeight="1">
      <c r="A39" s="43" t="s">
        <v>142</v>
      </c>
      <c r="B39" s="38">
        <v>33</v>
      </c>
      <c r="C39" s="35">
        <f t="shared" si="0"/>
        <v>2205</v>
      </c>
      <c r="D39" s="46">
        <v>2205</v>
      </c>
      <c r="E39" s="46">
        <v>2205</v>
      </c>
      <c r="F39" s="46">
        <v>2205</v>
      </c>
      <c r="G39" s="42">
        <v>0</v>
      </c>
      <c r="H39" s="39">
        <v>265</v>
      </c>
      <c r="I39" s="56">
        <v>4.0999999999999996</v>
      </c>
      <c r="J39" s="36"/>
      <c r="K39" s="37"/>
      <c r="L39" s="37"/>
      <c r="M39" s="37"/>
    </row>
    <row r="40" spans="1:13" ht="14.25" customHeight="1">
      <c r="A40" s="43" t="s">
        <v>143</v>
      </c>
      <c r="B40" s="38">
        <v>350</v>
      </c>
      <c r="C40" s="35">
        <f t="shared" si="0"/>
        <v>1590</v>
      </c>
      <c r="D40" s="38">
        <v>1590</v>
      </c>
      <c r="E40" s="52">
        <v>1590</v>
      </c>
      <c r="F40" s="46">
        <v>1590</v>
      </c>
      <c r="G40" s="42">
        <v>0</v>
      </c>
      <c r="H40" s="46">
        <v>153</v>
      </c>
      <c r="I40" s="56">
        <v>3.3</v>
      </c>
      <c r="J40" s="53"/>
      <c r="K40" s="37"/>
      <c r="L40" s="37"/>
      <c r="M40" s="37"/>
    </row>
    <row r="41" spans="1:13" ht="14.25" customHeight="1">
      <c r="A41" s="43" t="s">
        <v>144</v>
      </c>
      <c r="B41" s="38">
        <v>394</v>
      </c>
      <c r="C41" s="35">
        <f t="shared" si="0"/>
        <v>1590</v>
      </c>
      <c r="D41" s="38">
        <v>1590</v>
      </c>
      <c r="E41" s="52">
        <v>1590</v>
      </c>
      <c r="F41" s="46">
        <v>1590</v>
      </c>
      <c r="G41" s="42">
        <v>0</v>
      </c>
      <c r="H41" s="46">
        <v>333</v>
      </c>
      <c r="I41" s="56">
        <v>4.7</v>
      </c>
      <c r="J41" s="53"/>
      <c r="K41" s="37"/>
      <c r="L41" s="37"/>
      <c r="M41" s="37"/>
    </row>
    <row r="42" spans="1:13" ht="14.25" customHeight="1">
      <c r="A42" s="43" t="s">
        <v>145</v>
      </c>
      <c r="B42" s="54">
        <v>541</v>
      </c>
      <c r="C42" s="56">
        <f t="shared" si="0"/>
        <v>2300</v>
      </c>
      <c r="D42" s="54">
        <v>2300</v>
      </c>
      <c r="E42" s="54">
        <v>2300</v>
      </c>
      <c r="F42" s="60">
        <v>2300</v>
      </c>
      <c r="G42" s="60">
        <v>0</v>
      </c>
      <c r="H42" s="60">
        <v>105</v>
      </c>
      <c r="I42" s="56">
        <v>4.0999999999999996</v>
      </c>
      <c r="J42" s="63"/>
      <c r="K42" s="49"/>
      <c r="L42" s="49"/>
      <c r="M42" s="49"/>
    </row>
    <row r="43" spans="1:13" ht="14.25" customHeight="1">
      <c r="A43" s="43" t="s">
        <v>5</v>
      </c>
      <c r="B43" s="69">
        <v>541</v>
      </c>
      <c r="C43" s="56">
        <f t="shared" si="0"/>
        <v>2300</v>
      </c>
      <c r="D43" s="69">
        <v>2300</v>
      </c>
      <c r="E43" s="69">
        <v>2300</v>
      </c>
      <c r="F43" s="69">
        <v>2300</v>
      </c>
      <c r="G43" s="69">
        <v>0</v>
      </c>
      <c r="H43" s="69">
        <v>285</v>
      </c>
      <c r="I43" s="56">
        <v>3.3</v>
      </c>
      <c r="J43" s="70"/>
      <c r="K43" s="49"/>
      <c r="L43" s="49"/>
      <c r="M43" s="49"/>
    </row>
    <row r="44" spans="1:13" ht="14.25" customHeight="1">
      <c r="A44" s="49" t="s">
        <v>146</v>
      </c>
      <c r="B44" s="49">
        <v>1503</v>
      </c>
      <c r="C44" s="49">
        <v>1594</v>
      </c>
      <c r="D44" s="49">
        <v>1594</v>
      </c>
      <c r="E44" s="49">
        <v>1594</v>
      </c>
      <c r="F44" s="49">
        <v>1445</v>
      </c>
      <c r="G44" s="49">
        <v>0</v>
      </c>
      <c r="H44" s="49">
        <v>150</v>
      </c>
      <c r="I44" s="49">
        <v>2.4</v>
      </c>
      <c r="J44" s="49"/>
      <c r="K44" s="49">
        <v>150</v>
      </c>
      <c r="L44" s="71" t="s">
        <v>147</v>
      </c>
      <c r="M44" s="49"/>
    </row>
    <row r="45" spans="1:13" ht="14.25" customHeight="1">
      <c r="A45" s="1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</row>
    <row r="46" spans="1:13" ht="33.75" customHeight="1">
      <c r="A46" s="73" t="s">
        <v>148</v>
      </c>
      <c r="B46" s="72" t="s">
        <v>149</v>
      </c>
      <c r="C46" s="72"/>
      <c r="D46" s="72" t="s">
        <v>150</v>
      </c>
      <c r="E46" s="72" t="s">
        <v>150</v>
      </c>
      <c r="F46" s="72" t="s">
        <v>149</v>
      </c>
      <c r="G46" s="75" t="s">
        <v>151</v>
      </c>
      <c r="H46" s="75" t="s">
        <v>149</v>
      </c>
      <c r="I46" s="75" t="s">
        <v>152</v>
      </c>
      <c r="J46" s="72"/>
      <c r="K46" s="72"/>
      <c r="L46" s="72"/>
      <c r="M46" s="72"/>
    </row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2">
    <mergeCell ref="F1:F3"/>
    <mergeCell ref="G1:G3"/>
    <mergeCell ref="A1:A4"/>
    <mergeCell ref="B1:B3"/>
    <mergeCell ref="C1:C3"/>
    <mergeCell ref="D1:D3"/>
    <mergeCell ref="E1:E3"/>
    <mergeCell ref="H1:H3"/>
    <mergeCell ref="I1:I3"/>
    <mergeCell ref="J1:J3"/>
    <mergeCell ref="K1:M1"/>
    <mergeCell ref="N6:N7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/>
  </sheetViews>
  <sheetFormatPr defaultColWidth="14.42578125" defaultRowHeight="15" customHeight="1"/>
  <cols>
    <col min="1" max="1" width="8.85546875" customWidth="1"/>
    <col min="2" max="2" width="20.42578125" customWidth="1"/>
    <col min="3" max="3" width="13.7109375" customWidth="1"/>
    <col min="4" max="4" width="8.85546875" style="2" customWidth="1"/>
    <col min="5" max="6" width="14.42578125" customWidth="1"/>
  </cols>
  <sheetData>
    <row r="1" spans="2:4" ht="14.25" customHeight="1">
      <c r="B1" s="1" t="s">
        <v>153</v>
      </c>
      <c r="C1" s="1"/>
      <c r="D1" s="2" t="s">
        <v>154</v>
      </c>
    </row>
    <row r="2" spans="2:4" ht="14.25" customHeight="1">
      <c r="B2" s="2"/>
      <c r="C2" s="2"/>
    </row>
    <row r="3" spans="2:4" ht="14.25" customHeight="1">
      <c r="B3" s="1" t="s">
        <v>155</v>
      </c>
      <c r="C3" s="1" t="s">
        <v>156</v>
      </c>
      <c r="D3" s="1" t="s">
        <v>44</v>
      </c>
    </row>
    <row r="4" spans="2:4" ht="14.25" customHeight="1">
      <c r="B4" s="3">
        <v>1</v>
      </c>
      <c r="C4" s="3">
        <v>2.9</v>
      </c>
      <c r="D4" s="2">
        <v>4</v>
      </c>
    </row>
    <row r="5" spans="2:4" ht="14.25" customHeight="1">
      <c r="B5" s="4">
        <v>2</v>
      </c>
      <c r="C5" s="4">
        <v>2.7</v>
      </c>
      <c r="D5" s="2">
        <v>9</v>
      </c>
    </row>
    <row r="6" spans="2:4" ht="14.25" customHeight="1">
      <c r="B6" s="4">
        <v>3</v>
      </c>
      <c r="C6" s="4">
        <v>2.4</v>
      </c>
      <c r="D6" s="2">
        <v>14</v>
      </c>
    </row>
    <row r="7" spans="2:4" ht="14.25" customHeight="1">
      <c r="B7" s="4">
        <v>4</v>
      </c>
      <c r="C7" s="4">
        <v>2.2000000000000002</v>
      </c>
      <c r="D7" s="2">
        <v>20</v>
      </c>
    </row>
    <row r="8" spans="2:4" ht="14.25" customHeight="1">
      <c r="B8" s="4">
        <v>5</v>
      </c>
      <c r="C8" s="4">
        <v>2</v>
      </c>
      <c r="D8" s="2">
        <v>25</v>
      </c>
    </row>
    <row r="9" spans="2:4" ht="14.25" customHeight="1">
      <c r="B9" s="4">
        <v>6</v>
      </c>
      <c r="C9" s="4">
        <v>1.67</v>
      </c>
      <c r="D9" s="2">
        <v>25</v>
      </c>
    </row>
    <row r="10" spans="2:4" ht="14.25" customHeight="1">
      <c r="B10" s="5"/>
      <c r="C10" s="5"/>
      <c r="D10" s="2">
        <v>25</v>
      </c>
    </row>
    <row r="11" spans="2:4" ht="14.25" customHeight="1">
      <c r="B11" s="2"/>
      <c r="C11" s="2"/>
    </row>
    <row r="12" spans="2:4" ht="14.25" customHeight="1">
      <c r="B12" s="1" t="s">
        <v>157</v>
      </c>
      <c r="C12" s="2"/>
    </row>
    <row r="13" spans="2:4"/>
    <row r="14" spans="2:4"/>
    <row r="15" spans="2:4"/>
    <row r="16" spans="2:4"/>
    <row r="17" spans="2:9"/>
    <row r="18" spans="2:9"/>
    <row r="19" spans="2:9" ht="14.25" customHeight="1">
      <c r="B19" s="1" t="s">
        <v>158</v>
      </c>
    </row>
    <row r="20" spans="2:9" ht="14.25" customHeight="1">
      <c r="B20" s="2"/>
    </row>
    <row r="21" spans="2:9" ht="14.25" customHeight="1">
      <c r="B21" s="1"/>
    </row>
    <row r="22" spans="2:9" ht="14.25" customHeight="1">
      <c r="B22" s="3"/>
    </row>
    <row r="23" spans="2:9" ht="14.25" customHeight="1">
      <c r="B23" s="4"/>
    </row>
    <row r="24" spans="2:9" ht="14.25" customHeight="1">
      <c r="B24" s="5"/>
    </row>
    <row r="25" spans="2:9" ht="14.25" customHeight="1">
      <c r="B25" s="2"/>
    </row>
    <row r="26" spans="2:9" ht="14.25" customHeight="1">
      <c r="B26" s="2"/>
    </row>
    <row r="27" spans="2:9" ht="14.25" customHeight="1">
      <c r="B27" s="1" t="s">
        <v>159</v>
      </c>
    </row>
    <row r="28" spans="2:9" ht="14.25" customHeight="1">
      <c r="B28" s="2"/>
    </row>
    <row r="29" spans="2:9" ht="14.25" customHeight="1">
      <c r="B29" s="1"/>
      <c r="I29" s="8" t="b">
        <f>IF('Take-off'!$C$11='Dropdown lists'!B34,)</f>
        <v>0</v>
      </c>
    </row>
    <row r="30" spans="2:9" ht="14.25" customHeight="1">
      <c r="B30" s="3" t="s">
        <v>160</v>
      </c>
    </row>
    <row r="31" spans="2:9" ht="14.25" customHeight="1">
      <c r="B31" s="5" t="s">
        <v>23</v>
      </c>
    </row>
    <row r="32" spans="2:9" ht="15.75" customHeight="1"/>
    <row r="33" spans="1:6" ht="14.25" customHeight="1">
      <c r="B33" s="324" t="s">
        <v>17</v>
      </c>
      <c r="D33" s="2" t="s">
        <v>156</v>
      </c>
      <c r="E33" s="8" t="s">
        <v>161</v>
      </c>
      <c r="F33" s="8" t="s">
        <v>162</v>
      </c>
    </row>
    <row r="34" spans="1:6" ht="14.25" customHeight="1">
      <c r="A34" s="12"/>
      <c r="B34" s="14" t="s">
        <v>163</v>
      </c>
      <c r="C34" s="12"/>
      <c r="D34" s="16">
        <v>0</v>
      </c>
      <c r="F34" s="8" t="s">
        <v>164</v>
      </c>
    </row>
    <row r="35" spans="1:6" ht="14.25" customHeight="1">
      <c r="A35" s="12"/>
      <c r="B35" s="18" t="s">
        <v>165</v>
      </c>
      <c r="C35" s="12"/>
      <c r="D35" s="16">
        <v>0</v>
      </c>
      <c r="F35" s="8" t="s">
        <v>164</v>
      </c>
    </row>
    <row r="36" spans="1:6" ht="14.25" customHeight="1">
      <c r="A36" s="12"/>
      <c r="B36" s="18" t="s">
        <v>166</v>
      </c>
      <c r="C36" s="12"/>
      <c r="D36" s="16">
        <v>5.0000000000000001E-3</v>
      </c>
      <c r="E36" s="8" t="s">
        <v>20</v>
      </c>
      <c r="F36" s="8" t="s">
        <v>164</v>
      </c>
    </row>
    <row r="37" spans="1:6" ht="14.25" customHeight="1">
      <c r="A37" s="12"/>
      <c r="B37" s="18" t="s">
        <v>167</v>
      </c>
      <c r="C37" s="12"/>
      <c r="D37" s="16">
        <v>0.01</v>
      </c>
      <c r="E37" s="8" t="s">
        <v>20</v>
      </c>
      <c r="F37" s="8">
        <v>50</v>
      </c>
    </row>
    <row r="38" spans="1:6" ht="14.25" customHeight="1">
      <c r="A38" s="12"/>
      <c r="B38" s="18" t="s">
        <v>168</v>
      </c>
      <c r="C38" s="12"/>
      <c r="D38" s="16">
        <v>0.02</v>
      </c>
      <c r="E38" s="8" t="s">
        <v>20</v>
      </c>
      <c r="F38" s="8">
        <v>25</v>
      </c>
    </row>
    <row r="39" spans="1:6" ht="14.25" customHeight="1">
      <c r="A39" s="12"/>
      <c r="B39" s="18" t="s">
        <v>169</v>
      </c>
      <c r="C39" s="12"/>
      <c r="D39" s="16">
        <v>0.02</v>
      </c>
      <c r="E39" s="8" t="s">
        <v>20</v>
      </c>
      <c r="F39" s="8">
        <v>25</v>
      </c>
    </row>
    <row r="40" spans="1:6" ht="14.25" customHeight="1">
      <c r="A40" s="12"/>
      <c r="B40" s="23" t="s">
        <v>18</v>
      </c>
      <c r="C40" s="12"/>
      <c r="D40" s="16">
        <v>0</v>
      </c>
      <c r="F40" s="8" t="s">
        <v>164</v>
      </c>
    </row>
    <row r="41" spans="1:6" ht="14.25" customHeight="1">
      <c r="B41" s="26"/>
    </row>
    <row r="42" spans="1:6" ht="14.25" customHeight="1">
      <c r="B42" s="2"/>
    </row>
    <row r="43" spans="1:6" ht="14.25" customHeight="1">
      <c r="B43" s="2"/>
    </row>
    <row r="44" spans="1:6" ht="14.25" customHeight="1">
      <c r="B44" s="1" t="s">
        <v>170</v>
      </c>
    </row>
    <row r="45" spans="1:6" ht="14.25" customHeight="1">
      <c r="B45" s="2"/>
    </row>
    <row r="46" spans="1:6" ht="14.25" customHeight="1">
      <c r="B46" s="1"/>
    </row>
    <row r="47" spans="1:6" ht="14.25" customHeight="1">
      <c r="B47" s="3" t="s">
        <v>171</v>
      </c>
    </row>
    <row r="48" spans="1:6" ht="14.25" customHeight="1">
      <c r="B48" s="5" t="s">
        <v>172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G1000"/>
  <sheetViews>
    <sheetView workbookViewId="0"/>
  </sheetViews>
  <sheetFormatPr defaultColWidth="14.42578125" defaultRowHeight="15" customHeight="1"/>
  <cols>
    <col min="1" max="1" width="15.7109375" customWidth="1"/>
    <col min="2" max="6" width="9.140625" customWidth="1"/>
    <col min="7" max="7" width="9" customWidth="1"/>
    <col min="8" max="10" width="9.140625" customWidth="1"/>
    <col min="11" max="11" width="10.5703125" customWidth="1"/>
    <col min="12" max="20" width="9.140625" customWidth="1"/>
    <col min="21" max="33" width="8.7109375" customWidth="1"/>
  </cols>
  <sheetData>
    <row r="1" spans="1:15" ht="14.25" customHeight="1">
      <c r="A1" s="247" t="s">
        <v>173</v>
      </c>
      <c r="B1" s="262"/>
      <c r="C1" s="262"/>
      <c r="D1" s="262"/>
      <c r="E1" s="262"/>
      <c r="F1" s="78"/>
      <c r="G1" s="78"/>
      <c r="K1" s="2"/>
      <c r="L1" s="2"/>
      <c r="M1" s="2"/>
      <c r="N1" s="2"/>
      <c r="O1" s="2"/>
    </row>
    <row r="2" spans="1:15" ht="35.25" customHeight="1">
      <c r="A2" s="79"/>
      <c r="B2" s="79"/>
      <c r="C2" s="79"/>
      <c r="D2" s="79"/>
      <c r="E2" s="79"/>
      <c r="H2" s="79" t="s">
        <v>174</v>
      </c>
      <c r="I2" s="79" t="s">
        <v>174</v>
      </c>
      <c r="J2" s="79" t="s">
        <v>175</v>
      </c>
      <c r="K2" s="81" t="s">
        <v>174</v>
      </c>
      <c r="L2" s="79" t="s">
        <v>175</v>
      </c>
      <c r="M2" s="81" t="s">
        <v>176</v>
      </c>
      <c r="N2" s="81"/>
      <c r="O2" s="81"/>
    </row>
    <row r="3" spans="1:15" ht="14.25" customHeight="1">
      <c r="A3" s="248" t="s">
        <v>177</v>
      </c>
      <c r="D3" s="249" t="s">
        <v>178</v>
      </c>
      <c r="E3" s="325"/>
      <c r="H3" s="249" t="s">
        <v>178</v>
      </c>
      <c r="I3" s="325"/>
      <c r="J3" s="249" t="s">
        <v>178</v>
      </c>
      <c r="K3" s="325"/>
      <c r="L3" s="249" t="s">
        <v>178</v>
      </c>
      <c r="M3" s="325"/>
    </row>
    <row r="4" spans="1:15" ht="14.25" customHeight="1">
      <c r="A4" s="314"/>
      <c r="D4" s="250" t="s">
        <v>179</v>
      </c>
      <c r="E4" s="325"/>
      <c r="H4" s="250" t="s">
        <v>179</v>
      </c>
      <c r="I4" s="325"/>
      <c r="J4" s="250" t="s">
        <v>179</v>
      </c>
      <c r="K4" s="325"/>
      <c r="L4" s="250" t="s">
        <v>179</v>
      </c>
      <c r="M4" s="325"/>
    </row>
    <row r="5" spans="1:15" ht="14.25" customHeight="1">
      <c r="A5" s="85">
        <v>9000</v>
      </c>
      <c r="D5" s="86">
        <v>80</v>
      </c>
      <c r="E5" s="86"/>
      <c r="H5" s="86">
        <v>80</v>
      </c>
      <c r="I5" s="86"/>
      <c r="J5" s="86">
        <v>103</v>
      </c>
      <c r="K5" s="86"/>
      <c r="L5" s="86">
        <v>103</v>
      </c>
      <c r="M5" s="86"/>
    </row>
    <row r="6" spans="1:15" ht="14.25" customHeight="1">
      <c r="A6" s="87">
        <v>10000</v>
      </c>
      <c r="D6" s="89">
        <v>85</v>
      </c>
      <c r="E6" s="89"/>
      <c r="H6" s="89">
        <v>85</v>
      </c>
      <c r="I6" s="89"/>
      <c r="J6" s="89">
        <v>108</v>
      </c>
      <c r="K6" s="89"/>
      <c r="L6" s="89">
        <v>108</v>
      </c>
      <c r="M6" s="89"/>
    </row>
    <row r="7" spans="1:15" ht="14.25" customHeight="1">
      <c r="A7" s="85">
        <v>11000</v>
      </c>
      <c r="D7" s="86">
        <v>90</v>
      </c>
      <c r="E7" s="86"/>
      <c r="H7" s="86">
        <v>90</v>
      </c>
      <c r="I7" s="86"/>
      <c r="J7" s="86">
        <v>113</v>
      </c>
      <c r="K7" s="86"/>
      <c r="L7" s="86">
        <v>113</v>
      </c>
      <c r="M7" s="86"/>
    </row>
    <row r="8" spans="1:15" ht="14.25" customHeight="1">
      <c r="A8" s="87">
        <v>12000</v>
      </c>
      <c r="D8" s="89">
        <v>95</v>
      </c>
      <c r="E8" s="89"/>
      <c r="H8" s="89">
        <v>95</v>
      </c>
      <c r="I8" s="89"/>
      <c r="J8" s="89">
        <v>119</v>
      </c>
      <c r="K8" s="89"/>
      <c r="L8" s="89">
        <v>119</v>
      </c>
      <c r="M8" s="89"/>
    </row>
    <row r="9" spans="1:15" ht="14.25" customHeight="1">
      <c r="A9" s="85">
        <v>12500</v>
      </c>
      <c r="D9" s="86">
        <v>97</v>
      </c>
      <c r="E9" s="86"/>
      <c r="H9" s="86">
        <v>97</v>
      </c>
      <c r="I9" s="86"/>
      <c r="J9" s="86">
        <v>121</v>
      </c>
      <c r="K9" s="86"/>
      <c r="L9" s="86">
        <v>121</v>
      </c>
      <c r="M9" s="86"/>
    </row>
    <row r="10" spans="1:15" ht="14.25" customHeight="1">
      <c r="A10" s="91"/>
      <c r="B10" s="92"/>
      <c r="C10" s="92"/>
      <c r="D10" s="92"/>
      <c r="H10" s="2"/>
      <c r="I10" s="2"/>
      <c r="J10" s="2"/>
      <c r="K10" s="2"/>
      <c r="L10" s="2"/>
      <c r="M10" s="2"/>
    </row>
    <row r="11" spans="1:15" ht="14.25" customHeight="1">
      <c r="A11" s="251" t="s">
        <v>180</v>
      </c>
      <c r="B11" s="262"/>
      <c r="C11" s="262"/>
      <c r="D11" s="12"/>
      <c r="E11" s="12"/>
      <c r="F11" s="12"/>
      <c r="H11" s="252"/>
      <c r="I11" s="262"/>
      <c r="J11" s="262"/>
      <c r="K11" s="2"/>
      <c r="L11" s="2"/>
      <c r="M11" s="2"/>
    </row>
    <row r="12" spans="1:15" ht="14.25" customHeight="1">
      <c r="A12" s="2"/>
      <c r="B12" s="73" t="s">
        <v>181</v>
      </c>
      <c r="C12" s="88">
        <f>MATCH(MAX(A5:A9),A5:A9,0)</f>
        <v>5</v>
      </c>
      <c r="D12" s="2"/>
      <c r="E12" s="73"/>
      <c r="F12" s="88"/>
      <c r="H12" s="2"/>
      <c r="I12" s="73"/>
      <c r="J12" s="94"/>
      <c r="K12" s="2"/>
      <c r="L12" s="2"/>
      <c r="M12" s="2"/>
    </row>
    <row r="13" spans="1:15" ht="14.25" customHeight="1">
      <c r="A13" s="2"/>
      <c r="B13" s="73" t="s">
        <v>182</v>
      </c>
      <c r="C13" s="88">
        <f>MATCH(MAX(D5),D5,0)</f>
        <v>1</v>
      </c>
      <c r="D13" s="2"/>
      <c r="E13" s="73"/>
      <c r="F13" s="88"/>
      <c r="H13" s="2"/>
      <c r="I13" s="73"/>
      <c r="J13" s="94"/>
      <c r="K13" s="2"/>
      <c r="L13" s="2"/>
      <c r="M13" s="2"/>
    </row>
    <row r="14" spans="1:15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5" ht="14.25" customHeight="1">
      <c r="D15" s="95" t="s">
        <v>183</v>
      </c>
      <c r="E15" s="26" t="str">
        <f>D4</f>
        <v>Vref</v>
      </c>
      <c r="F15" s="26"/>
      <c r="H15" s="95"/>
      <c r="I15" s="26" t="str">
        <f>H4</f>
        <v>Vref</v>
      </c>
      <c r="J15" s="26"/>
      <c r="K15" s="26" t="str">
        <f>J4</f>
        <v>Vref</v>
      </c>
      <c r="L15" s="2"/>
      <c r="M15" s="26" t="str">
        <f>L4</f>
        <v>Vref</v>
      </c>
    </row>
    <row r="16" spans="1:15" ht="14.25" customHeight="1">
      <c r="D16" s="96" t="s">
        <v>184</v>
      </c>
      <c r="E16" s="97">
        <f>Landing!C11</f>
        <v>12500</v>
      </c>
      <c r="F16" s="97"/>
      <c r="H16" s="98"/>
      <c r="I16" s="97">
        <f>'Take-off'!C14</f>
        <v>12500</v>
      </c>
      <c r="J16" s="97"/>
      <c r="K16" s="97">
        <f>'Take-off'!C14</f>
        <v>12500</v>
      </c>
      <c r="L16" s="2"/>
      <c r="M16" s="97">
        <f>Landing!C11</f>
        <v>12500</v>
      </c>
    </row>
    <row r="17" spans="1:20" ht="14.25" customHeight="1">
      <c r="D17" s="73" t="s">
        <v>185</v>
      </c>
      <c r="E17" s="100">
        <f t="array" ref="E17">INDEX($A$5:$A$9,MATCH(E16,$A$5:$A$9,1))</f>
        <v>12500</v>
      </c>
      <c r="F17" s="100"/>
      <c r="H17" s="73"/>
      <c r="I17" s="100">
        <f t="array" ref="I17">INDEX($A$5:$A$9,MATCH(I16,$A$5:$A$9,1))</f>
        <v>12500</v>
      </c>
      <c r="J17" s="100"/>
      <c r="K17" s="100">
        <f t="array" ref="K17">INDEX($A$5:$A$9,MATCH(K16,$A$5:$A$9,1))</f>
        <v>12500</v>
      </c>
      <c r="L17" s="2"/>
      <c r="M17" s="100">
        <f t="array" ref="M17">INDEX($A$5:$A$9,MATCH(M16,$A$5:$A$9,1))</f>
        <v>12500</v>
      </c>
      <c r="P17" s="2"/>
      <c r="Q17" s="2"/>
      <c r="R17" s="2"/>
      <c r="S17" s="2"/>
      <c r="T17" s="2"/>
    </row>
    <row r="18" spans="1:20" ht="14.25" customHeight="1">
      <c r="D18" s="73" t="s">
        <v>186</v>
      </c>
      <c r="E18" s="100">
        <f t="array" ref="E18">INDEX($A$5:$A$9,IF(MATCH(E16,$A$5:$A$9,1)&lt;$C$12,MATCH(E16,$A$5:$A$9,1)+1,MATCH(E16,$A$5:$A$9,1)))</f>
        <v>12500</v>
      </c>
      <c r="F18" s="100"/>
      <c r="H18" s="73"/>
      <c r="I18" s="100">
        <f t="array" ref="I18">INDEX($A$5:$A$9,IF(MATCH(I16,$A$5:$A$9,1)&lt;$C$12,MATCH(I16,$A$5:$A$9,1)+1,MATCH(I16,$A$5:$A$9,1)))</f>
        <v>12500</v>
      </c>
      <c r="J18" s="100"/>
      <c r="K18" s="100">
        <f t="array" ref="K18">INDEX($A$5:$A$9,IF(MATCH(K16,$A$5:$A$9,1)&lt;$C$12,MATCH(K16,$A$5:$A$9,1)+1,MATCH(K16,$A$5:$A$9,1)))</f>
        <v>12500</v>
      </c>
      <c r="L18" s="2"/>
      <c r="M18" s="100">
        <f t="array" ref="M18">INDEX($A$5:$A$9,IF(MATCH(M16,$A$5:$A$9,1)&lt;$C$12,MATCH(M16,$A$5:$A$9,1)+1,MATCH(M16,$A$5:$A$9,1)))</f>
        <v>12500</v>
      </c>
      <c r="P18" s="2"/>
      <c r="Q18" s="2"/>
      <c r="R18" s="2"/>
      <c r="S18" s="2"/>
      <c r="T18" s="2"/>
    </row>
    <row r="19" spans="1:20" ht="14.25" customHeight="1">
      <c r="D19" s="98" t="s">
        <v>187</v>
      </c>
      <c r="E19" s="97">
        <f t="array" ref="E19">INDEX(D5:D9,MATCH(E16,$A$5:$A$9,1),MATCH(E15,D4,1))</f>
        <v>97</v>
      </c>
      <c r="F19" s="97"/>
      <c r="H19" s="98"/>
      <c r="I19" s="97">
        <f t="array" ref="I19">INDEX(H5:H9,MATCH(I16,$A$5:$A$9,1),MATCH(I15,H4,1))</f>
        <v>97</v>
      </c>
      <c r="J19" s="97"/>
      <c r="K19" s="97">
        <f t="array" ref="K19">INDEX(J5:J9,MATCH(K16,$A$5:$A$9,1),MATCH(K15,J4,1))</f>
        <v>121</v>
      </c>
      <c r="L19" s="2"/>
      <c r="M19" s="97">
        <f t="array" ref="M19">INDEX(L5:L9,MATCH(M16,$A$5:$A$9,1),MATCH(M15,L4,1))</f>
        <v>121</v>
      </c>
      <c r="P19" s="2"/>
      <c r="Q19" s="2"/>
      <c r="R19" s="2"/>
      <c r="S19" s="2"/>
      <c r="T19" s="2"/>
    </row>
    <row r="20" spans="1:20" ht="14.25" customHeight="1">
      <c r="D20" s="98" t="s">
        <v>188</v>
      </c>
      <c r="E20" s="97">
        <f t="array" ref="E20">INDEX(D5:D9,IF(MATCH(E16,$A$5:$A$9,1)&lt;$C$12,MATCH(E16,$A$5:$A$9,1)+1,MATCH(E16,$A$5:$A$9,1)),MATCH(E15,D4,1))</f>
        <v>97</v>
      </c>
      <c r="F20" s="97"/>
      <c r="H20" s="98"/>
      <c r="I20" s="97">
        <f t="array" ref="I20">INDEX(H5:H9,IF(MATCH(I16,$A$5:$A$9,1)&lt;$C$12,MATCH(I16,$A$5:$A$9,1)+1,MATCH(I16,$A$5:$A$9,1)),MATCH(I15,H4,1))</f>
        <v>97</v>
      </c>
      <c r="J20" s="97"/>
      <c r="K20" s="97">
        <f t="array" ref="K20">INDEX(J5:J9,IF(MATCH(K16,$A$5:$A$9,1)&lt;$C$12,MATCH(K16,$A$5:$A$9,1)+1,MATCH(K16,$A$5:$A$9,1)),MATCH(K15,J4,1))</f>
        <v>121</v>
      </c>
      <c r="L20" s="2"/>
      <c r="M20" s="97">
        <f t="array" ref="M20">INDEX(L5:L9,IF(MATCH(M16,$A$5:$A$9,1)&lt;$C$12,MATCH(M16,$A$5:$A$9,1)+1,MATCH(M16,$A$5:$A$9,1)),MATCH(M15,L4,1))</f>
        <v>121</v>
      </c>
      <c r="P20" s="2"/>
      <c r="Q20" s="2"/>
      <c r="R20" s="2"/>
      <c r="S20" s="2"/>
      <c r="T20" s="2"/>
    </row>
    <row r="21" spans="1:20" ht="14.25" customHeight="1">
      <c r="D21" s="98" t="s">
        <v>189</v>
      </c>
      <c r="E21" s="97">
        <f>IFERROR(E19+(E16-E17)*(E20-E19)/(E18-E17),E19)</f>
        <v>97</v>
      </c>
      <c r="F21" s="97"/>
      <c r="H21" s="98"/>
      <c r="I21" s="97">
        <f>IFERROR(I19+(I16-I17)*(I20-I19)/(I18-I17),I19)</f>
        <v>97</v>
      </c>
      <c r="J21" s="97"/>
      <c r="K21" s="97">
        <f>IFERROR(K19+(K16-K17)*(K20-K19)/(K18-K17),K19)</f>
        <v>121</v>
      </c>
      <c r="L21" s="2"/>
      <c r="M21" s="97">
        <f>IFERROR(M19+(M16-M17)*(M20-M19)/(M18-M17),M19)</f>
        <v>121</v>
      </c>
      <c r="P21" s="2"/>
      <c r="Q21" s="2"/>
      <c r="R21" s="2"/>
      <c r="S21" s="2"/>
      <c r="T21" s="2"/>
    </row>
    <row r="22" spans="1:20" ht="14.25" customHeight="1"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ht="14.25" customHeight="1">
      <c r="A23" s="12"/>
      <c r="B23" s="12"/>
      <c r="C23" s="12"/>
      <c r="D23" s="12"/>
      <c r="E23" s="12"/>
      <c r="F23" s="12"/>
      <c r="L23" s="247"/>
      <c r="M23" s="262"/>
      <c r="N23" s="262"/>
      <c r="O23" s="262"/>
      <c r="P23" s="262"/>
      <c r="Q23" s="262"/>
      <c r="R23" s="262"/>
      <c r="S23" s="2"/>
      <c r="T23" s="2"/>
    </row>
    <row r="24" spans="1:20" ht="14.25" customHeight="1"/>
    <row r="25" spans="1:20" ht="14.25" customHeight="1"/>
    <row r="26" spans="1:20" ht="14.25" customHeight="1"/>
    <row r="27" spans="1:20" ht="14.25" customHeight="1"/>
    <row r="28" spans="1:20" ht="14.25" customHeight="1"/>
    <row r="29" spans="1:20" ht="14.25" customHeight="1">
      <c r="B29" s="2" t="s">
        <v>190</v>
      </c>
      <c r="C29" s="2"/>
      <c r="D29" s="2"/>
    </row>
    <row r="30" spans="1:20" ht="14.25" customHeight="1">
      <c r="B30" s="92"/>
      <c r="C30" s="92"/>
      <c r="D30" s="154"/>
    </row>
    <row r="31" spans="1:20" ht="14.25" customHeight="1">
      <c r="B31" s="326" t="s">
        <v>191</v>
      </c>
      <c r="C31" s="326" t="s">
        <v>192</v>
      </c>
      <c r="D31" s="326" t="s">
        <v>193</v>
      </c>
    </row>
    <row r="32" spans="1:20" ht="14.25" customHeight="1">
      <c r="B32" s="327">
        <f>IF(ABS(Landing!C17-Landing!C6)&gt;270,360-ABS(Landing!C17-Landing!C6),Landing!C17-Landing!C6)</f>
        <v>75</v>
      </c>
      <c r="C32" s="328">
        <f>IF(ABS(B32)&gt;90,ABS(COS(B32*PI()/180))*(-1),ABS(COS(B32*PI()/180)))</f>
        <v>0.25881904510252074</v>
      </c>
      <c r="D32" s="327">
        <f>IF( ISBLANK(Landing!C6), Landing!C7*-1,    Landing!C7*C32)</f>
        <v>0</v>
      </c>
    </row>
    <row r="33" spans="1:26" ht="14.25" customHeight="1">
      <c r="B33" s="95"/>
      <c r="C33" s="2"/>
      <c r="D33" s="2"/>
    </row>
    <row r="34" spans="1:26" ht="14.25" customHeight="1">
      <c r="B34" s="156"/>
      <c r="C34" s="92"/>
      <c r="D34" s="92"/>
    </row>
    <row r="35" spans="1:26" ht="14.25" customHeight="1">
      <c r="B35" s="95"/>
      <c r="C35" s="165"/>
      <c r="D35" s="95"/>
    </row>
    <row r="36" spans="1:26" ht="14.25" customHeight="1">
      <c r="B36" s="95"/>
      <c r="C36" s="95"/>
      <c r="D36" s="95"/>
    </row>
    <row r="37" spans="1:26" ht="14.25" customHeight="1">
      <c r="B37" s="95" t="s">
        <v>194</v>
      </c>
      <c r="C37" s="165">
        <f>IF(ABS(B32)&gt;90,ABS(SIN(B32*PI()/180))*(-1),ABS(SIN(B32*PI()/180)))</f>
        <v>0.96592582628906831</v>
      </c>
      <c r="D37" s="95"/>
    </row>
    <row r="38" spans="1:26" ht="14.25" customHeight="1">
      <c r="A38" s="166"/>
      <c r="B38" s="12"/>
      <c r="C38" s="12"/>
      <c r="D38" s="12"/>
      <c r="E38" s="12"/>
      <c r="F38" s="12"/>
      <c r="G38" s="12"/>
    </row>
    <row r="39" spans="1:26" ht="14.25" customHeight="1"/>
    <row r="40" spans="1:26" ht="14.25" customHeight="1">
      <c r="B40" s="12"/>
      <c r="C40" s="12"/>
      <c r="D40" s="12"/>
    </row>
    <row r="41" spans="1:26" ht="14.25" customHeight="1">
      <c r="A41" s="12"/>
      <c r="B41" s="12"/>
      <c r="C41" s="12"/>
      <c r="D41" s="12"/>
    </row>
    <row r="42" spans="1:26" ht="14.25" customHeight="1">
      <c r="A42" s="12"/>
      <c r="B42" s="12"/>
      <c r="C42" s="12"/>
      <c r="D42" s="12"/>
    </row>
    <row r="43" spans="1:26" ht="14.25" customHeight="1">
      <c r="A43" s="12"/>
      <c r="B43" s="12"/>
      <c r="C43" s="12"/>
      <c r="D43" s="12"/>
    </row>
    <row r="44" spans="1:26" ht="14.25" customHeight="1">
      <c r="A44" s="12"/>
      <c r="B44" s="12"/>
      <c r="C44" s="12"/>
      <c r="D44" s="12"/>
    </row>
    <row r="45" spans="1:26" ht="14.25" customHeight="1">
      <c r="A45" s="12"/>
      <c r="B45" s="12"/>
      <c r="C45" s="12"/>
      <c r="D45" s="12"/>
    </row>
    <row r="46" spans="1:26" ht="14.25" customHeight="1">
      <c r="A46" s="12"/>
      <c r="B46" s="12"/>
      <c r="C46" s="12"/>
      <c r="D46" s="12"/>
    </row>
    <row r="47" spans="1:26" ht="14.25" customHeight="1">
      <c r="A47" s="12"/>
      <c r="B47" s="12"/>
      <c r="C47" s="12"/>
      <c r="D47" s="12"/>
    </row>
    <row r="48" spans="1:26" ht="14.25" customHeight="1">
      <c r="A48" s="329" t="s">
        <v>62</v>
      </c>
      <c r="B48" s="329"/>
      <c r="C48" s="329"/>
      <c r="D48" s="329"/>
      <c r="E48" s="329"/>
      <c r="F48" s="329"/>
      <c r="G48" s="329"/>
      <c r="H48" s="329"/>
      <c r="I48" s="329"/>
      <c r="J48" s="329"/>
      <c r="K48" s="330"/>
      <c r="L48" s="330"/>
      <c r="M48" s="330"/>
      <c r="N48" s="331"/>
      <c r="O48" s="332"/>
      <c r="P48" s="330"/>
      <c r="Q48" s="330"/>
      <c r="R48" s="330"/>
      <c r="S48" s="330"/>
      <c r="T48" s="330"/>
      <c r="U48" s="329"/>
      <c r="V48" s="329"/>
      <c r="W48" s="329"/>
      <c r="X48" s="329"/>
      <c r="Y48" s="329"/>
      <c r="Z48" s="329"/>
    </row>
    <row r="49" spans="1:33" ht="14.25" customHeight="1">
      <c r="A49" s="12"/>
      <c r="E49" s="12"/>
      <c r="F49" s="12"/>
      <c r="G49" s="12"/>
      <c r="I49" s="167"/>
      <c r="J49" s="168"/>
      <c r="K49" s="168"/>
      <c r="L49" s="168"/>
      <c r="M49" s="168"/>
      <c r="N49" s="168"/>
      <c r="O49" s="168"/>
      <c r="P49" s="168"/>
      <c r="AD49" s="12"/>
      <c r="AE49" s="12"/>
      <c r="AF49" s="12"/>
      <c r="AG49" s="12"/>
    </row>
    <row r="50" spans="1:33" ht="14.25" customHeight="1">
      <c r="A50" s="166"/>
      <c r="E50" s="12"/>
      <c r="F50" s="12"/>
      <c r="G50" s="12"/>
      <c r="I50" s="12"/>
      <c r="J50" s="12"/>
      <c r="K50" s="12"/>
      <c r="L50" s="12"/>
      <c r="M50" s="12"/>
      <c r="N50" s="12"/>
      <c r="O50" s="12"/>
      <c r="P50" s="12"/>
      <c r="AD50" s="12"/>
      <c r="AE50" s="12"/>
      <c r="AF50" s="12"/>
      <c r="AG50" s="12"/>
    </row>
    <row r="51" spans="1:33" ht="14.25" customHeight="1">
      <c r="A51" s="166"/>
      <c r="E51" s="12"/>
      <c r="F51" s="12"/>
      <c r="G51" s="12"/>
      <c r="I51" s="12"/>
      <c r="J51" s="12"/>
      <c r="K51" s="12"/>
      <c r="L51" s="12"/>
      <c r="M51" s="12"/>
      <c r="N51" s="12"/>
      <c r="O51" s="12"/>
      <c r="P51" s="12"/>
      <c r="AD51" s="12"/>
      <c r="AE51" s="12"/>
      <c r="AF51" s="12"/>
      <c r="AG51" s="12"/>
    </row>
    <row r="52" spans="1:33" ht="14.25" customHeight="1">
      <c r="A52" s="166"/>
      <c r="E52" s="12"/>
      <c r="F52" s="12"/>
      <c r="G52" s="12"/>
      <c r="I52" s="12"/>
      <c r="J52" s="12"/>
      <c r="K52" s="12"/>
      <c r="L52" s="12"/>
      <c r="M52" s="12"/>
      <c r="N52" s="12"/>
      <c r="O52" s="12"/>
      <c r="P52" s="12"/>
      <c r="AD52" s="12"/>
      <c r="AE52" s="12"/>
      <c r="AF52" s="12"/>
      <c r="AG52" s="12"/>
    </row>
    <row r="53" spans="1:33" ht="14.25" customHeight="1">
      <c r="A53" s="166"/>
      <c r="B53" s="95" t="s">
        <v>195</v>
      </c>
      <c r="C53" s="2" t="s">
        <v>196</v>
      </c>
      <c r="D53" s="2"/>
      <c r="E53" s="12"/>
      <c r="F53" s="12"/>
      <c r="G53" s="12"/>
      <c r="I53" s="99"/>
      <c r="J53" s="12"/>
      <c r="K53" s="12"/>
      <c r="L53" s="12"/>
      <c r="M53" s="12"/>
      <c r="N53" s="12"/>
      <c r="O53" s="12"/>
      <c r="P53" s="12"/>
      <c r="AD53" s="12"/>
      <c r="AE53" s="12"/>
      <c r="AF53" s="12"/>
      <c r="AG53" s="12"/>
    </row>
    <row r="54" spans="1:33" ht="14.25" customHeight="1">
      <c r="A54" s="166"/>
      <c r="B54" s="156">
        <f>'LTL_Landing distance data'!K102</f>
        <v>682.6219512195122</v>
      </c>
      <c r="C54" s="92">
        <f>B54*C55</f>
        <v>1139.9786585365853</v>
      </c>
      <c r="D54" s="92"/>
      <c r="E54" s="12"/>
      <c r="F54" s="12"/>
      <c r="G54" s="12"/>
      <c r="I54" s="99"/>
      <c r="J54" s="12"/>
      <c r="K54" s="12"/>
      <c r="L54" s="12"/>
      <c r="M54" s="12"/>
      <c r="N54" s="12"/>
      <c r="O54" s="12"/>
      <c r="P54" s="12"/>
      <c r="AD54" s="12"/>
      <c r="AE54" s="12"/>
      <c r="AF54" s="12"/>
      <c r="AG54" s="12"/>
    </row>
    <row r="55" spans="1:33" ht="14.25" customHeight="1">
      <c r="A55" s="166"/>
      <c r="B55" s="95" t="s">
        <v>197</v>
      </c>
      <c r="C55" s="165">
        <f>IF( ISBLANK('Take-off'!C10),MIN('Dropdown lists'!C4:C10), VLOOKUP('Take-off'!C10,'Dropdown lists'!B4:C10,2))</f>
        <v>1.67</v>
      </c>
      <c r="D55" s="95"/>
      <c r="E55" s="12"/>
      <c r="F55" s="12"/>
      <c r="G55" s="12"/>
      <c r="I55" s="99"/>
      <c r="J55" s="12"/>
      <c r="K55" s="12"/>
      <c r="L55" s="12"/>
      <c r="M55" s="12"/>
      <c r="N55" s="12"/>
      <c r="O55" s="12"/>
      <c r="P55" s="12"/>
      <c r="AD55" s="12"/>
      <c r="AE55" s="12"/>
      <c r="AF55" s="12"/>
      <c r="AG55" s="12"/>
    </row>
    <row r="56" spans="1:33" ht="14.25" customHeight="1">
      <c r="A56" s="166"/>
      <c r="B56" s="95"/>
      <c r="C56" s="95"/>
      <c r="D56" s="95"/>
      <c r="E56" s="12"/>
      <c r="F56" s="12"/>
      <c r="G56" s="12"/>
      <c r="I56" s="170"/>
      <c r="J56" s="72"/>
      <c r="K56" s="72"/>
      <c r="L56" s="72"/>
      <c r="M56" s="72"/>
      <c r="N56" s="72"/>
      <c r="O56" s="72"/>
      <c r="P56" s="72"/>
      <c r="AD56" s="72"/>
      <c r="AE56" s="72"/>
      <c r="AF56" s="72"/>
      <c r="AG56" s="72"/>
    </row>
    <row r="57" spans="1:33" ht="14.25" customHeight="1">
      <c r="A57" s="166"/>
      <c r="B57" s="95"/>
      <c r="C57" s="165"/>
      <c r="D57" s="95"/>
      <c r="E57" s="12"/>
      <c r="F57" s="12"/>
      <c r="G57" s="12"/>
      <c r="I57" s="170"/>
      <c r="J57" s="72"/>
      <c r="K57" s="72"/>
      <c r="L57" s="72"/>
      <c r="M57" s="72"/>
      <c r="N57" s="72"/>
      <c r="O57" s="72"/>
      <c r="P57" s="72"/>
      <c r="AD57" s="72"/>
      <c r="AE57" s="72"/>
      <c r="AF57" s="72"/>
      <c r="AG57" s="72"/>
    </row>
    <row r="58" spans="1:33" ht="14.25" customHeight="1">
      <c r="B58" s="12"/>
      <c r="C58" s="99"/>
      <c r="I58" s="170"/>
      <c r="J58" s="72"/>
      <c r="K58" s="72"/>
      <c r="L58" s="72"/>
      <c r="M58" s="72"/>
      <c r="N58" s="72"/>
      <c r="O58" s="72"/>
      <c r="P58" s="72"/>
      <c r="AD58" s="72"/>
      <c r="AE58" s="72"/>
      <c r="AF58" s="72"/>
      <c r="AG58" s="72"/>
    </row>
    <row r="59" spans="1:33" ht="14.25" customHeight="1">
      <c r="B59" s="12"/>
      <c r="C59" s="99"/>
      <c r="I59" s="170"/>
      <c r="J59" s="72"/>
      <c r="K59" s="72"/>
      <c r="L59" s="72"/>
      <c r="M59" s="72"/>
      <c r="N59" s="72"/>
      <c r="O59" s="72"/>
      <c r="P59" s="72"/>
      <c r="AD59" s="72"/>
      <c r="AE59" s="72"/>
      <c r="AF59" s="72"/>
      <c r="AG59" s="72"/>
    </row>
    <row r="60" spans="1:33" ht="14.25" customHeight="1">
      <c r="B60" s="12"/>
      <c r="C60" s="99"/>
      <c r="I60" s="170"/>
      <c r="J60" s="72"/>
      <c r="K60" s="72"/>
      <c r="L60" s="72"/>
      <c r="M60" s="72"/>
      <c r="N60" s="72"/>
      <c r="O60" s="72"/>
      <c r="P60" s="72"/>
      <c r="AD60" s="72"/>
      <c r="AE60" s="72"/>
      <c r="AF60" s="72"/>
      <c r="AG60" s="72"/>
    </row>
    <row r="61" spans="1:33" ht="14.25" customHeight="1">
      <c r="B61" s="12"/>
      <c r="C61" s="99"/>
      <c r="I61" s="170"/>
      <c r="J61" s="72"/>
      <c r="K61" s="72"/>
      <c r="L61" s="72"/>
      <c r="M61" s="72"/>
      <c r="N61" s="72"/>
      <c r="O61" s="72"/>
      <c r="P61" s="72"/>
      <c r="AD61" s="72"/>
      <c r="AE61" s="72"/>
      <c r="AF61" s="72"/>
      <c r="AG61" s="72"/>
    </row>
    <row r="62" spans="1:33" ht="14.25" customHeight="1">
      <c r="B62" s="12"/>
      <c r="C62" s="99"/>
      <c r="I62" s="170"/>
      <c r="J62" s="72"/>
      <c r="K62" s="72"/>
      <c r="L62" s="72"/>
      <c r="M62" s="72"/>
      <c r="N62" s="72"/>
      <c r="O62" s="72"/>
      <c r="P62" s="72"/>
      <c r="AD62" s="72"/>
      <c r="AE62" s="72"/>
      <c r="AF62" s="72"/>
      <c r="AG62" s="72"/>
    </row>
    <row r="63" spans="1:33" ht="15.75" customHeight="1"/>
    <row r="64" spans="1:33" ht="15.75" customHeight="1"/>
    <row r="65" spans="1:7" ht="15.75" customHeight="1"/>
    <row r="66" spans="1:7" ht="14.25" customHeight="1">
      <c r="A66" s="247" t="s">
        <v>198</v>
      </c>
      <c r="B66" s="262"/>
      <c r="C66" s="262"/>
      <c r="D66" s="262"/>
      <c r="E66" s="262"/>
    </row>
    <row r="67" spans="1:7" ht="14.25" customHeight="1"/>
    <row r="68" spans="1:7" ht="14.25" customHeight="1">
      <c r="A68" s="253" t="s">
        <v>199</v>
      </c>
      <c r="B68" s="249" t="s">
        <v>87</v>
      </c>
      <c r="C68" s="325"/>
      <c r="D68" s="249" t="s">
        <v>174</v>
      </c>
      <c r="E68" s="325"/>
    </row>
    <row r="69" spans="1:7" ht="30" customHeight="1">
      <c r="A69" s="314"/>
      <c r="B69" s="250" t="s">
        <v>46</v>
      </c>
      <c r="C69" s="325"/>
      <c r="D69" s="250" t="s">
        <v>174</v>
      </c>
      <c r="E69" s="325"/>
    </row>
    <row r="70" spans="1:7" ht="14.25" customHeight="1">
      <c r="A70" s="87">
        <v>500</v>
      </c>
      <c r="B70" s="89">
        <v>850</v>
      </c>
      <c r="C70" s="86"/>
      <c r="D70" s="86"/>
      <c r="E70" s="86"/>
    </row>
    <row r="71" spans="1:7" ht="14.25" customHeight="1">
      <c r="A71" s="85">
        <v>1000</v>
      </c>
      <c r="B71" s="86">
        <v>1700</v>
      </c>
      <c r="C71" s="89"/>
      <c r="D71" s="89"/>
      <c r="E71" s="89"/>
    </row>
    <row r="72" spans="1:7" ht="14.25" customHeight="1">
      <c r="A72" s="87">
        <v>1500</v>
      </c>
      <c r="B72" s="89">
        <v>2550</v>
      </c>
      <c r="C72" s="86"/>
      <c r="D72" s="86"/>
      <c r="E72" s="86"/>
    </row>
    <row r="73" spans="1:7" ht="14.25" customHeight="1">
      <c r="A73" s="87">
        <v>2000</v>
      </c>
      <c r="B73" s="89">
        <v>3400</v>
      </c>
      <c r="C73" s="89"/>
      <c r="D73" s="89"/>
      <c r="E73" s="89"/>
    </row>
    <row r="74" spans="1:7" ht="14.25" customHeight="1">
      <c r="A74" s="87">
        <v>2500</v>
      </c>
      <c r="B74" s="89">
        <v>4250</v>
      </c>
      <c r="C74" s="89"/>
      <c r="D74" s="89"/>
      <c r="E74" s="89"/>
    </row>
    <row r="75" spans="1:7" ht="14.25" customHeight="1">
      <c r="A75" s="87">
        <v>2900</v>
      </c>
      <c r="B75" s="89">
        <v>5000</v>
      </c>
      <c r="C75" s="89"/>
      <c r="D75" s="89"/>
      <c r="E75" s="89"/>
      <c r="G75" s="8" t="s">
        <v>200</v>
      </c>
    </row>
    <row r="76" spans="1:7" ht="14.25" customHeight="1">
      <c r="A76" s="85">
        <v>3500</v>
      </c>
      <c r="B76" s="86">
        <v>99999</v>
      </c>
      <c r="C76" s="86"/>
      <c r="D76" s="86"/>
      <c r="E76" s="86"/>
    </row>
    <row r="77" spans="1:7" ht="14.25" customHeight="1">
      <c r="A77" s="91"/>
      <c r="B77" s="92"/>
      <c r="C77" s="92"/>
      <c r="D77" s="92"/>
    </row>
    <row r="78" spans="1:7" ht="14.25" customHeight="1">
      <c r="A78" s="251" t="s">
        <v>180</v>
      </c>
      <c r="B78" s="262"/>
      <c r="C78" s="262"/>
      <c r="D78" s="12"/>
      <c r="E78" s="12"/>
    </row>
    <row r="79" spans="1:7" ht="14.25" customHeight="1">
      <c r="A79" s="2"/>
      <c r="B79" s="73" t="s">
        <v>181</v>
      </c>
      <c r="C79" s="88">
        <f>MATCH(MAX(A70:A76),A70:A76,0)</f>
        <v>7</v>
      </c>
      <c r="D79" s="73"/>
    </row>
    <row r="80" spans="1:7" ht="14.25" customHeight="1">
      <c r="A80" s="2"/>
      <c r="B80" s="73" t="s">
        <v>182</v>
      </c>
      <c r="C80" s="88">
        <f>MATCH(MAX(B70),B70,0)</f>
        <v>1</v>
      </c>
      <c r="D80" s="73"/>
    </row>
    <row r="81" spans="1:4" ht="14.25" customHeight="1">
      <c r="A81" s="2"/>
      <c r="B81" s="2"/>
      <c r="C81" s="2"/>
      <c r="D81" s="2"/>
    </row>
    <row r="82" spans="1:4" ht="14.25" customHeight="1">
      <c r="A82" s="95" t="s">
        <v>183</v>
      </c>
      <c r="B82" s="26" t="str">
        <f>B69</f>
        <v>UP</v>
      </c>
      <c r="C82" s="26"/>
      <c r="D82" s="26" t="str">
        <f>D69</f>
        <v>EMG RETURN</v>
      </c>
    </row>
    <row r="83" spans="1:4" ht="14.25" customHeight="1">
      <c r="A83" s="96" t="s">
        <v>184</v>
      </c>
      <c r="B83" s="97">
        <f>'LTL_Landing distance data'!C102*3.28</f>
        <v>2225.8000000000002</v>
      </c>
      <c r="C83" s="97"/>
      <c r="D83" s="97">
        <f>'LTL_Landing distance data'!K102*3.28</f>
        <v>2239</v>
      </c>
    </row>
    <row r="84" spans="1:4" ht="14.25" customHeight="1">
      <c r="A84" s="73" t="s">
        <v>185</v>
      </c>
      <c r="B84" s="100">
        <f t="array" ref="B84">INDEX(A70:A76,MATCH(B83,A70:A76,1))</f>
        <v>2000</v>
      </c>
      <c r="C84" s="100"/>
      <c r="D84" s="100">
        <f t="array" ref="D84">INDEX($A$70:$A$76,MATCH(D83,$A$70:$A$76,1))</f>
        <v>2000</v>
      </c>
    </row>
    <row r="85" spans="1:4" ht="14.25" customHeight="1">
      <c r="A85" s="73" t="s">
        <v>186</v>
      </c>
      <c r="B85" s="100">
        <f t="array" ref="B85">INDEX(A70:A76,IF(MATCH(B83,A70:A76,1)&lt;C79,MATCH(B83,A70:A76,1)+1,MATCH(B83,A70:A76,1)))</f>
        <v>2500</v>
      </c>
      <c r="C85" s="100"/>
      <c r="D85" s="100">
        <f t="array" ref="D85">INDEX($A$70:$A$76,IF(MATCH(D83,$A$70:$A$76,1)&lt;$C$79,MATCH(D83,$A$70:$A$76,1)+1,MATCH(D83,$A$70:$A$76,1)))</f>
        <v>2500</v>
      </c>
    </row>
    <row r="86" spans="1:4" ht="14.25" customHeight="1">
      <c r="A86" s="98" t="s">
        <v>187</v>
      </c>
      <c r="B86" s="97">
        <f t="array" ref="B86">INDEX(B70:B76,MATCH(B83,A70:A76,1),MATCH(B82,B69,1))</f>
        <v>3400</v>
      </c>
      <c r="C86" s="97"/>
      <c r="D86" s="97">
        <f t="array" ref="D86">INDEX(B70:B76,MATCH(D83,$A$70:$A$76,1),MATCH(D82,D69,1))</f>
        <v>3400</v>
      </c>
    </row>
    <row r="87" spans="1:4" ht="14.25" customHeight="1">
      <c r="A87" s="98" t="s">
        <v>188</v>
      </c>
      <c r="B87" s="97">
        <f t="array" ref="B87">INDEX(B70:B76,IF(MATCH(B83,A70:A76,1)&lt;C79,MATCH(B83,A70:A76,1)+1,MATCH(B83,A70:A76,1)),MATCH(B82,B69,1))</f>
        <v>4250</v>
      </c>
      <c r="C87" s="97"/>
      <c r="D87" s="97">
        <f t="array" ref="D87">INDEX(B70:B76,IF(MATCH(D83,$A$70:$A$76,1)&lt;$C$79,MATCH(D83,$A$70:$A$76,1)+1,MATCH(D83,$A$70:$A$76,1)),MATCH(D82,D69,1))</f>
        <v>4250</v>
      </c>
    </row>
    <row r="88" spans="1:4" ht="14.25" customHeight="1">
      <c r="A88" s="98" t="s">
        <v>201</v>
      </c>
      <c r="B88" s="97">
        <f>IFERROR(B86+(B83-B84)*(B87-B86)/(B85-B84),B86)</f>
        <v>3783.86</v>
      </c>
      <c r="C88" s="97"/>
      <c r="D88" s="97">
        <f>IFERROR(D86+(D83-D84)*(D87-D86)/(D85-D84),D86)</f>
        <v>3806.3</v>
      </c>
    </row>
    <row r="89" spans="1:4" ht="14.25" customHeight="1"/>
    <row r="90" spans="1:4" ht="14.25" customHeight="1"/>
    <row r="91" spans="1:4" ht="14.25" customHeight="1">
      <c r="A91" s="12"/>
      <c r="B91" s="12"/>
      <c r="C91" s="12"/>
      <c r="D91" s="12"/>
    </row>
    <row r="92" spans="1:4" ht="14.25" customHeight="1">
      <c r="A92" s="12"/>
      <c r="B92" s="12"/>
      <c r="C92" s="12"/>
      <c r="D92" s="12"/>
    </row>
    <row r="93" spans="1:4" ht="14.25" customHeight="1">
      <c r="A93" s="166"/>
      <c r="B93" s="99"/>
      <c r="C93" s="12"/>
    </row>
    <row r="94" spans="1:4" ht="14.25" customHeight="1">
      <c r="A94" s="166"/>
      <c r="B94" s="99"/>
      <c r="C94" s="12"/>
    </row>
    <row r="95" spans="1:4" ht="14.25" customHeight="1">
      <c r="B95" s="12"/>
      <c r="C95" s="12"/>
    </row>
    <row r="96" spans="1:4" ht="14.25" customHeight="1">
      <c r="B96" s="99"/>
      <c r="C96" s="12"/>
    </row>
    <row r="97" spans="2:3" ht="14.25" customHeight="1">
      <c r="B97" s="99"/>
      <c r="C97" s="12"/>
    </row>
    <row r="98" spans="2:3" ht="15.75" customHeight="1"/>
    <row r="99" spans="2:3" ht="15.75" customHeight="1"/>
    <row r="100" spans="2:3" ht="15.75" customHeight="1"/>
    <row r="101" spans="2:3" ht="15.75" customHeight="1"/>
    <row r="102" spans="2:3" ht="15.75" customHeight="1"/>
    <row r="103" spans="2:3" ht="15.75" customHeight="1"/>
    <row r="104" spans="2:3" ht="15.75" customHeight="1"/>
    <row r="105" spans="2:3" ht="15.75" customHeight="1"/>
    <row r="106" spans="2:3" ht="15.75" customHeight="1"/>
    <row r="107" spans="2:3" ht="15.75" customHeight="1"/>
    <row r="108" spans="2:3" ht="15.75" customHeight="1"/>
    <row r="109" spans="2:3" ht="15.75" customHeight="1"/>
    <row r="110" spans="2:3" ht="15.75" customHeight="1"/>
    <row r="111" spans="2:3" ht="15.75" customHeight="1"/>
    <row r="112" spans="2:3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B69:C69"/>
    <mergeCell ref="D69:E69"/>
    <mergeCell ref="A78:C78"/>
    <mergeCell ref="H4:I4"/>
    <mergeCell ref="J4:K4"/>
    <mergeCell ref="A11:C11"/>
    <mergeCell ref="H11:J11"/>
    <mergeCell ref="A66:E66"/>
    <mergeCell ref="A68:A69"/>
    <mergeCell ref="L3:M3"/>
    <mergeCell ref="D4:E4"/>
    <mergeCell ref="L4:M4"/>
    <mergeCell ref="B68:C68"/>
    <mergeCell ref="D68:E68"/>
    <mergeCell ref="L23:R23"/>
    <mergeCell ref="A1:E1"/>
    <mergeCell ref="A3:A4"/>
    <mergeCell ref="D3:E3"/>
    <mergeCell ref="H3:I3"/>
    <mergeCell ref="J3:K3"/>
  </mergeCells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1001"/>
  <sheetViews>
    <sheetView workbookViewId="0"/>
  </sheetViews>
  <sheetFormatPr defaultColWidth="14.42578125" defaultRowHeight="15" customHeight="1"/>
  <cols>
    <col min="1" max="1" width="15.7109375" customWidth="1"/>
    <col min="2" max="5" width="9.140625" customWidth="1"/>
    <col min="6" max="6" width="14" customWidth="1"/>
    <col min="7" max="7" width="9" customWidth="1"/>
    <col min="8" max="10" width="9.140625" customWidth="1"/>
    <col min="11" max="11" width="10.5703125" customWidth="1"/>
    <col min="12" max="13" width="9.140625" customWidth="1"/>
    <col min="14" max="14" width="30.85546875" customWidth="1"/>
    <col min="15" max="15" width="9.140625" customWidth="1"/>
    <col min="16" max="16" width="24.85546875" customWidth="1"/>
    <col min="17" max="17" width="18.7109375" customWidth="1"/>
    <col min="18" max="18" width="18.85546875" customWidth="1"/>
    <col min="19" max="20" width="9.140625" customWidth="1"/>
    <col min="21" max="25" width="8.7109375" customWidth="1"/>
  </cols>
  <sheetData>
    <row r="1" spans="1:20" ht="14.25" customHeight="1">
      <c r="A1" s="247" t="s">
        <v>202</v>
      </c>
      <c r="B1" s="262"/>
      <c r="C1" s="262"/>
      <c r="D1" s="262"/>
      <c r="E1" s="262"/>
      <c r="F1" s="78"/>
      <c r="G1" s="78"/>
      <c r="I1" s="12"/>
      <c r="J1" s="12"/>
      <c r="K1" s="12"/>
      <c r="L1" s="12"/>
      <c r="M1" s="12"/>
      <c r="N1" s="12"/>
      <c r="O1" s="12"/>
      <c r="P1" s="12"/>
      <c r="Q1" s="12"/>
      <c r="R1" s="2"/>
      <c r="S1" s="2"/>
      <c r="T1" s="2"/>
    </row>
    <row r="2" spans="1:20" ht="14.25" customHeight="1">
      <c r="A2" s="12" t="s">
        <v>46</v>
      </c>
      <c r="O2" s="12"/>
      <c r="P2" s="12"/>
      <c r="Q2" s="12"/>
      <c r="R2" s="2"/>
      <c r="S2" s="2"/>
      <c r="T2" s="2"/>
    </row>
    <row r="3" spans="1:20" ht="14.25" customHeight="1">
      <c r="A3" s="254" t="s">
        <v>177</v>
      </c>
      <c r="B3" s="105"/>
      <c r="C3" s="107"/>
      <c r="D3" s="105" t="s">
        <v>178</v>
      </c>
      <c r="E3" s="107"/>
      <c r="F3" s="108"/>
      <c r="G3" s="109"/>
      <c r="H3" s="108" t="s">
        <v>178</v>
      </c>
      <c r="I3" s="107"/>
      <c r="J3" s="255"/>
      <c r="K3" s="333"/>
      <c r="L3" s="12"/>
      <c r="M3" s="12"/>
      <c r="O3" s="12"/>
      <c r="P3" s="12"/>
      <c r="Q3" s="12"/>
      <c r="R3" s="2"/>
      <c r="S3" s="2"/>
      <c r="T3" s="2"/>
    </row>
    <row r="4" spans="1:20" ht="31.5" customHeight="1">
      <c r="A4" s="316"/>
      <c r="B4" s="111"/>
      <c r="C4" s="112"/>
      <c r="D4" s="111" t="s">
        <v>203</v>
      </c>
      <c r="E4" s="112"/>
      <c r="F4" s="111"/>
      <c r="G4" s="113"/>
      <c r="H4" s="114" t="s">
        <v>204</v>
      </c>
      <c r="I4" s="112"/>
      <c r="J4" s="114"/>
      <c r="K4" s="112"/>
      <c r="M4" s="12"/>
      <c r="O4" s="12"/>
      <c r="P4" s="12"/>
      <c r="Q4" s="12"/>
      <c r="R4" s="2"/>
      <c r="S4" s="2"/>
      <c r="T4" s="2"/>
    </row>
    <row r="5" spans="1:20" ht="14.25" customHeight="1">
      <c r="A5" s="115">
        <v>9000</v>
      </c>
      <c r="B5" s="116"/>
      <c r="C5" s="117"/>
      <c r="D5" s="116">
        <v>94</v>
      </c>
      <c r="E5" s="117"/>
      <c r="F5" s="116"/>
      <c r="G5" s="118"/>
      <c r="H5" s="119">
        <v>103</v>
      </c>
      <c r="I5" s="117"/>
      <c r="J5" s="120"/>
      <c r="K5" s="121"/>
      <c r="M5" s="99"/>
      <c r="O5" s="12"/>
      <c r="P5" s="12"/>
      <c r="Q5" s="12"/>
      <c r="R5" s="2"/>
      <c r="S5" s="2"/>
      <c r="T5" s="2"/>
    </row>
    <row r="6" spans="1:20" ht="14.25" customHeight="1">
      <c r="A6" s="115">
        <v>10000</v>
      </c>
      <c r="B6" s="122"/>
      <c r="C6" s="124"/>
      <c r="D6" s="122">
        <v>94</v>
      </c>
      <c r="E6" s="124"/>
      <c r="F6" s="122"/>
      <c r="G6" s="125"/>
      <c r="H6" s="122">
        <v>103</v>
      </c>
      <c r="I6" s="124"/>
      <c r="J6" s="126"/>
      <c r="K6" s="127"/>
      <c r="M6" s="99"/>
      <c r="O6" s="12"/>
      <c r="P6" s="12"/>
      <c r="Q6" s="12"/>
      <c r="R6" s="2"/>
      <c r="S6" s="2"/>
      <c r="T6" s="2"/>
    </row>
    <row r="7" spans="1:20" ht="14.25" customHeight="1">
      <c r="A7" s="115">
        <v>11000</v>
      </c>
      <c r="B7" s="122"/>
      <c r="C7" s="124"/>
      <c r="D7" s="122">
        <v>94</v>
      </c>
      <c r="E7" s="124"/>
      <c r="F7" s="122"/>
      <c r="G7" s="125"/>
      <c r="H7" s="130">
        <v>103</v>
      </c>
      <c r="I7" s="124"/>
      <c r="J7" s="126"/>
      <c r="K7" s="127"/>
      <c r="M7" s="99"/>
      <c r="O7" s="12"/>
      <c r="P7" s="12"/>
      <c r="Q7" s="12"/>
      <c r="R7" s="2"/>
      <c r="S7" s="2"/>
      <c r="T7" s="2"/>
    </row>
    <row r="8" spans="1:20" ht="14.25" customHeight="1">
      <c r="A8" s="132">
        <v>11500</v>
      </c>
      <c r="B8" s="122"/>
      <c r="C8" s="124"/>
      <c r="D8" s="122">
        <v>94</v>
      </c>
      <c r="E8" s="124"/>
      <c r="F8" s="122"/>
      <c r="G8" s="125"/>
      <c r="H8" s="122">
        <v>103</v>
      </c>
      <c r="I8" s="124"/>
      <c r="J8" s="126"/>
      <c r="K8" s="127"/>
      <c r="M8" s="99"/>
      <c r="O8" s="12"/>
      <c r="P8" s="12"/>
      <c r="Q8" s="12"/>
      <c r="R8" s="2"/>
      <c r="S8" s="2"/>
      <c r="T8" s="2"/>
    </row>
    <row r="9" spans="1:20" ht="14.25" customHeight="1">
      <c r="A9" s="132">
        <v>12000</v>
      </c>
      <c r="B9" s="122"/>
      <c r="C9" s="124"/>
      <c r="D9" s="122">
        <v>94</v>
      </c>
      <c r="E9" s="124"/>
      <c r="F9" s="122"/>
      <c r="G9" s="125"/>
      <c r="H9" s="130">
        <v>103</v>
      </c>
      <c r="I9" s="124"/>
      <c r="J9" s="126"/>
      <c r="K9" s="127"/>
      <c r="M9" s="99"/>
      <c r="O9" s="12"/>
      <c r="P9" s="12"/>
      <c r="Q9" s="12"/>
      <c r="R9" s="2"/>
      <c r="S9" s="2"/>
      <c r="T9" s="2"/>
    </row>
    <row r="10" spans="1:20" ht="14.25" customHeight="1">
      <c r="A10" s="133">
        <v>12500</v>
      </c>
      <c r="B10" s="134"/>
      <c r="C10" s="136"/>
      <c r="D10" s="134">
        <v>94</v>
      </c>
      <c r="E10" s="136"/>
      <c r="F10" s="134"/>
      <c r="G10" s="138"/>
      <c r="H10" s="139">
        <v>103</v>
      </c>
      <c r="I10" s="136"/>
      <c r="J10" s="140"/>
      <c r="K10" s="141"/>
      <c r="M10" s="99"/>
      <c r="O10" s="12"/>
      <c r="P10" s="12"/>
      <c r="Q10" s="12"/>
      <c r="R10" s="2"/>
      <c r="S10" s="2"/>
      <c r="T10" s="2"/>
    </row>
    <row r="11" spans="1:20" ht="14.25" customHeight="1">
      <c r="A11" s="91"/>
      <c r="B11" s="92"/>
      <c r="C11" s="92"/>
      <c r="D11" s="92"/>
      <c r="F11" s="12"/>
      <c r="H11" s="12"/>
      <c r="I11" s="99"/>
      <c r="J11" s="12"/>
      <c r="K11" s="99"/>
      <c r="O11" s="12"/>
      <c r="P11" s="12"/>
      <c r="Q11" s="12"/>
      <c r="R11" s="2"/>
      <c r="S11" s="2"/>
      <c r="T11" s="2"/>
    </row>
    <row r="12" spans="1:20" ht="14.25" customHeight="1">
      <c r="A12" s="93"/>
      <c r="B12" s="251"/>
      <c r="C12" s="262"/>
      <c r="D12" s="251" t="s">
        <v>205</v>
      </c>
      <c r="E12" s="262"/>
      <c r="H12" s="251" t="s">
        <v>204</v>
      </c>
      <c r="I12" s="262"/>
      <c r="J12" s="93"/>
      <c r="K12" s="93"/>
      <c r="M12" s="12"/>
      <c r="N12" s="12"/>
      <c r="O12" s="12"/>
      <c r="P12" s="12"/>
      <c r="Q12" s="12"/>
      <c r="R12" s="2"/>
      <c r="S12" s="2"/>
      <c r="T12" s="2"/>
    </row>
    <row r="13" spans="1:20" ht="14.25" customHeight="1">
      <c r="B13" s="73"/>
      <c r="C13" s="88"/>
      <c r="D13" s="73" t="s">
        <v>181</v>
      </c>
      <c r="E13" s="88">
        <f>MATCH(MAX($A5:$A10),$A5:$A10,0)</f>
        <v>6</v>
      </c>
      <c r="G13" s="88"/>
      <c r="I13" s="88">
        <f>MATCH(MAX($A5:$A10),$A5:$A10,0)</f>
        <v>6</v>
      </c>
      <c r="J13" s="88"/>
      <c r="K13" s="88"/>
      <c r="M13" s="12"/>
      <c r="N13" s="12"/>
    </row>
    <row r="14" spans="1:20" ht="14.25" customHeight="1">
      <c r="B14" s="73"/>
      <c r="C14" s="88"/>
      <c r="D14" s="73" t="s">
        <v>182</v>
      </c>
      <c r="E14" s="88">
        <f>MATCH(MAX(D5),D5,0)</f>
        <v>1</v>
      </c>
      <c r="G14" s="88"/>
      <c r="I14" s="88">
        <f>MATCH(MAX(H5),H5,0)</f>
        <v>1</v>
      </c>
      <c r="J14" s="88"/>
      <c r="K14" s="88"/>
      <c r="M14" s="12"/>
      <c r="N14" s="12"/>
    </row>
    <row r="15" spans="1:20" ht="14.25" customHeight="1">
      <c r="A15" s="2"/>
      <c r="B15" s="2"/>
      <c r="C15" s="2"/>
      <c r="D15" s="2"/>
      <c r="E15" s="2"/>
      <c r="F15" s="2"/>
      <c r="G15" s="2"/>
      <c r="H15" s="12"/>
      <c r="I15" s="12"/>
      <c r="J15" s="12"/>
      <c r="K15" s="12"/>
      <c r="M15" s="12"/>
      <c r="N15" s="12"/>
    </row>
    <row r="16" spans="1:20" ht="14.25" customHeight="1">
      <c r="B16" s="95"/>
      <c r="C16" s="26"/>
      <c r="D16" s="95" t="s">
        <v>183</v>
      </c>
      <c r="E16" s="26" t="str">
        <f>D4</f>
        <v>V1/R</v>
      </c>
      <c r="F16" s="95"/>
      <c r="G16" s="26"/>
      <c r="H16" s="12"/>
      <c r="I16" s="26" t="str">
        <f>H4</f>
        <v>V2</v>
      </c>
      <c r="J16" s="26"/>
      <c r="K16" s="26"/>
      <c r="M16" s="12"/>
      <c r="N16" s="12"/>
    </row>
    <row r="17" spans="1:25" ht="14.25" customHeight="1">
      <c r="B17" s="98"/>
      <c r="C17" s="97"/>
      <c r="D17" s="96" t="s">
        <v>184</v>
      </c>
      <c r="E17" s="97">
        <f>'Take-off'!$C$14</f>
        <v>12500</v>
      </c>
      <c r="F17" s="98"/>
      <c r="G17" s="97"/>
      <c r="H17" s="12"/>
      <c r="I17" s="97">
        <f>'Take-off'!$C$14</f>
        <v>12500</v>
      </c>
      <c r="J17" s="97"/>
      <c r="K17" s="97"/>
      <c r="M17" s="99"/>
      <c r="N17" s="99"/>
    </row>
    <row r="18" spans="1:25" ht="14.25" customHeight="1">
      <c r="B18" s="73"/>
      <c r="C18" s="100"/>
      <c r="D18" s="73" t="s">
        <v>185</v>
      </c>
      <c r="E18" s="100">
        <f t="array" ref="E18">INDEX($A5:$A10,MATCH(E17,$A5:$A10,1))</f>
        <v>12500</v>
      </c>
      <c r="F18" s="73"/>
      <c r="G18" s="100"/>
      <c r="H18" s="12"/>
      <c r="I18" s="100">
        <f t="array" ref="I18">INDEX($A5:$A10,MATCH(I17,$A5:$A10,1))</f>
        <v>12500</v>
      </c>
      <c r="J18" s="100"/>
      <c r="K18" s="100"/>
      <c r="M18" s="99"/>
      <c r="N18" s="99"/>
    </row>
    <row r="19" spans="1:25" ht="14.25" customHeight="1">
      <c r="B19" s="73"/>
      <c r="C19" s="100"/>
      <c r="D19" s="73" t="s">
        <v>186</v>
      </c>
      <c r="E19" s="100">
        <f t="array" ref="E19">INDEX($A5:$A10,IF(MATCH(E17,$A5:$A10,1)&lt;E13,MATCH(E17,$A5:$A10,1)+1,MATCH(E17,$A5:$A10,1)))</f>
        <v>12500</v>
      </c>
      <c r="F19" s="73"/>
      <c r="G19" s="100"/>
      <c r="H19" s="12"/>
      <c r="I19" s="100">
        <f t="array" ref="I19">INDEX($A5:$A10,IF(MATCH(I17,$A5:$A10,1)&lt;I13,MATCH(I17,$A5:$A10,1)+1,MATCH(I17,$A5:$A10,1)))</f>
        <v>12500</v>
      </c>
      <c r="J19" s="100"/>
      <c r="K19" s="100"/>
      <c r="M19" s="99"/>
      <c r="N19" s="99"/>
    </row>
    <row r="20" spans="1:25" ht="14.25" customHeight="1">
      <c r="B20" s="98"/>
      <c r="C20" s="97"/>
      <c r="D20" s="98" t="s">
        <v>187</v>
      </c>
      <c r="E20" s="97">
        <f t="array" ref="E20">INDEX(D5:D10,MATCH(E17,$A5:$A10,1),MATCH(E16,D4,1))</f>
        <v>94</v>
      </c>
      <c r="F20" s="98"/>
      <c r="G20" s="97"/>
      <c r="H20" s="12"/>
      <c r="I20" s="97">
        <f t="array" ref="I20">INDEX(H5:H10,MATCH(I17,$A5:$A10,1),MATCH(I16,H4,1))</f>
        <v>103</v>
      </c>
      <c r="J20" s="155"/>
      <c r="K20" s="155"/>
      <c r="M20" s="99"/>
      <c r="N20" s="99"/>
      <c r="O20" s="12"/>
      <c r="P20" s="12"/>
      <c r="Q20" s="12"/>
      <c r="R20" s="2"/>
      <c r="S20" s="2"/>
      <c r="T20" s="2"/>
    </row>
    <row r="21" spans="1:25" ht="14.25" customHeight="1">
      <c r="B21" s="98"/>
      <c r="C21" s="97"/>
      <c r="D21" s="98" t="s">
        <v>188</v>
      </c>
      <c r="E21" s="97">
        <f t="array" ref="E21">INDEX(D5:D10,IF(MATCH(E17,$A5:$A10,1)&lt;E13,MATCH(E17,$A5:$A10,1)+1,MATCH(E17,$A5:$A10,1)),MATCH(E16,D4,1))</f>
        <v>94</v>
      </c>
      <c r="F21" s="98"/>
      <c r="G21" s="97"/>
      <c r="H21" s="12"/>
      <c r="I21" s="97">
        <f t="array" ref="I21">INDEX(H5:H10,IF(MATCH(I17,$A5:$A10,1)&lt;I13,MATCH(I17,$A5:$A10,1)+1,MATCH(I17,$A5:$A10,1)),MATCH(I16,H4,1))</f>
        <v>103</v>
      </c>
      <c r="J21" s="155"/>
      <c r="K21" s="155"/>
      <c r="M21" s="99"/>
      <c r="N21" s="99"/>
      <c r="O21" s="12"/>
      <c r="P21" s="12"/>
      <c r="Q21" s="12"/>
      <c r="R21" s="2"/>
      <c r="S21" s="2"/>
      <c r="T21" s="2"/>
    </row>
    <row r="22" spans="1:25" ht="14.25" customHeight="1">
      <c r="B22" s="98"/>
      <c r="C22" s="97"/>
      <c r="D22" s="98" t="s">
        <v>189</v>
      </c>
      <c r="E22" s="97">
        <f>IFERROR(E20+(E17-E18)*(E21-E20)/(E19-E18),E20)</f>
        <v>94</v>
      </c>
      <c r="F22" s="98"/>
      <c r="G22" s="97"/>
      <c r="H22" s="12"/>
      <c r="I22" s="97">
        <f>IFERROR(I20+(I17-I18)*(I21-I20)/(I19-I18),I20)</f>
        <v>103</v>
      </c>
      <c r="J22" s="155"/>
      <c r="K22" s="155"/>
      <c r="M22" s="99"/>
      <c r="N22" s="99"/>
      <c r="O22" s="12"/>
      <c r="P22" s="12"/>
      <c r="Q22" s="12"/>
      <c r="R22" s="2"/>
      <c r="S22" s="2"/>
      <c r="T22" s="2"/>
    </row>
    <row r="23" spans="1:25" ht="14.25" customHeight="1">
      <c r="A23" s="12"/>
      <c r="C23" s="99"/>
      <c r="G23" s="99"/>
      <c r="I23" s="73"/>
      <c r="J23" s="155"/>
      <c r="K23" s="155"/>
      <c r="M23" s="2"/>
      <c r="N23" s="2"/>
      <c r="O23" s="2"/>
      <c r="P23" s="2"/>
      <c r="Q23" s="2"/>
      <c r="R23" s="2"/>
      <c r="S23" s="2"/>
      <c r="T23" s="2"/>
    </row>
    <row r="24" spans="1:25" ht="14.25" customHeight="1">
      <c r="A24" s="12"/>
      <c r="B24" s="12"/>
      <c r="C24" s="12"/>
      <c r="D24" s="12"/>
      <c r="E24" s="12"/>
      <c r="F24" s="12"/>
      <c r="L24" s="77"/>
      <c r="M24" s="77"/>
      <c r="N24" s="77"/>
      <c r="O24" s="77"/>
      <c r="P24" s="77"/>
      <c r="Q24" s="77"/>
      <c r="R24" s="77"/>
      <c r="S24" s="2"/>
      <c r="T24" s="2"/>
    </row>
    <row r="25" spans="1:25" ht="14.25" customHeight="1">
      <c r="A25" s="276" t="s">
        <v>206</v>
      </c>
      <c r="B25" s="334"/>
      <c r="C25" s="334"/>
      <c r="D25" s="334"/>
      <c r="E25" s="334"/>
      <c r="F25" s="334"/>
      <c r="G25" s="334"/>
      <c r="H25" s="334"/>
      <c r="I25" s="334"/>
      <c r="J25" s="334"/>
      <c r="K25" s="334"/>
      <c r="L25" s="335"/>
      <c r="M25" s="335"/>
      <c r="N25" s="335"/>
      <c r="O25" s="335"/>
      <c r="P25" s="335"/>
      <c r="Q25" s="335"/>
      <c r="R25" s="335"/>
      <c r="S25" s="335"/>
      <c r="T25" s="335"/>
      <c r="U25" s="334"/>
      <c r="V25" s="334"/>
      <c r="W25" s="334"/>
      <c r="X25" s="334"/>
      <c r="Y25" s="334"/>
    </row>
    <row r="26" spans="1:25" ht="14.25" customHeight="1">
      <c r="A26" s="12"/>
      <c r="B26" s="12"/>
      <c r="C26" s="12"/>
      <c r="D26" s="12"/>
      <c r="E26" s="12"/>
      <c r="F26" s="12"/>
      <c r="G26" s="12"/>
      <c r="L26" s="12"/>
      <c r="M26" s="12"/>
      <c r="N26" s="12"/>
      <c r="O26" s="12"/>
      <c r="P26" s="12"/>
      <c r="Q26" s="12"/>
      <c r="R26" s="12"/>
      <c r="S26" s="2"/>
      <c r="T26" s="2"/>
    </row>
    <row r="27" spans="1:25" ht="42" customHeight="1">
      <c r="A27" s="79"/>
      <c r="B27" s="81" t="s">
        <v>207</v>
      </c>
      <c r="C27" s="169" t="s">
        <v>208</v>
      </c>
      <c r="D27" s="79" t="s">
        <v>209</v>
      </c>
      <c r="E27" s="79" t="s">
        <v>210</v>
      </c>
      <c r="F27" s="81" t="s">
        <v>211</v>
      </c>
      <c r="G27" s="79" t="s">
        <v>212</v>
      </c>
      <c r="H27" s="79"/>
      <c r="I27" s="79" t="s">
        <v>213</v>
      </c>
      <c r="J27" s="79" t="s">
        <v>19</v>
      </c>
      <c r="K27" s="79" t="s">
        <v>214</v>
      </c>
      <c r="L27" s="79" t="s">
        <v>215</v>
      </c>
      <c r="M27" s="79" t="s">
        <v>209</v>
      </c>
      <c r="N27" s="79" t="s">
        <v>210</v>
      </c>
      <c r="O27" s="79" t="s">
        <v>216</v>
      </c>
      <c r="P27" s="79" t="s">
        <v>217</v>
      </c>
      <c r="Q27" s="79" t="s">
        <v>218</v>
      </c>
      <c r="R27" s="81"/>
      <c r="S27" s="81"/>
      <c r="T27" s="79"/>
      <c r="U27" s="79"/>
      <c r="V27" s="79"/>
      <c r="W27" s="79"/>
    </row>
    <row r="28" spans="1:25" ht="14.25" customHeight="1">
      <c r="A28" s="166" t="s">
        <v>219</v>
      </c>
      <c r="B28" s="156">
        <f>'LTL_Takeoff distance (2)'!C74/3.28</f>
        <v>487.19512195121956</v>
      </c>
      <c r="C28" s="171">
        <v>0</v>
      </c>
      <c r="D28" s="12" t="s">
        <v>164</v>
      </c>
      <c r="E28" s="12" t="s">
        <v>164</v>
      </c>
      <c r="F28" s="156">
        <f>IF('Take-off'!$C$17&gt;0, ((+'Take-off'!$C$17*5)%*SUM(B28:E28)),0 )</f>
        <v>0</v>
      </c>
      <c r="G28" s="156">
        <f>SUM(B28:F28)</f>
        <v>487.19512195121956</v>
      </c>
      <c r="I28" s="172">
        <f>VLOOKUP('Take-off'!$C$11, 'Dropdown lists'!$B$34:$D$40, 3, FALSE)</f>
        <v>0</v>
      </c>
      <c r="J28" s="8">
        <f>'Take-off'!$C$12</f>
        <v>0</v>
      </c>
      <c r="K28" s="99">
        <f t="shared" ref="K28:K32" si="0">SUM(B28:F28)</f>
        <v>487.19512195121956</v>
      </c>
      <c r="L28" s="99">
        <f t="shared" ref="L28:L29" si="1">K28*(I28*J28)</f>
        <v>0</v>
      </c>
      <c r="M28" s="8">
        <f>IF('Take-off'!$C$10&lt;5, 30%*K28, 0)</f>
        <v>0</v>
      </c>
      <c r="N28" s="8">
        <f>IF('Take-off'!$C$10&lt;3, 20%*K28, 0)</f>
        <v>0</v>
      </c>
      <c r="O28" s="99">
        <v>0</v>
      </c>
      <c r="P28" s="99"/>
      <c r="Q28" s="99">
        <f t="shared" ref="Q28:Q29" si="2">SUM(K28:O28)</f>
        <v>487.19512195121956</v>
      </c>
      <c r="R28" s="2"/>
      <c r="S28" s="2"/>
    </row>
    <row r="29" spans="1:25" ht="14.25" customHeight="1">
      <c r="A29" s="166" t="s">
        <v>220</v>
      </c>
      <c r="B29" s="156">
        <f>'LTL_Takeoff distance (2)'!C93/3.28</f>
        <v>618.10975609756099</v>
      </c>
      <c r="C29" s="171">
        <v>0</v>
      </c>
      <c r="D29" s="12" t="s">
        <v>164</v>
      </c>
      <c r="E29" s="12" t="s">
        <v>164</v>
      </c>
      <c r="F29" s="156">
        <f>IF('Take-off'!$C$17&gt;0, ((+'Take-off'!$C$17*5)%*SUM(B29:E29)),0 )</f>
        <v>0</v>
      </c>
      <c r="G29" s="156">
        <f>SUM(B29:F29)*115%</f>
        <v>710.82621951219505</v>
      </c>
      <c r="I29" s="172">
        <f>VLOOKUP('Take-off'!$C$11, 'Dropdown lists'!$B$34:$D$40, 3, FALSE)</f>
        <v>0</v>
      </c>
      <c r="J29" s="8">
        <f>'Take-off'!$C$12</f>
        <v>0</v>
      </c>
      <c r="K29" s="99">
        <f t="shared" si="0"/>
        <v>618.10975609756099</v>
      </c>
      <c r="L29" s="99">
        <f t="shared" si="1"/>
        <v>0</v>
      </c>
      <c r="M29" s="8">
        <f>IF('Take-off'!$C$10&lt;5, 30%*K29, 0)</f>
        <v>0</v>
      </c>
      <c r="N29" s="8">
        <f>IF('Take-off'!$C$10&lt;3, 20%*K29, 0)</f>
        <v>0</v>
      </c>
      <c r="O29" s="99">
        <f>15%*SUM(K29:N29)</f>
        <v>92.716463414634148</v>
      </c>
      <c r="P29" s="99"/>
      <c r="Q29" s="99">
        <f t="shared" si="2"/>
        <v>710.82621951219517</v>
      </c>
      <c r="R29" s="2"/>
      <c r="S29" s="2"/>
    </row>
    <row r="30" spans="1:25" ht="14.25" customHeight="1">
      <c r="A30" s="166" t="s">
        <v>221</v>
      </c>
      <c r="B30" s="99">
        <f>'LTL_Accelerate and GO (2)'!C74/3.28</f>
        <v>963.41463414634154</v>
      </c>
      <c r="C30" s="171">
        <v>0</v>
      </c>
      <c r="D30" s="12" t="s">
        <v>164</v>
      </c>
      <c r="E30" s="12" t="s">
        <v>164</v>
      </c>
      <c r="F30" s="156">
        <f>IF('Take-off'!$C$17&gt;0, ((+'Take-off'!$C$17*5)%*SUM(B30:E30)),0 )</f>
        <v>0</v>
      </c>
      <c r="G30" s="156">
        <f t="shared" ref="G30:G32" si="3">SUM(B30:F30)</f>
        <v>963.41463414634154</v>
      </c>
      <c r="I30" s="172">
        <f>VLOOKUP('Take-off'!$C$11, 'Dropdown lists'!$B$34:$D$40, 3, FALSE)</f>
        <v>0</v>
      </c>
      <c r="J30" s="8">
        <f>'Take-off'!$C$12</f>
        <v>0</v>
      </c>
      <c r="K30" s="99">
        <f t="shared" si="0"/>
        <v>963.41463414634154</v>
      </c>
      <c r="L30" s="99"/>
      <c r="Q30" s="99">
        <f>G30</f>
        <v>963.41463414634154</v>
      </c>
    </row>
    <row r="31" spans="1:25" ht="14.25" customHeight="1">
      <c r="A31" s="166" t="s">
        <v>222</v>
      </c>
      <c r="B31" s="99">
        <f>B30</f>
        <v>963.41463414634154</v>
      </c>
      <c r="C31" s="171">
        <v>0</v>
      </c>
      <c r="D31" s="12" t="s">
        <v>164</v>
      </c>
      <c r="E31" s="12" t="s">
        <v>164</v>
      </c>
      <c r="F31" s="156">
        <f>IF('Take-off'!$C$17&gt;0, ((+'Take-off'!$C$17*5)%*SUM(B31:E31)),0 )</f>
        <v>0</v>
      </c>
      <c r="G31" s="156">
        <f t="shared" si="3"/>
        <v>963.41463414634154</v>
      </c>
      <c r="H31" s="12" t="s">
        <v>223</v>
      </c>
      <c r="I31" s="172">
        <f>VLOOKUP('Take-off'!$C$11, 'Dropdown lists'!$B$34:$D$40, 3, FALSE)</f>
        <v>0</v>
      </c>
      <c r="J31" s="8">
        <f>'Take-off'!$C$12</f>
        <v>0</v>
      </c>
      <c r="K31" s="99">
        <f t="shared" si="0"/>
        <v>963.41463414634154</v>
      </c>
      <c r="L31" s="99">
        <f t="shared" ref="L31:L32" si="4">K31*(I31*J31)</f>
        <v>0</v>
      </c>
      <c r="M31" s="8">
        <f>IF('Take-off'!$C$10&lt;5, 30%*K31, 0)</f>
        <v>0</v>
      </c>
      <c r="N31" s="8">
        <f>IF('Take-off'!$C$10&lt;3, 20%*K31, 0)</f>
        <v>0</v>
      </c>
      <c r="O31" s="8">
        <v>0</v>
      </c>
      <c r="P31" s="8">
        <f>-20/('Take-off'!C42/100)/3.28</f>
        <v>-110.06725769848926</v>
      </c>
      <c r="Q31" s="99">
        <f>SUM(K31:P31)</f>
        <v>853.3473764478523</v>
      </c>
    </row>
    <row r="32" spans="1:25" ht="14.25" customHeight="1">
      <c r="A32" s="166" t="s">
        <v>224</v>
      </c>
      <c r="B32" s="171">
        <f>'LTL_Accelerate and stop2'!C74/3.28</f>
        <v>926.82926829268297</v>
      </c>
      <c r="C32" s="171">
        <v>0</v>
      </c>
      <c r="D32" s="12" t="s">
        <v>164</v>
      </c>
      <c r="E32" s="12" t="s">
        <v>164</v>
      </c>
      <c r="F32" s="156">
        <f>IF('Take-off'!$C$17&gt;0, ((+'Take-off'!$C$17*5)%*SUM(B32:E32)),0 )</f>
        <v>0</v>
      </c>
      <c r="G32" s="156">
        <f t="shared" si="3"/>
        <v>926.82926829268297</v>
      </c>
      <c r="I32" s="172">
        <f>VLOOKUP('Take-off'!$C$11, 'Dropdown lists'!$B$34:$D$40, 3, FALSE)</f>
        <v>0</v>
      </c>
      <c r="J32" s="8">
        <f>'Take-off'!$C$12</f>
        <v>0</v>
      </c>
      <c r="K32" s="99">
        <f t="shared" si="0"/>
        <v>926.82926829268297</v>
      </c>
      <c r="L32" s="99">
        <f t="shared" si="4"/>
        <v>0</v>
      </c>
      <c r="M32" s="8">
        <f>IF('Take-off'!$C$10&lt;5, 30%*K32, 0)</f>
        <v>0</v>
      </c>
      <c r="N32" s="8">
        <f>IF('Take-off'!$C$10&lt;3, 20%*K32, 0)</f>
        <v>0</v>
      </c>
      <c r="O32" s="8">
        <v>0</v>
      </c>
      <c r="Q32" s="99">
        <f>SUM(K32:O32)</f>
        <v>926.82926829268297</v>
      </c>
    </row>
    <row r="33" spans="1:20" ht="14.25" customHeight="1">
      <c r="A33" s="166"/>
      <c r="B33" s="326" t="s">
        <v>191</v>
      </c>
      <c r="C33" s="326" t="s">
        <v>192</v>
      </c>
      <c r="D33" s="326" t="s">
        <v>193</v>
      </c>
      <c r="E33" s="12"/>
      <c r="F33" s="166"/>
      <c r="G33" s="12"/>
      <c r="H33" s="12"/>
      <c r="I33" s="12"/>
      <c r="T33" s="2"/>
    </row>
    <row r="34" spans="1:20" ht="14.25" customHeight="1">
      <c r="A34" s="166"/>
      <c r="B34" s="327">
        <f>IF(ABS('Take-off'!C18-'Take-off'!C6)&gt;270,360-ABS('Take-off'!C18-'Take-off'!C6),'Take-off'!C18-'Take-off'!C6)</f>
        <v>75</v>
      </c>
      <c r="C34" s="328">
        <f>IF(ABS(B34)&gt;90,ABS(COS(B34*PI()/180))*(-1),ABS(COS(B34*PI()/180)))</f>
        <v>0.25881904510252074</v>
      </c>
      <c r="D34" s="327">
        <f>IF( ISBLANK('Take-off'!C6), 'Take-off'!C7*-1,    'Take-off'!C7*C34)</f>
        <v>0</v>
      </c>
      <c r="E34" s="12"/>
      <c r="F34" s="12"/>
      <c r="G34" s="176"/>
      <c r="H34" s="99"/>
      <c r="T34" s="2"/>
    </row>
    <row r="35" spans="1:20" ht="14.25" customHeight="1">
      <c r="A35" s="166" t="s">
        <v>225</v>
      </c>
      <c r="B35" s="95" t="s">
        <v>195</v>
      </c>
      <c r="C35" s="2" t="s">
        <v>196</v>
      </c>
      <c r="D35" s="2"/>
      <c r="E35" s="12"/>
      <c r="F35" s="12"/>
      <c r="G35" s="176"/>
      <c r="H35" s="99"/>
      <c r="T35" s="2"/>
    </row>
    <row r="36" spans="1:20" ht="14.25" customHeight="1">
      <c r="A36" s="166"/>
      <c r="C36" s="92"/>
      <c r="D36" s="92"/>
      <c r="E36" s="12"/>
      <c r="F36" s="12"/>
      <c r="T36" s="2"/>
    </row>
    <row r="37" spans="1:20" ht="14.25" customHeight="1">
      <c r="A37" s="166"/>
      <c r="B37" s="95"/>
      <c r="C37" s="165"/>
      <c r="D37" s="95"/>
      <c r="E37" s="12"/>
      <c r="F37" s="12"/>
      <c r="T37" s="2"/>
    </row>
    <row r="38" spans="1:20" ht="14.25" customHeight="1">
      <c r="A38" s="166"/>
      <c r="B38" s="95"/>
      <c r="C38" s="95"/>
      <c r="D38" s="95"/>
      <c r="E38" s="12"/>
      <c r="F38" s="12"/>
      <c r="T38" s="2"/>
    </row>
    <row r="39" spans="1:20" ht="14.25" customHeight="1">
      <c r="A39" s="166"/>
      <c r="B39" s="95" t="s">
        <v>194</v>
      </c>
      <c r="C39" s="165">
        <f>IF(ABS(B34)&gt;90,ABS(SIN(B34*PI()/180))*(-1),ABS(SIN(B34*PI()/180)))</f>
        <v>0.96592582628906831</v>
      </c>
      <c r="D39" s="95"/>
      <c r="E39" s="12"/>
      <c r="F39" s="12"/>
      <c r="T39" s="2"/>
    </row>
    <row r="40" spans="1:20" ht="14.25" customHeight="1">
      <c r="B40" s="12"/>
      <c r="C40" s="12"/>
      <c r="D40" s="12"/>
      <c r="E40" s="12"/>
      <c r="F40" s="12"/>
      <c r="K40" s="2"/>
      <c r="L40" s="2"/>
      <c r="P40" s="2"/>
      <c r="Q40" s="2"/>
      <c r="R40" s="177"/>
      <c r="S40" s="2"/>
      <c r="T40" s="2"/>
    </row>
    <row r="41" spans="1:20" ht="14.25" customHeight="1">
      <c r="K41" s="2"/>
      <c r="L41" s="2"/>
      <c r="M41" s="98"/>
      <c r="N41" s="97"/>
      <c r="P41" s="2"/>
      <c r="Q41" s="2"/>
      <c r="R41" s="2"/>
      <c r="S41" s="2"/>
      <c r="T41" s="2"/>
    </row>
    <row r="42" spans="1:20" ht="14.25" customHeight="1"/>
    <row r="43" spans="1:20" ht="14.25" customHeight="1">
      <c r="A43" s="12"/>
      <c r="B43" s="12"/>
      <c r="C43" s="99"/>
      <c r="D43" s="12"/>
      <c r="E43" s="12"/>
      <c r="F43" s="12"/>
      <c r="G43" s="12"/>
      <c r="H43" s="12"/>
      <c r="I43" s="12"/>
      <c r="J43" s="12"/>
      <c r="K43" s="2"/>
      <c r="L43" s="2"/>
      <c r="M43" s="73"/>
      <c r="N43" s="100"/>
      <c r="O43" s="12"/>
      <c r="P43" s="178"/>
      <c r="Q43" s="12"/>
      <c r="R43" s="12"/>
      <c r="S43" s="2"/>
      <c r="T43" s="2"/>
    </row>
    <row r="44" spans="1:20" ht="14.25" customHeight="1">
      <c r="A44" s="167"/>
      <c r="B44" s="168"/>
      <c r="C44" s="168"/>
      <c r="D44" s="168"/>
      <c r="E44" s="168"/>
      <c r="F44" s="168"/>
      <c r="G44" s="168"/>
      <c r="H44" s="168"/>
      <c r="I44" s="2"/>
      <c r="J44" s="2"/>
      <c r="K44" s="2"/>
      <c r="L44" s="2"/>
      <c r="M44" s="2"/>
      <c r="N44" s="2"/>
      <c r="O44" s="2"/>
      <c r="P44" s="12"/>
      <c r="Q44" s="179"/>
      <c r="R44" s="12"/>
      <c r="S44" s="12"/>
      <c r="T44" s="12"/>
    </row>
    <row r="45" spans="1:20" ht="14.25" customHeight="1">
      <c r="A45" s="12"/>
      <c r="B45" s="12"/>
      <c r="C45" s="12"/>
      <c r="D45" s="12"/>
      <c r="E45" s="12"/>
      <c r="F45" s="12"/>
      <c r="G45" s="12"/>
      <c r="H45" s="12"/>
      <c r="I45" s="2"/>
      <c r="J45" s="2"/>
      <c r="K45" s="2"/>
      <c r="L45" s="98"/>
      <c r="M45" s="97"/>
      <c r="N45" s="93"/>
      <c r="O45" s="12"/>
      <c r="P45" s="170"/>
      <c r="Q45" s="180"/>
      <c r="R45" s="99"/>
      <c r="S45" s="12"/>
      <c r="T45" s="12"/>
    </row>
    <row r="46" spans="1:20" ht="14.25" customHeight="1">
      <c r="A46" s="178"/>
      <c r="B46" s="88"/>
      <c r="C46" s="72"/>
      <c r="D46" s="72"/>
      <c r="E46" s="72"/>
      <c r="F46" s="72"/>
      <c r="G46" s="72"/>
      <c r="H46" s="72"/>
      <c r="I46" s="72"/>
      <c r="J46" s="72"/>
      <c r="K46" s="2"/>
      <c r="L46" s="73"/>
      <c r="M46" s="100"/>
      <c r="N46" s="73"/>
      <c r="O46" s="88"/>
      <c r="P46" s="170"/>
      <c r="Q46" s="180"/>
      <c r="R46" s="99"/>
      <c r="S46" s="12"/>
      <c r="T46" s="12"/>
    </row>
    <row r="47" spans="1:20" ht="14.25" customHeight="1">
      <c r="A47" s="12"/>
      <c r="B47" s="179"/>
      <c r="C47" s="179"/>
      <c r="D47" s="179"/>
      <c r="E47" s="179"/>
      <c r="F47" s="179"/>
      <c r="G47" s="179"/>
      <c r="H47" s="179"/>
      <c r="I47" s="179"/>
      <c r="J47" s="179"/>
      <c r="K47" s="2"/>
      <c r="L47" s="73"/>
      <c r="M47" s="100"/>
      <c r="N47" s="73"/>
      <c r="O47" s="88"/>
      <c r="P47" s="170"/>
      <c r="Q47" s="180"/>
      <c r="R47" s="99"/>
      <c r="S47" s="12"/>
      <c r="T47" s="12"/>
    </row>
    <row r="48" spans="1:20" ht="14.25" customHeight="1">
      <c r="A48" s="170"/>
      <c r="B48" s="72"/>
      <c r="C48" s="72"/>
      <c r="D48" s="72"/>
      <c r="E48" s="72"/>
      <c r="F48" s="72"/>
      <c r="G48" s="72"/>
      <c r="H48" s="72"/>
      <c r="I48" s="72"/>
      <c r="J48" s="72"/>
      <c r="K48" s="2"/>
      <c r="L48" s="98"/>
      <c r="M48" s="97"/>
      <c r="N48" s="2"/>
      <c r="O48" s="2"/>
      <c r="P48" s="170"/>
      <c r="Q48" s="180"/>
      <c r="R48" s="99"/>
      <c r="S48" s="99"/>
      <c r="T48" s="12"/>
    </row>
    <row r="49" spans="1:19" ht="14.25" customHeight="1">
      <c r="A49" s="170"/>
      <c r="B49" s="72"/>
      <c r="C49" s="72"/>
      <c r="D49" s="72"/>
      <c r="E49" s="72"/>
      <c r="F49" s="72"/>
      <c r="G49" s="72"/>
      <c r="H49" s="72"/>
      <c r="I49" s="72"/>
      <c r="J49" s="72"/>
      <c r="K49" s="2"/>
      <c r="L49" s="73"/>
      <c r="M49" s="100"/>
      <c r="N49" s="2"/>
      <c r="O49" s="92"/>
      <c r="P49" s="170"/>
      <c r="Q49" s="180"/>
      <c r="R49" s="99"/>
      <c r="S49" s="12"/>
    </row>
    <row r="50" spans="1:19" ht="14.25" customHeight="1">
      <c r="A50" s="170"/>
      <c r="B50" s="72"/>
      <c r="C50" s="72"/>
      <c r="D50" s="72"/>
      <c r="E50" s="72"/>
      <c r="F50" s="72"/>
      <c r="G50" s="72"/>
      <c r="H50" s="72"/>
      <c r="I50" s="72"/>
      <c r="J50" s="72"/>
      <c r="K50" s="2"/>
      <c r="L50" s="73"/>
      <c r="M50" s="100"/>
      <c r="N50" s="2"/>
      <c r="O50" s="92"/>
      <c r="P50" s="170"/>
      <c r="Q50" s="180"/>
      <c r="R50" s="99"/>
      <c r="S50" s="12"/>
    </row>
    <row r="51" spans="1:19" ht="14.25" customHeight="1">
      <c r="A51" s="170"/>
      <c r="B51" s="72"/>
      <c r="C51" s="72"/>
      <c r="D51" s="72"/>
      <c r="E51" s="72"/>
      <c r="F51" s="72"/>
      <c r="G51" s="72"/>
      <c r="H51" s="72"/>
      <c r="I51" s="72"/>
      <c r="J51" s="72"/>
      <c r="K51" s="2"/>
      <c r="L51" s="98"/>
      <c r="M51" s="97"/>
      <c r="N51" s="2"/>
      <c r="O51" s="92"/>
      <c r="P51" s="170"/>
      <c r="Q51" s="180"/>
      <c r="R51" s="99"/>
      <c r="S51" s="12"/>
    </row>
    <row r="52" spans="1:19" ht="14.25" customHeight="1">
      <c r="A52" s="170"/>
      <c r="B52" s="72"/>
      <c r="C52" s="72"/>
      <c r="D52" s="72"/>
      <c r="E52" s="72"/>
      <c r="F52" s="72"/>
      <c r="G52" s="72"/>
      <c r="H52" s="72"/>
      <c r="I52" s="72"/>
      <c r="J52" s="72"/>
      <c r="K52" s="2"/>
      <c r="L52" s="98"/>
      <c r="M52" s="97"/>
      <c r="N52" s="12"/>
      <c r="O52" s="92"/>
      <c r="P52" s="170"/>
      <c r="Q52" s="180"/>
      <c r="R52" s="99"/>
      <c r="S52" s="12"/>
    </row>
    <row r="53" spans="1:19" ht="14.25" customHeight="1">
      <c r="A53" s="170"/>
      <c r="B53" s="72"/>
      <c r="C53" s="72"/>
      <c r="D53" s="72"/>
      <c r="E53" s="72"/>
      <c r="F53" s="72"/>
      <c r="G53" s="72"/>
      <c r="H53" s="72"/>
      <c r="I53" s="72"/>
      <c r="J53" s="72"/>
      <c r="K53" s="2"/>
      <c r="L53" s="98"/>
      <c r="M53" s="97"/>
      <c r="N53" s="12"/>
      <c r="O53" s="92"/>
      <c r="P53" s="170"/>
      <c r="Q53" s="180"/>
      <c r="R53" s="99"/>
      <c r="S53" s="12"/>
    </row>
    <row r="54" spans="1:19" ht="14.25" customHeight="1">
      <c r="A54" s="170"/>
      <c r="B54" s="72"/>
      <c r="C54" s="72"/>
      <c r="D54" s="72"/>
      <c r="E54" s="72"/>
      <c r="F54" s="72"/>
      <c r="G54" s="72"/>
      <c r="H54" s="72"/>
      <c r="I54" s="72"/>
      <c r="J54" s="72"/>
      <c r="K54" s="2"/>
      <c r="L54" s="98"/>
      <c r="M54" s="97"/>
      <c r="N54" s="12"/>
      <c r="O54" s="12"/>
      <c r="P54" s="99"/>
      <c r="Q54" s="99"/>
      <c r="R54" s="99"/>
      <c r="S54" s="12"/>
    </row>
    <row r="55" spans="1:19" ht="14.25" customHeight="1">
      <c r="A55" s="170"/>
      <c r="B55" s="72"/>
      <c r="C55" s="72"/>
      <c r="D55" s="72"/>
      <c r="E55" s="72"/>
      <c r="F55" s="72"/>
      <c r="G55" s="72"/>
      <c r="H55" s="72"/>
      <c r="I55" s="72"/>
      <c r="J55" s="72"/>
      <c r="K55" s="2"/>
      <c r="L55" s="73"/>
      <c r="M55" s="100"/>
      <c r="N55" s="12"/>
      <c r="O55" s="12"/>
      <c r="P55" s="93"/>
      <c r="Q55" s="12"/>
      <c r="R55" s="12"/>
      <c r="S55" s="12"/>
    </row>
    <row r="56" spans="1:19" ht="14.25" customHeight="1">
      <c r="A56" s="170"/>
      <c r="B56" s="72"/>
      <c r="C56" s="72"/>
      <c r="D56" s="72"/>
      <c r="E56" s="72"/>
      <c r="F56" s="72"/>
      <c r="G56" s="72"/>
      <c r="H56" s="72"/>
      <c r="I56" s="72"/>
      <c r="J56" s="72"/>
      <c r="K56" s="2"/>
      <c r="L56" s="73"/>
      <c r="M56" s="100"/>
      <c r="N56" s="12"/>
      <c r="O56" s="12"/>
      <c r="P56" s="12"/>
      <c r="Q56" s="73"/>
      <c r="R56" s="73"/>
      <c r="S56" s="12"/>
    </row>
    <row r="57" spans="1:19" ht="14.25" customHeight="1">
      <c r="A57" s="170"/>
      <c r="B57" s="72"/>
      <c r="C57" s="72"/>
      <c r="D57" s="72"/>
      <c r="E57" s="72"/>
      <c r="F57" s="72"/>
      <c r="G57" s="72"/>
      <c r="H57" s="72"/>
      <c r="I57" s="72"/>
      <c r="J57" s="72"/>
      <c r="K57" s="2"/>
      <c r="L57" s="98"/>
      <c r="M57" s="97"/>
      <c r="N57" s="12"/>
      <c r="O57" s="12"/>
      <c r="P57" s="12"/>
      <c r="Q57" s="73"/>
      <c r="R57" s="73"/>
      <c r="S57" s="12"/>
    </row>
    <row r="58" spans="1:19" ht="14.25" customHeight="1">
      <c r="A58" s="12"/>
      <c r="B58" s="12"/>
      <c r="C58" s="12"/>
      <c r="D58" s="12"/>
      <c r="E58" s="12"/>
      <c r="F58" s="12"/>
      <c r="G58" s="12"/>
      <c r="H58" s="12"/>
      <c r="I58" s="83"/>
      <c r="J58" s="83"/>
      <c r="K58" s="83"/>
      <c r="L58" s="83"/>
      <c r="M58" s="83"/>
      <c r="N58" s="83"/>
      <c r="O58" s="83"/>
      <c r="P58" s="12"/>
      <c r="Q58" s="12"/>
      <c r="R58" s="12"/>
    </row>
    <row r="59" spans="1:19" ht="14.25" customHeight="1">
      <c r="A59" s="181"/>
      <c r="B59" s="181"/>
      <c r="C59" s="181"/>
      <c r="D59" s="181"/>
      <c r="E59" s="181"/>
      <c r="F59" s="181"/>
      <c r="G59" s="181"/>
      <c r="H59" s="181"/>
      <c r="I59" s="83"/>
      <c r="J59" s="83"/>
      <c r="K59" s="83"/>
      <c r="L59" s="83"/>
      <c r="M59" s="83"/>
      <c r="N59" s="83"/>
      <c r="O59" s="83"/>
      <c r="P59" s="12"/>
      <c r="Q59" s="12"/>
      <c r="R59" s="12"/>
    </row>
    <row r="60" spans="1:19" ht="14.25" customHeight="1">
      <c r="A60" s="12"/>
      <c r="B60" s="12"/>
      <c r="C60" s="12"/>
      <c r="D60" s="12"/>
      <c r="E60" s="12"/>
      <c r="F60" s="12"/>
      <c r="G60" s="12"/>
      <c r="H60" s="12"/>
      <c r="I60" s="83"/>
      <c r="J60" s="83"/>
      <c r="K60" s="83"/>
      <c r="L60" s="82"/>
      <c r="M60" s="182"/>
      <c r="N60" s="82"/>
      <c r="O60" s="12"/>
      <c r="P60" s="82"/>
      <c r="Q60" s="182"/>
      <c r="R60" s="99"/>
    </row>
    <row r="61" spans="1:19" ht="14.25" customHeight="1">
      <c r="A61" s="183"/>
      <c r="B61" s="12"/>
      <c r="C61" s="12"/>
      <c r="D61" s="12"/>
      <c r="E61" s="12"/>
      <c r="F61" s="12"/>
      <c r="G61" s="12"/>
      <c r="H61" s="12"/>
      <c r="I61" s="12"/>
      <c r="J61" s="12"/>
      <c r="K61" s="83"/>
      <c r="L61" s="12"/>
      <c r="M61" s="99"/>
      <c r="N61" s="12"/>
      <c r="O61" s="12"/>
      <c r="P61" s="12"/>
      <c r="Q61" s="99"/>
      <c r="R61" s="99"/>
    </row>
    <row r="62" spans="1:19" ht="14.25" customHeight="1">
      <c r="A62" s="12"/>
      <c r="B62" s="184"/>
      <c r="C62" s="184"/>
      <c r="D62" s="184"/>
      <c r="E62" s="184"/>
      <c r="F62" s="184"/>
      <c r="G62" s="184"/>
      <c r="H62" s="184"/>
      <c r="I62" s="184"/>
      <c r="J62" s="184"/>
      <c r="K62" s="83"/>
      <c r="L62" s="12"/>
      <c r="M62" s="99"/>
      <c r="N62" s="12"/>
      <c r="O62" s="12"/>
      <c r="P62" s="12"/>
      <c r="Q62" s="99"/>
      <c r="R62" s="99"/>
    </row>
    <row r="63" spans="1:19" ht="14.25" customHeight="1">
      <c r="A63" s="182"/>
      <c r="B63" s="12"/>
      <c r="C63" s="12"/>
      <c r="D63" s="12"/>
      <c r="E63" s="12"/>
      <c r="F63" s="12"/>
      <c r="G63" s="12"/>
      <c r="H63" s="12"/>
      <c r="I63" s="12"/>
      <c r="J63" s="12"/>
      <c r="K63" s="83"/>
      <c r="L63" s="82"/>
      <c r="M63" s="182"/>
      <c r="N63" s="83"/>
      <c r="O63" s="83"/>
      <c r="P63" s="82"/>
      <c r="Q63" s="182"/>
      <c r="R63" s="99"/>
    </row>
    <row r="64" spans="1:19" ht="14.25" customHeight="1">
      <c r="A64" s="182"/>
      <c r="B64" s="12"/>
      <c r="C64" s="12"/>
      <c r="D64" s="12"/>
      <c r="E64" s="12"/>
      <c r="F64" s="12"/>
      <c r="G64" s="12"/>
      <c r="H64" s="12"/>
      <c r="I64" s="12"/>
      <c r="J64" s="12"/>
      <c r="K64" s="83"/>
      <c r="L64" s="12"/>
      <c r="M64" s="99"/>
      <c r="N64" s="83"/>
      <c r="O64" s="104"/>
      <c r="P64" s="82"/>
      <c r="Q64" s="182"/>
      <c r="R64" s="99"/>
    </row>
    <row r="65" spans="1:18" ht="14.25" customHeight="1">
      <c r="A65" s="182"/>
      <c r="B65" s="12"/>
      <c r="C65" s="12"/>
      <c r="D65" s="12"/>
      <c r="E65" s="12"/>
      <c r="F65" s="12"/>
      <c r="G65" s="12"/>
      <c r="H65" s="12"/>
      <c r="I65" s="12"/>
      <c r="J65" s="12"/>
      <c r="K65" s="83"/>
      <c r="L65" s="12"/>
      <c r="M65" s="99"/>
      <c r="N65" s="83"/>
      <c r="O65" s="104"/>
      <c r="P65" s="82"/>
      <c r="Q65" s="182"/>
      <c r="R65" s="12"/>
    </row>
    <row r="66" spans="1:18" ht="14.25" customHeight="1">
      <c r="A66" s="182"/>
      <c r="B66" s="12"/>
      <c r="C66" s="12"/>
      <c r="D66" s="12"/>
      <c r="E66" s="12"/>
      <c r="F66" s="12"/>
      <c r="G66" s="12"/>
      <c r="H66" s="12"/>
      <c r="I66" s="12"/>
      <c r="J66" s="12"/>
      <c r="K66" s="83"/>
      <c r="L66" s="82"/>
      <c r="M66" s="182"/>
      <c r="N66" s="83"/>
      <c r="O66" s="104"/>
      <c r="P66" s="83"/>
      <c r="Q66" s="83"/>
      <c r="R66" s="12"/>
    </row>
    <row r="67" spans="1:18" ht="14.25" customHeight="1">
      <c r="A67" s="182"/>
      <c r="B67" s="12"/>
      <c r="C67" s="12"/>
      <c r="D67" s="12"/>
      <c r="E67" s="12"/>
      <c r="F67" s="12"/>
      <c r="G67" s="12"/>
      <c r="H67" s="12"/>
      <c r="I67" s="12"/>
      <c r="J67" s="12"/>
      <c r="K67" s="83"/>
      <c r="L67" s="82"/>
      <c r="M67" s="182"/>
      <c r="N67" s="12"/>
      <c r="O67" s="104"/>
      <c r="P67" s="83"/>
      <c r="Q67" s="83"/>
      <c r="R67" s="12"/>
    </row>
    <row r="68" spans="1:18" ht="14.25" customHeight="1">
      <c r="A68" s="182"/>
      <c r="B68" s="12"/>
      <c r="C68" s="12"/>
      <c r="D68" s="12"/>
      <c r="E68" s="12"/>
      <c r="F68" s="12"/>
      <c r="G68" s="12"/>
      <c r="H68" s="12"/>
      <c r="I68" s="12"/>
      <c r="J68" s="12"/>
      <c r="K68" s="83"/>
      <c r="L68" s="82"/>
      <c r="M68" s="182"/>
      <c r="N68" s="12"/>
      <c r="O68" s="104"/>
      <c r="P68" s="83"/>
      <c r="Q68" s="83"/>
      <c r="R68" s="12"/>
    </row>
    <row r="69" spans="1:18" ht="14.25" customHeight="1">
      <c r="A69" s="182"/>
      <c r="B69" s="12"/>
      <c r="C69" s="12"/>
      <c r="D69" s="12"/>
      <c r="E69" s="12"/>
      <c r="F69" s="12"/>
      <c r="G69" s="12"/>
      <c r="H69" s="12"/>
      <c r="I69" s="12"/>
      <c r="J69" s="12"/>
      <c r="K69" s="83"/>
      <c r="L69" s="82"/>
      <c r="M69" s="182"/>
      <c r="N69" s="12"/>
      <c r="O69" s="12"/>
      <c r="P69" s="83"/>
      <c r="Q69" s="83"/>
      <c r="R69" s="12"/>
    </row>
    <row r="70" spans="1:18" ht="14.25" customHeight="1">
      <c r="A70" s="182"/>
      <c r="B70" s="12"/>
      <c r="C70" s="12"/>
      <c r="D70" s="12"/>
      <c r="E70" s="12"/>
      <c r="F70" s="12"/>
      <c r="G70" s="12"/>
      <c r="H70" s="12"/>
      <c r="I70" s="12"/>
      <c r="J70" s="12"/>
      <c r="K70" s="83"/>
      <c r="L70" s="12"/>
      <c r="M70" s="99"/>
      <c r="N70" s="12"/>
      <c r="O70" s="12"/>
      <c r="P70" s="83"/>
      <c r="Q70" s="83"/>
      <c r="R70" s="12"/>
    </row>
    <row r="71" spans="1:18" ht="14.25" customHeight="1">
      <c r="A71" s="182"/>
      <c r="B71" s="12"/>
      <c r="C71" s="12"/>
      <c r="D71" s="12"/>
      <c r="E71" s="12"/>
      <c r="F71" s="12"/>
      <c r="G71" s="12"/>
      <c r="H71" s="12"/>
      <c r="I71" s="12"/>
      <c r="J71" s="12"/>
      <c r="K71" s="83"/>
      <c r="L71" s="12"/>
      <c r="M71" s="99"/>
      <c r="N71" s="12"/>
      <c r="O71" s="12"/>
      <c r="P71" s="83"/>
      <c r="Q71" s="83"/>
      <c r="R71" s="12"/>
    </row>
    <row r="72" spans="1:18" ht="14.25" customHeight="1">
      <c r="A72" s="182"/>
      <c r="B72" s="12"/>
      <c r="C72" s="12"/>
      <c r="D72" s="12"/>
      <c r="E72" s="12"/>
      <c r="F72" s="12"/>
      <c r="G72" s="12"/>
      <c r="H72" s="12"/>
      <c r="I72" s="12"/>
      <c r="J72" s="12"/>
      <c r="K72" s="83"/>
      <c r="L72" s="82"/>
      <c r="M72" s="182"/>
      <c r="N72" s="12"/>
      <c r="O72" s="12"/>
      <c r="P72" s="83"/>
      <c r="Q72" s="83"/>
      <c r="R72" s="12"/>
    </row>
    <row r="73" spans="1:18" ht="14.2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83"/>
      <c r="L73" s="83"/>
      <c r="M73" s="83"/>
      <c r="N73" s="83"/>
      <c r="O73" s="83"/>
      <c r="P73" s="83"/>
      <c r="Q73" s="83"/>
      <c r="R73" s="12"/>
    </row>
    <row r="74" spans="1:18" ht="14.25" customHeight="1">
      <c r="A74" s="181"/>
      <c r="B74" s="181"/>
      <c r="C74" s="181"/>
      <c r="D74" s="181"/>
      <c r="E74" s="181"/>
      <c r="F74" s="181"/>
      <c r="G74" s="181"/>
      <c r="H74" s="181"/>
      <c r="I74" s="83"/>
      <c r="J74" s="83"/>
      <c r="K74" s="83"/>
      <c r="L74" s="83"/>
      <c r="M74" s="83"/>
      <c r="N74" s="83"/>
      <c r="O74" s="83"/>
      <c r="P74" s="83"/>
      <c r="Q74" s="83"/>
      <c r="R74" s="12"/>
    </row>
    <row r="75" spans="1:18" ht="14.25" customHeight="1">
      <c r="A75" s="12"/>
      <c r="B75" s="12"/>
      <c r="C75" s="12"/>
      <c r="D75" s="12"/>
      <c r="E75" s="12"/>
      <c r="F75" s="12"/>
      <c r="G75" s="12"/>
      <c r="H75" s="12"/>
      <c r="I75" s="83"/>
      <c r="J75" s="83"/>
      <c r="K75" s="83"/>
      <c r="L75" s="82"/>
      <c r="M75" s="182"/>
      <c r="N75" s="82"/>
      <c r="O75" s="12"/>
      <c r="P75" s="83"/>
      <c r="Q75" s="83"/>
      <c r="R75" s="12"/>
    </row>
    <row r="76" spans="1:18" ht="14.25" customHeight="1">
      <c r="A76" s="183"/>
      <c r="B76" s="12"/>
      <c r="C76" s="12"/>
      <c r="D76" s="12"/>
      <c r="E76" s="12"/>
      <c r="F76" s="12"/>
      <c r="G76" s="12"/>
      <c r="H76" s="12"/>
      <c r="I76" s="12"/>
      <c r="J76" s="12"/>
      <c r="K76" s="83"/>
      <c r="L76" s="12"/>
      <c r="M76" s="99"/>
      <c r="N76" s="12"/>
      <c r="O76" s="12"/>
      <c r="P76" s="83"/>
      <c r="Q76" s="83"/>
      <c r="R76" s="12"/>
    </row>
    <row r="77" spans="1:18" ht="14.25" customHeight="1">
      <c r="A77" s="12"/>
      <c r="B77" s="184"/>
      <c r="C77" s="184"/>
      <c r="D77" s="184"/>
      <c r="E77" s="184"/>
      <c r="F77" s="184"/>
      <c r="G77" s="184"/>
      <c r="H77" s="184"/>
      <c r="I77" s="184"/>
      <c r="J77" s="184"/>
      <c r="K77" s="83"/>
      <c r="L77" s="12"/>
      <c r="M77" s="99"/>
      <c r="N77" s="12"/>
      <c r="O77" s="12"/>
      <c r="P77" s="83"/>
      <c r="Q77" s="83"/>
      <c r="R77" s="12"/>
    </row>
    <row r="78" spans="1:18" ht="14.25" customHeight="1">
      <c r="A78" s="182"/>
      <c r="B78" s="12"/>
      <c r="C78" s="12"/>
      <c r="D78" s="12"/>
      <c r="E78" s="12"/>
      <c r="F78" s="12"/>
      <c r="G78" s="12"/>
      <c r="H78" s="12"/>
      <c r="I78" s="12"/>
      <c r="J78" s="12"/>
      <c r="K78" s="83"/>
      <c r="L78" s="82"/>
      <c r="M78" s="182"/>
      <c r="N78" s="83"/>
      <c r="O78" s="83"/>
      <c r="P78" s="83"/>
      <c r="Q78" s="83"/>
      <c r="R78" s="12"/>
    </row>
    <row r="79" spans="1:18" ht="14.25" customHeight="1">
      <c r="A79" s="182"/>
      <c r="B79" s="12"/>
      <c r="C79" s="12"/>
      <c r="D79" s="12"/>
      <c r="E79" s="12"/>
      <c r="F79" s="12"/>
      <c r="G79" s="12"/>
      <c r="H79" s="12"/>
      <c r="I79" s="12"/>
      <c r="J79" s="12"/>
      <c r="K79" s="83"/>
      <c r="L79" s="12"/>
      <c r="M79" s="99"/>
      <c r="N79" s="83"/>
      <c r="O79" s="104"/>
      <c r="P79" s="83"/>
      <c r="Q79" s="83"/>
      <c r="R79" s="12"/>
    </row>
    <row r="80" spans="1:18" ht="14.25" customHeight="1">
      <c r="A80" s="182"/>
      <c r="B80" s="12"/>
      <c r="C80" s="12"/>
      <c r="D80" s="12"/>
      <c r="E80" s="12"/>
      <c r="F80" s="12"/>
      <c r="G80" s="12"/>
      <c r="H80" s="12"/>
      <c r="I80" s="12"/>
      <c r="J80" s="12"/>
      <c r="K80" s="83"/>
      <c r="L80" s="12"/>
      <c r="M80" s="99"/>
      <c r="N80" s="83"/>
      <c r="O80" s="104"/>
      <c r="P80" s="83"/>
      <c r="Q80" s="83"/>
      <c r="R80" s="12"/>
    </row>
    <row r="81" spans="1:18" ht="14.2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82"/>
      <c r="M81" s="182"/>
      <c r="N81" s="83"/>
      <c r="O81" s="104"/>
      <c r="P81" s="12"/>
      <c r="Q81" s="12"/>
      <c r="R81" s="12"/>
    </row>
    <row r="82" spans="1:18" ht="14.2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82"/>
      <c r="M82" s="182"/>
      <c r="N82" s="12"/>
      <c r="O82" s="104"/>
      <c r="P82" s="12"/>
      <c r="Q82" s="12"/>
      <c r="R82" s="12"/>
    </row>
    <row r="83" spans="1:18" ht="14.2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82"/>
      <c r="M83" s="182"/>
      <c r="N83" s="12"/>
      <c r="O83" s="104"/>
      <c r="P83" s="12"/>
      <c r="Q83" s="12"/>
      <c r="R83" s="12"/>
    </row>
    <row r="84" spans="1:18" ht="14.2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82"/>
      <c r="M84" s="182"/>
      <c r="N84" s="12"/>
      <c r="O84" s="12"/>
      <c r="P84" s="12"/>
      <c r="Q84" s="12"/>
      <c r="R84" s="12"/>
    </row>
    <row r="85" spans="1:18" ht="14.2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99"/>
      <c r="N85" s="12"/>
      <c r="O85" s="12"/>
      <c r="P85" s="12"/>
      <c r="Q85" s="12"/>
      <c r="R85" s="12"/>
    </row>
    <row r="86" spans="1:18" ht="14.2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99"/>
      <c r="N86" s="12"/>
      <c r="O86" s="12"/>
      <c r="P86" s="12"/>
      <c r="Q86" s="12"/>
      <c r="R86" s="12"/>
    </row>
    <row r="87" spans="1:18" ht="14.2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82"/>
      <c r="M87" s="182"/>
      <c r="N87" s="12"/>
      <c r="O87" s="12"/>
      <c r="P87" s="12"/>
      <c r="Q87" s="12"/>
      <c r="R87" s="12"/>
    </row>
    <row r="88" spans="1:18" ht="1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</row>
    <row r="89" spans="1:18" ht="15.75" customHeight="1"/>
    <row r="90" spans="1:18" ht="15.75" customHeight="1"/>
    <row r="91" spans="1:18" ht="15.75" customHeight="1"/>
    <row r="92" spans="1:18" ht="15.75" customHeight="1"/>
    <row r="93" spans="1:18" ht="15.75" customHeight="1"/>
    <row r="94" spans="1:18" ht="15.75" customHeight="1"/>
    <row r="95" spans="1:18" ht="15.75" customHeight="1"/>
    <row r="96" spans="1:1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6">
    <mergeCell ref="A1:E1"/>
    <mergeCell ref="A3:A4"/>
    <mergeCell ref="J3:K3"/>
    <mergeCell ref="B12:C12"/>
    <mergeCell ref="D12:E12"/>
    <mergeCell ref="H12:I12"/>
  </mergeCells>
  <pageMargins left="0.7" right="0.7" top="0.75" bottom="0.75" header="0" footer="0"/>
  <pageSetup paperSize="9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23.42578125" customWidth="1"/>
    <col min="2" max="6" width="9.140625" customWidth="1"/>
    <col min="7" max="7" width="9" customWidth="1"/>
    <col min="8" max="10" width="9.140625" customWidth="1"/>
    <col min="11" max="11" width="10.5703125" customWidth="1"/>
    <col min="12" max="18" width="9.140625" customWidth="1"/>
  </cols>
  <sheetData>
    <row r="1" spans="1:12" ht="14.25" customHeight="1">
      <c r="A1" s="247" t="s">
        <v>226</v>
      </c>
      <c r="B1" s="262"/>
      <c r="C1" s="262"/>
      <c r="D1" s="262"/>
      <c r="E1" s="262"/>
      <c r="F1" s="78"/>
      <c r="G1" s="2"/>
      <c r="I1" s="12"/>
      <c r="J1" s="2"/>
      <c r="K1" s="2"/>
      <c r="L1" s="2"/>
    </row>
    <row r="2" spans="1:12" ht="14.25" customHeight="1">
      <c r="A2" s="12" t="s">
        <v>47</v>
      </c>
      <c r="G2" s="2"/>
      <c r="J2" s="2"/>
      <c r="K2" s="2"/>
      <c r="L2" s="2"/>
    </row>
    <row r="3" spans="1:12" ht="14.25" customHeight="1">
      <c r="A3" s="254" t="s">
        <v>227</v>
      </c>
      <c r="D3" s="256" t="s">
        <v>178</v>
      </c>
      <c r="E3" s="333"/>
      <c r="H3" s="256" t="s">
        <v>178</v>
      </c>
      <c r="I3" s="333"/>
      <c r="J3" s="256"/>
      <c r="K3" s="333"/>
      <c r="L3" s="2"/>
    </row>
    <row r="4" spans="1:12" ht="31.5" customHeight="1">
      <c r="A4" s="316"/>
      <c r="D4" s="111" t="s">
        <v>203</v>
      </c>
      <c r="E4" s="112"/>
      <c r="H4" s="114" t="s">
        <v>204</v>
      </c>
      <c r="I4" s="112"/>
      <c r="J4" s="114"/>
      <c r="K4" s="112"/>
    </row>
    <row r="5" spans="1:12" ht="14.25" customHeight="1">
      <c r="A5" s="185">
        <v>9000</v>
      </c>
      <c r="D5" s="116">
        <v>1</v>
      </c>
      <c r="E5" s="117"/>
      <c r="H5" s="119">
        <v>2</v>
      </c>
      <c r="I5" s="117"/>
      <c r="J5" s="120"/>
      <c r="K5" s="121"/>
    </row>
    <row r="6" spans="1:12" ht="14.25" customHeight="1">
      <c r="A6" s="115">
        <v>10000</v>
      </c>
      <c r="D6" s="122">
        <v>1</v>
      </c>
      <c r="E6" s="124"/>
      <c r="H6" s="122">
        <v>2</v>
      </c>
      <c r="I6" s="124"/>
      <c r="J6" s="126"/>
      <c r="K6" s="127"/>
    </row>
    <row r="7" spans="1:12" ht="14.25" customHeight="1">
      <c r="A7" s="115">
        <v>11000</v>
      </c>
      <c r="D7" s="122">
        <v>1</v>
      </c>
      <c r="E7" s="124"/>
      <c r="H7" s="130">
        <v>2</v>
      </c>
      <c r="I7" s="124"/>
      <c r="J7" s="126"/>
      <c r="K7" s="127"/>
    </row>
    <row r="8" spans="1:12" ht="14.25" customHeight="1">
      <c r="A8" s="132">
        <v>11500</v>
      </c>
      <c r="D8" s="122">
        <v>1</v>
      </c>
      <c r="E8" s="124"/>
      <c r="H8" s="122">
        <v>2</v>
      </c>
      <c r="I8" s="124"/>
      <c r="J8" s="126"/>
      <c r="K8" s="127"/>
    </row>
    <row r="9" spans="1:12" ht="14.25" customHeight="1">
      <c r="A9" s="132">
        <v>12000</v>
      </c>
      <c r="D9" s="122">
        <v>1</v>
      </c>
      <c r="E9" s="124"/>
      <c r="H9" s="130">
        <v>2</v>
      </c>
      <c r="I9" s="124"/>
      <c r="J9" s="126"/>
      <c r="K9" s="127"/>
    </row>
    <row r="10" spans="1:12" ht="14.25" customHeight="1">
      <c r="A10" s="133">
        <v>12500</v>
      </c>
      <c r="D10" s="134">
        <v>1</v>
      </c>
      <c r="E10" s="136"/>
      <c r="H10" s="139">
        <v>2</v>
      </c>
      <c r="I10" s="136"/>
      <c r="J10" s="140"/>
      <c r="K10" s="141"/>
    </row>
    <row r="11" spans="1:12" ht="14.25" customHeight="1">
      <c r="A11" s="91"/>
      <c r="D11" s="92"/>
      <c r="H11" s="12"/>
      <c r="I11" s="99"/>
      <c r="J11" s="12"/>
      <c r="K11" s="99"/>
    </row>
    <row r="12" spans="1:12" ht="14.25" customHeight="1">
      <c r="A12" s="93"/>
      <c r="D12" s="251" t="s">
        <v>205</v>
      </c>
      <c r="E12" s="262"/>
      <c r="H12" s="251" t="s">
        <v>204</v>
      </c>
      <c r="I12" s="262"/>
      <c r="J12" s="93"/>
      <c r="K12" s="93"/>
    </row>
    <row r="13" spans="1:12" ht="14.25" customHeight="1">
      <c r="D13" s="73" t="s">
        <v>181</v>
      </c>
      <c r="E13" s="88">
        <f>MATCH(MAX($A5:$A10),$A5:$A10,0)</f>
        <v>6</v>
      </c>
      <c r="I13" s="88">
        <f>MATCH(MAX($A5:$A10),$A5:$A10,0)</f>
        <v>6</v>
      </c>
      <c r="J13" s="88"/>
      <c r="K13" s="88"/>
    </row>
    <row r="14" spans="1:12" ht="14.25" customHeight="1">
      <c r="D14" s="73" t="s">
        <v>182</v>
      </c>
      <c r="E14" s="88">
        <f>MATCH(MAX(D5),D5,0)</f>
        <v>1</v>
      </c>
      <c r="I14" s="88">
        <f>MATCH(MAX(H5),H5,0)</f>
        <v>1</v>
      </c>
      <c r="J14" s="88"/>
      <c r="K14" s="88"/>
    </row>
    <row r="15" spans="1:12" ht="14.25" customHeight="1">
      <c r="A15" s="2"/>
      <c r="D15" s="2"/>
      <c r="E15" s="2"/>
      <c r="H15" s="12"/>
      <c r="I15" s="12"/>
      <c r="J15" s="12"/>
      <c r="K15" s="12"/>
    </row>
    <row r="16" spans="1:12" ht="14.25" customHeight="1">
      <c r="D16" s="95" t="s">
        <v>183</v>
      </c>
      <c r="E16" s="26" t="str">
        <f>D4</f>
        <v>V1/R</v>
      </c>
      <c r="H16" s="12"/>
      <c r="I16" s="26" t="str">
        <f>H4</f>
        <v>V2</v>
      </c>
      <c r="J16" s="26"/>
      <c r="K16" s="26"/>
    </row>
    <row r="17" spans="1:17" ht="14.25" customHeight="1">
      <c r="D17" s="96" t="s">
        <v>184</v>
      </c>
      <c r="E17" s="97">
        <f>'Take-off'!$C$14</f>
        <v>12500</v>
      </c>
      <c r="H17" s="12"/>
      <c r="I17" s="97">
        <f>'Take-off'!$C$14</f>
        <v>12500</v>
      </c>
      <c r="J17" s="97"/>
      <c r="K17" s="97"/>
    </row>
    <row r="18" spans="1:17" ht="14.25" customHeight="1">
      <c r="D18" s="73" t="s">
        <v>185</v>
      </c>
      <c r="E18" s="100">
        <f t="array" ref="E18">INDEX($A5:$A10,MATCH(E17,$A5:$A10,1))</f>
        <v>12500</v>
      </c>
      <c r="H18" s="12"/>
      <c r="I18" s="100">
        <f t="array" ref="I18">INDEX($A5:$A10,MATCH(I17,$A5:$A10,1))</f>
        <v>12500</v>
      </c>
      <c r="J18" s="100"/>
      <c r="K18" s="100"/>
    </row>
    <row r="19" spans="1:17" ht="14.25" customHeight="1">
      <c r="D19" s="73" t="s">
        <v>186</v>
      </c>
      <c r="E19" s="100">
        <f t="array" ref="E19">INDEX($A5:$A10,IF(MATCH(E17,$A5:$A10,1)&lt;E13,MATCH(E17,$A5:$A10,1)+1,MATCH(E17,$A5:$A10,1)))</f>
        <v>12500</v>
      </c>
      <c r="H19" s="12"/>
      <c r="I19" s="100">
        <f t="array" ref="I19">INDEX($A5:$A10,IF(MATCH(I17,$A5:$A10,1)&lt;I13,MATCH(I17,$A5:$A10,1)+1,MATCH(I17,$A5:$A10,1)))</f>
        <v>12500</v>
      </c>
      <c r="J19" s="100"/>
      <c r="K19" s="100"/>
    </row>
    <row r="20" spans="1:17" ht="14.25" customHeight="1">
      <c r="D20" s="98" t="s">
        <v>187</v>
      </c>
      <c r="E20" s="97">
        <f t="array" ref="E20">INDEX(D5:D10,MATCH(E17,$A5:$A10,1),MATCH(E16,D4,1))</f>
        <v>1</v>
      </c>
      <c r="H20" s="12"/>
      <c r="I20" s="97">
        <f t="array" ref="I20">INDEX(H5:H10,MATCH(I17,$A5:$A10,1),MATCH(I16,H4,1))</f>
        <v>2</v>
      </c>
      <c r="J20" s="155"/>
      <c r="K20" s="155"/>
    </row>
    <row r="21" spans="1:17" ht="14.25" customHeight="1">
      <c r="D21" s="98" t="s">
        <v>188</v>
      </c>
      <c r="E21" s="97">
        <f t="array" ref="E21">INDEX(D5:D10,IF(MATCH(E17,$A5:$A10,1)&lt;E13,MATCH(E17,$A5:$A10,1)+1,MATCH(E17,$A5:$A10,1)),MATCH(E16,D4,1))</f>
        <v>1</v>
      </c>
      <c r="H21" s="12"/>
      <c r="I21" s="97">
        <f t="array" ref="I21">INDEX(H5:H10,IF(MATCH(I17,$A5:$A10,1)&lt;I13,MATCH(I17,$A5:$A10,1)+1,MATCH(I17,$A5:$A10,1)),MATCH(I16,H4,1))</f>
        <v>2</v>
      </c>
      <c r="J21" s="155"/>
      <c r="K21" s="155"/>
    </row>
    <row r="22" spans="1:17" ht="14.25" customHeight="1">
      <c r="D22" s="98" t="s">
        <v>189</v>
      </c>
      <c r="E22" s="97">
        <f>IFERROR(E20+(E17-E18)*(E21-E20)/(E19-E18),E20)</f>
        <v>1</v>
      </c>
      <c r="H22" s="12"/>
      <c r="I22" s="97">
        <f>IFERROR(I20+(I17-I18)*(I21-I20)/(I19-I18),I20)</f>
        <v>2</v>
      </c>
      <c r="J22" s="155"/>
      <c r="K22" s="155"/>
    </row>
    <row r="23" spans="1:17" ht="14.25" customHeight="1">
      <c r="A23" s="12" t="s">
        <v>228</v>
      </c>
      <c r="C23" s="99"/>
      <c r="I23" s="73"/>
      <c r="J23" s="155"/>
      <c r="K23" s="155"/>
    </row>
    <row r="24" spans="1:17" ht="14.25" customHeight="1">
      <c r="A24" s="12"/>
      <c r="L24" s="77"/>
    </row>
    <row r="25" spans="1:17" ht="14.25" customHeight="1">
      <c r="A25" s="334" t="s">
        <v>206</v>
      </c>
      <c r="B25" s="334"/>
      <c r="C25" s="334"/>
      <c r="D25" s="334"/>
      <c r="E25" s="334"/>
      <c r="F25" s="334"/>
      <c r="G25" s="334"/>
      <c r="H25" s="334"/>
      <c r="I25" s="334"/>
      <c r="J25" s="334"/>
      <c r="K25" s="334"/>
      <c r="L25" s="335"/>
    </row>
    <row r="26" spans="1:17" ht="14.25" customHeight="1">
      <c r="A26" s="12"/>
      <c r="B26" s="12"/>
      <c r="C26" s="12"/>
      <c r="D26" s="12"/>
      <c r="E26" s="12"/>
      <c r="F26" s="12"/>
      <c r="G26" s="12"/>
      <c r="L26" s="12"/>
    </row>
    <row r="27" spans="1:17" ht="28.5" customHeight="1">
      <c r="A27" s="12"/>
      <c r="B27" s="2" t="s">
        <v>207</v>
      </c>
      <c r="C27" s="12" t="s">
        <v>170</v>
      </c>
      <c r="D27" s="79" t="s">
        <v>209</v>
      </c>
      <c r="E27" s="79" t="s">
        <v>210</v>
      </c>
      <c r="F27" s="2" t="s">
        <v>211</v>
      </c>
      <c r="G27" s="12" t="s">
        <v>212</v>
      </c>
      <c r="I27" s="79" t="s">
        <v>213</v>
      </c>
      <c r="J27" s="79" t="s">
        <v>19</v>
      </c>
      <c r="K27" s="79" t="s">
        <v>214</v>
      </c>
      <c r="L27" s="79" t="s">
        <v>215</v>
      </c>
      <c r="M27" s="79" t="s">
        <v>209</v>
      </c>
      <c r="N27" s="79" t="s">
        <v>210</v>
      </c>
      <c r="O27" s="79" t="s">
        <v>216</v>
      </c>
      <c r="P27" s="79" t="s">
        <v>217</v>
      </c>
      <c r="Q27" s="79" t="s">
        <v>218</v>
      </c>
    </row>
    <row r="28" spans="1:17" ht="14.25" customHeight="1">
      <c r="A28" s="166" t="s">
        <v>220</v>
      </c>
      <c r="B28" s="156" t="e">
        <f>'LTL_Takeoff distance (2)'!AC93/3.28</f>
        <v>#N/A</v>
      </c>
      <c r="C28" s="171" t="e">
        <f>IF('Take-off'!#REF!='Dropdown lists'!$B$48, 500/3.28, 0)</f>
        <v>#REF!</v>
      </c>
      <c r="D28" s="12" t="s">
        <v>164</v>
      </c>
      <c r="E28" s="12" t="s">
        <v>164</v>
      </c>
      <c r="F28" s="156">
        <f>IF('Take-off'!$C$17&gt;0, ((+'Take-off'!$C$17*5)%*SUM(B28:E28)),0 )</f>
        <v>0</v>
      </c>
      <c r="G28" s="156" t="e">
        <f>SUM(B28:F28)*115%</f>
        <v>#N/A</v>
      </c>
      <c r="I28" s="172">
        <f>VLOOKUP('Take-off'!$C$11, 'Dropdown lists'!$B$34:$D$40, 3, FALSE)</f>
        <v>0</v>
      </c>
      <c r="J28" s="8">
        <f>'Take-off'!$C$12</f>
        <v>0</v>
      </c>
      <c r="K28" s="99" t="e">
        <f t="shared" ref="K28:K31" si="0">SUM(B28:F28)</f>
        <v>#N/A</v>
      </c>
      <c r="L28" s="99" t="e">
        <f t="shared" ref="L28:L31" si="1">K28*(I28*J28)</f>
        <v>#N/A</v>
      </c>
      <c r="M28" s="8">
        <f>IF('Take-off'!$C$10&lt;5, 30%*K28, 0)</f>
        <v>0</v>
      </c>
      <c r="N28" s="8">
        <f>IF('Take-off'!$C$10&lt;3, 20%*K28, 0)</f>
        <v>0</v>
      </c>
      <c r="O28" s="99" t="e">
        <f>15%*SUM(K28:N28)</f>
        <v>#N/A</v>
      </c>
      <c r="P28" s="99"/>
      <c r="Q28" s="99" t="e">
        <f t="shared" ref="Q28:Q29" si="2">SUM(K28:O28)</f>
        <v>#N/A</v>
      </c>
    </row>
    <row r="29" spans="1:17" ht="14.25" customHeight="1">
      <c r="A29" s="166" t="s">
        <v>229</v>
      </c>
      <c r="B29" s="171" t="e">
        <f>'LTL_Accelerate and stop2'!AC74/3.28</f>
        <v>#N/A</v>
      </c>
      <c r="C29" s="171" t="e">
        <f>IF('Take-off'!#REF!='Dropdown lists'!$B$48, 500/3.28, 0)</f>
        <v>#REF!</v>
      </c>
      <c r="D29" s="12" t="s">
        <v>164</v>
      </c>
      <c r="E29" s="12" t="s">
        <v>164</v>
      </c>
      <c r="F29" s="156">
        <f>IF('Take-off'!$C$17&gt;0, ((+'Take-off'!$C$17*5)%*SUM(B29:E29)),0 )</f>
        <v>0</v>
      </c>
      <c r="G29" s="156" t="e">
        <f t="shared" ref="G29:G31" si="3">SUM(B29:F29)</f>
        <v>#N/A</v>
      </c>
      <c r="I29" s="172">
        <f>VLOOKUP('Take-off'!$C$11, 'Dropdown lists'!$B$34:$D$40, 3, FALSE)</f>
        <v>0</v>
      </c>
      <c r="J29" s="8">
        <f>'Take-off'!$C$12</f>
        <v>0</v>
      </c>
      <c r="K29" s="99" t="e">
        <f t="shared" si="0"/>
        <v>#N/A</v>
      </c>
      <c r="L29" s="99" t="e">
        <f t="shared" si="1"/>
        <v>#N/A</v>
      </c>
      <c r="M29" s="8">
        <f>IF('Take-off'!$C$10&lt;5, 30%*K29, 0)</f>
        <v>0</v>
      </c>
      <c r="N29" s="8">
        <f>IF('Take-off'!$C$10&lt;3, 20%*K29, 0)</f>
        <v>0</v>
      </c>
      <c r="O29" s="8">
        <v>0</v>
      </c>
      <c r="Q29" s="99" t="e">
        <f t="shared" si="2"/>
        <v>#N/A</v>
      </c>
    </row>
    <row r="30" spans="1:17" ht="14.25" customHeight="1">
      <c r="A30" s="166" t="s">
        <v>221</v>
      </c>
      <c r="B30" s="99" t="e">
        <f>'LTL_Accelerate and GO (2)'!AD74/3.28</f>
        <v>#N/A</v>
      </c>
      <c r="C30" s="171" t="e">
        <f>IF('Take-off'!#REF!='Dropdown lists'!$B$48, 500/3.28, 0)</f>
        <v>#REF!</v>
      </c>
      <c r="D30" s="12" t="s">
        <v>164</v>
      </c>
      <c r="E30" s="12" t="s">
        <v>164</v>
      </c>
      <c r="F30" s="156">
        <f>IF('Take-off'!$C$17&gt;0, ((+'Take-off'!$C$17*5)%*SUM(B30:E30)),0 )</f>
        <v>0</v>
      </c>
      <c r="G30" s="156" t="e">
        <f t="shared" si="3"/>
        <v>#N/A</v>
      </c>
      <c r="I30" s="172">
        <f>VLOOKUP('Take-off'!$C$11, 'Dropdown lists'!$B$34:$D$40, 3, FALSE)</f>
        <v>0</v>
      </c>
      <c r="J30" s="8">
        <f>'Take-off'!$C$12</f>
        <v>0</v>
      </c>
      <c r="K30" s="99" t="e">
        <f t="shared" si="0"/>
        <v>#N/A</v>
      </c>
      <c r="L30" s="99" t="e">
        <f t="shared" si="1"/>
        <v>#N/A</v>
      </c>
      <c r="M30" s="8">
        <f>IF('Take-off'!$C$10&lt;5, 30%*K30, 0)</f>
        <v>0</v>
      </c>
      <c r="N30" s="8">
        <f>IF('Take-off'!$C$10&lt;3, 20%*K30, 0)</f>
        <v>0</v>
      </c>
      <c r="O30" s="8">
        <v>0</v>
      </c>
      <c r="Q30" s="99" t="e">
        <f>G30</f>
        <v>#N/A</v>
      </c>
    </row>
    <row r="31" spans="1:17" ht="14.25" customHeight="1">
      <c r="A31" s="166" t="s">
        <v>222</v>
      </c>
      <c r="B31" s="99" t="e">
        <f>B30</f>
        <v>#N/A</v>
      </c>
      <c r="C31" s="171" t="e">
        <f>IF('Take-off'!#REF!='Dropdown lists'!$B$48, 500/3.28, 0)</f>
        <v>#REF!</v>
      </c>
      <c r="D31" s="12" t="s">
        <v>164</v>
      </c>
      <c r="E31" s="12" t="s">
        <v>164</v>
      </c>
      <c r="F31" s="156">
        <f>IF('Take-off'!$C$17&gt;0, ((+'Take-off'!$C$17*5)%*SUM(B31:E31)),0 )</f>
        <v>0</v>
      </c>
      <c r="G31" s="156" t="e">
        <f t="shared" si="3"/>
        <v>#N/A</v>
      </c>
      <c r="H31" s="12" t="s">
        <v>223</v>
      </c>
      <c r="I31" s="172">
        <f>VLOOKUP('Take-off'!$C$11, 'Dropdown lists'!$B$34:$D$40, 3, FALSE)</f>
        <v>0</v>
      </c>
      <c r="J31" s="8">
        <f>'Take-off'!$C$12</f>
        <v>0</v>
      </c>
      <c r="K31" s="99" t="e">
        <f t="shared" si="0"/>
        <v>#N/A</v>
      </c>
      <c r="L31" s="99" t="e">
        <f t="shared" si="1"/>
        <v>#N/A</v>
      </c>
      <c r="M31" s="8">
        <f>IF('Take-off'!$C$10&lt;5, 30%*K31, 0)</f>
        <v>0</v>
      </c>
      <c r="N31" s="8">
        <f>IF('Take-off'!$C$10&lt;3, 20%*K31, 0)</f>
        <v>0</v>
      </c>
      <c r="O31" s="8">
        <v>0</v>
      </c>
      <c r="P31" s="8" t="e">
        <f>-20/('Take-off'!E42/100)/3.28</f>
        <v>#DIV/0!</v>
      </c>
      <c r="Q31" s="99" t="e">
        <f>SUM(K31:P31)</f>
        <v>#N/A</v>
      </c>
    </row>
    <row r="32" spans="1:17" ht="14.25" customHeight="1">
      <c r="I32" s="99"/>
      <c r="J32" s="12"/>
    </row>
    <row r="33" spans="1:18" ht="14.25" customHeight="1">
      <c r="A33" s="166"/>
      <c r="B33" s="326" t="s">
        <v>191</v>
      </c>
      <c r="C33" s="326" t="s">
        <v>192</v>
      </c>
      <c r="D33" s="326" t="s">
        <v>193</v>
      </c>
      <c r="E33" s="12"/>
      <c r="F33" s="166"/>
      <c r="G33" s="12"/>
      <c r="H33" s="12"/>
      <c r="I33" s="12"/>
      <c r="M33" s="2"/>
      <c r="N33" s="12"/>
      <c r="O33" s="12"/>
      <c r="P33" s="12"/>
      <c r="Q33" s="12"/>
      <c r="R33" s="12"/>
    </row>
    <row r="34" spans="1:18" ht="14.25" customHeight="1">
      <c r="A34" s="166"/>
      <c r="B34" s="327">
        <f>IF(ABS('Take-off'!C18-'Take-off'!C6)&gt;270,360-ABS('Take-off'!C18-'Take-off'!C6),'Take-off'!C18-'Take-off'!C6)</f>
        <v>75</v>
      </c>
      <c r="C34" s="328">
        <f>IF(ABS(B34)&gt;90,ABS(COS(B34*PI()/180))*(-1),ABS(COS(B34*PI()/180)))</f>
        <v>0.25881904510252074</v>
      </c>
      <c r="D34" s="327">
        <f>IF( ISBLANK('Take-off'!C6), 'Take-off'!C7*-1,    'Take-off'!C7*C34)</f>
        <v>0</v>
      </c>
      <c r="E34" s="12"/>
      <c r="F34" s="12"/>
      <c r="G34" s="176"/>
      <c r="H34" s="99"/>
      <c r="M34" s="2"/>
      <c r="N34" s="12"/>
      <c r="O34" s="12"/>
      <c r="P34" s="12"/>
      <c r="Q34" s="12"/>
      <c r="R34" s="12"/>
    </row>
    <row r="35" spans="1:18" ht="14.25" customHeight="1">
      <c r="A35" s="166"/>
      <c r="B35" s="95"/>
      <c r="C35" s="2"/>
      <c r="D35" s="2"/>
      <c r="E35" s="12"/>
      <c r="F35" s="12"/>
      <c r="G35" s="176"/>
      <c r="H35" s="99"/>
      <c r="M35" s="2"/>
      <c r="N35" s="12"/>
      <c r="O35" s="12"/>
      <c r="P35" s="12"/>
      <c r="Q35" s="12"/>
      <c r="R35" s="12"/>
    </row>
    <row r="36" spans="1:18" ht="14.25" customHeight="1">
      <c r="A36" s="166"/>
      <c r="C36" s="92"/>
      <c r="D36" s="92"/>
      <c r="E36" s="12"/>
      <c r="F36" s="12"/>
      <c r="M36" s="2"/>
      <c r="N36" s="12"/>
      <c r="R36" s="176"/>
    </row>
    <row r="37" spans="1:18" ht="14.25" customHeight="1">
      <c r="A37" s="166"/>
      <c r="B37" s="95"/>
      <c r="C37" s="165"/>
      <c r="D37" s="95"/>
      <c r="E37" s="12"/>
      <c r="F37" s="12"/>
      <c r="M37" s="2"/>
      <c r="R37" s="2"/>
    </row>
    <row r="38" spans="1:18" ht="14.25" customHeight="1">
      <c r="A38" s="166"/>
      <c r="B38" s="95"/>
      <c r="C38" s="95"/>
      <c r="D38" s="95"/>
      <c r="E38" s="12"/>
      <c r="F38" s="12"/>
      <c r="M38" s="2"/>
      <c r="P38" s="73"/>
      <c r="R38" s="2"/>
    </row>
    <row r="39" spans="1:18" ht="14.25" customHeight="1">
      <c r="A39" s="166"/>
      <c r="B39" s="95" t="s">
        <v>194</v>
      </c>
      <c r="C39" s="165">
        <f>IF(ABS(B34)&gt;90,ABS(SIN(B34*PI()/180))*(-1),ABS(SIN(B34*PI()/180)))</f>
        <v>0.96592582628906831</v>
      </c>
      <c r="D39" s="95"/>
      <c r="E39" s="12"/>
      <c r="F39" s="12"/>
      <c r="M39" s="2"/>
      <c r="P39" s="73"/>
      <c r="Q39" s="177"/>
      <c r="R39" s="2"/>
    </row>
    <row r="40" spans="1:18" ht="14.25" customHeight="1">
      <c r="A40" s="334" t="s">
        <v>230</v>
      </c>
      <c r="B40" s="334"/>
      <c r="C40" s="334"/>
      <c r="D40" s="334"/>
      <c r="E40" s="334"/>
      <c r="F40" s="334"/>
      <c r="G40" s="334"/>
      <c r="H40" s="334"/>
      <c r="I40" s="334"/>
      <c r="J40" s="334"/>
      <c r="K40" s="334"/>
      <c r="L40" s="335"/>
      <c r="M40" s="335"/>
      <c r="N40" s="335"/>
      <c r="O40" s="335"/>
      <c r="P40" s="335"/>
      <c r="Q40" s="335"/>
      <c r="R40" s="335"/>
    </row>
    <row r="41" spans="1:18" ht="14.25" customHeight="1">
      <c r="K41" s="2"/>
      <c r="L41" s="2"/>
      <c r="M41" s="98"/>
      <c r="N41" s="97"/>
      <c r="P41" s="2"/>
      <c r="Q41" s="2"/>
      <c r="R41" s="2"/>
    </row>
    <row r="42" spans="1:18" ht="14.25" customHeight="1"/>
    <row r="43" spans="1:18" ht="14.25" customHeight="1"/>
    <row r="44" spans="1:18" ht="14.25" customHeight="1"/>
    <row r="45" spans="1:18" ht="14.25" customHeight="1"/>
    <row r="46" spans="1:18" ht="14.25" customHeight="1"/>
    <row r="47" spans="1:18" ht="14.25" customHeight="1"/>
    <row r="48" spans="1:1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D12:E12"/>
    <mergeCell ref="H12:I12"/>
    <mergeCell ref="A1:E1"/>
    <mergeCell ref="A3:A4"/>
    <mergeCell ref="D3:E3"/>
    <mergeCell ref="H3:I3"/>
    <mergeCell ref="J3:K3"/>
  </mergeCells>
  <pageMargins left="0.7" right="0.7" top="0.75" bottom="0.75" header="0" footer="0"/>
  <pageSetup paperSize="9"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G1000"/>
  <sheetViews>
    <sheetView workbookViewId="0">
      <pane ySplit="6" topLeftCell="A7" activePane="bottomLeft" state="frozen"/>
      <selection pane="bottomLeft" activeCell="B8" sqref="B8"/>
    </sheetView>
  </sheetViews>
  <sheetFormatPr defaultColWidth="14.42578125" defaultRowHeight="15" customHeight="1"/>
  <cols>
    <col min="1" max="33" width="9.140625" customWidth="1"/>
  </cols>
  <sheetData>
    <row r="1" spans="1:33" ht="14.25" customHeight="1">
      <c r="A1" s="77"/>
      <c r="B1" s="73" t="s">
        <v>231</v>
      </c>
      <c r="C1" s="98" t="s">
        <v>183</v>
      </c>
      <c r="D1" s="186">
        <f>IF(Landing!$C$9="",Landing!$C$15,MAX(0,Landing!$C$15+30*(1013-Landing!$C$9)))</f>
        <v>0</v>
      </c>
      <c r="E1" s="336"/>
      <c r="F1" s="336" t="s">
        <v>232</v>
      </c>
      <c r="G1" s="77">
        <f>IF('Take-off'!$C$9="",'Take-off'!$C$16,MAX(0,'Take-off'!$C$16+30*(1013-'Take-off'!$C$9)))</f>
        <v>0</v>
      </c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</row>
    <row r="2" spans="1:33" ht="14.25" customHeight="1">
      <c r="A2" s="77"/>
      <c r="B2" s="73" t="s">
        <v>233</v>
      </c>
      <c r="C2" s="96" t="s">
        <v>184</v>
      </c>
      <c r="D2" s="186">
        <f>Landing!C8</f>
        <v>-2</v>
      </c>
      <c r="E2" s="187"/>
      <c r="F2" s="77"/>
      <c r="G2" s="77">
        <f>MAX(  IF('Take-off'!C13='Dropdown lists'!B30, 'Take-off'!$C$8+5, 'Take-off'!$C$8),0)</f>
        <v>0</v>
      </c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</row>
    <row r="3" spans="1:33" ht="14.25" customHeight="1">
      <c r="A3" s="77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</row>
    <row r="4" spans="1:33" ht="14.25" customHeight="1">
      <c r="H4" s="77"/>
      <c r="P4" s="77"/>
    </row>
    <row r="5" spans="1:33" ht="14.25" customHeight="1">
      <c r="H5" s="77"/>
      <c r="I5" s="257" t="s">
        <v>174</v>
      </c>
      <c r="J5" s="262"/>
      <c r="K5" s="262"/>
      <c r="L5" s="262"/>
      <c r="M5" s="262"/>
      <c r="N5" s="262"/>
      <c r="O5" s="262"/>
      <c r="P5" s="188"/>
    </row>
    <row r="6" spans="1:33" ht="14.25" customHeight="1">
      <c r="A6" s="2"/>
      <c r="B6" s="2"/>
      <c r="C6" s="95" t="s">
        <v>234</v>
      </c>
      <c r="D6" s="26"/>
      <c r="E6" s="2"/>
      <c r="F6" s="2"/>
      <c r="G6" s="2"/>
      <c r="H6" s="2"/>
      <c r="I6" s="2"/>
      <c r="J6" s="2"/>
      <c r="K6" s="95"/>
      <c r="L6" s="26"/>
      <c r="M6" s="2"/>
      <c r="N6" s="2"/>
      <c r="O6" s="2"/>
      <c r="P6" s="2"/>
    </row>
    <row r="7" spans="1:33" ht="14.25" customHeight="1">
      <c r="B7" s="98"/>
      <c r="C7" s="97"/>
      <c r="G7" s="2"/>
      <c r="H7" s="2"/>
      <c r="I7" s="2"/>
      <c r="J7" s="98"/>
      <c r="K7" s="97"/>
      <c r="O7" s="2"/>
      <c r="P7" s="2"/>
      <c r="Q7" s="2"/>
      <c r="R7" s="98"/>
      <c r="S7" s="97"/>
      <c r="W7" s="2"/>
      <c r="X7" s="2"/>
      <c r="Y7" s="2"/>
      <c r="Z7" s="98"/>
      <c r="AA7" s="97"/>
      <c r="AE7" s="2"/>
      <c r="AF7" s="2"/>
      <c r="AG7" s="2"/>
    </row>
    <row r="8" spans="1:33" ht="14.25" customHeight="1">
      <c r="A8" s="337" t="s">
        <v>235</v>
      </c>
      <c r="B8" s="274"/>
      <c r="C8" s="274"/>
      <c r="D8" s="274"/>
      <c r="E8" s="274"/>
      <c r="F8" s="274"/>
      <c r="G8" s="2"/>
      <c r="H8" s="2"/>
      <c r="I8" s="2"/>
      <c r="J8" s="98"/>
      <c r="K8" s="97"/>
      <c r="O8" s="2"/>
      <c r="P8" s="2"/>
      <c r="Q8" s="2"/>
      <c r="R8" s="98"/>
      <c r="S8" s="97"/>
      <c r="W8" s="2"/>
      <c r="X8" s="2"/>
      <c r="Y8" s="2"/>
      <c r="Z8" s="98"/>
      <c r="AA8" s="97"/>
      <c r="AE8" s="2"/>
      <c r="AF8" s="2"/>
      <c r="AG8" s="2"/>
    </row>
    <row r="9" spans="1:33" ht="14.25" customHeight="1">
      <c r="B9" s="98"/>
      <c r="C9" s="97"/>
      <c r="G9" s="2"/>
      <c r="H9" s="2"/>
      <c r="I9" s="2"/>
      <c r="J9" s="98"/>
      <c r="K9" s="97"/>
      <c r="L9" s="12"/>
      <c r="M9" s="12"/>
      <c r="O9" s="2"/>
      <c r="P9" s="2"/>
      <c r="Q9" s="2"/>
      <c r="R9" s="98"/>
      <c r="S9" s="97"/>
      <c r="W9" s="2"/>
      <c r="X9" s="2"/>
      <c r="Y9" s="2"/>
      <c r="Z9" s="98"/>
      <c r="AA9" s="97"/>
      <c r="AE9" s="2"/>
      <c r="AF9" s="2"/>
      <c r="AG9" s="2"/>
    </row>
    <row r="10" spans="1:33" ht="14.25" customHeight="1">
      <c r="A10" s="12"/>
      <c r="B10" s="258" t="s">
        <v>236</v>
      </c>
      <c r="C10" s="260"/>
      <c r="D10" s="260"/>
      <c r="E10" s="260"/>
      <c r="F10" s="260"/>
      <c r="G10" s="82"/>
      <c r="H10" s="82"/>
      <c r="I10" s="82"/>
      <c r="J10" s="82"/>
      <c r="K10" s="82"/>
      <c r="L10" s="82"/>
      <c r="M10" s="82"/>
      <c r="N10" s="12"/>
      <c r="O10" s="2"/>
      <c r="P10" s="2"/>
      <c r="Q10" s="2"/>
      <c r="R10" s="98"/>
      <c r="S10" s="97"/>
      <c r="T10" s="12"/>
      <c r="U10" s="12"/>
      <c r="W10" s="2"/>
      <c r="X10" s="2"/>
      <c r="Y10" s="2"/>
      <c r="Z10" s="98"/>
      <c r="AA10" s="97"/>
      <c r="AE10" s="2"/>
      <c r="AF10" s="2"/>
      <c r="AG10" s="2"/>
    </row>
    <row r="11" spans="1:33" ht="14.25" customHeight="1">
      <c r="A11" s="12"/>
      <c r="B11" s="189">
        <v>0</v>
      </c>
      <c r="C11" s="190">
        <v>1000</v>
      </c>
      <c r="D11" s="191">
        <v>2000</v>
      </c>
      <c r="E11" s="191">
        <v>3000</v>
      </c>
      <c r="F11" s="192">
        <v>3500</v>
      </c>
      <c r="G11" s="98"/>
      <c r="H11" s="97"/>
      <c r="I11" s="12"/>
      <c r="J11" s="98"/>
      <c r="K11" s="97"/>
      <c r="L11" s="12"/>
      <c r="M11" s="12"/>
      <c r="N11" s="12"/>
      <c r="O11" s="2"/>
      <c r="P11" s="2"/>
      <c r="Q11" s="2"/>
      <c r="R11" s="12"/>
      <c r="S11" s="12"/>
      <c r="T11" s="2"/>
      <c r="U11" s="2"/>
      <c r="V11" s="2"/>
      <c r="W11" s="98"/>
      <c r="X11" s="97"/>
      <c r="AB11" s="2"/>
      <c r="AC11" s="2"/>
      <c r="AD11" s="2"/>
      <c r="AE11" s="98"/>
      <c r="AF11" s="97"/>
    </row>
    <row r="12" spans="1:33" ht="14.25" customHeight="1">
      <c r="A12" s="12">
        <v>-30</v>
      </c>
      <c r="B12" s="193">
        <v>800</v>
      </c>
      <c r="C12" s="191">
        <v>830</v>
      </c>
      <c r="D12" s="191">
        <v>860</v>
      </c>
      <c r="E12" s="191">
        <v>900</v>
      </c>
      <c r="F12" s="192">
        <v>99999</v>
      </c>
      <c r="G12" s="98"/>
      <c r="H12" s="97"/>
      <c r="I12" s="12"/>
      <c r="J12" s="98"/>
      <c r="K12" s="97"/>
      <c r="L12" s="12"/>
      <c r="M12" s="12"/>
      <c r="N12" s="12"/>
      <c r="O12" s="2"/>
      <c r="P12" s="2"/>
      <c r="Q12" s="2"/>
      <c r="R12" s="12"/>
      <c r="T12" s="2"/>
      <c r="U12" s="2"/>
      <c r="V12" s="2"/>
      <c r="W12" s="98"/>
      <c r="X12" s="97"/>
      <c r="AB12" s="2"/>
      <c r="AC12" s="2"/>
      <c r="AD12" s="2"/>
      <c r="AE12" s="98"/>
      <c r="AF12" s="97"/>
    </row>
    <row r="13" spans="1:33" ht="14.25" customHeight="1">
      <c r="A13" s="12">
        <v>-20</v>
      </c>
      <c r="B13" s="338">
        <v>800</v>
      </c>
      <c r="C13" s="99">
        <v>830</v>
      </c>
      <c r="D13" s="12">
        <v>860</v>
      </c>
      <c r="E13" s="12">
        <v>900</v>
      </c>
      <c r="F13" s="192">
        <v>99999</v>
      </c>
      <c r="G13" s="98"/>
      <c r="H13" s="97"/>
      <c r="I13" s="12"/>
      <c r="J13" s="98"/>
      <c r="K13" s="97"/>
      <c r="L13" s="12"/>
      <c r="M13" s="12"/>
      <c r="N13" s="12"/>
      <c r="O13" s="2"/>
      <c r="P13" s="2"/>
      <c r="Q13" s="2"/>
      <c r="R13" s="12"/>
      <c r="T13" s="2"/>
      <c r="U13" s="2"/>
      <c r="V13" s="2"/>
      <c r="W13" s="98"/>
      <c r="X13" s="97"/>
      <c r="AB13" s="2"/>
      <c r="AC13" s="2"/>
      <c r="AD13" s="2"/>
      <c r="AE13" s="98"/>
      <c r="AF13" s="97"/>
    </row>
    <row r="14" spans="1:33" ht="14.25" customHeight="1">
      <c r="A14" s="12">
        <v>-10</v>
      </c>
      <c r="B14" s="338">
        <v>810</v>
      </c>
      <c r="C14" s="99">
        <v>850</v>
      </c>
      <c r="D14" s="12">
        <v>900</v>
      </c>
      <c r="E14" s="12">
        <v>950</v>
      </c>
      <c r="F14" s="339">
        <v>99999</v>
      </c>
      <c r="G14" s="98"/>
      <c r="H14" s="97"/>
      <c r="J14" s="98"/>
      <c r="K14" s="97"/>
      <c r="O14" s="2"/>
      <c r="P14" s="2"/>
      <c r="Q14" s="2"/>
      <c r="T14" s="2"/>
      <c r="U14" s="2"/>
      <c r="V14" s="2"/>
      <c r="W14" s="98"/>
      <c r="X14" s="97"/>
      <c r="AB14" s="2"/>
      <c r="AC14" s="2"/>
      <c r="AD14" s="2"/>
      <c r="AE14" s="98"/>
      <c r="AF14" s="97"/>
    </row>
    <row r="15" spans="1:33" ht="14.25" customHeight="1">
      <c r="A15" s="12">
        <v>0</v>
      </c>
      <c r="B15" s="338">
        <v>830</v>
      </c>
      <c r="C15" s="99">
        <v>880</v>
      </c>
      <c r="D15" s="12">
        <v>915</v>
      </c>
      <c r="E15" s="12">
        <v>975</v>
      </c>
      <c r="F15" s="339">
        <v>99999</v>
      </c>
      <c r="G15" s="98"/>
      <c r="H15" s="97"/>
      <c r="J15" s="98"/>
      <c r="K15" s="97"/>
      <c r="O15" s="2"/>
      <c r="P15" s="2"/>
      <c r="Q15" s="2"/>
      <c r="T15" s="2"/>
      <c r="U15" s="2"/>
      <c r="V15" s="2"/>
      <c r="W15" s="98"/>
      <c r="X15" s="97"/>
      <c r="AB15" s="2"/>
      <c r="AC15" s="2"/>
      <c r="AD15" s="2"/>
      <c r="AE15" s="98"/>
      <c r="AF15" s="97"/>
    </row>
    <row r="16" spans="1:33" ht="14.25" customHeight="1">
      <c r="A16" s="12">
        <v>10</v>
      </c>
      <c r="B16" s="338">
        <v>850</v>
      </c>
      <c r="C16" s="99">
        <v>900</v>
      </c>
      <c r="D16" s="12">
        <v>930</v>
      </c>
      <c r="E16" s="12">
        <v>1000</v>
      </c>
      <c r="F16" s="339">
        <v>99999</v>
      </c>
      <c r="G16" s="98"/>
      <c r="H16" s="97"/>
      <c r="J16" s="98"/>
      <c r="K16" s="97"/>
      <c r="T16" s="2"/>
      <c r="U16" s="2"/>
      <c r="V16" s="2"/>
      <c r="W16" s="98"/>
      <c r="X16" s="97"/>
      <c r="AB16" s="2"/>
      <c r="AC16" s="2"/>
      <c r="AD16" s="2"/>
      <c r="AE16" s="98"/>
      <c r="AF16" s="97"/>
    </row>
    <row r="17" spans="1:33" ht="14.25" customHeight="1">
      <c r="A17" s="12">
        <v>20</v>
      </c>
      <c r="B17" s="194">
        <v>900</v>
      </c>
      <c r="C17" s="195">
        <v>950</v>
      </c>
      <c r="D17" s="162">
        <v>990</v>
      </c>
      <c r="E17" s="162">
        <v>1050</v>
      </c>
      <c r="F17" s="339">
        <v>99999</v>
      </c>
      <c r="G17" s="98"/>
      <c r="H17" s="97"/>
      <c r="J17" s="98"/>
      <c r="K17" s="97"/>
      <c r="T17" s="2"/>
      <c r="U17" s="2"/>
      <c r="V17" s="2"/>
      <c r="W17" s="98"/>
      <c r="X17" s="97"/>
      <c r="AB17" s="2"/>
      <c r="AC17" s="2"/>
      <c r="AD17" s="2"/>
      <c r="AE17" s="98"/>
      <c r="AF17" s="97"/>
    </row>
    <row r="18" spans="1:33" ht="14.25" customHeight="1">
      <c r="A18" s="12">
        <v>30</v>
      </c>
      <c r="B18" s="194">
        <v>910</v>
      </c>
      <c r="C18" s="195">
        <v>975</v>
      </c>
      <c r="D18" s="162">
        <v>1020</v>
      </c>
      <c r="E18" s="162">
        <v>1075</v>
      </c>
      <c r="F18" s="339">
        <v>99999</v>
      </c>
      <c r="G18" s="98"/>
      <c r="H18" s="97"/>
      <c r="J18" s="98"/>
      <c r="K18" s="97"/>
      <c r="T18" s="2"/>
      <c r="U18" s="2"/>
      <c r="V18" s="2"/>
      <c r="W18" s="98"/>
      <c r="X18" s="97"/>
      <c r="AB18" s="2"/>
      <c r="AC18" s="2"/>
      <c r="AD18" s="2"/>
      <c r="AE18" s="98"/>
      <c r="AF18" s="97"/>
    </row>
    <row r="19" spans="1:33" ht="14.25" customHeight="1">
      <c r="A19" s="12">
        <v>35</v>
      </c>
      <c r="B19" s="196">
        <v>99999</v>
      </c>
      <c r="C19" s="197">
        <v>99999</v>
      </c>
      <c r="D19" s="197">
        <v>99999</v>
      </c>
      <c r="E19" s="197">
        <v>99999</v>
      </c>
      <c r="F19" s="339">
        <v>99999</v>
      </c>
      <c r="G19" s="98"/>
      <c r="H19" s="97"/>
      <c r="J19" s="98"/>
      <c r="K19" s="97"/>
      <c r="O19" s="2"/>
      <c r="P19" s="2"/>
      <c r="Q19" s="2"/>
      <c r="T19" s="2"/>
      <c r="U19" s="2"/>
      <c r="V19" s="2"/>
      <c r="W19" s="98"/>
      <c r="X19" s="97"/>
      <c r="AB19" s="2"/>
      <c r="AC19" s="2"/>
      <c r="AD19" s="2"/>
      <c r="AE19" s="98"/>
      <c r="AF19" s="97"/>
    </row>
    <row r="20" spans="1:33" ht="14.25" customHeight="1">
      <c r="B20" s="98"/>
      <c r="C20" s="97"/>
      <c r="D20" s="12"/>
      <c r="E20" s="12"/>
      <c r="F20" s="12"/>
      <c r="G20" s="2"/>
      <c r="H20" s="2"/>
      <c r="I20" s="2"/>
      <c r="J20" s="98"/>
      <c r="K20" s="97"/>
      <c r="O20" s="2"/>
      <c r="P20" s="2"/>
      <c r="Q20" s="2"/>
      <c r="R20" s="98"/>
      <c r="S20" s="97"/>
      <c r="W20" s="2"/>
      <c r="X20" s="2"/>
      <c r="Y20" s="2"/>
      <c r="Z20" s="98"/>
      <c r="AA20" s="97"/>
      <c r="AE20" s="2"/>
      <c r="AF20" s="2"/>
      <c r="AG20" s="2"/>
    </row>
    <row r="21" spans="1:33" ht="14.25" customHeight="1">
      <c r="B21" s="98" t="s">
        <v>183</v>
      </c>
      <c r="C21" s="97">
        <f>D1</f>
        <v>0</v>
      </c>
      <c r="D21" s="251" t="s">
        <v>237</v>
      </c>
      <c r="E21" s="262"/>
      <c r="G21" s="2"/>
      <c r="H21" s="2"/>
      <c r="I21" s="2"/>
      <c r="J21" s="98" t="s">
        <v>183</v>
      </c>
      <c r="K21" s="97">
        <f>G1</f>
        <v>0</v>
      </c>
      <c r="L21" s="251" t="s">
        <v>237</v>
      </c>
      <c r="M21" s="262"/>
      <c r="O21" s="2"/>
      <c r="P21" s="2"/>
      <c r="Q21" s="2"/>
      <c r="R21" s="98"/>
      <c r="S21" s="97"/>
      <c r="T21" s="251"/>
      <c r="U21" s="262"/>
      <c r="W21" s="2"/>
      <c r="X21" s="2"/>
      <c r="Y21" s="2"/>
      <c r="Z21" s="98"/>
      <c r="AA21" s="97"/>
      <c r="AB21" s="251"/>
      <c r="AC21" s="262"/>
      <c r="AE21" s="2"/>
      <c r="AF21" s="2"/>
      <c r="AG21" s="2"/>
    </row>
    <row r="22" spans="1:33" ht="14.25" customHeight="1">
      <c r="B22" s="73" t="s">
        <v>238</v>
      </c>
      <c r="C22" s="100">
        <f t="array" ref="C22">INDEX($B11:$F11,MATCH(C21,$B11:$F11,1))</f>
        <v>0</v>
      </c>
      <c r="D22" s="73" t="s">
        <v>181</v>
      </c>
      <c r="E22" s="88">
        <f>MATCH(MAX($A12:$A19),$A12:$A19,1)</f>
        <v>8</v>
      </c>
      <c r="G22" s="2"/>
      <c r="H22" s="2"/>
      <c r="I22" s="2"/>
      <c r="J22" s="73" t="s">
        <v>238</v>
      </c>
      <c r="K22" s="100">
        <f t="array" ref="K22">INDEX($B11:$F11,MATCH(K21,$B11:$F11,1))</f>
        <v>0</v>
      </c>
      <c r="L22" s="73" t="s">
        <v>181</v>
      </c>
      <c r="M22" s="88">
        <f>MATCH(MAX($A12:$A19),$A12:$A19,1)</f>
        <v>8</v>
      </c>
      <c r="O22" s="2"/>
      <c r="P22" s="2"/>
      <c r="Q22" s="2"/>
      <c r="R22" s="73"/>
      <c r="S22" s="100"/>
      <c r="T22" s="73"/>
      <c r="U22" s="88"/>
      <c r="W22" s="2"/>
      <c r="X22" s="2"/>
      <c r="Y22" s="2"/>
      <c r="Z22" s="73"/>
      <c r="AA22" s="100"/>
      <c r="AB22" s="73"/>
      <c r="AC22" s="88"/>
      <c r="AE22" s="2"/>
      <c r="AF22" s="2"/>
      <c r="AG22" s="2"/>
    </row>
    <row r="23" spans="1:33" ht="14.25" customHeight="1">
      <c r="B23" s="73" t="s">
        <v>239</v>
      </c>
      <c r="C23" s="100">
        <f t="array" ref="C23">INDEX($B11:$F11,IF(MATCH(C21,$B11:$F11,1)&lt;E23,MATCH(C21,$B11:$F11,1)+1,MATCH(C21,$B11:$F11,1)))</f>
        <v>1000</v>
      </c>
      <c r="D23" s="73" t="s">
        <v>182</v>
      </c>
      <c r="E23" s="88">
        <f>MATCH(MAX($B11:$F11),$B11:$F11,0)</f>
        <v>5</v>
      </c>
      <c r="G23" s="2"/>
      <c r="H23" s="2"/>
      <c r="I23" s="2"/>
      <c r="J23" s="73" t="s">
        <v>239</v>
      </c>
      <c r="K23" s="100">
        <f t="array" ref="K23">INDEX($B11:$F11,IF(MATCH(K21,$B11:$F11,1)&lt;M23,MATCH(K21,$B11:$F11,1)+1,MATCH(K21,$B11:$F11,1)))</f>
        <v>1000</v>
      </c>
      <c r="L23" s="73" t="s">
        <v>182</v>
      </c>
      <c r="M23" s="88">
        <f>MATCH(MAX($B11:$F11),$B11:$F11,0)</f>
        <v>5</v>
      </c>
      <c r="O23" s="2"/>
      <c r="P23" s="2"/>
      <c r="Q23" s="2"/>
      <c r="R23" s="73"/>
      <c r="S23" s="100"/>
      <c r="T23" s="73"/>
      <c r="U23" s="88"/>
      <c r="W23" s="2"/>
      <c r="X23" s="2"/>
      <c r="Y23" s="2"/>
      <c r="Z23" s="73"/>
      <c r="AA23" s="100"/>
      <c r="AB23" s="73"/>
      <c r="AC23" s="88"/>
      <c r="AE23" s="2"/>
      <c r="AF23" s="2"/>
      <c r="AG23" s="2"/>
    </row>
    <row r="24" spans="1:33" ht="14.25" customHeight="1">
      <c r="B24" s="96" t="s">
        <v>184</v>
      </c>
      <c r="C24" s="155">
        <f>D2</f>
        <v>-2</v>
      </c>
      <c r="D24" s="2"/>
      <c r="E24" s="2"/>
      <c r="G24" s="2"/>
      <c r="H24" s="2"/>
      <c r="I24" s="2"/>
      <c r="J24" s="96" t="s">
        <v>184</v>
      </c>
      <c r="K24" s="155">
        <f>G2</f>
        <v>0</v>
      </c>
      <c r="L24" s="2"/>
      <c r="M24" s="2"/>
      <c r="O24" s="2"/>
      <c r="P24" s="2"/>
      <c r="Q24" s="2"/>
      <c r="R24" s="98"/>
      <c r="S24" s="155"/>
      <c r="T24" s="2"/>
      <c r="U24" s="2"/>
      <c r="W24" s="2"/>
      <c r="X24" s="2"/>
      <c r="Y24" s="2"/>
      <c r="Z24" s="98"/>
      <c r="AA24" s="155"/>
      <c r="AB24" s="2"/>
      <c r="AC24" s="2"/>
      <c r="AE24" s="2"/>
      <c r="AF24" s="2"/>
      <c r="AG24" s="2"/>
    </row>
    <row r="25" spans="1:33" ht="14.25" customHeight="1">
      <c r="B25" s="73" t="s">
        <v>185</v>
      </c>
      <c r="C25" s="100">
        <f t="array" ref="C25">INDEX($A12:$A19,MATCH(C24,$A12:$A19,1))</f>
        <v>-10</v>
      </c>
      <c r="D25" s="2"/>
      <c r="E25" s="92"/>
      <c r="G25" s="2"/>
      <c r="H25" s="2"/>
      <c r="I25" s="2"/>
      <c r="J25" s="73" t="s">
        <v>185</v>
      </c>
      <c r="K25" s="100">
        <f t="array" ref="K25">INDEX($A12:$A19,MATCH(K24,$A12:$A19,1))</f>
        <v>0</v>
      </c>
      <c r="L25" s="2"/>
      <c r="M25" s="92"/>
      <c r="O25" s="2"/>
      <c r="P25" s="2"/>
      <c r="Q25" s="2"/>
      <c r="R25" s="73"/>
      <c r="S25" s="100"/>
      <c r="T25" s="2"/>
      <c r="U25" s="92"/>
      <c r="W25" s="2"/>
      <c r="X25" s="2"/>
      <c r="Y25" s="2"/>
      <c r="Z25" s="73"/>
      <c r="AA25" s="100"/>
      <c r="AB25" s="2"/>
      <c r="AC25" s="92"/>
      <c r="AE25" s="2"/>
      <c r="AF25" s="2"/>
      <c r="AG25" s="2"/>
    </row>
    <row r="26" spans="1:33" ht="14.25" customHeight="1">
      <c r="B26" s="73" t="s">
        <v>186</v>
      </c>
      <c r="C26" s="100">
        <f t="array" ref="C26">INDEX($A12:$A19,IF(MATCH(C24,$A12:$A19,1)&lt;E22,MATCH(C24,$A12:$A19,1)+1,MATCH(C24,$A12:$A19,1)))</f>
        <v>0</v>
      </c>
      <c r="D26" s="2"/>
      <c r="E26" s="92"/>
      <c r="G26" s="2"/>
      <c r="H26" s="2"/>
      <c r="I26" s="2"/>
      <c r="J26" s="73" t="s">
        <v>186</v>
      </c>
      <c r="K26" s="100">
        <f t="array" ref="K26">INDEX($A12:$A19,IF(MATCH(K24,$A12:$A19,1)&lt;M22,MATCH(K24,$A12:$A19,1)+1,MATCH(K24,$A12:$A19,1)))</f>
        <v>10</v>
      </c>
      <c r="L26" s="2"/>
      <c r="M26" s="92"/>
      <c r="O26" s="2"/>
      <c r="P26" s="2"/>
      <c r="Q26" s="2"/>
      <c r="R26" s="73"/>
      <c r="S26" s="100"/>
      <c r="T26" s="2"/>
      <c r="U26" s="92"/>
      <c r="W26" s="2"/>
      <c r="X26" s="2"/>
      <c r="Y26" s="2"/>
      <c r="Z26" s="73"/>
      <c r="AA26" s="100"/>
      <c r="AB26" s="2"/>
      <c r="AC26" s="92"/>
      <c r="AE26" s="2"/>
      <c r="AF26" s="2"/>
      <c r="AG26" s="2"/>
    </row>
    <row r="27" spans="1:33" ht="14.25" customHeight="1">
      <c r="B27" s="98" t="s">
        <v>187</v>
      </c>
      <c r="C27" s="97">
        <f t="array" ref="C27">INDEX($B12:$F19,MATCH(C24,$A12:$A19,1),MATCH(C21,$B11:$F11,1))</f>
        <v>810</v>
      </c>
      <c r="D27" s="2"/>
      <c r="E27" s="92"/>
      <c r="G27" s="2"/>
      <c r="H27" s="2"/>
      <c r="I27" s="2"/>
      <c r="J27" s="98" t="s">
        <v>187</v>
      </c>
      <c r="K27" s="97">
        <f t="array" ref="K27">INDEX($B12:$F19,MATCH(K24,$A12:$A19,1),MATCH(K21,$B11:$F11,1))</f>
        <v>830</v>
      </c>
      <c r="L27" s="2"/>
      <c r="M27" s="92"/>
      <c r="O27" s="2"/>
      <c r="P27" s="2"/>
      <c r="Q27" s="2"/>
      <c r="R27" s="98"/>
      <c r="S27" s="97"/>
      <c r="T27" s="2"/>
      <c r="U27" s="92"/>
      <c r="W27" s="2"/>
      <c r="X27" s="2"/>
      <c r="Y27" s="2"/>
      <c r="Z27" s="98"/>
      <c r="AA27" s="97"/>
      <c r="AB27" s="2"/>
      <c r="AC27" s="92"/>
      <c r="AE27" s="2"/>
      <c r="AF27" s="2"/>
      <c r="AG27" s="2"/>
    </row>
    <row r="28" spans="1:33" ht="14.25" customHeight="1">
      <c r="B28" s="98" t="s">
        <v>240</v>
      </c>
      <c r="C28" s="97">
        <f t="array" ref="C28">INDEX($B12:$F19,MATCH(C24,$A12:$A19,1),IF(MATCH(C21,$B11:$F11,1)&lt;E23,MATCH(C21,$B11:$F11,1)+1,MATCH(C24,$A12:$A19,1)))</f>
        <v>850</v>
      </c>
      <c r="E28" s="92"/>
      <c r="G28" s="2"/>
      <c r="H28" s="2"/>
      <c r="I28" s="2"/>
      <c r="J28" s="98" t="s">
        <v>240</v>
      </c>
      <c r="K28" s="97">
        <f t="array" ref="K28">INDEX($B12:$F19,MATCH(K24,$A12:$A19,1),IF(MATCH(K21,$B11:$F11,1)&lt;M23,MATCH(K21,$B11:$F11,1)+1,MATCH(K24,$A12:$A19,1)))</f>
        <v>880</v>
      </c>
      <c r="M28" s="92"/>
      <c r="O28" s="2"/>
      <c r="P28" s="2"/>
      <c r="Q28" s="2"/>
      <c r="R28" s="98"/>
      <c r="S28" s="97"/>
      <c r="U28" s="92"/>
      <c r="W28" s="2"/>
      <c r="X28" s="2"/>
      <c r="Y28" s="2"/>
      <c r="Z28" s="98"/>
      <c r="AA28" s="97"/>
      <c r="AC28" s="92"/>
      <c r="AE28" s="2"/>
      <c r="AF28" s="2"/>
      <c r="AG28" s="2"/>
    </row>
    <row r="29" spans="1:33" ht="14.25" customHeight="1">
      <c r="B29" s="98" t="s">
        <v>188</v>
      </c>
      <c r="C29" s="97">
        <f t="array" ref="C29">INDEX($B12:$F19,IF(MATCH(C24,$A12:$A19,1)&lt;E22,MATCH(C24,$A12:$A19,1)+1,MATCH(C24,$A12:$A19,1)),MATCH(C21,$B11:$F11,1))</f>
        <v>830</v>
      </c>
      <c r="E29" s="92"/>
      <c r="G29" s="2"/>
      <c r="H29" s="2"/>
      <c r="I29" s="2"/>
      <c r="J29" s="98" t="s">
        <v>188</v>
      </c>
      <c r="K29" s="97">
        <f t="array" ref="K29">INDEX($B12:$F19,IF(MATCH(K24,$A12:$A19,1)&lt;M22,MATCH(K24,$A12:$A19,1)+1,MATCH(K24,$A12:$A19,1)),MATCH(K21,$B11:$F11,1))</f>
        <v>850</v>
      </c>
      <c r="M29" s="92"/>
      <c r="O29" s="2"/>
      <c r="P29" s="2"/>
      <c r="Q29" s="2"/>
      <c r="R29" s="98"/>
      <c r="S29" s="97"/>
      <c r="U29" s="92"/>
      <c r="W29" s="2"/>
      <c r="X29" s="2"/>
      <c r="Y29" s="2"/>
      <c r="Z29" s="98"/>
      <c r="AA29" s="97"/>
      <c r="AC29" s="92"/>
      <c r="AE29" s="2"/>
      <c r="AF29" s="2"/>
      <c r="AG29" s="2"/>
    </row>
    <row r="30" spans="1:33" ht="14.25" customHeight="1">
      <c r="B30" s="98" t="s">
        <v>241</v>
      </c>
      <c r="C30" s="97">
        <f t="array" ref="C30">INDEX($B12:$F19,IF(MATCH(C24,$A12:$A19,1)&lt;E22,MATCH(C24,$A12:$A19,1)+1,MATCH(C24,$A12:$A19,1)),IF(MATCH(C21,$B11:$F11,1)&lt;E23,MATCH(C21,$B11:$F11,1)+1,MATCH(C21,$B11:$F11,1)))</f>
        <v>880</v>
      </c>
      <c r="G30" s="2"/>
      <c r="H30" s="2"/>
      <c r="I30" s="2"/>
      <c r="J30" s="98" t="s">
        <v>241</v>
      </c>
      <c r="K30" s="97">
        <f t="array" ref="K30">INDEX($B12:$F19,IF(MATCH(K24,$A12:$A19,1)&lt;M22,MATCH(K24,$A12:$A19,1)+1,MATCH(K24,$A12:$A19,1)),IF(MATCH(K21,$B11:$F11,1)&lt;M23,MATCH(K21,$B11:$F11,1)+1,MATCH(K21,$B11:$F11,1)))</f>
        <v>900</v>
      </c>
      <c r="O30" s="2"/>
      <c r="P30" s="2"/>
      <c r="Q30" s="2"/>
      <c r="R30" s="98"/>
      <c r="S30" s="97"/>
      <c r="W30" s="2"/>
      <c r="X30" s="2"/>
      <c r="Y30" s="2"/>
      <c r="Z30" s="98"/>
      <c r="AA30" s="97"/>
      <c r="AE30" s="2"/>
      <c r="AF30" s="2"/>
      <c r="AG30" s="2"/>
    </row>
    <row r="31" spans="1:33" ht="14.25" customHeight="1">
      <c r="B31" s="73" t="s">
        <v>242</v>
      </c>
      <c r="C31" s="100">
        <f>IFERROR(C27+(C21-C22)*(C28-C27)/(C23-C22),C27)</f>
        <v>810</v>
      </c>
      <c r="G31" s="2"/>
      <c r="H31" s="2"/>
      <c r="I31" s="2"/>
      <c r="J31" s="73" t="s">
        <v>242</v>
      </c>
      <c r="K31" s="100">
        <f>IFERROR(K27+(K21-K22)*(K28-K27)/(K23-K22),K27)</f>
        <v>830</v>
      </c>
      <c r="O31" s="2"/>
      <c r="P31" s="2"/>
      <c r="Q31" s="2"/>
      <c r="R31" s="73"/>
      <c r="S31" s="100"/>
      <c r="W31" s="2"/>
      <c r="X31" s="2"/>
      <c r="Y31" s="2"/>
      <c r="Z31" s="73"/>
      <c r="AA31" s="100"/>
      <c r="AE31" s="2"/>
      <c r="AF31" s="2"/>
      <c r="AG31" s="2"/>
    </row>
    <row r="32" spans="1:33" ht="14.25" customHeight="1">
      <c r="B32" s="73" t="s">
        <v>243</v>
      </c>
      <c r="C32" s="100">
        <f>IFERROR(C29+(C21-C22)*(C30-C29)/(C23-C22),C29)</f>
        <v>830</v>
      </c>
      <c r="G32" s="2"/>
      <c r="H32" s="2"/>
      <c r="I32" s="2"/>
      <c r="J32" s="73" t="s">
        <v>243</v>
      </c>
      <c r="K32" s="100">
        <f>IFERROR(K29+(K21-K22)*(K30-K29)/(K23-K22),K29)</f>
        <v>850</v>
      </c>
      <c r="O32" s="2"/>
      <c r="P32" s="2"/>
      <c r="Q32" s="2"/>
      <c r="R32" s="73"/>
      <c r="S32" s="100"/>
      <c r="W32" s="2"/>
      <c r="X32" s="2"/>
      <c r="Y32" s="2"/>
      <c r="Z32" s="73"/>
      <c r="AA32" s="100"/>
      <c r="AE32" s="2"/>
      <c r="AF32" s="2"/>
      <c r="AG32" s="2"/>
    </row>
    <row r="33" spans="1:33" ht="14.25" customHeight="1">
      <c r="B33" s="98" t="s">
        <v>244</v>
      </c>
      <c r="C33" s="97">
        <f>IFERROR(C31+(C24-C25)*(C32-C31)/(C26-C25),C31)</f>
        <v>826</v>
      </c>
      <c r="G33" s="2"/>
      <c r="H33" s="2"/>
      <c r="I33" s="2"/>
      <c r="J33" s="98" t="s">
        <v>244</v>
      </c>
      <c r="K33" s="97">
        <f>IFERROR(K31+(K24-K25)*(K32-K31)/(K26-K25),K31)</f>
        <v>830</v>
      </c>
      <c r="O33" s="2"/>
      <c r="P33" s="2"/>
      <c r="Q33" s="2"/>
      <c r="R33" s="98"/>
      <c r="S33" s="97"/>
      <c r="W33" s="2"/>
      <c r="X33" s="2"/>
      <c r="Y33" s="2"/>
      <c r="Z33" s="98"/>
      <c r="AA33" s="97"/>
      <c r="AE33" s="2"/>
      <c r="AF33" s="2"/>
      <c r="AG33" s="2"/>
    </row>
    <row r="34" spans="1:33" ht="14.25" customHeight="1">
      <c r="B34" s="98"/>
      <c r="C34" s="97"/>
      <c r="F34" s="12"/>
      <c r="G34" s="2"/>
      <c r="H34" s="2"/>
      <c r="I34" s="2"/>
      <c r="J34" s="98"/>
      <c r="K34" s="97"/>
      <c r="L34" s="12"/>
      <c r="M34" s="12"/>
      <c r="N34" s="12"/>
      <c r="O34" s="2"/>
      <c r="P34" s="2"/>
      <c r="Q34" s="2"/>
      <c r="R34" s="98"/>
      <c r="S34" s="97"/>
      <c r="W34" s="2"/>
      <c r="X34" s="2"/>
      <c r="Y34" s="2"/>
      <c r="Z34" s="98"/>
      <c r="AA34" s="97"/>
      <c r="AE34" s="2"/>
      <c r="AF34" s="2"/>
      <c r="AG34" s="2"/>
    </row>
    <row r="35" spans="1:33" ht="14.25" customHeight="1">
      <c r="A35" s="12"/>
      <c r="B35" s="258" t="s">
        <v>245</v>
      </c>
      <c r="C35" s="260"/>
      <c r="D35" s="260"/>
      <c r="E35" s="260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2"/>
      <c r="Q35" s="2"/>
      <c r="R35" s="98"/>
      <c r="S35" s="97"/>
      <c r="T35" s="12"/>
      <c r="U35" s="12"/>
      <c r="W35" s="2"/>
      <c r="X35" s="2"/>
      <c r="Y35" s="2"/>
      <c r="Z35" s="98"/>
      <c r="AA35" s="97"/>
      <c r="AE35" s="2"/>
      <c r="AF35" s="2"/>
      <c r="AG35" s="2"/>
    </row>
    <row r="36" spans="1:33" ht="14.25" customHeight="1">
      <c r="A36" s="12"/>
      <c r="B36" s="189">
        <v>500</v>
      </c>
      <c r="C36" s="199">
        <v>1000</v>
      </c>
      <c r="D36" s="199">
        <v>1500</v>
      </c>
      <c r="E36" s="192">
        <v>2000</v>
      </c>
      <c r="F36" s="200"/>
      <c r="G36" s="97"/>
      <c r="H36" s="12"/>
      <c r="I36" s="98"/>
      <c r="J36" s="97"/>
      <c r="K36" s="12"/>
      <c r="L36" s="12"/>
      <c r="M36" s="12"/>
      <c r="N36" s="2"/>
      <c r="O36" s="2"/>
      <c r="P36" s="2"/>
      <c r="Q36" s="12"/>
      <c r="R36" s="12"/>
      <c r="S36" s="2"/>
      <c r="T36" s="2"/>
      <c r="U36" s="2"/>
      <c r="V36" s="98"/>
      <c r="W36" s="97"/>
      <c r="AA36" s="2"/>
      <c r="AB36" s="2"/>
      <c r="AC36" s="2"/>
      <c r="AD36" s="98"/>
      <c r="AE36" s="97"/>
    </row>
    <row r="37" spans="1:33" ht="14.25" customHeight="1">
      <c r="A37" s="12">
        <v>9000</v>
      </c>
      <c r="B37" s="189">
        <v>375</v>
      </c>
      <c r="C37" s="199">
        <v>690</v>
      </c>
      <c r="D37" s="199">
        <v>1090</v>
      </c>
      <c r="E37" s="201">
        <v>99999</v>
      </c>
      <c r="F37" s="200"/>
      <c r="G37" s="97"/>
      <c r="H37" s="97"/>
      <c r="I37" s="97"/>
      <c r="J37" s="97"/>
      <c r="K37" s="97"/>
      <c r="L37" s="97"/>
      <c r="M37" s="97"/>
      <c r="N37" s="97"/>
      <c r="O37" s="97"/>
      <c r="P37" s="2"/>
      <c r="Q37" s="12"/>
      <c r="S37" s="2"/>
      <c r="T37" s="2"/>
      <c r="U37" s="2"/>
      <c r="V37" s="98"/>
      <c r="W37" s="97"/>
      <c r="AA37" s="2"/>
      <c r="AB37" s="2"/>
      <c r="AC37" s="2"/>
      <c r="AD37" s="98"/>
      <c r="AE37" s="97"/>
    </row>
    <row r="38" spans="1:33" ht="14.25" customHeight="1">
      <c r="A38" s="12">
        <v>9500</v>
      </c>
      <c r="B38" s="340">
        <v>390</v>
      </c>
      <c r="C38" s="82">
        <v>750</v>
      </c>
      <c r="D38" s="82">
        <v>1150</v>
      </c>
      <c r="E38" s="201">
        <v>99999</v>
      </c>
      <c r="F38" s="200"/>
      <c r="G38" s="97"/>
      <c r="H38" s="12"/>
      <c r="I38" s="98"/>
      <c r="J38" s="97"/>
      <c r="K38" s="12"/>
      <c r="L38" s="12"/>
      <c r="M38" s="12"/>
      <c r="N38" s="2"/>
      <c r="O38" s="2"/>
      <c r="P38" s="2"/>
      <c r="Q38" s="12"/>
      <c r="S38" s="2"/>
      <c r="T38" s="2"/>
      <c r="U38" s="2"/>
      <c r="V38" s="98"/>
      <c r="W38" s="97"/>
      <c r="AA38" s="2"/>
      <c r="AB38" s="2"/>
      <c r="AC38" s="2"/>
      <c r="AD38" s="98"/>
      <c r="AE38" s="97"/>
    </row>
    <row r="39" spans="1:33" ht="14.25" customHeight="1">
      <c r="A39" s="12">
        <v>10000</v>
      </c>
      <c r="B39" s="340">
        <v>400</v>
      </c>
      <c r="C39" s="82">
        <v>780</v>
      </c>
      <c r="D39" s="82">
        <v>1200</v>
      </c>
      <c r="E39" s="201">
        <v>99999</v>
      </c>
      <c r="F39" s="200"/>
      <c r="G39" s="97"/>
      <c r="H39" s="12"/>
      <c r="I39" s="98"/>
      <c r="J39" s="97"/>
      <c r="K39" s="12"/>
      <c r="L39" s="12"/>
      <c r="M39" s="12"/>
      <c r="N39" s="2"/>
      <c r="O39" s="2"/>
      <c r="P39" s="2"/>
      <c r="Q39" s="12"/>
      <c r="S39" s="2"/>
      <c r="T39" s="2"/>
      <c r="U39" s="2"/>
      <c r="V39" s="98"/>
      <c r="W39" s="97"/>
      <c r="AA39" s="2"/>
      <c r="AB39" s="2"/>
      <c r="AC39" s="2"/>
      <c r="AD39" s="98"/>
      <c r="AE39" s="97"/>
    </row>
    <row r="40" spans="1:33" ht="14.25" customHeight="1">
      <c r="A40" s="12">
        <v>10500</v>
      </c>
      <c r="B40" s="340">
        <v>410</v>
      </c>
      <c r="C40" s="82">
        <v>810</v>
      </c>
      <c r="D40" s="82">
        <v>1250</v>
      </c>
      <c r="E40" s="201">
        <v>99999</v>
      </c>
      <c r="F40" s="200"/>
      <c r="G40" s="97"/>
      <c r="H40" s="12"/>
      <c r="I40" s="98"/>
      <c r="J40" s="97"/>
      <c r="K40" s="12"/>
      <c r="L40" s="12"/>
      <c r="M40" s="12"/>
      <c r="N40" s="2"/>
      <c r="O40" s="2"/>
      <c r="P40" s="2"/>
      <c r="Q40" s="12"/>
      <c r="S40" s="2"/>
      <c r="T40" s="2"/>
      <c r="U40" s="2"/>
      <c r="V40" s="98"/>
      <c r="W40" s="97"/>
      <c r="AA40" s="2"/>
      <c r="AB40" s="2"/>
      <c r="AC40" s="2"/>
      <c r="AD40" s="98"/>
      <c r="AE40" s="97"/>
    </row>
    <row r="41" spans="1:33" ht="14.25" customHeight="1">
      <c r="A41" s="12">
        <v>11000</v>
      </c>
      <c r="B41" s="340">
        <v>440</v>
      </c>
      <c r="C41" s="82">
        <v>850</v>
      </c>
      <c r="D41" s="82">
        <v>1320</v>
      </c>
      <c r="E41" s="201">
        <v>99999</v>
      </c>
      <c r="F41" s="200"/>
      <c r="G41" s="97"/>
      <c r="H41" s="12"/>
      <c r="I41" s="98"/>
      <c r="J41" s="97"/>
      <c r="K41" s="12"/>
      <c r="L41" s="12"/>
      <c r="M41" s="12"/>
      <c r="N41" s="2"/>
      <c r="O41" s="2"/>
      <c r="P41" s="2"/>
      <c r="Q41" s="12"/>
      <c r="S41" s="2"/>
      <c r="T41" s="2"/>
      <c r="U41" s="2"/>
      <c r="V41" s="98"/>
      <c r="W41" s="97"/>
      <c r="AA41" s="2"/>
      <c r="AB41" s="2"/>
      <c r="AC41" s="2"/>
      <c r="AD41" s="98"/>
      <c r="AE41" s="97"/>
    </row>
    <row r="42" spans="1:33" ht="14.25" customHeight="1">
      <c r="A42" s="12">
        <v>11500</v>
      </c>
      <c r="B42" s="340">
        <v>475</v>
      </c>
      <c r="C42" s="82">
        <v>900</v>
      </c>
      <c r="D42" s="82">
        <v>1390</v>
      </c>
      <c r="E42" s="201">
        <v>99999</v>
      </c>
      <c r="F42" s="200"/>
      <c r="G42" s="97"/>
      <c r="H42" s="12"/>
      <c r="I42" s="98"/>
      <c r="J42" s="97"/>
      <c r="K42" s="12"/>
      <c r="L42" s="12"/>
      <c r="M42" s="12"/>
      <c r="N42" s="2"/>
      <c r="O42" s="2"/>
      <c r="P42" s="2"/>
      <c r="Q42" s="12"/>
      <c r="S42" s="2"/>
      <c r="T42" s="2"/>
      <c r="U42" s="2"/>
      <c r="V42" s="98"/>
      <c r="W42" s="97"/>
      <c r="AA42" s="2"/>
      <c r="AB42" s="2"/>
      <c r="AC42" s="2"/>
      <c r="AD42" s="98"/>
      <c r="AE42" s="97"/>
    </row>
    <row r="43" spans="1:33" ht="14.25" customHeight="1">
      <c r="A43" s="12">
        <v>12000</v>
      </c>
      <c r="B43" s="340">
        <v>490</v>
      </c>
      <c r="C43" s="82">
        <v>950</v>
      </c>
      <c r="D43" s="82">
        <v>1450</v>
      </c>
      <c r="E43" s="201">
        <v>99999</v>
      </c>
      <c r="F43" s="200"/>
      <c r="G43" s="97"/>
      <c r="I43" s="98"/>
      <c r="J43" s="97"/>
      <c r="N43" s="2"/>
      <c r="O43" s="2"/>
      <c r="P43" s="2"/>
      <c r="S43" s="2"/>
      <c r="T43" s="2"/>
      <c r="U43" s="2"/>
      <c r="V43" s="98"/>
      <c r="W43" s="97"/>
      <c r="AA43" s="2"/>
      <c r="AB43" s="2"/>
      <c r="AC43" s="2"/>
      <c r="AD43" s="98"/>
      <c r="AE43" s="97"/>
    </row>
    <row r="44" spans="1:33" ht="14.25" customHeight="1">
      <c r="A44" s="12">
        <v>12500</v>
      </c>
      <c r="B44" s="196">
        <v>500</v>
      </c>
      <c r="C44" s="202">
        <v>1000</v>
      </c>
      <c r="D44" s="202">
        <v>1500</v>
      </c>
      <c r="E44" s="201">
        <v>99999</v>
      </c>
      <c r="F44" s="200"/>
      <c r="G44" s="97"/>
      <c r="I44" s="98"/>
      <c r="J44" s="97"/>
      <c r="N44" s="2"/>
      <c r="O44" s="2"/>
      <c r="P44" s="2"/>
      <c r="S44" s="2"/>
      <c r="T44" s="2"/>
      <c r="U44" s="2"/>
      <c r="V44" s="98"/>
      <c r="W44" s="97"/>
      <c r="AA44" s="2"/>
      <c r="AB44" s="2"/>
      <c r="AC44" s="2"/>
      <c r="AD44" s="98"/>
      <c r="AE44" s="97"/>
    </row>
    <row r="45" spans="1:33" ht="14.25" customHeight="1">
      <c r="B45" s="98"/>
      <c r="C45" s="97"/>
      <c r="D45" s="12"/>
      <c r="E45" s="12"/>
      <c r="F45" s="12"/>
      <c r="G45" s="2"/>
      <c r="H45" s="2"/>
      <c r="I45" s="2"/>
      <c r="J45" s="98"/>
      <c r="K45" s="97"/>
      <c r="O45" s="26"/>
      <c r="P45" s="2"/>
      <c r="Q45" s="2"/>
      <c r="R45" s="98"/>
      <c r="S45" s="97"/>
      <c r="W45" s="2"/>
      <c r="X45" s="2"/>
      <c r="Y45" s="2"/>
      <c r="Z45" s="98"/>
      <c r="AA45" s="97"/>
      <c r="AE45" s="2"/>
      <c r="AF45" s="2"/>
      <c r="AG45" s="2"/>
    </row>
    <row r="46" spans="1:33" ht="14.25" customHeight="1">
      <c r="B46" s="98" t="s">
        <v>183</v>
      </c>
      <c r="C46" s="97">
        <f>C33</f>
        <v>826</v>
      </c>
      <c r="D46" s="251" t="s">
        <v>237</v>
      </c>
      <c r="E46" s="262"/>
      <c r="G46" s="2"/>
      <c r="H46" s="2"/>
      <c r="I46" s="2"/>
      <c r="J46" s="98" t="s">
        <v>183</v>
      </c>
      <c r="K46" s="97">
        <f>K33</f>
        <v>830</v>
      </c>
      <c r="L46" s="251" t="s">
        <v>237</v>
      </c>
      <c r="M46" s="262"/>
      <c r="O46" s="26"/>
    </row>
    <row r="47" spans="1:33" ht="14.25" customHeight="1">
      <c r="B47" s="73" t="s">
        <v>238</v>
      </c>
      <c r="C47" s="100">
        <f t="array" ref="C47">INDEX($B36:$E36,MATCH(C46,$B36:$E36,1))</f>
        <v>500</v>
      </c>
      <c r="D47" s="73" t="s">
        <v>181</v>
      </c>
      <c r="E47" s="88">
        <f>MATCH(MAX($A37:$A44),$A37:$A44,1)</f>
        <v>8</v>
      </c>
      <c r="G47" s="2"/>
      <c r="H47" s="2"/>
      <c r="I47" s="2"/>
      <c r="J47" s="73" t="s">
        <v>238</v>
      </c>
      <c r="K47" s="100">
        <f t="array" ref="K47">INDEX($B36:$E36,MATCH(K46,$B36:$E36,1))</f>
        <v>500</v>
      </c>
      <c r="L47" s="73" t="s">
        <v>181</v>
      </c>
      <c r="M47" s="88">
        <f>MATCH(MAX($A37:$A44),$A37:$A44,1)</f>
        <v>8</v>
      </c>
      <c r="O47" s="26"/>
    </row>
    <row r="48" spans="1:33" ht="14.25" customHeight="1">
      <c r="B48" s="73" t="s">
        <v>239</v>
      </c>
      <c r="C48" s="100">
        <f t="array" ref="C48">INDEX($B36:$E36,IF(MATCH(C46,$B36:$E36,1)&lt;E48,MATCH(C46,$B36:$E36,1)+1,MATCH(C46,$B36:$E36,1)))</f>
        <v>1000</v>
      </c>
      <c r="D48" s="73" t="s">
        <v>182</v>
      </c>
      <c r="E48" s="88">
        <f>MATCH(MAX($B36:$E36),$B36:$E36,0)</f>
        <v>4</v>
      </c>
      <c r="G48" s="2"/>
      <c r="H48" s="2"/>
      <c r="I48" s="2"/>
      <c r="J48" s="73" t="s">
        <v>239</v>
      </c>
      <c r="K48" s="100">
        <f t="array" ref="K48">INDEX($B36:$E36,IF(MATCH(K46,$B36:$E36,1)&lt;M48,MATCH(K46,$B36:$E36,1)+1,MATCH(K46,$B36:$E36,1)))</f>
        <v>1000</v>
      </c>
      <c r="L48" s="73" t="s">
        <v>182</v>
      </c>
      <c r="M48" s="88">
        <f>MATCH(MAX($B36:$E36),$B36:$E36,0)</f>
        <v>4</v>
      </c>
      <c r="O48" s="26"/>
    </row>
    <row r="49" spans="1:33" ht="14.25" customHeight="1">
      <c r="B49" s="96" t="s">
        <v>184</v>
      </c>
      <c r="C49" s="155">
        <f>Landing!C11</f>
        <v>12500</v>
      </c>
      <c r="D49" s="2"/>
      <c r="E49" s="2"/>
      <c r="G49" s="2"/>
      <c r="H49" s="2"/>
      <c r="I49" s="2"/>
      <c r="J49" s="96" t="s">
        <v>184</v>
      </c>
      <c r="K49" s="155">
        <f>'Take-off'!C14</f>
        <v>12500</v>
      </c>
      <c r="L49" s="2"/>
      <c r="M49" s="2"/>
      <c r="O49" s="26"/>
    </row>
    <row r="50" spans="1:33" ht="14.25" customHeight="1">
      <c r="B50" s="73" t="s">
        <v>185</v>
      </c>
      <c r="C50" s="100">
        <f t="array" ref="C50">INDEX($A37:$A44,MATCH(C49,$A37:$A44,1))</f>
        <v>12500</v>
      </c>
      <c r="D50" s="2"/>
      <c r="E50" s="92"/>
      <c r="G50" s="2"/>
      <c r="H50" s="2"/>
      <c r="I50" s="2"/>
      <c r="J50" s="73" t="s">
        <v>185</v>
      </c>
      <c r="K50" s="100">
        <f t="array" ref="K50">INDEX($A37:$A44,MATCH(K49,$A37:$A44,1))</f>
        <v>12500</v>
      </c>
      <c r="L50" s="2"/>
      <c r="M50" s="92"/>
      <c r="O50" s="26"/>
    </row>
    <row r="51" spans="1:33" ht="14.25" customHeight="1">
      <c r="B51" s="73" t="s">
        <v>186</v>
      </c>
      <c r="C51" s="100">
        <f t="array" ref="C51">INDEX($A37:$A44,IF(MATCH(C49,$A37:$A44,1)&lt;E47,MATCH(C49,$A37:$A44,1)+1,MATCH(C49,$A37:$A44,1)))</f>
        <v>12500</v>
      </c>
      <c r="D51" s="2"/>
      <c r="E51" s="92"/>
      <c r="G51" s="2"/>
      <c r="H51" s="2"/>
      <c r="I51" s="2"/>
      <c r="J51" s="73" t="s">
        <v>186</v>
      </c>
      <c r="K51" s="100">
        <f t="array" ref="K51">INDEX($A37:$A44,IF(MATCH(K49,$A37:$A44,1)&lt;M47,MATCH(K49,$A37:$A44,1)+1,MATCH(K49,$A37:$A44,1)))</f>
        <v>12500</v>
      </c>
      <c r="L51" s="2"/>
      <c r="M51" s="92"/>
      <c r="O51" s="26"/>
    </row>
    <row r="52" spans="1:33" ht="14.25" customHeight="1">
      <c r="B52" s="98" t="s">
        <v>187</v>
      </c>
      <c r="C52" s="97">
        <f t="array" ref="C52">INDEX($B37:$E44,MATCH(C49,$A37:$A44,1),MATCH(C46,$B36:$E36,1))</f>
        <v>500</v>
      </c>
      <c r="D52" s="2"/>
      <c r="E52" s="92"/>
      <c r="G52" s="2"/>
      <c r="H52" s="2"/>
      <c r="I52" s="2"/>
      <c r="J52" s="98" t="s">
        <v>187</v>
      </c>
      <c r="K52" s="97">
        <f t="array" ref="K52">INDEX($B37:$E44,MATCH(K49,$A37:$A44,1),MATCH(K46,$B36:$E36,1))</f>
        <v>500</v>
      </c>
      <c r="L52" s="2"/>
      <c r="M52" s="92"/>
      <c r="O52" s="26"/>
    </row>
    <row r="53" spans="1:33" ht="14.25" customHeight="1">
      <c r="B53" s="98" t="s">
        <v>240</v>
      </c>
      <c r="C53" s="97">
        <f t="array" ref="C53">INDEX($B37:$E44,MATCH(C49,$A37:$A44,1),IF(MATCH(C46,$B36:$E36,1)&lt;E48,MATCH(C46,$B36:$E36,1)+1,MATCH(C49,$A37:$A44,1)))</f>
        <v>1000</v>
      </c>
      <c r="E53" s="92"/>
      <c r="G53" s="2"/>
      <c r="H53" s="2"/>
      <c r="I53" s="2"/>
      <c r="J53" s="98" t="s">
        <v>240</v>
      </c>
      <c r="K53" s="97">
        <f t="array" ref="K53">INDEX($B37:$E44,MATCH(K49,$A37:$A44,1),IF(MATCH(K46,$B36:$E36,1)&lt;M48,MATCH(K46,$B36:$E36,1)+1,MATCH(K49,$A37:$A44,1)))</f>
        <v>1000</v>
      </c>
      <c r="M53" s="92"/>
      <c r="O53" s="83"/>
    </row>
    <row r="54" spans="1:33" ht="14.25" customHeight="1">
      <c r="B54" s="98" t="s">
        <v>188</v>
      </c>
      <c r="C54" s="97">
        <f t="array" ref="C54">INDEX($B37:$E44,IF(MATCH(C49,$A37:$A44,1)&lt;E47,MATCH(C49,$A37:$A44,1)+1,MATCH(C49,$A37:$A44,1)),MATCH(C46,$B36:$E36,1))</f>
        <v>500</v>
      </c>
      <c r="E54" s="92"/>
      <c r="G54" s="2"/>
      <c r="H54" s="2"/>
      <c r="I54" s="2"/>
      <c r="J54" s="98" t="s">
        <v>188</v>
      </c>
      <c r="K54" s="97">
        <f t="array" ref="K54">INDEX($B37:$E44,IF(MATCH(K49,$A37:$A44,1)&lt;M47,MATCH(K49,$A37:$A44,1)+1,MATCH(K49,$A37:$A44,1)),MATCH(K46,$B36:$E36,1))</f>
        <v>500</v>
      </c>
      <c r="M54" s="92"/>
      <c r="O54" s="83"/>
    </row>
    <row r="55" spans="1:33" ht="14.25" customHeight="1">
      <c r="B55" s="98" t="s">
        <v>241</v>
      </c>
      <c r="C55" s="97">
        <f t="array" ref="C55">INDEX($B37:$E44,IF(MATCH(C49,$A37:$A44,1)&lt;E47,MATCH(C49,$A37:$A44,1)+1,MATCH(C49,$A37:$A44,1)),IF(MATCH(C46,$B36:$E36,1)&lt;E48,MATCH(C46,$B36:$E36,1)+1,MATCH(C46,$B36:$E36,1)))</f>
        <v>1000</v>
      </c>
      <c r="G55" s="2"/>
      <c r="H55" s="2"/>
      <c r="I55" s="2"/>
      <c r="J55" s="98" t="s">
        <v>241</v>
      </c>
      <c r="K55" s="97">
        <f t="array" ref="K55">INDEX($B37:$E44,IF(MATCH(K49,$A37:$A44,1)&lt;M47,MATCH(K49,$A37:$A44,1)+1,MATCH(K49,$A37:$A44,1)),IF(MATCH(K46,$B36:$E36,1)&lt;M48,MATCH(K46,$B36:$E36,1)+1,MATCH(K46,$B36:$E36,1)))</f>
        <v>1000</v>
      </c>
      <c r="O55" s="83"/>
    </row>
    <row r="56" spans="1:33" ht="14.25" customHeight="1">
      <c r="B56" s="73" t="s">
        <v>242</v>
      </c>
      <c r="C56" s="100">
        <f>IFERROR(C52+(C46-C47)*(C53-C52)/(C48-C47),C52)</f>
        <v>826</v>
      </c>
      <c r="G56" s="2"/>
      <c r="H56" s="2"/>
      <c r="I56" s="2"/>
      <c r="J56" s="73" t="s">
        <v>242</v>
      </c>
      <c r="K56" s="100">
        <f>IFERROR(K52+(K46-K47)*(K53-K52)/(K48-K47),K52)</f>
        <v>830</v>
      </c>
      <c r="O56" s="83"/>
    </row>
    <row r="57" spans="1:33" ht="14.25" customHeight="1">
      <c r="B57" s="73" t="s">
        <v>243</v>
      </c>
      <c r="C57" s="100">
        <f>IFERROR(C54+(C46-C47)*(C55-C54)/(C48-C47),C54)</f>
        <v>826</v>
      </c>
      <c r="G57" s="2"/>
      <c r="H57" s="2"/>
      <c r="I57" s="2"/>
      <c r="J57" s="73" t="s">
        <v>243</v>
      </c>
      <c r="K57" s="100">
        <f>IFERROR(K54+(K46-K47)*(K55-K54)/(K48-K47),K54)</f>
        <v>830</v>
      </c>
      <c r="O57" s="83"/>
    </row>
    <row r="58" spans="1:33" ht="14.25" customHeight="1">
      <c r="B58" s="98" t="s">
        <v>244</v>
      </c>
      <c r="C58" s="97">
        <f>IFERROR(C56+(C49-C50)*(C57-C56)/(C51-C50),C56)</f>
        <v>826</v>
      </c>
      <c r="G58" s="2"/>
      <c r="H58" s="2"/>
      <c r="I58" s="2"/>
      <c r="J58" s="98" t="s">
        <v>244</v>
      </c>
      <c r="K58" s="97">
        <f>IFERROR(K56+(K49-K50)*(K57-K56)/(K51-K50),K56)</f>
        <v>830</v>
      </c>
      <c r="O58" s="83"/>
    </row>
    <row r="59" spans="1:33" ht="14.25" customHeight="1">
      <c r="B59" s="98"/>
      <c r="C59" s="97"/>
      <c r="G59" s="2"/>
      <c r="H59" s="2"/>
      <c r="I59" s="2"/>
      <c r="J59" s="98"/>
      <c r="K59" s="97"/>
      <c r="O59" s="83"/>
      <c r="P59" s="2"/>
      <c r="Q59" s="2"/>
      <c r="R59" s="98"/>
      <c r="S59" s="97"/>
      <c r="W59" s="2"/>
      <c r="X59" s="2"/>
      <c r="Y59" s="2"/>
      <c r="Z59" s="98"/>
      <c r="AA59" s="97"/>
      <c r="AE59" s="2"/>
      <c r="AF59" s="2"/>
      <c r="AG59" s="2"/>
    </row>
    <row r="60" spans="1:33" ht="15" customHeight="1">
      <c r="B60" s="98"/>
      <c r="C60" s="97"/>
      <c r="G60" s="2"/>
      <c r="H60" s="2"/>
      <c r="I60" s="2"/>
      <c r="J60" s="98"/>
      <c r="K60" s="97"/>
      <c r="L60" s="12"/>
      <c r="M60" s="12"/>
      <c r="N60" s="12"/>
      <c r="O60" s="2"/>
      <c r="P60" s="2"/>
      <c r="Q60" s="2"/>
      <c r="R60" s="98"/>
      <c r="S60" s="97"/>
      <c r="W60" s="2"/>
      <c r="X60" s="2"/>
      <c r="Y60" s="2"/>
      <c r="Z60" s="98"/>
      <c r="AA60" s="97"/>
      <c r="AE60" s="2"/>
      <c r="AF60" s="2"/>
      <c r="AG60" s="2"/>
    </row>
    <row r="61" spans="1:33" ht="15" customHeight="1">
      <c r="A61" s="12"/>
      <c r="B61" s="258" t="s">
        <v>246</v>
      </c>
      <c r="C61" s="260"/>
      <c r="D61" s="260"/>
      <c r="E61" s="260"/>
      <c r="F61" s="260"/>
      <c r="G61" s="82"/>
      <c r="H61" s="82"/>
      <c r="I61" s="82"/>
      <c r="J61" s="82"/>
      <c r="K61" s="82"/>
      <c r="L61" s="82"/>
      <c r="M61" s="82"/>
      <c r="N61" s="82"/>
      <c r="O61" s="82"/>
      <c r="P61" s="2"/>
      <c r="Q61" s="2"/>
      <c r="R61" s="98"/>
      <c r="S61" s="97"/>
      <c r="T61" s="12"/>
      <c r="U61" s="12"/>
      <c r="W61" s="2"/>
      <c r="X61" s="2"/>
      <c r="Y61" s="2"/>
      <c r="Z61" s="98"/>
      <c r="AA61" s="97"/>
      <c r="AE61" s="2"/>
      <c r="AF61" s="2"/>
      <c r="AG61" s="2"/>
    </row>
    <row r="62" spans="1:33" ht="15" customHeight="1">
      <c r="A62" s="12" t="s">
        <v>42</v>
      </c>
      <c r="B62" s="189">
        <v>500</v>
      </c>
      <c r="C62" s="199">
        <v>1000</v>
      </c>
      <c r="D62" s="199">
        <v>1500</v>
      </c>
      <c r="E62" s="192">
        <v>2000</v>
      </c>
      <c r="F62" s="200"/>
      <c r="G62" s="97"/>
      <c r="H62" s="12"/>
      <c r="I62" s="98"/>
      <c r="J62" s="97"/>
      <c r="K62" s="12"/>
      <c r="L62" s="12"/>
      <c r="M62" s="12"/>
      <c r="N62" s="2"/>
      <c r="O62" s="2"/>
      <c r="P62" s="2"/>
      <c r="Q62" s="12"/>
      <c r="R62" s="12"/>
      <c r="S62" s="2"/>
      <c r="T62" s="2"/>
      <c r="U62" s="2"/>
      <c r="V62" s="98"/>
      <c r="W62" s="97"/>
      <c r="AA62" s="2"/>
      <c r="AB62" s="2"/>
      <c r="AC62" s="2"/>
      <c r="AD62" s="98"/>
      <c r="AE62" s="97"/>
    </row>
    <row r="63" spans="1:33" ht="15" customHeight="1">
      <c r="A63" s="12">
        <v>-10</v>
      </c>
      <c r="B63" s="189">
        <v>800</v>
      </c>
      <c r="C63" s="199">
        <v>1230</v>
      </c>
      <c r="D63" s="199">
        <v>1910</v>
      </c>
      <c r="E63" s="201">
        <v>99999</v>
      </c>
      <c r="F63" s="200"/>
      <c r="G63" s="97"/>
      <c r="H63" s="97"/>
      <c r="I63" s="97"/>
      <c r="J63" s="97"/>
      <c r="K63" s="97"/>
      <c r="L63" s="97"/>
      <c r="M63" s="97"/>
      <c r="N63" s="97"/>
      <c r="O63" s="97"/>
      <c r="P63" s="2"/>
      <c r="Q63" s="12"/>
      <c r="S63" s="2"/>
      <c r="T63" s="2"/>
      <c r="U63" s="2"/>
      <c r="V63" s="98"/>
      <c r="W63" s="97"/>
      <c r="AA63" s="2"/>
      <c r="AB63" s="2"/>
      <c r="AC63" s="2"/>
      <c r="AD63" s="98"/>
      <c r="AE63" s="97"/>
    </row>
    <row r="64" spans="1:33" ht="15" customHeight="1">
      <c r="A64" s="12">
        <v>0</v>
      </c>
      <c r="B64" s="340">
        <v>500</v>
      </c>
      <c r="C64" s="82">
        <v>1000</v>
      </c>
      <c r="D64" s="82">
        <v>1500</v>
      </c>
      <c r="E64" s="201">
        <v>99999</v>
      </c>
      <c r="F64" s="200"/>
      <c r="G64" s="97"/>
      <c r="H64" s="12"/>
      <c r="I64" s="98"/>
      <c r="J64" s="97"/>
      <c r="K64" s="12"/>
      <c r="L64" s="12"/>
      <c r="M64" s="12"/>
      <c r="N64" s="2"/>
      <c r="O64" s="2"/>
      <c r="P64" s="2"/>
      <c r="Q64" s="12"/>
      <c r="S64" s="2"/>
      <c r="T64" s="2"/>
      <c r="U64" s="2"/>
      <c r="V64" s="98"/>
      <c r="W64" s="97"/>
      <c r="AA64" s="2"/>
      <c r="AB64" s="2"/>
      <c r="AC64" s="2"/>
      <c r="AD64" s="98"/>
      <c r="AE64" s="97"/>
    </row>
    <row r="65" spans="1:33" ht="15" customHeight="1">
      <c r="A65" s="12">
        <v>30</v>
      </c>
      <c r="B65" s="196">
        <v>390</v>
      </c>
      <c r="C65" s="202">
        <v>800</v>
      </c>
      <c r="D65" s="202">
        <v>1250</v>
      </c>
      <c r="E65" s="201">
        <v>99999</v>
      </c>
      <c r="F65" s="200"/>
      <c r="G65" s="97"/>
      <c r="I65" s="98"/>
      <c r="J65" s="97"/>
      <c r="N65" s="2"/>
      <c r="O65" s="2"/>
      <c r="P65" s="2"/>
      <c r="S65" s="2"/>
      <c r="T65" s="2"/>
      <c r="U65" s="2"/>
      <c r="V65" s="98"/>
      <c r="W65" s="97"/>
      <c r="AA65" s="2"/>
      <c r="AB65" s="2"/>
      <c r="AC65" s="2"/>
      <c r="AD65" s="98"/>
      <c r="AE65" s="97"/>
    </row>
    <row r="66" spans="1:33" ht="15" customHeight="1">
      <c r="B66" s="98"/>
      <c r="C66" s="97"/>
      <c r="D66" s="12"/>
      <c r="E66" s="12"/>
      <c r="F66" s="12"/>
      <c r="G66" s="2"/>
      <c r="H66" s="2"/>
      <c r="I66" s="2"/>
      <c r="J66" s="98"/>
      <c r="K66" s="97"/>
      <c r="O66" s="26"/>
      <c r="P66" s="2"/>
      <c r="Q66" s="2"/>
      <c r="R66" s="98"/>
      <c r="S66" s="97"/>
      <c r="W66" s="2"/>
      <c r="X66" s="2"/>
      <c r="Y66" s="2"/>
      <c r="Z66" s="98"/>
      <c r="AA66" s="97"/>
      <c r="AE66" s="2"/>
      <c r="AF66" s="2"/>
      <c r="AG66" s="2"/>
    </row>
    <row r="67" spans="1:33" ht="15" customHeight="1">
      <c r="B67" s="98" t="s">
        <v>183</v>
      </c>
      <c r="C67" s="97">
        <f>C58</f>
        <v>826</v>
      </c>
      <c r="D67" s="251" t="s">
        <v>237</v>
      </c>
      <c r="E67" s="262"/>
      <c r="G67" s="2"/>
      <c r="H67" s="2"/>
      <c r="I67" s="2"/>
      <c r="J67" s="98" t="s">
        <v>183</v>
      </c>
      <c r="K67" s="97">
        <f>K58</f>
        <v>830</v>
      </c>
      <c r="L67" s="251" t="s">
        <v>237</v>
      </c>
      <c r="M67" s="262"/>
      <c r="O67" s="26"/>
      <c r="P67" s="2"/>
      <c r="Q67" s="2"/>
      <c r="R67" s="98"/>
      <c r="S67" s="97"/>
      <c r="T67" s="251"/>
      <c r="U67" s="262"/>
      <c r="W67" s="2"/>
      <c r="X67" s="2"/>
      <c r="Y67" s="2"/>
      <c r="Z67" s="98"/>
      <c r="AA67" s="97"/>
      <c r="AB67" s="251"/>
      <c r="AC67" s="262"/>
      <c r="AE67" s="2"/>
      <c r="AF67" s="2"/>
      <c r="AG67" s="2"/>
    </row>
    <row r="68" spans="1:33" ht="15" customHeight="1">
      <c r="B68" s="73" t="s">
        <v>238</v>
      </c>
      <c r="C68" s="100">
        <f t="array" ref="C68">INDEX($B62:$E62,MATCH(C67,$B62:$E62,1))</f>
        <v>500</v>
      </c>
      <c r="D68" s="73" t="s">
        <v>181</v>
      </c>
      <c r="E68" s="88">
        <f>MATCH(MAX($A63:$A65),$A63:$A65,1)</f>
        <v>3</v>
      </c>
      <c r="G68" s="2"/>
      <c r="H68" s="2"/>
      <c r="I68" s="2"/>
      <c r="J68" s="73" t="s">
        <v>238</v>
      </c>
      <c r="K68" s="100">
        <f t="array" ref="K68">INDEX($B62:$E62,MATCH(K67,$B62:$E62,1))</f>
        <v>500</v>
      </c>
      <c r="L68" s="73" t="s">
        <v>181</v>
      </c>
      <c r="M68" s="88">
        <f>MATCH(MAX($A63:$A65),$A63:$A65,1)</f>
        <v>3</v>
      </c>
      <c r="O68" s="26"/>
      <c r="P68" s="2"/>
      <c r="Q68" s="2"/>
      <c r="R68" s="73"/>
      <c r="S68" s="100"/>
      <c r="T68" s="73"/>
      <c r="U68" s="88"/>
      <c r="W68" s="2"/>
      <c r="X68" s="2"/>
      <c r="Y68" s="2"/>
      <c r="Z68" s="73"/>
      <c r="AA68" s="100"/>
      <c r="AB68" s="73"/>
      <c r="AC68" s="88"/>
      <c r="AE68" s="2"/>
      <c r="AF68" s="2"/>
      <c r="AG68" s="2"/>
    </row>
    <row r="69" spans="1:33" ht="15" customHeight="1">
      <c r="B69" s="73" t="s">
        <v>239</v>
      </c>
      <c r="C69" s="100">
        <f t="array" ref="C69">INDEX($B62:$E62,IF(MATCH(C67,$B62:$E62,1)&lt;E69,MATCH(C67,$B62:$E62,1)+1,MATCH(C67,$B62:$E62,1)))</f>
        <v>1000</v>
      </c>
      <c r="D69" s="73" t="s">
        <v>182</v>
      </c>
      <c r="E69" s="88">
        <f>MATCH(MAX($B62:$E62),$B62:$E62,0)</f>
        <v>4</v>
      </c>
      <c r="G69" s="2"/>
      <c r="H69" s="2"/>
      <c r="I69" s="2"/>
      <c r="J69" s="73" t="s">
        <v>239</v>
      </c>
      <c r="K69" s="100">
        <f t="array" ref="K69">INDEX($B62:$E62,IF(MATCH(K67,$B62:$E62,1)&lt;M69,MATCH(K67,$B62:$E62,1)+1,MATCH(K67,$B62:$E62,1)))</f>
        <v>1000</v>
      </c>
      <c r="L69" s="73" t="s">
        <v>182</v>
      </c>
      <c r="M69" s="88">
        <f>MATCH(MAX($B62:$E62),$B62:$E62,0)</f>
        <v>4</v>
      </c>
      <c r="O69" s="26"/>
      <c r="P69" s="2"/>
      <c r="Q69" s="2"/>
      <c r="R69" s="73"/>
      <c r="S69" s="100"/>
      <c r="T69" s="73"/>
      <c r="U69" s="88"/>
      <c r="W69" s="2"/>
      <c r="X69" s="2"/>
      <c r="Y69" s="2"/>
      <c r="Z69" s="73"/>
      <c r="AA69" s="100"/>
      <c r="AB69" s="73"/>
      <c r="AC69" s="88"/>
      <c r="AE69" s="2"/>
      <c r="AF69" s="2"/>
      <c r="AG69" s="2"/>
    </row>
    <row r="70" spans="1:33" ht="15" customHeight="1">
      <c r="B70" s="96" t="s">
        <v>184</v>
      </c>
      <c r="C70" s="155">
        <f>Landing!C21</f>
        <v>0</v>
      </c>
      <c r="D70" s="2"/>
      <c r="E70" s="2"/>
      <c r="G70" s="2"/>
      <c r="H70" s="2"/>
      <c r="I70" s="2"/>
      <c r="J70" s="96" t="s">
        <v>184</v>
      </c>
      <c r="K70" s="155">
        <f>'Take-off'!$C$24</f>
        <v>0</v>
      </c>
      <c r="L70" s="2"/>
      <c r="M70" s="2"/>
      <c r="O70" s="26"/>
      <c r="P70" s="2"/>
      <c r="Q70" s="2"/>
      <c r="R70" s="98"/>
      <c r="S70" s="155"/>
      <c r="T70" s="2"/>
      <c r="U70" s="2"/>
      <c r="W70" s="2"/>
      <c r="X70" s="2"/>
      <c r="Y70" s="2"/>
      <c r="Z70" s="98"/>
      <c r="AA70" s="155"/>
      <c r="AB70" s="2"/>
      <c r="AC70" s="2"/>
      <c r="AE70" s="2"/>
      <c r="AF70" s="2"/>
      <c r="AG70" s="2"/>
    </row>
    <row r="71" spans="1:33" ht="15" customHeight="1">
      <c r="B71" s="73" t="s">
        <v>185</v>
      </c>
      <c r="C71" s="100">
        <f t="array" ref="C71">INDEX($A63:$A65,MATCH(C70,$A63:$A65,1))</f>
        <v>0</v>
      </c>
      <c r="D71" s="2"/>
      <c r="E71" s="92"/>
      <c r="G71" s="2"/>
      <c r="H71" s="2"/>
      <c r="I71" s="2"/>
      <c r="J71" s="73" t="s">
        <v>185</v>
      </c>
      <c r="K71" s="100">
        <f t="array" ref="K71">INDEX($A63:$A65,MATCH(K70,$A63:$A65,1))</f>
        <v>0</v>
      </c>
      <c r="L71" s="2"/>
      <c r="M71" s="92"/>
      <c r="O71" s="26"/>
      <c r="P71" s="2"/>
      <c r="Q71" s="2"/>
      <c r="R71" s="73"/>
      <c r="S71" s="100"/>
      <c r="T71" s="2"/>
      <c r="U71" s="92"/>
      <c r="W71" s="2"/>
      <c r="X71" s="2"/>
      <c r="Y71" s="2"/>
      <c r="Z71" s="73"/>
      <c r="AA71" s="100"/>
      <c r="AB71" s="2"/>
      <c r="AC71" s="92"/>
      <c r="AE71" s="2"/>
      <c r="AF71" s="2"/>
      <c r="AG71" s="2"/>
    </row>
    <row r="72" spans="1:33" ht="15" customHeight="1">
      <c r="B72" s="73" t="s">
        <v>186</v>
      </c>
      <c r="C72" s="100">
        <f t="array" ref="C72">INDEX($A63:$A65,IF(MATCH(C70,$A63:$A65,1)&lt;E68,MATCH(C70,$A63:$A65,1)+1,MATCH(C70,$A63:$A65,1)))</f>
        <v>30</v>
      </c>
      <c r="D72" s="2"/>
      <c r="E72" s="92"/>
      <c r="G72" s="2"/>
      <c r="H72" s="2"/>
      <c r="I72" s="2"/>
      <c r="J72" s="73" t="s">
        <v>186</v>
      </c>
      <c r="K72" s="100">
        <f t="array" ref="K72">INDEX($A63:$A65,IF(MATCH(K70,$A63:$A65,1)&lt;M68,MATCH(K70,$A63:$A65,1)+1,MATCH(K70,$A63:$A65,1)))</f>
        <v>30</v>
      </c>
      <c r="L72" s="2"/>
      <c r="M72" s="92"/>
      <c r="O72" s="26"/>
      <c r="P72" s="2"/>
      <c r="Q72" s="2"/>
      <c r="R72" s="73"/>
      <c r="S72" s="100"/>
      <c r="T72" s="2"/>
      <c r="U72" s="92"/>
      <c r="W72" s="2"/>
      <c r="X72" s="2"/>
      <c r="Y72" s="2"/>
      <c r="Z72" s="73"/>
      <c r="AA72" s="100"/>
      <c r="AB72" s="2"/>
      <c r="AC72" s="92"/>
      <c r="AE72" s="2"/>
      <c r="AF72" s="2"/>
      <c r="AG72" s="2"/>
    </row>
    <row r="73" spans="1:33" ht="15" customHeight="1">
      <c r="B73" s="98" t="s">
        <v>187</v>
      </c>
      <c r="C73" s="97">
        <f t="array" ref="C73">INDEX($B63:$E65,MATCH(C70,$A63:$A65,1),MATCH(C67,$B62:$E62,1))</f>
        <v>500</v>
      </c>
      <c r="D73" s="2"/>
      <c r="E73" s="92"/>
      <c r="G73" s="2"/>
      <c r="H73" s="2"/>
      <c r="I73" s="2"/>
      <c r="J73" s="98" t="s">
        <v>187</v>
      </c>
      <c r="K73" s="97">
        <f t="array" ref="K73">INDEX($B63:$E65,MATCH(K70,$A63:$A65,1),MATCH(K67,$B62:$E62,1))</f>
        <v>500</v>
      </c>
      <c r="L73" s="2"/>
      <c r="M73" s="92"/>
      <c r="O73" s="26"/>
      <c r="P73" s="2"/>
      <c r="Q73" s="2"/>
      <c r="R73" s="98"/>
      <c r="S73" s="97"/>
      <c r="T73" s="2"/>
      <c r="U73" s="92"/>
      <c r="W73" s="2"/>
      <c r="X73" s="2"/>
      <c r="Y73" s="2"/>
      <c r="Z73" s="98"/>
      <c r="AA73" s="97"/>
      <c r="AB73" s="2"/>
      <c r="AC73" s="92"/>
      <c r="AE73" s="2"/>
      <c r="AF73" s="2"/>
      <c r="AG73" s="2"/>
    </row>
    <row r="74" spans="1:33" ht="15" customHeight="1">
      <c r="B74" s="98" t="s">
        <v>240</v>
      </c>
      <c r="C74" s="97">
        <f t="array" ref="C74">INDEX($B63:$E65,MATCH(C70,$A63:$A65,1),IF(MATCH(C67,$B62:$E62,1)&lt;E69,MATCH(C67,$B62:$E62,1)+1,MATCH(C70,$A63:$A65,1)))</f>
        <v>1000</v>
      </c>
      <c r="E74" s="92"/>
      <c r="G74" s="2"/>
      <c r="H74" s="2"/>
      <c r="I74" s="2"/>
      <c r="J74" s="98" t="s">
        <v>240</v>
      </c>
      <c r="K74" s="97">
        <f t="array" ref="K74">INDEX($B63:$E65,MATCH(K70,$A63:$A65,1),IF(MATCH(K67,$B62:$E62,1)&lt;M69,MATCH(K67,$B62:$E62,1)+1,MATCH(K70,$A63:$A65,1)))</f>
        <v>1000</v>
      </c>
      <c r="M74" s="92"/>
      <c r="O74" s="83"/>
      <c r="P74" s="2"/>
      <c r="Q74" s="2"/>
      <c r="R74" s="98"/>
      <c r="S74" s="97"/>
      <c r="U74" s="92"/>
      <c r="W74" s="2"/>
      <c r="X74" s="2"/>
      <c r="Y74" s="2"/>
      <c r="Z74" s="98"/>
      <c r="AA74" s="97"/>
      <c r="AC74" s="92"/>
      <c r="AE74" s="2"/>
      <c r="AF74" s="2"/>
      <c r="AG74" s="2"/>
    </row>
    <row r="75" spans="1:33" ht="15" customHeight="1">
      <c r="B75" s="98" t="s">
        <v>188</v>
      </c>
      <c r="C75" s="97">
        <f t="array" ref="C75">INDEX($B63:$E65,IF(MATCH(C70,$A63:$A65,1)&lt;E68,MATCH(C70,$A63:$A65,1)+1,MATCH(C70,$A63:$A65,1)),MATCH(C67,$B62:$E62,1))</f>
        <v>390</v>
      </c>
      <c r="E75" s="92"/>
      <c r="G75" s="2"/>
      <c r="H75" s="2"/>
      <c r="I75" s="2"/>
      <c r="J75" s="98" t="s">
        <v>188</v>
      </c>
      <c r="K75" s="97">
        <f t="array" ref="K75">INDEX($B63:$E65,IF(MATCH(K70,$A63:$A65,1)&lt;M68,MATCH(K70,$A63:$A65,1)+1,MATCH(K70,$A63:$A65,1)),MATCH(K67,$B62:$E62,1))</f>
        <v>390</v>
      </c>
      <c r="M75" s="92"/>
      <c r="O75" s="83"/>
      <c r="P75" s="2"/>
      <c r="Q75" s="2"/>
      <c r="R75" s="98"/>
      <c r="S75" s="97"/>
      <c r="U75" s="92"/>
      <c r="W75" s="2"/>
      <c r="X75" s="2"/>
      <c r="Y75" s="2"/>
      <c r="Z75" s="98"/>
      <c r="AA75" s="97"/>
      <c r="AC75" s="92"/>
      <c r="AE75" s="2"/>
      <c r="AF75" s="2"/>
      <c r="AG75" s="2"/>
    </row>
    <row r="76" spans="1:33" ht="15" customHeight="1">
      <c r="B76" s="98" t="s">
        <v>241</v>
      </c>
      <c r="C76" s="97">
        <f t="array" ref="C76">INDEX($B63:$E65,IF(MATCH(C70,$A63:$A65,1)&lt;E68,MATCH(C70,$A63:$A65,1)+1,MATCH(C70,$A63:$A65,1)),IF(MATCH(C67,$B62:$E62,1)&lt;E69,MATCH(C67,$B62:$E62,1)+1,MATCH(C67,$B62:$E62,1)))</f>
        <v>800</v>
      </c>
      <c r="G76" s="2"/>
      <c r="H76" s="2"/>
      <c r="I76" s="2"/>
      <c r="J76" s="98" t="s">
        <v>241</v>
      </c>
      <c r="K76" s="97">
        <f t="array" ref="K76">INDEX($B63:$E65,IF(MATCH(K70,$A63:$A65,1)&lt;M68,MATCH(K70,$A63:$A65,1)+1,MATCH(K70,$A63:$A65,1)),IF(MATCH(K67,$B62:$E62,1)&lt;M69,MATCH(K67,$B62:$E62,1)+1,MATCH(K67,$B62:$E62,1)))</f>
        <v>800</v>
      </c>
      <c r="O76" s="83"/>
      <c r="P76" s="2"/>
      <c r="Q76" s="2"/>
      <c r="R76" s="98"/>
      <c r="S76" s="97"/>
      <c r="W76" s="2"/>
      <c r="X76" s="2"/>
      <c r="Y76" s="2"/>
      <c r="Z76" s="98"/>
      <c r="AA76" s="97"/>
      <c r="AE76" s="2"/>
      <c r="AF76" s="2"/>
      <c r="AG76" s="2"/>
    </row>
    <row r="77" spans="1:33" ht="15" customHeight="1">
      <c r="B77" s="73" t="s">
        <v>242</v>
      </c>
      <c r="C77" s="100">
        <f>IFERROR(C73+(C67-C68)*(C74-C73)/(C69-C68),C73)</f>
        <v>826</v>
      </c>
      <c r="G77" s="2"/>
      <c r="H77" s="2"/>
      <c r="I77" s="2"/>
      <c r="J77" s="73" t="s">
        <v>242</v>
      </c>
      <c r="K77" s="100">
        <f>IFERROR(K73+(K67-K68)*(K74-K73)/(K69-K68),K73)</f>
        <v>830</v>
      </c>
      <c r="O77" s="83"/>
      <c r="P77" s="2"/>
      <c r="Q77" s="2"/>
      <c r="R77" s="73"/>
      <c r="S77" s="100"/>
      <c r="W77" s="2"/>
      <c r="X77" s="2"/>
      <c r="Y77" s="2"/>
      <c r="Z77" s="73"/>
      <c r="AA77" s="100"/>
      <c r="AE77" s="2"/>
      <c r="AF77" s="2"/>
      <c r="AG77" s="2"/>
    </row>
    <row r="78" spans="1:33" ht="15" customHeight="1">
      <c r="B78" s="73" t="s">
        <v>243</v>
      </c>
      <c r="C78" s="100">
        <f>IFERROR(C75+(C67-C68)*(C76-C75)/(C69-C68),C75)</f>
        <v>657.31999999999994</v>
      </c>
      <c r="G78" s="2"/>
      <c r="H78" s="2"/>
      <c r="I78" s="2"/>
      <c r="J78" s="73" t="s">
        <v>243</v>
      </c>
      <c r="K78" s="100">
        <f>IFERROR(K75+(K67-K68)*(K76-K75)/(K69-K68),K75)</f>
        <v>660.6</v>
      </c>
      <c r="O78" s="83"/>
      <c r="P78" s="2"/>
      <c r="Q78" s="2"/>
      <c r="R78" s="73"/>
      <c r="S78" s="100"/>
      <c r="W78" s="2"/>
      <c r="X78" s="2"/>
      <c r="Y78" s="2"/>
      <c r="Z78" s="73"/>
      <c r="AA78" s="100"/>
      <c r="AE78" s="2"/>
      <c r="AF78" s="2"/>
      <c r="AG78" s="2"/>
    </row>
    <row r="79" spans="1:33" ht="15" customHeight="1">
      <c r="B79" s="98" t="s">
        <v>244</v>
      </c>
      <c r="C79" s="97">
        <f>IFERROR(C77+(C70-C71)*(C78-C77)/(C72-C71),C77)</f>
        <v>826</v>
      </c>
      <c r="G79" s="2"/>
      <c r="H79" s="2"/>
      <c r="I79" s="2"/>
      <c r="J79" s="98" t="s">
        <v>244</v>
      </c>
      <c r="K79" s="97">
        <f>IFERROR(K77+(K70-K71)*(K78-K77)/(K72-K71),K77)</f>
        <v>830</v>
      </c>
      <c r="O79" s="83"/>
      <c r="P79" s="2"/>
      <c r="Q79" s="2"/>
      <c r="R79" s="98"/>
      <c r="S79" s="97"/>
      <c r="W79" s="2"/>
      <c r="X79" s="2"/>
      <c r="Y79" s="2"/>
      <c r="Z79" s="98"/>
      <c r="AA79" s="97"/>
      <c r="AE79" s="2"/>
      <c r="AF79" s="2"/>
      <c r="AG79" s="2"/>
    </row>
    <row r="80" spans="1:33" ht="15" customHeight="1">
      <c r="B80" s="98"/>
      <c r="C80" s="97"/>
      <c r="G80" s="2"/>
      <c r="H80" s="2"/>
      <c r="I80" s="2"/>
      <c r="J80" s="98"/>
      <c r="K80" s="97"/>
      <c r="L80" s="12"/>
      <c r="M80" s="12"/>
      <c r="N80" s="12"/>
      <c r="O80" s="83"/>
      <c r="P80" s="2"/>
      <c r="Q80" s="2"/>
      <c r="R80" s="98"/>
      <c r="S80" s="97"/>
      <c r="T80" s="12"/>
      <c r="W80" s="2"/>
      <c r="X80" s="2"/>
      <c r="Y80" s="2"/>
      <c r="Z80" s="98"/>
      <c r="AA80" s="97"/>
      <c r="AE80" s="2"/>
      <c r="AF80" s="2"/>
      <c r="AG80" s="2"/>
    </row>
    <row r="81" spans="1:33" ht="15" customHeight="1">
      <c r="A81" s="12"/>
      <c r="B81" s="258" t="s">
        <v>247</v>
      </c>
      <c r="C81" s="260"/>
      <c r="D81" s="260"/>
      <c r="E81" s="260"/>
      <c r="F81" s="260"/>
      <c r="G81" s="260"/>
      <c r="H81" s="260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12"/>
      <c r="W81" s="2"/>
      <c r="X81" s="2"/>
      <c r="Y81" s="2"/>
      <c r="Z81" s="98"/>
      <c r="AA81" s="97"/>
      <c r="AE81" s="2"/>
      <c r="AF81" s="2"/>
      <c r="AG81" s="2"/>
    </row>
    <row r="82" spans="1:33" ht="15" customHeight="1">
      <c r="A82" s="12"/>
      <c r="B82" s="189">
        <v>500</v>
      </c>
      <c r="C82" s="189">
        <v>1000</v>
      </c>
      <c r="D82" s="199">
        <v>1500</v>
      </c>
      <c r="E82" s="199">
        <v>2000</v>
      </c>
      <c r="F82" s="192">
        <v>2100</v>
      </c>
      <c r="G82" s="200"/>
      <c r="H82" s="97"/>
      <c r="I82" s="12"/>
      <c r="J82" s="98"/>
      <c r="K82" s="97"/>
      <c r="L82" s="12"/>
      <c r="M82" s="12"/>
      <c r="N82" s="12"/>
      <c r="O82" s="2"/>
      <c r="P82" s="2"/>
      <c r="Q82" s="2"/>
      <c r="R82" s="12"/>
      <c r="S82" s="12"/>
      <c r="T82" s="2"/>
      <c r="U82" s="2"/>
      <c r="V82" s="2"/>
      <c r="W82" s="98"/>
      <c r="X82" s="97"/>
      <c r="AB82" s="2"/>
      <c r="AC82" s="2"/>
      <c r="AD82" s="2"/>
      <c r="AE82" s="98"/>
      <c r="AF82" s="97"/>
    </row>
    <row r="83" spans="1:33" ht="15" customHeight="1">
      <c r="A83" s="12">
        <v>0</v>
      </c>
      <c r="B83" s="189">
        <v>500</v>
      </c>
      <c r="C83" s="199">
        <v>1000</v>
      </c>
      <c r="D83" s="199">
        <v>1500</v>
      </c>
      <c r="E83" s="199">
        <v>2000</v>
      </c>
      <c r="F83" s="201">
        <v>99999</v>
      </c>
      <c r="G83" s="200"/>
      <c r="H83" s="97"/>
      <c r="I83" s="97"/>
      <c r="J83" s="97"/>
      <c r="K83" s="97"/>
      <c r="L83" s="97"/>
      <c r="M83" s="97"/>
      <c r="N83" s="97"/>
      <c r="O83" s="97"/>
      <c r="P83" s="97"/>
      <c r="Q83" s="2"/>
      <c r="R83" s="12"/>
      <c r="T83" s="2"/>
      <c r="U83" s="2"/>
      <c r="V83" s="2"/>
      <c r="W83" s="98"/>
      <c r="X83" s="97"/>
      <c r="AB83" s="2"/>
      <c r="AC83" s="2"/>
      <c r="AD83" s="2"/>
      <c r="AE83" s="98"/>
      <c r="AF83" s="97"/>
    </row>
    <row r="84" spans="1:33" ht="15" customHeight="1">
      <c r="A84" s="12">
        <v>50</v>
      </c>
      <c r="B84" s="196">
        <v>1150</v>
      </c>
      <c r="C84" s="202">
        <v>2800</v>
      </c>
      <c r="D84" s="202">
        <v>1950</v>
      </c>
      <c r="E84" s="202">
        <v>3100</v>
      </c>
      <c r="F84" s="215">
        <v>99999</v>
      </c>
      <c r="G84" s="200"/>
      <c r="H84" s="97"/>
      <c r="J84" s="98"/>
      <c r="K84" s="97"/>
      <c r="O84" s="2"/>
      <c r="P84" s="2"/>
      <c r="Q84" s="2"/>
      <c r="T84" s="2"/>
      <c r="U84" s="2"/>
      <c r="V84" s="2"/>
      <c r="W84" s="98"/>
      <c r="X84" s="97"/>
      <c r="AB84" s="2"/>
      <c r="AC84" s="2"/>
      <c r="AD84" s="2"/>
      <c r="AE84" s="98"/>
      <c r="AF84" s="97"/>
    </row>
    <row r="85" spans="1:33" ht="15" customHeight="1">
      <c r="B85" s="98"/>
      <c r="C85" s="97"/>
      <c r="D85" s="12"/>
      <c r="E85" s="12"/>
      <c r="F85" s="12"/>
      <c r="G85" s="2"/>
      <c r="H85" s="2"/>
      <c r="I85" s="2"/>
      <c r="J85" s="98"/>
      <c r="K85" s="97"/>
      <c r="L85" s="12"/>
      <c r="M85" s="12"/>
      <c r="N85" s="12"/>
      <c r="O85" s="26"/>
      <c r="P85" s="2"/>
      <c r="Q85" s="2"/>
      <c r="R85" s="98"/>
      <c r="S85" s="97"/>
      <c r="T85" s="12"/>
      <c r="W85" s="2"/>
      <c r="X85" s="2"/>
      <c r="Y85" s="2"/>
      <c r="Z85" s="98"/>
      <c r="AA85" s="97"/>
      <c r="AE85" s="2"/>
      <c r="AF85" s="2"/>
      <c r="AG85" s="2"/>
    </row>
    <row r="86" spans="1:33" ht="15" customHeight="1">
      <c r="B86" s="98" t="s">
        <v>183</v>
      </c>
      <c r="C86" s="97">
        <f>C79</f>
        <v>826</v>
      </c>
      <c r="D86" s="251" t="s">
        <v>237</v>
      </c>
      <c r="E86" s="262"/>
      <c r="G86" s="2"/>
      <c r="H86" s="2"/>
      <c r="I86" s="2"/>
      <c r="J86" s="98" t="s">
        <v>183</v>
      </c>
      <c r="K86" s="97">
        <f>K79</f>
        <v>830</v>
      </c>
      <c r="L86" s="251" t="s">
        <v>237</v>
      </c>
      <c r="M86" s="262"/>
      <c r="O86" s="26"/>
      <c r="P86" s="2"/>
    </row>
    <row r="87" spans="1:33" ht="15" customHeight="1">
      <c r="B87" s="73" t="s">
        <v>238</v>
      </c>
      <c r="C87" s="100">
        <f t="array" ref="C87">INDEX($B82:$F82,MATCH(C86,$B82:$F82,1))</f>
        <v>500</v>
      </c>
      <c r="D87" s="73" t="s">
        <v>181</v>
      </c>
      <c r="E87" s="88">
        <f>MATCH(MAX($A83:$A84),$A83:$A84,1)</f>
        <v>2</v>
      </c>
      <c r="G87" s="2"/>
      <c r="H87" s="2"/>
      <c r="I87" s="2"/>
      <c r="J87" s="73" t="s">
        <v>238</v>
      </c>
      <c r="K87" s="100">
        <f t="array" ref="K87">INDEX($B82:$F82,MATCH(K86,$B82:$F82,1))</f>
        <v>500</v>
      </c>
      <c r="L87" s="73" t="s">
        <v>181</v>
      </c>
      <c r="M87" s="88">
        <f>MATCH(MAX($A83:$A84),$A83:$A84,1)</f>
        <v>2</v>
      </c>
      <c r="O87" s="26"/>
      <c r="P87" s="2"/>
    </row>
    <row r="88" spans="1:33" ht="15" customHeight="1">
      <c r="B88" s="73" t="s">
        <v>239</v>
      </c>
      <c r="C88" s="100">
        <f t="array" ref="C88">INDEX($B82:$F82,IF(MATCH(C86,$B82:$F82,1)&lt;E88,MATCH(C86,$B82:$F82,1)+1,MATCH(C86,$B82:$F82,1)))</f>
        <v>1000</v>
      </c>
      <c r="D88" s="73" t="s">
        <v>182</v>
      </c>
      <c r="E88" s="88">
        <f>MATCH(MAX($B82:$F82),$B82:$F82,0)</f>
        <v>5</v>
      </c>
      <c r="G88" s="2"/>
      <c r="H88" s="2"/>
      <c r="I88" s="2"/>
      <c r="J88" s="73" t="s">
        <v>239</v>
      </c>
      <c r="K88" s="100">
        <f t="array" ref="K88">INDEX($B82:$F82,IF(MATCH(K86,$B82:$F82,1)&lt;M88,MATCH(K86,$B82:$F82,1)+1,MATCH(K86,$B82:$F82,1)))</f>
        <v>1000</v>
      </c>
      <c r="L88" s="73" t="s">
        <v>182</v>
      </c>
      <c r="M88" s="88">
        <f>MATCH(MAX($B82:$F82),$B82:$F82,0)</f>
        <v>5</v>
      </c>
      <c r="O88" s="26"/>
      <c r="P88" s="2"/>
    </row>
    <row r="89" spans="1:33" ht="15" customHeight="1">
      <c r="B89" s="96" t="s">
        <v>184</v>
      </c>
      <c r="C89" s="155">
        <v>50</v>
      </c>
      <c r="D89" s="2"/>
      <c r="E89" s="2"/>
      <c r="G89" s="2"/>
      <c r="H89" s="2"/>
      <c r="I89" s="2"/>
      <c r="J89" s="96" t="s">
        <v>184</v>
      </c>
      <c r="K89" s="155">
        <v>50</v>
      </c>
      <c r="L89" s="2"/>
      <c r="M89" s="2"/>
      <c r="O89" s="26"/>
      <c r="P89" s="2"/>
    </row>
    <row r="90" spans="1:33" ht="15" customHeight="1">
      <c r="B90" s="73" t="s">
        <v>185</v>
      </c>
      <c r="C90" s="100">
        <f t="array" ref="C90">INDEX($A83:$A84,MATCH(C89,$A83:$A84,1))</f>
        <v>50</v>
      </c>
      <c r="D90" s="2"/>
      <c r="E90" s="92"/>
      <c r="G90" s="2"/>
      <c r="H90" s="2"/>
      <c r="I90" s="2"/>
      <c r="J90" s="73" t="s">
        <v>185</v>
      </c>
      <c r="K90" s="100">
        <f t="array" ref="K90">INDEX($A83:$A84,MATCH(K89,$A83:$A84,1))</f>
        <v>50</v>
      </c>
      <c r="L90" s="2"/>
      <c r="M90" s="92"/>
      <c r="O90" s="26"/>
      <c r="P90" s="2"/>
    </row>
    <row r="91" spans="1:33" ht="15" customHeight="1">
      <c r="B91" s="73" t="s">
        <v>186</v>
      </c>
      <c r="C91" s="100">
        <f t="array" ref="C91">INDEX($A83:$A84,IF(MATCH(C89,$A83:$A84,1)&lt;E87,MATCH(C89,$A83:$A84,1)+1,MATCH(C89,$A83:$A84,1)))</f>
        <v>50</v>
      </c>
      <c r="D91" s="2"/>
      <c r="E91" s="92"/>
      <c r="G91" s="2"/>
      <c r="H91" s="2"/>
      <c r="I91" s="2"/>
      <c r="J91" s="73" t="s">
        <v>186</v>
      </c>
      <c r="K91" s="100">
        <f t="array" ref="K91">INDEX($A83:$A84,IF(MATCH(K89,$A83:$A84,1)&lt;M87,MATCH(K89,$A83:$A84,1)+1,MATCH(K89,$A83:$A84,1)))</f>
        <v>50</v>
      </c>
      <c r="L91" s="2"/>
      <c r="M91" s="92"/>
      <c r="O91" s="26"/>
      <c r="P91" s="2"/>
    </row>
    <row r="92" spans="1:33" ht="15" customHeight="1">
      <c r="B92" s="98" t="s">
        <v>187</v>
      </c>
      <c r="C92" s="97">
        <f t="array" ref="C92">INDEX($B83:$F84,MATCH(C89,$A83:$A84,1),MATCH(C86,$B82:$F82,1))</f>
        <v>1150</v>
      </c>
      <c r="D92" s="2"/>
      <c r="E92" s="92"/>
      <c r="G92" s="2"/>
      <c r="H92" s="2"/>
      <c r="I92" s="2"/>
      <c r="J92" s="98" t="s">
        <v>187</v>
      </c>
      <c r="K92" s="97">
        <f t="array" ref="K92">INDEX($B83:$F84,MATCH(K89,$A83:$A84,1),MATCH(K86,$B82:$F82,1))</f>
        <v>1150</v>
      </c>
      <c r="L92" s="2"/>
      <c r="M92" s="92"/>
      <c r="O92" s="26"/>
      <c r="P92" s="2"/>
    </row>
    <row r="93" spans="1:33" ht="15" customHeight="1">
      <c r="B93" s="98" t="s">
        <v>240</v>
      </c>
      <c r="C93" s="97">
        <f t="array" ref="C93">INDEX($B83:$F84,MATCH(C89,$A83:$A84,1),IF(MATCH(C86,$B82:$F82,1)&lt;E88,MATCH(C86,$B82:$F82,1)+1,MATCH(C89,$A83:$A84,1)))</f>
        <v>2800</v>
      </c>
      <c r="E93" s="92"/>
      <c r="G93" s="2"/>
      <c r="H93" s="2"/>
      <c r="I93" s="2"/>
      <c r="J93" s="98" t="s">
        <v>240</v>
      </c>
      <c r="K93" s="97">
        <f t="array" ref="K93">INDEX($B83:$F84,MATCH(K89,$A83:$A84,1),IF(MATCH(K86,$B82:$F82,1)&lt;M88,MATCH(K86,$B82:$F82,1)+1,MATCH(K89,$A83:$A84,1)))</f>
        <v>2800</v>
      </c>
      <c r="M93" s="92"/>
      <c r="O93" s="83"/>
      <c r="P93" s="2"/>
    </row>
    <row r="94" spans="1:33" ht="15" customHeight="1">
      <c r="B94" s="98" t="s">
        <v>188</v>
      </c>
      <c r="C94" s="97">
        <f t="array" ref="C94">INDEX($B83:$F84,IF(MATCH(C89,$A83:$A84,1)&lt;E87,MATCH(C89,$A83:$A84,1)+1,MATCH(C89,$A83:$A84,1)),MATCH(C86,$B82:$F82,1))</f>
        <v>1150</v>
      </c>
      <c r="E94" s="92"/>
      <c r="G94" s="2"/>
      <c r="H94" s="2"/>
      <c r="I94" s="2"/>
      <c r="J94" s="98" t="s">
        <v>188</v>
      </c>
      <c r="K94" s="97">
        <f t="array" ref="K94">INDEX($B83:$F84,IF(MATCH(K89,$A83:$A84,1)&lt;M87,MATCH(K89,$A83:$A84,1)+1,MATCH(K89,$A83:$A84,1)),MATCH(K86,$B82:$F82,1))</f>
        <v>1150</v>
      </c>
      <c r="M94" s="92"/>
      <c r="O94" s="83"/>
      <c r="P94" s="2"/>
    </row>
    <row r="95" spans="1:33" ht="15" customHeight="1">
      <c r="B95" s="98" t="s">
        <v>241</v>
      </c>
      <c r="C95" s="97">
        <f t="array" ref="C95">INDEX($B83:$F84,IF(MATCH(C89,$A83:$A84,1)&lt;E87,MATCH(C89,$A83:$A84,1)+1,MATCH(C89,$A83:$A84,1)),IF(MATCH(C86,$B82:$F82,1)&lt;E88,MATCH(C86,$B82:$F82,1)+1,MATCH(C86,$B82:$F82,1)))</f>
        <v>2800</v>
      </c>
      <c r="G95" s="2"/>
      <c r="H95" s="2"/>
      <c r="I95" s="2"/>
      <c r="J95" s="98" t="s">
        <v>241</v>
      </c>
      <c r="K95" s="97">
        <f t="array" ref="K95">INDEX($B83:$F84,IF(MATCH(K89,$A83:$A84,1)&lt;M87,MATCH(K89,$A83:$A84,1)+1,MATCH(K89,$A83:$A84,1)),IF(MATCH(K86,$B82:$F82,1)&lt;M88,MATCH(K86,$B82:$F82,1)+1,MATCH(K86,$B82:$F82,1)))</f>
        <v>2800</v>
      </c>
      <c r="O95" s="83"/>
      <c r="P95" s="2"/>
    </row>
    <row r="96" spans="1:33" ht="15" customHeight="1">
      <c r="B96" s="73" t="s">
        <v>242</v>
      </c>
      <c r="C96" s="100">
        <f>IFERROR(C92+(C86-C87)*(C93-C92)/(C88-C87),C92)</f>
        <v>2225.8000000000002</v>
      </c>
      <c r="G96" s="2"/>
      <c r="H96" s="2"/>
      <c r="I96" s="2"/>
      <c r="J96" s="73" t="s">
        <v>242</v>
      </c>
      <c r="K96" s="100">
        <f>IFERROR(K92+(K86-K87)*(K93-K92)/(K88-K87),K92)</f>
        <v>2239</v>
      </c>
      <c r="O96" s="83"/>
      <c r="P96" s="2"/>
    </row>
    <row r="97" spans="1:16" ht="15" customHeight="1">
      <c r="B97" s="73" t="s">
        <v>243</v>
      </c>
      <c r="C97" s="100">
        <f>IFERROR(C94+(C86-C87)*(C95-C94)/(C88-C87),C94)</f>
        <v>2225.8000000000002</v>
      </c>
      <c r="G97" s="2"/>
      <c r="H97" s="2"/>
      <c r="I97" s="2"/>
      <c r="J97" s="73" t="s">
        <v>243</v>
      </c>
      <c r="K97" s="100">
        <f>IFERROR(K94+(K86-K87)*(K95-K94)/(K88-K87),K94)</f>
        <v>2239</v>
      </c>
      <c r="O97" s="83"/>
      <c r="P97" s="2"/>
    </row>
    <row r="98" spans="1:16" ht="15" customHeight="1">
      <c r="B98" s="98" t="s">
        <v>244</v>
      </c>
      <c r="C98" s="97">
        <f>IFERROR(C96+(C89-C90)*(C97-C96)/(C91-C90),C96)</f>
        <v>2225.8000000000002</v>
      </c>
      <c r="G98" s="2"/>
      <c r="H98" s="2"/>
      <c r="I98" s="2"/>
      <c r="J98" s="98" t="s">
        <v>244</v>
      </c>
      <c r="K98" s="97">
        <f>IFERROR(K96+(K89-K90)*(K97-K96)/(K91-K90),K96)</f>
        <v>2239</v>
      </c>
      <c r="O98" s="83"/>
      <c r="P98" s="2"/>
    </row>
    <row r="99" spans="1:16" ht="15.75" customHeight="1"/>
    <row r="100" spans="1:16" ht="15" customHeight="1">
      <c r="A100" s="8" t="s">
        <v>248</v>
      </c>
      <c r="C100" s="8">
        <f>C98/3.28</f>
        <v>678.59756097560989</v>
      </c>
      <c r="K100" s="8">
        <f>K98/3.28</f>
        <v>682.6219512195122</v>
      </c>
    </row>
    <row r="101" spans="1:16" ht="15" customHeight="1">
      <c r="B101" s="8" t="s">
        <v>211</v>
      </c>
      <c r="C101" s="92">
        <f>IF(Landing!$C$16&lt;0, ((-Landing!$C$16*5)%*C100),0 )</f>
        <v>0</v>
      </c>
      <c r="K101" s="92">
        <f>IF('Take-off'!$C$17&lt;0, ((-'Take-off'!$C$17*5)%*K100),0 )</f>
        <v>0</v>
      </c>
    </row>
    <row r="102" spans="1:16" ht="15" customHeight="1">
      <c r="B102" s="8" t="s">
        <v>212</v>
      </c>
      <c r="C102" s="8">
        <f>SUM(C100:C101)</f>
        <v>678.59756097560989</v>
      </c>
      <c r="K102" s="8">
        <f>SUM(K100:K101)</f>
        <v>682.6219512195122</v>
      </c>
    </row>
    <row r="103" spans="1:16" ht="15.75" customHeight="1"/>
    <row r="104" spans="1:16" ht="15.75" customHeight="1"/>
    <row r="105" spans="1:16" ht="15.75" customHeight="1"/>
    <row r="106" spans="1:16" ht="15.75" customHeight="1"/>
    <row r="107" spans="1:16" ht="15.75" customHeight="1"/>
    <row r="108" spans="1:16" ht="15.75" customHeight="1"/>
    <row r="109" spans="1:16" ht="15.75" customHeight="1"/>
    <row r="110" spans="1:16" ht="15.75" customHeight="1"/>
    <row r="111" spans="1:16" ht="15.75" customHeight="1"/>
    <row r="112" spans="1:1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T21:U21"/>
    <mergeCell ref="AB21:AC21"/>
    <mergeCell ref="D67:E67"/>
    <mergeCell ref="B81:H81"/>
    <mergeCell ref="D86:E86"/>
    <mergeCell ref="L86:M86"/>
    <mergeCell ref="B35:E35"/>
    <mergeCell ref="D46:E46"/>
    <mergeCell ref="L46:M46"/>
    <mergeCell ref="B61:F61"/>
    <mergeCell ref="L67:M67"/>
    <mergeCell ref="T67:U67"/>
    <mergeCell ref="AB67:AC67"/>
    <mergeCell ref="I5:O5"/>
    <mergeCell ref="A8:F8"/>
    <mergeCell ref="B10:F10"/>
    <mergeCell ref="D21:E21"/>
    <mergeCell ref="L21:M21"/>
  </mergeCells>
  <conditionalFormatting sqref="B37:D44">
    <cfRule type="colorScale" priority="1">
      <colorScale>
        <cfvo type="min"/>
        <cfvo type="max"/>
        <color rgb="FFFCFCFF"/>
        <color rgb="FFF8696B"/>
      </colorScale>
    </cfRule>
  </conditionalFormatting>
  <conditionalFormatting sqref="B63:D65">
    <cfRule type="colorScale" priority="2">
      <colorScale>
        <cfvo type="min"/>
        <cfvo type="max"/>
        <color rgb="FFFCFCFF"/>
        <color rgb="FFF8696B"/>
      </colorScale>
    </cfRule>
  </conditionalFormatting>
  <conditionalFormatting sqref="B12:E18">
    <cfRule type="colorScale" priority="3">
      <colorScale>
        <cfvo type="min"/>
        <cfvo type="max"/>
        <color rgb="FFFCFCFF"/>
        <color rgb="FFF8696B"/>
      </colorScale>
    </cfRule>
  </conditionalFormatting>
  <conditionalFormatting sqref="B83:E84">
    <cfRule type="colorScale" priority="4">
      <colorScale>
        <cfvo type="min"/>
        <cfvo type="max"/>
        <color rgb="FFFCFCFF"/>
        <color rgb="FFF8696B"/>
      </colorScale>
    </cfRule>
  </conditionalFormatting>
  <conditionalFormatting sqref="I37:P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63:P65">
    <cfRule type="colorScale" priority="6">
      <colorScale>
        <cfvo type="min"/>
        <cfvo type="max"/>
        <color rgb="FFFCFCFF"/>
        <color rgb="FFF8696B"/>
      </colorScale>
    </cfRule>
  </conditionalFormatting>
  <conditionalFormatting sqref="J12:Q19">
    <cfRule type="colorScale" priority="7">
      <colorScale>
        <cfvo type="min"/>
        <cfvo type="max"/>
        <color rgb="FFFCFCFF"/>
        <color rgb="FFF8696B"/>
      </colorScale>
    </cfRule>
  </conditionalFormatting>
  <conditionalFormatting sqref="J83:Q84">
    <cfRule type="colorScale" priority="8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C1000"/>
  <sheetViews>
    <sheetView workbookViewId="0"/>
  </sheetViews>
  <sheetFormatPr defaultColWidth="14.42578125" defaultRowHeight="15" customHeight="1"/>
  <cols>
    <col min="1" max="12" width="9.140625" customWidth="1"/>
    <col min="13" max="13" width="5" customWidth="1"/>
    <col min="14" max="55" width="9.140625" customWidth="1"/>
  </cols>
  <sheetData>
    <row r="1" spans="1:55" ht="14.25" customHeight="1">
      <c r="A1" s="77"/>
      <c r="B1" s="73" t="s">
        <v>231</v>
      </c>
      <c r="C1" s="98" t="s">
        <v>183</v>
      </c>
      <c r="D1" s="186">
        <f>IF('Take-off'!$C$9="",'Take-off'!$C$16,MAX(0,'Take-off'!$C$16+30*(1013-'Take-off'!$C$9)))</f>
        <v>0</v>
      </c>
      <c r="E1" s="336"/>
      <c r="F1" s="336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341"/>
      <c r="AW1" s="77"/>
      <c r="AX1" s="77"/>
      <c r="AY1" s="77"/>
      <c r="AZ1" s="77"/>
      <c r="BA1" s="77"/>
      <c r="BB1" s="77"/>
      <c r="BC1" s="77"/>
    </row>
    <row r="2" spans="1:55" ht="14.25" customHeight="1">
      <c r="A2" s="77"/>
      <c r="B2" s="73" t="s">
        <v>233</v>
      </c>
      <c r="C2" s="96" t="s">
        <v>184</v>
      </c>
      <c r="D2" s="186">
        <f>IF('Take-off'!C13='Dropdown lists'!B30, 'Take-off'!$C$8+6, 'Take-off'!$C$8)</f>
        <v>-2</v>
      </c>
      <c r="E2" s="187" t="s">
        <v>249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341"/>
      <c r="AW2" s="77"/>
      <c r="AX2" s="77"/>
      <c r="AY2" s="77"/>
      <c r="AZ2" s="77"/>
      <c r="BA2" s="77"/>
      <c r="BB2" s="77"/>
      <c r="BC2" s="77"/>
    </row>
    <row r="3" spans="1:55" ht="14.25" customHeight="1">
      <c r="A3" s="77"/>
      <c r="B3" s="247" t="s">
        <v>175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77"/>
      <c r="N3" s="77"/>
      <c r="O3" s="247" t="s">
        <v>250</v>
      </c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77"/>
      <c r="AA3" s="77"/>
      <c r="AB3" s="247" t="s">
        <v>251</v>
      </c>
      <c r="AC3" s="262"/>
      <c r="AD3" s="262"/>
      <c r="AE3" s="262"/>
      <c r="AF3" s="262"/>
      <c r="AG3" s="262"/>
      <c r="AH3" s="262"/>
      <c r="AI3" s="262"/>
      <c r="AJ3" s="262"/>
      <c r="AK3" s="262"/>
      <c r="AL3" s="262"/>
      <c r="AM3" s="77"/>
      <c r="AN3" s="77"/>
      <c r="AO3" s="77"/>
      <c r="AP3" s="77"/>
      <c r="AQ3" s="77"/>
      <c r="AR3" s="77"/>
      <c r="AS3" s="77"/>
      <c r="AT3" s="77"/>
      <c r="AU3" s="77"/>
      <c r="AV3" s="341"/>
      <c r="AW3" s="77"/>
      <c r="AX3" s="77"/>
      <c r="AY3" s="77"/>
      <c r="AZ3" s="77"/>
      <c r="BA3" s="77"/>
      <c r="BB3" s="77"/>
      <c r="BC3" s="77"/>
    </row>
    <row r="4" spans="1:55" ht="15" customHeight="1">
      <c r="A4" s="12"/>
      <c r="B4" s="258" t="s">
        <v>252</v>
      </c>
      <c r="C4" s="260"/>
      <c r="D4" s="260"/>
      <c r="E4" s="260"/>
      <c r="F4" s="260"/>
      <c r="G4" s="82"/>
      <c r="H4" s="82"/>
      <c r="I4" s="82"/>
      <c r="J4" s="82"/>
      <c r="K4" s="82"/>
      <c r="L4" s="82"/>
      <c r="M4" s="82"/>
      <c r="N4" s="12"/>
      <c r="O4" s="258" t="s">
        <v>252</v>
      </c>
      <c r="P4" s="260"/>
      <c r="Q4" s="260"/>
      <c r="R4" s="260"/>
      <c r="S4" s="260"/>
      <c r="T4" s="82"/>
      <c r="U4" s="82"/>
      <c r="V4" s="82"/>
      <c r="W4" s="82"/>
      <c r="X4" s="82"/>
      <c r="Y4" s="82"/>
      <c r="Z4" s="98"/>
      <c r="AA4" s="12"/>
      <c r="AB4" s="258" t="s">
        <v>252</v>
      </c>
      <c r="AC4" s="260"/>
      <c r="AD4" s="260"/>
      <c r="AE4" s="260"/>
      <c r="AF4" s="260"/>
      <c r="AG4" s="82"/>
      <c r="AH4" s="82"/>
      <c r="AI4" s="82"/>
      <c r="AJ4" s="82"/>
      <c r="AK4" s="82"/>
      <c r="AL4" s="82"/>
      <c r="AM4" s="2"/>
      <c r="AN4" s="2"/>
      <c r="AO4" s="2"/>
      <c r="AP4" s="98"/>
      <c r="AQ4" s="97"/>
      <c r="AU4" s="2"/>
      <c r="AV4" s="2"/>
      <c r="AW4" s="2"/>
      <c r="AX4" s="98"/>
      <c r="AY4" s="97"/>
    </row>
    <row r="5" spans="1:55" ht="15" customHeight="1">
      <c r="A5" s="12" t="s">
        <v>253</v>
      </c>
      <c r="B5" s="189">
        <v>0</v>
      </c>
      <c r="C5" s="190">
        <v>1000</v>
      </c>
      <c r="D5" s="191">
        <v>2000</v>
      </c>
      <c r="E5" s="191">
        <v>3000</v>
      </c>
      <c r="F5" s="192">
        <v>4000</v>
      </c>
      <c r="G5" s="98"/>
      <c r="H5" s="97"/>
      <c r="I5" s="12"/>
      <c r="J5" s="98"/>
      <c r="K5" s="97"/>
      <c r="L5" s="12"/>
      <c r="M5" s="12"/>
      <c r="N5" s="12" t="s">
        <v>253</v>
      </c>
      <c r="O5" s="189">
        <v>0</v>
      </c>
      <c r="P5" s="190">
        <v>1000</v>
      </c>
      <c r="Q5" s="191">
        <v>2000</v>
      </c>
      <c r="R5" s="191">
        <v>3000</v>
      </c>
      <c r="S5" s="192">
        <v>4000</v>
      </c>
      <c r="T5" s="98"/>
      <c r="U5" s="97"/>
      <c r="V5" s="12"/>
      <c r="W5" s="98"/>
      <c r="X5" s="97"/>
      <c r="Y5" s="12"/>
      <c r="AA5" s="12" t="s">
        <v>253</v>
      </c>
      <c r="AB5" s="189">
        <v>0</v>
      </c>
      <c r="AC5" s="190">
        <v>1000</v>
      </c>
      <c r="AD5" s="191">
        <v>2000</v>
      </c>
      <c r="AE5" s="191">
        <v>3000</v>
      </c>
      <c r="AF5" s="192">
        <v>4000</v>
      </c>
      <c r="AG5" s="98"/>
      <c r="AH5" s="97"/>
      <c r="AI5" s="12"/>
      <c r="AJ5" s="98"/>
      <c r="AK5" s="97"/>
      <c r="AL5" s="12"/>
      <c r="AM5" s="98"/>
      <c r="AN5" s="97"/>
      <c r="AR5" s="2"/>
      <c r="AS5" s="2"/>
      <c r="AT5" s="2"/>
      <c r="AU5" s="98"/>
      <c r="AV5" s="97"/>
    </row>
    <row r="6" spans="1:55" ht="15" customHeight="1">
      <c r="A6" s="12">
        <v>-30</v>
      </c>
      <c r="B6" s="189">
        <v>2700</v>
      </c>
      <c r="C6" s="190">
        <v>2800</v>
      </c>
      <c r="D6" s="191">
        <v>2900</v>
      </c>
      <c r="E6" s="191">
        <v>3200</v>
      </c>
      <c r="F6" s="192">
        <v>99999</v>
      </c>
      <c r="G6" s="98"/>
      <c r="H6" s="97"/>
      <c r="I6" s="12"/>
      <c r="J6" s="98"/>
      <c r="K6" s="97"/>
      <c r="L6" s="12"/>
      <c r="M6" s="12"/>
      <c r="N6" s="12">
        <v>-30</v>
      </c>
      <c r="O6" s="189"/>
      <c r="P6" s="190"/>
      <c r="Q6" s="191"/>
      <c r="R6" s="191"/>
      <c r="S6" s="192">
        <v>99999</v>
      </c>
      <c r="T6" s="98"/>
      <c r="U6" s="97"/>
      <c r="V6" s="12"/>
      <c r="W6" s="98"/>
      <c r="X6" s="97"/>
      <c r="Y6" s="12"/>
      <c r="AA6" s="12">
        <v>-30</v>
      </c>
      <c r="AB6" s="189"/>
      <c r="AC6" s="190"/>
      <c r="AD6" s="191"/>
      <c r="AE6" s="191"/>
      <c r="AF6" s="192">
        <v>99999</v>
      </c>
      <c r="AG6" s="98"/>
      <c r="AH6" s="97"/>
      <c r="AI6" s="12"/>
      <c r="AJ6" s="98"/>
      <c r="AK6" s="97"/>
      <c r="AL6" s="12"/>
      <c r="AM6" s="98"/>
      <c r="AN6" s="97"/>
      <c r="AR6" s="2"/>
      <c r="AS6" s="2"/>
      <c r="AT6" s="2"/>
      <c r="AU6" s="98"/>
      <c r="AV6" s="97"/>
    </row>
    <row r="7" spans="1:55" ht="15" customHeight="1">
      <c r="A7" s="12">
        <v>-20</v>
      </c>
      <c r="B7" s="340">
        <v>2800</v>
      </c>
      <c r="C7" s="182">
        <v>2980</v>
      </c>
      <c r="D7" s="12">
        <v>3100</v>
      </c>
      <c r="E7" s="12">
        <v>3400</v>
      </c>
      <c r="F7" s="339">
        <v>99999</v>
      </c>
      <c r="G7" s="98"/>
      <c r="H7" s="97"/>
      <c r="J7" s="98"/>
      <c r="K7" s="97"/>
      <c r="N7" s="12">
        <v>-20</v>
      </c>
      <c r="O7" s="340"/>
      <c r="P7" s="182"/>
      <c r="Q7" s="12"/>
      <c r="R7" s="12"/>
      <c r="S7" s="339">
        <v>99999</v>
      </c>
      <c r="T7" s="98"/>
      <c r="U7" s="97"/>
      <c r="W7" s="98"/>
      <c r="X7" s="97"/>
      <c r="AA7" s="12">
        <v>-20</v>
      </c>
      <c r="AB7" s="340"/>
      <c r="AC7" s="182"/>
      <c r="AD7" s="12"/>
      <c r="AE7" s="12"/>
      <c r="AF7" s="339">
        <v>99999</v>
      </c>
      <c r="AG7" s="98"/>
      <c r="AH7" s="97"/>
      <c r="AJ7" s="98"/>
      <c r="AK7" s="97"/>
      <c r="AM7" s="98"/>
      <c r="AN7" s="97"/>
      <c r="AR7" s="2"/>
      <c r="AS7" s="2"/>
      <c r="AT7" s="2"/>
      <c r="AU7" s="98"/>
      <c r="AV7" s="97"/>
    </row>
    <row r="8" spans="1:55" ht="15" customHeight="1">
      <c r="A8" s="12">
        <v>-10</v>
      </c>
      <c r="B8" s="340">
        <v>3000</v>
      </c>
      <c r="C8" s="182">
        <v>3200</v>
      </c>
      <c r="D8" s="12">
        <v>3400</v>
      </c>
      <c r="E8" s="12">
        <v>3600</v>
      </c>
      <c r="F8" s="339">
        <v>99999</v>
      </c>
      <c r="G8" s="98"/>
      <c r="H8" s="97"/>
      <c r="J8" s="98"/>
      <c r="K8" s="97"/>
      <c r="N8" s="12">
        <v>-10</v>
      </c>
      <c r="O8" s="340"/>
      <c r="P8" s="182"/>
      <c r="Q8" s="12"/>
      <c r="R8" s="12"/>
      <c r="S8" s="339">
        <v>99999</v>
      </c>
      <c r="T8" s="98"/>
      <c r="U8" s="97"/>
      <c r="W8" s="98"/>
      <c r="X8" s="97"/>
      <c r="AA8" s="12">
        <v>-10</v>
      </c>
      <c r="AB8" s="340"/>
      <c r="AC8" s="182"/>
      <c r="AD8" s="12"/>
      <c r="AE8" s="12"/>
      <c r="AF8" s="339">
        <v>99999</v>
      </c>
      <c r="AG8" s="98"/>
      <c r="AH8" s="97"/>
      <c r="AJ8" s="98"/>
      <c r="AK8" s="97"/>
      <c r="AM8" s="98"/>
      <c r="AN8" s="97"/>
      <c r="AR8" s="2"/>
      <c r="AS8" s="2"/>
      <c r="AT8" s="2"/>
      <c r="AU8" s="98"/>
      <c r="AV8" s="97"/>
    </row>
    <row r="9" spans="1:55" ht="15" customHeight="1">
      <c r="A9" s="12">
        <v>0</v>
      </c>
      <c r="B9" s="340">
        <v>3200</v>
      </c>
      <c r="C9" s="182">
        <v>3400</v>
      </c>
      <c r="D9" s="12">
        <v>3600</v>
      </c>
      <c r="E9" s="12">
        <v>3900</v>
      </c>
      <c r="F9" s="339">
        <v>99999</v>
      </c>
      <c r="G9" s="98"/>
      <c r="H9" s="97"/>
      <c r="J9" s="98"/>
      <c r="K9" s="97"/>
      <c r="N9" s="12">
        <v>0</v>
      </c>
      <c r="O9" s="340"/>
      <c r="P9" s="182"/>
      <c r="Q9" s="12"/>
      <c r="R9" s="12"/>
      <c r="S9" s="339">
        <v>99999</v>
      </c>
      <c r="T9" s="98"/>
      <c r="U9" s="97"/>
      <c r="W9" s="98"/>
      <c r="X9" s="97"/>
      <c r="AA9" s="12">
        <v>0</v>
      </c>
      <c r="AB9" s="340"/>
      <c r="AC9" s="182"/>
      <c r="AD9" s="12"/>
      <c r="AE9" s="12"/>
      <c r="AF9" s="339">
        <v>99999</v>
      </c>
      <c r="AG9" s="98"/>
      <c r="AH9" s="97"/>
      <c r="AJ9" s="98"/>
      <c r="AK9" s="97"/>
      <c r="AM9" s="98"/>
      <c r="AN9" s="97"/>
      <c r="AR9" s="2"/>
      <c r="AS9" s="2"/>
      <c r="AT9" s="2"/>
      <c r="AU9" s="98"/>
      <c r="AV9" s="97"/>
    </row>
    <row r="10" spans="1:55" ht="15" customHeight="1">
      <c r="A10" s="12">
        <v>10</v>
      </c>
      <c r="B10" s="340">
        <v>3370</v>
      </c>
      <c r="C10" s="182">
        <v>3600</v>
      </c>
      <c r="D10" s="12">
        <v>3800</v>
      </c>
      <c r="E10" s="12">
        <v>4200</v>
      </c>
      <c r="F10" s="339">
        <v>99999</v>
      </c>
      <c r="G10" s="98"/>
      <c r="H10" s="97"/>
      <c r="J10" s="98"/>
      <c r="K10" s="97"/>
      <c r="N10" s="12">
        <v>10</v>
      </c>
      <c r="O10" s="340"/>
      <c r="P10" s="182"/>
      <c r="Q10" s="12"/>
      <c r="R10" s="12"/>
      <c r="S10" s="339">
        <v>99999</v>
      </c>
      <c r="T10" s="98"/>
      <c r="U10" s="97"/>
      <c r="W10" s="98"/>
      <c r="X10" s="97"/>
      <c r="AA10" s="12">
        <v>10</v>
      </c>
      <c r="AB10" s="340"/>
      <c r="AC10" s="182"/>
      <c r="AD10" s="12"/>
      <c r="AE10" s="12"/>
      <c r="AF10" s="339">
        <v>99999</v>
      </c>
      <c r="AG10" s="98"/>
      <c r="AH10" s="97"/>
      <c r="AJ10" s="98"/>
      <c r="AK10" s="97"/>
      <c r="AM10" s="98"/>
      <c r="AN10" s="97"/>
      <c r="AR10" s="2"/>
      <c r="AS10" s="2"/>
      <c r="AT10" s="2"/>
      <c r="AU10" s="98"/>
      <c r="AV10" s="97"/>
    </row>
    <row r="11" spans="1:55" ht="15" customHeight="1">
      <c r="A11" s="12">
        <v>20</v>
      </c>
      <c r="B11" s="340">
        <v>3570</v>
      </c>
      <c r="C11" s="182">
        <v>3800</v>
      </c>
      <c r="D11" s="12">
        <v>4150</v>
      </c>
      <c r="E11" s="12">
        <v>4700</v>
      </c>
      <c r="F11" s="339">
        <v>99999</v>
      </c>
      <c r="G11" s="98"/>
      <c r="H11" s="97"/>
      <c r="J11" s="98"/>
      <c r="K11" s="97"/>
      <c r="N11" s="12">
        <v>20</v>
      </c>
      <c r="O11" s="340"/>
      <c r="P11" s="182"/>
      <c r="Q11" s="12"/>
      <c r="R11" s="12"/>
      <c r="S11" s="339">
        <v>99999</v>
      </c>
      <c r="T11" s="98"/>
      <c r="U11" s="97"/>
      <c r="W11" s="98"/>
      <c r="X11" s="97"/>
      <c r="AA11" s="12">
        <v>20</v>
      </c>
      <c r="AB11" s="340"/>
      <c r="AC11" s="182"/>
      <c r="AD11" s="12"/>
      <c r="AE11" s="12"/>
      <c r="AF11" s="339">
        <v>99999</v>
      </c>
      <c r="AG11" s="98"/>
      <c r="AH11" s="97"/>
      <c r="AJ11" s="98"/>
      <c r="AK11" s="97"/>
      <c r="AM11" s="98"/>
      <c r="AN11" s="97"/>
      <c r="AR11" s="2"/>
      <c r="AS11" s="2"/>
      <c r="AT11" s="2"/>
      <c r="AU11" s="98"/>
      <c r="AV11" s="97"/>
    </row>
    <row r="12" spans="1:55" ht="15" customHeight="1">
      <c r="A12" s="12">
        <v>30</v>
      </c>
      <c r="B12" s="340">
        <v>3800</v>
      </c>
      <c r="C12" s="182">
        <v>4200</v>
      </c>
      <c r="D12" s="12">
        <v>4600</v>
      </c>
      <c r="E12" s="12">
        <v>5300</v>
      </c>
      <c r="F12" s="339">
        <v>99999</v>
      </c>
      <c r="G12" s="98"/>
      <c r="H12" s="97"/>
      <c r="J12" s="98"/>
      <c r="K12" s="97"/>
      <c r="N12" s="12"/>
      <c r="O12" s="340"/>
      <c r="P12" s="182"/>
      <c r="Q12" s="12"/>
      <c r="R12" s="12"/>
      <c r="S12" s="339"/>
      <c r="T12" s="98"/>
      <c r="U12" s="97"/>
      <c r="W12" s="98"/>
      <c r="X12" s="97"/>
      <c r="AA12" s="12">
        <v>30</v>
      </c>
      <c r="AB12" s="340"/>
      <c r="AC12" s="182"/>
      <c r="AD12" s="12"/>
      <c r="AE12" s="12"/>
      <c r="AF12" s="339">
        <v>99999</v>
      </c>
      <c r="AG12" s="98"/>
      <c r="AH12" s="97"/>
      <c r="AJ12" s="98"/>
      <c r="AK12" s="97"/>
      <c r="AM12" s="98"/>
      <c r="AN12" s="97"/>
      <c r="AR12" s="2"/>
      <c r="AS12" s="2"/>
      <c r="AT12" s="2"/>
      <c r="AU12" s="98"/>
      <c r="AV12" s="97"/>
    </row>
    <row r="13" spans="1:55" ht="15" customHeight="1">
      <c r="A13" s="12">
        <v>40</v>
      </c>
      <c r="B13" s="340">
        <v>4400</v>
      </c>
      <c r="C13" s="182">
        <v>5000</v>
      </c>
      <c r="D13" s="12">
        <v>5600</v>
      </c>
      <c r="E13" s="12">
        <v>6800</v>
      </c>
      <c r="F13" s="339">
        <v>99999</v>
      </c>
      <c r="G13" s="98"/>
      <c r="H13" s="97"/>
      <c r="J13" s="98"/>
      <c r="K13" s="97"/>
      <c r="N13" s="12">
        <v>30</v>
      </c>
      <c r="O13" s="340"/>
      <c r="P13" s="182"/>
      <c r="Q13" s="12"/>
      <c r="R13" s="12"/>
      <c r="S13" s="339">
        <v>99999</v>
      </c>
      <c r="T13" s="98"/>
      <c r="U13" s="97"/>
      <c r="W13" s="98"/>
      <c r="X13" s="97"/>
      <c r="AA13" s="12">
        <v>40</v>
      </c>
      <c r="AB13" s="340"/>
      <c r="AC13" s="182"/>
      <c r="AD13" s="12"/>
      <c r="AE13" s="12"/>
      <c r="AF13" s="339">
        <v>99999</v>
      </c>
      <c r="AG13" s="98"/>
      <c r="AH13" s="97"/>
      <c r="AJ13" s="98"/>
      <c r="AK13" s="97"/>
      <c r="AM13" s="98"/>
      <c r="AN13" s="97"/>
      <c r="AR13" s="2"/>
      <c r="AS13" s="2"/>
      <c r="AT13" s="2"/>
      <c r="AU13" s="98"/>
      <c r="AV13" s="97"/>
    </row>
    <row r="14" spans="1:55" ht="15" customHeight="1">
      <c r="A14" s="12">
        <v>35</v>
      </c>
      <c r="B14" s="196">
        <v>99999</v>
      </c>
      <c r="C14" s="197">
        <v>99999</v>
      </c>
      <c r="D14" s="197">
        <v>99999</v>
      </c>
      <c r="E14" s="197">
        <v>99999</v>
      </c>
      <c r="F14" s="198">
        <v>99999</v>
      </c>
      <c r="G14" s="98"/>
      <c r="H14" s="97"/>
      <c r="J14" s="98"/>
      <c r="K14" s="97"/>
      <c r="N14" s="12">
        <v>35</v>
      </c>
      <c r="O14" s="196">
        <v>99999</v>
      </c>
      <c r="P14" s="197">
        <v>99999</v>
      </c>
      <c r="Q14" s="197">
        <v>99999</v>
      </c>
      <c r="R14" s="197">
        <v>99999</v>
      </c>
      <c r="S14" s="198">
        <v>99999</v>
      </c>
      <c r="T14" s="98"/>
      <c r="U14" s="97"/>
      <c r="W14" s="98"/>
      <c r="X14" s="97"/>
      <c r="AA14" s="12">
        <v>45</v>
      </c>
      <c r="AB14" s="196">
        <v>99999</v>
      </c>
      <c r="AC14" s="197">
        <v>99999</v>
      </c>
      <c r="AD14" s="197">
        <v>99999</v>
      </c>
      <c r="AE14" s="197">
        <v>99999</v>
      </c>
      <c r="AF14" s="198">
        <v>99999</v>
      </c>
      <c r="AG14" s="98"/>
      <c r="AH14" s="97"/>
      <c r="AJ14" s="98"/>
      <c r="AK14" s="97"/>
      <c r="AM14" s="98"/>
      <c r="AN14" s="97"/>
      <c r="AR14" s="2"/>
      <c r="AS14" s="2"/>
      <c r="AT14" s="2"/>
      <c r="AU14" s="98"/>
      <c r="AV14" s="97"/>
    </row>
    <row r="15" spans="1:55" ht="15" customHeight="1">
      <c r="B15" s="98"/>
      <c r="C15" s="97"/>
      <c r="D15" s="12"/>
      <c r="E15" s="12"/>
      <c r="F15" s="12"/>
      <c r="G15" s="2"/>
      <c r="H15" s="2"/>
      <c r="I15" s="2"/>
      <c r="J15" s="98"/>
      <c r="K15" s="97"/>
      <c r="O15" s="98"/>
      <c r="P15" s="97"/>
      <c r="Q15" s="12"/>
      <c r="R15" s="12"/>
      <c r="S15" s="12"/>
      <c r="T15" s="2"/>
      <c r="U15" s="2"/>
      <c r="V15" s="2"/>
      <c r="W15" s="98"/>
      <c r="X15" s="97"/>
      <c r="Z15" s="98"/>
      <c r="AB15" s="98"/>
      <c r="AC15" s="97"/>
      <c r="AD15" s="12"/>
      <c r="AE15" s="12"/>
      <c r="AF15" s="12"/>
      <c r="AG15" s="2"/>
      <c r="AH15" s="2"/>
      <c r="AI15" s="2"/>
      <c r="AJ15" s="98"/>
      <c r="AK15" s="97"/>
      <c r="AM15" s="2"/>
      <c r="AN15" s="2"/>
      <c r="AO15" s="2"/>
      <c r="AP15" s="98"/>
      <c r="AQ15" s="97"/>
      <c r="AU15" s="2"/>
      <c r="AV15" s="2"/>
      <c r="AW15" s="2"/>
      <c r="AX15" s="98"/>
      <c r="AY15" s="97"/>
    </row>
    <row r="16" spans="1:55" ht="15" customHeight="1">
      <c r="B16" s="98" t="s">
        <v>183</v>
      </c>
      <c r="C16" s="97">
        <f>D1</f>
        <v>0</v>
      </c>
      <c r="D16" s="251" t="s">
        <v>237</v>
      </c>
      <c r="E16" s="262"/>
      <c r="G16" s="2"/>
      <c r="H16" s="2"/>
      <c r="I16" s="2"/>
      <c r="J16" s="98"/>
      <c r="K16" s="97"/>
      <c r="L16" s="82"/>
      <c r="O16" s="98" t="s">
        <v>183</v>
      </c>
      <c r="P16" s="97">
        <f>D1</f>
        <v>0</v>
      </c>
      <c r="Q16" s="251" t="s">
        <v>237</v>
      </c>
      <c r="R16" s="262"/>
      <c r="T16" s="2"/>
      <c r="U16" s="2"/>
      <c r="V16" s="2"/>
      <c r="W16" s="98"/>
      <c r="X16" s="97"/>
      <c r="Y16" s="82"/>
      <c r="Z16" s="98"/>
      <c r="AB16" s="98" t="s">
        <v>183</v>
      </c>
      <c r="AC16" s="97">
        <f>D1</f>
        <v>0</v>
      </c>
      <c r="AD16" s="251" t="s">
        <v>237</v>
      </c>
      <c r="AE16" s="262"/>
      <c r="AG16" s="2"/>
      <c r="AH16" s="2"/>
      <c r="AI16" s="2"/>
      <c r="AJ16" s="98"/>
      <c r="AK16" s="97"/>
      <c r="AL16" s="82"/>
      <c r="AM16" s="2"/>
      <c r="AN16" s="2"/>
      <c r="AO16" s="2"/>
      <c r="AP16" s="98"/>
      <c r="AQ16" s="97"/>
      <c r="AR16" s="251"/>
      <c r="AS16" s="262"/>
      <c r="AU16" s="2"/>
      <c r="AV16" s="2"/>
      <c r="AW16" s="2"/>
      <c r="AX16" s="98"/>
      <c r="AY16" s="97"/>
      <c r="AZ16" s="251"/>
      <c r="BA16" s="262"/>
    </row>
    <row r="17" spans="1:53" ht="15" customHeight="1">
      <c r="B17" s="73" t="s">
        <v>238</v>
      </c>
      <c r="C17" s="100">
        <f t="array" ref="C17">INDEX(B5:F5,MATCH(C16,B5:F5,1))</f>
        <v>0</v>
      </c>
      <c r="D17" s="73" t="s">
        <v>181</v>
      </c>
      <c r="E17" s="88">
        <f>MATCH(MAX(A6:A14),A6:A14,1)</f>
        <v>8</v>
      </c>
      <c r="G17" s="2"/>
      <c r="H17" s="2"/>
      <c r="I17" s="2"/>
      <c r="J17" s="73"/>
      <c r="K17" s="100"/>
      <c r="L17" s="73"/>
      <c r="M17" s="88"/>
      <c r="O17" s="73" t="s">
        <v>238</v>
      </c>
      <c r="P17" s="100">
        <f t="array" ref="P17">INDEX(O5:S5,MATCH(P16,O5:S5,1))</f>
        <v>0</v>
      </c>
      <c r="Q17" s="73" t="s">
        <v>181</v>
      </c>
      <c r="R17" s="88">
        <f>MATCH(MAX(N6:N14),N6:N14,1)</f>
        <v>9</v>
      </c>
      <c r="T17" s="2"/>
      <c r="U17" s="2"/>
      <c r="V17" s="2"/>
      <c r="W17" s="73"/>
      <c r="X17" s="100"/>
      <c r="Y17" s="73"/>
      <c r="Z17" s="73"/>
      <c r="AB17" s="73" t="s">
        <v>238</v>
      </c>
      <c r="AC17" s="100">
        <f t="array" ref="AC17">INDEX(AB5:AF5,MATCH(AC16,AB5:AF5,1))</f>
        <v>0</v>
      </c>
      <c r="AD17" s="73" t="s">
        <v>181</v>
      </c>
      <c r="AE17" s="88">
        <f>MATCH(MAX(AA6:AA14),AA6:AA14,1)</f>
        <v>9</v>
      </c>
      <c r="AG17" s="2"/>
      <c r="AH17" s="2"/>
      <c r="AI17" s="2"/>
      <c r="AJ17" s="73"/>
      <c r="AK17" s="100"/>
      <c r="AL17" s="73"/>
      <c r="AM17" s="2"/>
      <c r="AN17" s="2"/>
      <c r="AO17" s="2"/>
      <c r="AP17" s="73"/>
      <c r="AQ17" s="100"/>
      <c r="AR17" s="73"/>
      <c r="AS17" s="88"/>
      <c r="AU17" s="2"/>
      <c r="AV17" s="2"/>
      <c r="AW17" s="2"/>
      <c r="AX17" s="73"/>
      <c r="AY17" s="100"/>
      <c r="AZ17" s="73"/>
      <c r="BA17" s="88"/>
    </row>
    <row r="18" spans="1:53" ht="15" customHeight="1">
      <c r="B18" s="73" t="s">
        <v>239</v>
      </c>
      <c r="C18" s="100">
        <f t="array" ref="C18">INDEX(B5:F5,IF(MATCH(C16,B5:F5,1)&lt;E18,MATCH(C16,B5:F5,1)+1,MATCH(C16,B5:F5,1)))</f>
        <v>1000</v>
      </c>
      <c r="D18" s="73" t="s">
        <v>182</v>
      </c>
      <c r="E18" s="88">
        <f>MATCH(MAX(B5:F5),B5:F5,0)</f>
        <v>5</v>
      </c>
      <c r="G18" s="2"/>
      <c r="H18" s="2"/>
      <c r="I18" s="2"/>
      <c r="J18" s="73"/>
      <c r="K18" s="100"/>
      <c r="L18" s="73"/>
      <c r="M18" s="88"/>
      <c r="O18" s="73" t="s">
        <v>239</v>
      </c>
      <c r="P18" s="100">
        <f t="array" ref="P18">INDEX(O5:S5,IF(MATCH(P16,O5:S5,1)&lt;R18,MATCH(P16,O5:S5,1)+1,MATCH(P16,O5:S5,1)))</f>
        <v>1000</v>
      </c>
      <c r="Q18" s="73" t="s">
        <v>182</v>
      </c>
      <c r="R18" s="88">
        <f>MATCH(MAX(O5:S5),O5:S5,0)</f>
        <v>5</v>
      </c>
      <c r="T18" s="2"/>
      <c r="U18" s="2"/>
      <c r="V18" s="2"/>
      <c r="W18" s="73"/>
      <c r="X18" s="100"/>
      <c r="Y18" s="73"/>
      <c r="Z18" s="73"/>
      <c r="AB18" s="73" t="s">
        <v>239</v>
      </c>
      <c r="AC18" s="100">
        <f t="array" ref="AC18">INDEX(AB5:AF5,IF(MATCH(AC16,AB5:AF5,1)&lt;AE18,MATCH(AC16,AB5:AF5,1)+1,MATCH(AC16,AB5:AF5,1)))</f>
        <v>1000</v>
      </c>
      <c r="AD18" s="73" t="s">
        <v>182</v>
      </c>
      <c r="AE18" s="88">
        <f>MATCH(MAX(AB5:AF5),AB5:AF5,0)</f>
        <v>5</v>
      </c>
      <c r="AG18" s="2"/>
      <c r="AH18" s="2"/>
      <c r="AI18" s="2"/>
      <c r="AJ18" s="73"/>
      <c r="AK18" s="100"/>
      <c r="AL18" s="73"/>
      <c r="AM18" s="2"/>
      <c r="AN18" s="2"/>
      <c r="AO18" s="2"/>
      <c r="AP18" s="73"/>
      <c r="AQ18" s="100"/>
      <c r="AR18" s="73"/>
      <c r="AS18" s="88"/>
      <c r="AU18" s="2"/>
      <c r="AV18" s="2"/>
      <c r="AW18" s="2"/>
      <c r="AX18" s="73"/>
      <c r="AY18" s="100"/>
      <c r="AZ18" s="73"/>
      <c r="BA18" s="88"/>
    </row>
    <row r="19" spans="1:53" ht="15" customHeight="1">
      <c r="B19" s="96" t="s">
        <v>184</v>
      </c>
      <c r="C19" s="155">
        <f>D2</f>
        <v>-2</v>
      </c>
      <c r="D19" s="2"/>
      <c r="E19" s="2"/>
      <c r="G19" s="2"/>
      <c r="H19" s="2"/>
      <c r="I19" s="2"/>
      <c r="J19" s="98"/>
      <c r="K19" s="155"/>
      <c r="L19" s="2"/>
      <c r="M19" s="2"/>
      <c r="O19" s="96" t="s">
        <v>184</v>
      </c>
      <c r="P19" s="155">
        <f>D2</f>
        <v>-2</v>
      </c>
      <c r="Q19" s="2"/>
      <c r="R19" s="2"/>
      <c r="T19" s="2"/>
      <c r="U19" s="2"/>
      <c r="V19" s="2"/>
      <c r="W19" s="98"/>
      <c r="X19" s="155"/>
      <c r="Y19" s="2"/>
      <c r="Z19" s="98"/>
      <c r="AB19" s="96" t="s">
        <v>184</v>
      </c>
      <c r="AC19" s="155">
        <f>D2</f>
        <v>-2</v>
      </c>
      <c r="AD19" s="2"/>
      <c r="AE19" s="2"/>
      <c r="AG19" s="2"/>
      <c r="AH19" s="2"/>
      <c r="AI19" s="2"/>
      <c r="AJ19" s="98"/>
      <c r="AK19" s="155"/>
      <c r="AL19" s="2"/>
      <c r="AM19" s="2"/>
      <c r="AN19" s="2"/>
      <c r="AO19" s="2"/>
      <c r="AP19" s="98"/>
      <c r="AQ19" s="155"/>
      <c r="AR19" s="2"/>
      <c r="AS19" s="2"/>
      <c r="AU19" s="2"/>
      <c r="AV19" s="2"/>
      <c r="AW19" s="2"/>
      <c r="AX19" s="98"/>
      <c r="AY19" s="155"/>
      <c r="AZ19" s="2"/>
      <c r="BA19" s="2"/>
    </row>
    <row r="20" spans="1:53" ht="15" customHeight="1">
      <c r="B20" s="73" t="s">
        <v>185</v>
      </c>
      <c r="C20" s="100">
        <f t="array" ref="C20">INDEX(A6:A14,MATCH(C19,A6:A14,1))</f>
        <v>-10</v>
      </c>
      <c r="D20" s="2"/>
      <c r="E20" s="92"/>
      <c r="G20" s="2"/>
      <c r="H20" s="2"/>
      <c r="I20" s="2"/>
      <c r="J20" s="73"/>
      <c r="K20" s="100"/>
      <c r="L20" s="2"/>
      <c r="M20" s="92"/>
      <c r="O20" s="73" t="s">
        <v>185</v>
      </c>
      <c r="P20" s="100">
        <f t="array" ref="P20">INDEX(N6:N14,MATCH(P19,N6:N14,1))</f>
        <v>-10</v>
      </c>
      <c r="Q20" s="2"/>
      <c r="R20" s="92"/>
      <c r="T20" s="2"/>
      <c r="U20" s="2"/>
      <c r="V20" s="2"/>
      <c r="W20" s="73"/>
      <c r="X20" s="100"/>
      <c r="Y20" s="2"/>
      <c r="Z20" s="73"/>
      <c r="AB20" s="73" t="s">
        <v>185</v>
      </c>
      <c r="AC20" s="100">
        <f t="array" ref="AC20">INDEX(AA6:AA14,MATCH(AC19,AA6:AA14,1))</f>
        <v>-10</v>
      </c>
      <c r="AD20" s="2"/>
      <c r="AE20" s="92"/>
      <c r="AG20" s="2"/>
      <c r="AH20" s="2"/>
      <c r="AI20" s="2"/>
      <c r="AJ20" s="73"/>
      <c r="AK20" s="100"/>
      <c r="AL20" s="2"/>
      <c r="AM20" s="2"/>
      <c r="AN20" s="2"/>
      <c r="AO20" s="2"/>
      <c r="AP20" s="73"/>
      <c r="AQ20" s="100"/>
      <c r="AR20" s="2"/>
      <c r="AS20" s="92"/>
      <c r="AU20" s="2"/>
      <c r="AV20" s="2"/>
      <c r="AW20" s="2"/>
      <c r="AX20" s="73"/>
      <c r="AY20" s="100"/>
      <c r="AZ20" s="2"/>
      <c r="BA20" s="92"/>
    </row>
    <row r="21" spans="1:53" ht="15" customHeight="1">
      <c r="B21" s="73" t="s">
        <v>186</v>
      </c>
      <c r="C21" s="100">
        <f t="array" ref="C21">INDEX(A6:A14,IF(MATCH(C19,A6:A14,1)&lt;E17,MATCH(C19,A6:A14,1)+1,MATCH(C19,A6:A14,1)))</f>
        <v>0</v>
      </c>
      <c r="D21" s="2"/>
      <c r="E21" s="92"/>
      <c r="G21" s="2"/>
      <c r="H21" s="2"/>
      <c r="I21" s="2"/>
      <c r="J21" s="73"/>
      <c r="K21" s="100"/>
      <c r="L21" s="2"/>
      <c r="M21" s="92"/>
      <c r="O21" s="73" t="s">
        <v>186</v>
      </c>
      <c r="P21" s="100">
        <f t="array" ref="P21">INDEX(N6:N14,IF(MATCH(P19,N6:N14,1)&lt;R17,MATCH(P19,N6:N14,1)+1,MATCH(P19,N6:N14,1)))</f>
        <v>0</v>
      </c>
      <c r="Q21" s="2"/>
      <c r="R21" s="92"/>
      <c r="T21" s="2"/>
      <c r="U21" s="2"/>
      <c r="V21" s="2"/>
      <c r="W21" s="73"/>
      <c r="X21" s="100"/>
      <c r="Y21" s="2"/>
      <c r="Z21" s="73"/>
      <c r="AB21" s="73" t="s">
        <v>186</v>
      </c>
      <c r="AC21" s="100">
        <f t="array" ref="AC21">INDEX(AA6:AA14,IF(MATCH(AC19,AA6:AA14,1)&lt;AE17,MATCH(AC19,AA6:AA14,1)+1,MATCH(AC19,AA6:AA14,1)))</f>
        <v>0</v>
      </c>
      <c r="AD21" s="2"/>
      <c r="AE21" s="92"/>
      <c r="AG21" s="2"/>
      <c r="AH21" s="2"/>
      <c r="AI21" s="2"/>
      <c r="AJ21" s="73"/>
      <c r="AK21" s="100"/>
      <c r="AL21" s="2"/>
      <c r="AM21" s="2"/>
      <c r="AN21" s="2"/>
      <c r="AO21" s="2"/>
      <c r="AP21" s="73"/>
      <c r="AQ21" s="100"/>
      <c r="AR21" s="2"/>
      <c r="AS21" s="92"/>
      <c r="AU21" s="2"/>
      <c r="AV21" s="2"/>
      <c r="AW21" s="2"/>
      <c r="AX21" s="73"/>
      <c r="AY21" s="100"/>
      <c r="AZ21" s="2"/>
      <c r="BA21" s="92"/>
    </row>
    <row r="22" spans="1:53" ht="15" customHeight="1">
      <c r="B22" s="98" t="s">
        <v>187</v>
      </c>
      <c r="C22" s="97">
        <f t="array" ref="C22">INDEX(B6:F14,MATCH(C19,A6:A14,1),MATCH(C16,B5:F5,1))</f>
        <v>3000</v>
      </c>
      <c r="D22" s="2"/>
      <c r="E22" s="92"/>
      <c r="G22" s="2"/>
      <c r="H22" s="2"/>
      <c r="I22" s="2"/>
      <c r="J22" s="98"/>
      <c r="K22" s="97"/>
      <c r="L22" s="2"/>
      <c r="M22" s="92"/>
      <c r="O22" s="98" t="s">
        <v>187</v>
      </c>
      <c r="P22" s="97">
        <f t="array" ref="P22">INDEX(O6:S14,MATCH(P19,N6:N14,1),MATCH(P16,O5:S5,1))</f>
        <v>0</v>
      </c>
      <c r="Q22" s="2"/>
      <c r="R22" s="92"/>
      <c r="T22" s="2"/>
      <c r="U22" s="2"/>
      <c r="V22" s="2"/>
      <c r="W22" s="98"/>
      <c r="X22" s="97"/>
      <c r="Y22" s="2"/>
      <c r="Z22" s="98"/>
      <c r="AB22" s="98" t="s">
        <v>187</v>
      </c>
      <c r="AC22" s="97">
        <f t="array" ref="AC22">INDEX(AB6:AF14,MATCH(AC19,AA6:AA14,1),MATCH(AC16,AB5:AF5,1))</f>
        <v>0</v>
      </c>
      <c r="AD22" s="2"/>
      <c r="AE22" s="92"/>
      <c r="AG22" s="2"/>
      <c r="AH22" s="2"/>
      <c r="AI22" s="2"/>
      <c r="AJ22" s="98"/>
      <c r="AK22" s="97"/>
      <c r="AL22" s="2"/>
      <c r="AM22" s="2"/>
      <c r="AN22" s="2"/>
      <c r="AO22" s="2"/>
      <c r="AP22" s="98"/>
      <c r="AQ22" s="97"/>
      <c r="AR22" s="2"/>
      <c r="AS22" s="92"/>
      <c r="AU22" s="2"/>
      <c r="AV22" s="2"/>
      <c r="AW22" s="2"/>
      <c r="AX22" s="98"/>
      <c r="AY22" s="97"/>
      <c r="AZ22" s="2"/>
      <c r="BA22" s="92"/>
    </row>
    <row r="23" spans="1:53" ht="15" customHeight="1">
      <c r="B23" s="98" t="s">
        <v>240</v>
      </c>
      <c r="C23" s="97">
        <f t="array" ref="C23">INDEX(B6:F14,MATCH(C19,A6:A14,1),IF(MATCH(C16,B5:F5,1)&lt;E18,MATCH(C16,B5:F5,1)+1,MATCH(C19,A6:A14,1)))</f>
        <v>3200</v>
      </c>
      <c r="E23" s="92"/>
      <c r="G23" s="2"/>
      <c r="H23" s="2"/>
      <c r="I23" s="2"/>
      <c r="J23" s="98"/>
      <c r="K23" s="97"/>
      <c r="M23" s="92"/>
      <c r="O23" s="98" t="s">
        <v>240</v>
      </c>
      <c r="P23" s="97">
        <f t="array" ref="P23">INDEX(O6:S14,MATCH(P19,N6:N14,1),IF(MATCH(P16,O5:S5,1)&lt;R18,MATCH(P16,O5:S5,1)+1,MATCH(P19,N6:N14,1)))</f>
        <v>0</v>
      </c>
      <c r="R23" s="92"/>
      <c r="T23" s="2"/>
      <c r="U23" s="2"/>
      <c r="V23" s="2"/>
      <c r="W23" s="98"/>
      <c r="X23" s="97"/>
      <c r="Z23" s="98"/>
      <c r="AB23" s="98" t="s">
        <v>240</v>
      </c>
      <c r="AC23" s="97">
        <f t="array" ref="AC23">INDEX(AB6:AF14,MATCH(AC19,AA6:AA14,1),IF(MATCH(AC16,AB5:AF5,1)&lt;AE18,MATCH(AC16,AB5:AF5,1)+1,MATCH(AC19,AA6:AA14,1)))</f>
        <v>0</v>
      </c>
      <c r="AE23" s="92"/>
      <c r="AG23" s="2"/>
      <c r="AH23" s="2"/>
      <c r="AI23" s="2"/>
      <c r="AJ23" s="98"/>
      <c r="AK23" s="97"/>
      <c r="AM23" s="2"/>
      <c r="AN23" s="2"/>
      <c r="AO23" s="2"/>
      <c r="AP23" s="98"/>
      <c r="AQ23" s="97"/>
      <c r="AS23" s="92"/>
      <c r="AU23" s="2"/>
      <c r="AV23" s="2"/>
      <c r="AW23" s="2"/>
      <c r="AX23" s="98"/>
      <c r="AY23" s="97"/>
      <c r="BA23" s="92"/>
    </row>
    <row r="24" spans="1:53" ht="15" customHeight="1">
      <c r="B24" s="98" t="s">
        <v>188</v>
      </c>
      <c r="C24" s="97">
        <f t="array" ref="C24">INDEX(B6:F14,IF(MATCH(C19,A6:A14,1)&lt;E17,MATCH(C19,A6:A14,1)+1,MATCH(C19,A6:A14,1)),MATCH(C16,B5:F5,1))</f>
        <v>3200</v>
      </c>
      <c r="E24" s="92"/>
      <c r="G24" s="2"/>
      <c r="H24" s="2"/>
      <c r="I24" s="2"/>
      <c r="J24" s="98"/>
      <c r="K24" s="97"/>
      <c r="M24" s="92"/>
      <c r="O24" s="98" t="s">
        <v>188</v>
      </c>
      <c r="P24" s="97">
        <f t="array" ref="P24">INDEX(O6:S14,IF(MATCH(P19,N6:N14,1)&lt;R17,MATCH(P19,N6:N14,1)+1,MATCH(P19,N6:N14,1)),MATCH(P16,O5:S5,1))</f>
        <v>0</v>
      </c>
      <c r="R24" s="92"/>
      <c r="T24" s="2"/>
      <c r="U24" s="2"/>
      <c r="V24" s="2"/>
      <c r="W24" s="98"/>
      <c r="X24" s="97"/>
      <c r="Z24" s="98"/>
      <c r="AB24" s="98" t="s">
        <v>188</v>
      </c>
      <c r="AC24" s="97">
        <f t="array" ref="AC24">INDEX(AB6:AF14,IF(MATCH(AC19,AA6:AA14,1)&lt;AE17,MATCH(AC19,AA6:AA14,1)+1,MATCH(AC19,AA6:AA14,1)),MATCH(AC16,AB5:AF5,1))</f>
        <v>0</v>
      </c>
      <c r="AE24" s="92"/>
      <c r="AG24" s="2"/>
      <c r="AH24" s="2"/>
      <c r="AI24" s="2"/>
      <c r="AJ24" s="98"/>
      <c r="AK24" s="97"/>
      <c r="AM24" s="2"/>
      <c r="AN24" s="2"/>
      <c r="AO24" s="2"/>
      <c r="AP24" s="98"/>
      <c r="AQ24" s="97"/>
      <c r="AS24" s="92"/>
      <c r="AU24" s="2"/>
      <c r="AV24" s="2"/>
      <c r="AW24" s="2"/>
      <c r="AX24" s="98"/>
      <c r="AY24" s="97"/>
      <c r="BA24" s="92"/>
    </row>
    <row r="25" spans="1:53" ht="15" customHeight="1">
      <c r="B25" s="98" t="s">
        <v>241</v>
      </c>
      <c r="C25" s="97">
        <f t="array" ref="C25">INDEX(B6:F14,IF(MATCH(C19,A6:A14,1)&lt;E17,MATCH(C19,A6:A14,1)+1,MATCH(C19,A6:A14,1)),IF(MATCH(C16,B5:F5,1)&lt;E18,MATCH(C16,B5:F5,1)+1,MATCH(C16,B5:F5,1)))</f>
        <v>3400</v>
      </c>
      <c r="G25" s="2"/>
      <c r="H25" s="2"/>
      <c r="I25" s="2"/>
      <c r="J25" s="98"/>
      <c r="K25" s="97"/>
      <c r="O25" s="98" t="s">
        <v>241</v>
      </c>
      <c r="P25" s="97">
        <f t="array" ref="P25">INDEX(O6:S14,IF(MATCH(P19,N6:N14,1)&lt;R17,MATCH(P19,N6:N14,1)+1,MATCH(P19,N6:N14,1)),IF(MATCH(P16,O5:S5,1)&lt;R18,MATCH(P16,O5:S5,1)+1,MATCH(P16,O5:S5,1)))</f>
        <v>0</v>
      </c>
      <c r="T25" s="2"/>
      <c r="U25" s="2"/>
      <c r="V25" s="2"/>
      <c r="W25" s="98"/>
      <c r="X25" s="97"/>
      <c r="Z25" s="98"/>
      <c r="AB25" s="98" t="s">
        <v>241</v>
      </c>
      <c r="AC25" s="97">
        <f t="array" ref="AC25">INDEX(AB6:AF14,IF(MATCH(AC19,AA6:AA14,1)&lt;AE17,MATCH(AC19,AA6:AA14,1)+1,MATCH(AC19,AA6:AA14,1)),IF(MATCH(AC16,AB5:AF5,1)&lt;AE18,MATCH(AC16,AB5:AF5,1)+1,MATCH(AC16,AB5:AF5,1)))</f>
        <v>0</v>
      </c>
      <c r="AG25" s="2"/>
      <c r="AH25" s="2"/>
      <c r="AI25" s="2"/>
      <c r="AJ25" s="98"/>
      <c r="AK25" s="97"/>
      <c r="AM25" s="2"/>
      <c r="AN25" s="2"/>
      <c r="AO25" s="2"/>
      <c r="AP25" s="98"/>
      <c r="AQ25" s="97"/>
      <c r="AU25" s="2"/>
      <c r="AV25" s="2"/>
      <c r="AW25" s="2"/>
      <c r="AX25" s="98"/>
      <c r="AY25" s="97"/>
    </row>
    <row r="26" spans="1:53" ht="15" customHeight="1">
      <c r="B26" s="73" t="s">
        <v>242</v>
      </c>
      <c r="C26" s="100">
        <f>IFERROR(C22+(C16-C17)*(C23-C22)/(C18-C17),C22)</f>
        <v>3000</v>
      </c>
      <c r="G26" s="2"/>
      <c r="H26" s="2"/>
      <c r="I26" s="2"/>
      <c r="J26" s="73"/>
      <c r="K26" s="100"/>
      <c r="O26" s="73" t="s">
        <v>242</v>
      </c>
      <c r="P26" s="100">
        <f>IFERROR(P22+(P16-P17)*(P23-P22)/(P18-P17),P22)</f>
        <v>0</v>
      </c>
      <c r="T26" s="2"/>
      <c r="U26" s="2"/>
      <c r="V26" s="2"/>
      <c r="W26" s="73"/>
      <c r="X26" s="100"/>
      <c r="Z26" s="73"/>
      <c r="AB26" s="73" t="s">
        <v>242</v>
      </c>
      <c r="AC26" s="100">
        <f>IFERROR(AC22+(AC16-AC17)*(AC23-AC22)/(AC18-AC17),AC22)</f>
        <v>0</v>
      </c>
      <c r="AG26" s="2"/>
      <c r="AH26" s="2"/>
      <c r="AI26" s="2"/>
      <c r="AJ26" s="73"/>
      <c r="AK26" s="100"/>
      <c r="AM26" s="2"/>
      <c r="AN26" s="2"/>
      <c r="AO26" s="2"/>
      <c r="AP26" s="73"/>
      <c r="AQ26" s="100"/>
      <c r="AU26" s="2"/>
      <c r="AV26" s="2"/>
      <c r="AW26" s="2"/>
      <c r="AX26" s="73"/>
      <c r="AY26" s="100"/>
    </row>
    <row r="27" spans="1:53" ht="15" customHeight="1">
      <c r="B27" s="73" t="s">
        <v>243</v>
      </c>
      <c r="C27" s="100">
        <f>IFERROR(C24+(C16-C17)*(C25-C24)/(C18-C17),C24)</f>
        <v>3200</v>
      </c>
      <c r="G27" s="2"/>
      <c r="H27" s="2"/>
      <c r="I27" s="2"/>
      <c r="J27" s="73"/>
      <c r="K27" s="100"/>
      <c r="O27" s="73" t="s">
        <v>243</v>
      </c>
      <c r="P27" s="100">
        <f>IFERROR(P24+(P16-P17)*(P25-P24)/(P18-P17),P24)</f>
        <v>0</v>
      </c>
      <c r="T27" s="2"/>
      <c r="U27" s="2"/>
      <c r="V27" s="2"/>
      <c r="W27" s="73"/>
      <c r="X27" s="100"/>
      <c r="Z27" s="73"/>
      <c r="AB27" s="73" t="s">
        <v>243</v>
      </c>
      <c r="AC27" s="100">
        <f>IFERROR(AC24+(AC16-AC17)*(AC25-AC24)/(AC18-AC17),AC24)</f>
        <v>0</v>
      </c>
      <c r="AG27" s="2"/>
      <c r="AH27" s="2"/>
      <c r="AI27" s="2"/>
      <c r="AJ27" s="73"/>
      <c r="AK27" s="100"/>
      <c r="AM27" s="2"/>
      <c r="AN27" s="2"/>
      <c r="AO27" s="2"/>
      <c r="AP27" s="73"/>
      <c r="AQ27" s="100"/>
      <c r="AU27" s="2"/>
      <c r="AV27" s="2"/>
      <c r="AW27" s="2"/>
      <c r="AX27" s="73"/>
      <c r="AY27" s="100"/>
    </row>
    <row r="28" spans="1:53" ht="15" customHeight="1">
      <c r="B28" s="98" t="s">
        <v>244</v>
      </c>
      <c r="C28" s="97">
        <f>IFERROR(C26+(C19-C20)*(C27-C26)/(C21-C20),C26)</f>
        <v>3160</v>
      </c>
      <c r="G28" s="2"/>
      <c r="H28" s="2"/>
      <c r="I28" s="2"/>
      <c r="J28" s="98"/>
      <c r="K28" s="97"/>
      <c r="O28" s="98" t="s">
        <v>244</v>
      </c>
      <c r="P28" s="97">
        <f>IFERROR(P26+(P19-P20)*(P27-P26)/(P21-P20),P26)</f>
        <v>0</v>
      </c>
      <c r="T28" s="2"/>
      <c r="U28" s="2"/>
      <c r="V28" s="2"/>
      <c r="W28" s="98"/>
      <c r="X28" s="97"/>
      <c r="Z28" s="98"/>
      <c r="AB28" s="98" t="s">
        <v>244</v>
      </c>
      <c r="AC28" s="97">
        <f>IFERROR(AC26+(AC19-AC20)*(AC27-AC26)/(AC21-AC20),AC26)</f>
        <v>0</v>
      </c>
      <c r="AG28" s="2"/>
      <c r="AH28" s="2"/>
      <c r="AI28" s="2"/>
      <c r="AJ28" s="98"/>
      <c r="AK28" s="97"/>
      <c r="AM28" s="2"/>
      <c r="AN28" s="2"/>
      <c r="AO28" s="2"/>
      <c r="AP28" s="98"/>
      <c r="AQ28" s="97"/>
      <c r="AU28" s="2"/>
      <c r="AV28" s="2"/>
      <c r="AW28" s="2"/>
      <c r="AX28" s="98"/>
      <c r="AY28" s="97"/>
    </row>
    <row r="29" spans="1:53" ht="15.75" customHeight="1"/>
    <row r="30" spans="1:53" ht="15" customHeight="1">
      <c r="A30" s="12"/>
      <c r="B30" s="251" t="s">
        <v>245</v>
      </c>
      <c r="C30" s="262"/>
      <c r="D30" s="262"/>
      <c r="E30" s="262"/>
      <c r="F30" s="262"/>
      <c r="G30" s="262"/>
      <c r="H30" s="82"/>
      <c r="I30" s="82"/>
      <c r="J30" s="82"/>
      <c r="K30" s="82"/>
      <c r="L30" s="82"/>
      <c r="M30" s="82"/>
      <c r="N30" s="12"/>
      <c r="O30" s="251" t="s">
        <v>245</v>
      </c>
      <c r="P30" s="262"/>
      <c r="Q30" s="262"/>
      <c r="R30" s="262"/>
      <c r="S30" s="262"/>
      <c r="T30" s="262"/>
      <c r="U30" s="82"/>
      <c r="V30" s="82"/>
      <c r="W30" s="82"/>
      <c r="X30" s="82"/>
      <c r="Y30" s="82"/>
      <c r="AA30" s="12"/>
      <c r="AB30" s="251" t="s">
        <v>245</v>
      </c>
      <c r="AC30" s="262"/>
      <c r="AD30" s="262"/>
      <c r="AE30" s="262"/>
      <c r="AF30" s="262"/>
      <c r="AG30" s="262"/>
      <c r="AH30" s="82"/>
      <c r="AI30" s="82"/>
      <c r="AJ30" s="82"/>
      <c r="AK30" s="82"/>
      <c r="AL30" s="82"/>
    </row>
    <row r="31" spans="1:53" ht="15" customHeight="1">
      <c r="A31" s="12" t="s">
        <v>30</v>
      </c>
      <c r="B31" s="203">
        <v>2000</v>
      </c>
      <c r="C31" s="205">
        <v>3000</v>
      </c>
      <c r="D31" s="205">
        <v>4000</v>
      </c>
      <c r="E31" s="205">
        <v>5000</v>
      </c>
      <c r="F31" s="207">
        <v>6000</v>
      </c>
      <c r="G31" s="209">
        <v>7000</v>
      </c>
      <c r="H31" s="192">
        <v>8000</v>
      </c>
      <c r="I31" s="12"/>
      <c r="J31" s="12"/>
      <c r="K31" s="12"/>
      <c r="L31" s="12"/>
      <c r="M31" s="12"/>
      <c r="P31" s="12" t="s">
        <v>30</v>
      </c>
      <c r="Q31" s="203">
        <v>2000</v>
      </c>
      <c r="R31" s="207">
        <v>3000</v>
      </c>
      <c r="S31" s="209">
        <v>4000</v>
      </c>
      <c r="T31" s="192">
        <v>4500</v>
      </c>
      <c r="V31" s="12"/>
      <c r="W31" s="12"/>
      <c r="AD31" s="12" t="s">
        <v>30</v>
      </c>
      <c r="AE31" s="203">
        <v>4000</v>
      </c>
      <c r="AF31" s="205">
        <v>5000</v>
      </c>
      <c r="AG31" s="205">
        <v>6100</v>
      </c>
      <c r="AH31" s="205">
        <v>7200</v>
      </c>
      <c r="AI31" s="207">
        <v>8300</v>
      </c>
      <c r="AJ31" s="209">
        <v>9400</v>
      </c>
      <c r="AK31" s="192">
        <v>10000</v>
      </c>
      <c r="AL31" s="12"/>
    </row>
    <row r="32" spans="1:53" ht="15" customHeight="1">
      <c r="A32" s="12">
        <v>9000</v>
      </c>
      <c r="B32" s="189">
        <v>1200</v>
      </c>
      <c r="C32" s="199">
        <v>1760</v>
      </c>
      <c r="D32" s="199">
        <v>2200</v>
      </c>
      <c r="E32" s="199">
        <v>2600</v>
      </c>
      <c r="F32" s="190">
        <v>3000</v>
      </c>
      <c r="G32" s="191">
        <v>3400</v>
      </c>
      <c r="H32" s="192">
        <v>99999</v>
      </c>
      <c r="I32" s="12"/>
      <c r="J32" s="12"/>
      <c r="K32" s="12"/>
      <c r="L32" s="12"/>
      <c r="M32" s="12"/>
      <c r="P32" s="12">
        <v>10000</v>
      </c>
      <c r="Q32" s="189"/>
      <c r="R32" s="190"/>
      <c r="S32" s="191"/>
      <c r="T32" s="192">
        <v>99999</v>
      </c>
      <c r="V32" s="12"/>
      <c r="W32" s="12"/>
      <c r="AD32" s="12">
        <v>9000</v>
      </c>
      <c r="AE32" s="189"/>
      <c r="AF32" s="199"/>
      <c r="AG32" s="199"/>
      <c r="AH32" s="199"/>
      <c r="AI32" s="190"/>
      <c r="AJ32" s="191"/>
      <c r="AK32" s="192">
        <v>99999</v>
      </c>
      <c r="AL32" s="12"/>
    </row>
    <row r="33" spans="1:38" ht="15" customHeight="1">
      <c r="A33" s="12">
        <v>9500</v>
      </c>
      <c r="B33" s="340">
        <v>1250</v>
      </c>
      <c r="C33" s="82">
        <v>1800</v>
      </c>
      <c r="D33" s="82">
        <v>2400</v>
      </c>
      <c r="E33" s="82">
        <v>2800</v>
      </c>
      <c r="F33" s="182">
        <v>3200</v>
      </c>
      <c r="G33" s="12">
        <v>3600</v>
      </c>
      <c r="H33" s="339">
        <v>99999</v>
      </c>
      <c r="I33" s="12"/>
      <c r="J33" s="12"/>
      <c r="K33" s="12"/>
      <c r="L33" s="12"/>
      <c r="M33" s="12"/>
      <c r="P33" s="12">
        <v>11000</v>
      </c>
      <c r="Q33" s="340"/>
      <c r="R33" s="182"/>
      <c r="S33" s="12"/>
      <c r="T33" s="339">
        <v>99999</v>
      </c>
      <c r="V33" s="12"/>
      <c r="W33" s="12"/>
      <c r="AD33" s="12">
        <v>9500</v>
      </c>
      <c r="AE33" s="340"/>
      <c r="AF33" s="82"/>
      <c r="AG33" s="82"/>
      <c r="AH33" s="82"/>
      <c r="AI33" s="182"/>
      <c r="AJ33" s="12"/>
      <c r="AK33" s="339">
        <v>99999</v>
      </c>
      <c r="AL33" s="12"/>
    </row>
    <row r="34" spans="1:38" ht="15" customHeight="1">
      <c r="A34" s="12">
        <v>10000</v>
      </c>
      <c r="B34" s="340">
        <v>1300</v>
      </c>
      <c r="C34" s="82">
        <v>2000</v>
      </c>
      <c r="D34" s="82">
        <v>2600</v>
      </c>
      <c r="E34" s="82">
        <v>3100</v>
      </c>
      <c r="F34" s="182">
        <v>3600</v>
      </c>
      <c r="G34" s="12">
        <v>4000</v>
      </c>
      <c r="H34" s="339">
        <v>99999</v>
      </c>
      <c r="I34" s="12"/>
      <c r="J34" s="12"/>
      <c r="K34" s="12"/>
      <c r="L34" s="12"/>
      <c r="M34" s="12"/>
      <c r="P34" s="12">
        <v>12000</v>
      </c>
      <c r="Q34" s="340"/>
      <c r="R34" s="182"/>
      <c r="S34" s="12"/>
      <c r="T34" s="339">
        <v>99999</v>
      </c>
      <c r="V34" s="12"/>
      <c r="W34" s="12"/>
      <c r="AD34" s="12">
        <v>10000</v>
      </c>
      <c r="AE34" s="340"/>
      <c r="AF34" s="82"/>
      <c r="AG34" s="82"/>
      <c r="AH34" s="82"/>
      <c r="AI34" s="182"/>
      <c r="AJ34" s="12"/>
      <c r="AK34" s="339">
        <v>99999</v>
      </c>
      <c r="AL34" s="12"/>
    </row>
    <row r="35" spans="1:38" ht="15" customHeight="1">
      <c r="A35" s="12">
        <v>10500</v>
      </c>
      <c r="B35" s="340">
        <v>1400</v>
      </c>
      <c r="C35" s="82">
        <v>2200</v>
      </c>
      <c r="D35" s="82">
        <v>2820</v>
      </c>
      <c r="E35" s="82">
        <v>3400</v>
      </c>
      <c r="F35" s="182">
        <v>3900</v>
      </c>
      <c r="G35" s="12">
        <v>4400</v>
      </c>
      <c r="H35" s="339">
        <v>99999</v>
      </c>
      <c r="I35" s="12"/>
      <c r="J35" s="12"/>
      <c r="K35" s="12"/>
      <c r="L35" s="12"/>
      <c r="M35" s="12"/>
      <c r="P35" s="12">
        <v>13000</v>
      </c>
      <c r="Q35" s="340"/>
      <c r="R35" s="182"/>
      <c r="S35" s="12"/>
      <c r="T35" s="339">
        <v>99999</v>
      </c>
      <c r="V35" s="12"/>
      <c r="W35" s="12"/>
      <c r="AD35" s="12">
        <v>10500</v>
      </c>
      <c r="AE35" s="340"/>
      <c r="AF35" s="82"/>
      <c r="AG35" s="82"/>
      <c r="AH35" s="82"/>
      <c r="AI35" s="182"/>
      <c r="AJ35" s="12"/>
      <c r="AK35" s="339">
        <v>99999</v>
      </c>
      <c r="AL35" s="12"/>
    </row>
    <row r="36" spans="1:38" ht="15" customHeight="1">
      <c r="A36" s="12">
        <v>11000</v>
      </c>
      <c r="B36" s="340">
        <v>1600</v>
      </c>
      <c r="C36" s="82">
        <v>2350</v>
      </c>
      <c r="D36" s="82">
        <v>3200</v>
      </c>
      <c r="E36" s="82">
        <v>3700</v>
      </c>
      <c r="F36" s="182">
        <v>4400</v>
      </c>
      <c r="G36" s="12">
        <v>4900</v>
      </c>
      <c r="H36" s="339">
        <v>99999</v>
      </c>
      <c r="I36" s="12"/>
      <c r="J36" s="12"/>
      <c r="K36" s="12"/>
      <c r="L36" s="12"/>
      <c r="M36" s="12"/>
      <c r="P36" s="12">
        <v>14000</v>
      </c>
      <c r="Q36" s="340"/>
      <c r="R36" s="182"/>
      <c r="S36" s="12"/>
      <c r="T36" s="339">
        <v>99999</v>
      </c>
      <c r="V36" s="12"/>
      <c r="W36" s="12"/>
      <c r="AD36" s="12">
        <v>11000</v>
      </c>
      <c r="AE36" s="340"/>
      <c r="AF36" s="82"/>
      <c r="AG36" s="82"/>
      <c r="AH36" s="82"/>
      <c r="AI36" s="182"/>
      <c r="AJ36" s="12"/>
      <c r="AK36" s="339">
        <v>99999</v>
      </c>
      <c r="AL36" s="12"/>
    </row>
    <row r="37" spans="1:38" ht="15" customHeight="1">
      <c r="A37" s="12">
        <v>11500</v>
      </c>
      <c r="B37" s="340">
        <v>1700</v>
      </c>
      <c r="C37" s="82">
        <v>2600</v>
      </c>
      <c r="D37" s="82">
        <v>3400</v>
      </c>
      <c r="E37" s="82">
        <v>4100</v>
      </c>
      <c r="F37" s="182">
        <v>4800</v>
      </c>
      <c r="G37" s="12">
        <v>5450</v>
      </c>
      <c r="H37" s="339">
        <v>99999</v>
      </c>
      <c r="I37" s="12"/>
      <c r="J37" s="12"/>
      <c r="K37" s="12"/>
      <c r="L37" s="12"/>
      <c r="M37" s="12"/>
      <c r="P37" s="12">
        <v>15000</v>
      </c>
      <c r="Q37" s="340"/>
      <c r="R37" s="182"/>
      <c r="S37" s="12"/>
      <c r="T37" s="339">
        <v>99999</v>
      </c>
      <c r="V37" s="12"/>
      <c r="W37" s="12"/>
      <c r="AD37" s="12">
        <v>11500</v>
      </c>
      <c r="AE37" s="340"/>
      <c r="AF37" s="82"/>
      <c r="AG37" s="82"/>
      <c r="AH37" s="82"/>
      <c r="AI37" s="182"/>
      <c r="AJ37" s="12"/>
      <c r="AK37" s="339">
        <v>99999</v>
      </c>
      <c r="AL37" s="12"/>
    </row>
    <row r="38" spans="1:38" ht="15" customHeight="1">
      <c r="A38" s="12">
        <v>12000</v>
      </c>
      <c r="B38" s="340">
        <v>1810</v>
      </c>
      <c r="C38" s="82">
        <v>2780</v>
      </c>
      <c r="D38" s="82">
        <v>3700</v>
      </c>
      <c r="E38" s="82">
        <v>4500</v>
      </c>
      <c r="F38" s="182">
        <v>5400</v>
      </c>
      <c r="G38" s="12">
        <v>6200</v>
      </c>
      <c r="H38" s="339">
        <v>99999</v>
      </c>
      <c r="I38" s="12"/>
      <c r="J38" s="12"/>
      <c r="K38" s="12"/>
      <c r="L38" s="12"/>
      <c r="M38" s="12"/>
      <c r="P38" s="12">
        <v>16000</v>
      </c>
      <c r="Q38" s="340"/>
      <c r="R38" s="182"/>
      <c r="S38" s="12"/>
      <c r="T38" s="339">
        <v>99999</v>
      </c>
      <c r="V38" s="12"/>
      <c r="W38" s="12"/>
      <c r="AD38" s="12">
        <v>12000</v>
      </c>
      <c r="AE38" s="340"/>
      <c r="AF38" s="82"/>
      <c r="AG38" s="82"/>
      <c r="AH38" s="82"/>
      <c r="AI38" s="182"/>
      <c r="AJ38" s="12"/>
      <c r="AK38" s="339">
        <v>99999</v>
      </c>
      <c r="AL38" s="12"/>
    </row>
    <row r="39" spans="1:38" ht="15" customHeight="1">
      <c r="A39" s="12">
        <v>12500</v>
      </c>
      <c r="B39" s="196">
        <v>2000</v>
      </c>
      <c r="C39" s="202">
        <v>3000</v>
      </c>
      <c r="D39" s="202">
        <v>4000</v>
      </c>
      <c r="E39" s="202">
        <v>5000</v>
      </c>
      <c r="F39" s="197">
        <v>6000</v>
      </c>
      <c r="G39" s="162">
        <v>7000</v>
      </c>
      <c r="H39" s="339">
        <v>99999</v>
      </c>
      <c r="I39" s="12"/>
      <c r="J39" s="12"/>
      <c r="K39" s="12"/>
      <c r="L39" s="12"/>
      <c r="M39" s="12"/>
      <c r="P39" s="12">
        <v>16600</v>
      </c>
      <c r="Q39" s="196"/>
      <c r="R39" s="197"/>
      <c r="S39" s="162"/>
      <c r="T39" s="339">
        <v>99999</v>
      </c>
      <c r="V39" s="12"/>
      <c r="W39" s="12"/>
      <c r="AD39" s="12">
        <v>12500</v>
      </c>
      <c r="AE39" s="196"/>
      <c r="AF39" s="202"/>
      <c r="AG39" s="202"/>
      <c r="AH39" s="202"/>
      <c r="AI39" s="197"/>
      <c r="AJ39" s="162"/>
      <c r="AK39" s="339">
        <v>99999</v>
      </c>
      <c r="AL39" s="12"/>
    </row>
    <row r="40" spans="1:38" ht="15" customHeight="1">
      <c r="A40" s="12">
        <v>12600</v>
      </c>
      <c r="B40" s="196">
        <v>99999</v>
      </c>
      <c r="C40" s="202">
        <v>99999</v>
      </c>
      <c r="D40" s="202">
        <v>99999</v>
      </c>
      <c r="E40" s="202">
        <v>99999</v>
      </c>
      <c r="F40" s="197">
        <v>99999</v>
      </c>
      <c r="G40" s="197">
        <v>99999</v>
      </c>
      <c r="H40" s="211">
        <v>99999</v>
      </c>
      <c r="I40" s="182"/>
      <c r="J40" s="182"/>
      <c r="K40" s="182"/>
      <c r="L40" s="182"/>
      <c r="M40" s="83"/>
      <c r="P40" s="12">
        <v>16700</v>
      </c>
      <c r="Q40" s="196">
        <v>99999</v>
      </c>
      <c r="R40" s="197">
        <v>99999</v>
      </c>
      <c r="S40" s="197">
        <v>99999</v>
      </c>
      <c r="T40" s="211">
        <v>99999</v>
      </c>
      <c r="V40" s="182"/>
      <c r="W40" s="182"/>
      <c r="AD40" s="12">
        <v>12600</v>
      </c>
      <c r="AE40" s="196">
        <v>99999</v>
      </c>
      <c r="AF40" s="202">
        <v>99999</v>
      </c>
      <c r="AG40" s="202">
        <v>99999</v>
      </c>
      <c r="AH40" s="202">
        <v>99999</v>
      </c>
      <c r="AI40" s="197">
        <v>99999</v>
      </c>
      <c r="AJ40" s="197">
        <v>99999</v>
      </c>
      <c r="AK40" s="211">
        <v>99999</v>
      </c>
      <c r="AL40" s="182"/>
    </row>
    <row r="41" spans="1:38" ht="15" customHeight="1">
      <c r="B41" s="98"/>
      <c r="C41" s="97"/>
      <c r="D41" s="12"/>
      <c r="E41" s="12"/>
      <c r="F41" s="12"/>
      <c r="G41" s="2"/>
      <c r="H41" s="2"/>
      <c r="I41" s="2"/>
      <c r="J41" s="98"/>
      <c r="K41" s="97"/>
      <c r="L41" s="12"/>
      <c r="M41" s="12"/>
      <c r="O41" s="98"/>
      <c r="P41" s="97"/>
      <c r="Q41" s="12"/>
      <c r="R41" s="12"/>
      <c r="S41" s="12"/>
      <c r="T41" s="2"/>
      <c r="U41" s="2"/>
      <c r="V41" s="2"/>
      <c r="W41" s="98"/>
      <c r="X41" s="97"/>
      <c r="Y41" s="12"/>
      <c r="AB41" s="98"/>
      <c r="AC41" s="97"/>
      <c r="AD41" s="12"/>
      <c r="AE41" s="12"/>
      <c r="AF41" s="12"/>
      <c r="AG41" s="2"/>
      <c r="AH41" s="2"/>
      <c r="AI41" s="2"/>
      <c r="AJ41" s="98"/>
      <c r="AK41" s="97"/>
      <c r="AL41" s="12"/>
    </row>
    <row r="42" spans="1:38" ht="15" customHeight="1">
      <c r="B42" s="98" t="s">
        <v>183</v>
      </c>
      <c r="C42" s="97">
        <f>C28</f>
        <v>3160</v>
      </c>
      <c r="D42" s="251" t="s">
        <v>237</v>
      </c>
      <c r="E42" s="262"/>
      <c r="G42" s="2"/>
      <c r="H42" s="2"/>
      <c r="I42" s="2"/>
      <c r="J42" s="98"/>
      <c r="K42" s="97"/>
      <c r="L42" s="82"/>
      <c r="O42" s="98" t="s">
        <v>183</v>
      </c>
      <c r="P42" s="97">
        <f>P28</f>
        <v>0</v>
      </c>
      <c r="Q42" s="251" t="s">
        <v>237</v>
      </c>
      <c r="R42" s="262"/>
      <c r="T42" s="2"/>
      <c r="U42" s="2"/>
      <c r="V42" s="2"/>
      <c r="W42" s="98"/>
      <c r="X42" s="97"/>
      <c r="Y42" s="82"/>
      <c r="AB42" s="98" t="s">
        <v>183</v>
      </c>
      <c r="AC42" s="97">
        <f>AC28</f>
        <v>0</v>
      </c>
      <c r="AD42" s="251" t="s">
        <v>237</v>
      </c>
      <c r="AE42" s="262"/>
      <c r="AG42" s="2"/>
      <c r="AH42" s="2"/>
      <c r="AI42" s="2"/>
      <c r="AJ42" s="98"/>
      <c r="AK42" s="97"/>
      <c r="AL42" s="82"/>
    </row>
    <row r="43" spans="1:38" ht="15" customHeight="1">
      <c r="B43" s="73" t="s">
        <v>238</v>
      </c>
      <c r="C43" s="100">
        <f t="array" ref="C43">INDEX(B31:H31,MATCH(C42,B31:H31,1))</f>
        <v>3000</v>
      </c>
      <c r="D43" s="73" t="s">
        <v>181</v>
      </c>
      <c r="E43" s="88">
        <f>MATCH(MAX(A32:A40),A32:A40,1)</f>
        <v>9</v>
      </c>
      <c r="G43" s="2"/>
      <c r="H43" s="2"/>
      <c r="I43" s="2"/>
      <c r="J43" s="73"/>
      <c r="K43" s="100"/>
      <c r="L43" s="73"/>
      <c r="M43" s="88"/>
      <c r="O43" s="73" t="s">
        <v>238</v>
      </c>
      <c r="P43" s="100" t="e">
        <f t="array" ref="P43">INDEX(Q31:T31,MATCH(P42,Q31:T31,1))</f>
        <v>#N/A</v>
      </c>
      <c r="Q43" s="73" t="s">
        <v>181</v>
      </c>
      <c r="R43" s="88">
        <f>MATCH(MAX(P32:P40),P32:P40,1)</f>
        <v>9</v>
      </c>
      <c r="T43" s="2"/>
      <c r="U43" s="2"/>
      <c r="V43" s="2"/>
      <c r="W43" s="73"/>
      <c r="X43" s="100"/>
      <c r="Y43" s="73"/>
      <c r="AB43" s="73" t="s">
        <v>238</v>
      </c>
      <c r="AC43" s="100" t="e">
        <f t="array" ref="AC43">INDEX(AE31:AK31,MATCH(AC42,AE31:AK31,1))</f>
        <v>#N/A</v>
      </c>
      <c r="AD43" s="73" t="s">
        <v>181</v>
      </c>
      <c r="AE43" s="88">
        <f>MATCH(MAX(AD32:AD40),AD32:AD40,1)</f>
        <v>9</v>
      </c>
      <c r="AG43" s="2"/>
      <c r="AH43" s="2"/>
      <c r="AI43" s="2"/>
      <c r="AJ43" s="73"/>
      <c r="AK43" s="100"/>
      <c r="AL43" s="73"/>
    </row>
    <row r="44" spans="1:38" ht="15" customHeight="1">
      <c r="B44" s="73" t="s">
        <v>239</v>
      </c>
      <c r="C44" s="100">
        <f t="array" ref="C44">INDEX(B31:H31,IF(MATCH(C42,B31:H31,1)&lt;E44,MATCH(C42,B31:H31,1)+1,MATCH(C42,B31:H31,1)))</f>
        <v>4000</v>
      </c>
      <c r="D44" s="73" t="s">
        <v>182</v>
      </c>
      <c r="E44" s="88">
        <f>MATCH(MAX(B31:H31),B31:H31,0)</f>
        <v>7</v>
      </c>
      <c r="G44" s="2"/>
      <c r="H44" s="2"/>
      <c r="I44" s="2"/>
      <c r="J44" s="73"/>
      <c r="K44" s="100"/>
      <c r="L44" s="73"/>
      <c r="M44" s="88"/>
      <c r="O44" s="73" t="s">
        <v>239</v>
      </c>
      <c r="P44" s="100" t="e">
        <f t="array" ref="P44">INDEX(Q31:T31,IF(MATCH(P42,Q31:T31,1)&lt;R44,MATCH(P42,Q31:T31,1)+1,MATCH(P42,Q31:T31,1)))</f>
        <v>#N/A</v>
      </c>
      <c r="Q44" s="73" t="s">
        <v>182</v>
      </c>
      <c r="R44" s="88">
        <f>MATCH(MAX(Q31:T31),Q31:T31,0)</f>
        <v>4</v>
      </c>
      <c r="T44" s="2"/>
      <c r="U44" s="2"/>
      <c r="V44" s="2"/>
      <c r="W44" s="73"/>
      <c r="X44" s="100"/>
      <c r="Y44" s="73"/>
      <c r="AB44" s="73" t="s">
        <v>239</v>
      </c>
      <c r="AC44" s="100" t="e">
        <f t="array" ref="AC44">INDEX(AE31:AK31,IF(MATCH(AC42,AE31:AK31,1)&lt;AE44,MATCH(AC42,AE31:AK31,1)+1,MATCH(AC42,AE31:AK31,1)))</f>
        <v>#N/A</v>
      </c>
      <c r="AD44" s="73" t="s">
        <v>182</v>
      </c>
      <c r="AE44" s="88">
        <f>MATCH(MAX(AE31:AK31),AE31:AK31,0)</f>
        <v>7</v>
      </c>
      <c r="AG44" s="2"/>
      <c r="AH44" s="2"/>
      <c r="AI44" s="2"/>
      <c r="AJ44" s="73"/>
      <c r="AK44" s="100"/>
      <c r="AL44" s="73"/>
    </row>
    <row r="45" spans="1:38" ht="15" customHeight="1">
      <c r="B45" s="96" t="s">
        <v>184</v>
      </c>
      <c r="C45" s="155">
        <f>'Take-off'!$C$14</f>
        <v>12500</v>
      </c>
      <c r="D45" s="2"/>
      <c r="E45" s="2"/>
      <c r="G45" s="2"/>
      <c r="H45" s="2"/>
      <c r="I45" s="2"/>
      <c r="J45" s="98"/>
      <c r="K45" s="155"/>
      <c r="L45" s="2"/>
      <c r="M45" s="2"/>
      <c r="O45" s="96" t="s">
        <v>184</v>
      </c>
      <c r="P45" s="155">
        <f>'Take-off'!$C$14</f>
        <v>12500</v>
      </c>
      <c r="Q45" s="2"/>
      <c r="R45" s="2"/>
      <c r="T45" s="2"/>
      <c r="U45" s="2"/>
      <c r="V45" s="2"/>
      <c r="W45" s="98"/>
      <c r="X45" s="155"/>
      <c r="Y45" s="2"/>
      <c r="AB45" s="96" t="s">
        <v>184</v>
      </c>
      <c r="AC45" s="155">
        <f>'Take-off'!$C$14</f>
        <v>12500</v>
      </c>
      <c r="AD45" s="2"/>
      <c r="AE45" s="2"/>
      <c r="AG45" s="2"/>
      <c r="AH45" s="2"/>
      <c r="AI45" s="2"/>
      <c r="AJ45" s="98"/>
      <c r="AK45" s="155"/>
      <c r="AL45" s="2"/>
    </row>
    <row r="46" spans="1:38" ht="15" customHeight="1">
      <c r="B46" s="73" t="s">
        <v>185</v>
      </c>
      <c r="C46" s="100">
        <f t="array" ref="C46">INDEX(A32:A40,MATCH(C45,A32:A40,1))</f>
        <v>12500</v>
      </c>
      <c r="D46" s="2"/>
      <c r="E46" s="92"/>
      <c r="G46" s="2"/>
      <c r="H46" s="2"/>
      <c r="I46" s="2"/>
      <c r="J46" s="73"/>
      <c r="K46" s="100"/>
      <c r="L46" s="2"/>
      <c r="M46" s="92"/>
      <c r="O46" s="73" t="s">
        <v>185</v>
      </c>
      <c r="P46" s="100">
        <f t="array" ref="P46">INDEX(P32:P40,MATCH(P45,P32:P40,1))</f>
        <v>12000</v>
      </c>
      <c r="Q46" s="2"/>
      <c r="R46" s="92"/>
      <c r="T46" s="2"/>
      <c r="U46" s="2"/>
      <c r="V46" s="2"/>
      <c r="W46" s="73"/>
      <c r="X46" s="100"/>
      <c r="Y46" s="2"/>
      <c r="AB46" s="73" t="s">
        <v>185</v>
      </c>
      <c r="AC46" s="100">
        <f t="array" ref="AC46">INDEX(AD32:AD40,MATCH(AC45,AD32:AD40,1))</f>
        <v>12500</v>
      </c>
      <c r="AD46" s="2"/>
      <c r="AE46" s="92"/>
      <c r="AG46" s="2"/>
      <c r="AH46" s="2"/>
      <c r="AI46" s="2"/>
      <c r="AJ46" s="73"/>
      <c r="AK46" s="100"/>
      <c r="AL46" s="2"/>
    </row>
    <row r="47" spans="1:38" ht="15" customHeight="1">
      <c r="B47" s="73" t="s">
        <v>186</v>
      </c>
      <c r="C47" s="100">
        <f t="array" ref="C47">INDEX(A32:A40,IF(MATCH(C45,A32:A40,1)&lt;E43,MATCH(C45,A32:A40,1)+1,MATCH(C45,A32:A40,1)))</f>
        <v>12600</v>
      </c>
      <c r="D47" s="2"/>
      <c r="E47" s="92"/>
      <c r="G47" s="2"/>
      <c r="H47" s="2"/>
      <c r="I47" s="2"/>
      <c r="J47" s="73"/>
      <c r="K47" s="100"/>
      <c r="L47" s="2"/>
      <c r="M47" s="92"/>
      <c r="O47" s="73" t="s">
        <v>186</v>
      </c>
      <c r="P47" s="100">
        <f t="array" ref="P47">INDEX(P32:P40,IF(MATCH(P45,P32:P40,1)&lt;R43,MATCH(P45,P32:P40,1)+1,MATCH(P45,P32:P40,1)))</f>
        <v>13000</v>
      </c>
      <c r="Q47" s="2"/>
      <c r="R47" s="92"/>
      <c r="T47" s="2"/>
      <c r="U47" s="2"/>
      <c r="V47" s="2"/>
      <c r="W47" s="73"/>
      <c r="X47" s="100"/>
      <c r="Y47" s="2"/>
      <c r="AB47" s="73" t="s">
        <v>186</v>
      </c>
      <c r="AC47" s="100">
        <f t="array" ref="AC47">INDEX(AD32:AD40,IF(MATCH(AC45,AD32:AD40,1)&lt;AE43,MATCH(AC45,AD32:AD40,1)+1,MATCH(AC45,AD32:AD40,1)))</f>
        <v>12600</v>
      </c>
      <c r="AD47" s="2"/>
      <c r="AE47" s="92"/>
      <c r="AG47" s="2"/>
      <c r="AH47" s="2"/>
      <c r="AI47" s="2"/>
      <c r="AJ47" s="73"/>
      <c r="AK47" s="100"/>
      <c r="AL47" s="2"/>
    </row>
    <row r="48" spans="1:38" ht="15" customHeight="1">
      <c r="B48" s="98" t="s">
        <v>187</v>
      </c>
      <c r="C48" s="97">
        <f t="array" ref="C48">INDEX(B32:H40,MATCH(C45,A32:A40,1),MATCH(C42,B31:H31,1))</f>
        <v>3000</v>
      </c>
      <c r="D48" s="2"/>
      <c r="E48" s="92"/>
      <c r="G48" s="2"/>
      <c r="H48" s="2"/>
      <c r="I48" s="2"/>
      <c r="J48" s="98"/>
      <c r="K48" s="97"/>
      <c r="L48" s="2"/>
      <c r="M48" s="92"/>
      <c r="O48" s="98" t="s">
        <v>187</v>
      </c>
      <c r="P48" s="97" t="e">
        <f t="array" ref="P48">INDEX(Q32:T40,MATCH(P45,P32:P40,1),MATCH(P42,Q31:T31,1))</f>
        <v>#N/A</v>
      </c>
      <c r="Q48" s="2"/>
      <c r="R48" s="92"/>
      <c r="T48" s="2"/>
      <c r="U48" s="2"/>
      <c r="V48" s="2"/>
      <c r="W48" s="98"/>
      <c r="X48" s="97"/>
      <c r="Y48" s="2"/>
      <c r="AB48" s="98" t="s">
        <v>187</v>
      </c>
      <c r="AC48" s="97" t="e">
        <f t="array" ref="AC48">INDEX(AE32:AK40,MATCH(AC45,AD32:AD40,1),MATCH(AC42,AE31:AK31,1))</f>
        <v>#N/A</v>
      </c>
      <c r="AD48" s="2"/>
      <c r="AE48" s="92"/>
      <c r="AG48" s="2"/>
      <c r="AH48" s="2"/>
      <c r="AI48" s="2"/>
      <c r="AJ48" s="98"/>
      <c r="AK48" s="97"/>
      <c r="AL48" s="2"/>
    </row>
    <row r="49" spans="1:46" ht="15" customHeight="1">
      <c r="B49" s="98" t="s">
        <v>240</v>
      </c>
      <c r="C49" s="97">
        <f t="array" ref="C49">INDEX(B32:H40,MATCH(C45,A32:A40,1),IF(MATCH(C42,B31:H31,1)&lt;E44,MATCH(C42,B31:H31,1)+1,MATCH(C45,A32:A40,1)))</f>
        <v>4000</v>
      </c>
      <c r="E49" s="92"/>
      <c r="G49" s="2"/>
      <c r="H49" s="2"/>
      <c r="I49" s="2"/>
      <c r="J49" s="98"/>
      <c r="K49" s="97"/>
      <c r="M49" s="92"/>
      <c r="O49" s="98" t="s">
        <v>240</v>
      </c>
      <c r="P49" s="97" t="e">
        <f t="array" ref="P49">INDEX(Q32:T40,MATCH(P45,P32:P40,1),IF(MATCH(P42,Q31:T31,1)&lt;R44,MATCH(P42,Q31:T31,1)+1,MATCH(P45,P32:P40,1)))</f>
        <v>#N/A</v>
      </c>
      <c r="R49" s="92"/>
      <c r="T49" s="2"/>
      <c r="U49" s="2"/>
      <c r="V49" s="2"/>
      <c r="W49" s="98"/>
      <c r="X49" s="97"/>
      <c r="AB49" s="98" t="s">
        <v>240</v>
      </c>
      <c r="AC49" s="97" t="e">
        <f t="array" ref="AC49">INDEX(AE32:AK40,MATCH(AC45,AD32:AD40,1),IF(MATCH(AC42,AE31:AK31,1)&lt;AE44,MATCH(AC42,AE31:AK31,1)+1,MATCH(AC45,AD32:AD40,1)))</f>
        <v>#N/A</v>
      </c>
      <c r="AE49" s="92"/>
      <c r="AG49" s="2"/>
      <c r="AH49" s="2"/>
      <c r="AI49" s="2"/>
      <c r="AJ49" s="98"/>
      <c r="AK49" s="97"/>
    </row>
    <row r="50" spans="1:46" ht="15" customHeight="1">
      <c r="B50" s="98" t="s">
        <v>188</v>
      </c>
      <c r="C50" s="97">
        <f t="array" ref="C50">INDEX(B32:H40,IF(MATCH(C45,A32:A40,1)&lt;E43,MATCH(C45,A32:A40,1)+1,MATCH(C45,A32:A40,1)),MATCH(C42,B31:H31,1))</f>
        <v>99999</v>
      </c>
      <c r="E50" s="92"/>
      <c r="G50" s="2"/>
      <c r="H50" s="2"/>
      <c r="I50" s="2"/>
      <c r="J50" s="98"/>
      <c r="K50" s="97"/>
      <c r="M50" s="92"/>
      <c r="O50" s="98" t="s">
        <v>188</v>
      </c>
      <c r="P50" s="97" t="e">
        <f t="array" ref="P50">INDEX(Q32:T40,IF(MATCH(P45,P32:P40,1)&lt;R43,MATCH(P45,P32:P40,1)+1,MATCH(P45,P32:P40,1)),MATCH(P42,Q31:T31,1))</f>
        <v>#N/A</v>
      </c>
      <c r="R50" s="92"/>
      <c r="T50" s="2"/>
      <c r="U50" s="2"/>
      <c r="V50" s="2"/>
      <c r="W50" s="98"/>
      <c r="X50" s="97"/>
      <c r="AB50" s="98" t="s">
        <v>188</v>
      </c>
      <c r="AC50" s="97" t="e">
        <f t="array" ref="AC50">INDEX(AE32:AK40,IF(MATCH(AC45,AD32:AD40,1)&lt;AE43,MATCH(AC45,AD32:AD40,1)+1,MATCH(AC45,AD32:AD40,1)),MATCH(AC42,AE31:AK31,1))</f>
        <v>#N/A</v>
      </c>
      <c r="AE50" s="92"/>
      <c r="AG50" s="2"/>
      <c r="AH50" s="2"/>
      <c r="AI50" s="2"/>
      <c r="AJ50" s="98"/>
      <c r="AK50" s="97"/>
    </row>
    <row r="51" spans="1:46" ht="15" customHeight="1">
      <c r="B51" s="98" t="s">
        <v>241</v>
      </c>
      <c r="C51" s="97">
        <f t="array" ref="C51">INDEX(B32:H40,IF(MATCH(C45,A32:A40,1)&lt;E43,MATCH(C45,A32:A40,1)+1,MATCH(C45,A32:A40,1)),IF(MATCH(C42,B31:H31,1)&lt;E44,MATCH(C42,B31:H31,1)+1,MATCH(C42,B31:H31,1)))</f>
        <v>99999</v>
      </c>
      <c r="G51" s="2"/>
      <c r="H51" s="2"/>
      <c r="I51" s="2"/>
      <c r="J51" s="98"/>
      <c r="K51" s="97"/>
      <c r="O51" s="98" t="s">
        <v>241</v>
      </c>
      <c r="P51" s="97" t="e">
        <f t="array" ref="P51">INDEX(Q32:T40,IF(MATCH(P45,P32:P40,1)&lt;R43,MATCH(P45,P32:P40,1)+1,MATCH(P45,P32:P40,1)),IF(MATCH(P42,Q31:T31,1)&lt;R44,MATCH(P42,Q31:T31,1)+1,MATCH(P42,Q31:T31,1)))</f>
        <v>#N/A</v>
      </c>
      <c r="T51" s="2"/>
      <c r="U51" s="2"/>
      <c r="V51" s="2"/>
      <c r="W51" s="98"/>
      <c r="X51" s="97"/>
      <c r="AB51" s="98" t="s">
        <v>241</v>
      </c>
      <c r="AC51" s="97" t="e">
        <f t="array" ref="AC51">INDEX(AE32:AK40,IF(MATCH(AC45,AD32:AD40,1)&lt;AE43,MATCH(AC45,AD32:AD40,1)+1,MATCH(AC45,AD32:AD40,1)),IF(MATCH(AC42,AE31:AK31,1)&lt;AE44,MATCH(AC42,AE31:AK31,1)+1,MATCH(AC42,AE31:AK31,1)))</f>
        <v>#N/A</v>
      </c>
      <c r="AG51" s="2"/>
      <c r="AH51" s="2"/>
      <c r="AI51" s="2"/>
      <c r="AJ51" s="98"/>
      <c r="AK51" s="97"/>
    </row>
    <row r="52" spans="1:46" ht="15" customHeight="1">
      <c r="B52" s="73" t="s">
        <v>242</v>
      </c>
      <c r="C52" s="100">
        <f>IFERROR(C48+(C42-C43)*(C49-C48)/(C44-C43),C48)</f>
        <v>3160</v>
      </c>
      <c r="G52" s="2"/>
      <c r="H52" s="2"/>
      <c r="I52" s="2"/>
      <c r="J52" s="73"/>
      <c r="K52" s="100"/>
      <c r="O52" s="73" t="s">
        <v>242</v>
      </c>
      <c r="P52" s="100" t="e">
        <f>IFERROR(P48+(P42-P43)*(P49-P48)/(P44-P43),P48)</f>
        <v>#N/A</v>
      </c>
      <c r="T52" s="2"/>
      <c r="U52" s="2"/>
      <c r="V52" s="2"/>
      <c r="W52" s="73"/>
      <c r="X52" s="100"/>
      <c r="AB52" s="73" t="s">
        <v>242</v>
      </c>
      <c r="AC52" s="100" t="e">
        <f>IFERROR(AC48+(AC42-AC43)*(AC49-AC48)/(AC44-AC43),AC48)</f>
        <v>#N/A</v>
      </c>
      <c r="AG52" s="2"/>
      <c r="AH52" s="2"/>
      <c r="AI52" s="2"/>
      <c r="AJ52" s="73"/>
      <c r="AK52" s="100"/>
    </row>
    <row r="53" spans="1:46" ht="15" customHeight="1">
      <c r="B53" s="73" t="s">
        <v>243</v>
      </c>
      <c r="C53" s="100">
        <f>IFERROR(C50+(C42-C43)*(C51-C50)/(C44-C43),C50)</f>
        <v>99999</v>
      </c>
      <c r="G53" s="2"/>
      <c r="H53" s="2"/>
      <c r="I53" s="2"/>
      <c r="J53" s="73"/>
      <c r="K53" s="100"/>
      <c r="O53" s="73" t="s">
        <v>243</v>
      </c>
      <c r="P53" s="100" t="e">
        <f>IFERROR(P50+(P42-P43)*(P51-P50)/(P44-P43),P50)</f>
        <v>#N/A</v>
      </c>
      <c r="T53" s="2"/>
      <c r="U53" s="2"/>
      <c r="V53" s="2"/>
      <c r="W53" s="73"/>
      <c r="X53" s="100"/>
      <c r="AB53" s="73" t="s">
        <v>243</v>
      </c>
      <c r="AC53" s="100" t="e">
        <f>IFERROR(AC50+(AC42-AC43)*(AC51-AC50)/(AC44-AC43),AC50)</f>
        <v>#N/A</v>
      </c>
      <c r="AG53" s="2"/>
      <c r="AH53" s="2"/>
      <c r="AI53" s="2"/>
      <c r="AJ53" s="73"/>
      <c r="AK53" s="100"/>
    </row>
    <row r="54" spans="1:46" ht="15" customHeight="1">
      <c r="B54" s="98" t="s">
        <v>244</v>
      </c>
      <c r="C54" s="97">
        <f>IFERROR(C52+(C45-C46)*(C53-C52)/(C47-C46),C52)</f>
        <v>3160</v>
      </c>
      <c r="G54" s="2"/>
      <c r="H54" s="2"/>
      <c r="I54" s="2"/>
      <c r="J54" s="98"/>
      <c r="K54" s="97"/>
      <c r="O54" s="98" t="s">
        <v>244</v>
      </c>
      <c r="P54" s="97" t="e">
        <f>IFERROR(P52+(P45-P46)*(P53-P52)/(P47-P46),P52)</f>
        <v>#N/A</v>
      </c>
      <c r="T54" s="2"/>
      <c r="U54" s="2"/>
      <c r="V54" s="2"/>
      <c r="W54" s="98"/>
      <c r="X54" s="97"/>
      <c r="AB54" s="98" t="s">
        <v>244</v>
      </c>
      <c r="AC54" s="97" t="e">
        <f>IFERROR(AC52+(AC45-AC46)*(AC53-AC52)/(AC47-AC46),AC52)</f>
        <v>#N/A</v>
      </c>
      <c r="AG54" s="2"/>
      <c r="AH54" s="2"/>
      <c r="AI54" s="2"/>
      <c r="AJ54" s="98"/>
      <c r="AK54" s="97"/>
    </row>
    <row r="55" spans="1:46" ht="15" customHeight="1">
      <c r="J55" s="12"/>
      <c r="K55" s="12"/>
      <c r="L55" s="12"/>
      <c r="M55" s="12"/>
      <c r="W55" s="12"/>
      <c r="X55" s="12"/>
      <c r="Y55" s="12"/>
      <c r="AJ55" s="12"/>
      <c r="AK55" s="12"/>
      <c r="AL55" s="12"/>
    </row>
    <row r="56" spans="1:46" ht="15" customHeight="1">
      <c r="A56" s="12"/>
      <c r="B56" s="251" t="s">
        <v>246</v>
      </c>
      <c r="C56" s="262"/>
      <c r="D56" s="262"/>
      <c r="E56" s="262"/>
      <c r="F56" s="262"/>
      <c r="G56" s="262"/>
      <c r="H56" s="262"/>
      <c r="I56" s="262"/>
      <c r="J56" s="82"/>
      <c r="K56" s="82"/>
      <c r="L56" s="82"/>
      <c r="M56" s="82"/>
      <c r="N56" s="12"/>
      <c r="O56" s="251" t="s">
        <v>246</v>
      </c>
      <c r="P56" s="262"/>
      <c r="Q56" s="262"/>
      <c r="R56" s="262"/>
      <c r="S56" s="262"/>
      <c r="T56" s="262"/>
      <c r="U56" s="262"/>
      <c r="V56" s="262"/>
      <c r="W56" s="82"/>
      <c r="X56" s="82"/>
      <c r="Y56" s="82"/>
      <c r="AA56" s="12"/>
      <c r="AB56" s="251" t="s">
        <v>246</v>
      </c>
      <c r="AC56" s="262"/>
      <c r="AD56" s="262"/>
      <c r="AE56" s="262"/>
      <c r="AF56" s="262"/>
      <c r="AG56" s="262"/>
      <c r="AH56" s="262"/>
      <c r="AI56" s="262"/>
      <c r="AJ56" s="82"/>
      <c r="AK56" s="82"/>
      <c r="AL56" s="82"/>
    </row>
    <row r="57" spans="1:46" ht="15" customHeight="1">
      <c r="A57" s="12" t="s">
        <v>42</v>
      </c>
      <c r="B57" s="199">
        <v>2000</v>
      </c>
      <c r="C57" s="199">
        <v>3000</v>
      </c>
      <c r="D57" s="199">
        <v>4000</v>
      </c>
      <c r="E57" s="199">
        <v>5000</v>
      </c>
      <c r="F57" s="190">
        <v>6000</v>
      </c>
      <c r="G57" s="190">
        <v>7000</v>
      </c>
      <c r="H57" s="190">
        <v>8000</v>
      </c>
      <c r="I57" s="192">
        <v>9000</v>
      </c>
      <c r="J57" s="83"/>
      <c r="K57" s="83"/>
      <c r="L57" s="83"/>
      <c r="M57" s="12"/>
      <c r="N57" s="12" t="s">
        <v>42</v>
      </c>
      <c r="O57" s="189">
        <v>2000</v>
      </c>
      <c r="P57" s="199">
        <v>3000</v>
      </c>
      <c r="Q57" s="199">
        <v>4000</v>
      </c>
      <c r="R57" s="199">
        <v>5000</v>
      </c>
      <c r="S57" s="199">
        <v>6000</v>
      </c>
      <c r="T57" s="199">
        <v>7000</v>
      </c>
      <c r="U57" s="199">
        <v>8000</v>
      </c>
      <c r="V57" s="199">
        <v>9000</v>
      </c>
      <c r="W57" s="192">
        <v>10000</v>
      </c>
      <c r="AA57" s="12"/>
      <c r="AB57" s="12" t="s">
        <v>42</v>
      </c>
      <c r="AC57" s="189">
        <v>2000</v>
      </c>
      <c r="AD57" s="199">
        <v>3200</v>
      </c>
      <c r="AE57" s="199">
        <v>4300</v>
      </c>
      <c r="AF57" s="199">
        <v>5400</v>
      </c>
      <c r="AG57" s="199">
        <v>6400</v>
      </c>
      <c r="AH57" s="199">
        <v>7600</v>
      </c>
      <c r="AI57" s="199">
        <v>8600</v>
      </c>
      <c r="AJ57" s="199">
        <v>9700</v>
      </c>
      <c r="AK57" s="201">
        <v>10000</v>
      </c>
      <c r="AO57" s="83"/>
      <c r="AP57" s="12"/>
      <c r="AR57" s="12"/>
      <c r="AS57" s="12"/>
      <c r="AT57" s="12"/>
    </row>
    <row r="58" spans="1:46" ht="15" customHeight="1">
      <c r="A58" s="12">
        <v>-10</v>
      </c>
      <c r="B58" s="189">
        <v>2200</v>
      </c>
      <c r="C58" s="199">
        <v>3200</v>
      </c>
      <c r="D58" s="199">
        <v>4350</v>
      </c>
      <c r="E58" s="199">
        <v>5400</v>
      </c>
      <c r="F58" s="199">
        <v>6450</v>
      </c>
      <c r="G58" s="199">
        <v>7500</v>
      </c>
      <c r="H58" s="199">
        <v>8500</v>
      </c>
      <c r="I58" s="201">
        <v>99999</v>
      </c>
      <c r="J58" s="82"/>
      <c r="K58" s="82"/>
      <c r="L58" s="82"/>
      <c r="M58" s="12"/>
      <c r="N58" s="12">
        <v>-10</v>
      </c>
      <c r="O58" s="189"/>
      <c r="P58" s="199"/>
      <c r="Q58" s="199"/>
      <c r="R58" s="199"/>
      <c r="S58" s="199"/>
      <c r="T58" s="199"/>
      <c r="U58" s="199"/>
      <c r="V58" s="199"/>
      <c r="W58" s="201">
        <v>99999</v>
      </c>
      <c r="AA58" s="12"/>
      <c r="AB58" s="12">
        <v>-10</v>
      </c>
      <c r="AC58" s="189"/>
      <c r="AD58" s="199"/>
      <c r="AE58" s="199"/>
      <c r="AF58" s="199"/>
      <c r="AG58" s="199"/>
      <c r="AH58" s="199"/>
      <c r="AI58" s="199"/>
      <c r="AJ58" s="199"/>
      <c r="AK58" s="201">
        <v>99999</v>
      </c>
      <c r="AO58" s="82"/>
      <c r="AP58" s="12"/>
      <c r="AR58" s="12"/>
    </row>
    <row r="59" spans="1:46" ht="15" customHeight="1">
      <c r="A59" s="12">
        <v>0</v>
      </c>
      <c r="B59" s="340">
        <v>2000</v>
      </c>
      <c r="C59" s="82">
        <v>3000</v>
      </c>
      <c r="D59" s="82">
        <v>4000</v>
      </c>
      <c r="E59" s="82">
        <v>5000</v>
      </c>
      <c r="F59" s="82">
        <v>6000</v>
      </c>
      <c r="G59" s="82">
        <v>7000</v>
      </c>
      <c r="H59" s="82">
        <v>8000</v>
      </c>
      <c r="I59" s="201">
        <v>99999</v>
      </c>
      <c r="J59" s="82"/>
      <c r="K59" s="82"/>
      <c r="L59" s="82"/>
      <c r="M59" s="12"/>
      <c r="N59" s="12">
        <v>0</v>
      </c>
      <c r="O59" s="340"/>
      <c r="P59" s="82"/>
      <c r="Q59" s="82"/>
      <c r="R59" s="82"/>
      <c r="S59" s="82"/>
      <c r="T59" s="82"/>
      <c r="U59" s="82"/>
      <c r="V59" s="82"/>
      <c r="W59" s="201">
        <v>99999</v>
      </c>
      <c r="AA59" s="12"/>
      <c r="AB59" s="12">
        <v>0</v>
      </c>
      <c r="AC59" s="340"/>
      <c r="AD59" s="82"/>
      <c r="AE59" s="82"/>
      <c r="AF59" s="82"/>
      <c r="AG59" s="82"/>
      <c r="AH59" s="82"/>
      <c r="AI59" s="82"/>
      <c r="AJ59" s="82"/>
      <c r="AK59" s="342">
        <v>99999</v>
      </c>
      <c r="AO59" s="82"/>
      <c r="AP59" s="12"/>
      <c r="AR59" s="12"/>
    </row>
    <row r="60" spans="1:46" ht="15" customHeight="1">
      <c r="A60" s="12">
        <v>30</v>
      </c>
      <c r="B60" s="196">
        <v>1800</v>
      </c>
      <c r="C60" s="202">
        <v>2800</v>
      </c>
      <c r="D60" s="202">
        <v>3700</v>
      </c>
      <c r="E60" s="202">
        <v>4700</v>
      </c>
      <c r="F60" s="202">
        <v>5600</v>
      </c>
      <c r="G60" s="202">
        <v>6600</v>
      </c>
      <c r="H60" s="202">
        <v>7400</v>
      </c>
      <c r="I60" s="218">
        <v>99999</v>
      </c>
      <c r="J60" s="82"/>
      <c r="K60" s="82"/>
      <c r="L60" s="82"/>
      <c r="M60" s="12"/>
      <c r="N60" s="12">
        <v>30</v>
      </c>
      <c r="O60" s="196"/>
      <c r="P60" s="202"/>
      <c r="Q60" s="202"/>
      <c r="R60" s="202"/>
      <c r="S60" s="202"/>
      <c r="T60" s="202"/>
      <c r="U60" s="202"/>
      <c r="V60" s="202"/>
      <c r="W60" s="218">
        <v>99999</v>
      </c>
      <c r="AA60" s="12"/>
      <c r="AB60" s="12">
        <v>30</v>
      </c>
      <c r="AC60" s="196"/>
      <c r="AD60" s="202"/>
      <c r="AE60" s="202"/>
      <c r="AF60" s="202"/>
      <c r="AG60" s="202"/>
      <c r="AH60" s="202"/>
      <c r="AI60" s="202"/>
      <c r="AJ60" s="202"/>
      <c r="AK60" s="215">
        <v>99999</v>
      </c>
      <c r="AO60" s="82"/>
      <c r="AP60" s="12"/>
      <c r="AR60" s="12"/>
    </row>
    <row r="61" spans="1:46" ht="15" customHeight="1">
      <c r="B61" s="98"/>
      <c r="C61" s="97"/>
      <c r="D61" s="12"/>
      <c r="E61" s="12"/>
      <c r="F61" s="12"/>
      <c r="G61" s="2"/>
      <c r="H61" s="2"/>
      <c r="I61" s="2"/>
      <c r="J61" s="2"/>
      <c r="K61" s="2"/>
      <c r="L61" s="98"/>
      <c r="M61" s="97"/>
      <c r="Q61" s="98"/>
      <c r="R61" s="97"/>
      <c r="S61" s="12"/>
      <c r="T61" s="12"/>
      <c r="U61" s="12"/>
      <c r="V61" s="2"/>
      <c r="W61" s="2"/>
      <c r="X61" s="2"/>
      <c r="Y61" s="98"/>
      <c r="Z61" s="97"/>
      <c r="AD61" s="98"/>
      <c r="AE61" s="97"/>
      <c r="AF61" s="12"/>
      <c r="AG61" s="12"/>
      <c r="AH61" s="12"/>
      <c r="AI61" s="2"/>
      <c r="AJ61" s="2"/>
      <c r="AK61" s="2"/>
      <c r="AL61" s="98"/>
      <c r="AM61" s="97"/>
    </row>
    <row r="62" spans="1:46" ht="15" customHeight="1">
      <c r="B62" s="98" t="s">
        <v>183</v>
      </c>
      <c r="C62" s="97">
        <f>C54</f>
        <v>3160</v>
      </c>
      <c r="D62" s="251" t="s">
        <v>237</v>
      </c>
      <c r="E62" s="262"/>
      <c r="G62" s="2"/>
      <c r="H62" s="2"/>
      <c r="I62" s="2"/>
      <c r="J62" s="2"/>
      <c r="K62" s="2"/>
      <c r="L62" s="98"/>
      <c r="M62" s="97"/>
      <c r="N62" s="82"/>
      <c r="O62" s="98" t="s">
        <v>183</v>
      </c>
      <c r="P62" s="97" t="e">
        <f>P54</f>
        <v>#N/A</v>
      </c>
      <c r="Q62" s="251" t="s">
        <v>237</v>
      </c>
      <c r="R62" s="262"/>
      <c r="V62" s="2"/>
      <c r="W62" s="2"/>
      <c r="X62" s="2"/>
      <c r="Y62" s="98"/>
      <c r="Z62" s="97"/>
      <c r="AA62" s="82"/>
      <c r="AC62" s="98" t="s">
        <v>183</v>
      </c>
      <c r="AD62" s="97" t="e">
        <f>AC54</f>
        <v>#N/A</v>
      </c>
      <c r="AE62" s="93" t="s">
        <v>237</v>
      </c>
      <c r="AI62" s="2"/>
      <c r="AJ62" s="2"/>
      <c r="AK62" s="2"/>
      <c r="AL62" s="98"/>
      <c r="AM62" s="97"/>
      <c r="AN62" s="82"/>
    </row>
    <row r="63" spans="1:46" ht="15" customHeight="1">
      <c r="B63" s="73" t="s">
        <v>238</v>
      </c>
      <c r="C63" s="100">
        <f t="array" ref="C63">INDEX(B57:I57,MATCH(C62,B57:I57,1))</f>
        <v>3000</v>
      </c>
      <c r="D63" s="73" t="s">
        <v>181</v>
      </c>
      <c r="E63" s="88">
        <f>MATCH(MAX(A58:A60),A58:A60,1)</f>
        <v>3</v>
      </c>
      <c r="G63" s="2"/>
      <c r="H63" s="2"/>
      <c r="I63" s="2"/>
      <c r="J63" s="2"/>
      <c r="K63" s="2"/>
      <c r="L63" s="73"/>
      <c r="M63" s="100"/>
      <c r="N63" s="73"/>
      <c r="O63" s="73" t="s">
        <v>238</v>
      </c>
      <c r="P63" s="100" t="e">
        <f t="array" ref="P63">INDEX(O57:W57,MATCH(P62,O57:W57,1))</f>
        <v>#N/A</v>
      </c>
      <c r="Q63" s="73" t="s">
        <v>181</v>
      </c>
      <c r="R63" s="88">
        <f>MATCH(MAX(N58:N60),N58:N60,1)</f>
        <v>3</v>
      </c>
      <c r="V63" s="2"/>
      <c r="W63" s="2"/>
      <c r="X63" s="2"/>
      <c r="Y63" s="73"/>
      <c r="Z63" s="100"/>
      <c r="AA63" s="73"/>
      <c r="AC63" s="73" t="s">
        <v>238</v>
      </c>
      <c r="AD63" s="100" t="e">
        <f t="array" ref="AD63">INDEX(AC57:AK57,MATCH(AD62,AC57:AK57,1))</f>
        <v>#N/A</v>
      </c>
      <c r="AE63" s="73" t="s">
        <v>181</v>
      </c>
      <c r="AF63" s="88">
        <f>MATCH(MAX(AB58:AB60),AB58:AB60,1)</f>
        <v>3</v>
      </c>
      <c r="AI63" s="2"/>
      <c r="AJ63" s="2"/>
      <c r="AK63" s="2"/>
      <c r="AL63" s="73"/>
      <c r="AM63" s="100"/>
      <c r="AN63" s="73"/>
    </row>
    <row r="64" spans="1:46" ht="15" customHeight="1">
      <c r="B64" s="73" t="s">
        <v>239</v>
      </c>
      <c r="C64" s="100">
        <f t="array" ref="C64">INDEX(B57:I57,IF(MATCH(C62,B57:I57,1)&lt;E64,MATCH(C62,B57:I57,1)+1,MATCH(C62,B57:I57,1)))</f>
        <v>4000</v>
      </c>
      <c r="D64" s="73" t="s">
        <v>182</v>
      </c>
      <c r="E64" s="88">
        <f>MATCH(MAX(B57:I57),B57:I57,0)</f>
        <v>8</v>
      </c>
      <c r="G64" s="2"/>
      <c r="H64" s="2"/>
      <c r="I64" s="2"/>
      <c r="J64" s="2"/>
      <c r="K64" s="2"/>
      <c r="L64" s="73"/>
      <c r="M64" s="100"/>
      <c r="N64" s="73"/>
      <c r="O64" s="73" t="s">
        <v>239</v>
      </c>
      <c r="P64" s="100" t="e">
        <f t="array" ref="P64">INDEX(O57:W57,IF(MATCH(P62,O57:W57,1)&lt;R64,MATCH(P62,O57:W57,1)+1,MATCH(P62,O57:W57,1)))</f>
        <v>#N/A</v>
      </c>
      <c r="Q64" s="73" t="s">
        <v>182</v>
      </c>
      <c r="R64" s="88">
        <f>MATCH(MAX(O57:W57),O57:W57,0)</f>
        <v>9</v>
      </c>
      <c r="V64" s="2"/>
      <c r="W64" s="2"/>
      <c r="X64" s="2"/>
      <c r="Y64" s="73"/>
      <c r="Z64" s="100"/>
      <c r="AA64" s="73"/>
      <c r="AC64" s="73" t="s">
        <v>239</v>
      </c>
      <c r="AD64" s="100" t="e">
        <f t="array" ref="AD64">INDEX(AC57:AK57,IF(MATCH(AD62,AC57:AK57,1)&lt;AF64,MATCH(AD62,AC57:AK57,1)+1,MATCH(AD62,AC57:AK57,1)))</f>
        <v>#N/A</v>
      </c>
      <c r="AE64" s="73" t="s">
        <v>182</v>
      </c>
      <c r="AF64" s="88">
        <f>MATCH(MAX(AC57:AK57),AC57:AK57,0)</f>
        <v>9</v>
      </c>
      <c r="AI64" s="2"/>
      <c r="AJ64" s="2"/>
      <c r="AK64" s="2"/>
      <c r="AL64" s="73"/>
      <c r="AM64" s="100"/>
      <c r="AN64" s="73"/>
    </row>
    <row r="65" spans="2:40" ht="15" customHeight="1">
      <c r="B65" s="96" t="s">
        <v>184</v>
      </c>
      <c r="C65" s="155">
        <f>'Take-off'!$C$24</f>
        <v>0</v>
      </c>
      <c r="D65" s="2"/>
      <c r="E65" s="2"/>
      <c r="G65" s="2"/>
      <c r="H65" s="2"/>
      <c r="I65" s="2"/>
      <c r="J65" s="2"/>
      <c r="K65" s="2"/>
      <c r="L65" s="98"/>
      <c r="M65" s="155"/>
      <c r="N65" s="2"/>
      <c r="O65" s="96" t="s">
        <v>184</v>
      </c>
      <c r="P65" s="155">
        <f>'Take-off'!$C$24</f>
        <v>0</v>
      </c>
      <c r="Q65" s="2"/>
      <c r="R65" s="2"/>
      <c r="V65" s="2"/>
      <c r="W65" s="2"/>
      <c r="X65" s="2"/>
      <c r="Y65" s="98"/>
      <c r="Z65" s="155"/>
      <c r="AA65" s="2"/>
      <c r="AC65" s="96" t="s">
        <v>184</v>
      </c>
      <c r="AD65" s="155">
        <f>'Take-off'!$C$24</f>
        <v>0</v>
      </c>
      <c r="AE65" s="2"/>
      <c r="AF65" s="2"/>
      <c r="AI65" s="2"/>
      <c r="AJ65" s="2"/>
      <c r="AK65" s="2"/>
      <c r="AL65" s="98"/>
      <c r="AM65" s="155"/>
      <c r="AN65" s="2"/>
    </row>
    <row r="66" spans="2:40" ht="15" customHeight="1">
      <c r="B66" s="73" t="s">
        <v>185</v>
      </c>
      <c r="C66" s="100">
        <f t="array" ref="C66">INDEX(A58:A60,MATCH(C65,A58:A60,1))</f>
        <v>0</v>
      </c>
      <c r="D66" s="2"/>
      <c r="E66" s="92"/>
      <c r="G66" s="2"/>
      <c r="H66" s="2"/>
      <c r="I66" s="2"/>
      <c r="J66" s="2"/>
      <c r="K66" s="2"/>
      <c r="L66" s="73"/>
      <c r="M66" s="100"/>
      <c r="N66" s="2"/>
      <c r="O66" s="73" t="s">
        <v>185</v>
      </c>
      <c r="P66" s="100">
        <f t="array" ref="P66">INDEX(N58:N60,MATCH(P65,N58:N60,1))</f>
        <v>0</v>
      </c>
      <c r="Q66" s="2"/>
      <c r="R66" s="92"/>
      <c r="V66" s="2"/>
      <c r="W66" s="2"/>
      <c r="X66" s="2"/>
      <c r="Y66" s="73"/>
      <c r="Z66" s="100"/>
      <c r="AA66" s="2"/>
      <c r="AC66" s="73" t="s">
        <v>185</v>
      </c>
      <c r="AD66" s="100">
        <f t="array" ref="AD66">INDEX(AB58:AB60,MATCH(AD65,AB58:AB60,1))</f>
        <v>0</v>
      </c>
      <c r="AE66" s="2"/>
      <c r="AF66" s="92"/>
      <c r="AI66" s="2"/>
      <c r="AJ66" s="2"/>
      <c r="AK66" s="2"/>
      <c r="AL66" s="73"/>
      <c r="AM66" s="100"/>
      <c r="AN66" s="2"/>
    </row>
    <row r="67" spans="2:40" ht="15" customHeight="1">
      <c r="B67" s="73" t="s">
        <v>186</v>
      </c>
      <c r="C67" s="100">
        <f t="array" ref="C67">INDEX(A58:A60,IF(MATCH(C65,A58:A60,1)&lt;E63,MATCH(C65,A58:A60,1)+1,MATCH(C65,A58:A60,1)))</f>
        <v>30</v>
      </c>
      <c r="D67" s="2"/>
      <c r="E67" s="92"/>
      <c r="G67" s="2"/>
      <c r="H67" s="2"/>
      <c r="I67" s="2"/>
      <c r="J67" s="2"/>
      <c r="K67" s="2"/>
      <c r="L67" s="73"/>
      <c r="M67" s="100"/>
      <c r="N67" s="2"/>
      <c r="O67" s="73" t="s">
        <v>186</v>
      </c>
      <c r="P67" s="100">
        <f t="array" ref="P67">INDEX(N58:N60,IF(MATCH(P65,N58:N60,1)&lt;R63,MATCH(P65,N58:N60,1)+1,MATCH(P65,N58:N60,1)))</f>
        <v>30</v>
      </c>
      <c r="Q67" s="2"/>
      <c r="R67" s="92"/>
      <c r="V67" s="2"/>
      <c r="W67" s="2"/>
      <c r="X67" s="2"/>
      <c r="Y67" s="73"/>
      <c r="Z67" s="100"/>
      <c r="AA67" s="2"/>
      <c r="AC67" s="73" t="s">
        <v>186</v>
      </c>
      <c r="AD67" s="100">
        <f t="array" ref="AD67">INDEX(AB58:AB60,IF(MATCH(AD65,AB58:AB60,1)&lt;AF63,MATCH(AD65,AB58:AB60,1)+1,MATCH(AD65,AB58:AB60,1)))</f>
        <v>30</v>
      </c>
      <c r="AE67" s="2"/>
      <c r="AF67" s="92"/>
      <c r="AI67" s="2"/>
      <c r="AJ67" s="2"/>
      <c r="AK67" s="2"/>
      <c r="AL67" s="73"/>
      <c r="AM67" s="100"/>
      <c r="AN67" s="2"/>
    </row>
    <row r="68" spans="2:40" ht="15" customHeight="1">
      <c r="B68" s="98" t="s">
        <v>187</v>
      </c>
      <c r="C68" s="97">
        <f t="array" ref="C68">INDEX(B58:I60,MATCH(C65,A58:A60,1),MATCH(C62,B57:I57,1))</f>
        <v>3000</v>
      </c>
      <c r="D68" s="2"/>
      <c r="E68" s="92"/>
      <c r="G68" s="2"/>
      <c r="H68" s="2"/>
      <c r="I68" s="2"/>
      <c r="J68" s="2"/>
      <c r="K68" s="2"/>
      <c r="L68" s="98"/>
      <c r="M68" s="97"/>
      <c r="N68" s="2"/>
      <c r="O68" s="98" t="s">
        <v>187</v>
      </c>
      <c r="P68" s="97" t="e">
        <f t="array" ref="P68">INDEX(O58:W60,MATCH(P65,N58:N60,1),MATCH(P62,O57:W57,1))</f>
        <v>#N/A</v>
      </c>
      <c r="Q68" s="2"/>
      <c r="R68" s="92"/>
      <c r="V68" s="2"/>
      <c r="W68" s="2"/>
      <c r="X68" s="2"/>
      <c r="Y68" s="98"/>
      <c r="Z68" s="97"/>
      <c r="AA68" s="2"/>
      <c r="AC68" s="98" t="s">
        <v>187</v>
      </c>
      <c r="AD68" s="97" t="e">
        <f t="array" ref="AD68">INDEX(AC58:AK60,MATCH(AD65,AB58:AB60,1),MATCH(AD62,AC57:AK57,1))</f>
        <v>#N/A</v>
      </c>
      <c r="AE68" s="2"/>
      <c r="AF68" s="92"/>
      <c r="AI68" s="2"/>
      <c r="AJ68" s="2"/>
      <c r="AK68" s="2"/>
      <c r="AL68" s="98"/>
      <c r="AM68" s="97"/>
      <c r="AN68" s="2"/>
    </row>
    <row r="69" spans="2:40" ht="15" customHeight="1">
      <c r="B69" s="98" t="s">
        <v>240</v>
      </c>
      <c r="C69" s="97">
        <f t="array" ref="C69">INDEX(B58:I60,MATCH(C65,A58:A60,1),IF(MATCH(C62,B57:I57,1)&lt;E64,MATCH(C62,B57:I57,1)+1,MATCH(C65,A58:A60,1)))</f>
        <v>4000</v>
      </c>
      <c r="E69" s="92"/>
      <c r="G69" s="2"/>
      <c r="H69" s="2"/>
      <c r="I69" s="2"/>
      <c r="J69" s="2"/>
      <c r="K69" s="2"/>
      <c r="L69" s="98"/>
      <c r="M69" s="97"/>
      <c r="O69" s="98" t="s">
        <v>240</v>
      </c>
      <c r="P69" s="97" t="e">
        <f t="array" ref="P69">INDEX(O58:W60,MATCH(P65,N58:N60,1),IF(MATCH(P62,O57:W57,1)&lt;R64,MATCH(P62,O57:W57,1)+1,MATCH(P65,N58:N60,1)))</f>
        <v>#N/A</v>
      </c>
      <c r="R69" s="92"/>
      <c r="V69" s="2"/>
      <c r="W69" s="2"/>
      <c r="X69" s="2"/>
      <c r="Y69" s="98"/>
      <c r="Z69" s="97"/>
      <c r="AC69" s="98" t="s">
        <v>240</v>
      </c>
      <c r="AD69" s="97" t="e">
        <f t="array" ref="AD69">INDEX(AC58:AK60,MATCH(AD65,AB58:AB60,1),IF(MATCH(AD62,AC57:AK57,1)&lt;AF64,MATCH(AD62,AC57:AK57,1)+1,MATCH(AD65,AB58:AB60,1)))</f>
        <v>#N/A</v>
      </c>
      <c r="AF69" s="92"/>
      <c r="AI69" s="2"/>
      <c r="AJ69" s="2"/>
      <c r="AK69" s="2"/>
      <c r="AL69" s="98"/>
      <c r="AM69" s="97"/>
    </row>
    <row r="70" spans="2:40" ht="15" customHeight="1">
      <c r="B70" s="98" t="s">
        <v>188</v>
      </c>
      <c r="C70" s="97">
        <f t="array" ref="C70">INDEX(B58:I60,IF(MATCH(C65,A58:A60,1)&lt;E63,MATCH(C65,A58:A60,1)+1,MATCH(C65,A58:A60,1)),MATCH(C62,B57:I57,1))</f>
        <v>2800</v>
      </c>
      <c r="E70" s="92"/>
      <c r="G70" s="2"/>
      <c r="H70" s="2"/>
      <c r="I70" s="2"/>
      <c r="J70" s="2"/>
      <c r="K70" s="2"/>
      <c r="L70" s="98"/>
      <c r="M70" s="97"/>
      <c r="O70" s="98" t="s">
        <v>188</v>
      </c>
      <c r="P70" s="97" t="e">
        <f t="array" ref="P70">INDEX(O58:W60,IF(MATCH(P65,N58:N60,1)&lt;R63,MATCH(P65,N58:N60,1)+1,MATCH(P65,N58:N60,1)),MATCH(P62,O57:W57,1))</f>
        <v>#N/A</v>
      </c>
      <c r="R70" s="92"/>
      <c r="V70" s="2"/>
      <c r="W70" s="2"/>
      <c r="X70" s="2"/>
      <c r="Y70" s="98"/>
      <c r="Z70" s="97"/>
      <c r="AC70" s="98" t="s">
        <v>188</v>
      </c>
      <c r="AD70" s="97" t="e">
        <f t="array" ref="AD70">INDEX(AC58:AK60,IF(MATCH(AD65,AB58:AB60,1)&lt;AF63,MATCH(AD65,AB58:AB60,1)+1,MATCH(AD65,AB58:AB60,1)),MATCH(AD62,AC57:AK57,1))</f>
        <v>#N/A</v>
      </c>
      <c r="AF70" s="92"/>
      <c r="AI70" s="2"/>
      <c r="AJ70" s="2"/>
      <c r="AK70" s="2"/>
      <c r="AL70" s="98"/>
      <c r="AM70" s="97"/>
    </row>
    <row r="71" spans="2:40" ht="15" customHeight="1">
      <c r="B71" s="98" t="s">
        <v>241</v>
      </c>
      <c r="C71" s="97">
        <f t="array" ref="C71">INDEX(B58:I60,IF(MATCH(C65,A58:A60,1)&lt;E63,MATCH(C65,A58:A60,1)+1,MATCH(C65,A58:A60,1)),IF(MATCH(C62,B57:I57,1)&lt;E64,MATCH(C62,B57:I57,1)+1,MATCH(C62,B57:I57,1)))</f>
        <v>3700</v>
      </c>
      <c r="G71" s="2"/>
      <c r="H71" s="2"/>
      <c r="I71" s="2"/>
      <c r="J71" s="2"/>
      <c r="K71" s="2"/>
      <c r="L71" s="98"/>
      <c r="M71" s="97"/>
      <c r="O71" s="98" t="s">
        <v>241</v>
      </c>
      <c r="P71" s="97" t="e">
        <f t="array" ref="P71">INDEX(O58:W60,IF(MATCH(P65,N58:N60,1)&lt;R63,MATCH(P65,N58:N60,1)+1,MATCH(P65,N58:N60,1)),IF(MATCH(P62,O57:W57,1)&lt;R64,MATCH(P62,O57:W57,1)+1,MATCH(P62,O57:W57,1)))</f>
        <v>#N/A</v>
      </c>
      <c r="V71" s="2"/>
      <c r="W71" s="2"/>
      <c r="X71" s="2"/>
      <c r="Y71" s="98"/>
      <c r="Z71" s="97"/>
      <c r="AC71" s="98" t="s">
        <v>241</v>
      </c>
      <c r="AD71" s="97" t="e">
        <f t="array" ref="AD71">INDEX(AC58:AK60,IF(MATCH(AD65,AB58:AB60,1)&lt;AF63,MATCH(AD65,AB58:AB60,1)+1,MATCH(AD65,AB58:AB60,1)),IF(MATCH(AD62,AC57:AK57,1)&lt;AF64,MATCH(AD62,AC57:AK57,1)+1,MATCH(AD62,AC57:AK57,1)))</f>
        <v>#N/A</v>
      </c>
      <c r="AI71" s="2"/>
      <c r="AJ71" s="2"/>
      <c r="AK71" s="2"/>
      <c r="AL71" s="98"/>
      <c r="AM71" s="97"/>
    </row>
    <row r="72" spans="2:40" ht="15" customHeight="1">
      <c r="B72" s="73" t="s">
        <v>242</v>
      </c>
      <c r="C72" s="100">
        <f>IFERROR(C68+(C62-C63)*(C69-C68)/(C64-C63),C68)</f>
        <v>3160</v>
      </c>
      <c r="G72" s="2"/>
      <c r="H72" s="2"/>
      <c r="I72" s="2"/>
      <c r="J72" s="2"/>
      <c r="K72" s="2"/>
      <c r="L72" s="73"/>
      <c r="M72" s="100"/>
      <c r="O72" s="73" t="s">
        <v>242</v>
      </c>
      <c r="P72" s="100" t="e">
        <f>IFERROR(P68+(P62-P63)*(P69-P68)/(P64-P63),P68)</f>
        <v>#N/A</v>
      </c>
      <c r="V72" s="2"/>
      <c r="W72" s="2"/>
      <c r="X72" s="2"/>
      <c r="Y72" s="73"/>
      <c r="Z72" s="100"/>
      <c r="AC72" s="73" t="s">
        <v>242</v>
      </c>
      <c r="AD72" s="100" t="e">
        <f>IFERROR(AD68+(AD62-AD63)*(AD69-AD68)/(AD64-AD63),AD68)</f>
        <v>#N/A</v>
      </c>
      <c r="AI72" s="2"/>
      <c r="AJ72" s="2"/>
      <c r="AK72" s="2"/>
      <c r="AL72" s="73"/>
      <c r="AM72" s="100"/>
    </row>
    <row r="73" spans="2:40" ht="15" customHeight="1">
      <c r="B73" s="73" t="s">
        <v>243</v>
      </c>
      <c r="C73" s="100">
        <f>IFERROR(C70+(C62-C63)*(C71-C70)/(C64-C63),C70)</f>
        <v>2944</v>
      </c>
      <c r="G73" s="2"/>
      <c r="H73" s="2"/>
      <c r="I73" s="2"/>
      <c r="J73" s="2"/>
      <c r="K73" s="2"/>
      <c r="L73" s="73"/>
      <c r="M73" s="100"/>
      <c r="O73" s="73" t="s">
        <v>243</v>
      </c>
      <c r="P73" s="100" t="e">
        <f>IFERROR(P70+(P62-P63)*(P71-P70)/(P64-P63),P70)</f>
        <v>#N/A</v>
      </c>
      <c r="V73" s="2"/>
      <c r="W73" s="2"/>
      <c r="X73" s="2"/>
      <c r="Y73" s="73"/>
      <c r="Z73" s="100"/>
      <c r="AC73" s="73" t="s">
        <v>243</v>
      </c>
      <c r="AD73" s="100" t="e">
        <f>IFERROR(AD70+(AD62-AD63)*(AD71-AD70)/(AD64-AD63),AD70)</f>
        <v>#N/A</v>
      </c>
      <c r="AI73" s="2"/>
      <c r="AJ73" s="2"/>
      <c r="AK73" s="2"/>
      <c r="AL73" s="73"/>
      <c r="AM73" s="100"/>
    </row>
    <row r="74" spans="2:40" ht="15" customHeight="1">
      <c r="B74" s="98" t="s">
        <v>244</v>
      </c>
      <c r="C74" s="97">
        <f>IFERROR(C72+(C65-C66)*(C73-C72)/(C67-C66),C72)</f>
        <v>3160</v>
      </c>
      <c r="G74" s="2"/>
      <c r="H74" s="2"/>
      <c r="I74" s="2"/>
      <c r="J74" s="2"/>
      <c r="K74" s="2"/>
      <c r="L74" s="98"/>
      <c r="M74" s="97"/>
      <c r="O74" s="98" t="s">
        <v>244</v>
      </c>
      <c r="P74" s="97" t="e">
        <f>IFERROR(P72+(P65-P66)*(P73-P72)/(P67-P66),P72)</f>
        <v>#N/A</v>
      </c>
      <c r="V74" s="2"/>
      <c r="W74" s="2"/>
      <c r="X74" s="2"/>
      <c r="Y74" s="98"/>
      <c r="Z74" s="97"/>
      <c r="AC74" s="98" t="s">
        <v>244</v>
      </c>
      <c r="AD74" s="97" t="e">
        <f>IFERROR(AD72+(AD65-AD66)*(AD73-AD72)/(AD67-AD66),AD72)</f>
        <v>#N/A</v>
      </c>
      <c r="AI74" s="2"/>
      <c r="AJ74" s="2"/>
      <c r="AK74" s="2"/>
      <c r="AL74" s="98"/>
      <c r="AM74" s="97"/>
    </row>
    <row r="75" spans="2:40" ht="15.75" customHeight="1"/>
    <row r="76" spans="2:40" ht="15.75" customHeight="1"/>
    <row r="77" spans="2:40" ht="15.75" customHeight="1"/>
    <row r="78" spans="2:40" ht="15.75" customHeight="1"/>
    <row r="79" spans="2:40" ht="15.75" customHeight="1"/>
    <row r="80" spans="2:4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O56:V56"/>
    <mergeCell ref="AB56:AI56"/>
    <mergeCell ref="D62:E62"/>
    <mergeCell ref="Q62:R62"/>
    <mergeCell ref="B30:G30"/>
    <mergeCell ref="O30:T30"/>
    <mergeCell ref="AB30:AG30"/>
    <mergeCell ref="D42:E42"/>
    <mergeCell ref="Q42:R42"/>
    <mergeCell ref="AD42:AE42"/>
    <mergeCell ref="B56:I56"/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G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H60">
    <cfRule type="colorScale" priority="3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4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5">
      <colorScale>
        <cfvo type="min"/>
        <cfvo type="max"/>
        <color rgb="FFFCFCFF"/>
        <color rgb="FFF8696B"/>
      </colorScale>
    </cfRule>
  </conditionalFormatting>
  <conditionalFormatting sqref="O58:V60">
    <cfRule type="colorScale" priority="6">
      <colorScale>
        <cfvo type="min"/>
        <cfvo type="max"/>
        <color rgb="FFFCFCFF"/>
        <color rgb="FFF8696B"/>
      </colorScale>
    </cfRule>
  </conditionalFormatting>
  <conditionalFormatting sqref="Q32:S39">
    <cfRule type="colorScale" priority="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8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AC58:AJ60">
    <cfRule type="colorScale" priority="10">
      <colorScale>
        <cfvo type="min"/>
        <cfvo type="max"/>
        <color rgb="FFFCFCFF"/>
        <color rgb="FFF8696B"/>
      </colorScale>
    </cfRule>
  </conditionalFormatting>
  <conditionalFormatting sqref="AE32:AJ39">
    <cfRule type="colorScale" priority="1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B1000"/>
  <sheetViews>
    <sheetView workbookViewId="0"/>
  </sheetViews>
  <sheetFormatPr defaultColWidth="14.42578125" defaultRowHeight="15" customHeight="1"/>
  <cols>
    <col min="1" max="12" width="9.140625" customWidth="1"/>
    <col min="13" max="13" width="5" customWidth="1"/>
    <col min="14" max="54" width="9.140625" customWidth="1"/>
  </cols>
  <sheetData>
    <row r="1" spans="1:54" ht="14.25" customHeight="1">
      <c r="A1" s="77"/>
      <c r="B1" s="73" t="s">
        <v>231</v>
      </c>
      <c r="C1" s="98" t="s">
        <v>183</v>
      </c>
      <c r="D1" s="186">
        <f>IF('Take-off'!$C$9="",'Take-off'!$C$16,MAX(0,'Take-off'!$C$16+30*(1013-'Take-off'!$C$9)))</f>
        <v>0</v>
      </c>
      <c r="E1" s="336"/>
      <c r="F1" s="336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341"/>
      <c r="AW1" s="77"/>
      <c r="AX1" s="77"/>
      <c r="AY1" s="77"/>
      <c r="AZ1" s="77"/>
      <c r="BA1" s="77"/>
      <c r="BB1" s="77"/>
    </row>
    <row r="2" spans="1:54" ht="14.25" customHeight="1">
      <c r="A2" s="77"/>
      <c r="B2" s="73" t="s">
        <v>233</v>
      </c>
      <c r="C2" s="96" t="s">
        <v>184</v>
      </c>
      <c r="D2" s="186">
        <f>IF('Take-off'!C13='Dropdown lists'!B30, 'Take-off'!$C$8, 'Take-off'!$C$8)</f>
        <v>-2</v>
      </c>
      <c r="E2" s="18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341"/>
      <c r="AW2" s="77"/>
      <c r="AX2" s="77"/>
      <c r="AY2" s="77"/>
      <c r="AZ2" s="77"/>
      <c r="BA2" s="77"/>
      <c r="BB2" s="77"/>
    </row>
    <row r="3" spans="1:54" ht="14.25" customHeight="1">
      <c r="A3" s="77"/>
      <c r="B3" s="247" t="s">
        <v>175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77"/>
      <c r="N3" s="77"/>
      <c r="O3" s="247" t="s">
        <v>250</v>
      </c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77"/>
      <c r="AA3" s="77"/>
      <c r="AB3" s="247" t="s">
        <v>251</v>
      </c>
      <c r="AC3" s="262"/>
      <c r="AD3" s="262"/>
      <c r="AE3" s="262"/>
      <c r="AF3" s="262"/>
      <c r="AG3" s="262"/>
      <c r="AH3" s="262"/>
      <c r="AI3" s="262"/>
      <c r="AJ3" s="262"/>
      <c r="AK3" s="262"/>
      <c r="AL3" s="262"/>
      <c r="AM3" s="77"/>
      <c r="AN3" s="77"/>
      <c r="AO3" s="77"/>
      <c r="AP3" s="77"/>
      <c r="AQ3" s="77"/>
      <c r="AR3" s="77"/>
      <c r="AS3" s="77"/>
      <c r="AT3" s="77"/>
      <c r="AU3" s="77"/>
      <c r="AV3" s="341"/>
      <c r="AW3" s="77"/>
      <c r="AX3" s="77"/>
      <c r="AY3" s="77"/>
      <c r="AZ3" s="77"/>
      <c r="BA3" s="77"/>
      <c r="BB3" s="77"/>
    </row>
    <row r="4" spans="1:54" ht="15" customHeight="1">
      <c r="A4" s="12"/>
      <c r="B4" s="258" t="s">
        <v>252</v>
      </c>
      <c r="C4" s="260"/>
      <c r="D4" s="260"/>
      <c r="E4" s="260"/>
      <c r="F4" s="260"/>
      <c r="G4" s="82"/>
      <c r="H4" s="82"/>
      <c r="I4" s="82"/>
      <c r="J4" s="82"/>
      <c r="K4" s="82"/>
      <c r="L4" s="82"/>
      <c r="M4" s="82"/>
      <c r="N4" s="12"/>
      <c r="O4" s="258" t="s">
        <v>252</v>
      </c>
      <c r="P4" s="260"/>
      <c r="Q4" s="260"/>
      <c r="R4" s="260"/>
      <c r="S4" s="260"/>
      <c r="T4" s="82"/>
      <c r="U4" s="82"/>
      <c r="V4" s="82"/>
      <c r="W4" s="82"/>
      <c r="X4" s="82"/>
      <c r="Y4" s="82"/>
      <c r="Z4" s="98"/>
      <c r="AA4" s="12"/>
      <c r="AB4" s="258" t="s">
        <v>252</v>
      </c>
      <c r="AC4" s="260"/>
      <c r="AD4" s="260"/>
      <c r="AE4" s="260"/>
      <c r="AF4" s="260"/>
      <c r="AG4" s="82"/>
      <c r="AH4" s="82"/>
      <c r="AI4" s="82"/>
      <c r="AJ4" s="82"/>
      <c r="AK4" s="82"/>
      <c r="AL4" s="82"/>
      <c r="AM4" s="2"/>
      <c r="AN4" s="2"/>
      <c r="AO4" s="2"/>
      <c r="AP4" s="98"/>
      <c r="AQ4" s="97"/>
      <c r="AU4" s="2"/>
      <c r="AV4" s="2"/>
      <c r="AW4" s="2"/>
      <c r="AX4" s="98"/>
      <c r="AY4" s="97"/>
    </row>
    <row r="5" spans="1:54" ht="15" customHeight="1">
      <c r="A5" s="12" t="s">
        <v>253</v>
      </c>
      <c r="B5" s="189">
        <v>0</v>
      </c>
      <c r="C5" s="190">
        <v>1000</v>
      </c>
      <c r="D5" s="191">
        <v>2000</v>
      </c>
      <c r="E5" s="191">
        <v>3000</v>
      </c>
      <c r="F5" s="192">
        <v>4000</v>
      </c>
      <c r="G5" s="98"/>
      <c r="H5" s="97"/>
      <c r="I5" s="12"/>
      <c r="J5" s="98"/>
      <c r="K5" s="97"/>
      <c r="L5" s="12"/>
      <c r="M5" s="12"/>
      <c r="N5" s="12" t="s">
        <v>253</v>
      </c>
      <c r="O5" s="189">
        <v>0</v>
      </c>
      <c r="P5" s="190">
        <v>1000</v>
      </c>
      <c r="Q5" s="191">
        <v>2000</v>
      </c>
      <c r="R5" s="191">
        <v>3000</v>
      </c>
      <c r="S5" s="192">
        <v>4000</v>
      </c>
      <c r="T5" s="98"/>
      <c r="U5" s="97"/>
      <c r="V5" s="12"/>
      <c r="W5" s="98"/>
      <c r="X5" s="97"/>
      <c r="Y5" s="12"/>
      <c r="AA5" s="12" t="s">
        <v>253</v>
      </c>
      <c r="AB5" s="189">
        <v>0</v>
      </c>
      <c r="AC5" s="190">
        <v>1000</v>
      </c>
      <c r="AD5" s="191">
        <v>2000</v>
      </c>
      <c r="AE5" s="191">
        <v>3000</v>
      </c>
      <c r="AF5" s="192">
        <v>4000</v>
      </c>
      <c r="AG5" s="98"/>
      <c r="AH5" s="97"/>
      <c r="AI5" s="12"/>
      <c r="AJ5" s="98"/>
      <c r="AK5" s="97"/>
      <c r="AL5" s="12"/>
      <c r="AM5" s="98"/>
      <c r="AN5" s="97"/>
      <c r="AR5" s="2"/>
      <c r="AS5" s="2"/>
      <c r="AT5" s="2"/>
      <c r="AU5" s="98"/>
      <c r="AV5" s="97"/>
    </row>
    <row r="6" spans="1:54" ht="15" customHeight="1">
      <c r="A6" s="12">
        <v>-30</v>
      </c>
      <c r="B6" s="189">
        <v>2800</v>
      </c>
      <c r="C6" s="190">
        <v>2900</v>
      </c>
      <c r="D6" s="191">
        <v>3000</v>
      </c>
      <c r="E6" s="191">
        <v>3120</v>
      </c>
      <c r="F6" s="192">
        <v>99999</v>
      </c>
      <c r="G6" s="98"/>
      <c r="H6" s="97"/>
      <c r="I6" s="12"/>
      <c r="J6" s="98"/>
      <c r="K6" s="97"/>
      <c r="L6" s="12"/>
      <c r="M6" s="12"/>
      <c r="N6" s="12">
        <v>-30</v>
      </c>
      <c r="O6" s="189"/>
      <c r="P6" s="190"/>
      <c r="Q6" s="191"/>
      <c r="R6" s="191"/>
      <c r="S6" s="192">
        <v>99999</v>
      </c>
      <c r="T6" s="98"/>
      <c r="U6" s="97"/>
      <c r="V6" s="12"/>
      <c r="W6" s="98"/>
      <c r="X6" s="97"/>
      <c r="Y6" s="12"/>
      <c r="AA6" s="12">
        <v>-30</v>
      </c>
      <c r="AB6" s="189"/>
      <c r="AC6" s="190"/>
      <c r="AD6" s="191"/>
      <c r="AE6" s="191"/>
      <c r="AF6" s="192">
        <v>99999</v>
      </c>
      <c r="AG6" s="98"/>
      <c r="AH6" s="97"/>
      <c r="AI6" s="12"/>
      <c r="AJ6" s="98"/>
      <c r="AK6" s="97"/>
      <c r="AL6" s="12"/>
      <c r="AM6" s="98"/>
      <c r="AN6" s="97"/>
      <c r="AR6" s="2"/>
      <c r="AS6" s="2"/>
      <c r="AT6" s="2"/>
      <c r="AU6" s="98"/>
      <c r="AV6" s="97"/>
    </row>
    <row r="7" spans="1:54" ht="15" customHeight="1">
      <c r="A7" s="12">
        <v>-20</v>
      </c>
      <c r="B7" s="340">
        <v>2800</v>
      </c>
      <c r="C7" s="182">
        <v>2900</v>
      </c>
      <c r="D7" s="12">
        <v>3050</v>
      </c>
      <c r="E7" s="12">
        <v>3200</v>
      </c>
      <c r="F7" s="339">
        <v>99999</v>
      </c>
      <c r="G7" s="98"/>
      <c r="H7" s="97"/>
      <c r="J7" s="98"/>
      <c r="K7" s="97"/>
      <c r="N7" s="12">
        <v>-20</v>
      </c>
      <c r="O7" s="340"/>
      <c r="P7" s="182"/>
      <c r="Q7" s="12"/>
      <c r="R7" s="12"/>
      <c r="S7" s="339">
        <v>99999</v>
      </c>
      <c r="T7" s="98"/>
      <c r="U7" s="97"/>
      <c r="W7" s="98"/>
      <c r="X7" s="97"/>
      <c r="AA7" s="12">
        <v>-20</v>
      </c>
      <c r="AB7" s="340"/>
      <c r="AC7" s="182"/>
      <c r="AD7" s="12"/>
      <c r="AE7" s="12"/>
      <c r="AF7" s="339">
        <v>99999</v>
      </c>
      <c r="AG7" s="98"/>
      <c r="AH7" s="97"/>
      <c r="AJ7" s="98"/>
      <c r="AK7" s="97"/>
      <c r="AM7" s="98"/>
      <c r="AN7" s="97"/>
      <c r="AR7" s="2"/>
      <c r="AS7" s="2"/>
      <c r="AT7" s="2"/>
      <c r="AU7" s="98"/>
      <c r="AV7" s="97"/>
    </row>
    <row r="8" spans="1:54" ht="15" customHeight="1">
      <c r="A8" s="12">
        <v>-10</v>
      </c>
      <c r="B8" s="340">
        <v>2900</v>
      </c>
      <c r="C8" s="182">
        <v>3100</v>
      </c>
      <c r="D8" s="12">
        <v>3200</v>
      </c>
      <c r="E8" s="12">
        <v>3310</v>
      </c>
      <c r="F8" s="339">
        <v>99999</v>
      </c>
      <c r="G8" s="98"/>
      <c r="H8" s="97"/>
      <c r="J8" s="98"/>
      <c r="K8" s="97"/>
      <c r="N8" s="12">
        <v>-10</v>
      </c>
      <c r="O8" s="340"/>
      <c r="P8" s="182"/>
      <c r="Q8" s="12"/>
      <c r="R8" s="12"/>
      <c r="S8" s="339">
        <v>99999</v>
      </c>
      <c r="T8" s="98"/>
      <c r="U8" s="97"/>
      <c r="W8" s="98"/>
      <c r="X8" s="97"/>
      <c r="AA8" s="12">
        <v>-10</v>
      </c>
      <c r="AB8" s="340"/>
      <c r="AC8" s="182"/>
      <c r="AD8" s="12"/>
      <c r="AE8" s="12"/>
      <c r="AF8" s="339">
        <v>99999</v>
      </c>
      <c r="AG8" s="98"/>
      <c r="AH8" s="97"/>
      <c r="AJ8" s="98"/>
      <c r="AK8" s="97"/>
      <c r="AM8" s="98"/>
      <c r="AN8" s="97"/>
      <c r="AR8" s="2"/>
      <c r="AS8" s="2"/>
      <c r="AT8" s="2"/>
      <c r="AU8" s="98"/>
      <c r="AV8" s="97"/>
    </row>
    <row r="9" spans="1:54" ht="15" customHeight="1">
      <c r="A9" s="12">
        <v>0</v>
      </c>
      <c r="B9" s="340">
        <v>3075</v>
      </c>
      <c r="C9" s="182">
        <v>3200</v>
      </c>
      <c r="D9" s="12">
        <v>3300</v>
      </c>
      <c r="E9" s="12">
        <v>3490</v>
      </c>
      <c r="F9" s="339">
        <v>99999</v>
      </c>
      <c r="G9" s="98"/>
      <c r="H9" s="97"/>
      <c r="J9" s="98"/>
      <c r="K9" s="97"/>
      <c r="N9" s="12">
        <v>0</v>
      </c>
      <c r="O9" s="340"/>
      <c r="P9" s="182"/>
      <c r="Q9" s="12"/>
      <c r="R9" s="12"/>
      <c r="S9" s="339">
        <v>99999</v>
      </c>
      <c r="T9" s="98"/>
      <c r="U9" s="97"/>
      <c r="W9" s="98"/>
      <c r="X9" s="97"/>
      <c r="AA9" s="12">
        <v>0</v>
      </c>
      <c r="AB9" s="340"/>
      <c r="AC9" s="182"/>
      <c r="AD9" s="12"/>
      <c r="AE9" s="12"/>
      <c r="AF9" s="339">
        <v>99999</v>
      </c>
      <c r="AG9" s="98"/>
      <c r="AH9" s="97"/>
      <c r="AJ9" s="98"/>
      <c r="AK9" s="97"/>
      <c r="AM9" s="98"/>
      <c r="AN9" s="97"/>
      <c r="AR9" s="2"/>
      <c r="AS9" s="2"/>
      <c r="AT9" s="2"/>
      <c r="AU9" s="98"/>
      <c r="AV9" s="97"/>
    </row>
    <row r="10" spans="1:54" ht="15" customHeight="1">
      <c r="A10" s="12">
        <v>10</v>
      </c>
      <c r="B10" s="340">
        <v>3200</v>
      </c>
      <c r="C10" s="182">
        <v>3350</v>
      </c>
      <c r="D10" s="12">
        <v>3450</v>
      </c>
      <c r="E10" s="12">
        <v>3650</v>
      </c>
      <c r="F10" s="339">
        <v>99999</v>
      </c>
      <c r="G10" s="98"/>
      <c r="H10" s="97"/>
      <c r="J10" s="98"/>
      <c r="K10" s="97"/>
      <c r="N10" s="12">
        <v>10</v>
      </c>
      <c r="O10" s="340"/>
      <c r="P10" s="182"/>
      <c r="Q10" s="12"/>
      <c r="R10" s="12"/>
      <c r="S10" s="339">
        <v>99999</v>
      </c>
      <c r="T10" s="98"/>
      <c r="U10" s="97"/>
      <c r="W10" s="98"/>
      <c r="X10" s="97"/>
      <c r="AA10" s="12">
        <v>10</v>
      </c>
      <c r="AB10" s="340"/>
      <c r="AC10" s="182"/>
      <c r="AD10" s="12"/>
      <c r="AE10" s="12"/>
      <c r="AF10" s="339">
        <v>99999</v>
      </c>
      <c r="AG10" s="98"/>
      <c r="AH10" s="97"/>
      <c r="AJ10" s="98"/>
      <c r="AK10" s="97"/>
      <c r="AM10" s="98"/>
      <c r="AN10" s="97"/>
      <c r="AR10" s="2"/>
      <c r="AS10" s="2"/>
      <c r="AT10" s="2"/>
      <c r="AU10" s="98"/>
      <c r="AV10" s="97"/>
    </row>
    <row r="11" spans="1:54" ht="15" customHeight="1">
      <c r="A11" s="12">
        <v>20</v>
      </c>
      <c r="B11" s="340">
        <v>3300</v>
      </c>
      <c r="C11" s="182">
        <v>3480</v>
      </c>
      <c r="D11" s="12">
        <v>3600</v>
      </c>
      <c r="E11" s="12">
        <v>3800</v>
      </c>
      <c r="F11" s="339">
        <v>99999</v>
      </c>
      <c r="G11" s="98"/>
      <c r="H11" s="97"/>
      <c r="J11" s="98"/>
      <c r="K11" s="97"/>
      <c r="N11" s="12">
        <v>20</v>
      </c>
      <c r="O11" s="340"/>
      <c r="P11" s="182"/>
      <c r="Q11" s="12"/>
      <c r="R11" s="12"/>
      <c r="S11" s="339">
        <v>99999</v>
      </c>
      <c r="T11" s="98"/>
      <c r="U11" s="97"/>
      <c r="W11" s="98"/>
      <c r="X11" s="97"/>
      <c r="AA11" s="12">
        <v>20</v>
      </c>
      <c r="AB11" s="340"/>
      <c r="AC11" s="182"/>
      <c r="AD11" s="12"/>
      <c r="AE11" s="12"/>
      <c r="AF11" s="339">
        <v>99999</v>
      </c>
      <c r="AG11" s="98"/>
      <c r="AH11" s="97"/>
      <c r="AJ11" s="98"/>
      <c r="AK11" s="97"/>
      <c r="AM11" s="98"/>
      <c r="AN11" s="97"/>
      <c r="AR11" s="2"/>
      <c r="AS11" s="2"/>
      <c r="AT11" s="2"/>
      <c r="AU11" s="98"/>
      <c r="AV11" s="97"/>
    </row>
    <row r="12" spans="1:54" ht="15" customHeight="1">
      <c r="A12" s="12">
        <v>30</v>
      </c>
      <c r="B12" s="340">
        <v>3450</v>
      </c>
      <c r="C12" s="182">
        <v>3650</v>
      </c>
      <c r="D12" s="12">
        <v>3800</v>
      </c>
      <c r="E12" s="12">
        <v>4050</v>
      </c>
      <c r="F12" s="339">
        <v>99999</v>
      </c>
      <c r="G12" s="98"/>
      <c r="H12" s="97"/>
      <c r="J12" s="98"/>
      <c r="K12" s="97"/>
      <c r="N12" s="12"/>
      <c r="O12" s="340"/>
      <c r="P12" s="182"/>
      <c r="Q12" s="12"/>
      <c r="R12" s="12"/>
      <c r="S12" s="339"/>
      <c r="T12" s="98"/>
      <c r="U12" s="97"/>
      <c r="W12" s="98"/>
      <c r="X12" s="97"/>
      <c r="AA12" s="12">
        <v>30</v>
      </c>
      <c r="AB12" s="340"/>
      <c r="AC12" s="182"/>
      <c r="AD12" s="12"/>
      <c r="AE12" s="12"/>
      <c r="AF12" s="339">
        <v>99999</v>
      </c>
      <c r="AG12" s="98"/>
      <c r="AH12" s="97"/>
      <c r="AJ12" s="98"/>
      <c r="AK12" s="97"/>
      <c r="AM12" s="98"/>
      <c r="AN12" s="97"/>
      <c r="AR12" s="2"/>
      <c r="AS12" s="2"/>
      <c r="AT12" s="2"/>
      <c r="AU12" s="98"/>
      <c r="AV12" s="97"/>
    </row>
    <row r="13" spans="1:54" ht="15" customHeight="1">
      <c r="A13" s="12">
        <v>40</v>
      </c>
      <c r="B13" s="340">
        <v>3650</v>
      </c>
      <c r="C13" s="182">
        <v>3850</v>
      </c>
      <c r="D13" s="12">
        <v>4100</v>
      </c>
      <c r="E13" s="12">
        <v>4350</v>
      </c>
      <c r="F13" s="339">
        <v>99999</v>
      </c>
      <c r="G13" s="98"/>
      <c r="H13" s="97"/>
      <c r="J13" s="98"/>
      <c r="K13" s="97"/>
      <c r="N13" s="12">
        <v>30</v>
      </c>
      <c r="O13" s="340"/>
      <c r="P13" s="182"/>
      <c r="Q13" s="12"/>
      <c r="R13" s="12"/>
      <c r="S13" s="339">
        <v>99999</v>
      </c>
      <c r="T13" s="98"/>
      <c r="U13" s="97"/>
      <c r="W13" s="98"/>
      <c r="X13" s="97"/>
      <c r="AA13" s="12">
        <v>40</v>
      </c>
      <c r="AB13" s="340"/>
      <c r="AC13" s="182"/>
      <c r="AD13" s="12"/>
      <c r="AE13" s="12"/>
      <c r="AF13" s="339">
        <v>99999</v>
      </c>
      <c r="AG13" s="98"/>
      <c r="AH13" s="97"/>
      <c r="AJ13" s="98"/>
      <c r="AK13" s="97"/>
      <c r="AM13" s="98"/>
      <c r="AN13" s="97"/>
      <c r="AR13" s="2"/>
      <c r="AS13" s="2"/>
      <c r="AT13" s="2"/>
      <c r="AU13" s="98"/>
      <c r="AV13" s="97"/>
    </row>
    <row r="14" spans="1:54" ht="15" customHeight="1">
      <c r="A14" s="12">
        <v>45</v>
      </c>
      <c r="B14" s="196">
        <v>99999</v>
      </c>
      <c r="C14" s="197">
        <v>99999</v>
      </c>
      <c r="D14" s="197">
        <v>99999</v>
      </c>
      <c r="E14" s="197">
        <v>99999</v>
      </c>
      <c r="F14" s="198">
        <v>99999</v>
      </c>
      <c r="G14" s="98"/>
      <c r="H14" s="97"/>
      <c r="J14" s="98"/>
      <c r="K14" s="97"/>
      <c r="N14" s="12">
        <v>35</v>
      </c>
      <c r="O14" s="196">
        <v>99999</v>
      </c>
      <c r="P14" s="197">
        <v>99999</v>
      </c>
      <c r="Q14" s="197">
        <v>99999</v>
      </c>
      <c r="R14" s="197">
        <v>99999</v>
      </c>
      <c r="S14" s="198">
        <v>99999</v>
      </c>
      <c r="T14" s="98"/>
      <c r="U14" s="97"/>
      <c r="W14" s="98"/>
      <c r="X14" s="97"/>
      <c r="AA14" s="12">
        <v>45</v>
      </c>
      <c r="AB14" s="196">
        <v>99999</v>
      </c>
      <c r="AC14" s="197">
        <v>99999</v>
      </c>
      <c r="AD14" s="197">
        <v>99999</v>
      </c>
      <c r="AE14" s="197">
        <v>99999</v>
      </c>
      <c r="AF14" s="198">
        <v>99999</v>
      </c>
      <c r="AG14" s="98"/>
      <c r="AH14" s="97"/>
      <c r="AJ14" s="98"/>
      <c r="AK14" s="97"/>
      <c r="AM14" s="98"/>
      <c r="AN14" s="97"/>
      <c r="AR14" s="2"/>
      <c r="AS14" s="2"/>
      <c r="AT14" s="2"/>
      <c r="AU14" s="98"/>
      <c r="AV14" s="97"/>
    </row>
    <row r="15" spans="1:54" ht="15" customHeight="1">
      <c r="B15" s="98"/>
      <c r="C15" s="97"/>
      <c r="D15" s="12"/>
      <c r="E15" s="12"/>
      <c r="F15" s="12"/>
      <c r="G15" s="2"/>
      <c r="H15" s="2"/>
      <c r="I15" s="2"/>
      <c r="J15" s="98"/>
      <c r="K15" s="97"/>
      <c r="O15" s="98"/>
      <c r="P15" s="97"/>
      <c r="Q15" s="12"/>
      <c r="R15" s="12"/>
      <c r="S15" s="12"/>
      <c r="T15" s="2"/>
      <c r="U15" s="2"/>
      <c r="V15" s="2"/>
      <c r="W15" s="98"/>
      <c r="X15" s="97"/>
      <c r="Z15" s="98"/>
      <c r="AB15" s="98"/>
      <c r="AC15" s="97"/>
      <c r="AD15" s="12"/>
      <c r="AE15" s="12"/>
      <c r="AF15" s="12"/>
      <c r="AG15" s="2"/>
      <c r="AH15" s="2"/>
      <c r="AI15" s="2"/>
      <c r="AJ15" s="98"/>
      <c r="AK15" s="97"/>
      <c r="AM15" s="2"/>
      <c r="AN15" s="2"/>
      <c r="AO15" s="2"/>
      <c r="AP15" s="98"/>
      <c r="AQ15" s="97"/>
      <c r="AU15" s="2"/>
      <c r="AV15" s="2"/>
      <c r="AW15" s="2"/>
      <c r="AX15" s="98"/>
      <c r="AY15" s="97"/>
    </row>
    <row r="16" spans="1:54" ht="15" customHeight="1">
      <c r="B16" s="98" t="s">
        <v>183</v>
      </c>
      <c r="C16" s="97">
        <f>D1</f>
        <v>0</v>
      </c>
      <c r="D16" s="251" t="s">
        <v>237</v>
      </c>
      <c r="E16" s="262"/>
      <c r="G16" s="2"/>
      <c r="H16" s="2"/>
      <c r="I16" s="2"/>
      <c r="J16" s="98"/>
      <c r="K16" s="97"/>
      <c r="L16" s="82"/>
      <c r="O16" s="98" t="s">
        <v>183</v>
      </c>
      <c r="P16" s="97">
        <f>D1</f>
        <v>0</v>
      </c>
      <c r="Q16" s="251" t="s">
        <v>237</v>
      </c>
      <c r="R16" s="262"/>
      <c r="T16" s="2"/>
      <c r="U16" s="2"/>
      <c r="V16" s="2"/>
      <c r="W16" s="98"/>
      <c r="X16" s="97"/>
      <c r="Y16" s="82"/>
      <c r="Z16" s="98"/>
      <c r="AB16" s="98" t="s">
        <v>183</v>
      </c>
      <c r="AC16" s="97">
        <f>D1</f>
        <v>0</v>
      </c>
      <c r="AD16" s="251" t="s">
        <v>237</v>
      </c>
      <c r="AE16" s="262"/>
      <c r="AG16" s="2"/>
      <c r="AH16" s="2"/>
      <c r="AI16" s="2"/>
      <c r="AJ16" s="98"/>
      <c r="AK16" s="97"/>
      <c r="AL16" s="82"/>
      <c r="AM16" s="2"/>
      <c r="AN16" s="2"/>
      <c r="AO16" s="2"/>
      <c r="AP16" s="98"/>
      <c r="AQ16" s="97"/>
      <c r="AR16" s="251"/>
      <c r="AS16" s="262"/>
      <c r="AU16" s="2"/>
      <c r="AV16" s="2"/>
      <c r="AW16" s="2"/>
      <c r="AX16" s="98"/>
      <c r="AY16" s="97"/>
      <c r="AZ16" s="251"/>
      <c r="BA16" s="262"/>
    </row>
    <row r="17" spans="1:53" ht="15" customHeight="1">
      <c r="B17" s="73" t="s">
        <v>238</v>
      </c>
      <c r="C17" s="100">
        <f t="array" ref="C17">INDEX(B5:F5,MATCH(C16,B5:F5,1))</f>
        <v>0</v>
      </c>
      <c r="D17" s="73" t="s">
        <v>181</v>
      </c>
      <c r="E17" s="88">
        <f>MATCH(MAX(A6:A14),A6:A14,1)</f>
        <v>9</v>
      </c>
      <c r="G17" s="2"/>
      <c r="H17" s="2"/>
      <c r="I17" s="2"/>
      <c r="J17" s="73"/>
      <c r="K17" s="100"/>
      <c r="L17" s="73"/>
      <c r="M17" s="88"/>
      <c r="O17" s="73" t="s">
        <v>238</v>
      </c>
      <c r="P17" s="100">
        <f t="array" ref="P17">INDEX(O5:S5,MATCH(P16,O5:S5,1))</f>
        <v>0</v>
      </c>
      <c r="Q17" s="73" t="s">
        <v>181</v>
      </c>
      <c r="R17" s="88">
        <f>MATCH(MAX(N6:N14),N6:N14,1)</f>
        <v>9</v>
      </c>
      <c r="T17" s="2"/>
      <c r="U17" s="2"/>
      <c r="V17" s="2"/>
      <c r="W17" s="73"/>
      <c r="X17" s="100"/>
      <c r="Y17" s="73"/>
      <c r="Z17" s="73"/>
      <c r="AB17" s="73" t="s">
        <v>238</v>
      </c>
      <c r="AC17" s="100">
        <f t="array" ref="AC17">INDEX(AB5:AF5,MATCH(AC16,AB5:AF5,1))</f>
        <v>0</v>
      </c>
      <c r="AD17" s="73" t="s">
        <v>181</v>
      </c>
      <c r="AE17" s="88">
        <f>MATCH(MAX(AA6:AA14),AA6:AA14,1)</f>
        <v>9</v>
      </c>
      <c r="AG17" s="2"/>
      <c r="AH17" s="2"/>
      <c r="AI17" s="2"/>
      <c r="AJ17" s="73"/>
      <c r="AK17" s="100"/>
      <c r="AL17" s="73"/>
      <c r="AM17" s="2"/>
      <c r="AN17" s="2"/>
      <c r="AO17" s="2"/>
      <c r="AP17" s="73"/>
      <c r="AQ17" s="100"/>
      <c r="AR17" s="73"/>
      <c r="AS17" s="88"/>
      <c r="AU17" s="2"/>
      <c r="AV17" s="2"/>
      <c r="AW17" s="2"/>
      <c r="AX17" s="73"/>
      <c r="AY17" s="100"/>
      <c r="AZ17" s="73"/>
      <c r="BA17" s="88"/>
    </row>
    <row r="18" spans="1:53" ht="15" customHeight="1">
      <c r="B18" s="73" t="s">
        <v>239</v>
      </c>
      <c r="C18" s="100">
        <f t="array" ref="C18">INDEX(B5:F5,IF(MATCH(C16,B5:F5,1)&lt;E18,MATCH(C16,B5:F5,1)+1,MATCH(C16,B5:F5,1)))</f>
        <v>1000</v>
      </c>
      <c r="D18" s="73" t="s">
        <v>182</v>
      </c>
      <c r="E18" s="88">
        <f>MATCH(MAX(B5:F5),B5:F5,0)</f>
        <v>5</v>
      </c>
      <c r="G18" s="2"/>
      <c r="H18" s="2"/>
      <c r="I18" s="2"/>
      <c r="J18" s="73"/>
      <c r="K18" s="100"/>
      <c r="L18" s="73"/>
      <c r="M18" s="88"/>
      <c r="O18" s="73" t="s">
        <v>239</v>
      </c>
      <c r="P18" s="100">
        <f t="array" ref="P18">INDEX(O5:S5,IF(MATCH(P16,O5:S5,1)&lt;R18,MATCH(P16,O5:S5,1)+1,MATCH(P16,O5:S5,1)))</f>
        <v>1000</v>
      </c>
      <c r="Q18" s="73" t="s">
        <v>182</v>
      </c>
      <c r="R18" s="88">
        <f>MATCH(MAX(O5:S5),O5:S5,0)</f>
        <v>5</v>
      </c>
      <c r="T18" s="2"/>
      <c r="U18" s="2"/>
      <c r="V18" s="2"/>
      <c r="W18" s="73"/>
      <c r="X18" s="100"/>
      <c r="Y18" s="73"/>
      <c r="Z18" s="73"/>
      <c r="AB18" s="73" t="s">
        <v>239</v>
      </c>
      <c r="AC18" s="100">
        <f t="array" ref="AC18">INDEX(AB5:AF5,IF(MATCH(AC16,AB5:AF5,1)&lt;AE18,MATCH(AC16,AB5:AF5,1)+1,MATCH(AC16,AB5:AF5,1)))</f>
        <v>1000</v>
      </c>
      <c r="AD18" s="73" t="s">
        <v>182</v>
      </c>
      <c r="AE18" s="88">
        <f>MATCH(MAX(AB5:AF5),AB5:AF5,0)</f>
        <v>5</v>
      </c>
      <c r="AG18" s="2"/>
      <c r="AH18" s="2"/>
      <c r="AI18" s="2"/>
      <c r="AJ18" s="73"/>
      <c r="AK18" s="100"/>
      <c r="AL18" s="73"/>
      <c r="AM18" s="2"/>
      <c r="AN18" s="2"/>
      <c r="AO18" s="2"/>
      <c r="AP18" s="73"/>
      <c r="AQ18" s="100"/>
      <c r="AR18" s="73"/>
      <c r="AS18" s="88"/>
      <c r="AU18" s="2"/>
      <c r="AV18" s="2"/>
      <c r="AW18" s="2"/>
      <c r="AX18" s="73"/>
      <c r="AY18" s="100"/>
      <c r="AZ18" s="73"/>
      <c r="BA18" s="88"/>
    </row>
    <row r="19" spans="1:53" ht="15" customHeight="1">
      <c r="B19" s="96" t="s">
        <v>184</v>
      </c>
      <c r="C19" s="155">
        <f>D2</f>
        <v>-2</v>
      </c>
      <c r="D19" s="2"/>
      <c r="E19" s="2"/>
      <c r="G19" s="2"/>
      <c r="H19" s="2"/>
      <c r="I19" s="2"/>
      <c r="J19" s="98"/>
      <c r="K19" s="155"/>
      <c r="L19" s="2"/>
      <c r="M19" s="2"/>
      <c r="O19" s="96" t="s">
        <v>184</v>
      </c>
      <c r="P19" s="155">
        <f>D2</f>
        <v>-2</v>
      </c>
      <c r="Q19" s="2"/>
      <c r="R19" s="2"/>
      <c r="T19" s="2"/>
      <c r="U19" s="2"/>
      <c r="V19" s="2"/>
      <c r="W19" s="98"/>
      <c r="X19" s="155"/>
      <c r="Y19" s="2"/>
      <c r="Z19" s="98"/>
      <c r="AB19" s="96" t="s">
        <v>184</v>
      </c>
      <c r="AC19" s="155">
        <f>D2</f>
        <v>-2</v>
      </c>
      <c r="AD19" s="2"/>
      <c r="AE19" s="2"/>
      <c r="AG19" s="2"/>
      <c r="AH19" s="2"/>
      <c r="AI19" s="2"/>
      <c r="AJ19" s="98"/>
      <c r="AK19" s="155"/>
      <c r="AL19" s="2"/>
      <c r="AM19" s="2"/>
      <c r="AN19" s="2"/>
      <c r="AO19" s="2"/>
      <c r="AP19" s="98"/>
      <c r="AQ19" s="155"/>
      <c r="AR19" s="2"/>
      <c r="AS19" s="2"/>
      <c r="AU19" s="2"/>
      <c r="AV19" s="2"/>
      <c r="AW19" s="2"/>
      <c r="AX19" s="98"/>
      <c r="AY19" s="155"/>
      <c r="AZ19" s="2"/>
      <c r="BA19" s="2"/>
    </row>
    <row r="20" spans="1:53" ht="15" customHeight="1">
      <c r="B20" s="73" t="s">
        <v>185</v>
      </c>
      <c r="C20" s="100">
        <f t="array" ref="C20">INDEX(A6:A14,MATCH(C19,A6:A14,1))</f>
        <v>-10</v>
      </c>
      <c r="D20" s="2"/>
      <c r="E20" s="92"/>
      <c r="G20" s="2"/>
      <c r="H20" s="2"/>
      <c r="I20" s="2"/>
      <c r="J20" s="73"/>
      <c r="K20" s="100"/>
      <c r="L20" s="2"/>
      <c r="M20" s="92"/>
      <c r="O20" s="73" t="s">
        <v>185</v>
      </c>
      <c r="P20" s="100">
        <f t="array" ref="P20">INDEX(N6:N14,MATCH(P19,N6:N14,1))</f>
        <v>-10</v>
      </c>
      <c r="Q20" s="2"/>
      <c r="R20" s="92"/>
      <c r="T20" s="2"/>
      <c r="U20" s="2"/>
      <c r="V20" s="2"/>
      <c r="W20" s="73"/>
      <c r="X20" s="100"/>
      <c r="Y20" s="2"/>
      <c r="Z20" s="73"/>
      <c r="AB20" s="73" t="s">
        <v>185</v>
      </c>
      <c r="AC20" s="100">
        <f t="array" ref="AC20">INDEX(AA6:AA14,MATCH(AC19,AA6:AA14,1))</f>
        <v>-10</v>
      </c>
      <c r="AD20" s="2"/>
      <c r="AE20" s="92"/>
      <c r="AG20" s="2"/>
      <c r="AH20" s="2"/>
      <c r="AI20" s="2"/>
      <c r="AJ20" s="73"/>
      <c r="AK20" s="100"/>
      <c r="AL20" s="2"/>
      <c r="AM20" s="2"/>
      <c r="AN20" s="2"/>
      <c r="AO20" s="2"/>
      <c r="AP20" s="73"/>
      <c r="AQ20" s="100"/>
      <c r="AR20" s="2"/>
      <c r="AS20" s="92"/>
      <c r="AU20" s="2"/>
      <c r="AV20" s="2"/>
      <c r="AW20" s="2"/>
      <c r="AX20" s="73"/>
      <c r="AY20" s="100"/>
      <c r="AZ20" s="2"/>
      <c r="BA20" s="92"/>
    </row>
    <row r="21" spans="1:53" ht="15" customHeight="1">
      <c r="B21" s="73" t="s">
        <v>186</v>
      </c>
      <c r="C21" s="100">
        <f t="array" ref="C21">INDEX(A6:A14,IF(MATCH(C19,A6:A14,1)&lt;E17,MATCH(C19,A6:A14,1)+1,MATCH(C19,A6:A14,1)))</f>
        <v>0</v>
      </c>
      <c r="D21" s="2"/>
      <c r="E21" s="92"/>
      <c r="G21" s="2"/>
      <c r="H21" s="2"/>
      <c r="I21" s="2"/>
      <c r="J21" s="73"/>
      <c r="K21" s="100"/>
      <c r="L21" s="2"/>
      <c r="M21" s="92"/>
      <c r="O21" s="73" t="s">
        <v>186</v>
      </c>
      <c r="P21" s="100">
        <f t="array" ref="P21">INDEX(N6:N14,IF(MATCH(P19,N6:N14,1)&lt;R17,MATCH(P19,N6:N14,1)+1,MATCH(P19,N6:N14,1)))</f>
        <v>0</v>
      </c>
      <c r="Q21" s="2"/>
      <c r="R21" s="92"/>
      <c r="T21" s="2"/>
      <c r="U21" s="2"/>
      <c r="V21" s="2"/>
      <c r="W21" s="73"/>
      <c r="X21" s="100"/>
      <c r="Y21" s="2"/>
      <c r="Z21" s="73"/>
      <c r="AB21" s="73" t="s">
        <v>186</v>
      </c>
      <c r="AC21" s="100">
        <f t="array" ref="AC21">INDEX(AA6:AA14,IF(MATCH(AC19,AA6:AA14,1)&lt;AE17,MATCH(AC19,AA6:AA14,1)+1,MATCH(AC19,AA6:AA14,1)))</f>
        <v>0</v>
      </c>
      <c r="AD21" s="2"/>
      <c r="AE21" s="92"/>
      <c r="AG21" s="2"/>
      <c r="AH21" s="2"/>
      <c r="AI21" s="2"/>
      <c r="AJ21" s="73"/>
      <c r="AK21" s="100"/>
      <c r="AL21" s="2"/>
      <c r="AM21" s="2"/>
      <c r="AN21" s="2"/>
      <c r="AO21" s="2"/>
      <c r="AP21" s="73"/>
      <c r="AQ21" s="100"/>
      <c r="AR21" s="2"/>
      <c r="AS21" s="92"/>
      <c r="AU21" s="2"/>
      <c r="AV21" s="2"/>
      <c r="AW21" s="2"/>
      <c r="AX21" s="73"/>
      <c r="AY21" s="100"/>
      <c r="AZ21" s="2"/>
      <c r="BA21" s="92"/>
    </row>
    <row r="22" spans="1:53" ht="15" customHeight="1">
      <c r="B22" s="98" t="s">
        <v>187</v>
      </c>
      <c r="C22" s="97">
        <f t="array" ref="C22">INDEX(B6:F14,MATCH(C19,A6:A14,1),MATCH(C16,B5:F5,1))</f>
        <v>2900</v>
      </c>
      <c r="D22" s="2"/>
      <c r="E22" s="92"/>
      <c r="G22" s="2"/>
      <c r="H22" s="2"/>
      <c r="I22" s="2"/>
      <c r="J22" s="98"/>
      <c r="K22" s="97"/>
      <c r="L22" s="2"/>
      <c r="M22" s="92"/>
      <c r="O22" s="98" t="s">
        <v>187</v>
      </c>
      <c r="P22" s="97">
        <f t="array" ref="P22">INDEX(O6:S14,MATCH(P19,N6:N14,1),MATCH(P16,O5:S5,1))</f>
        <v>0</v>
      </c>
      <c r="Q22" s="2"/>
      <c r="R22" s="92"/>
      <c r="T22" s="2"/>
      <c r="U22" s="2"/>
      <c r="V22" s="2"/>
      <c r="W22" s="98"/>
      <c r="X22" s="97"/>
      <c r="Y22" s="2"/>
      <c r="Z22" s="98"/>
      <c r="AB22" s="98" t="s">
        <v>187</v>
      </c>
      <c r="AC22" s="97">
        <f t="array" ref="AC22">INDEX(AB6:AF14,MATCH(AC19,AA6:AA14,1),MATCH(AC16,AB5:AF5,1))</f>
        <v>0</v>
      </c>
      <c r="AD22" s="2"/>
      <c r="AE22" s="92"/>
      <c r="AG22" s="2"/>
      <c r="AH22" s="2"/>
      <c r="AI22" s="2"/>
      <c r="AJ22" s="98"/>
      <c r="AK22" s="97"/>
      <c r="AL22" s="2"/>
      <c r="AM22" s="2"/>
      <c r="AN22" s="2"/>
      <c r="AO22" s="2"/>
      <c r="AP22" s="98"/>
      <c r="AQ22" s="97"/>
      <c r="AR22" s="2"/>
      <c r="AS22" s="92"/>
      <c r="AU22" s="2"/>
      <c r="AV22" s="2"/>
      <c r="AW22" s="2"/>
      <c r="AX22" s="98"/>
      <c r="AY22" s="97"/>
      <c r="AZ22" s="2"/>
      <c r="BA22" s="92"/>
    </row>
    <row r="23" spans="1:53" ht="15" customHeight="1">
      <c r="B23" s="98" t="s">
        <v>240</v>
      </c>
      <c r="C23" s="97">
        <f t="array" ref="C23">INDEX(B6:F14,MATCH(C19,A6:A14,1),IF(MATCH(C16,B5:F5,1)&lt;E18,MATCH(C16,B5:F5,1)+1,MATCH(C19,A6:A14,1)))</f>
        <v>3100</v>
      </c>
      <c r="E23" s="92"/>
      <c r="G23" s="2"/>
      <c r="H23" s="2"/>
      <c r="I23" s="2"/>
      <c r="J23" s="98"/>
      <c r="K23" s="97"/>
      <c r="M23" s="92"/>
      <c r="O23" s="98" t="s">
        <v>240</v>
      </c>
      <c r="P23" s="97">
        <f t="array" ref="P23">INDEX(O6:S14,MATCH(P19,N6:N14,1),IF(MATCH(P16,O5:S5,1)&lt;R18,MATCH(P16,O5:S5,1)+1,MATCH(P19,N6:N14,1)))</f>
        <v>0</v>
      </c>
      <c r="R23" s="92"/>
      <c r="T23" s="2"/>
      <c r="U23" s="2"/>
      <c r="V23" s="2"/>
      <c r="W23" s="98"/>
      <c r="X23" s="97"/>
      <c r="Z23" s="98"/>
      <c r="AB23" s="98" t="s">
        <v>240</v>
      </c>
      <c r="AC23" s="97">
        <f t="array" ref="AC23">INDEX(AB6:AF14,MATCH(AC19,AA6:AA14,1),IF(MATCH(AC16,AB5:AF5,1)&lt;AE18,MATCH(AC16,AB5:AF5,1)+1,MATCH(AC19,AA6:AA14,1)))</f>
        <v>0</v>
      </c>
      <c r="AE23" s="92"/>
      <c r="AG23" s="2"/>
      <c r="AH23" s="2"/>
      <c r="AI23" s="2"/>
      <c r="AJ23" s="98"/>
      <c r="AK23" s="97"/>
      <c r="AM23" s="2"/>
      <c r="AN23" s="2"/>
      <c r="AO23" s="2"/>
      <c r="AP23" s="98"/>
      <c r="AQ23" s="97"/>
      <c r="AS23" s="92"/>
      <c r="AU23" s="2"/>
      <c r="AV23" s="2"/>
      <c r="AW23" s="2"/>
      <c r="AX23" s="98"/>
      <c r="AY23" s="97"/>
      <c r="BA23" s="92"/>
    </row>
    <row r="24" spans="1:53" ht="15" customHeight="1">
      <c r="B24" s="98" t="s">
        <v>188</v>
      </c>
      <c r="C24" s="97">
        <f t="array" ref="C24">INDEX(B6:F14,IF(MATCH(C19,A6:A14,1)&lt;E17,MATCH(C19,A6:A14,1)+1,MATCH(C19,A6:A14,1)),MATCH(C16,B5:F5,1))</f>
        <v>3075</v>
      </c>
      <c r="E24" s="92"/>
      <c r="G24" s="2"/>
      <c r="H24" s="2"/>
      <c r="I24" s="2"/>
      <c r="J24" s="98"/>
      <c r="K24" s="97"/>
      <c r="M24" s="92"/>
      <c r="O24" s="98" t="s">
        <v>188</v>
      </c>
      <c r="P24" s="97">
        <f t="array" ref="P24">INDEX(O6:S14,IF(MATCH(P19,N6:N14,1)&lt;R17,MATCH(P19,N6:N14,1)+1,MATCH(P19,N6:N14,1)),MATCH(P16,O5:S5,1))</f>
        <v>0</v>
      </c>
      <c r="R24" s="92"/>
      <c r="T24" s="2"/>
      <c r="U24" s="2"/>
      <c r="V24" s="2"/>
      <c r="W24" s="98"/>
      <c r="X24" s="97"/>
      <c r="Z24" s="98"/>
      <c r="AB24" s="98" t="s">
        <v>188</v>
      </c>
      <c r="AC24" s="97">
        <f t="array" ref="AC24">INDEX(AB6:AF14,IF(MATCH(AC19,AA6:AA14,1)&lt;AE17,MATCH(AC19,AA6:AA14,1)+1,MATCH(AC19,AA6:AA14,1)),MATCH(AC16,AB5:AF5,1))</f>
        <v>0</v>
      </c>
      <c r="AE24" s="92"/>
      <c r="AG24" s="2"/>
      <c r="AH24" s="2"/>
      <c r="AI24" s="2"/>
      <c r="AJ24" s="98"/>
      <c r="AK24" s="97"/>
      <c r="AM24" s="2"/>
      <c r="AN24" s="2"/>
      <c r="AO24" s="2"/>
      <c r="AP24" s="98"/>
      <c r="AQ24" s="97"/>
      <c r="AS24" s="92"/>
      <c r="AU24" s="2"/>
      <c r="AV24" s="2"/>
      <c r="AW24" s="2"/>
      <c r="AX24" s="98"/>
      <c r="AY24" s="97"/>
      <c r="BA24" s="92"/>
    </row>
    <row r="25" spans="1:53" ht="15" customHeight="1">
      <c r="B25" s="98" t="s">
        <v>241</v>
      </c>
      <c r="C25" s="97">
        <f t="array" ref="C25">INDEX(B6:F14,IF(MATCH(C19,A6:A14,1)&lt;E17,MATCH(C19,A6:A14,1)+1,MATCH(C19,A6:A14,1)),IF(MATCH(C16,B5:F5,1)&lt;E18,MATCH(C16,B5:F5,1)+1,MATCH(C16,B5:F5,1)))</f>
        <v>3200</v>
      </c>
      <c r="G25" s="2"/>
      <c r="H25" s="2"/>
      <c r="I25" s="2"/>
      <c r="J25" s="98"/>
      <c r="K25" s="97"/>
      <c r="O25" s="98" t="s">
        <v>241</v>
      </c>
      <c r="P25" s="97">
        <f t="array" ref="P25">INDEX(O6:S14,IF(MATCH(P19,N6:N14,1)&lt;R17,MATCH(P19,N6:N14,1)+1,MATCH(P19,N6:N14,1)),IF(MATCH(P16,O5:S5,1)&lt;R18,MATCH(P16,O5:S5,1)+1,MATCH(P16,O5:S5,1)))</f>
        <v>0</v>
      </c>
      <c r="T25" s="2"/>
      <c r="U25" s="2"/>
      <c r="V25" s="2"/>
      <c r="W25" s="98"/>
      <c r="X25" s="97"/>
      <c r="Z25" s="98"/>
      <c r="AB25" s="98" t="s">
        <v>241</v>
      </c>
      <c r="AC25" s="97">
        <f t="array" ref="AC25">INDEX(AB6:AF14,IF(MATCH(AC19,AA6:AA14,1)&lt;AE17,MATCH(AC19,AA6:AA14,1)+1,MATCH(AC19,AA6:AA14,1)),IF(MATCH(AC16,AB5:AF5,1)&lt;AE18,MATCH(AC16,AB5:AF5,1)+1,MATCH(AC16,AB5:AF5,1)))</f>
        <v>0</v>
      </c>
      <c r="AG25" s="2"/>
      <c r="AH25" s="2"/>
      <c r="AI25" s="2"/>
      <c r="AJ25" s="98"/>
      <c r="AK25" s="97"/>
      <c r="AM25" s="2"/>
      <c r="AN25" s="2"/>
      <c r="AO25" s="2"/>
      <c r="AP25" s="98"/>
      <c r="AQ25" s="97"/>
      <c r="AU25" s="2"/>
      <c r="AV25" s="2"/>
      <c r="AW25" s="2"/>
      <c r="AX25" s="98"/>
      <c r="AY25" s="97"/>
    </row>
    <row r="26" spans="1:53" ht="15" customHeight="1">
      <c r="B26" s="73" t="s">
        <v>242</v>
      </c>
      <c r="C26" s="100">
        <f>IFERROR(C22+(C16-C17)*(C23-C22)/(C18-C17),C22)</f>
        <v>2900</v>
      </c>
      <c r="G26" s="2"/>
      <c r="H26" s="2"/>
      <c r="I26" s="2"/>
      <c r="J26" s="73"/>
      <c r="K26" s="100"/>
      <c r="O26" s="73" t="s">
        <v>242</v>
      </c>
      <c r="P26" s="100">
        <f>IFERROR(P22+(P16-P17)*(P23-P22)/(P18-P17),P22)</f>
        <v>0</v>
      </c>
      <c r="T26" s="2"/>
      <c r="U26" s="2"/>
      <c r="V26" s="2"/>
      <c r="W26" s="73"/>
      <c r="X26" s="100"/>
      <c r="Z26" s="73"/>
      <c r="AB26" s="73" t="s">
        <v>242</v>
      </c>
      <c r="AC26" s="100">
        <f>IFERROR(AC22+(AC16-AC17)*(AC23-AC22)/(AC18-AC17),AC22)</f>
        <v>0</v>
      </c>
      <c r="AG26" s="2"/>
      <c r="AH26" s="2"/>
      <c r="AI26" s="2"/>
      <c r="AJ26" s="73"/>
      <c r="AK26" s="100"/>
      <c r="AM26" s="2"/>
      <c r="AN26" s="2"/>
      <c r="AO26" s="2"/>
      <c r="AP26" s="73"/>
      <c r="AQ26" s="100"/>
      <c r="AU26" s="2"/>
      <c r="AV26" s="2"/>
      <c r="AW26" s="2"/>
      <c r="AX26" s="73"/>
      <c r="AY26" s="100"/>
    </row>
    <row r="27" spans="1:53" ht="15" customHeight="1">
      <c r="B27" s="73" t="s">
        <v>243</v>
      </c>
      <c r="C27" s="100">
        <f>IFERROR(C24+(C16-C17)*(C25-C24)/(C18-C17),C24)</f>
        <v>3075</v>
      </c>
      <c r="G27" s="2"/>
      <c r="H27" s="2"/>
      <c r="I27" s="2"/>
      <c r="J27" s="73"/>
      <c r="K27" s="100"/>
      <c r="O27" s="73" t="s">
        <v>243</v>
      </c>
      <c r="P27" s="100">
        <f>IFERROR(P24+(P16-P17)*(P25-P24)/(P18-P17),P24)</f>
        <v>0</v>
      </c>
      <c r="T27" s="2"/>
      <c r="U27" s="2"/>
      <c r="V27" s="2"/>
      <c r="W27" s="73"/>
      <c r="X27" s="100"/>
      <c r="Z27" s="73"/>
      <c r="AB27" s="73" t="s">
        <v>243</v>
      </c>
      <c r="AC27" s="100">
        <f>IFERROR(AC24+(AC16-AC17)*(AC25-AC24)/(AC18-AC17),AC24)</f>
        <v>0</v>
      </c>
      <c r="AG27" s="2"/>
      <c r="AH27" s="2"/>
      <c r="AI27" s="2"/>
      <c r="AJ27" s="73"/>
      <c r="AK27" s="100"/>
      <c r="AM27" s="2"/>
      <c r="AN27" s="2"/>
      <c r="AO27" s="2"/>
      <c r="AP27" s="73"/>
      <c r="AQ27" s="100"/>
      <c r="AU27" s="2"/>
      <c r="AV27" s="2"/>
      <c r="AW27" s="2"/>
      <c r="AX27" s="73"/>
      <c r="AY27" s="100"/>
    </row>
    <row r="28" spans="1:53" ht="15" customHeight="1">
      <c r="B28" s="98" t="s">
        <v>244</v>
      </c>
      <c r="C28" s="97">
        <f>IFERROR(C26+(C19-C20)*(C27-C26)/(C21-C20),C26)</f>
        <v>3040</v>
      </c>
      <c r="G28" s="2"/>
      <c r="H28" s="2"/>
      <c r="I28" s="2"/>
      <c r="J28" s="98"/>
      <c r="K28" s="97"/>
      <c r="O28" s="98" t="s">
        <v>244</v>
      </c>
      <c r="P28" s="97">
        <f>IFERROR(P26+(P19-P20)*(P27-P26)/(P21-P20),P26)</f>
        <v>0</v>
      </c>
      <c r="T28" s="2"/>
      <c r="U28" s="2"/>
      <c r="V28" s="2"/>
      <c r="W28" s="98"/>
      <c r="X28" s="97"/>
      <c r="Z28" s="98"/>
      <c r="AB28" s="98" t="s">
        <v>244</v>
      </c>
      <c r="AC28" s="97">
        <f>IFERROR(AC26+(AC19-AC20)*(AC27-AC26)/(AC21-AC20),AC26)</f>
        <v>0</v>
      </c>
      <c r="AG28" s="2"/>
      <c r="AH28" s="2"/>
      <c r="AI28" s="2"/>
      <c r="AJ28" s="98"/>
      <c r="AK28" s="97"/>
      <c r="AM28" s="2"/>
      <c r="AN28" s="2"/>
      <c r="AO28" s="2"/>
      <c r="AP28" s="98"/>
      <c r="AQ28" s="97"/>
      <c r="AU28" s="2"/>
      <c r="AV28" s="2"/>
      <c r="AW28" s="2"/>
      <c r="AX28" s="98"/>
      <c r="AY28" s="97"/>
    </row>
    <row r="29" spans="1:53" ht="15.75" customHeight="1"/>
    <row r="30" spans="1:53" ht="15" customHeight="1">
      <c r="A30" s="12"/>
      <c r="B30" s="251" t="s">
        <v>245</v>
      </c>
      <c r="C30" s="262"/>
      <c r="D30" s="262"/>
      <c r="E30" s="262"/>
      <c r="F30" s="262"/>
      <c r="G30" s="262"/>
      <c r="H30" s="82"/>
      <c r="I30" s="82"/>
      <c r="J30" s="82"/>
      <c r="K30" s="82"/>
      <c r="L30" s="82"/>
      <c r="M30" s="82"/>
      <c r="N30" s="12"/>
      <c r="O30" s="251" t="s">
        <v>245</v>
      </c>
      <c r="P30" s="262"/>
      <c r="Q30" s="262"/>
      <c r="R30" s="262"/>
      <c r="S30" s="262"/>
      <c r="T30" s="262"/>
      <c r="U30" s="82"/>
      <c r="V30" s="82"/>
      <c r="W30" s="82"/>
      <c r="X30" s="82"/>
      <c r="Y30" s="82"/>
      <c r="AA30" s="12"/>
      <c r="AB30" s="251" t="s">
        <v>245</v>
      </c>
      <c r="AC30" s="262"/>
      <c r="AD30" s="262"/>
      <c r="AE30" s="262"/>
      <c r="AF30" s="262"/>
      <c r="AG30" s="262"/>
      <c r="AH30" s="82"/>
      <c r="AI30" s="82"/>
      <c r="AJ30" s="82"/>
      <c r="AK30" s="82"/>
      <c r="AL30" s="82"/>
    </row>
    <row r="31" spans="1:53" ht="15" customHeight="1">
      <c r="A31" s="12" t="s">
        <v>30</v>
      </c>
      <c r="B31" s="203">
        <v>2500</v>
      </c>
      <c r="C31" s="207">
        <v>3000</v>
      </c>
      <c r="D31" s="209">
        <v>3500</v>
      </c>
      <c r="E31" s="209">
        <v>4000</v>
      </c>
      <c r="F31" s="209">
        <v>4500</v>
      </c>
      <c r="G31" s="192">
        <v>5000</v>
      </c>
      <c r="H31" s="12"/>
      <c r="I31" s="12"/>
      <c r="J31" s="12"/>
      <c r="K31" s="12"/>
      <c r="L31" s="12"/>
      <c r="M31" s="12"/>
      <c r="N31" s="12" t="s">
        <v>30</v>
      </c>
      <c r="O31" s="203">
        <v>3600</v>
      </c>
      <c r="P31" s="207">
        <v>4300</v>
      </c>
      <c r="Q31" s="209">
        <v>5000</v>
      </c>
      <c r="R31" s="209">
        <v>5700</v>
      </c>
      <c r="S31" s="192">
        <v>6000</v>
      </c>
      <c r="T31" s="12"/>
      <c r="U31" s="12"/>
      <c r="V31" s="12"/>
      <c r="W31" s="12"/>
      <c r="X31" s="12"/>
      <c r="AA31" s="12" t="s">
        <v>30</v>
      </c>
      <c r="AB31" s="203">
        <v>3000</v>
      </c>
      <c r="AC31" s="207">
        <v>3450</v>
      </c>
      <c r="AD31" s="209">
        <v>3900</v>
      </c>
      <c r="AE31" s="209">
        <v>4350</v>
      </c>
      <c r="AF31" s="209">
        <v>4800</v>
      </c>
      <c r="AG31" s="192">
        <v>5000</v>
      </c>
      <c r="AH31" s="12"/>
      <c r="AI31" s="12"/>
      <c r="AJ31" s="12"/>
      <c r="AK31" s="12"/>
      <c r="AL31" s="12"/>
    </row>
    <row r="32" spans="1:53" ht="15" customHeight="1">
      <c r="A32" s="12">
        <v>9000</v>
      </c>
      <c r="B32" s="189">
        <v>2200</v>
      </c>
      <c r="C32" s="190">
        <v>2700</v>
      </c>
      <c r="D32" s="191">
        <v>3050</v>
      </c>
      <c r="E32" s="191">
        <v>3400</v>
      </c>
      <c r="F32" s="191">
        <v>3900</v>
      </c>
      <c r="G32" s="192">
        <v>99999</v>
      </c>
      <c r="H32" s="12"/>
      <c r="I32" s="12"/>
      <c r="J32" s="12"/>
      <c r="K32" s="12"/>
      <c r="L32" s="12"/>
      <c r="M32" s="12"/>
      <c r="N32" s="12">
        <v>10000</v>
      </c>
      <c r="O32" s="189"/>
      <c r="P32" s="190"/>
      <c r="Q32" s="191"/>
      <c r="R32" s="191"/>
      <c r="S32" s="192">
        <v>99999</v>
      </c>
      <c r="T32" s="12"/>
      <c r="U32" s="12"/>
      <c r="V32" s="12"/>
      <c r="W32" s="12"/>
      <c r="X32" s="12"/>
      <c r="AA32" s="12">
        <v>9000</v>
      </c>
      <c r="AB32" s="189"/>
      <c r="AC32" s="190"/>
      <c r="AD32" s="191"/>
      <c r="AE32" s="191"/>
      <c r="AF32" s="191"/>
      <c r="AG32" s="192">
        <v>99999</v>
      </c>
      <c r="AH32" s="12"/>
      <c r="AI32" s="12"/>
      <c r="AJ32" s="12"/>
      <c r="AK32" s="12"/>
      <c r="AL32" s="12"/>
    </row>
    <row r="33" spans="1:38" ht="15" customHeight="1">
      <c r="A33" s="12">
        <v>9500</v>
      </c>
      <c r="B33" s="340">
        <v>2250</v>
      </c>
      <c r="C33" s="182">
        <v>2750</v>
      </c>
      <c r="D33" s="12">
        <v>3110</v>
      </c>
      <c r="E33" s="12">
        <v>3500</v>
      </c>
      <c r="F33" s="12">
        <v>3950</v>
      </c>
      <c r="G33" s="339">
        <v>99999</v>
      </c>
      <c r="H33" s="12"/>
      <c r="I33" s="12"/>
      <c r="J33" s="12"/>
      <c r="K33" s="12"/>
      <c r="L33" s="12"/>
      <c r="M33" s="12"/>
      <c r="N33" s="12">
        <v>11000</v>
      </c>
      <c r="O33" s="340"/>
      <c r="P33" s="182"/>
      <c r="Q33" s="12"/>
      <c r="R33" s="12"/>
      <c r="S33" s="339">
        <v>99999</v>
      </c>
      <c r="T33" s="12"/>
      <c r="U33" s="12"/>
      <c r="V33" s="12"/>
      <c r="W33" s="12"/>
      <c r="X33" s="12"/>
      <c r="AA33" s="12">
        <v>9500</v>
      </c>
      <c r="AB33" s="340"/>
      <c r="AC33" s="182"/>
      <c r="AD33" s="12"/>
      <c r="AE33" s="12"/>
      <c r="AF33" s="12"/>
      <c r="AG33" s="339">
        <v>99999</v>
      </c>
      <c r="AH33" s="12"/>
      <c r="AI33" s="12"/>
      <c r="AJ33" s="12"/>
      <c r="AK33" s="12"/>
      <c r="AL33" s="12"/>
    </row>
    <row r="34" spans="1:38" ht="15" customHeight="1">
      <c r="A34" s="12">
        <v>10000</v>
      </c>
      <c r="B34" s="340">
        <v>2290</v>
      </c>
      <c r="C34" s="182">
        <v>2780</v>
      </c>
      <c r="D34" s="12">
        <v>3190</v>
      </c>
      <c r="E34" s="12">
        <v>3600</v>
      </c>
      <c r="F34" s="12">
        <v>4000</v>
      </c>
      <c r="G34" s="339">
        <v>99999</v>
      </c>
      <c r="H34" s="12"/>
      <c r="I34" s="12"/>
      <c r="J34" s="12"/>
      <c r="K34" s="12"/>
      <c r="L34" s="12"/>
      <c r="M34" s="12"/>
      <c r="N34" s="12">
        <v>12000</v>
      </c>
      <c r="O34" s="340"/>
      <c r="P34" s="182"/>
      <c r="Q34" s="12"/>
      <c r="R34" s="12"/>
      <c r="S34" s="339">
        <v>99999</v>
      </c>
      <c r="T34" s="12"/>
      <c r="U34" s="12"/>
      <c r="V34" s="12"/>
      <c r="W34" s="12"/>
      <c r="X34" s="12"/>
      <c r="AA34" s="12">
        <v>10000</v>
      </c>
      <c r="AB34" s="340"/>
      <c r="AC34" s="182"/>
      <c r="AD34" s="12"/>
      <c r="AE34" s="12"/>
      <c r="AF34" s="12"/>
      <c r="AG34" s="339">
        <v>99999</v>
      </c>
      <c r="AH34" s="12"/>
      <c r="AI34" s="12"/>
      <c r="AJ34" s="12"/>
      <c r="AK34" s="12"/>
      <c r="AL34" s="12"/>
    </row>
    <row r="35" spans="1:38" ht="15" customHeight="1">
      <c r="A35" s="12">
        <v>10500</v>
      </c>
      <c r="B35" s="340">
        <v>2310</v>
      </c>
      <c r="C35" s="182">
        <v>2800</v>
      </c>
      <c r="D35" s="12">
        <v>3250</v>
      </c>
      <c r="E35" s="12">
        <v>3675</v>
      </c>
      <c r="F35" s="12">
        <v>4100</v>
      </c>
      <c r="G35" s="339">
        <v>99999</v>
      </c>
      <c r="H35" s="12"/>
      <c r="I35" s="12"/>
      <c r="J35" s="12"/>
      <c r="K35" s="12"/>
      <c r="L35" s="12"/>
      <c r="M35" s="12"/>
      <c r="N35" s="12">
        <v>13000</v>
      </c>
      <c r="O35" s="340"/>
      <c r="P35" s="182"/>
      <c r="Q35" s="12"/>
      <c r="R35" s="12"/>
      <c r="S35" s="339">
        <v>99999</v>
      </c>
      <c r="T35" s="12"/>
      <c r="U35" s="12"/>
      <c r="V35" s="12"/>
      <c r="W35" s="12"/>
      <c r="X35" s="12"/>
      <c r="AA35" s="12">
        <v>10500</v>
      </c>
      <c r="AB35" s="340"/>
      <c r="AC35" s="182"/>
      <c r="AD35" s="12"/>
      <c r="AE35" s="12"/>
      <c r="AF35" s="12"/>
      <c r="AG35" s="339">
        <v>99999</v>
      </c>
      <c r="AH35" s="12"/>
      <c r="AI35" s="12"/>
      <c r="AJ35" s="12"/>
      <c r="AK35" s="12"/>
      <c r="AL35" s="12"/>
    </row>
    <row r="36" spans="1:38" ht="15" customHeight="1">
      <c r="A36" s="12">
        <v>11000</v>
      </c>
      <c r="B36" s="340">
        <v>2375</v>
      </c>
      <c r="C36" s="182">
        <v>2850</v>
      </c>
      <c r="D36" s="12">
        <v>3300</v>
      </c>
      <c r="E36" s="12">
        <v>3750</v>
      </c>
      <c r="F36" s="12">
        <v>4200</v>
      </c>
      <c r="G36" s="339">
        <v>99999</v>
      </c>
      <c r="H36" s="12"/>
      <c r="I36" s="12"/>
      <c r="J36" s="12"/>
      <c r="K36" s="12"/>
      <c r="L36" s="12"/>
      <c r="M36" s="12"/>
      <c r="N36" s="12">
        <v>14000</v>
      </c>
      <c r="O36" s="340"/>
      <c r="P36" s="182"/>
      <c r="Q36" s="12"/>
      <c r="R36" s="12"/>
      <c r="S36" s="339">
        <v>99999</v>
      </c>
      <c r="T36" s="12"/>
      <c r="U36" s="12"/>
      <c r="V36" s="12"/>
      <c r="W36" s="12"/>
      <c r="X36" s="12"/>
      <c r="AA36" s="12">
        <v>11000</v>
      </c>
      <c r="AB36" s="340"/>
      <c r="AC36" s="182"/>
      <c r="AD36" s="12"/>
      <c r="AE36" s="12"/>
      <c r="AF36" s="12"/>
      <c r="AG36" s="339">
        <v>99999</v>
      </c>
      <c r="AH36" s="12"/>
      <c r="AI36" s="12"/>
      <c r="AJ36" s="12"/>
      <c r="AK36" s="12"/>
      <c r="AL36" s="12"/>
    </row>
    <row r="37" spans="1:38" ht="15" customHeight="1">
      <c r="A37" s="12">
        <v>11500</v>
      </c>
      <c r="B37" s="340">
        <v>2400</v>
      </c>
      <c r="C37" s="182">
        <v>2900</v>
      </c>
      <c r="D37" s="12">
        <v>3380</v>
      </c>
      <c r="E37" s="12">
        <v>3820</v>
      </c>
      <c r="F37" s="12">
        <v>4300</v>
      </c>
      <c r="G37" s="339">
        <v>99999</v>
      </c>
      <c r="H37" s="12"/>
      <c r="I37" s="12"/>
      <c r="J37" s="12"/>
      <c r="K37" s="12"/>
      <c r="L37" s="12"/>
      <c r="M37" s="12"/>
      <c r="N37" s="12">
        <v>15000</v>
      </c>
      <c r="O37" s="340"/>
      <c r="P37" s="182"/>
      <c r="Q37" s="12"/>
      <c r="R37" s="12"/>
      <c r="S37" s="339">
        <v>99999</v>
      </c>
      <c r="T37" s="12"/>
      <c r="U37" s="12"/>
      <c r="V37" s="12"/>
      <c r="W37" s="12"/>
      <c r="X37" s="12"/>
      <c r="AA37" s="12">
        <v>11500</v>
      </c>
      <c r="AB37" s="340"/>
      <c r="AC37" s="182"/>
      <c r="AD37" s="12"/>
      <c r="AE37" s="12"/>
      <c r="AF37" s="12"/>
      <c r="AG37" s="339">
        <v>99999</v>
      </c>
      <c r="AH37" s="12"/>
      <c r="AI37" s="12"/>
      <c r="AJ37" s="12"/>
      <c r="AK37" s="12"/>
      <c r="AL37" s="12"/>
    </row>
    <row r="38" spans="1:38" ht="15" customHeight="1">
      <c r="A38" s="12">
        <v>12000</v>
      </c>
      <c r="B38" s="340">
        <v>2450</v>
      </c>
      <c r="C38" s="182">
        <v>2950</v>
      </c>
      <c r="D38" s="12">
        <v>3450</v>
      </c>
      <c r="E38" s="12">
        <v>3910</v>
      </c>
      <c r="F38" s="12">
        <v>4400</v>
      </c>
      <c r="G38" s="339">
        <v>99999</v>
      </c>
      <c r="H38" s="12"/>
      <c r="I38" s="12"/>
      <c r="J38" s="12"/>
      <c r="K38" s="12"/>
      <c r="L38" s="12"/>
      <c r="M38" s="12"/>
      <c r="N38" s="12">
        <v>16000</v>
      </c>
      <c r="O38" s="340"/>
      <c r="P38" s="182"/>
      <c r="Q38" s="12"/>
      <c r="R38" s="12"/>
      <c r="S38" s="339">
        <v>99999</v>
      </c>
      <c r="T38" s="12"/>
      <c r="U38" s="12"/>
      <c r="V38" s="12"/>
      <c r="W38" s="12"/>
      <c r="X38" s="12"/>
      <c r="AA38" s="12">
        <v>12000</v>
      </c>
      <c r="AB38" s="340"/>
      <c r="AC38" s="182"/>
      <c r="AD38" s="12"/>
      <c r="AE38" s="12"/>
      <c r="AF38" s="12"/>
      <c r="AG38" s="339">
        <v>99999</v>
      </c>
      <c r="AH38" s="12"/>
      <c r="AI38" s="12"/>
      <c r="AJ38" s="12"/>
      <c r="AK38" s="12"/>
      <c r="AL38" s="12"/>
    </row>
    <row r="39" spans="1:38" ht="15" customHeight="1">
      <c r="A39" s="12">
        <v>12500</v>
      </c>
      <c r="B39" s="196">
        <v>2500</v>
      </c>
      <c r="C39" s="197">
        <v>3000</v>
      </c>
      <c r="D39" s="162">
        <v>3500</v>
      </c>
      <c r="E39" s="162">
        <v>4000</v>
      </c>
      <c r="F39" s="162">
        <v>4500</v>
      </c>
      <c r="G39" s="339">
        <v>99999</v>
      </c>
      <c r="H39" s="12"/>
      <c r="I39" s="12"/>
      <c r="J39" s="12"/>
      <c r="K39" s="12"/>
      <c r="L39" s="12"/>
      <c r="M39" s="12"/>
      <c r="N39" s="12">
        <v>16600</v>
      </c>
      <c r="O39" s="196"/>
      <c r="P39" s="197"/>
      <c r="Q39" s="162"/>
      <c r="R39" s="162"/>
      <c r="S39" s="339">
        <v>99999</v>
      </c>
      <c r="T39" s="12"/>
      <c r="U39" s="12"/>
      <c r="V39" s="12"/>
      <c r="W39" s="12"/>
      <c r="X39" s="12"/>
      <c r="AA39" s="12">
        <v>12500</v>
      </c>
      <c r="AB39" s="196"/>
      <c r="AC39" s="197"/>
      <c r="AD39" s="162"/>
      <c r="AE39" s="162"/>
      <c r="AF39" s="162"/>
      <c r="AG39" s="339">
        <v>99999</v>
      </c>
      <c r="AH39" s="12"/>
      <c r="AI39" s="12"/>
      <c r="AJ39" s="12"/>
      <c r="AK39" s="12"/>
      <c r="AL39" s="12"/>
    </row>
    <row r="40" spans="1:38" ht="15" customHeight="1">
      <c r="A40" s="12">
        <v>12600</v>
      </c>
      <c r="B40" s="196">
        <v>99999</v>
      </c>
      <c r="C40" s="197">
        <v>99999</v>
      </c>
      <c r="D40" s="197">
        <v>99999</v>
      </c>
      <c r="E40" s="197">
        <v>99999</v>
      </c>
      <c r="F40" s="197">
        <v>99999</v>
      </c>
      <c r="G40" s="211">
        <v>99999</v>
      </c>
      <c r="H40" s="182"/>
      <c r="I40" s="182"/>
      <c r="J40" s="182"/>
      <c r="K40" s="182"/>
      <c r="L40" s="182"/>
      <c r="M40" s="83"/>
      <c r="N40" s="12">
        <v>16700</v>
      </c>
      <c r="O40" s="196">
        <v>99999</v>
      </c>
      <c r="P40" s="197">
        <v>99999</v>
      </c>
      <c r="Q40" s="197">
        <v>99999</v>
      </c>
      <c r="R40" s="197">
        <v>99999</v>
      </c>
      <c r="S40" s="211">
        <v>99999</v>
      </c>
      <c r="T40" s="182"/>
      <c r="U40" s="182"/>
      <c r="V40" s="182"/>
      <c r="W40" s="182"/>
      <c r="X40" s="182"/>
      <c r="AA40" s="12">
        <v>12600</v>
      </c>
      <c r="AB40" s="196">
        <v>99999</v>
      </c>
      <c r="AC40" s="197">
        <v>99999</v>
      </c>
      <c r="AD40" s="197">
        <v>99999</v>
      </c>
      <c r="AE40" s="197">
        <v>99999</v>
      </c>
      <c r="AF40" s="197">
        <v>99999</v>
      </c>
      <c r="AG40" s="211">
        <v>99999</v>
      </c>
      <c r="AH40" s="182"/>
      <c r="AI40" s="182"/>
      <c r="AJ40" s="182"/>
      <c r="AK40" s="182"/>
      <c r="AL40" s="182"/>
    </row>
    <row r="41" spans="1:38" ht="15" customHeight="1">
      <c r="B41" s="98"/>
      <c r="C41" s="97"/>
      <c r="D41" s="12"/>
      <c r="E41" s="12"/>
      <c r="F41" s="12"/>
      <c r="G41" s="2"/>
      <c r="H41" s="2"/>
      <c r="I41" s="2"/>
      <c r="J41" s="98"/>
      <c r="K41" s="97"/>
      <c r="L41" s="12"/>
      <c r="M41" s="12"/>
      <c r="O41" s="98"/>
      <c r="P41" s="97"/>
      <c r="Q41" s="12"/>
      <c r="R41" s="12"/>
      <c r="S41" s="12"/>
      <c r="T41" s="2"/>
      <c r="U41" s="2"/>
      <c r="V41" s="2"/>
      <c r="W41" s="98"/>
      <c r="X41" s="97"/>
      <c r="Y41" s="12"/>
      <c r="AB41" s="98"/>
      <c r="AC41" s="97"/>
      <c r="AD41" s="12"/>
      <c r="AE41" s="12"/>
      <c r="AF41" s="12"/>
      <c r="AG41" s="2"/>
      <c r="AH41" s="2"/>
      <c r="AI41" s="2"/>
      <c r="AJ41" s="98"/>
      <c r="AK41" s="97"/>
      <c r="AL41" s="12"/>
    </row>
    <row r="42" spans="1:38" ht="15" customHeight="1">
      <c r="B42" s="98" t="s">
        <v>183</v>
      </c>
      <c r="C42" s="97">
        <f>C28</f>
        <v>3040</v>
      </c>
      <c r="D42" s="251" t="s">
        <v>237</v>
      </c>
      <c r="E42" s="262"/>
      <c r="G42" s="2"/>
      <c r="H42" s="2"/>
      <c r="I42" s="2"/>
      <c r="J42" s="98"/>
      <c r="K42" s="97"/>
      <c r="L42" s="82"/>
      <c r="O42" s="98" t="s">
        <v>183</v>
      </c>
      <c r="P42" s="97">
        <f>P28</f>
        <v>0</v>
      </c>
      <c r="Q42" s="251" t="s">
        <v>237</v>
      </c>
      <c r="R42" s="262"/>
      <c r="T42" s="2"/>
      <c r="U42" s="2"/>
      <c r="V42" s="2"/>
      <c r="W42" s="98"/>
      <c r="X42" s="97"/>
      <c r="Y42" s="82"/>
      <c r="AB42" s="98" t="s">
        <v>183</v>
      </c>
      <c r="AC42" s="97">
        <f>AC28</f>
        <v>0</v>
      </c>
      <c r="AD42" s="251" t="s">
        <v>237</v>
      </c>
      <c r="AE42" s="262"/>
      <c r="AG42" s="2"/>
      <c r="AH42" s="2"/>
      <c r="AI42" s="2"/>
      <c r="AJ42" s="98"/>
      <c r="AK42" s="97"/>
      <c r="AL42" s="82"/>
    </row>
    <row r="43" spans="1:38" ht="15" customHeight="1">
      <c r="B43" s="73" t="s">
        <v>238</v>
      </c>
      <c r="C43" s="100">
        <f t="array" ref="C43">INDEX(B31:G31,MATCH(C42,B31:G31,1))</f>
        <v>3000</v>
      </c>
      <c r="D43" s="73" t="s">
        <v>181</v>
      </c>
      <c r="E43" s="88">
        <f>MATCH(MAX(A32:A40),A32:A40,1)</f>
        <v>9</v>
      </c>
      <c r="G43" s="2"/>
      <c r="H43" s="2"/>
      <c r="I43" s="2"/>
      <c r="J43" s="73"/>
      <c r="K43" s="100"/>
      <c r="L43" s="73"/>
      <c r="M43" s="88"/>
      <c r="O43" s="73" t="s">
        <v>238</v>
      </c>
      <c r="P43" s="100" t="e">
        <f t="array" ref="P43">INDEX(O31:S31,MATCH(P42,O31:S31,1))</f>
        <v>#N/A</v>
      </c>
      <c r="Q43" s="73" t="s">
        <v>181</v>
      </c>
      <c r="R43" s="88">
        <f>MATCH(MAX(N32:N40),N32:N40,1)</f>
        <v>9</v>
      </c>
      <c r="T43" s="2"/>
      <c r="U43" s="2"/>
      <c r="V43" s="2"/>
      <c r="W43" s="73"/>
      <c r="X43" s="100"/>
      <c r="Y43" s="73"/>
      <c r="AB43" s="73" t="s">
        <v>238</v>
      </c>
      <c r="AC43" s="100" t="e">
        <f t="array" ref="AC43">INDEX(AB31:AG31,MATCH(AC42,AB31:AG31,1))</f>
        <v>#N/A</v>
      </c>
      <c r="AD43" s="73" t="s">
        <v>181</v>
      </c>
      <c r="AE43" s="88">
        <f>MATCH(MAX(AA32:AA40),AA32:AA40,1)</f>
        <v>9</v>
      </c>
      <c r="AG43" s="2"/>
      <c r="AH43" s="2"/>
      <c r="AI43" s="2"/>
      <c r="AJ43" s="73"/>
      <c r="AK43" s="100"/>
      <c r="AL43" s="73"/>
    </row>
    <row r="44" spans="1:38" ht="15" customHeight="1">
      <c r="B44" s="73" t="s">
        <v>239</v>
      </c>
      <c r="C44" s="100">
        <f t="array" ref="C44">INDEX(B31:G31,IF(MATCH(C42,B31:G31,1)&lt;E44,MATCH(C42,B31:G31,1)+1,MATCH(C42,B31:G31,1)))</f>
        <v>3500</v>
      </c>
      <c r="D44" s="73" t="s">
        <v>182</v>
      </c>
      <c r="E44" s="88">
        <f>MATCH(MAX(B31:G31),B31:G31,0)</f>
        <v>6</v>
      </c>
      <c r="G44" s="2"/>
      <c r="H44" s="2"/>
      <c r="I44" s="2"/>
      <c r="J44" s="73"/>
      <c r="K44" s="100"/>
      <c r="L44" s="73"/>
      <c r="M44" s="88"/>
      <c r="O44" s="73" t="s">
        <v>239</v>
      </c>
      <c r="P44" s="100" t="e">
        <f t="array" ref="P44">INDEX(O31:S31,IF(MATCH(P42,O31:S31,1)&lt;R44,MATCH(P42,O31:S31,1)+1,MATCH(P42,O31:S31,1)))</f>
        <v>#N/A</v>
      </c>
      <c r="Q44" s="73" t="s">
        <v>182</v>
      </c>
      <c r="R44" s="88">
        <f>MATCH(MAX(O31:S31),O31:S31,0)</f>
        <v>5</v>
      </c>
      <c r="T44" s="2"/>
      <c r="U44" s="2"/>
      <c r="V44" s="2"/>
      <c r="W44" s="73"/>
      <c r="X44" s="100"/>
      <c r="Y44" s="73"/>
      <c r="AB44" s="73" t="s">
        <v>239</v>
      </c>
      <c r="AC44" s="100" t="e">
        <f t="array" ref="AC44">INDEX(AB31:AG31,IF(MATCH(AC42,AB31:AG31,1)&lt;AE44,MATCH(AC42,AB31:AG31,1)+1,MATCH(AC42,AB31:AG31,1)))</f>
        <v>#N/A</v>
      </c>
      <c r="AD44" s="73" t="s">
        <v>182</v>
      </c>
      <c r="AE44" s="88">
        <f>MATCH(MAX(AB31:AG31),AB31:AG31,0)</f>
        <v>6</v>
      </c>
      <c r="AG44" s="2"/>
      <c r="AH44" s="2"/>
      <c r="AI44" s="2"/>
      <c r="AJ44" s="73"/>
      <c r="AK44" s="100"/>
      <c r="AL44" s="73"/>
    </row>
    <row r="45" spans="1:38" ht="15" customHeight="1">
      <c r="B45" s="96" t="s">
        <v>184</v>
      </c>
      <c r="C45" s="155">
        <f>'Take-off'!$C$14</f>
        <v>12500</v>
      </c>
      <c r="D45" s="2"/>
      <c r="E45" s="2"/>
      <c r="G45" s="2"/>
      <c r="H45" s="2"/>
      <c r="I45" s="2"/>
      <c r="J45" s="98"/>
      <c r="K45" s="155"/>
      <c r="L45" s="2"/>
      <c r="M45" s="2"/>
      <c r="O45" s="96" t="s">
        <v>184</v>
      </c>
      <c r="P45" s="155">
        <f>'Take-off'!$C$14</f>
        <v>12500</v>
      </c>
      <c r="Q45" s="2"/>
      <c r="R45" s="2"/>
      <c r="T45" s="2"/>
      <c r="U45" s="2"/>
      <c r="V45" s="2"/>
      <c r="W45" s="98"/>
      <c r="X45" s="155"/>
      <c r="Y45" s="2"/>
      <c r="AB45" s="96" t="s">
        <v>184</v>
      </c>
      <c r="AC45" s="155">
        <f>'Take-off'!$C$14</f>
        <v>12500</v>
      </c>
      <c r="AD45" s="2"/>
      <c r="AE45" s="2"/>
      <c r="AG45" s="2"/>
      <c r="AH45" s="2"/>
      <c r="AI45" s="2"/>
      <c r="AJ45" s="98"/>
      <c r="AK45" s="155"/>
      <c r="AL45" s="2"/>
    </row>
    <row r="46" spans="1:38" ht="15" customHeight="1">
      <c r="B46" s="73" t="s">
        <v>185</v>
      </c>
      <c r="C46" s="100">
        <f t="array" ref="C46">INDEX(A32:A40,MATCH(C45,A32:A40,1))</f>
        <v>12500</v>
      </c>
      <c r="D46" s="2"/>
      <c r="E46" s="92"/>
      <c r="G46" s="2"/>
      <c r="H46" s="2"/>
      <c r="I46" s="2"/>
      <c r="J46" s="73"/>
      <c r="K46" s="100"/>
      <c r="L46" s="2"/>
      <c r="M46" s="92"/>
      <c r="O46" s="73" t="s">
        <v>185</v>
      </c>
      <c r="P46" s="100">
        <f t="array" ref="P46">INDEX(N32:N40,MATCH(P45,N32:N40,1))</f>
        <v>12000</v>
      </c>
      <c r="Q46" s="2"/>
      <c r="R46" s="92"/>
      <c r="T46" s="2"/>
      <c r="U46" s="2"/>
      <c r="V46" s="2"/>
      <c r="W46" s="73"/>
      <c r="X46" s="100"/>
      <c r="Y46" s="2"/>
      <c r="AB46" s="73" t="s">
        <v>185</v>
      </c>
      <c r="AC46" s="100">
        <f t="array" ref="AC46">INDEX(AA32:AA40,MATCH(AC45,AA32:AA40,1))</f>
        <v>12500</v>
      </c>
      <c r="AD46" s="2"/>
      <c r="AE46" s="92"/>
      <c r="AG46" s="2"/>
      <c r="AH46" s="2"/>
      <c r="AI46" s="2"/>
      <c r="AJ46" s="73"/>
      <c r="AK46" s="100"/>
      <c r="AL46" s="2"/>
    </row>
    <row r="47" spans="1:38" ht="15" customHeight="1">
      <c r="B47" s="73" t="s">
        <v>186</v>
      </c>
      <c r="C47" s="100">
        <f t="array" ref="C47">INDEX(A32:A40,IF(MATCH(C45,A32:A40,1)&lt;E43,MATCH(C45,A32:A40,1)+1,MATCH(C45,A32:A40,1)))</f>
        <v>12600</v>
      </c>
      <c r="D47" s="2"/>
      <c r="E47" s="92"/>
      <c r="G47" s="2"/>
      <c r="H47" s="2"/>
      <c r="I47" s="2"/>
      <c r="J47" s="73"/>
      <c r="K47" s="100"/>
      <c r="L47" s="2"/>
      <c r="M47" s="92"/>
      <c r="O47" s="73" t="s">
        <v>186</v>
      </c>
      <c r="P47" s="100">
        <f t="array" ref="P47">INDEX(N32:N40,IF(MATCH(P45,N32:N40,1)&lt;R43,MATCH(P45,N32:N40,1)+1,MATCH(P45,N32:N40,1)))</f>
        <v>13000</v>
      </c>
      <c r="Q47" s="2"/>
      <c r="R47" s="92"/>
      <c r="T47" s="2"/>
      <c r="U47" s="2"/>
      <c r="V47" s="2"/>
      <c r="W47" s="73"/>
      <c r="X47" s="100"/>
      <c r="Y47" s="2"/>
      <c r="AB47" s="73" t="s">
        <v>186</v>
      </c>
      <c r="AC47" s="100">
        <f t="array" ref="AC47">INDEX(AA32:AA40,IF(MATCH(AC45,AA32:AA40,1)&lt;AE43,MATCH(AC45,AA32:AA40,1)+1,MATCH(AC45,AA32:AA40,1)))</f>
        <v>12600</v>
      </c>
      <c r="AD47" s="2"/>
      <c r="AE47" s="92"/>
      <c r="AG47" s="2"/>
      <c r="AH47" s="2"/>
      <c r="AI47" s="2"/>
      <c r="AJ47" s="73"/>
      <c r="AK47" s="100"/>
      <c r="AL47" s="2"/>
    </row>
    <row r="48" spans="1:38" ht="15" customHeight="1">
      <c r="B48" s="98" t="s">
        <v>187</v>
      </c>
      <c r="C48" s="97">
        <f t="array" ref="C48">INDEX(B32:G40,MATCH(C45,A32:A40,1),MATCH(C42,B31:G31,1))</f>
        <v>3000</v>
      </c>
      <c r="D48" s="2"/>
      <c r="E48" s="92"/>
      <c r="G48" s="2"/>
      <c r="H48" s="2"/>
      <c r="I48" s="2"/>
      <c r="J48" s="98"/>
      <c r="K48" s="97"/>
      <c r="L48" s="2"/>
      <c r="M48" s="92"/>
      <c r="O48" s="98" t="s">
        <v>187</v>
      </c>
      <c r="P48" s="97" t="e">
        <f t="array" ref="P48">INDEX(O32:S40,MATCH(P45,N32:N40,1),MATCH(P42,O31:S31,1))</f>
        <v>#N/A</v>
      </c>
      <c r="Q48" s="2"/>
      <c r="R48" s="92"/>
      <c r="T48" s="2"/>
      <c r="U48" s="2"/>
      <c r="V48" s="2"/>
      <c r="W48" s="98"/>
      <c r="X48" s="97"/>
      <c r="Y48" s="2"/>
      <c r="AB48" s="98" t="s">
        <v>187</v>
      </c>
      <c r="AC48" s="97" t="e">
        <f t="array" ref="AC48">INDEX(AB32:AG40,MATCH(AC45,AA32:AA40,1),MATCH(AC42,AB31:AG31,1))</f>
        <v>#N/A</v>
      </c>
      <c r="AD48" s="2"/>
      <c r="AE48" s="92"/>
      <c r="AG48" s="2"/>
      <c r="AH48" s="2"/>
      <c r="AI48" s="2"/>
      <c r="AJ48" s="98"/>
      <c r="AK48" s="97"/>
      <c r="AL48" s="2"/>
    </row>
    <row r="49" spans="1:40" ht="15" customHeight="1">
      <c r="B49" s="98" t="s">
        <v>240</v>
      </c>
      <c r="C49" s="97">
        <f t="array" ref="C49">INDEX(B32:G40,MATCH(C45,A32:A40,1),IF(MATCH(C42,B31:G31,1)&lt;E44,MATCH(C42,B31:G31,1)+1,MATCH(C45,A32:A40,1)))</f>
        <v>3500</v>
      </c>
      <c r="E49" s="92"/>
      <c r="G49" s="2"/>
      <c r="H49" s="2"/>
      <c r="I49" s="2"/>
      <c r="J49" s="98"/>
      <c r="K49" s="97"/>
      <c r="M49" s="92"/>
      <c r="O49" s="98" t="s">
        <v>240</v>
      </c>
      <c r="P49" s="97" t="e">
        <f t="array" ref="P49">INDEX(O32:S40,MATCH(P45,N32:N40,1),IF(MATCH(P42,O31:S31,1)&lt;R44,MATCH(P42,O31:S31,1)+1,MATCH(P45,N32:N40,1)))</f>
        <v>#N/A</v>
      </c>
      <c r="R49" s="92"/>
      <c r="T49" s="2"/>
      <c r="U49" s="2"/>
      <c r="V49" s="2"/>
      <c r="W49" s="98"/>
      <c r="X49" s="97"/>
      <c r="AB49" s="98" t="s">
        <v>240</v>
      </c>
      <c r="AC49" s="97" t="e">
        <f t="array" ref="AC49">INDEX(AB32:AG40,MATCH(AC45,AA32:AA40,1),IF(MATCH(AC42,AB31:AG31,1)&lt;AE44,MATCH(AC42,AB31:AG31,1)+1,MATCH(AC45,AA32:AA40,1)))</f>
        <v>#N/A</v>
      </c>
      <c r="AE49" s="92"/>
      <c r="AG49" s="2"/>
      <c r="AH49" s="2"/>
      <c r="AI49" s="2"/>
      <c r="AJ49" s="98"/>
      <c r="AK49" s="97"/>
    </row>
    <row r="50" spans="1:40" ht="15" customHeight="1">
      <c r="B50" s="98" t="s">
        <v>188</v>
      </c>
      <c r="C50" s="97">
        <f t="array" ref="C50">INDEX(B32:G40,IF(MATCH(C45,A32:A40,1)&lt;E43,MATCH(C45,A32:A40,1)+1,MATCH(C45,A32:A40,1)),MATCH(C42,B31:G31,1))</f>
        <v>99999</v>
      </c>
      <c r="E50" s="92"/>
      <c r="G50" s="2"/>
      <c r="H50" s="2"/>
      <c r="I50" s="2"/>
      <c r="J50" s="98"/>
      <c r="K50" s="97"/>
      <c r="M50" s="92"/>
      <c r="O50" s="98" t="s">
        <v>188</v>
      </c>
      <c r="P50" s="97" t="e">
        <f t="array" ref="P50">INDEX(O32:S40,IF(MATCH(P45,N32:N40,1)&lt;R43,MATCH(P45,N32:N40,1)+1,MATCH(P45,N32:N40,1)),MATCH(P42,O31:S31,1))</f>
        <v>#N/A</v>
      </c>
      <c r="R50" s="92"/>
      <c r="T50" s="2"/>
      <c r="U50" s="2"/>
      <c r="V50" s="2"/>
      <c r="W50" s="98"/>
      <c r="X50" s="97"/>
      <c r="AB50" s="98" t="s">
        <v>188</v>
      </c>
      <c r="AC50" s="97" t="e">
        <f t="array" ref="AC50">INDEX(AB32:AG40,IF(MATCH(AC45,AA32:AA40,1)&lt;AE43,MATCH(AC45,AA32:AA40,1)+1,MATCH(AC45,AA32:AA40,1)),MATCH(AC42,AB31:AG31,1))</f>
        <v>#N/A</v>
      </c>
      <c r="AE50" s="92"/>
      <c r="AG50" s="2"/>
      <c r="AH50" s="2"/>
      <c r="AI50" s="2"/>
      <c r="AJ50" s="98"/>
      <c r="AK50" s="97"/>
    </row>
    <row r="51" spans="1:40" ht="15" customHeight="1">
      <c r="B51" s="98" t="s">
        <v>241</v>
      </c>
      <c r="C51" s="97">
        <f t="array" ref="C51">INDEX(B32:G40,IF(MATCH(C45,A32:A40,1)&lt;E43,MATCH(C45,A32:A40,1)+1,MATCH(C45,A32:A40,1)),IF(MATCH(C42,B31:G31,1)&lt;E44,MATCH(C42,B31:G31,1)+1,MATCH(C42,B31:G31,1)))</f>
        <v>99999</v>
      </c>
      <c r="G51" s="2"/>
      <c r="H51" s="2"/>
      <c r="I51" s="2"/>
      <c r="J51" s="98"/>
      <c r="K51" s="97"/>
      <c r="O51" s="98" t="s">
        <v>241</v>
      </c>
      <c r="P51" s="97" t="e">
        <f t="array" ref="P51">INDEX(O32:S40,IF(MATCH(P45,N32:N40,1)&lt;R43,MATCH(P45,N32:N40,1)+1,MATCH(P45,N32:N40,1)),IF(MATCH(P42,O31:S31,1)&lt;R44,MATCH(P42,O31:S31,1)+1,MATCH(P42,O31:S31,1)))</f>
        <v>#N/A</v>
      </c>
      <c r="T51" s="2"/>
      <c r="U51" s="2"/>
      <c r="V51" s="2"/>
      <c r="W51" s="98"/>
      <c r="X51" s="97"/>
      <c r="AB51" s="98" t="s">
        <v>241</v>
      </c>
      <c r="AC51" s="97" t="e">
        <f t="array" ref="AC51">INDEX(AB32:AG40,IF(MATCH(AC45,AA32:AA40,1)&lt;AE43,MATCH(AC45,AA32:AA40,1)+1,MATCH(AC45,AA32:AA40,1)),IF(MATCH(AC42,AB31:AG31,1)&lt;AE44,MATCH(AC42,AB31:AG31,1)+1,MATCH(AC42,AB31:AG31,1)))</f>
        <v>#N/A</v>
      </c>
      <c r="AG51" s="2"/>
      <c r="AH51" s="2"/>
      <c r="AI51" s="2"/>
      <c r="AJ51" s="98"/>
      <c r="AK51" s="97"/>
    </row>
    <row r="52" spans="1:40" ht="15" customHeight="1">
      <c r="B52" s="73" t="s">
        <v>242</v>
      </c>
      <c r="C52" s="100">
        <f>IFERROR(C48+(C42-C43)*(C49-C48)/(C44-C43),C48)</f>
        <v>3040</v>
      </c>
      <c r="G52" s="2"/>
      <c r="H52" s="2"/>
      <c r="I52" s="2"/>
      <c r="J52" s="73"/>
      <c r="K52" s="100"/>
      <c r="O52" s="73" t="s">
        <v>242</v>
      </c>
      <c r="P52" s="100" t="e">
        <f>IFERROR(P48+(P42-P43)*(P49-P48)/(P44-P43),P48)</f>
        <v>#N/A</v>
      </c>
      <c r="T52" s="2"/>
      <c r="U52" s="2"/>
      <c r="V52" s="2"/>
      <c r="W52" s="73"/>
      <c r="X52" s="100"/>
      <c r="AB52" s="73" t="s">
        <v>242</v>
      </c>
      <c r="AC52" s="100" t="e">
        <f>IFERROR(AC48+(AC42-AC43)*(AC49-AC48)/(AC44-AC43),AC48)</f>
        <v>#N/A</v>
      </c>
      <c r="AG52" s="2"/>
      <c r="AH52" s="2"/>
      <c r="AI52" s="2"/>
      <c r="AJ52" s="73"/>
      <c r="AK52" s="100"/>
    </row>
    <row r="53" spans="1:40" ht="15" customHeight="1">
      <c r="B53" s="73" t="s">
        <v>243</v>
      </c>
      <c r="C53" s="100">
        <f>IFERROR(C50+(C42-C43)*(C51-C50)/(C44-C43),C50)</f>
        <v>99999</v>
      </c>
      <c r="G53" s="2"/>
      <c r="H53" s="2"/>
      <c r="I53" s="2"/>
      <c r="J53" s="73"/>
      <c r="K53" s="100"/>
      <c r="O53" s="73" t="s">
        <v>243</v>
      </c>
      <c r="P53" s="100" t="e">
        <f>IFERROR(P50+(P42-P43)*(P51-P50)/(P44-P43),P50)</f>
        <v>#N/A</v>
      </c>
      <c r="T53" s="2"/>
      <c r="U53" s="2"/>
      <c r="V53" s="2"/>
      <c r="W53" s="73"/>
      <c r="X53" s="100"/>
      <c r="AB53" s="73" t="s">
        <v>243</v>
      </c>
      <c r="AC53" s="100" t="e">
        <f>IFERROR(AC50+(AC42-AC43)*(AC51-AC50)/(AC44-AC43),AC50)</f>
        <v>#N/A</v>
      </c>
      <c r="AG53" s="2"/>
      <c r="AH53" s="2"/>
      <c r="AI53" s="2"/>
      <c r="AJ53" s="73"/>
      <c r="AK53" s="100"/>
    </row>
    <row r="54" spans="1:40" ht="15" customHeight="1">
      <c r="B54" s="98" t="s">
        <v>244</v>
      </c>
      <c r="C54" s="97">
        <f>IFERROR(C52+(C45-C46)*(C53-C52)/(C47-C46),C52)</f>
        <v>3040</v>
      </c>
      <c r="G54" s="2"/>
      <c r="H54" s="2"/>
      <c r="I54" s="2"/>
      <c r="J54" s="98"/>
      <c r="K54" s="97"/>
      <c r="O54" s="98" t="s">
        <v>244</v>
      </c>
      <c r="P54" s="97" t="e">
        <f>IFERROR(P52+(P45-P46)*(P53-P52)/(P47-P46),P52)</f>
        <v>#N/A</v>
      </c>
      <c r="T54" s="2"/>
      <c r="U54" s="2"/>
      <c r="V54" s="2"/>
      <c r="W54" s="98"/>
      <c r="X54" s="97"/>
      <c r="AB54" s="98" t="s">
        <v>244</v>
      </c>
      <c r="AC54" s="97" t="e">
        <f>IFERROR(AC52+(AC45-AC46)*(AC53-AC52)/(AC47-AC46),AC52)</f>
        <v>#N/A</v>
      </c>
      <c r="AG54" s="2"/>
      <c r="AH54" s="2"/>
      <c r="AI54" s="2"/>
      <c r="AJ54" s="98"/>
      <c r="AK54" s="97"/>
    </row>
    <row r="55" spans="1:40" ht="15" customHeight="1">
      <c r="J55" s="12"/>
      <c r="K55" s="12"/>
      <c r="L55" s="12"/>
      <c r="M55" s="12"/>
      <c r="W55" s="12"/>
      <c r="X55" s="12"/>
      <c r="Y55" s="12"/>
      <c r="AJ55" s="12"/>
      <c r="AK55" s="12"/>
      <c r="AL55" s="12"/>
    </row>
    <row r="56" spans="1:40" ht="15" customHeight="1">
      <c r="A56" s="12"/>
      <c r="B56" s="251" t="s">
        <v>246</v>
      </c>
      <c r="C56" s="262"/>
      <c r="D56" s="262"/>
      <c r="E56" s="262"/>
      <c r="F56" s="262"/>
      <c r="G56" s="262"/>
      <c r="H56" s="262"/>
      <c r="I56" s="262"/>
      <c r="J56" s="82"/>
      <c r="K56" s="82"/>
      <c r="L56" s="82"/>
      <c r="M56" s="82"/>
      <c r="N56" s="12"/>
      <c r="O56" s="251" t="s">
        <v>246</v>
      </c>
      <c r="P56" s="262"/>
      <c r="Q56" s="262"/>
      <c r="R56" s="262"/>
      <c r="S56" s="262"/>
      <c r="T56" s="262"/>
      <c r="U56" s="262"/>
      <c r="V56" s="262"/>
      <c r="W56" s="82"/>
      <c r="X56" s="82"/>
      <c r="Y56" s="82"/>
      <c r="AA56" s="12"/>
      <c r="AB56" s="251" t="s">
        <v>246</v>
      </c>
      <c r="AC56" s="262"/>
      <c r="AD56" s="262"/>
      <c r="AE56" s="262"/>
      <c r="AF56" s="262"/>
      <c r="AG56" s="262"/>
      <c r="AH56" s="262"/>
      <c r="AI56" s="262"/>
      <c r="AJ56" s="82"/>
      <c r="AK56" s="82"/>
      <c r="AL56" s="82"/>
    </row>
    <row r="57" spans="1:40" ht="15" customHeight="1">
      <c r="A57" s="12" t="s">
        <v>42</v>
      </c>
      <c r="B57" s="199">
        <v>2000</v>
      </c>
      <c r="C57" s="199">
        <v>2500</v>
      </c>
      <c r="D57" s="199">
        <v>3000</v>
      </c>
      <c r="E57" s="199">
        <v>3500</v>
      </c>
      <c r="F57" s="190">
        <v>4000</v>
      </c>
      <c r="G57" s="190">
        <v>4500</v>
      </c>
      <c r="H57" s="192">
        <v>5000</v>
      </c>
      <c r="I57" s="12"/>
      <c r="J57" s="12"/>
      <c r="K57" s="12"/>
      <c r="L57" s="12"/>
      <c r="M57" s="12"/>
      <c r="N57" s="12" t="s">
        <v>42</v>
      </c>
      <c r="O57" s="189">
        <v>2400</v>
      </c>
      <c r="P57" s="199">
        <v>2800</v>
      </c>
      <c r="Q57" s="199">
        <v>3500</v>
      </c>
      <c r="R57" s="199">
        <v>4350</v>
      </c>
      <c r="S57" s="199">
        <v>5100</v>
      </c>
      <c r="T57" s="199">
        <v>5900</v>
      </c>
      <c r="U57" s="192">
        <v>6000</v>
      </c>
      <c r="W57" s="12"/>
      <c r="X57" s="12"/>
      <c r="Y57" s="12"/>
      <c r="AA57" s="12" t="s">
        <v>42</v>
      </c>
      <c r="AB57" s="189">
        <v>2600</v>
      </c>
      <c r="AC57" s="199">
        <v>3100</v>
      </c>
      <c r="AD57" s="199">
        <v>3550</v>
      </c>
      <c r="AE57" s="199">
        <v>4000</v>
      </c>
      <c r="AF57" s="199">
        <v>4450</v>
      </c>
      <c r="AG57" s="199">
        <v>4900</v>
      </c>
      <c r="AH57" s="201">
        <v>5500</v>
      </c>
      <c r="AI57" s="83"/>
      <c r="AJ57" s="12"/>
      <c r="AL57" s="12"/>
      <c r="AM57" s="12"/>
      <c r="AN57" s="12"/>
    </row>
    <row r="58" spans="1:40" ht="15" customHeight="1">
      <c r="A58" s="12">
        <v>-10</v>
      </c>
      <c r="B58" s="189">
        <v>2200</v>
      </c>
      <c r="C58" s="199">
        <v>2750</v>
      </c>
      <c r="D58" s="199">
        <v>3350</v>
      </c>
      <c r="E58" s="199">
        <v>3950</v>
      </c>
      <c r="F58" s="199">
        <v>4500</v>
      </c>
      <c r="G58" s="199">
        <v>5100</v>
      </c>
      <c r="H58" s="201">
        <v>99999</v>
      </c>
      <c r="I58" s="12"/>
      <c r="J58" s="12"/>
      <c r="K58" s="12"/>
      <c r="N58" s="12">
        <v>-10</v>
      </c>
      <c r="O58" s="189"/>
      <c r="P58" s="199"/>
      <c r="Q58" s="199"/>
      <c r="R58" s="199"/>
      <c r="S58" s="199"/>
      <c r="T58" s="199"/>
      <c r="U58" s="201">
        <v>99999</v>
      </c>
      <c r="W58" s="12"/>
      <c r="AA58" s="12">
        <v>-10</v>
      </c>
      <c r="AB58" s="189"/>
      <c r="AC58" s="199"/>
      <c r="AD58" s="199"/>
      <c r="AE58" s="199"/>
      <c r="AF58" s="199"/>
      <c r="AG58" s="199"/>
      <c r="AH58" s="201">
        <v>99999</v>
      </c>
      <c r="AI58" s="82"/>
      <c r="AJ58" s="12"/>
      <c r="AL58" s="12"/>
    </row>
    <row r="59" spans="1:40" ht="15" customHeight="1">
      <c r="A59" s="12">
        <v>0</v>
      </c>
      <c r="B59" s="340">
        <v>2000</v>
      </c>
      <c r="C59" s="82">
        <v>2500</v>
      </c>
      <c r="D59" s="82">
        <v>3000</v>
      </c>
      <c r="E59" s="82">
        <v>3500</v>
      </c>
      <c r="F59" s="82">
        <v>4000</v>
      </c>
      <c r="G59" s="82">
        <v>4500</v>
      </c>
      <c r="H59" s="201">
        <v>99999</v>
      </c>
      <c r="I59" s="12"/>
      <c r="J59" s="12"/>
      <c r="K59" s="12"/>
      <c r="N59" s="12">
        <v>0</v>
      </c>
      <c r="O59" s="340"/>
      <c r="P59" s="82"/>
      <c r="Q59" s="82"/>
      <c r="R59" s="82"/>
      <c r="S59" s="82"/>
      <c r="T59" s="82"/>
      <c r="U59" s="201">
        <v>99999</v>
      </c>
      <c r="W59" s="12"/>
      <c r="AA59" s="12">
        <v>0</v>
      </c>
      <c r="AB59" s="340"/>
      <c r="AC59" s="82"/>
      <c r="AD59" s="82"/>
      <c r="AE59" s="82"/>
      <c r="AF59" s="82"/>
      <c r="AG59" s="82"/>
      <c r="AH59" s="342">
        <v>99999</v>
      </c>
      <c r="AI59" s="82"/>
      <c r="AJ59" s="12"/>
      <c r="AL59" s="12"/>
    </row>
    <row r="60" spans="1:40" ht="15" customHeight="1">
      <c r="A60" s="12">
        <v>30</v>
      </c>
      <c r="B60" s="196">
        <v>1800</v>
      </c>
      <c r="C60" s="202">
        <v>2200</v>
      </c>
      <c r="D60" s="202">
        <v>2700</v>
      </c>
      <c r="E60" s="202">
        <v>3100</v>
      </c>
      <c r="F60" s="202">
        <v>3600</v>
      </c>
      <c r="G60" s="202">
        <v>4050</v>
      </c>
      <c r="H60" s="218">
        <v>99999</v>
      </c>
      <c r="I60" s="12"/>
      <c r="J60" s="12"/>
      <c r="K60" s="12"/>
      <c r="N60" s="12">
        <v>30</v>
      </c>
      <c r="O60" s="196"/>
      <c r="P60" s="202"/>
      <c r="Q60" s="202"/>
      <c r="R60" s="202"/>
      <c r="S60" s="202"/>
      <c r="T60" s="202"/>
      <c r="U60" s="218">
        <v>99999</v>
      </c>
      <c r="W60" s="12"/>
      <c r="AA60" s="12">
        <v>30</v>
      </c>
      <c r="AB60" s="196"/>
      <c r="AC60" s="202"/>
      <c r="AD60" s="202"/>
      <c r="AE60" s="202"/>
      <c r="AF60" s="202"/>
      <c r="AG60" s="202"/>
      <c r="AH60" s="215">
        <v>99999</v>
      </c>
      <c r="AI60" s="82"/>
      <c r="AJ60" s="12"/>
      <c r="AL60" s="12"/>
    </row>
    <row r="61" spans="1:40" ht="15" customHeight="1">
      <c r="B61" s="98"/>
      <c r="C61" s="97"/>
      <c r="D61" s="12"/>
      <c r="E61" s="12"/>
      <c r="F61" s="12"/>
      <c r="G61" s="2"/>
      <c r="H61" s="2"/>
      <c r="I61" s="2"/>
      <c r="J61" s="98"/>
      <c r="K61" s="97"/>
      <c r="O61" s="98"/>
      <c r="P61" s="97"/>
      <c r="Q61" s="12"/>
      <c r="R61" s="12"/>
      <c r="S61" s="12"/>
      <c r="T61" s="2"/>
      <c r="U61" s="2"/>
      <c r="V61" s="2"/>
      <c r="W61" s="98"/>
      <c r="X61" s="97"/>
      <c r="AB61" s="98"/>
      <c r="AC61" s="97"/>
      <c r="AD61" s="12"/>
      <c r="AE61" s="12"/>
      <c r="AF61" s="12"/>
      <c r="AG61" s="2"/>
      <c r="AH61" s="2"/>
      <c r="AI61" s="2"/>
      <c r="AJ61" s="98"/>
      <c r="AK61" s="97"/>
    </row>
    <row r="62" spans="1:40" ht="15" customHeight="1">
      <c r="B62" s="98" t="s">
        <v>183</v>
      </c>
      <c r="C62" s="97">
        <f>C54</f>
        <v>3040</v>
      </c>
      <c r="D62" s="251" t="s">
        <v>237</v>
      </c>
      <c r="E62" s="262"/>
      <c r="G62" s="2"/>
      <c r="H62" s="2"/>
      <c r="I62" s="2"/>
      <c r="J62" s="98"/>
      <c r="K62" s="97"/>
      <c r="L62" s="82"/>
      <c r="O62" s="98" t="s">
        <v>183</v>
      </c>
      <c r="P62" s="97" t="e">
        <f>P54</f>
        <v>#N/A</v>
      </c>
      <c r="Q62" s="251" t="s">
        <v>237</v>
      </c>
      <c r="R62" s="262"/>
      <c r="T62" s="2"/>
      <c r="U62" s="2"/>
      <c r="V62" s="2"/>
      <c r="W62" s="98"/>
      <c r="X62" s="97"/>
      <c r="Y62" s="82"/>
      <c r="AB62" s="98" t="s">
        <v>183</v>
      </c>
      <c r="AC62" s="97" t="e">
        <f>AC54</f>
        <v>#N/A</v>
      </c>
      <c r="AD62" s="251" t="s">
        <v>237</v>
      </c>
      <c r="AE62" s="262"/>
      <c r="AG62" s="2"/>
      <c r="AH62" s="2"/>
      <c r="AI62" s="2"/>
      <c r="AJ62" s="98"/>
      <c r="AK62" s="97"/>
      <c r="AL62" s="82"/>
    </row>
    <row r="63" spans="1:40" ht="15" customHeight="1">
      <c r="B63" s="73" t="s">
        <v>238</v>
      </c>
      <c r="C63" s="100">
        <f t="array" ref="C63">INDEX(B57:H57,MATCH(C62,B57:H57,1))</f>
        <v>3000</v>
      </c>
      <c r="D63" s="73" t="s">
        <v>181</v>
      </c>
      <c r="E63" s="88">
        <f>MATCH(MAX(A58:A60),A58:A60,1)</f>
        <v>3</v>
      </c>
      <c r="G63" s="2"/>
      <c r="H63" s="2"/>
      <c r="I63" s="2"/>
      <c r="J63" s="73"/>
      <c r="K63" s="100"/>
      <c r="L63" s="73"/>
      <c r="M63" s="88"/>
      <c r="O63" s="73" t="s">
        <v>238</v>
      </c>
      <c r="P63" s="100" t="e">
        <f t="array" ref="P63">INDEX(O57:U57,MATCH(P62,O57:U57,1))</f>
        <v>#N/A</v>
      </c>
      <c r="Q63" s="73" t="s">
        <v>181</v>
      </c>
      <c r="R63" s="88">
        <f>MATCH(MAX(N58:N60),N58:N60,1)</f>
        <v>3</v>
      </c>
      <c r="T63" s="2"/>
      <c r="U63" s="2"/>
      <c r="V63" s="2"/>
      <c r="W63" s="73"/>
      <c r="X63" s="100"/>
      <c r="Y63" s="73"/>
      <c r="AB63" s="73" t="s">
        <v>238</v>
      </c>
      <c r="AC63" s="100" t="e">
        <f t="array" ref="AC63">INDEX(AB57:AH57,MATCH(AC62,AB57:AH57,1))</f>
        <v>#N/A</v>
      </c>
      <c r="AD63" s="73" t="s">
        <v>181</v>
      </c>
      <c r="AE63" s="88">
        <f>MATCH(MAX(AA58:AA60),AA58:AA60,1)</f>
        <v>3</v>
      </c>
      <c r="AG63" s="2"/>
      <c r="AH63" s="2"/>
      <c r="AI63" s="2"/>
      <c r="AJ63" s="73"/>
      <c r="AK63" s="100"/>
      <c r="AL63" s="73"/>
    </row>
    <row r="64" spans="1:40" ht="15" customHeight="1">
      <c r="B64" s="73" t="s">
        <v>239</v>
      </c>
      <c r="C64" s="100">
        <f t="array" ref="C64">INDEX(B57:H57,IF(MATCH(C62,B57:H57,1)&lt;E64,MATCH(C62,B57:H57,1)+1,MATCH(C62,B57:H57,1)))</f>
        <v>3500</v>
      </c>
      <c r="D64" s="73" t="s">
        <v>182</v>
      </c>
      <c r="E64" s="88">
        <f>MATCH(MAX(B57:H57),B57:H57,0)</f>
        <v>7</v>
      </c>
      <c r="G64" s="2"/>
      <c r="H64" s="2"/>
      <c r="I64" s="2"/>
      <c r="J64" s="73"/>
      <c r="K64" s="100"/>
      <c r="L64" s="73"/>
      <c r="M64" s="88"/>
      <c r="O64" s="73" t="s">
        <v>239</v>
      </c>
      <c r="P64" s="100" t="e">
        <f t="array" ref="P64">INDEX(O57:U57,IF(MATCH(P62,O57:U57,1)&lt;R64,MATCH(P62,O57:U57,1)+1,MATCH(P62,O57:U57,1)))</f>
        <v>#N/A</v>
      </c>
      <c r="Q64" s="73" t="s">
        <v>182</v>
      </c>
      <c r="R64" s="88">
        <f>MATCH(MAX(O57:U57),O57:U57,0)</f>
        <v>7</v>
      </c>
      <c r="T64" s="2"/>
      <c r="U64" s="2"/>
      <c r="V64" s="2"/>
      <c r="W64" s="73"/>
      <c r="X64" s="100"/>
      <c r="Y64" s="73"/>
      <c r="AB64" s="73" t="s">
        <v>239</v>
      </c>
      <c r="AC64" s="100" t="e">
        <f t="array" ref="AC64">INDEX(AB57:AH57,IF(MATCH(AC62,AB57:AH57,1)&lt;AE64,MATCH(AC62,AB57:AH57,1)+1,MATCH(AC62,AB57:AH57,1)))</f>
        <v>#N/A</v>
      </c>
      <c r="AD64" s="73" t="s">
        <v>182</v>
      </c>
      <c r="AE64" s="88">
        <f>MATCH(MAX(AB57:AH57),AB57:AH57,0)</f>
        <v>7</v>
      </c>
      <c r="AG64" s="2"/>
      <c r="AH64" s="2"/>
      <c r="AI64" s="2"/>
      <c r="AJ64" s="73"/>
      <c r="AK64" s="100"/>
      <c r="AL64" s="73"/>
    </row>
    <row r="65" spans="2:38" ht="15" customHeight="1">
      <c r="B65" s="96" t="s">
        <v>184</v>
      </c>
      <c r="C65" s="155">
        <f>'Take-off'!$C$24</f>
        <v>0</v>
      </c>
      <c r="D65" s="2"/>
      <c r="E65" s="2"/>
      <c r="G65" s="2"/>
      <c r="H65" s="2"/>
      <c r="I65" s="2"/>
      <c r="J65" s="98"/>
      <c r="K65" s="155"/>
      <c r="L65" s="2"/>
      <c r="M65" s="2"/>
      <c r="O65" s="96" t="s">
        <v>184</v>
      </c>
      <c r="P65" s="155">
        <f>'Take-off'!$C$24</f>
        <v>0</v>
      </c>
      <c r="Q65" s="2"/>
      <c r="R65" s="2"/>
      <c r="T65" s="2"/>
      <c r="U65" s="2"/>
      <c r="V65" s="2"/>
      <c r="W65" s="98"/>
      <c r="X65" s="155"/>
      <c r="Y65" s="2"/>
      <c r="AB65" s="96" t="s">
        <v>184</v>
      </c>
      <c r="AC65" s="155">
        <f>'Take-off'!$C$24</f>
        <v>0</v>
      </c>
      <c r="AD65" s="2"/>
      <c r="AE65" s="2"/>
      <c r="AG65" s="2"/>
      <c r="AH65" s="2"/>
      <c r="AI65" s="2"/>
      <c r="AJ65" s="98"/>
      <c r="AK65" s="155"/>
      <c r="AL65" s="2"/>
    </row>
    <row r="66" spans="2:38" ht="15" customHeight="1">
      <c r="B66" s="73" t="s">
        <v>185</v>
      </c>
      <c r="C66" s="100">
        <f t="array" ref="C66">INDEX(A58:A60,MATCH(C65,A58:A60,1))</f>
        <v>0</v>
      </c>
      <c r="D66" s="2"/>
      <c r="E66" s="92"/>
      <c r="G66" s="2"/>
      <c r="H66" s="2"/>
      <c r="I66" s="2"/>
      <c r="J66" s="73"/>
      <c r="K66" s="100"/>
      <c r="L66" s="2"/>
      <c r="M66" s="92"/>
      <c r="O66" s="73" t="s">
        <v>185</v>
      </c>
      <c r="P66" s="100">
        <f t="array" ref="P66">INDEX(N58:N60,MATCH(P65,N58:N60,1))</f>
        <v>0</v>
      </c>
      <c r="Q66" s="2"/>
      <c r="R66" s="92"/>
      <c r="T66" s="2"/>
      <c r="U66" s="2"/>
      <c r="V66" s="2"/>
      <c r="W66" s="73"/>
      <c r="X66" s="100"/>
      <c r="Y66" s="2"/>
      <c r="AB66" s="73" t="s">
        <v>185</v>
      </c>
      <c r="AC66" s="100">
        <f t="array" ref="AC66">INDEX(AA58:AA60,MATCH(AC65,AA58:AA60,1))</f>
        <v>0</v>
      </c>
      <c r="AD66" s="2"/>
      <c r="AE66" s="92"/>
      <c r="AG66" s="2"/>
      <c r="AH66" s="2"/>
      <c r="AI66" s="2"/>
      <c r="AJ66" s="73"/>
      <c r="AK66" s="100"/>
      <c r="AL66" s="2"/>
    </row>
    <row r="67" spans="2:38" ht="15" customHeight="1">
      <c r="B67" s="73" t="s">
        <v>186</v>
      </c>
      <c r="C67" s="100">
        <f t="array" ref="C67">INDEX(A58:A60,IF(MATCH(C65,A58:A60,1)&lt;E63,MATCH(C65,A58:A60,1)+1,MATCH(C65,A58:A60,1)))</f>
        <v>30</v>
      </c>
      <c r="D67" s="2"/>
      <c r="E67" s="92"/>
      <c r="G67" s="2"/>
      <c r="H67" s="2"/>
      <c r="I67" s="2"/>
      <c r="J67" s="73"/>
      <c r="K67" s="100"/>
      <c r="L67" s="2"/>
      <c r="M67" s="92"/>
      <c r="O67" s="73" t="s">
        <v>186</v>
      </c>
      <c r="P67" s="100">
        <f t="array" ref="P67">INDEX(N58:N60,IF(MATCH(P65,N58:N60,1)&lt;R63,MATCH(P65,N58:N60,1)+1,MATCH(P65,N58:N60,1)))</f>
        <v>30</v>
      </c>
      <c r="Q67" s="2"/>
      <c r="R67" s="92"/>
      <c r="T67" s="2"/>
      <c r="U67" s="2"/>
      <c r="V67" s="2"/>
      <c r="W67" s="73"/>
      <c r="X67" s="100"/>
      <c r="Y67" s="2"/>
      <c r="AB67" s="73" t="s">
        <v>186</v>
      </c>
      <c r="AC67" s="100">
        <f t="array" ref="AC67">INDEX(AA58:AA60,IF(MATCH(AC65,AA58:AA60,1)&lt;AE63,MATCH(AC65,AA58:AA60,1)+1,MATCH(AC65,AA58:AA60,1)))</f>
        <v>30</v>
      </c>
      <c r="AD67" s="2"/>
      <c r="AE67" s="92"/>
      <c r="AG67" s="2"/>
      <c r="AH67" s="2"/>
      <c r="AI67" s="2"/>
      <c r="AJ67" s="73"/>
      <c r="AK67" s="100"/>
      <c r="AL67" s="2"/>
    </row>
    <row r="68" spans="2:38" ht="15" customHeight="1">
      <c r="B68" s="98" t="s">
        <v>187</v>
      </c>
      <c r="C68" s="97">
        <f t="array" ref="C68">INDEX(B58:H60,MATCH(C65,A58:A60,1),MATCH(C62,B57:H57,1))</f>
        <v>3000</v>
      </c>
      <c r="D68" s="2"/>
      <c r="E68" s="92"/>
      <c r="G68" s="2"/>
      <c r="H68" s="2"/>
      <c r="I68" s="2"/>
      <c r="J68" s="98"/>
      <c r="K68" s="97"/>
      <c r="L68" s="2"/>
      <c r="M68" s="92"/>
      <c r="O68" s="98" t="s">
        <v>187</v>
      </c>
      <c r="P68" s="97" t="e">
        <f t="array" ref="P68">INDEX(O58:U60,MATCH(P65,N58:N60,1),MATCH(P62,O57:U57,1))</f>
        <v>#N/A</v>
      </c>
      <c r="Q68" s="2"/>
      <c r="R68" s="92"/>
      <c r="T68" s="2"/>
      <c r="U68" s="2"/>
      <c r="V68" s="2"/>
      <c r="W68" s="98"/>
      <c r="X68" s="97"/>
      <c r="Y68" s="2"/>
      <c r="AB68" s="98" t="s">
        <v>187</v>
      </c>
      <c r="AC68" s="97" t="e">
        <f t="array" ref="AC68">INDEX(AB58:AH60,MATCH(AC65,AA58:AA60,1),MATCH(AC62,AB57:AH57,1))</f>
        <v>#N/A</v>
      </c>
      <c r="AD68" s="2"/>
      <c r="AE68" s="92"/>
      <c r="AG68" s="2"/>
      <c r="AH68" s="2"/>
      <c r="AI68" s="2"/>
      <c r="AJ68" s="98"/>
      <c r="AK68" s="97"/>
      <c r="AL68" s="2"/>
    </row>
    <row r="69" spans="2:38" ht="15" customHeight="1">
      <c r="B69" s="98" t="s">
        <v>240</v>
      </c>
      <c r="C69" s="97">
        <f t="array" ref="C69">INDEX(B58:H60,MATCH(C65,A58:A60,1),IF(MATCH(C62,B57:H57,1)&lt;E64,MATCH(C62,B57:H57,1)+1,MATCH(C65,A58:A60,1)))</f>
        <v>3500</v>
      </c>
      <c r="E69" s="92"/>
      <c r="G69" s="2"/>
      <c r="H69" s="2"/>
      <c r="I69" s="2"/>
      <c r="J69" s="98"/>
      <c r="K69" s="97"/>
      <c r="M69" s="92"/>
      <c r="O69" s="98" t="s">
        <v>240</v>
      </c>
      <c r="P69" s="97" t="e">
        <f t="array" ref="P69">INDEX(O58:U60,MATCH(P65,N58:N60,1),IF(MATCH(P62,O57:U57,1)&lt;R64,MATCH(P62,O57:U57,1)+1,MATCH(P65,N58:N60,1)))</f>
        <v>#N/A</v>
      </c>
      <c r="R69" s="92"/>
      <c r="T69" s="2"/>
      <c r="U69" s="2"/>
      <c r="V69" s="2"/>
      <c r="W69" s="98"/>
      <c r="X69" s="97"/>
      <c r="AB69" s="98" t="s">
        <v>240</v>
      </c>
      <c r="AC69" s="97" t="e">
        <f t="array" ref="AC69">INDEX(AB58:AH60,MATCH(AC65,AA58:AA60,1),IF(MATCH(AC62,AB57:AH57,1)&lt;AE64,MATCH(AC62,AB57:AH57,1)+1,MATCH(AC65,AA58:AA60,1)))</f>
        <v>#N/A</v>
      </c>
      <c r="AE69" s="92"/>
      <c r="AG69" s="2"/>
      <c r="AH69" s="2"/>
      <c r="AI69" s="2"/>
      <c r="AJ69" s="98"/>
      <c r="AK69" s="97"/>
    </row>
    <row r="70" spans="2:38" ht="15" customHeight="1">
      <c r="B70" s="98" t="s">
        <v>188</v>
      </c>
      <c r="C70" s="97">
        <f t="array" ref="C70">INDEX(B58:H60,IF(MATCH(C65,A58:A60,1)&lt;E63,MATCH(C65,A58:A60,1)+1,MATCH(C65,A58:A60,1)),MATCH(C62,B57:H57,1))</f>
        <v>2700</v>
      </c>
      <c r="E70" s="92"/>
      <c r="G70" s="2"/>
      <c r="H70" s="2"/>
      <c r="I70" s="2"/>
      <c r="J70" s="98"/>
      <c r="K70" s="97"/>
      <c r="M70" s="92"/>
      <c r="O70" s="98" t="s">
        <v>188</v>
      </c>
      <c r="P70" s="97" t="e">
        <f t="array" ref="P70">INDEX(O58:U60,IF(MATCH(P65,N58:N60,1)&lt;R63,MATCH(P65,N58:N60,1)+1,MATCH(P65,N58:N60,1)),MATCH(P62,O57:U57,1))</f>
        <v>#N/A</v>
      </c>
      <c r="R70" s="92"/>
      <c r="T70" s="2"/>
      <c r="U70" s="2"/>
      <c r="V70" s="2"/>
      <c r="W70" s="98"/>
      <c r="X70" s="97"/>
      <c r="AB70" s="98" t="s">
        <v>188</v>
      </c>
      <c r="AC70" s="97" t="e">
        <f t="array" ref="AC70">INDEX(AB58:AH60,IF(MATCH(AC65,AA58:AA60,1)&lt;AE63,MATCH(AC65,AA58:AA60,1)+1,MATCH(AC65,AA58:AA60,1)),MATCH(AC62,AB57:AH57,1))</f>
        <v>#N/A</v>
      </c>
      <c r="AE70" s="92"/>
      <c r="AG70" s="2"/>
      <c r="AH70" s="2"/>
      <c r="AI70" s="2"/>
      <c r="AJ70" s="98"/>
      <c r="AK70" s="97"/>
    </row>
    <row r="71" spans="2:38" ht="15" customHeight="1">
      <c r="B71" s="98" t="s">
        <v>241</v>
      </c>
      <c r="C71" s="97">
        <f t="array" ref="C71">INDEX(B58:H60,IF(MATCH(C65,A58:A60,1)&lt;E63,MATCH(C65,A58:A60,1)+1,MATCH(C65,A58:A60,1)),IF(MATCH(C62,B57:H57,1)&lt;E64,MATCH(C62,B57:H57,1)+1,MATCH(C62,B57:H57,1)))</f>
        <v>3100</v>
      </c>
      <c r="G71" s="2"/>
      <c r="H71" s="2"/>
      <c r="I71" s="2"/>
      <c r="J71" s="98"/>
      <c r="K71" s="97"/>
      <c r="O71" s="98" t="s">
        <v>241</v>
      </c>
      <c r="P71" s="97" t="e">
        <f t="array" ref="P71">INDEX(O58:U60,IF(MATCH(P65,N58:N60,1)&lt;R63,MATCH(P65,N58:N60,1)+1,MATCH(P65,N58:N60,1)),IF(MATCH(P62,O57:U57,1)&lt;R64,MATCH(P62,O57:U57,1)+1,MATCH(P62,O57:U57,1)))</f>
        <v>#N/A</v>
      </c>
      <c r="T71" s="2"/>
      <c r="U71" s="2"/>
      <c r="V71" s="2"/>
      <c r="W71" s="98"/>
      <c r="X71" s="97"/>
      <c r="AB71" s="98" t="s">
        <v>241</v>
      </c>
      <c r="AC71" s="97" t="e">
        <f t="array" ref="AC71">INDEX(AB58:AH60,IF(MATCH(AC65,AA58:AA60,1)&lt;AE63,MATCH(AC65,AA58:AA60,1)+1,MATCH(AC65,AA58:AA60,1)),IF(MATCH(AC62,AB57:AH57,1)&lt;AE64,MATCH(AC62,AB57:AH57,1)+1,MATCH(AC62,AB57:AH57,1)))</f>
        <v>#N/A</v>
      </c>
      <c r="AG71" s="2"/>
      <c r="AH71" s="2"/>
      <c r="AI71" s="2"/>
      <c r="AJ71" s="98"/>
      <c r="AK71" s="97"/>
    </row>
    <row r="72" spans="2:38" ht="15" customHeight="1">
      <c r="B72" s="73" t="s">
        <v>242</v>
      </c>
      <c r="C72" s="100">
        <f>IFERROR(C68+(C62-C63)*(C69-C68)/(C64-C63),C68)</f>
        <v>3040</v>
      </c>
      <c r="G72" s="2"/>
      <c r="H72" s="2"/>
      <c r="I72" s="2"/>
      <c r="J72" s="73"/>
      <c r="K72" s="100"/>
      <c r="O72" s="73" t="s">
        <v>242</v>
      </c>
      <c r="P72" s="100" t="e">
        <f>IFERROR(P68+(P62-P63)*(P69-P68)/(P64-P63),P68)</f>
        <v>#N/A</v>
      </c>
      <c r="T72" s="2"/>
      <c r="U72" s="2"/>
      <c r="V72" s="2"/>
      <c r="W72" s="73"/>
      <c r="X72" s="100"/>
      <c r="AB72" s="73" t="s">
        <v>242</v>
      </c>
      <c r="AC72" s="100" t="e">
        <f>IFERROR(AC68+(AC62-AC63)*(AC69-AC68)/(AC64-AC63),AC68)</f>
        <v>#N/A</v>
      </c>
      <c r="AG72" s="2"/>
      <c r="AH72" s="2"/>
      <c r="AI72" s="2"/>
      <c r="AJ72" s="73"/>
      <c r="AK72" s="100"/>
    </row>
    <row r="73" spans="2:38" ht="15" customHeight="1">
      <c r="B73" s="73" t="s">
        <v>243</v>
      </c>
      <c r="C73" s="100">
        <f>IFERROR(C70+(C62-C63)*(C71-C70)/(C64-C63),C70)</f>
        <v>2732</v>
      </c>
      <c r="G73" s="2"/>
      <c r="H73" s="2"/>
      <c r="I73" s="2"/>
      <c r="J73" s="73"/>
      <c r="K73" s="100"/>
      <c r="O73" s="73" t="s">
        <v>243</v>
      </c>
      <c r="P73" s="100" t="e">
        <f>IFERROR(P70+(P62-P63)*(P71-P70)/(P64-P63),P70)</f>
        <v>#N/A</v>
      </c>
      <c r="T73" s="2"/>
      <c r="U73" s="2"/>
      <c r="V73" s="2"/>
      <c r="W73" s="73"/>
      <c r="X73" s="100"/>
      <c r="AB73" s="73" t="s">
        <v>243</v>
      </c>
      <c r="AC73" s="100" t="e">
        <f>IFERROR(AC70+(AC62-AC63)*(AC71-AC70)/(AC64-AC63),AC70)</f>
        <v>#N/A</v>
      </c>
      <c r="AG73" s="2"/>
      <c r="AH73" s="2"/>
      <c r="AI73" s="2"/>
      <c r="AJ73" s="73"/>
      <c r="AK73" s="100"/>
    </row>
    <row r="74" spans="2:38" ht="15" customHeight="1">
      <c r="B74" s="98" t="s">
        <v>244</v>
      </c>
      <c r="C74" s="97">
        <f>IFERROR(C72+(C65-C66)*(C73-C72)/(C67-C66),C72)</f>
        <v>3040</v>
      </c>
      <c r="G74" s="2"/>
      <c r="H74" s="2"/>
      <c r="I74" s="2"/>
      <c r="J74" s="98"/>
      <c r="K74" s="97"/>
      <c r="O74" s="98" t="s">
        <v>244</v>
      </c>
      <c r="P74" s="97" t="e">
        <f>IFERROR(P72+(P65-P66)*(P73-P72)/(P67-P66),P72)</f>
        <v>#N/A</v>
      </c>
      <c r="T74" s="2"/>
      <c r="U74" s="2"/>
      <c r="V74" s="2"/>
      <c r="W74" s="98"/>
      <c r="X74" s="97"/>
      <c r="AB74" s="98" t="s">
        <v>244</v>
      </c>
      <c r="AC74" s="97" t="e">
        <f>IFERROR(AC72+(AC65-AC66)*(AC73-AC72)/(AC67-AC66),AC72)</f>
        <v>#N/A</v>
      </c>
      <c r="AG74" s="2"/>
      <c r="AH74" s="2"/>
      <c r="AI74" s="2"/>
      <c r="AJ74" s="98"/>
      <c r="AK74" s="97"/>
    </row>
    <row r="75" spans="2:38" ht="15.75" customHeight="1"/>
    <row r="76" spans="2:38" ht="15.75" customHeight="1"/>
    <row r="77" spans="2:38" ht="15.75" customHeight="1"/>
    <row r="78" spans="2:38" ht="15.75" customHeight="1"/>
    <row r="79" spans="2:38" ht="15.75" customHeight="1"/>
    <row r="80" spans="2:38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B30:G30"/>
    <mergeCell ref="O30:T30"/>
    <mergeCell ref="AB30:AG30"/>
    <mergeCell ref="D42:E42"/>
    <mergeCell ref="Q42:R42"/>
    <mergeCell ref="AD42:AE42"/>
    <mergeCell ref="O56:V56"/>
    <mergeCell ref="AB56:AI56"/>
    <mergeCell ref="D62:E62"/>
    <mergeCell ref="Q62:R62"/>
    <mergeCell ref="AD62:AE62"/>
    <mergeCell ref="B56:I56"/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3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4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5">
      <colorScale>
        <cfvo type="min"/>
        <cfvo type="max"/>
        <color rgb="FFFCFCFF"/>
        <color rgb="FFF8696B"/>
      </colorScale>
    </cfRule>
  </conditionalFormatting>
  <conditionalFormatting sqref="O32:R39">
    <cfRule type="colorScale" priority="6">
      <colorScale>
        <cfvo type="min"/>
        <cfvo type="max"/>
        <color rgb="FFFCFCFF"/>
        <color rgb="FFF8696B"/>
      </colorScale>
    </cfRule>
  </conditionalFormatting>
  <conditionalFormatting sqref="O58:T60">
    <cfRule type="colorScale" priority="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8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AB32:AF39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58:AG60">
    <cfRule type="colorScale" priority="1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V1000"/>
  <sheetViews>
    <sheetView workbookViewId="0"/>
  </sheetViews>
  <sheetFormatPr defaultColWidth="14.42578125" defaultRowHeight="15" customHeight="1"/>
  <cols>
    <col min="1" max="12" width="9.140625" customWidth="1"/>
    <col min="13" max="13" width="5" customWidth="1"/>
    <col min="14" max="48" width="9.140625" customWidth="1"/>
  </cols>
  <sheetData>
    <row r="1" spans="1:48" ht="14.25" customHeight="1">
      <c r="A1" s="77"/>
      <c r="B1" s="73" t="s">
        <v>231</v>
      </c>
      <c r="C1" s="98" t="s">
        <v>183</v>
      </c>
      <c r="D1" s="186">
        <f>IF(Landing!$C$9="",Landing!$C$15,MAX(0,Landing!$C$15+30*(1013-Landing!$C$9)))</f>
        <v>0</v>
      </c>
      <c r="F1" s="336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341"/>
    </row>
    <row r="2" spans="1:48" ht="14.25" customHeight="1">
      <c r="A2" s="77"/>
      <c r="B2" s="73" t="s">
        <v>233</v>
      </c>
      <c r="C2" s="96" t="s">
        <v>184</v>
      </c>
      <c r="D2" s="186">
        <f>Landing!C8</f>
        <v>-2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AM2" s="77"/>
      <c r="AN2" s="77"/>
      <c r="AO2" s="77"/>
      <c r="AP2" s="77"/>
      <c r="AQ2" s="77"/>
      <c r="AR2" s="77"/>
      <c r="AS2" s="77"/>
      <c r="AT2" s="77"/>
      <c r="AU2" s="77"/>
      <c r="AV2" s="341"/>
    </row>
    <row r="3" spans="1:48" ht="14.25" customHeight="1">
      <c r="A3" s="77"/>
      <c r="B3" s="247" t="s">
        <v>254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77"/>
      <c r="AM3" s="77"/>
      <c r="AN3" s="77"/>
      <c r="AO3" s="77"/>
      <c r="AP3" s="77"/>
      <c r="AQ3" s="77"/>
      <c r="AR3" s="77"/>
      <c r="AS3" s="77"/>
      <c r="AT3" s="77"/>
      <c r="AU3" s="77"/>
      <c r="AV3" s="341"/>
    </row>
    <row r="4" spans="1:48" ht="15" customHeight="1">
      <c r="A4" s="12"/>
      <c r="B4" s="258" t="s">
        <v>252</v>
      </c>
      <c r="C4" s="260"/>
      <c r="D4" s="260"/>
      <c r="E4" s="260"/>
      <c r="F4" s="260"/>
      <c r="G4" s="82"/>
      <c r="H4" s="82"/>
      <c r="I4" s="82"/>
      <c r="J4" s="82"/>
      <c r="K4" s="82"/>
      <c r="L4" s="82"/>
      <c r="M4" s="82"/>
      <c r="AM4" s="2"/>
      <c r="AN4" s="2"/>
      <c r="AO4" s="2"/>
      <c r="AP4" s="98"/>
      <c r="AQ4" s="97"/>
      <c r="AU4" s="2"/>
      <c r="AV4" s="2"/>
    </row>
    <row r="5" spans="1:48" ht="15" customHeight="1">
      <c r="A5" s="12" t="s">
        <v>253</v>
      </c>
      <c r="B5" s="189">
        <v>0</v>
      </c>
      <c r="C5" s="190">
        <v>1000</v>
      </c>
      <c r="D5" s="191">
        <v>2000</v>
      </c>
      <c r="E5" s="191">
        <v>3000</v>
      </c>
      <c r="F5" s="192">
        <v>4000</v>
      </c>
      <c r="G5" s="98"/>
      <c r="H5" s="97"/>
      <c r="I5" s="12"/>
      <c r="J5" s="98"/>
      <c r="K5" s="97"/>
      <c r="L5" s="12"/>
      <c r="M5" s="12"/>
      <c r="AM5" s="98"/>
      <c r="AN5" s="97"/>
      <c r="AR5" s="2"/>
      <c r="AS5" s="2"/>
      <c r="AT5" s="2"/>
      <c r="AU5" s="98"/>
      <c r="AV5" s="97"/>
    </row>
    <row r="6" spans="1:48" ht="15" customHeight="1">
      <c r="A6" s="12">
        <v>-30</v>
      </c>
      <c r="B6" s="204">
        <v>790</v>
      </c>
      <c r="C6" s="206">
        <v>780</v>
      </c>
      <c r="D6" s="208">
        <v>760</v>
      </c>
      <c r="E6" s="208">
        <v>750</v>
      </c>
      <c r="F6" s="192">
        <v>0</v>
      </c>
      <c r="G6" s="98"/>
      <c r="H6" s="97"/>
      <c r="I6" s="12"/>
      <c r="J6" s="98"/>
      <c r="K6" s="97"/>
      <c r="L6" s="12"/>
      <c r="M6" s="12"/>
      <c r="AM6" s="98"/>
      <c r="AN6" s="97"/>
      <c r="AR6" s="2"/>
      <c r="AS6" s="2"/>
      <c r="AT6" s="2"/>
      <c r="AU6" s="98"/>
      <c r="AV6" s="97"/>
    </row>
    <row r="7" spans="1:48" ht="15" customHeight="1">
      <c r="A7" s="12">
        <v>-20</v>
      </c>
      <c r="B7" s="343">
        <v>770</v>
      </c>
      <c r="C7" s="210">
        <v>760</v>
      </c>
      <c r="D7" s="166">
        <v>740</v>
      </c>
      <c r="E7" s="166">
        <v>730</v>
      </c>
      <c r="F7" s="339">
        <v>0</v>
      </c>
      <c r="G7" s="98"/>
      <c r="H7" s="97"/>
      <c r="J7" s="98"/>
      <c r="K7" s="97"/>
      <c r="AM7" s="98"/>
      <c r="AN7" s="97"/>
      <c r="AR7" s="2"/>
      <c r="AS7" s="2"/>
      <c r="AT7" s="2"/>
      <c r="AU7" s="98"/>
      <c r="AV7" s="97"/>
    </row>
    <row r="8" spans="1:48" ht="15" customHeight="1">
      <c r="A8" s="12">
        <v>-10</v>
      </c>
      <c r="B8" s="343">
        <v>760</v>
      </c>
      <c r="C8" s="210">
        <v>740</v>
      </c>
      <c r="D8" s="166">
        <v>730</v>
      </c>
      <c r="E8" s="166">
        <v>710</v>
      </c>
      <c r="F8" s="339">
        <v>0</v>
      </c>
      <c r="G8" s="98"/>
      <c r="H8" s="97"/>
      <c r="J8" s="98"/>
      <c r="K8" s="97"/>
      <c r="AM8" s="98"/>
      <c r="AN8" s="97"/>
      <c r="AR8" s="2"/>
      <c r="AS8" s="2"/>
      <c r="AT8" s="2"/>
      <c r="AU8" s="98"/>
      <c r="AV8" s="97"/>
    </row>
    <row r="9" spans="1:48" ht="15" customHeight="1">
      <c r="A9" s="12">
        <v>0</v>
      </c>
      <c r="B9" s="343">
        <v>740</v>
      </c>
      <c r="C9" s="210">
        <v>725</v>
      </c>
      <c r="D9" s="166">
        <v>710</v>
      </c>
      <c r="E9" s="166">
        <v>690</v>
      </c>
      <c r="F9" s="339">
        <v>0</v>
      </c>
      <c r="G9" s="98"/>
      <c r="H9" s="97"/>
      <c r="J9" s="98"/>
      <c r="K9" s="97"/>
      <c r="AM9" s="98"/>
      <c r="AN9" s="97"/>
      <c r="AR9" s="2"/>
      <c r="AS9" s="2"/>
      <c r="AT9" s="2"/>
      <c r="AU9" s="98"/>
      <c r="AV9" s="97"/>
    </row>
    <row r="10" spans="1:48" ht="15" customHeight="1">
      <c r="A10" s="12">
        <v>10</v>
      </c>
      <c r="B10" s="343">
        <v>720</v>
      </c>
      <c r="C10" s="210">
        <v>710</v>
      </c>
      <c r="D10" s="166">
        <v>690</v>
      </c>
      <c r="E10" s="166">
        <v>670</v>
      </c>
      <c r="F10" s="339">
        <v>0</v>
      </c>
      <c r="G10" s="98"/>
      <c r="H10" s="97"/>
      <c r="J10" s="98"/>
      <c r="K10" s="97"/>
      <c r="AM10" s="98"/>
      <c r="AN10" s="97"/>
      <c r="AR10" s="2"/>
      <c r="AS10" s="2"/>
      <c r="AT10" s="2"/>
      <c r="AU10" s="98"/>
      <c r="AV10" s="97"/>
    </row>
    <row r="11" spans="1:48" ht="15" customHeight="1">
      <c r="A11" s="12">
        <v>20</v>
      </c>
      <c r="B11" s="343">
        <v>700</v>
      </c>
      <c r="C11" s="210">
        <v>690</v>
      </c>
      <c r="D11" s="166">
        <v>670</v>
      </c>
      <c r="E11" s="166">
        <v>650</v>
      </c>
      <c r="F11" s="339">
        <v>0</v>
      </c>
      <c r="G11" s="98"/>
      <c r="H11" s="97"/>
      <c r="J11" s="98"/>
      <c r="K11" s="97"/>
      <c r="AM11" s="98"/>
      <c r="AN11" s="97"/>
      <c r="AR11" s="2"/>
      <c r="AS11" s="2"/>
      <c r="AT11" s="2"/>
      <c r="AU11" s="98"/>
      <c r="AV11" s="97"/>
    </row>
    <row r="12" spans="1:48" ht="15" customHeight="1">
      <c r="A12" s="12">
        <v>30</v>
      </c>
      <c r="B12" s="343">
        <v>680</v>
      </c>
      <c r="C12" s="210">
        <v>670</v>
      </c>
      <c r="D12" s="166">
        <v>660</v>
      </c>
      <c r="E12" s="166">
        <v>620</v>
      </c>
      <c r="F12" s="339">
        <v>0</v>
      </c>
      <c r="G12" s="98"/>
      <c r="H12" s="97"/>
      <c r="J12" s="98"/>
      <c r="K12" s="97"/>
      <c r="AM12" s="98"/>
      <c r="AN12" s="97"/>
      <c r="AR12" s="2"/>
      <c r="AS12" s="2"/>
      <c r="AT12" s="2"/>
      <c r="AU12" s="98"/>
      <c r="AV12" s="97"/>
    </row>
    <row r="13" spans="1:48" ht="15" customHeight="1">
      <c r="A13" s="12">
        <v>40</v>
      </c>
      <c r="B13" s="343">
        <v>665</v>
      </c>
      <c r="C13" s="210">
        <v>620</v>
      </c>
      <c r="D13" s="166">
        <v>580</v>
      </c>
      <c r="E13" s="166">
        <v>530</v>
      </c>
      <c r="F13" s="339">
        <v>0</v>
      </c>
      <c r="G13" s="98"/>
      <c r="H13" s="97"/>
      <c r="J13" s="98"/>
      <c r="K13" s="97"/>
      <c r="AM13" s="98"/>
      <c r="AN13" s="97"/>
      <c r="AR13" s="2"/>
      <c r="AS13" s="2"/>
      <c r="AT13" s="2"/>
      <c r="AU13" s="98"/>
      <c r="AV13" s="97"/>
    </row>
    <row r="14" spans="1:48" ht="15" customHeight="1">
      <c r="A14" s="12">
        <v>45</v>
      </c>
      <c r="B14" s="196">
        <v>0</v>
      </c>
      <c r="C14" s="197">
        <v>0</v>
      </c>
      <c r="D14" s="197">
        <v>0</v>
      </c>
      <c r="E14" s="197">
        <v>0</v>
      </c>
      <c r="F14" s="198">
        <v>0</v>
      </c>
      <c r="G14" s="98"/>
      <c r="H14" s="97"/>
      <c r="J14" s="98"/>
      <c r="K14" s="97"/>
      <c r="AM14" s="98"/>
      <c r="AN14" s="97"/>
      <c r="AR14" s="2"/>
      <c r="AS14" s="2"/>
      <c r="AT14" s="2"/>
      <c r="AU14" s="98"/>
      <c r="AV14" s="97"/>
    </row>
    <row r="15" spans="1:48" ht="15" customHeight="1">
      <c r="B15" s="98"/>
      <c r="C15" s="97"/>
      <c r="D15" s="12"/>
      <c r="E15" s="12"/>
      <c r="F15" s="12"/>
      <c r="G15" s="2"/>
      <c r="H15" s="2"/>
      <c r="I15" s="2"/>
      <c r="J15" s="98"/>
      <c r="K15" s="97"/>
      <c r="AM15" s="2"/>
      <c r="AN15" s="2"/>
      <c r="AO15" s="2"/>
      <c r="AP15" s="98"/>
      <c r="AQ15" s="97"/>
      <c r="AU15" s="2"/>
      <c r="AV15" s="2"/>
    </row>
    <row r="16" spans="1:48" ht="15" customHeight="1">
      <c r="B16" s="98" t="s">
        <v>183</v>
      </c>
      <c r="C16" s="97">
        <f>D1</f>
        <v>0</v>
      </c>
      <c r="D16" s="251" t="s">
        <v>237</v>
      </c>
      <c r="E16" s="262"/>
      <c r="G16" s="2"/>
      <c r="H16" s="2"/>
      <c r="I16" s="2"/>
      <c r="J16" s="98"/>
      <c r="K16" s="97"/>
      <c r="L16" s="82"/>
      <c r="AM16" s="2"/>
      <c r="AN16" s="2"/>
      <c r="AO16" s="2"/>
      <c r="AP16" s="98"/>
      <c r="AQ16" s="97"/>
      <c r="AR16" s="251"/>
      <c r="AS16" s="262"/>
      <c r="AU16" s="2"/>
      <c r="AV16" s="2"/>
    </row>
    <row r="17" spans="1:48" ht="15" customHeight="1">
      <c r="B17" s="73" t="s">
        <v>238</v>
      </c>
      <c r="C17" s="100">
        <f t="array" ref="C17">INDEX(B5:F5,MATCH(C16,B5:F5,1))</f>
        <v>0</v>
      </c>
      <c r="D17" s="73" t="s">
        <v>181</v>
      </c>
      <c r="E17" s="88">
        <f>MATCH(MAX(A6:A14),A6:A14,1)</f>
        <v>9</v>
      </c>
      <c r="G17" s="2"/>
      <c r="H17" s="2"/>
      <c r="I17" s="2"/>
      <c r="J17" s="73"/>
      <c r="K17" s="100"/>
      <c r="L17" s="73"/>
      <c r="M17" s="88"/>
      <c r="AM17" s="2"/>
      <c r="AN17" s="2"/>
      <c r="AO17" s="2"/>
      <c r="AP17" s="73"/>
      <c r="AQ17" s="100"/>
      <c r="AR17" s="73"/>
      <c r="AS17" s="88"/>
      <c r="AU17" s="2"/>
      <c r="AV17" s="2"/>
    </row>
    <row r="18" spans="1:48" ht="15" customHeight="1">
      <c r="B18" s="73" t="s">
        <v>239</v>
      </c>
      <c r="C18" s="100">
        <f t="array" ref="C18">INDEX(B5:F5,IF(MATCH(C16,B5:F5,1)&lt;E18,MATCH(C16,B5:F5,1)+1,MATCH(C16,B5:F5,1)))</f>
        <v>1000</v>
      </c>
      <c r="D18" s="73" t="s">
        <v>182</v>
      </c>
      <c r="E18" s="88">
        <f>MATCH(MAX(B5:F5),B5:F5,0)</f>
        <v>5</v>
      </c>
      <c r="G18" s="2"/>
      <c r="H18" s="2"/>
      <c r="I18" s="2"/>
      <c r="J18" s="73"/>
      <c r="K18" s="100"/>
      <c r="L18" s="73"/>
      <c r="M18" s="88"/>
      <c r="AM18" s="2"/>
      <c r="AN18" s="2"/>
      <c r="AO18" s="2"/>
      <c r="AP18" s="73"/>
      <c r="AQ18" s="100"/>
      <c r="AR18" s="73"/>
      <c r="AS18" s="88"/>
      <c r="AU18" s="2"/>
      <c r="AV18" s="2"/>
    </row>
    <row r="19" spans="1:48" ht="15" customHeight="1">
      <c r="B19" s="96" t="s">
        <v>184</v>
      </c>
      <c r="C19" s="155">
        <f>D2</f>
        <v>-2</v>
      </c>
      <c r="D19" s="2"/>
      <c r="E19" s="2"/>
      <c r="G19" s="2"/>
      <c r="H19" s="2"/>
      <c r="I19" s="2"/>
      <c r="J19" s="98"/>
      <c r="K19" s="155"/>
      <c r="L19" s="2"/>
      <c r="M19" s="2"/>
      <c r="O19" s="12"/>
      <c r="W19" s="12"/>
      <c r="Z19" s="12"/>
      <c r="AB19" s="12"/>
      <c r="AJ19" s="12"/>
      <c r="AM19" s="2"/>
      <c r="AN19" s="2"/>
      <c r="AO19" s="2"/>
      <c r="AP19" s="98"/>
      <c r="AQ19" s="155"/>
      <c r="AR19" s="2"/>
      <c r="AS19" s="2"/>
      <c r="AU19" s="2"/>
      <c r="AV19" s="2"/>
    </row>
    <row r="20" spans="1:48" ht="15" customHeight="1">
      <c r="B20" s="73" t="s">
        <v>185</v>
      </c>
      <c r="C20" s="100">
        <f t="array" ref="C20">INDEX(A6:A14,MATCH(C19,A6:A14,1))</f>
        <v>-10</v>
      </c>
      <c r="D20" s="2"/>
      <c r="E20" s="92"/>
      <c r="G20" s="2"/>
      <c r="H20" s="2"/>
      <c r="I20" s="2"/>
      <c r="J20" s="73"/>
      <c r="K20" s="100"/>
      <c r="L20" s="2"/>
      <c r="M20" s="92"/>
      <c r="AM20" s="2"/>
      <c r="AN20" s="2"/>
      <c r="AO20" s="2"/>
      <c r="AP20" s="73"/>
      <c r="AQ20" s="100"/>
      <c r="AR20" s="2"/>
      <c r="AS20" s="92"/>
      <c r="AU20" s="2"/>
      <c r="AV20" s="2"/>
    </row>
    <row r="21" spans="1:48" ht="15" customHeight="1">
      <c r="B21" s="73" t="s">
        <v>186</v>
      </c>
      <c r="C21" s="100">
        <f t="array" ref="C21">INDEX(A6:A14,IF(MATCH(C19,A6:A14,1)&lt;E17,MATCH(C19,A6:A14,1)+1,MATCH(C19,A6:A14,1)))</f>
        <v>0</v>
      </c>
      <c r="D21" s="2"/>
      <c r="E21" s="92"/>
      <c r="G21" s="2"/>
      <c r="H21" s="2"/>
      <c r="I21" s="2"/>
      <c r="J21" s="73"/>
      <c r="K21" s="100"/>
      <c r="L21" s="2"/>
      <c r="M21" s="92"/>
      <c r="AM21" s="2"/>
      <c r="AN21" s="2"/>
      <c r="AO21" s="2"/>
      <c r="AP21" s="73"/>
      <c r="AQ21" s="100"/>
      <c r="AR21" s="2"/>
      <c r="AS21" s="92"/>
      <c r="AU21" s="2"/>
      <c r="AV21" s="2"/>
    </row>
    <row r="22" spans="1:48" ht="15" customHeight="1">
      <c r="B22" s="98" t="s">
        <v>187</v>
      </c>
      <c r="C22" s="97">
        <f t="array" ref="C22">INDEX(B6:F14,MATCH(C19,A6:A14,1),MATCH(C16,B5:F5,1))</f>
        <v>760</v>
      </c>
      <c r="D22" s="2"/>
      <c r="E22" s="92"/>
      <c r="G22" s="2"/>
      <c r="H22" s="2"/>
      <c r="I22" s="2"/>
      <c r="J22" s="98"/>
      <c r="K22" s="97"/>
      <c r="L22" s="2"/>
      <c r="M22" s="92"/>
      <c r="AM22" s="2"/>
      <c r="AN22" s="2"/>
      <c r="AO22" s="2"/>
      <c r="AP22" s="98"/>
      <c r="AQ22" s="97"/>
      <c r="AR22" s="2"/>
      <c r="AS22" s="92"/>
      <c r="AU22" s="2"/>
      <c r="AV22" s="2"/>
    </row>
    <row r="23" spans="1:48" ht="15" customHeight="1">
      <c r="B23" s="98" t="s">
        <v>240</v>
      </c>
      <c r="C23" s="97">
        <f t="array" ref="C23">INDEX(B6:F14,MATCH(C19,A6:A14,1),IF(MATCH(C16,B5:F5,1)&lt;E18,MATCH(C16,B5:F5,1)+1,MATCH(C19,A6:A14,1)))</f>
        <v>740</v>
      </c>
      <c r="E23" s="92"/>
      <c r="G23" s="2"/>
      <c r="H23" s="2"/>
      <c r="I23" s="2"/>
      <c r="J23" s="98"/>
      <c r="K23" s="97"/>
      <c r="M23" s="92"/>
      <c r="AM23" s="2"/>
      <c r="AN23" s="2"/>
      <c r="AO23" s="2"/>
      <c r="AP23" s="98"/>
      <c r="AQ23" s="97"/>
      <c r="AS23" s="92"/>
      <c r="AU23" s="2"/>
      <c r="AV23" s="2"/>
    </row>
    <row r="24" spans="1:48" ht="15" customHeight="1">
      <c r="B24" s="98" t="s">
        <v>188</v>
      </c>
      <c r="C24" s="97">
        <f t="array" ref="C24">INDEX(B6:F14,IF(MATCH(C19,A6:A14,1)&lt;E17,MATCH(C19,A6:A14,1)+1,MATCH(C19,A6:A14,1)),MATCH(C16,B5:F5,1))</f>
        <v>740</v>
      </c>
      <c r="E24" s="92"/>
      <c r="G24" s="2"/>
      <c r="H24" s="2"/>
      <c r="I24" s="2"/>
      <c r="J24" s="98"/>
      <c r="K24" s="97"/>
      <c r="M24" s="92"/>
      <c r="AM24" s="2"/>
      <c r="AN24" s="2"/>
      <c r="AO24" s="2"/>
      <c r="AP24" s="98"/>
      <c r="AQ24" s="97"/>
      <c r="AS24" s="92"/>
      <c r="AU24" s="2"/>
      <c r="AV24" s="2"/>
    </row>
    <row r="25" spans="1:48" ht="15" customHeight="1">
      <c r="B25" s="98" t="s">
        <v>241</v>
      </c>
      <c r="C25" s="97">
        <f t="array" ref="C25">INDEX(B6:F14,IF(MATCH(C19,A6:A14,1)&lt;E17,MATCH(C19,A6:A14,1)+1,MATCH(C19,A6:A14,1)),IF(MATCH(C16,B5:F5,1)&lt;E18,MATCH(C16,B5:F5,1)+1,MATCH(C16,B5:F5,1)))</f>
        <v>725</v>
      </c>
      <c r="G25" s="2"/>
      <c r="H25" s="2"/>
      <c r="I25" s="2"/>
      <c r="J25" s="98"/>
      <c r="K25" s="97"/>
      <c r="AM25" s="2"/>
      <c r="AN25" s="2"/>
      <c r="AO25" s="2"/>
      <c r="AP25" s="98"/>
      <c r="AQ25" s="97"/>
      <c r="AU25" s="2"/>
      <c r="AV25" s="2"/>
    </row>
    <row r="26" spans="1:48" ht="15" customHeight="1">
      <c r="B26" s="73" t="s">
        <v>242</v>
      </c>
      <c r="C26" s="100">
        <f>IFERROR(C22+(C16-C17)*(C23-C22)/(C18-C17),C22)</f>
        <v>760</v>
      </c>
      <c r="G26" s="2"/>
      <c r="H26" s="2"/>
      <c r="I26" s="2"/>
      <c r="J26" s="73"/>
      <c r="K26" s="100"/>
      <c r="AM26" s="2"/>
      <c r="AN26" s="2"/>
      <c r="AO26" s="2"/>
      <c r="AP26" s="73"/>
      <c r="AQ26" s="100"/>
      <c r="AU26" s="2"/>
      <c r="AV26" s="2"/>
    </row>
    <row r="27" spans="1:48" ht="15" customHeight="1">
      <c r="B27" s="73" t="s">
        <v>243</v>
      </c>
      <c r="C27" s="100">
        <f>IFERROR(C24+(C16-C17)*(C25-C24)/(C18-C17),C24)</f>
        <v>740</v>
      </c>
      <c r="G27" s="2"/>
      <c r="H27" s="2"/>
      <c r="I27" s="2"/>
      <c r="J27" s="73"/>
      <c r="K27" s="100"/>
      <c r="AM27" s="2"/>
      <c r="AN27" s="2"/>
      <c r="AO27" s="2"/>
      <c r="AP27" s="73"/>
      <c r="AQ27" s="100"/>
      <c r="AU27" s="2"/>
      <c r="AV27" s="2"/>
    </row>
    <row r="28" spans="1:48" ht="15" customHeight="1">
      <c r="B28" s="98" t="s">
        <v>244</v>
      </c>
      <c r="C28" s="97">
        <f>IFERROR(C26+(C19-C20)*(C27-C26)/(C21-C20),C26)</f>
        <v>744</v>
      </c>
      <c r="G28" s="2"/>
      <c r="H28" s="2"/>
      <c r="I28" s="2"/>
      <c r="J28" s="98"/>
      <c r="K28" s="97"/>
      <c r="AM28" s="2"/>
      <c r="AN28" s="2"/>
      <c r="AO28" s="2"/>
      <c r="AP28" s="98"/>
      <c r="AQ28" s="97"/>
      <c r="AU28" s="2"/>
      <c r="AV28" s="2"/>
    </row>
    <row r="29" spans="1:48" ht="15.75" customHeight="1"/>
    <row r="30" spans="1:48" ht="15" customHeight="1">
      <c r="A30" s="12"/>
      <c r="B30" s="251" t="s">
        <v>255</v>
      </c>
      <c r="C30" s="262"/>
      <c r="D30" s="262"/>
      <c r="E30" s="262"/>
      <c r="F30" s="262"/>
      <c r="G30" s="262"/>
      <c r="H30" s="82"/>
      <c r="I30" s="82"/>
      <c r="J30" s="82"/>
      <c r="K30" s="82"/>
      <c r="L30" s="82"/>
      <c r="M30" s="82"/>
      <c r="N30" s="12"/>
      <c r="O30" s="251" t="s">
        <v>256</v>
      </c>
      <c r="P30" s="262"/>
      <c r="Q30" s="262"/>
      <c r="R30" s="262"/>
      <c r="S30" s="262"/>
      <c r="T30" s="262"/>
      <c r="U30" s="82"/>
      <c r="V30" s="82"/>
      <c r="W30" s="82"/>
      <c r="X30" s="82"/>
      <c r="Y30" s="82"/>
      <c r="AA30" s="12"/>
      <c r="AH30" s="82"/>
      <c r="AI30" s="82"/>
      <c r="AJ30" s="82"/>
      <c r="AK30" s="82"/>
      <c r="AL30" s="82"/>
    </row>
    <row r="31" spans="1:48" ht="15" customHeight="1">
      <c r="A31" s="12" t="s">
        <v>30</v>
      </c>
      <c r="B31" s="203">
        <v>500</v>
      </c>
      <c r="C31" s="207">
        <v>600</v>
      </c>
      <c r="D31" s="207">
        <v>700</v>
      </c>
      <c r="E31" s="207">
        <v>800</v>
      </c>
      <c r="F31" s="192">
        <v>900</v>
      </c>
      <c r="G31" s="12"/>
      <c r="H31" s="12"/>
      <c r="I31" s="12"/>
      <c r="J31" s="12"/>
      <c r="K31" s="12"/>
      <c r="L31" s="12"/>
      <c r="M31" s="12"/>
      <c r="N31" s="12"/>
      <c r="O31" s="12"/>
      <c r="Q31" s="12" t="s">
        <v>30</v>
      </c>
      <c r="R31" s="203">
        <v>440</v>
      </c>
      <c r="S31" s="205">
        <v>500</v>
      </c>
      <c r="T31" s="205">
        <v>550</v>
      </c>
      <c r="U31" s="205">
        <v>650</v>
      </c>
      <c r="V31" s="205">
        <v>760</v>
      </c>
      <c r="W31" s="205">
        <v>860</v>
      </c>
      <c r="X31" s="205">
        <v>960</v>
      </c>
      <c r="Y31" s="207">
        <v>1060</v>
      </c>
      <c r="Z31" s="209">
        <v>1160</v>
      </c>
      <c r="AA31" s="209">
        <v>1200</v>
      </c>
      <c r="AB31" s="192">
        <v>1200</v>
      </c>
      <c r="AC31" s="12"/>
      <c r="AD31" s="12"/>
      <c r="AE31" s="12"/>
      <c r="AF31" s="12"/>
      <c r="AO31" s="12"/>
      <c r="AP31" s="12"/>
      <c r="AQ31" s="12"/>
      <c r="AR31" s="12"/>
      <c r="AS31" s="12"/>
    </row>
    <row r="32" spans="1:48" ht="15" customHeight="1">
      <c r="A32" s="12">
        <v>9000</v>
      </c>
      <c r="B32" s="204">
        <v>1050</v>
      </c>
      <c r="C32" s="206">
        <v>1150</v>
      </c>
      <c r="D32" s="206">
        <v>1200</v>
      </c>
      <c r="E32" s="206">
        <v>1200</v>
      </c>
      <c r="F32" s="192">
        <v>0</v>
      </c>
      <c r="G32" s="12"/>
      <c r="H32" s="12"/>
      <c r="I32" s="12"/>
      <c r="J32" s="12"/>
      <c r="K32" s="12"/>
      <c r="L32" s="12"/>
      <c r="M32" s="12"/>
      <c r="N32" s="12"/>
      <c r="O32" s="12"/>
      <c r="Q32" s="12">
        <v>1</v>
      </c>
      <c r="R32" s="212">
        <v>3</v>
      </c>
      <c r="S32" s="213">
        <v>3.5</v>
      </c>
      <c r="T32" s="213">
        <v>4</v>
      </c>
      <c r="U32" s="213">
        <v>5</v>
      </c>
      <c r="V32" s="213">
        <v>6</v>
      </c>
      <c r="W32" s="213">
        <v>7</v>
      </c>
      <c r="X32" s="213">
        <v>8</v>
      </c>
      <c r="Y32" s="213">
        <v>9</v>
      </c>
      <c r="Z32" s="214">
        <v>10</v>
      </c>
      <c r="AA32" s="214">
        <v>10.5</v>
      </c>
      <c r="AB32" s="192">
        <v>11</v>
      </c>
      <c r="AC32" s="12"/>
      <c r="AD32" s="12"/>
      <c r="AE32" s="12"/>
      <c r="AF32" s="12"/>
      <c r="AO32" s="12"/>
      <c r="AP32" s="12"/>
      <c r="AQ32" s="12"/>
      <c r="AR32" s="12"/>
      <c r="AS32" s="12"/>
    </row>
    <row r="33" spans="1:45" ht="15" customHeight="1">
      <c r="A33" s="12">
        <v>9500</v>
      </c>
      <c r="B33" s="343">
        <v>940</v>
      </c>
      <c r="C33" s="210">
        <v>1050</v>
      </c>
      <c r="D33" s="210">
        <v>1180</v>
      </c>
      <c r="E33" s="210">
        <v>1200</v>
      </c>
      <c r="F33" s="339">
        <v>0</v>
      </c>
      <c r="G33" s="12"/>
      <c r="H33" s="12"/>
      <c r="I33" s="12"/>
      <c r="J33" s="12"/>
      <c r="K33" s="12"/>
      <c r="L33" s="12"/>
      <c r="M33" s="12"/>
      <c r="N33" s="12"/>
      <c r="P33" s="98"/>
      <c r="Q33" s="97"/>
      <c r="R33" s="12"/>
      <c r="S33" s="12"/>
      <c r="T33" s="12"/>
      <c r="U33" s="2"/>
      <c r="V33" s="2"/>
      <c r="W33" s="2"/>
      <c r="X33" s="98"/>
      <c r="Y33" s="97"/>
      <c r="Z33" s="12"/>
      <c r="AC33" s="12"/>
      <c r="AD33" s="12"/>
      <c r="AE33" s="12"/>
      <c r="AF33" s="12"/>
      <c r="AO33" s="12"/>
      <c r="AP33" s="12"/>
      <c r="AQ33" s="12"/>
      <c r="AR33" s="12"/>
      <c r="AS33" s="12"/>
    </row>
    <row r="34" spans="1:45" ht="15" customHeight="1">
      <c r="A34" s="12">
        <v>10000</v>
      </c>
      <c r="B34" s="343">
        <v>860</v>
      </c>
      <c r="C34" s="210">
        <v>960</v>
      </c>
      <c r="D34" s="210">
        <v>1080</v>
      </c>
      <c r="E34" s="210">
        <v>1200</v>
      </c>
      <c r="F34" s="339">
        <v>0</v>
      </c>
      <c r="G34" s="12"/>
      <c r="H34" s="12"/>
      <c r="I34" s="12"/>
      <c r="J34" s="12"/>
      <c r="K34" s="12"/>
      <c r="L34" s="12"/>
      <c r="M34" s="12"/>
      <c r="N34" s="12"/>
      <c r="P34" s="98" t="s">
        <v>183</v>
      </c>
      <c r="Q34" s="97">
        <f>C54</f>
        <v>644</v>
      </c>
      <c r="R34" s="251" t="s">
        <v>237</v>
      </c>
      <c r="S34" s="262"/>
      <c r="U34" s="2"/>
      <c r="V34" s="2"/>
      <c r="W34" s="2"/>
      <c r="X34" s="98"/>
      <c r="Y34" s="97"/>
      <c r="Z34" s="82"/>
      <c r="AC34" s="12"/>
      <c r="AD34" s="12"/>
      <c r="AE34" s="12"/>
      <c r="AF34" s="12"/>
      <c r="AO34" s="12"/>
      <c r="AP34" s="12"/>
      <c r="AQ34" s="12"/>
      <c r="AR34" s="12"/>
      <c r="AS34" s="12"/>
    </row>
    <row r="35" spans="1:45" ht="15" customHeight="1">
      <c r="A35" s="12">
        <v>10500</v>
      </c>
      <c r="B35" s="343">
        <v>775</v>
      </c>
      <c r="C35" s="210">
        <v>880</v>
      </c>
      <c r="D35" s="210">
        <v>950</v>
      </c>
      <c r="E35" s="210">
        <v>1100</v>
      </c>
      <c r="F35" s="339">
        <v>0</v>
      </c>
      <c r="G35" s="12"/>
      <c r="H35" s="12"/>
      <c r="I35" s="12"/>
      <c r="J35" s="12"/>
      <c r="K35" s="12"/>
      <c r="L35" s="12"/>
      <c r="M35" s="12"/>
      <c r="N35" s="12"/>
      <c r="P35" s="73" t="s">
        <v>238</v>
      </c>
      <c r="Q35" s="100">
        <f t="array" ref="Q35">INDEX(R31:AB31,MATCH(Q34,R31:AB31,1))</f>
        <v>550</v>
      </c>
      <c r="R35" s="73" t="s">
        <v>181</v>
      </c>
      <c r="S35" s="88">
        <f>MATCH(MAX(Q32),Q32,1)</f>
        <v>1</v>
      </c>
      <c r="U35" s="2"/>
      <c r="V35" s="2"/>
      <c r="W35" s="2"/>
      <c r="X35" s="73"/>
      <c r="Y35" s="100"/>
      <c r="Z35" s="73"/>
      <c r="AC35" s="12"/>
      <c r="AD35" s="12"/>
      <c r="AE35" s="12"/>
      <c r="AF35" s="12"/>
      <c r="AO35" s="12"/>
      <c r="AP35" s="12"/>
      <c r="AQ35" s="12"/>
      <c r="AR35" s="12"/>
      <c r="AS35" s="12"/>
    </row>
    <row r="36" spans="1:45" ht="15" customHeight="1">
      <c r="A36" s="12">
        <v>11000</v>
      </c>
      <c r="B36" s="343">
        <v>700</v>
      </c>
      <c r="C36" s="210">
        <v>800</v>
      </c>
      <c r="D36" s="210">
        <v>910</v>
      </c>
      <c r="E36" s="210">
        <v>1020</v>
      </c>
      <c r="F36" s="339">
        <v>0</v>
      </c>
      <c r="G36" s="12"/>
      <c r="H36" s="12"/>
      <c r="I36" s="12"/>
      <c r="J36" s="12"/>
      <c r="K36" s="12"/>
      <c r="L36" s="12"/>
      <c r="M36" s="12"/>
      <c r="N36" s="12"/>
      <c r="P36" s="73" t="s">
        <v>239</v>
      </c>
      <c r="Q36" s="100">
        <f t="array" ref="Q36">INDEX(R31:AB31,IF(MATCH(Q34,R31:AB31,1)&lt;S36,MATCH(Q34,R31:AB31,1)+1,MATCH(Q34,R31:AB31,1)))</f>
        <v>650</v>
      </c>
      <c r="R36" s="73" t="s">
        <v>182</v>
      </c>
      <c r="S36" s="88">
        <f>MATCH(MAX(R31:AB31),R31:AB31,0)</f>
        <v>10</v>
      </c>
      <c r="U36" s="2"/>
      <c r="V36" s="2"/>
      <c r="W36" s="2"/>
      <c r="X36" s="73"/>
      <c r="Y36" s="100"/>
      <c r="Z36" s="73"/>
      <c r="AC36" s="12"/>
      <c r="AD36" s="12"/>
      <c r="AE36" s="12"/>
      <c r="AF36" s="12"/>
      <c r="AO36" s="12"/>
      <c r="AP36" s="12"/>
      <c r="AQ36" s="12"/>
      <c r="AR36" s="12"/>
      <c r="AS36" s="12"/>
    </row>
    <row r="37" spans="1:45" ht="15" customHeight="1">
      <c r="A37" s="12">
        <v>11500</v>
      </c>
      <c r="B37" s="343">
        <v>630</v>
      </c>
      <c r="C37" s="210">
        <v>725</v>
      </c>
      <c r="D37" s="210">
        <v>830</v>
      </c>
      <c r="E37" s="210">
        <v>940</v>
      </c>
      <c r="F37" s="339">
        <v>0</v>
      </c>
      <c r="G37" s="12"/>
      <c r="H37" s="12"/>
      <c r="I37" s="12"/>
      <c r="J37" s="12"/>
      <c r="K37" s="12"/>
      <c r="L37" s="12"/>
      <c r="M37" s="12"/>
      <c r="N37" s="12"/>
      <c r="P37" s="96" t="s">
        <v>184</v>
      </c>
      <c r="Q37" s="155">
        <v>1</v>
      </c>
      <c r="R37" s="2"/>
      <c r="S37" s="2"/>
      <c r="U37" s="2"/>
      <c r="V37" s="2"/>
      <c r="W37" s="2"/>
      <c r="X37" s="98"/>
      <c r="Y37" s="155"/>
      <c r="Z37" s="2"/>
      <c r="AC37" s="12"/>
      <c r="AD37" s="12"/>
      <c r="AE37" s="12"/>
      <c r="AF37" s="12"/>
      <c r="AO37" s="12"/>
      <c r="AP37" s="12"/>
      <c r="AQ37" s="12"/>
      <c r="AR37" s="12"/>
      <c r="AS37" s="12"/>
    </row>
    <row r="38" spans="1:45" ht="15" customHeight="1">
      <c r="A38" s="12">
        <v>12000</v>
      </c>
      <c r="B38" s="216">
        <v>560</v>
      </c>
      <c r="C38" s="217">
        <v>660</v>
      </c>
      <c r="D38" s="217">
        <v>760</v>
      </c>
      <c r="E38" s="217">
        <v>865</v>
      </c>
      <c r="F38" s="339">
        <v>0</v>
      </c>
      <c r="G38" s="12"/>
      <c r="H38" s="12"/>
      <c r="I38" s="12"/>
      <c r="J38" s="12"/>
      <c r="K38" s="12"/>
      <c r="L38" s="12"/>
      <c r="M38" s="12"/>
      <c r="N38" s="12"/>
      <c r="P38" s="73" t="s">
        <v>185</v>
      </c>
      <c r="Q38" s="100">
        <f t="array" ref="Q38">INDEX(Q32,MATCH(Q37,Q32,1))</f>
        <v>1</v>
      </c>
      <c r="R38" s="2"/>
      <c r="S38" s="92"/>
      <c r="U38" s="2"/>
      <c r="V38" s="2"/>
      <c r="W38" s="2"/>
      <c r="X38" s="73"/>
      <c r="Y38" s="100"/>
      <c r="Z38" s="2"/>
      <c r="AC38" s="12"/>
      <c r="AD38" s="12"/>
      <c r="AE38" s="12"/>
      <c r="AF38" s="12"/>
      <c r="AO38" s="12"/>
      <c r="AP38" s="12"/>
      <c r="AQ38" s="12"/>
      <c r="AR38" s="12"/>
      <c r="AS38" s="12"/>
    </row>
    <row r="39" spans="1:45" ht="15" customHeight="1">
      <c r="A39" s="12">
        <v>12500</v>
      </c>
      <c r="B39" s="196">
        <v>500</v>
      </c>
      <c r="C39" s="197">
        <v>600</v>
      </c>
      <c r="D39" s="197">
        <v>700</v>
      </c>
      <c r="E39" s="197">
        <v>800</v>
      </c>
      <c r="F39" s="211">
        <v>0</v>
      </c>
      <c r="G39" s="182"/>
      <c r="H39" s="12"/>
      <c r="I39" s="12"/>
      <c r="J39" s="12"/>
      <c r="K39" s="12"/>
      <c r="L39" s="12"/>
      <c r="M39" s="12"/>
      <c r="N39" s="12"/>
      <c r="P39" s="73" t="s">
        <v>186</v>
      </c>
      <c r="Q39" s="100">
        <f t="array" ref="Q39">INDEX(Q32,IF(MATCH(Q37,Q32,1)&lt;S35,MATCH(Q37,Q32,1)+1,MATCH(Q37,Q32,1)))</f>
        <v>1</v>
      </c>
      <c r="R39" s="2"/>
      <c r="S39" s="92"/>
      <c r="U39" s="2"/>
      <c r="V39" s="2"/>
      <c r="W39" s="2"/>
      <c r="X39" s="73"/>
      <c r="Y39" s="100"/>
      <c r="Z39" s="2"/>
      <c r="AC39" s="12"/>
      <c r="AD39" s="12"/>
      <c r="AE39" s="12"/>
      <c r="AF39" s="12"/>
      <c r="AO39" s="12"/>
      <c r="AP39" s="12"/>
      <c r="AQ39" s="12"/>
      <c r="AR39" s="12"/>
      <c r="AS39" s="12"/>
    </row>
    <row r="40" spans="1:45" ht="15" customHeight="1">
      <c r="B40" s="98"/>
      <c r="C40" s="97"/>
      <c r="D40" s="12"/>
      <c r="E40" s="12"/>
      <c r="F40" s="12"/>
      <c r="G40" s="2"/>
      <c r="H40" s="2"/>
      <c r="I40" s="2"/>
      <c r="J40" s="182"/>
      <c r="K40" s="182"/>
      <c r="L40" s="182"/>
      <c r="M40" s="182"/>
      <c r="O40" s="98" t="s">
        <v>187</v>
      </c>
      <c r="P40" s="97">
        <f t="array" ref="P40">INDEX(R32:AB32,MATCH(Q37,Q32,1),MATCH(Q34,R31:AB31,1))</f>
        <v>4</v>
      </c>
      <c r="Q40" s="2"/>
      <c r="R40" s="92"/>
      <c r="T40" s="2"/>
      <c r="U40" s="2"/>
      <c r="V40" s="2"/>
      <c r="W40" s="98"/>
      <c r="X40" s="97"/>
      <c r="Y40" s="2"/>
      <c r="AB40" s="182"/>
      <c r="AC40" s="182"/>
      <c r="AD40" s="182"/>
      <c r="AE40" s="182"/>
      <c r="AN40" s="182"/>
      <c r="AO40" s="182"/>
      <c r="AP40" s="182"/>
      <c r="AQ40" s="182"/>
      <c r="AR40" s="182"/>
    </row>
    <row r="41" spans="1:45" ht="15" customHeight="1">
      <c r="B41" s="98" t="s">
        <v>183</v>
      </c>
      <c r="C41" s="97">
        <f>C28</f>
        <v>744</v>
      </c>
      <c r="D41" s="251" t="s">
        <v>237</v>
      </c>
      <c r="E41" s="262"/>
      <c r="G41" s="2"/>
      <c r="H41" s="2"/>
      <c r="I41" s="2"/>
      <c r="J41" s="98"/>
      <c r="K41" s="97"/>
      <c r="L41" s="12"/>
      <c r="M41" s="12"/>
      <c r="O41" s="98" t="s">
        <v>240</v>
      </c>
      <c r="P41" s="97">
        <f t="array" ref="P41">INDEX(R32:AB32,MATCH(Q37,Q32,1),IF(MATCH(Q34,R31:AB31,1)&lt;S36,MATCH(Q34,R31:AB31,1)+1,MATCH(Q37,Q32,1)))</f>
        <v>5</v>
      </c>
      <c r="R41" s="92"/>
      <c r="T41" s="2"/>
      <c r="U41" s="2"/>
      <c r="V41" s="2"/>
      <c r="W41" s="98"/>
      <c r="X41" s="97"/>
    </row>
    <row r="42" spans="1:45" ht="15" customHeight="1">
      <c r="B42" s="73" t="s">
        <v>238</v>
      </c>
      <c r="C42" s="100">
        <f t="array" ref="C42">INDEX(B31:F31,MATCH(C41,B31:F31,1))</f>
        <v>700</v>
      </c>
      <c r="D42" s="73" t="s">
        <v>181</v>
      </c>
      <c r="E42" s="88">
        <f>MATCH(MAX(A32:A39),A32:A39,1)</f>
        <v>8</v>
      </c>
      <c r="G42" s="2"/>
      <c r="H42" s="2"/>
      <c r="I42" s="2"/>
      <c r="J42" s="98"/>
      <c r="K42" s="97"/>
      <c r="L42" s="82"/>
      <c r="O42" s="98" t="s">
        <v>188</v>
      </c>
      <c r="P42" s="97">
        <f t="array" ref="P42">INDEX(R32:AB32,IF(MATCH(Q37,Q32,1)&lt;S35,MATCH(Q37,Q32,1)+1,MATCH(Q37,Q32,1)),MATCH(Q34,R31:AB31,1))</f>
        <v>4</v>
      </c>
      <c r="R42" s="92"/>
      <c r="T42" s="2"/>
      <c r="U42" s="2"/>
      <c r="V42" s="2"/>
      <c r="W42" s="98"/>
      <c r="X42" s="97"/>
      <c r="AG42" s="2"/>
      <c r="AH42" s="2"/>
      <c r="AI42" s="2"/>
      <c r="AJ42" s="98"/>
      <c r="AK42" s="97"/>
      <c r="AL42" s="82"/>
    </row>
    <row r="43" spans="1:45" ht="15" customHeight="1">
      <c r="B43" s="73" t="s">
        <v>239</v>
      </c>
      <c r="C43" s="100">
        <f t="array" ref="C43">INDEX(B31:F31,IF(MATCH(C41,B31:F31,1)&lt;E43,MATCH(C41,B31:F31,1)+1,MATCH(C41,B31:F31,1)))</f>
        <v>800</v>
      </c>
      <c r="D43" s="73" t="s">
        <v>182</v>
      </c>
      <c r="E43" s="88">
        <f>MATCH(MAX(B31:F31),B31:F31,0)</f>
        <v>5</v>
      </c>
      <c r="G43" s="2"/>
      <c r="H43" s="2"/>
      <c r="I43" s="2"/>
      <c r="J43" s="73"/>
      <c r="K43" s="100"/>
      <c r="L43" s="73"/>
      <c r="M43" s="88"/>
      <c r="O43" s="98" t="s">
        <v>241</v>
      </c>
      <c r="P43" s="97">
        <f t="array" ref="P43">INDEX(R32:AB32,IF(MATCH(Q37,Q32,1)&lt;S35,MATCH(Q37,Q32,1)+1,MATCH(Q37,Q32,1)),IF(MATCH(Q34,R31:AB31,1)&lt;S36,MATCH(Q34,R31:AB31,1)+1,MATCH(Q34,R31:AB31,1)))</f>
        <v>5</v>
      </c>
      <c r="T43" s="2"/>
      <c r="U43" s="2"/>
      <c r="V43" s="2"/>
      <c r="W43" s="98"/>
      <c r="X43" s="97"/>
      <c r="AG43" s="2"/>
      <c r="AH43" s="2"/>
      <c r="AI43" s="2"/>
      <c r="AJ43" s="73"/>
      <c r="AK43" s="100"/>
      <c r="AL43" s="73"/>
    </row>
    <row r="44" spans="1:45" ht="15" customHeight="1">
      <c r="B44" s="96" t="s">
        <v>184</v>
      </c>
      <c r="C44" s="155">
        <f>Landing!C11</f>
        <v>12500</v>
      </c>
      <c r="D44" s="2"/>
      <c r="E44" s="2"/>
      <c r="G44" s="2"/>
      <c r="H44" s="2"/>
      <c r="I44" s="2"/>
      <c r="J44" s="73"/>
      <c r="K44" s="100"/>
      <c r="L44" s="73"/>
      <c r="M44" s="88"/>
      <c r="O44" s="73" t="s">
        <v>242</v>
      </c>
      <c r="P44" s="100">
        <f>IFERROR(P40+(Q34-Q35)*(P41-P40)/(Q36-Q35),P40)</f>
        <v>4.9399999999999995</v>
      </c>
      <c r="T44" s="2"/>
      <c r="U44" s="2"/>
      <c r="V44" s="2"/>
      <c r="W44" s="73"/>
      <c r="X44" s="100"/>
      <c r="AG44" s="2"/>
      <c r="AH44" s="2"/>
      <c r="AI44" s="2"/>
      <c r="AJ44" s="73"/>
      <c r="AK44" s="100"/>
      <c r="AL44" s="73"/>
    </row>
    <row r="45" spans="1:45" ht="15" customHeight="1">
      <c r="B45" s="73" t="s">
        <v>185</v>
      </c>
      <c r="C45" s="100">
        <f t="array" ref="C45">INDEX(A32:A39,MATCH(C44,A32:A39,1))</f>
        <v>12500</v>
      </c>
      <c r="D45" s="2"/>
      <c r="E45" s="92"/>
      <c r="G45" s="2"/>
      <c r="H45" s="2"/>
      <c r="I45" s="2"/>
      <c r="J45" s="98"/>
      <c r="K45" s="155"/>
      <c r="L45" s="2"/>
      <c r="M45" s="2"/>
      <c r="O45" s="73" t="s">
        <v>243</v>
      </c>
      <c r="P45" s="100">
        <f>IFERROR(P42+(Q34-Q35)*(P43-P42)/(Q36-Q35),P42)</f>
        <v>4.9399999999999995</v>
      </c>
      <c r="T45" s="2"/>
      <c r="U45" s="2"/>
      <c r="V45" s="2"/>
      <c r="W45" s="73"/>
      <c r="X45" s="100"/>
      <c r="AB45" s="12"/>
      <c r="AG45" s="2"/>
      <c r="AH45" s="2"/>
      <c r="AI45" s="2"/>
      <c r="AJ45" s="98"/>
      <c r="AK45" s="155"/>
      <c r="AL45" s="2"/>
    </row>
    <row r="46" spans="1:45" ht="15" customHeight="1">
      <c r="B46" s="73" t="s">
        <v>186</v>
      </c>
      <c r="C46" s="100">
        <f t="array" ref="C46">INDEX(A32:A39,IF(MATCH(C44,A32:A39,1)&lt;E42,MATCH(C44,A32:A39,1)+1,MATCH(C44,A32:A39,1)))</f>
        <v>12500</v>
      </c>
      <c r="D46" s="2"/>
      <c r="E46" s="92"/>
      <c r="G46" s="2"/>
      <c r="H46" s="2"/>
      <c r="I46" s="2"/>
      <c r="J46" s="73"/>
      <c r="K46" s="100"/>
      <c r="L46" s="2"/>
      <c r="M46" s="92"/>
      <c r="O46" s="98" t="s">
        <v>244</v>
      </c>
      <c r="P46" s="155">
        <f>IFERROR(P44+(Q37-Q38)*(P45-P44)/(Q39-Q38),P44)</f>
        <v>4.9399999999999995</v>
      </c>
      <c r="T46" s="2"/>
      <c r="U46" s="2"/>
      <c r="V46" s="2"/>
      <c r="W46" s="98"/>
      <c r="X46" s="97"/>
      <c r="AG46" s="2"/>
      <c r="AH46" s="2"/>
      <c r="AI46" s="2"/>
      <c r="AJ46" s="73"/>
      <c r="AK46" s="100"/>
      <c r="AL46" s="2"/>
    </row>
    <row r="47" spans="1:45" ht="15" customHeight="1">
      <c r="B47" s="98" t="s">
        <v>187</v>
      </c>
      <c r="C47" s="97">
        <f t="array" ref="C47">INDEX(B32:F39,MATCH(C44,A32:A39,1),MATCH(C41,B31:F31,1))</f>
        <v>700</v>
      </c>
      <c r="D47" s="2"/>
      <c r="E47" s="92"/>
      <c r="G47" s="2"/>
      <c r="H47" s="2"/>
      <c r="I47" s="2"/>
      <c r="J47" s="73"/>
      <c r="K47" s="100"/>
      <c r="L47" s="2"/>
      <c r="M47" s="92"/>
      <c r="W47" s="12"/>
      <c r="X47" s="12"/>
      <c r="Y47" s="12"/>
      <c r="AG47" s="2"/>
      <c r="AH47" s="2"/>
      <c r="AI47" s="2"/>
      <c r="AJ47" s="73"/>
      <c r="AK47" s="100"/>
      <c r="AL47" s="2"/>
    </row>
    <row r="48" spans="1:45" ht="15" customHeight="1">
      <c r="B48" s="98" t="s">
        <v>240</v>
      </c>
      <c r="C48" s="97">
        <f t="array" ref="C48">INDEX(B32:F39,MATCH(C44,A32:A39,1),IF(MATCH(C41,B31:F31,1)&lt;E43,MATCH(C41,B31:F31,1)+1,MATCH(C44,A32:A39,1)))</f>
        <v>800</v>
      </c>
      <c r="E48" s="92"/>
      <c r="G48" s="2"/>
      <c r="H48" s="2"/>
      <c r="I48" s="2"/>
      <c r="J48" s="98"/>
      <c r="K48" s="97"/>
      <c r="L48" s="2"/>
      <c r="M48" s="92"/>
      <c r="AG48" s="2"/>
      <c r="AH48" s="2"/>
      <c r="AI48" s="2"/>
      <c r="AJ48" s="98"/>
      <c r="AK48" s="97"/>
      <c r="AL48" s="2"/>
    </row>
    <row r="49" spans="2:38" ht="15" customHeight="1">
      <c r="B49" s="98" t="s">
        <v>188</v>
      </c>
      <c r="C49" s="97">
        <f t="array" ref="C49">INDEX(B32:F39,IF(MATCH(C44,A32:A39,1)&lt;E42,MATCH(C44,A32:A39,1)+1,MATCH(C44,A32:A39,1)),MATCH(C41,B31:F31,1))</f>
        <v>700</v>
      </c>
      <c r="E49" s="92"/>
      <c r="G49" s="2"/>
      <c r="H49" s="2"/>
      <c r="I49" s="2"/>
      <c r="J49" s="98"/>
      <c r="K49" s="97"/>
      <c r="M49" s="92"/>
      <c r="AG49" s="2"/>
      <c r="AH49" s="2"/>
      <c r="AI49" s="2"/>
      <c r="AJ49" s="98"/>
      <c r="AK49" s="97"/>
    </row>
    <row r="50" spans="2:38" ht="15" customHeight="1">
      <c r="B50" s="98" t="s">
        <v>241</v>
      </c>
      <c r="C50" s="97">
        <f t="array" ref="C50">INDEX(B32:F39,IF(MATCH(C44,A32:A39,1)&lt;E42,MATCH(C44,A32:A39,1)+1,MATCH(C44,A32:A39,1)),IF(MATCH(C41,B31:F31,1)&lt;E43,MATCH(C41,B31:F31,1)+1,MATCH(C41,B31:F31,1)))</f>
        <v>800</v>
      </c>
      <c r="G50" s="2"/>
      <c r="H50" s="2"/>
      <c r="I50" s="2"/>
      <c r="J50" s="98"/>
      <c r="K50" s="97"/>
      <c r="M50" s="92"/>
      <c r="AG50" s="2"/>
      <c r="AH50" s="2"/>
      <c r="AI50" s="2"/>
      <c r="AJ50" s="98"/>
      <c r="AK50" s="97"/>
    </row>
    <row r="51" spans="2:38" ht="15" customHeight="1">
      <c r="B51" s="73" t="s">
        <v>242</v>
      </c>
      <c r="C51" s="100">
        <f>IFERROR(C47+(C41-C42)*(C48-C47)/(C43-C42),C47)</f>
        <v>744</v>
      </c>
      <c r="G51" s="2"/>
      <c r="H51" s="2"/>
      <c r="I51" s="2"/>
      <c r="J51" s="98"/>
      <c r="K51" s="97"/>
      <c r="AG51" s="2"/>
      <c r="AH51" s="2"/>
      <c r="AI51" s="2"/>
      <c r="AJ51" s="98"/>
      <c r="AK51" s="97"/>
    </row>
    <row r="52" spans="2:38" ht="15" customHeight="1">
      <c r="B52" s="73" t="s">
        <v>243</v>
      </c>
      <c r="C52" s="100">
        <f>IFERROR(C49+(C41-C42)*(C50-C49)/(C43-C42),C49)</f>
        <v>744</v>
      </c>
      <c r="G52" s="2"/>
      <c r="H52" s="2"/>
      <c r="I52" s="2"/>
      <c r="J52" s="73"/>
      <c r="K52" s="100"/>
      <c r="AG52" s="2"/>
      <c r="AH52" s="2"/>
      <c r="AI52" s="2"/>
      <c r="AJ52" s="73"/>
      <c r="AK52" s="100"/>
    </row>
    <row r="53" spans="2:38" ht="15" customHeight="1">
      <c r="B53" s="98" t="s">
        <v>244</v>
      </c>
      <c r="C53" s="219">
        <f>IFERROR(C51+(C44-C45)*(C52-C51)/(C46-C45),C51)</f>
        <v>744</v>
      </c>
      <c r="G53" s="2"/>
      <c r="H53" s="2"/>
      <c r="I53" s="2"/>
      <c r="J53" s="73"/>
      <c r="K53" s="100"/>
      <c r="AG53" s="2"/>
      <c r="AH53" s="2"/>
      <c r="AI53" s="2"/>
      <c r="AJ53" s="73"/>
      <c r="AK53" s="100"/>
    </row>
    <row r="54" spans="2:38" ht="15" customHeight="1">
      <c r="B54" s="8" t="s">
        <v>257</v>
      </c>
      <c r="C54" s="101">
        <f>C53-100</f>
        <v>644</v>
      </c>
      <c r="J54" s="98"/>
      <c r="K54" s="97"/>
      <c r="AG54" s="2"/>
      <c r="AH54" s="2"/>
      <c r="AI54" s="2"/>
      <c r="AJ54" s="98"/>
      <c r="AK54" s="97"/>
    </row>
    <row r="55" spans="2:38" ht="15" customHeight="1">
      <c r="J55" s="12"/>
      <c r="K55" s="12"/>
      <c r="L55" s="12"/>
      <c r="M55" s="12"/>
      <c r="AJ55" s="12"/>
      <c r="AK55" s="12"/>
      <c r="AL55" s="12"/>
    </row>
    <row r="56" spans="2:38" ht="15.75" customHeight="1"/>
    <row r="57" spans="2:38" ht="15.75" customHeight="1"/>
    <row r="58" spans="2:38" ht="15.75" customHeight="1"/>
    <row r="59" spans="2:38" ht="15.75" customHeight="1"/>
    <row r="60" spans="2:38" ht="15.75" customHeight="1"/>
    <row r="61" spans="2:38" ht="15.75" customHeight="1"/>
    <row r="62" spans="2:38" ht="15.75" customHeight="1"/>
    <row r="63" spans="2:38" ht="15.75" customHeight="1"/>
    <row r="64" spans="2:3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R34:S34"/>
    <mergeCell ref="D41:E41"/>
    <mergeCell ref="B3:L3"/>
    <mergeCell ref="B4:F4"/>
    <mergeCell ref="D16:E16"/>
    <mergeCell ref="AR16:AS16"/>
    <mergeCell ref="B30:G30"/>
    <mergeCell ref="O30:T30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E38">
    <cfRule type="colorScale" priority="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3">
      <colorScale>
        <cfvo type="min"/>
        <cfvo type="max"/>
        <color rgb="FFFCFCFF"/>
        <color rgb="FFF8696B"/>
      </colorScale>
    </cfRule>
  </conditionalFormatting>
  <conditionalFormatting sqref="R32:AA32">
    <cfRule type="colorScale" priority="4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Z1000"/>
  <sheetViews>
    <sheetView workbookViewId="0"/>
  </sheetViews>
  <sheetFormatPr defaultColWidth="14.42578125" defaultRowHeight="15" customHeight="1"/>
  <cols>
    <col min="1" max="12" width="9.140625" customWidth="1"/>
    <col min="13" max="13" width="5" customWidth="1"/>
    <col min="14" max="52" width="9.140625" customWidth="1"/>
  </cols>
  <sheetData>
    <row r="1" spans="1:52" ht="14.25" customHeight="1">
      <c r="A1" s="77"/>
      <c r="B1" s="73" t="s">
        <v>231</v>
      </c>
      <c r="C1" s="98" t="s">
        <v>183</v>
      </c>
      <c r="D1" s="186">
        <f>IF('Take-off'!$C$9="",'Take-off'!$C$16,MAX(0,'Take-off'!$C$16+30*(1013-'Take-off'!$C$9)))+35</f>
        <v>35</v>
      </c>
      <c r="F1" s="336" t="s">
        <v>258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341"/>
      <c r="AW1" s="77"/>
      <c r="AX1" s="77"/>
      <c r="AY1" s="77"/>
      <c r="AZ1" s="77"/>
    </row>
    <row r="2" spans="1:52" ht="14.25" customHeight="1">
      <c r="A2" s="77"/>
      <c r="B2" s="73" t="s">
        <v>233</v>
      </c>
      <c r="C2" s="96" t="s">
        <v>184</v>
      </c>
      <c r="D2" s="186">
        <f>IF('Take-off'!$C$13='Dropdown lists'!$B$30, 'Take-off'!$C$8+10, 'Take-off'!$C$8)</f>
        <v>-2</v>
      </c>
      <c r="E2" s="187" t="s">
        <v>249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341"/>
      <c r="AW2" s="77"/>
      <c r="AX2" s="77"/>
      <c r="AY2" s="77"/>
      <c r="AZ2" s="77"/>
    </row>
    <row r="3" spans="1:52" ht="14.25" customHeight="1">
      <c r="A3" s="77"/>
      <c r="B3" s="247" t="s">
        <v>254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77"/>
      <c r="N3" s="77"/>
      <c r="O3" s="247" t="s">
        <v>259</v>
      </c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77"/>
      <c r="AA3" s="77"/>
      <c r="AB3" s="247" t="s">
        <v>260</v>
      </c>
      <c r="AC3" s="262"/>
      <c r="AD3" s="262"/>
      <c r="AE3" s="262"/>
      <c r="AF3" s="262"/>
      <c r="AG3" s="262"/>
      <c r="AH3" s="262"/>
      <c r="AI3" s="262"/>
      <c r="AJ3" s="262"/>
      <c r="AK3" s="262"/>
      <c r="AL3" s="262"/>
      <c r="AM3" s="77"/>
      <c r="AN3" s="77"/>
      <c r="AO3" s="77"/>
      <c r="AP3" s="77"/>
      <c r="AQ3" s="77"/>
      <c r="AR3" s="77"/>
      <c r="AS3" s="77"/>
      <c r="AT3" s="77"/>
      <c r="AU3" s="77"/>
      <c r="AV3" s="341"/>
      <c r="AW3" s="77"/>
      <c r="AX3" s="77"/>
      <c r="AY3" s="77"/>
      <c r="AZ3" s="77"/>
    </row>
    <row r="4" spans="1:52" ht="15" customHeight="1">
      <c r="A4" s="12"/>
      <c r="B4" s="258" t="s">
        <v>252</v>
      </c>
      <c r="C4" s="260"/>
      <c r="D4" s="260"/>
      <c r="E4" s="260"/>
      <c r="F4" s="260"/>
      <c r="G4" s="82"/>
      <c r="H4" s="82"/>
      <c r="I4" s="82"/>
      <c r="J4" s="82"/>
      <c r="K4" s="82"/>
      <c r="L4" s="82"/>
      <c r="M4" s="82"/>
      <c r="N4" s="12"/>
      <c r="O4" s="258" t="s">
        <v>252</v>
      </c>
      <c r="P4" s="260"/>
      <c r="Q4" s="260"/>
      <c r="R4" s="260"/>
      <c r="S4" s="260"/>
      <c r="T4" s="82"/>
      <c r="U4" s="82"/>
      <c r="V4" s="82"/>
      <c r="W4" s="82"/>
      <c r="X4" s="82"/>
      <c r="Y4" s="82"/>
      <c r="Z4" s="98"/>
      <c r="AA4" s="12"/>
      <c r="AB4" s="258" t="s">
        <v>252</v>
      </c>
      <c r="AC4" s="260"/>
      <c r="AD4" s="260"/>
      <c r="AE4" s="260"/>
      <c r="AF4" s="260"/>
      <c r="AG4" s="82"/>
      <c r="AH4" s="82"/>
      <c r="AI4" s="82"/>
      <c r="AJ4" s="82"/>
      <c r="AK4" s="82"/>
      <c r="AL4" s="82"/>
      <c r="AM4" s="2"/>
      <c r="AN4" s="2"/>
      <c r="AO4" s="2"/>
      <c r="AP4" s="98"/>
      <c r="AQ4" s="97"/>
      <c r="AU4" s="2"/>
      <c r="AV4" s="2"/>
      <c r="AW4" s="2"/>
      <c r="AX4" s="98"/>
      <c r="AY4" s="97"/>
    </row>
    <row r="5" spans="1:52" ht="15" customHeight="1">
      <c r="A5" s="12" t="s">
        <v>253</v>
      </c>
      <c r="B5" s="189">
        <v>0</v>
      </c>
      <c r="C5" s="190">
        <v>1000</v>
      </c>
      <c r="D5" s="191">
        <v>2000</v>
      </c>
      <c r="E5" s="191">
        <v>3000</v>
      </c>
      <c r="F5" s="192">
        <v>4000</v>
      </c>
      <c r="G5" s="98"/>
      <c r="H5" s="97"/>
      <c r="I5" s="12"/>
      <c r="J5" s="98"/>
      <c r="K5" s="97"/>
      <c r="L5" s="12"/>
      <c r="M5" s="12"/>
      <c r="N5" s="12" t="s">
        <v>253</v>
      </c>
      <c r="O5" s="189">
        <v>0</v>
      </c>
      <c r="P5" s="190">
        <v>1000</v>
      </c>
      <c r="Q5" s="191">
        <v>2000</v>
      </c>
      <c r="R5" s="191">
        <v>3000</v>
      </c>
      <c r="S5" s="192">
        <v>4000</v>
      </c>
      <c r="T5" s="98"/>
      <c r="U5" s="97"/>
      <c r="V5" s="12"/>
      <c r="W5" s="98"/>
      <c r="X5" s="97"/>
      <c r="Y5" s="12"/>
      <c r="AA5" s="12" t="s">
        <v>253</v>
      </c>
      <c r="AB5" s="189">
        <v>0</v>
      </c>
      <c r="AC5" s="190">
        <v>1000</v>
      </c>
      <c r="AD5" s="191">
        <v>2000</v>
      </c>
      <c r="AE5" s="191">
        <v>3000</v>
      </c>
      <c r="AF5" s="192">
        <v>4000</v>
      </c>
      <c r="AG5" s="98"/>
      <c r="AH5" s="97"/>
      <c r="AI5" s="12"/>
      <c r="AJ5" s="98"/>
      <c r="AK5" s="97"/>
      <c r="AL5" s="12"/>
      <c r="AM5" s="98"/>
      <c r="AN5" s="97"/>
      <c r="AR5" s="2"/>
      <c r="AS5" s="2"/>
      <c r="AT5" s="2"/>
      <c r="AU5" s="98"/>
      <c r="AV5" s="97"/>
    </row>
    <row r="6" spans="1:52" ht="15" customHeight="1">
      <c r="A6" s="12">
        <v>-30</v>
      </c>
      <c r="B6" s="204">
        <v>6</v>
      </c>
      <c r="C6" s="206">
        <v>5.8</v>
      </c>
      <c r="D6" s="208">
        <v>5.6</v>
      </c>
      <c r="E6" s="208">
        <v>5.4</v>
      </c>
      <c r="F6" s="192">
        <v>0</v>
      </c>
      <c r="G6" s="98"/>
      <c r="H6" s="97"/>
      <c r="I6" s="12"/>
      <c r="J6" s="98"/>
      <c r="K6" s="97"/>
      <c r="L6" s="12"/>
      <c r="M6" s="12"/>
      <c r="N6" s="12">
        <v>-30</v>
      </c>
      <c r="O6" s="212"/>
      <c r="P6" s="213"/>
      <c r="Q6" s="214"/>
      <c r="R6" s="214"/>
      <c r="S6" s="192">
        <v>99999</v>
      </c>
      <c r="T6" s="98"/>
      <c r="U6" s="97"/>
      <c r="V6" s="12"/>
      <c r="W6" s="98"/>
      <c r="X6" s="97"/>
      <c r="Y6" s="12"/>
      <c r="AA6" s="12">
        <v>-30</v>
      </c>
      <c r="AB6" s="212"/>
      <c r="AC6" s="213"/>
      <c r="AD6" s="214"/>
      <c r="AE6" s="214"/>
      <c r="AF6" s="192">
        <v>99999</v>
      </c>
      <c r="AG6" s="98"/>
      <c r="AH6" s="97"/>
      <c r="AI6" s="12"/>
      <c r="AJ6" s="98"/>
      <c r="AK6" s="97"/>
      <c r="AL6" s="12"/>
      <c r="AM6" s="98"/>
      <c r="AN6" s="97"/>
      <c r="AR6" s="2"/>
      <c r="AS6" s="2"/>
      <c r="AT6" s="2"/>
      <c r="AU6" s="98"/>
      <c r="AV6" s="97"/>
    </row>
    <row r="7" spans="1:52" ht="15" customHeight="1">
      <c r="A7" s="12">
        <v>-20</v>
      </c>
      <c r="B7" s="343">
        <v>6</v>
      </c>
      <c r="C7" s="210">
        <v>5.8</v>
      </c>
      <c r="D7" s="166">
        <v>5.45</v>
      </c>
      <c r="E7" s="166">
        <v>5.2</v>
      </c>
      <c r="F7" s="339">
        <v>0</v>
      </c>
      <c r="G7" s="98"/>
      <c r="H7" s="97"/>
      <c r="J7" s="98"/>
      <c r="K7" s="97"/>
      <c r="N7" s="12">
        <v>-20</v>
      </c>
      <c r="O7" s="344"/>
      <c r="P7" s="220"/>
      <c r="Q7" s="101"/>
      <c r="R7" s="101"/>
      <c r="S7" s="339">
        <v>99999</v>
      </c>
      <c r="T7" s="98"/>
      <c r="U7" s="97"/>
      <c r="W7" s="98"/>
      <c r="X7" s="97"/>
      <c r="AA7" s="12">
        <v>-20</v>
      </c>
      <c r="AB7" s="344"/>
      <c r="AC7" s="220"/>
      <c r="AD7" s="101"/>
      <c r="AE7" s="101"/>
      <c r="AF7" s="339">
        <v>99999</v>
      </c>
      <c r="AG7" s="98"/>
      <c r="AH7" s="97"/>
      <c r="AJ7" s="98"/>
      <c r="AK7" s="97"/>
      <c r="AM7" s="98"/>
      <c r="AN7" s="97"/>
      <c r="AR7" s="2"/>
      <c r="AS7" s="2"/>
      <c r="AT7" s="2"/>
      <c r="AU7" s="98"/>
      <c r="AV7" s="97"/>
    </row>
    <row r="8" spans="1:52" ht="15" customHeight="1">
      <c r="A8" s="12">
        <v>-10</v>
      </c>
      <c r="B8" s="343">
        <v>5.75</v>
      </c>
      <c r="C8" s="210">
        <v>5.5</v>
      </c>
      <c r="D8" s="166">
        <v>5.2</v>
      </c>
      <c r="E8" s="166">
        <v>4.9000000000000004</v>
      </c>
      <c r="F8" s="339">
        <v>0</v>
      </c>
      <c r="G8" s="98"/>
      <c r="H8" s="97"/>
      <c r="J8" s="98"/>
      <c r="K8" s="97"/>
      <c r="N8" s="12">
        <v>-10</v>
      </c>
      <c r="O8" s="344"/>
      <c r="P8" s="220"/>
      <c r="Q8" s="101"/>
      <c r="R8" s="101"/>
      <c r="S8" s="339">
        <v>99999</v>
      </c>
      <c r="T8" s="98"/>
      <c r="U8" s="97"/>
      <c r="W8" s="98"/>
      <c r="X8" s="97"/>
      <c r="AA8" s="12">
        <v>-10</v>
      </c>
      <c r="AB8" s="344"/>
      <c r="AC8" s="220"/>
      <c r="AD8" s="101"/>
      <c r="AE8" s="101"/>
      <c r="AF8" s="339">
        <v>99999</v>
      </c>
      <c r="AG8" s="98"/>
      <c r="AH8" s="97"/>
      <c r="AJ8" s="98"/>
      <c r="AK8" s="97"/>
      <c r="AM8" s="98"/>
      <c r="AN8" s="97"/>
      <c r="AR8" s="2"/>
      <c r="AS8" s="2"/>
      <c r="AT8" s="2"/>
      <c r="AU8" s="98"/>
      <c r="AV8" s="97"/>
    </row>
    <row r="9" spans="1:52" ht="15" customHeight="1">
      <c r="A9" s="12">
        <v>0</v>
      </c>
      <c r="B9" s="343">
        <v>5.5</v>
      </c>
      <c r="C9" s="210">
        <v>5.2</v>
      </c>
      <c r="D9" s="166">
        <v>4.9000000000000004</v>
      </c>
      <c r="E9" s="166">
        <v>4.5999999999999996</v>
      </c>
      <c r="F9" s="339">
        <v>0</v>
      </c>
      <c r="G9" s="98"/>
      <c r="H9" s="97"/>
      <c r="J9" s="98"/>
      <c r="K9" s="97"/>
      <c r="N9" s="12">
        <v>0</v>
      </c>
      <c r="O9" s="344"/>
      <c r="P9" s="220"/>
      <c r="Q9" s="101"/>
      <c r="R9" s="101"/>
      <c r="S9" s="339">
        <v>99999</v>
      </c>
      <c r="T9" s="98"/>
      <c r="U9" s="97"/>
      <c r="W9" s="98"/>
      <c r="X9" s="97"/>
      <c r="AA9" s="12">
        <v>0</v>
      </c>
      <c r="AB9" s="344"/>
      <c r="AC9" s="220"/>
      <c r="AD9" s="101"/>
      <c r="AE9" s="101"/>
      <c r="AF9" s="339">
        <v>99999</v>
      </c>
      <c r="AG9" s="98"/>
      <c r="AH9" s="97"/>
      <c r="AJ9" s="98"/>
      <c r="AK9" s="97"/>
      <c r="AM9" s="98"/>
      <c r="AN9" s="97"/>
      <c r="AR9" s="2"/>
      <c r="AS9" s="2"/>
      <c r="AT9" s="2"/>
      <c r="AU9" s="98"/>
      <c r="AV9" s="97"/>
    </row>
    <row r="10" spans="1:52" ht="15" customHeight="1">
      <c r="A10" s="12">
        <v>10</v>
      </c>
      <c r="B10" s="343">
        <v>5.2</v>
      </c>
      <c r="C10" s="210">
        <v>4.9000000000000004</v>
      </c>
      <c r="D10" s="166">
        <v>4.5999999999999996</v>
      </c>
      <c r="E10" s="166">
        <v>4.4000000000000004</v>
      </c>
      <c r="F10" s="339">
        <v>0</v>
      </c>
      <c r="G10" s="98"/>
      <c r="H10" s="97"/>
      <c r="J10" s="98"/>
      <c r="K10" s="97"/>
      <c r="N10" s="12">
        <v>10</v>
      </c>
      <c r="O10" s="344"/>
      <c r="P10" s="220"/>
      <c r="Q10" s="101"/>
      <c r="R10" s="101"/>
      <c r="S10" s="339">
        <v>99999</v>
      </c>
      <c r="T10" s="98"/>
      <c r="U10" s="97"/>
      <c r="W10" s="98"/>
      <c r="X10" s="97"/>
      <c r="AA10" s="12">
        <v>10</v>
      </c>
      <c r="AB10" s="344"/>
      <c r="AC10" s="220"/>
      <c r="AD10" s="101"/>
      <c r="AE10" s="101"/>
      <c r="AF10" s="339">
        <v>99999</v>
      </c>
      <c r="AG10" s="98"/>
      <c r="AH10" s="97"/>
      <c r="AJ10" s="98"/>
      <c r="AK10" s="97"/>
      <c r="AM10" s="98"/>
      <c r="AN10" s="97"/>
      <c r="AR10" s="2"/>
      <c r="AS10" s="2"/>
      <c r="AT10" s="2"/>
      <c r="AU10" s="98"/>
      <c r="AV10" s="97"/>
    </row>
    <row r="11" spans="1:52" ht="15" customHeight="1">
      <c r="A11" s="12">
        <v>20</v>
      </c>
      <c r="B11" s="343">
        <v>4.95</v>
      </c>
      <c r="C11" s="210">
        <v>4.6500000000000004</v>
      </c>
      <c r="D11" s="166">
        <v>4.4000000000000004</v>
      </c>
      <c r="E11" s="166">
        <v>4</v>
      </c>
      <c r="F11" s="339">
        <v>0</v>
      </c>
      <c r="G11" s="98"/>
      <c r="H11" s="97"/>
      <c r="J11" s="98"/>
      <c r="K11" s="97"/>
      <c r="N11" s="12">
        <v>20</v>
      </c>
      <c r="O11" s="344"/>
      <c r="P11" s="220"/>
      <c r="Q11" s="101"/>
      <c r="R11" s="101"/>
      <c r="S11" s="339">
        <v>99999</v>
      </c>
      <c r="T11" s="98"/>
      <c r="U11" s="97"/>
      <c r="W11" s="98"/>
      <c r="X11" s="97"/>
      <c r="AA11" s="12">
        <v>20</v>
      </c>
      <c r="AB11" s="344"/>
      <c r="AC11" s="220"/>
      <c r="AD11" s="101"/>
      <c r="AE11" s="101"/>
      <c r="AF11" s="339">
        <v>99999</v>
      </c>
      <c r="AG11" s="98"/>
      <c r="AH11" s="97"/>
      <c r="AJ11" s="98"/>
      <c r="AK11" s="97"/>
      <c r="AM11" s="98"/>
      <c r="AN11" s="97"/>
      <c r="AR11" s="2"/>
      <c r="AS11" s="2"/>
      <c r="AT11" s="2"/>
      <c r="AU11" s="98"/>
      <c r="AV11" s="97"/>
    </row>
    <row r="12" spans="1:52" ht="15" customHeight="1">
      <c r="A12" s="12">
        <v>30</v>
      </c>
      <c r="B12" s="343">
        <v>4.7</v>
      </c>
      <c r="C12" s="210">
        <v>4.25</v>
      </c>
      <c r="D12" s="166">
        <v>3.9</v>
      </c>
      <c r="E12" s="166">
        <v>3.4</v>
      </c>
      <c r="F12" s="339">
        <v>0</v>
      </c>
      <c r="G12" s="98"/>
      <c r="H12" s="97"/>
      <c r="J12" s="98"/>
      <c r="K12" s="97"/>
      <c r="N12" s="12"/>
      <c r="O12" s="344"/>
      <c r="P12" s="220"/>
      <c r="Q12" s="101"/>
      <c r="R12" s="101"/>
      <c r="S12" s="339"/>
      <c r="T12" s="98"/>
      <c r="U12" s="97"/>
      <c r="W12" s="98"/>
      <c r="X12" s="97"/>
      <c r="AA12" s="12">
        <v>30</v>
      </c>
      <c r="AB12" s="344"/>
      <c r="AC12" s="220"/>
      <c r="AD12" s="101"/>
      <c r="AE12" s="101"/>
      <c r="AF12" s="339">
        <v>99999</v>
      </c>
      <c r="AG12" s="98"/>
      <c r="AH12" s="97"/>
      <c r="AJ12" s="98"/>
      <c r="AK12" s="97"/>
      <c r="AM12" s="98"/>
      <c r="AN12" s="97"/>
      <c r="AR12" s="2"/>
      <c r="AS12" s="2"/>
      <c r="AT12" s="2"/>
      <c r="AU12" s="98"/>
      <c r="AV12" s="97"/>
    </row>
    <row r="13" spans="1:52" ht="15" customHeight="1">
      <c r="A13" s="12">
        <v>40</v>
      </c>
      <c r="B13" s="343">
        <v>4</v>
      </c>
      <c r="C13" s="210">
        <v>3.4</v>
      </c>
      <c r="D13" s="166">
        <v>3</v>
      </c>
      <c r="E13" s="166">
        <v>2.5</v>
      </c>
      <c r="F13" s="339">
        <v>0</v>
      </c>
      <c r="G13" s="98"/>
      <c r="H13" s="97"/>
      <c r="J13" s="98"/>
      <c r="K13" s="97"/>
      <c r="N13" s="12">
        <v>30</v>
      </c>
      <c r="O13" s="344"/>
      <c r="P13" s="220"/>
      <c r="Q13" s="101"/>
      <c r="R13" s="101"/>
      <c r="S13" s="339">
        <v>99999</v>
      </c>
      <c r="T13" s="98"/>
      <c r="U13" s="97"/>
      <c r="W13" s="98"/>
      <c r="X13" s="97"/>
      <c r="AA13" s="12">
        <v>40</v>
      </c>
      <c r="AB13" s="344"/>
      <c r="AC13" s="220"/>
      <c r="AD13" s="101"/>
      <c r="AE13" s="101"/>
      <c r="AF13" s="339">
        <v>99999</v>
      </c>
      <c r="AG13" s="98"/>
      <c r="AH13" s="97"/>
      <c r="AJ13" s="98"/>
      <c r="AK13" s="97"/>
      <c r="AM13" s="98"/>
      <c r="AN13" s="97"/>
      <c r="AR13" s="2"/>
      <c r="AS13" s="2"/>
      <c r="AT13" s="2"/>
      <c r="AU13" s="98"/>
      <c r="AV13" s="97"/>
    </row>
    <row r="14" spans="1:52" ht="15" customHeight="1">
      <c r="A14" s="12">
        <v>45</v>
      </c>
      <c r="B14" s="196">
        <v>0</v>
      </c>
      <c r="C14" s="197">
        <v>0</v>
      </c>
      <c r="D14" s="197">
        <v>0</v>
      </c>
      <c r="E14" s="197">
        <v>0</v>
      </c>
      <c r="F14" s="198">
        <v>0</v>
      </c>
      <c r="G14" s="98"/>
      <c r="H14" s="97"/>
      <c r="J14" s="98"/>
      <c r="K14" s="97"/>
      <c r="N14" s="12">
        <v>35</v>
      </c>
      <c r="O14" s="196">
        <v>99999</v>
      </c>
      <c r="P14" s="197">
        <v>99999</v>
      </c>
      <c r="Q14" s="197">
        <v>99999</v>
      </c>
      <c r="R14" s="197">
        <v>99999</v>
      </c>
      <c r="S14" s="198">
        <v>99999</v>
      </c>
      <c r="T14" s="98"/>
      <c r="U14" s="97"/>
      <c r="W14" s="98"/>
      <c r="X14" s="97"/>
      <c r="AA14" s="12">
        <v>45</v>
      </c>
      <c r="AB14" s="196">
        <v>99999</v>
      </c>
      <c r="AC14" s="197">
        <v>99999</v>
      </c>
      <c r="AD14" s="197">
        <v>99999</v>
      </c>
      <c r="AE14" s="197">
        <v>99999</v>
      </c>
      <c r="AF14" s="198">
        <v>99999</v>
      </c>
      <c r="AG14" s="98"/>
      <c r="AH14" s="97"/>
      <c r="AJ14" s="98"/>
      <c r="AK14" s="97"/>
      <c r="AM14" s="98"/>
      <c r="AN14" s="97"/>
      <c r="AR14" s="2"/>
      <c r="AS14" s="2"/>
      <c r="AT14" s="2"/>
      <c r="AU14" s="98"/>
      <c r="AV14" s="97"/>
    </row>
    <row r="15" spans="1:52" ht="15" customHeight="1">
      <c r="B15" s="98"/>
      <c r="C15" s="97"/>
      <c r="D15" s="12"/>
      <c r="E15" s="12"/>
      <c r="F15" s="12"/>
      <c r="G15" s="2"/>
      <c r="H15" s="2"/>
      <c r="I15" s="2"/>
      <c r="J15" s="98"/>
      <c r="K15" s="97"/>
      <c r="O15" s="98"/>
      <c r="P15" s="97"/>
      <c r="Q15" s="12"/>
      <c r="R15" s="12"/>
      <c r="S15" s="12"/>
      <c r="T15" s="2"/>
      <c r="U15" s="2"/>
      <c r="V15" s="2"/>
      <c r="W15" s="98"/>
      <c r="X15" s="97"/>
      <c r="Z15" s="98"/>
      <c r="AB15" s="98"/>
      <c r="AC15" s="97"/>
      <c r="AD15" s="12"/>
      <c r="AE15" s="12"/>
      <c r="AF15" s="12"/>
      <c r="AG15" s="2"/>
      <c r="AH15" s="2"/>
      <c r="AI15" s="2"/>
      <c r="AJ15" s="98"/>
      <c r="AK15" s="97"/>
      <c r="AM15" s="2"/>
      <c r="AN15" s="2"/>
      <c r="AO15" s="2"/>
      <c r="AP15" s="98"/>
      <c r="AQ15" s="97"/>
      <c r="AU15" s="2"/>
      <c r="AV15" s="2"/>
      <c r="AW15" s="2"/>
      <c r="AX15" s="98"/>
      <c r="AY15" s="97"/>
    </row>
    <row r="16" spans="1:52" ht="15" customHeight="1">
      <c r="B16" s="98" t="s">
        <v>183</v>
      </c>
      <c r="C16" s="97">
        <f>D1</f>
        <v>35</v>
      </c>
      <c r="D16" s="251" t="s">
        <v>237</v>
      </c>
      <c r="E16" s="262"/>
      <c r="G16" s="2"/>
      <c r="H16" s="2"/>
      <c r="I16" s="2"/>
      <c r="J16" s="98"/>
      <c r="K16" s="97"/>
      <c r="L16" s="82"/>
      <c r="O16" s="98" t="s">
        <v>183</v>
      </c>
      <c r="P16" s="97">
        <f>D1</f>
        <v>35</v>
      </c>
      <c r="Q16" s="251" t="s">
        <v>237</v>
      </c>
      <c r="R16" s="262"/>
      <c r="T16" s="2"/>
      <c r="U16" s="2"/>
      <c r="V16" s="2"/>
      <c r="W16" s="98"/>
      <c r="X16" s="97"/>
      <c r="Y16" s="82"/>
      <c r="Z16" s="98"/>
      <c r="AB16" s="98" t="s">
        <v>183</v>
      </c>
      <c r="AC16" s="97">
        <f>D1</f>
        <v>35</v>
      </c>
      <c r="AD16" s="251" t="s">
        <v>237</v>
      </c>
      <c r="AE16" s="262"/>
      <c r="AG16" s="2"/>
      <c r="AH16" s="2"/>
      <c r="AI16" s="2"/>
      <c r="AJ16" s="98"/>
      <c r="AK16" s="97"/>
      <c r="AL16" s="82"/>
      <c r="AM16" s="2"/>
      <c r="AN16" s="2"/>
      <c r="AO16" s="2"/>
      <c r="AP16" s="98"/>
      <c r="AQ16" s="97"/>
      <c r="AR16" s="251"/>
      <c r="AS16" s="262"/>
      <c r="AU16" s="2"/>
      <c r="AV16" s="2"/>
      <c r="AW16" s="2"/>
      <c r="AX16" s="98"/>
      <c r="AY16" s="97"/>
      <c r="AZ16" s="93"/>
    </row>
    <row r="17" spans="1:52" ht="15" customHeight="1">
      <c r="B17" s="73" t="s">
        <v>238</v>
      </c>
      <c r="C17" s="100">
        <f t="array" ref="C17">INDEX(B5:F5,MATCH(C16,B5:F5,1))</f>
        <v>0</v>
      </c>
      <c r="D17" s="73" t="s">
        <v>181</v>
      </c>
      <c r="E17" s="88">
        <f>MATCH(MAX(A6:A14),A6:A14,1)</f>
        <v>9</v>
      </c>
      <c r="G17" s="2"/>
      <c r="H17" s="2"/>
      <c r="I17" s="2"/>
      <c r="J17" s="73"/>
      <c r="K17" s="100"/>
      <c r="L17" s="73"/>
      <c r="M17" s="88"/>
      <c r="O17" s="73" t="s">
        <v>238</v>
      </c>
      <c r="P17" s="100">
        <f t="array" ref="P17">INDEX(O5:S5,MATCH(P16,O5:S5,1))</f>
        <v>0</v>
      </c>
      <c r="Q17" s="73" t="s">
        <v>181</v>
      </c>
      <c r="R17" s="88">
        <f>MATCH(MAX(N6:N14),N6:N14,1)</f>
        <v>9</v>
      </c>
      <c r="T17" s="2"/>
      <c r="U17" s="2"/>
      <c r="V17" s="2"/>
      <c r="W17" s="73"/>
      <c r="X17" s="100"/>
      <c r="Y17" s="73"/>
      <c r="Z17" s="73"/>
      <c r="AB17" s="73" t="s">
        <v>238</v>
      </c>
      <c r="AC17" s="100">
        <f t="array" ref="AC17">INDEX(AB5:AF5,MATCH(AC16,AB5:AF5,1))</f>
        <v>0</v>
      </c>
      <c r="AD17" s="73" t="s">
        <v>181</v>
      </c>
      <c r="AE17" s="88">
        <f>MATCH(MAX(AA6:AA14),AA6:AA14,1)</f>
        <v>9</v>
      </c>
      <c r="AG17" s="2"/>
      <c r="AH17" s="2"/>
      <c r="AI17" s="2"/>
      <c r="AJ17" s="73"/>
      <c r="AK17" s="100"/>
      <c r="AL17" s="73"/>
      <c r="AM17" s="2"/>
      <c r="AN17" s="2"/>
      <c r="AO17" s="2"/>
      <c r="AP17" s="73"/>
      <c r="AQ17" s="100"/>
      <c r="AR17" s="73"/>
      <c r="AS17" s="88"/>
      <c r="AU17" s="2"/>
      <c r="AV17" s="2"/>
      <c r="AW17" s="2"/>
      <c r="AX17" s="73"/>
      <c r="AY17" s="100"/>
      <c r="AZ17" s="73"/>
    </row>
    <row r="18" spans="1:52" ht="15" customHeight="1">
      <c r="B18" s="73" t="s">
        <v>239</v>
      </c>
      <c r="C18" s="100">
        <f t="array" ref="C18">INDEX(B5:F5,IF(MATCH(C16,B5:F5,1)&lt;E18,MATCH(C16,B5:F5,1)+1,MATCH(C16,B5:F5,1)))</f>
        <v>1000</v>
      </c>
      <c r="D18" s="73" t="s">
        <v>182</v>
      </c>
      <c r="E18" s="88">
        <f>MATCH(MAX(B5:F5),B5:F5,0)</f>
        <v>5</v>
      </c>
      <c r="G18" s="2"/>
      <c r="H18" s="2"/>
      <c r="I18" s="2"/>
      <c r="J18" s="73"/>
      <c r="K18" s="100"/>
      <c r="L18" s="73"/>
      <c r="M18" s="88"/>
      <c r="O18" s="73" t="s">
        <v>239</v>
      </c>
      <c r="P18" s="100">
        <f t="array" ref="P18">INDEX(O5:S5,IF(MATCH(P16,O5:S5,1)&lt;R18,MATCH(P16,O5:S5,1)+1,MATCH(P16,O5:S5,1)))</f>
        <v>1000</v>
      </c>
      <c r="Q18" s="73" t="s">
        <v>182</v>
      </c>
      <c r="R18" s="88">
        <f>MATCH(MAX(O5:S5),O5:S5,0)</f>
        <v>5</v>
      </c>
      <c r="T18" s="2"/>
      <c r="U18" s="2"/>
      <c r="V18" s="2"/>
      <c r="W18" s="73"/>
      <c r="X18" s="100"/>
      <c r="Y18" s="73"/>
      <c r="Z18" s="73"/>
      <c r="AB18" s="73" t="s">
        <v>239</v>
      </c>
      <c r="AC18" s="100">
        <f t="array" ref="AC18">INDEX(AB5:AF5,IF(MATCH(AC16,AB5:AF5,1)&lt;AE18,MATCH(AC16,AB5:AF5,1)+1,MATCH(AC16,AB5:AF5,1)))</f>
        <v>1000</v>
      </c>
      <c r="AD18" s="73" t="s">
        <v>182</v>
      </c>
      <c r="AE18" s="88">
        <f>MATCH(MAX(AB5:AF5),AB5:AF5,0)</f>
        <v>5</v>
      </c>
      <c r="AG18" s="2"/>
      <c r="AH18" s="2"/>
      <c r="AI18" s="2"/>
      <c r="AJ18" s="73"/>
      <c r="AK18" s="100"/>
      <c r="AL18" s="73"/>
      <c r="AM18" s="2"/>
      <c r="AN18" s="2"/>
      <c r="AO18" s="2"/>
      <c r="AP18" s="73"/>
      <c r="AQ18" s="100"/>
      <c r="AR18" s="73"/>
      <c r="AS18" s="88"/>
      <c r="AU18" s="2"/>
      <c r="AV18" s="2"/>
      <c r="AW18" s="2"/>
      <c r="AX18" s="73"/>
      <c r="AY18" s="100"/>
      <c r="AZ18" s="73"/>
    </row>
    <row r="19" spans="1:52" ht="15" customHeight="1">
      <c r="B19" s="96" t="s">
        <v>184</v>
      </c>
      <c r="C19" s="155">
        <f>D2</f>
        <v>-2</v>
      </c>
      <c r="D19" s="2"/>
      <c r="E19" s="2"/>
      <c r="G19" s="2"/>
      <c r="H19" s="2"/>
      <c r="I19" s="2"/>
      <c r="J19" s="98"/>
      <c r="K19" s="155"/>
      <c r="L19" s="2"/>
      <c r="M19" s="2"/>
      <c r="O19" s="96" t="s">
        <v>184</v>
      </c>
      <c r="P19" s="155">
        <f>D2</f>
        <v>-2</v>
      </c>
      <c r="Q19" s="2"/>
      <c r="R19" s="2"/>
      <c r="T19" s="2"/>
      <c r="U19" s="2"/>
      <c r="V19" s="2"/>
      <c r="W19" s="98"/>
      <c r="X19" s="155"/>
      <c r="Y19" s="2"/>
      <c r="Z19" s="98"/>
      <c r="AB19" s="96" t="s">
        <v>184</v>
      </c>
      <c r="AC19" s="155">
        <f>D2</f>
        <v>-2</v>
      </c>
      <c r="AD19" s="2"/>
      <c r="AE19" s="2"/>
      <c r="AG19" s="2"/>
      <c r="AH19" s="2"/>
      <c r="AI19" s="2"/>
      <c r="AJ19" s="98"/>
      <c r="AK19" s="155"/>
      <c r="AL19" s="2"/>
      <c r="AM19" s="2"/>
      <c r="AN19" s="2"/>
      <c r="AO19" s="2"/>
      <c r="AP19" s="98"/>
      <c r="AQ19" s="155"/>
      <c r="AR19" s="2"/>
      <c r="AS19" s="2"/>
      <c r="AU19" s="2"/>
      <c r="AV19" s="2"/>
      <c r="AW19" s="2"/>
      <c r="AX19" s="98"/>
      <c r="AY19" s="155"/>
      <c r="AZ19" s="2"/>
    </row>
    <row r="20" spans="1:52" ht="15" customHeight="1">
      <c r="B20" s="73" t="s">
        <v>185</v>
      </c>
      <c r="C20" s="100">
        <f t="array" ref="C20">INDEX(A6:A14,MATCH(C19,A6:A14,1))</f>
        <v>-10</v>
      </c>
      <c r="D20" s="2"/>
      <c r="E20" s="92"/>
      <c r="G20" s="2"/>
      <c r="H20" s="2"/>
      <c r="I20" s="2"/>
      <c r="J20" s="73"/>
      <c r="K20" s="100"/>
      <c r="L20" s="2"/>
      <c r="M20" s="92"/>
      <c r="O20" s="73" t="s">
        <v>185</v>
      </c>
      <c r="P20" s="100">
        <f t="array" ref="P20">INDEX(N6:N14,MATCH(P19,N6:N14,1))</f>
        <v>-10</v>
      </c>
      <c r="Q20" s="2"/>
      <c r="R20" s="92"/>
      <c r="T20" s="2"/>
      <c r="U20" s="2"/>
      <c r="V20" s="2"/>
      <c r="W20" s="73"/>
      <c r="X20" s="100"/>
      <c r="Y20" s="2"/>
      <c r="Z20" s="73"/>
      <c r="AB20" s="73" t="s">
        <v>185</v>
      </c>
      <c r="AC20" s="100">
        <f t="array" ref="AC20">INDEX(AA6:AA14,MATCH(AC19,AA6:AA14,1))</f>
        <v>-10</v>
      </c>
      <c r="AD20" s="2"/>
      <c r="AE20" s="92"/>
      <c r="AG20" s="2"/>
      <c r="AH20" s="2"/>
      <c r="AI20" s="2"/>
      <c r="AJ20" s="73"/>
      <c r="AK20" s="100"/>
      <c r="AL20" s="2"/>
      <c r="AM20" s="2"/>
      <c r="AN20" s="2"/>
      <c r="AO20" s="2"/>
      <c r="AP20" s="73"/>
      <c r="AQ20" s="100"/>
      <c r="AR20" s="2"/>
      <c r="AS20" s="92"/>
      <c r="AU20" s="2"/>
      <c r="AV20" s="2"/>
      <c r="AW20" s="2"/>
      <c r="AX20" s="73"/>
      <c r="AY20" s="100"/>
      <c r="AZ20" s="2"/>
    </row>
    <row r="21" spans="1:52" ht="15" customHeight="1">
      <c r="B21" s="73" t="s">
        <v>186</v>
      </c>
      <c r="C21" s="100">
        <f t="array" ref="C21">INDEX(A6:A14,IF(MATCH(C19,A6:A14,1)&lt;E17,MATCH(C19,A6:A14,1)+1,MATCH(C19,A6:A14,1)))</f>
        <v>0</v>
      </c>
      <c r="D21" s="2"/>
      <c r="E21" s="92"/>
      <c r="G21" s="2"/>
      <c r="H21" s="2"/>
      <c r="I21" s="2"/>
      <c r="J21" s="73"/>
      <c r="K21" s="100"/>
      <c r="L21" s="2"/>
      <c r="M21" s="92"/>
      <c r="O21" s="73" t="s">
        <v>186</v>
      </c>
      <c r="P21" s="100">
        <f t="array" ref="P21">INDEX(N6:N14,IF(MATCH(P19,N6:N14,1)&lt;R17,MATCH(P19,N6:N14,1)+1,MATCH(P19,N6:N14,1)))</f>
        <v>0</v>
      </c>
      <c r="Q21" s="2"/>
      <c r="R21" s="92"/>
      <c r="T21" s="2"/>
      <c r="U21" s="2"/>
      <c r="V21" s="2"/>
      <c r="W21" s="73"/>
      <c r="X21" s="100"/>
      <c r="Y21" s="2"/>
      <c r="Z21" s="73"/>
      <c r="AB21" s="73" t="s">
        <v>186</v>
      </c>
      <c r="AC21" s="100">
        <f t="array" ref="AC21">INDEX(AA6:AA14,IF(MATCH(AC19,AA6:AA14,1)&lt;AE17,MATCH(AC19,AA6:AA14,1)+1,MATCH(AC19,AA6:AA14,1)))</f>
        <v>0</v>
      </c>
      <c r="AD21" s="2"/>
      <c r="AE21" s="92"/>
      <c r="AG21" s="2"/>
      <c r="AH21" s="2"/>
      <c r="AI21" s="2"/>
      <c r="AJ21" s="73"/>
      <c r="AK21" s="100"/>
      <c r="AL21" s="2"/>
      <c r="AM21" s="2"/>
      <c r="AN21" s="2"/>
      <c r="AO21" s="2"/>
      <c r="AP21" s="73"/>
      <c r="AQ21" s="100"/>
      <c r="AR21" s="2"/>
      <c r="AS21" s="92"/>
      <c r="AU21" s="2"/>
      <c r="AV21" s="2"/>
      <c r="AW21" s="2"/>
      <c r="AX21" s="73"/>
      <c r="AY21" s="100"/>
      <c r="AZ21" s="2"/>
    </row>
    <row r="22" spans="1:52" ht="15" customHeight="1">
      <c r="B22" s="98" t="s">
        <v>187</v>
      </c>
      <c r="C22" s="97">
        <f t="array" ref="C22">INDEX(B6:F14,MATCH(C19,A6:A14,1),MATCH(C16,B5:F5,1))</f>
        <v>5.75</v>
      </c>
      <c r="D22" s="2"/>
      <c r="E22" s="92"/>
      <c r="G22" s="2"/>
      <c r="H22" s="2"/>
      <c r="I22" s="2"/>
      <c r="J22" s="98"/>
      <c r="K22" s="97"/>
      <c r="L22" s="2"/>
      <c r="M22" s="92"/>
      <c r="O22" s="98" t="s">
        <v>187</v>
      </c>
      <c r="P22" s="97">
        <f t="array" ref="P22">INDEX(O6:S14,MATCH(P19,N6:N14,1),MATCH(P16,O5:S5,1))</f>
        <v>0</v>
      </c>
      <c r="Q22" s="2"/>
      <c r="R22" s="92"/>
      <c r="T22" s="2"/>
      <c r="U22" s="2"/>
      <c r="V22" s="2"/>
      <c r="W22" s="98"/>
      <c r="X22" s="97"/>
      <c r="Y22" s="2"/>
      <c r="Z22" s="98"/>
      <c r="AB22" s="98" t="s">
        <v>187</v>
      </c>
      <c r="AC22" s="97">
        <f t="array" ref="AC22">INDEX(AB6:AF14,MATCH(AC19,AA6:AA14,1),MATCH(AC16,AB5:AF5,1))</f>
        <v>0</v>
      </c>
      <c r="AD22" s="2"/>
      <c r="AE22" s="92"/>
      <c r="AG22" s="2"/>
      <c r="AH22" s="2"/>
      <c r="AI22" s="2"/>
      <c r="AJ22" s="98"/>
      <c r="AK22" s="97"/>
      <c r="AL22" s="2"/>
      <c r="AM22" s="2"/>
      <c r="AN22" s="2"/>
      <c r="AO22" s="2"/>
      <c r="AP22" s="98"/>
      <c r="AQ22" s="97"/>
      <c r="AR22" s="2"/>
      <c r="AS22" s="92"/>
      <c r="AU22" s="2"/>
      <c r="AV22" s="2"/>
      <c r="AW22" s="2"/>
      <c r="AX22" s="98"/>
      <c r="AY22" s="97"/>
      <c r="AZ22" s="2"/>
    </row>
    <row r="23" spans="1:52" ht="15" customHeight="1">
      <c r="B23" s="98" t="s">
        <v>240</v>
      </c>
      <c r="C23" s="97">
        <f t="array" ref="C23">INDEX(B6:F14,MATCH(C19,A6:A14,1),IF(MATCH(C16,B5:F5,1)&lt;E18,MATCH(C16,B5:F5,1)+1,MATCH(C19,A6:A14,1)))</f>
        <v>5.5</v>
      </c>
      <c r="E23" s="92"/>
      <c r="G23" s="2"/>
      <c r="H23" s="2"/>
      <c r="I23" s="2"/>
      <c r="J23" s="98"/>
      <c r="K23" s="97"/>
      <c r="M23" s="92"/>
      <c r="O23" s="98" t="s">
        <v>240</v>
      </c>
      <c r="P23" s="97">
        <f t="array" ref="P23">INDEX(O6:S14,MATCH(P19,N6:N14,1),IF(MATCH(P16,O5:S5,1)&lt;R18,MATCH(P16,O5:S5,1)+1,MATCH(P19,N6:N14,1)))</f>
        <v>0</v>
      </c>
      <c r="R23" s="92"/>
      <c r="T23" s="2"/>
      <c r="U23" s="2"/>
      <c r="V23" s="2"/>
      <c r="W23" s="98"/>
      <c r="X23" s="97"/>
      <c r="Z23" s="98"/>
      <c r="AB23" s="98" t="s">
        <v>240</v>
      </c>
      <c r="AC23" s="97">
        <f t="array" ref="AC23">INDEX(AB6:AF14,MATCH(AC19,AA6:AA14,1),IF(MATCH(AC16,AB5:AF5,1)&lt;AE18,MATCH(AC16,AB5:AF5,1)+1,MATCH(AC19,AA6:AA14,1)))</f>
        <v>0</v>
      </c>
      <c r="AE23" s="92"/>
      <c r="AG23" s="2"/>
      <c r="AH23" s="2"/>
      <c r="AI23" s="2"/>
      <c r="AJ23" s="98"/>
      <c r="AK23" s="97"/>
      <c r="AM23" s="2"/>
      <c r="AN23" s="2"/>
      <c r="AO23" s="2"/>
      <c r="AP23" s="98"/>
      <c r="AQ23" s="97"/>
      <c r="AS23" s="92"/>
      <c r="AU23" s="2"/>
      <c r="AV23" s="2"/>
      <c r="AW23" s="2"/>
      <c r="AX23" s="98"/>
      <c r="AY23" s="97"/>
    </row>
    <row r="24" spans="1:52" ht="15" customHeight="1">
      <c r="B24" s="98" t="s">
        <v>188</v>
      </c>
      <c r="C24" s="97">
        <f t="array" ref="C24">INDEX(B6:F14,IF(MATCH(C19,A6:A14,1)&lt;E17,MATCH(C19,A6:A14,1)+1,MATCH(C19,A6:A14,1)),MATCH(C16,B5:F5,1))</f>
        <v>5.5</v>
      </c>
      <c r="E24" s="92"/>
      <c r="G24" s="2"/>
      <c r="H24" s="2"/>
      <c r="I24" s="2"/>
      <c r="J24" s="98"/>
      <c r="K24" s="97"/>
      <c r="M24" s="92"/>
      <c r="O24" s="98" t="s">
        <v>188</v>
      </c>
      <c r="P24" s="97">
        <f t="array" ref="P24">INDEX(O6:S14,IF(MATCH(P19,N6:N14,1)&lt;R17,MATCH(P19,N6:N14,1)+1,MATCH(P19,N6:N14,1)),MATCH(P16,O5:S5,1))</f>
        <v>0</v>
      </c>
      <c r="R24" s="92"/>
      <c r="T24" s="2"/>
      <c r="U24" s="2"/>
      <c r="V24" s="2"/>
      <c r="W24" s="98"/>
      <c r="X24" s="97"/>
      <c r="Z24" s="98"/>
      <c r="AB24" s="98" t="s">
        <v>188</v>
      </c>
      <c r="AC24" s="97">
        <f t="array" ref="AC24">INDEX(AB6:AF14,IF(MATCH(AC19,AA6:AA14,1)&lt;AE17,MATCH(AC19,AA6:AA14,1)+1,MATCH(AC19,AA6:AA14,1)),MATCH(AC16,AB5:AF5,1))</f>
        <v>0</v>
      </c>
      <c r="AE24" s="92"/>
      <c r="AG24" s="2"/>
      <c r="AH24" s="2"/>
      <c r="AI24" s="2"/>
      <c r="AJ24" s="98"/>
      <c r="AK24" s="97"/>
      <c r="AM24" s="2"/>
      <c r="AN24" s="2"/>
      <c r="AO24" s="2"/>
      <c r="AP24" s="98"/>
      <c r="AQ24" s="97"/>
      <c r="AS24" s="92"/>
      <c r="AU24" s="2"/>
      <c r="AV24" s="2"/>
      <c r="AW24" s="2"/>
      <c r="AX24" s="98"/>
      <c r="AY24" s="97"/>
    </row>
    <row r="25" spans="1:52" ht="15" customHeight="1">
      <c r="B25" s="98" t="s">
        <v>241</v>
      </c>
      <c r="C25" s="97">
        <f t="array" ref="C25">INDEX(B6:F14,IF(MATCH(C19,A6:A14,1)&lt;E17,MATCH(C19,A6:A14,1)+1,MATCH(C19,A6:A14,1)),IF(MATCH(C16,B5:F5,1)&lt;E18,MATCH(C16,B5:F5,1)+1,MATCH(C16,B5:F5,1)))</f>
        <v>5.2</v>
      </c>
      <c r="G25" s="2"/>
      <c r="H25" s="2"/>
      <c r="I25" s="2"/>
      <c r="J25" s="98"/>
      <c r="K25" s="97"/>
      <c r="O25" s="98" t="s">
        <v>241</v>
      </c>
      <c r="P25" s="97">
        <f t="array" ref="P25">INDEX(O6:S14,IF(MATCH(P19,N6:N14,1)&lt;R17,MATCH(P19,N6:N14,1)+1,MATCH(P19,N6:N14,1)),IF(MATCH(P16,O5:S5,1)&lt;R18,MATCH(P16,O5:S5,1)+1,MATCH(P16,O5:S5,1)))</f>
        <v>0</v>
      </c>
      <c r="T25" s="2"/>
      <c r="U25" s="2"/>
      <c r="V25" s="2"/>
      <c r="W25" s="98"/>
      <c r="X25" s="97"/>
      <c r="Z25" s="98"/>
      <c r="AB25" s="98" t="s">
        <v>241</v>
      </c>
      <c r="AC25" s="97">
        <f t="array" ref="AC25">INDEX(AB6:AF14,IF(MATCH(AC19,AA6:AA14,1)&lt;AE17,MATCH(AC19,AA6:AA14,1)+1,MATCH(AC19,AA6:AA14,1)),IF(MATCH(AC16,AB5:AF5,1)&lt;AE18,MATCH(AC16,AB5:AF5,1)+1,MATCH(AC16,AB5:AF5,1)))</f>
        <v>0</v>
      </c>
      <c r="AG25" s="2"/>
      <c r="AH25" s="2"/>
      <c r="AI25" s="2"/>
      <c r="AJ25" s="98"/>
      <c r="AK25" s="97"/>
      <c r="AM25" s="2"/>
      <c r="AN25" s="2"/>
      <c r="AO25" s="2"/>
      <c r="AP25" s="98"/>
      <c r="AQ25" s="97"/>
      <c r="AU25" s="2"/>
      <c r="AV25" s="2"/>
      <c r="AW25" s="2"/>
      <c r="AX25" s="98"/>
      <c r="AY25" s="97"/>
    </row>
    <row r="26" spans="1:52" ht="15" customHeight="1">
      <c r="B26" s="73" t="s">
        <v>242</v>
      </c>
      <c r="C26" s="100">
        <f>IFERROR(C22+(C16-C17)*(C23-C22)/(C18-C17),C22)</f>
        <v>5.74125</v>
      </c>
      <c r="G26" s="2"/>
      <c r="H26" s="2"/>
      <c r="I26" s="2"/>
      <c r="J26" s="73"/>
      <c r="K26" s="100"/>
      <c r="O26" s="73" t="s">
        <v>242</v>
      </c>
      <c r="P26" s="100">
        <f>IFERROR(P22+(P16-P17)*(P23-P22)/(P18-P17),P22)</f>
        <v>0</v>
      </c>
      <c r="T26" s="2"/>
      <c r="U26" s="2"/>
      <c r="V26" s="2"/>
      <c r="W26" s="73"/>
      <c r="X26" s="100"/>
      <c r="Z26" s="73"/>
      <c r="AB26" s="73" t="s">
        <v>242</v>
      </c>
      <c r="AC26" s="100">
        <f>IFERROR(AC22+(AC16-AC17)*(AC23-AC22)/(AC18-AC17),AC22)</f>
        <v>0</v>
      </c>
      <c r="AG26" s="2"/>
      <c r="AH26" s="2"/>
      <c r="AI26" s="2"/>
      <c r="AJ26" s="73"/>
      <c r="AK26" s="100"/>
      <c r="AM26" s="2"/>
      <c r="AN26" s="2"/>
      <c r="AO26" s="2"/>
      <c r="AP26" s="73"/>
      <c r="AQ26" s="100"/>
      <c r="AU26" s="2"/>
      <c r="AV26" s="2"/>
      <c r="AW26" s="2"/>
      <c r="AX26" s="73"/>
      <c r="AY26" s="100"/>
    </row>
    <row r="27" spans="1:52" ht="15" customHeight="1">
      <c r="B27" s="73" t="s">
        <v>243</v>
      </c>
      <c r="C27" s="100">
        <f>IFERROR(C24+(C16-C17)*(C25-C24)/(C18-C17),C24)</f>
        <v>5.4894999999999996</v>
      </c>
      <c r="G27" s="2"/>
      <c r="H27" s="2"/>
      <c r="I27" s="2"/>
      <c r="J27" s="73"/>
      <c r="K27" s="100"/>
      <c r="O27" s="73" t="s">
        <v>243</v>
      </c>
      <c r="P27" s="100">
        <f>IFERROR(P24+(P16-P17)*(P25-P24)/(P18-P17),P24)</f>
        <v>0</v>
      </c>
      <c r="T27" s="2"/>
      <c r="U27" s="2"/>
      <c r="V27" s="2"/>
      <c r="W27" s="73"/>
      <c r="X27" s="100"/>
      <c r="Z27" s="73"/>
      <c r="AB27" s="73" t="s">
        <v>243</v>
      </c>
      <c r="AC27" s="100">
        <f>IFERROR(AC24+(AC16-AC17)*(AC25-AC24)/(AC18-AC17),AC24)</f>
        <v>0</v>
      </c>
      <c r="AG27" s="2"/>
      <c r="AH27" s="2"/>
      <c r="AI27" s="2"/>
      <c r="AJ27" s="73"/>
      <c r="AK27" s="100"/>
      <c r="AM27" s="2"/>
      <c r="AN27" s="2"/>
      <c r="AO27" s="2"/>
      <c r="AP27" s="73"/>
      <c r="AQ27" s="100"/>
      <c r="AU27" s="2"/>
      <c r="AV27" s="2"/>
      <c r="AW27" s="2"/>
      <c r="AX27" s="73"/>
      <c r="AY27" s="100"/>
    </row>
    <row r="28" spans="1:52" ht="15" customHeight="1">
      <c r="B28" s="98" t="s">
        <v>244</v>
      </c>
      <c r="C28" s="97">
        <f>IFERROR(C26+(C19-C20)*(C27-C26)/(C21-C20),C26)</f>
        <v>5.5398499999999995</v>
      </c>
      <c r="G28" s="2"/>
      <c r="H28" s="2"/>
      <c r="I28" s="2"/>
      <c r="J28" s="98"/>
      <c r="K28" s="97"/>
      <c r="O28" s="98" t="s">
        <v>244</v>
      </c>
      <c r="P28" s="97">
        <f>IFERROR(P26+(P19-P20)*(P27-P26)/(P21-P20),P26)</f>
        <v>0</v>
      </c>
      <c r="T28" s="2"/>
      <c r="U28" s="2"/>
      <c r="V28" s="2"/>
      <c r="W28" s="98"/>
      <c r="X28" s="97"/>
      <c r="Z28" s="98"/>
      <c r="AB28" s="98" t="s">
        <v>244</v>
      </c>
      <c r="AC28" s="97">
        <f>IFERROR(AC26+(AC19-AC20)*(AC27-AC26)/(AC21-AC20),AC26)</f>
        <v>0</v>
      </c>
      <c r="AG28" s="2"/>
      <c r="AH28" s="2"/>
      <c r="AI28" s="2"/>
      <c r="AJ28" s="98"/>
      <c r="AK28" s="97"/>
      <c r="AM28" s="2"/>
      <c r="AN28" s="2"/>
      <c r="AO28" s="2"/>
      <c r="AP28" s="98"/>
      <c r="AQ28" s="97"/>
      <c r="AU28" s="2"/>
      <c r="AV28" s="2"/>
      <c r="AW28" s="2"/>
      <c r="AX28" s="98"/>
      <c r="AY28" s="97"/>
    </row>
    <row r="29" spans="1:52" ht="15.75" customHeight="1"/>
    <row r="30" spans="1:52" ht="15" customHeight="1">
      <c r="A30" s="12"/>
      <c r="B30" s="251" t="s">
        <v>261</v>
      </c>
      <c r="C30" s="262"/>
      <c r="D30" s="262"/>
      <c r="E30" s="262"/>
      <c r="F30" s="262"/>
      <c r="G30" s="262"/>
      <c r="H30" s="82"/>
      <c r="I30" s="82"/>
      <c r="J30" s="82"/>
      <c r="K30" s="82"/>
      <c r="L30" s="82"/>
      <c r="M30" s="82"/>
      <c r="N30" s="12"/>
      <c r="O30" s="251" t="s">
        <v>245</v>
      </c>
      <c r="P30" s="262"/>
      <c r="Q30" s="262"/>
      <c r="R30" s="262"/>
      <c r="S30" s="262"/>
      <c r="T30" s="262"/>
      <c r="U30" s="82"/>
      <c r="V30" s="82"/>
      <c r="W30" s="82"/>
      <c r="X30" s="82"/>
      <c r="Y30" s="82"/>
      <c r="AA30" s="12"/>
      <c r="AB30" s="251" t="s">
        <v>245</v>
      </c>
      <c r="AC30" s="262"/>
      <c r="AD30" s="262"/>
      <c r="AE30" s="262"/>
      <c r="AF30" s="262"/>
      <c r="AG30" s="262"/>
      <c r="AH30" s="82"/>
      <c r="AI30" s="82"/>
      <c r="AJ30" s="82"/>
      <c r="AK30" s="82"/>
      <c r="AL30" s="82"/>
    </row>
    <row r="31" spans="1:52" ht="15" customHeight="1">
      <c r="A31" s="12" t="s">
        <v>30</v>
      </c>
      <c r="B31" s="203">
        <v>2</v>
      </c>
      <c r="C31" s="221">
        <v>3</v>
      </c>
      <c r="D31" s="209">
        <v>4</v>
      </c>
      <c r="E31" s="209">
        <v>5</v>
      </c>
      <c r="F31" s="209">
        <v>6</v>
      </c>
      <c r="G31" s="192">
        <v>7</v>
      </c>
      <c r="H31" s="12"/>
      <c r="I31" s="12"/>
      <c r="J31" s="12"/>
      <c r="K31" s="12"/>
      <c r="L31" s="12"/>
      <c r="M31" s="12"/>
      <c r="O31" s="12" t="s">
        <v>30</v>
      </c>
      <c r="P31" s="203">
        <v>1</v>
      </c>
      <c r="Q31" s="207">
        <v>2</v>
      </c>
      <c r="R31" s="209">
        <v>3</v>
      </c>
      <c r="S31" s="209">
        <v>4</v>
      </c>
      <c r="T31" s="192">
        <v>5</v>
      </c>
      <c r="U31" s="12"/>
      <c r="V31" s="12"/>
      <c r="W31" s="12"/>
      <c r="X31" s="12"/>
      <c r="AA31" s="12" t="s">
        <v>30</v>
      </c>
      <c r="AB31" s="203">
        <v>0.9</v>
      </c>
      <c r="AC31" s="207">
        <v>2</v>
      </c>
      <c r="AD31" s="209">
        <v>3.1</v>
      </c>
      <c r="AE31" s="209">
        <v>4.5</v>
      </c>
      <c r="AF31" s="192">
        <v>5</v>
      </c>
      <c r="AG31" s="12"/>
      <c r="AH31" s="12"/>
      <c r="AI31" s="12"/>
      <c r="AJ31" s="12"/>
      <c r="AK31" s="12"/>
    </row>
    <row r="32" spans="1:52" ht="15" customHeight="1">
      <c r="A32" s="12">
        <v>9000</v>
      </c>
      <c r="B32" s="204">
        <v>7.2</v>
      </c>
      <c r="C32" s="206">
        <v>8.6</v>
      </c>
      <c r="D32" s="208">
        <v>10</v>
      </c>
      <c r="E32" s="208">
        <v>10.199999999999999</v>
      </c>
      <c r="F32" s="208">
        <v>10.199999999999999</v>
      </c>
      <c r="G32" s="192">
        <v>0</v>
      </c>
      <c r="H32" s="12"/>
      <c r="I32" s="12"/>
      <c r="J32" s="12"/>
      <c r="K32" s="12"/>
      <c r="L32" s="12"/>
      <c r="M32" s="12"/>
      <c r="O32" s="12">
        <v>10000</v>
      </c>
      <c r="P32" s="212"/>
      <c r="Q32" s="213"/>
      <c r="R32" s="214"/>
      <c r="S32" s="214"/>
      <c r="T32" s="192">
        <v>99999</v>
      </c>
      <c r="U32" s="12"/>
      <c r="V32" s="12"/>
      <c r="W32" s="12"/>
      <c r="X32" s="12"/>
      <c r="AA32" s="12">
        <v>9000</v>
      </c>
      <c r="AB32" s="212"/>
      <c r="AC32" s="213"/>
      <c r="AD32" s="214"/>
      <c r="AE32" s="214"/>
      <c r="AF32" s="192">
        <v>99999</v>
      </c>
      <c r="AG32" s="12"/>
      <c r="AH32" s="12"/>
      <c r="AI32" s="12"/>
      <c r="AJ32" s="12"/>
      <c r="AK32" s="12"/>
    </row>
    <row r="33" spans="1:38" ht="15" customHeight="1">
      <c r="A33" s="12">
        <v>9500</v>
      </c>
      <c r="B33" s="343">
        <v>6.4</v>
      </c>
      <c r="C33" s="210">
        <v>7.8</v>
      </c>
      <c r="D33" s="166">
        <v>9</v>
      </c>
      <c r="E33" s="166">
        <v>10.199999999999999</v>
      </c>
      <c r="F33" s="166">
        <v>10.199999999999999</v>
      </c>
      <c r="G33" s="339">
        <v>0</v>
      </c>
      <c r="H33" s="12"/>
      <c r="I33" s="12"/>
      <c r="J33" s="12"/>
      <c r="K33" s="12"/>
      <c r="L33" s="12"/>
      <c r="M33" s="12"/>
      <c r="O33" s="12">
        <v>11000</v>
      </c>
      <c r="P33" s="344"/>
      <c r="Q33" s="220"/>
      <c r="R33" s="101"/>
      <c r="S33" s="101"/>
      <c r="T33" s="339">
        <v>99999</v>
      </c>
      <c r="U33" s="12"/>
      <c r="V33" s="12"/>
      <c r="W33" s="12"/>
      <c r="X33" s="12"/>
      <c r="AA33" s="12">
        <v>9500</v>
      </c>
      <c r="AB33" s="344"/>
      <c r="AC33" s="220"/>
      <c r="AD33" s="101"/>
      <c r="AE33" s="101"/>
      <c r="AF33" s="339">
        <v>99999</v>
      </c>
      <c r="AG33" s="12"/>
      <c r="AH33" s="12"/>
      <c r="AI33" s="12"/>
      <c r="AJ33" s="12"/>
      <c r="AK33" s="12"/>
    </row>
    <row r="34" spans="1:38" ht="15" customHeight="1">
      <c r="A34" s="12">
        <v>10000</v>
      </c>
      <c r="B34" s="343">
        <v>5.7</v>
      </c>
      <c r="C34" s="210">
        <v>6.9</v>
      </c>
      <c r="D34" s="166">
        <v>8.1</v>
      </c>
      <c r="E34" s="166">
        <v>9.4</v>
      </c>
      <c r="F34" s="166">
        <v>10.199999999999999</v>
      </c>
      <c r="G34" s="339">
        <v>0</v>
      </c>
      <c r="H34" s="12"/>
      <c r="I34" s="12"/>
      <c r="J34" s="12"/>
      <c r="K34" s="12"/>
      <c r="L34" s="12"/>
      <c r="M34" s="12"/>
      <c r="O34" s="12">
        <v>12000</v>
      </c>
      <c r="P34" s="344"/>
      <c r="Q34" s="220"/>
      <c r="R34" s="101"/>
      <c r="S34" s="101"/>
      <c r="T34" s="339">
        <v>99999</v>
      </c>
      <c r="U34" s="12"/>
      <c r="V34" s="12"/>
      <c r="W34" s="12"/>
      <c r="X34" s="12"/>
      <c r="AA34" s="12">
        <v>10000</v>
      </c>
      <c r="AB34" s="344"/>
      <c r="AC34" s="220"/>
      <c r="AD34" s="101"/>
      <c r="AE34" s="101"/>
      <c r="AF34" s="339">
        <v>99999</v>
      </c>
      <c r="AG34" s="12"/>
      <c r="AH34" s="12"/>
      <c r="AI34" s="12"/>
      <c r="AJ34" s="12"/>
      <c r="AK34" s="12"/>
    </row>
    <row r="35" spans="1:38" ht="15" customHeight="1">
      <c r="A35" s="12">
        <v>10500</v>
      </c>
      <c r="B35" s="343">
        <v>4.9000000000000004</v>
      </c>
      <c r="C35" s="210">
        <v>6.1</v>
      </c>
      <c r="D35" s="166">
        <v>7.2</v>
      </c>
      <c r="E35" s="166">
        <v>8.4</v>
      </c>
      <c r="F35" s="166">
        <v>9.6</v>
      </c>
      <c r="G35" s="339">
        <v>0</v>
      </c>
      <c r="H35" s="12"/>
      <c r="I35" s="12"/>
      <c r="J35" s="12"/>
      <c r="K35" s="12"/>
      <c r="L35" s="12"/>
      <c r="M35" s="12"/>
      <c r="O35" s="12">
        <v>13000</v>
      </c>
      <c r="P35" s="344"/>
      <c r="Q35" s="220"/>
      <c r="R35" s="101"/>
      <c r="S35" s="101"/>
      <c r="T35" s="339">
        <v>99999</v>
      </c>
      <c r="U35" s="12"/>
      <c r="V35" s="12"/>
      <c r="W35" s="12"/>
      <c r="X35" s="12"/>
      <c r="AA35" s="12">
        <v>10500</v>
      </c>
      <c r="AB35" s="344"/>
      <c r="AC35" s="220"/>
      <c r="AD35" s="101"/>
      <c r="AE35" s="101"/>
      <c r="AF35" s="339">
        <v>99999</v>
      </c>
      <c r="AG35" s="12"/>
      <c r="AH35" s="12"/>
      <c r="AI35" s="12"/>
      <c r="AJ35" s="12"/>
      <c r="AK35" s="12"/>
    </row>
    <row r="36" spans="1:38" ht="15" customHeight="1">
      <c r="A36" s="12">
        <v>11000</v>
      </c>
      <c r="B36" s="343">
        <v>4.2</v>
      </c>
      <c r="C36" s="210">
        <v>5.3</v>
      </c>
      <c r="D36" s="166">
        <v>6.4</v>
      </c>
      <c r="E36" s="166">
        <v>7.5</v>
      </c>
      <c r="F36" s="166">
        <v>8.6</v>
      </c>
      <c r="G36" s="339">
        <v>0</v>
      </c>
      <c r="H36" s="12"/>
      <c r="I36" s="12"/>
      <c r="J36" s="12"/>
      <c r="K36" s="12"/>
      <c r="L36" s="12"/>
      <c r="M36" s="12"/>
      <c r="O36" s="12">
        <v>14000</v>
      </c>
      <c r="P36" s="344"/>
      <c r="Q36" s="220"/>
      <c r="R36" s="101"/>
      <c r="S36" s="101"/>
      <c r="T36" s="339">
        <v>99999</v>
      </c>
      <c r="U36" s="12"/>
      <c r="V36" s="12"/>
      <c r="W36" s="12"/>
      <c r="X36" s="12"/>
      <c r="AA36" s="12">
        <v>11000</v>
      </c>
      <c r="AB36" s="344"/>
      <c r="AC36" s="220"/>
      <c r="AD36" s="101"/>
      <c r="AE36" s="101"/>
      <c r="AF36" s="339">
        <v>99999</v>
      </c>
      <c r="AG36" s="12"/>
      <c r="AH36" s="12"/>
      <c r="AI36" s="12"/>
      <c r="AJ36" s="12"/>
      <c r="AK36" s="12"/>
    </row>
    <row r="37" spans="1:38" ht="15" customHeight="1">
      <c r="A37" s="12">
        <v>11500</v>
      </c>
      <c r="B37" s="343">
        <v>3.4</v>
      </c>
      <c r="C37" s="210">
        <v>4.5</v>
      </c>
      <c r="D37" s="166">
        <v>5.6</v>
      </c>
      <c r="E37" s="166">
        <v>6.6</v>
      </c>
      <c r="F37" s="166">
        <v>7.7</v>
      </c>
      <c r="G37" s="339">
        <v>0</v>
      </c>
      <c r="H37" s="12"/>
      <c r="I37" s="12"/>
      <c r="J37" s="12"/>
      <c r="K37" s="12"/>
      <c r="L37" s="12"/>
      <c r="M37" s="12"/>
      <c r="O37" s="12">
        <v>15000</v>
      </c>
      <c r="P37" s="344"/>
      <c r="Q37" s="220"/>
      <c r="R37" s="101"/>
      <c r="S37" s="101"/>
      <c r="T37" s="339">
        <v>99999</v>
      </c>
      <c r="U37" s="12"/>
      <c r="V37" s="12"/>
      <c r="W37" s="12"/>
      <c r="X37" s="12"/>
      <c r="AA37" s="12">
        <v>11500</v>
      </c>
      <c r="AB37" s="344"/>
      <c r="AC37" s="220"/>
      <c r="AD37" s="101"/>
      <c r="AE37" s="101"/>
      <c r="AF37" s="339">
        <v>99999</v>
      </c>
      <c r="AG37" s="12"/>
      <c r="AH37" s="12"/>
      <c r="AI37" s="12"/>
      <c r="AJ37" s="12"/>
      <c r="AK37" s="12"/>
    </row>
    <row r="38" spans="1:38" ht="15" customHeight="1">
      <c r="A38" s="12">
        <v>12000</v>
      </c>
      <c r="B38" s="343">
        <v>2.8</v>
      </c>
      <c r="C38" s="210">
        <v>3.75</v>
      </c>
      <c r="D38" s="166">
        <v>4.8</v>
      </c>
      <c r="E38" s="166">
        <v>5.8</v>
      </c>
      <c r="F38" s="166">
        <v>6.8</v>
      </c>
      <c r="G38" s="339">
        <v>0</v>
      </c>
      <c r="H38" s="12"/>
      <c r="I38" s="12"/>
      <c r="J38" s="12"/>
      <c r="K38" s="12"/>
      <c r="L38" s="12"/>
      <c r="M38" s="12"/>
      <c r="O38" s="12">
        <v>16000</v>
      </c>
      <c r="P38" s="344"/>
      <c r="Q38" s="220"/>
      <c r="R38" s="101"/>
      <c r="S38" s="101"/>
      <c r="T38" s="339">
        <v>99999</v>
      </c>
      <c r="U38" s="12"/>
      <c r="V38" s="12"/>
      <c r="W38" s="12"/>
      <c r="X38" s="12"/>
      <c r="AA38" s="12">
        <v>12000</v>
      </c>
      <c r="AB38" s="344"/>
      <c r="AC38" s="220"/>
      <c r="AD38" s="101"/>
      <c r="AE38" s="101"/>
      <c r="AF38" s="339">
        <v>99999</v>
      </c>
      <c r="AG38" s="12"/>
      <c r="AH38" s="12"/>
      <c r="AI38" s="12"/>
      <c r="AJ38" s="12"/>
      <c r="AK38" s="12"/>
    </row>
    <row r="39" spans="1:38" ht="15" customHeight="1">
      <c r="A39" s="12">
        <v>12500</v>
      </c>
      <c r="B39" s="216">
        <v>2</v>
      </c>
      <c r="C39" s="217">
        <v>3</v>
      </c>
      <c r="D39" s="222">
        <v>4</v>
      </c>
      <c r="E39" s="222">
        <v>5</v>
      </c>
      <c r="F39" s="222">
        <v>6</v>
      </c>
      <c r="G39" s="339">
        <v>0</v>
      </c>
      <c r="H39" s="12"/>
      <c r="I39" s="12"/>
      <c r="J39" s="12"/>
      <c r="K39" s="12"/>
      <c r="L39" s="12"/>
      <c r="M39" s="12"/>
      <c r="O39" s="12">
        <v>16600</v>
      </c>
      <c r="P39" s="223"/>
      <c r="Q39" s="224"/>
      <c r="R39" s="225"/>
      <c r="S39" s="225"/>
      <c r="T39" s="339">
        <v>99999</v>
      </c>
      <c r="U39" s="12"/>
      <c r="V39" s="12"/>
      <c r="W39" s="12"/>
      <c r="X39" s="12"/>
      <c r="AA39" s="12">
        <v>12500</v>
      </c>
      <c r="AB39" s="223"/>
      <c r="AC39" s="224"/>
      <c r="AD39" s="225"/>
      <c r="AE39" s="225"/>
      <c r="AF39" s="339">
        <v>99999</v>
      </c>
      <c r="AG39" s="12"/>
      <c r="AH39" s="12"/>
      <c r="AI39" s="12"/>
      <c r="AJ39" s="12"/>
      <c r="AK39" s="12"/>
    </row>
    <row r="40" spans="1:38" ht="15" customHeight="1">
      <c r="A40" s="12">
        <v>12600</v>
      </c>
      <c r="B40" s="196">
        <v>0</v>
      </c>
      <c r="C40" s="197">
        <v>0</v>
      </c>
      <c r="D40" s="197">
        <v>0</v>
      </c>
      <c r="E40" s="197">
        <v>0</v>
      </c>
      <c r="F40" s="197">
        <v>0</v>
      </c>
      <c r="G40" s="211">
        <v>0</v>
      </c>
      <c r="H40" s="182"/>
      <c r="I40" s="182"/>
      <c r="J40" s="182"/>
      <c r="K40" s="182"/>
      <c r="L40" s="182"/>
      <c r="M40" s="83"/>
      <c r="O40" s="12">
        <v>16700</v>
      </c>
      <c r="P40" s="196">
        <v>99999</v>
      </c>
      <c r="Q40" s="197">
        <v>99999</v>
      </c>
      <c r="R40" s="197">
        <v>99999</v>
      </c>
      <c r="S40" s="197">
        <v>99999</v>
      </c>
      <c r="T40" s="211">
        <v>99999</v>
      </c>
      <c r="U40" s="182"/>
      <c r="V40" s="182"/>
      <c r="W40" s="182"/>
      <c r="X40" s="182"/>
      <c r="AA40" s="12">
        <v>12600</v>
      </c>
      <c r="AB40" s="196">
        <v>99999</v>
      </c>
      <c r="AC40" s="197">
        <v>99999</v>
      </c>
      <c r="AD40" s="197">
        <v>99999</v>
      </c>
      <c r="AE40" s="197">
        <v>99999</v>
      </c>
      <c r="AF40" s="211">
        <v>99999</v>
      </c>
      <c r="AG40" s="182"/>
      <c r="AH40" s="182"/>
      <c r="AI40" s="182"/>
      <c r="AJ40" s="182"/>
      <c r="AK40" s="182"/>
    </row>
    <row r="41" spans="1:38" ht="15" customHeight="1">
      <c r="B41" s="98"/>
      <c r="C41" s="97"/>
      <c r="D41" s="12"/>
      <c r="E41" s="12"/>
      <c r="F41" s="12"/>
      <c r="G41" s="2"/>
      <c r="H41" s="2"/>
      <c r="I41" s="2"/>
      <c r="J41" s="98"/>
      <c r="K41" s="97"/>
      <c r="L41" s="12"/>
      <c r="M41" s="12"/>
      <c r="O41" s="98"/>
      <c r="P41" s="97"/>
      <c r="Q41" s="12"/>
      <c r="R41" s="12"/>
      <c r="S41" s="12"/>
      <c r="T41" s="2"/>
      <c r="U41" s="2"/>
      <c r="V41" s="2"/>
      <c r="W41" s="98"/>
      <c r="X41" s="97"/>
      <c r="Y41" s="12"/>
      <c r="AB41" s="98"/>
      <c r="AC41" s="97"/>
      <c r="AD41" s="12"/>
      <c r="AE41" s="12"/>
      <c r="AF41" s="12"/>
      <c r="AG41" s="2"/>
      <c r="AH41" s="2"/>
      <c r="AI41" s="2"/>
      <c r="AJ41" s="98"/>
      <c r="AK41" s="97"/>
      <c r="AL41" s="12"/>
    </row>
    <row r="42" spans="1:38" ht="15" customHeight="1">
      <c r="B42" s="98" t="s">
        <v>183</v>
      </c>
      <c r="C42" s="97">
        <f>C28</f>
        <v>5.5398499999999995</v>
      </c>
      <c r="D42" s="251" t="s">
        <v>237</v>
      </c>
      <c r="E42" s="262"/>
      <c r="G42" s="2"/>
      <c r="H42" s="2"/>
      <c r="I42" s="2"/>
      <c r="J42" s="98"/>
      <c r="K42" s="97"/>
      <c r="L42" s="82"/>
      <c r="O42" s="98" t="s">
        <v>183</v>
      </c>
      <c r="P42" s="97">
        <f>P28</f>
        <v>0</v>
      </c>
      <c r="Q42" s="251" t="s">
        <v>237</v>
      </c>
      <c r="R42" s="262"/>
      <c r="T42" s="2"/>
      <c r="U42" s="2"/>
      <c r="V42" s="2"/>
      <c r="W42" s="98"/>
      <c r="X42" s="97"/>
      <c r="Y42" s="82"/>
      <c r="AB42" s="98" t="s">
        <v>183</v>
      </c>
      <c r="AC42" s="97">
        <f>AC28</f>
        <v>0</v>
      </c>
      <c r="AD42" s="251" t="s">
        <v>237</v>
      </c>
      <c r="AE42" s="262"/>
      <c r="AG42" s="2"/>
      <c r="AH42" s="2"/>
      <c r="AI42" s="2"/>
      <c r="AJ42" s="98"/>
      <c r="AK42" s="97"/>
      <c r="AL42" s="82"/>
    </row>
    <row r="43" spans="1:38" ht="15" customHeight="1">
      <c r="B43" s="73" t="s">
        <v>238</v>
      </c>
      <c r="C43" s="100">
        <f t="array" ref="C43">INDEX(B31:G31,MATCH(C42,B31:G31,1))</f>
        <v>5</v>
      </c>
      <c r="D43" s="73" t="s">
        <v>181</v>
      </c>
      <c r="E43" s="88">
        <f>MATCH(MAX(A32:A40),A32:A40,1)</f>
        <v>9</v>
      </c>
      <c r="G43" s="2"/>
      <c r="H43" s="2"/>
      <c r="I43" s="2"/>
      <c r="J43" s="73"/>
      <c r="K43" s="100"/>
      <c r="L43" s="73"/>
      <c r="M43" s="88"/>
      <c r="O43" s="73" t="s">
        <v>238</v>
      </c>
      <c r="P43" s="100" t="e">
        <f t="array" ref="P43">INDEX(P31:T31,MATCH(P42,P31:T31,1))</f>
        <v>#N/A</v>
      </c>
      <c r="Q43" s="73" t="s">
        <v>181</v>
      </c>
      <c r="R43" s="88">
        <f>MATCH(MAX(O32:O40),O32:O40,1)</f>
        <v>9</v>
      </c>
      <c r="T43" s="2"/>
      <c r="U43" s="2"/>
      <c r="V43" s="2"/>
      <c r="W43" s="73"/>
      <c r="X43" s="100"/>
      <c r="Y43" s="73"/>
      <c r="AB43" s="73" t="s">
        <v>238</v>
      </c>
      <c r="AC43" s="100" t="e">
        <f t="array" ref="AC43">INDEX(AB31:AF31,MATCH(AC42,AB31:AF31,1))</f>
        <v>#N/A</v>
      </c>
      <c r="AD43" s="73" t="s">
        <v>181</v>
      </c>
      <c r="AE43" s="88">
        <f>MATCH(MAX(AA32:AA40),AA32:AA40,1)</f>
        <v>9</v>
      </c>
      <c r="AG43" s="2"/>
      <c r="AH43" s="2"/>
      <c r="AI43" s="2"/>
      <c r="AJ43" s="73"/>
      <c r="AK43" s="100"/>
      <c r="AL43" s="73"/>
    </row>
    <row r="44" spans="1:38" ht="15" customHeight="1">
      <c r="B44" s="73" t="s">
        <v>239</v>
      </c>
      <c r="C44" s="100">
        <f t="array" ref="C44">INDEX(B31:G31,IF(MATCH(C42,B31:G31,1)&lt;E44,MATCH(C42,B31:G31,1)+1,MATCH(C42,B31:G31,1)))</f>
        <v>6</v>
      </c>
      <c r="D44" s="73" t="s">
        <v>182</v>
      </c>
      <c r="E44" s="88">
        <f>MATCH(MAX(B31:G31),B31:G31,0)</f>
        <v>6</v>
      </c>
      <c r="G44" s="2"/>
      <c r="H44" s="2"/>
      <c r="I44" s="2"/>
      <c r="J44" s="73"/>
      <c r="K44" s="100"/>
      <c r="L44" s="73"/>
      <c r="M44" s="88"/>
      <c r="O44" s="73" t="s">
        <v>239</v>
      </c>
      <c r="P44" s="100" t="e">
        <f t="array" ref="P44">INDEX(P31:T31,IF(MATCH(P42,P31:T31,1)&lt;R44,MATCH(P42,P31:T31,1)+1,MATCH(P42,P31:T31,1)))</f>
        <v>#N/A</v>
      </c>
      <c r="Q44" s="73" t="s">
        <v>182</v>
      </c>
      <c r="R44" s="88">
        <f>MATCH(MAX(P31:T31),P31:T31,0)</f>
        <v>5</v>
      </c>
      <c r="T44" s="2"/>
      <c r="U44" s="2"/>
      <c r="V44" s="2"/>
      <c r="W44" s="73"/>
      <c r="X44" s="100"/>
      <c r="Y44" s="73"/>
      <c r="AB44" s="73" t="s">
        <v>239</v>
      </c>
      <c r="AC44" s="100" t="e">
        <f t="array" ref="AC44">INDEX(AB31:AF31,IF(MATCH(AC42,AB31:AF31,1)&lt;AE44,MATCH(AC42,AB31:AF31,1)+1,MATCH(AC42,AB31:AF31,1)))</f>
        <v>#N/A</v>
      </c>
      <c r="AD44" s="73" t="s">
        <v>182</v>
      </c>
      <c r="AE44" s="88">
        <f>MATCH(MAX(AB31:AF31),AB31:AF31,0)</f>
        <v>5</v>
      </c>
      <c r="AG44" s="2"/>
      <c r="AH44" s="2"/>
      <c r="AI44" s="2"/>
      <c r="AJ44" s="73"/>
      <c r="AK44" s="100"/>
      <c r="AL44" s="73"/>
    </row>
    <row r="45" spans="1:38" ht="15" customHeight="1">
      <c r="B45" s="96" t="s">
        <v>184</v>
      </c>
      <c r="C45" s="155">
        <f>'Take-off'!$C$14</f>
        <v>12500</v>
      </c>
      <c r="D45" s="2"/>
      <c r="E45" s="2"/>
      <c r="G45" s="2"/>
      <c r="H45" s="2"/>
      <c r="I45" s="2"/>
      <c r="J45" s="98"/>
      <c r="K45" s="155"/>
      <c r="L45" s="2"/>
      <c r="M45" s="2"/>
      <c r="O45" s="96" t="s">
        <v>184</v>
      </c>
      <c r="P45" s="155">
        <f>'Take-off'!$C$14</f>
        <v>12500</v>
      </c>
      <c r="Q45" s="2"/>
      <c r="R45" s="2"/>
      <c r="T45" s="2"/>
      <c r="U45" s="2"/>
      <c r="V45" s="2"/>
      <c r="W45" s="98"/>
      <c r="X45" s="155"/>
      <c r="Y45" s="2"/>
      <c r="AB45" s="96" t="s">
        <v>184</v>
      </c>
      <c r="AC45" s="155">
        <f>'Take-off'!$C$14</f>
        <v>12500</v>
      </c>
      <c r="AD45" s="2"/>
      <c r="AE45" s="2"/>
      <c r="AG45" s="2"/>
      <c r="AH45" s="2"/>
      <c r="AI45" s="2"/>
      <c r="AJ45" s="98"/>
      <c r="AK45" s="155"/>
      <c r="AL45" s="2"/>
    </row>
    <row r="46" spans="1:38" ht="15" customHeight="1">
      <c r="B46" s="73" t="s">
        <v>185</v>
      </c>
      <c r="C46" s="100">
        <f t="array" ref="C46">INDEX(A32:A40,MATCH(C45,A32:A40,1))</f>
        <v>12500</v>
      </c>
      <c r="D46" s="2"/>
      <c r="E46" s="92"/>
      <c r="G46" s="2"/>
      <c r="H46" s="2"/>
      <c r="I46" s="2"/>
      <c r="J46" s="73"/>
      <c r="K46" s="100"/>
      <c r="L46" s="2"/>
      <c r="M46" s="92"/>
      <c r="O46" s="73" t="s">
        <v>185</v>
      </c>
      <c r="P46" s="100">
        <f t="array" ref="P46">INDEX(O32:O40,MATCH(P45,O32:O40,1))</f>
        <v>12000</v>
      </c>
      <c r="Q46" s="2"/>
      <c r="R46" s="92"/>
      <c r="T46" s="2"/>
      <c r="U46" s="2"/>
      <c r="V46" s="2"/>
      <c r="W46" s="73"/>
      <c r="X46" s="100"/>
      <c r="Y46" s="2"/>
      <c r="AB46" s="73" t="s">
        <v>185</v>
      </c>
      <c r="AC46" s="100">
        <f t="array" ref="AC46">INDEX(AA32:AA40,MATCH(AC45,AA32:AA40,1))</f>
        <v>12500</v>
      </c>
      <c r="AD46" s="2"/>
      <c r="AE46" s="92"/>
      <c r="AG46" s="2"/>
      <c r="AH46" s="2"/>
      <c r="AI46" s="2"/>
      <c r="AJ46" s="73"/>
      <c r="AK46" s="100"/>
      <c r="AL46" s="2"/>
    </row>
    <row r="47" spans="1:38" ht="15" customHeight="1">
      <c r="B47" s="73" t="s">
        <v>186</v>
      </c>
      <c r="C47" s="100">
        <f t="array" ref="C47">INDEX(A32:A40,IF(MATCH(C45,A32:A40,1)&lt;E43,MATCH(C45,A32:A40,1)+1,MATCH(C45,A32:A40,1)))</f>
        <v>12600</v>
      </c>
      <c r="D47" s="2"/>
      <c r="E47" s="92"/>
      <c r="G47" s="2"/>
      <c r="H47" s="2"/>
      <c r="I47" s="2"/>
      <c r="J47" s="73"/>
      <c r="K47" s="100"/>
      <c r="L47" s="2"/>
      <c r="M47" s="92"/>
      <c r="O47" s="73" t="s">
        <v>186</v>
      </c>
      <c r="P47" s="100">
        <f t="array" ref="P47">INDEX(O32:O40,IF(MATCH(P45,O32:O40,1)&lt;R43,MATCH(P45,O32:O40,1)+1,MATCH(P45,O32:O40,1)))</f>
        <v>13000</v>
      </c>
      <c r="Q47" s="2"/>
      <c r="R47" s="92"/>
      <c r="T47" s="2"/>
      <c r="U47" s="2"/>
      <c r="V47" s="2"/>
      <c r="W47" s="73"/>
      <c r="X47" s="100"/>
      <c r="Y47" s="2"/>
      <c r="AB47" s="73" t="s">
        <v>186</v>
      </c>
      <c r="AC47" s="100">
        <f t="array" ref="AC47">INDEX(AA32:AA40,IF(MATCH(AC45,AA32:AA40,1)&lt;AE43,MATCH(AC45,AA32:AA40,1)+1,MATCH(AC45,AA32:AA40,1)))</f>
        <v>12600</v>
      </c>
      <c r="AD47" s="2"/>
      <c r="AE47" s="92"/>
      <c r="AG47" s="2"/>
      <c r="AH47" s="2"/>
      <c r="AI47" s="2"/>
      <c r="AJ47" s="73"/>
      <c r="AK47" s="100"/>
      <c r="AL47" s="2"/>
    </row>
    <row r="48" spans="1:38" ht="15" customHeight="1">
      <c r="B48" s="98" t="s">
        <v>187</v>
      </c>
      <c r="C48" s="97">
        <f t="array" ref="C48">INDEX(B32:G40,MATCH(C45,A32:A40,1),MATCH(C42,B31:G31,1))</f>
        <v>5</v>
      </c>
      <c r="D48" s="2"/>
      <c r="E48" s="92"/>
      <c r="G48" s="2"/>
      <c r="H48" s="2"/>
      <c r="I48" s="2"/>
      <c r="J48" s="98"/>
      <c r="K48" s="97"/>
      <c r="L48" s="2"/>
      <c r="M48" s="92"/>
      <c r="O48" s="98" t="s">
        <v>187</v>
      </c>
      <c r="P48" s="97" t="e">
        <f t="array" ref="P48">INDEX(P32:T40,MATCH(P45,O32:O40,1),MATCH(P42,P31:T31,1))</f>
        <v>#N/A</v>
      </c>
      <c r="Q48" s="2"/>
      <c r="R48" s="92"/>
      <c r="T48" s="2"/>
      <c r="U48" s="2"/>
      <c r="V48" s="2"/>
      <c r="W48" s="98"/>
      <c r="X48" s="97"/>
      <c r="Y48" s="2"/>
      <c r="AB48" s="98" t="s">
        <v>187</v>
      </c>
      <c r="AC48" s="97" t="e">
        <f t="array" ref="AC48">INDEX(AB32:AF40,MATCH(AC45,AA32:AA40,1),MATCH(AC42,AB31:AF31,1))</f>
        <v>#N/A</v>
      </c>
      <c r="AD48" s="2"/>
      <c r="AE48" s="92"/>
      <c r="AG48" s="2"/>
      <c r="AH48" s="2"/>
      <c r="AI48" s="2"/>
      <c r="AJ48" s="98"/>
      <c r="AK48" s="97"/>
      <c r="AL48" s="2"/>
    </row>
    <row r="49" spans="2:38" ht="15" customHeight="1">
      <c r="B49" s="98" t="s">
        <v>240</v>
      </c>
      <c r="C49" s="97">
        <f t="array" ref="C49">INDEX(B32:G40,MATCH(C45,A32:A40,1),IF(MATCH(C42,B31:G31,1)&lt;E44,MATCH(C42,B31:G31,1)+1,MATCH(C45,A32:A40,1)))</f>
        <v>6</v>
      </c>
      <c r="E49" s="92"/>
      <c r="G49" s="2"/>
      <c r="H49" s="2"/>
      <c r="I49" s="2"/>
      <c r="J49" s="98"/>
      <c r="K49" s="97"/>
      <c r="M49" s="92"/>
      <c r="O49" s="98" t="s">
        <v>240</v>
      </c>
      <c r="P49" s="97" t="e">
        <f t="array" ref="P49">INDEX(P32:T40,MATCH(P45,O32:O40,1),IF(MATCH(P42,P31:T31,1)&lt;R44,MATCH(P42,P31:T31,1)+1,MATCH(P45,O32:O40,1)))</f>
        <v>#N/A</v>
      </c>
      <c r="R49" s="92"/>
      <c r="T49" s="2"/>
      <c r="U49" s="2"/>
      <c r="V49" s="2"/>
      <c r="W49" s="98"/>
      <c r="X49" s="97"/>
      <c r="AB49" s="98" t="s">
        <v>240</v>
      </c>
      <c r="AC49" s="97" t="e">
        <f t="array" ref="AC49">INDEX(AB32:AF40,MATCH(AC45,AA32:AA40,1),IF(MATCH(AC42,AB31:AF31,1)&lt;AE44,MATCH(AC42,AB31:AF31,1)+1,MATCH(AC45,AA32:AA40,1)))</f>
        <v>#N/A</v>
      </c>
      <c r="AE49" s="92"/>
      <c r="AG49" s="2"/>
      <c r="AH49" s="2"/>
      <c r="AI49" s="2"/>
      <c r="AJ49" s="98"/>
      <c r="AK49" s="97"/>
    </row>
    <row r="50" spans="2:38" ht="15" customHeight="1">
      <c r="B50" s="98" t="s">
        <v>188</v>
      </c>
      <c r="C50" s="97">
        <f t="array" ref="C50">INDEX(B32:G40,IF(MATCH(C45,A32:A40,1)&lt;E43,MATCH(C45,A32:A40,1)+1,MATCH(C45,A32:A40,1)),MATCH(C42,B31:G31,1))</f>
        <v>0</v>
      </c>
      <c r="E50" s="92"/>
      <c r="G50" s="2"/>
      <c r="H50" s="2"/>
      <c r="I50" s="2"/>
      <c r="J50" s="98"/>
      <c r="K50" s="97"/>
      <c r="M50" s="92"/>
      <c r="O50" s="98" t="s">
        <v>188</v>
      </c>
      <c r="P50" s="97" t="e">
        <f t="array" ref="P50">INDEX(P32:T40,IF(MATCH(P45,O32:O40,1)&lt;R43,MATCH(P45,O32:O40,1)+1,MATCH(P45,O32:O40,1)),MATCH(P42,P31:T31,1))</f>
        <v>#N/A</v>
      </c>
      <c r="R50" s="92"/>
      <c r="T50" s="2"/>
      <c r="U50" s="2"/>
      <c r="V50" s="2"/>
      <c r="W50" s="98"/>
      <c r="X50" s="97"/>
      <c r="AB50" s="98" t="s">
        <v>188</v>
      </c>
      <c r="AC50" s="97" t="e">
        <f t="array" ref="AC50">INDEX(AB32:AF40,IF(MATCH(AC45,AA32:AA40,1)&lt;AE43,MATCH(AC45,AA32:AA40,1)+1,MATCH(AC45,AA32:AA40,1)),MATCH(AC42,AB31:AF31,1))</f>
        <v>#N/A</v>
      </c>
      <c r="AE50" s="92"/>
      <c r="AG50" s="2"/>
      <c r="AH50" s="2"/>
      <c r="AI50" s="2"/>
      <c r="AJ50" s="98"/>
      <c r="AK50" s="97"/>
    </row>
    <row r="51" spans="2:38" ht="15" customHeight="1">
      <c r="B51" s="98" t="s">
        <v>241</v>
      </c>
      <c r="C51" s="97">
        <f t="array" ref="C51">INDEX(B32:G40,IF(MATCH(C45,A32:A40,1)&lt;E43,MATCH(C45,A32:A40,1)+1,MATCH(C45,A32:A40,1)),IF(MATCH(C42,B31:G31,1)&lt;E44,MATCH(C42,B31:G31,1)+1,MATCH(C42,B31:G31,1)))</f>
        <v>0</v>
      </c>
      <c r="G51" s="2"/>
      <c r="H51" s="2"/>
      <c r="I51" s="2"/>
      <c r="J51" s="98"/>
      <c r="K51" s="97"/>
      <c r="O51" s="98" t="s">
        <v>241</v>
      </c>
      <c r="P51" s="97" t="e">
        <f t="array" ref="P51">INDEX(P32:T40,IF(MATCH(P45,O32:O40,1)&lt;R43,MATCH(P45,O32:O40,1)+1,MATCH(P45,O32:O40,1)),IF(MATCH(P42,P31:T31,1)&lt;R44,MATCH(P42,P31:T31,1)+1,MATCH(P42,P31:T31,1)))</f>
        <v>#N/A</v>
      </c>
      <c r="T51" s="2"/>
      <c r="U51" s="2"/>
      <c r="V51" s="2"/>
      <c r="W51" s="98"/>
      <c r="X51" s="97"/>
      <c r="AB51" s="98" t="s">
        <v>241</v>
      </c>
      <c r="AC51" s="97" t="e">
        <f t="array" ref="AC51">INDEX(AB32:AF40,IF(MATCH(AC45,AA32:AA40,1)&lt;AE43,MATCH(AC45,AA32:AA40,1)+1,MATCH(AC45,AA32:AA40,1)),IF(MATCH(AC42,AB31:AF31,1)&lt;AE44,MATCH(AC42,AB31:AF31,1)+1,MATCH(AC42,AB31:AF31,1)))</f>
        <v>#N/A</v>
      </c>
      <c r="AG51" s="2"/>
      <c r="AH51" s="2"/>
      <c r="AI51" s="2"/>
      <c r="AJ51" s="98"/>
      <c r="AK51" s="97"/>
    </row>
    <row r="52" spans="2:38" ht="15" customHeight="1">
      <c r="B52" s="73" t="s">
        <v>242</v>
      </c>
      <c r="C52" s="100">
        <f>IFERROR(C48+(C42-C43)*(C49-C48)/(C44-C43),C48)</f>
        <v>5.5398499999999995</v>
      </c>
      <c r="G52" s="2"/>
      <c r="H52" s="2"/>
      <c r="I52" s="2"/>
      <c r="J52" s="73"/>
      <c r="K52" s="100"/>
      <c r="O52" s="73" t="s">
        <v>242</v>
      </c>
      <c r="P52" s="100" t="e">
        <f>IFERROR(P48+(P42-P43)*(P49-P48)/(P44-P43),P48)</f>
        <v>#N/A</v>
      </c>
      <c r="T52" s="2"/>
      <c r="U52" s="2"/>
      <c r="V52" s="2"/>
      <c r="W52" s="73"/>
      <c r="X52" s="100"/>
      <c r="AB52" s="73" t="s">
        <v>242</v>
      </c>
      <c r="AC52" s="100" t="e">
        <f>IFERROR(AC48+(AC42-AC43)*(AC49-AC48)/(AC44-AC43),AC48)</f>
        <v>#N/A</v>
      </c>
      <c r="AG52" s="2"/>
      <c r="AH52" s="2"/>
      <c r="AI52" s="2"/>
      <c r="AJ52" s="73"/>
      <c r="AK52" s="100"/>
    </row>
    <row r="53" spans="2:38" ht="15" customHeight="1">
      <c r="B53" s="73" t="s">
        <v>243</v>
      </c>
      <c r="C53" s="100">
        <f>IFERROR(C50+(C42-C43)*(C51-C50)/(C44-C43),C50)</f>
        <v>0</v>
      </c>
      <c r="G53" s="2"/>
      <c r="H53" s="2"/>
      <c r="I53" s="2"/>
      <c r="J53" s="73"/>
      <c r="K53" s="100"/>
      <c r="O53" s="73" t="s">
        <v>243</v>
      </c>
      <c r="P53" s="100" t="e">
        <f>IFERROR(P50+(P42-P43)*(P51-P50)/(P44-P43),P50)</f>
        <v>#N/A</v>
      </c>
      <c r="T53" s="2"/>
      <c r="U53" s="2"/>
      <c r="V53" s="2"/>
      <c r="W53" s="73"/>
      <c r="X53" s="100"/>
      <c r="AB53" s="73" t="s">
        <v>243</v>
      </c>
      <c r="AC53" s="100" t="e">
        <f>IFERROR(AC50+(AC42-AC43)*(AC51-AC50)/(AC44-AC43),AC50)</f>
        <v>#N/A</v>
      </c>
      <c r="AG53" s="2"/>
      <c r="AH53" s="2"/>
      <c r="AI53" s="2"/>
      <c r="AJ53" s="73"/>
      <c r="AK53" s="100"/>
    </row>
    <row r="54" spans="2:38" ht="15" customHeight="1">
      <c r="B54" s="98" t="s">
        <v>244</v>
      </c>
      <c r="C54" s="219">
        <f>IFERROR(C52+(C45-C46)*(C53-C52)/(C47-C46),C52)</f>
        <v>5.5398499999999995</v>
      </c>
      <c r="G54" s="2"/>
      <c r="H54" s="2"/>
      <c r="I54" s="2"/>
      <c r="J54" s="98"/>
      <c r="K54" s="97"/>
      <c r="O54" s="98" t="s">
        <v>244</v>
      </c>
      <c r="P54" s="97" t="e">
        <f>IFERROR(P52+(P45-P46)*(P53-P52)/(P47-P46),P52)</f>
        <v>#N/A</v>
      </c>
      <c r="T54" s="2"/>
      <c r="U54" s="2"/>
      <c r="V54" s="2"/>
      <c r="W54" s="98"/>
      <c r="X54" s="97"/>
      <c r="AB54" s="98" t="s">
        <v>244</v>
      </c>
      <c r="AC54" s="97" t="e">
        <f>IFERROR(AC52+(AC45-AC46)*(AC53-AC52)/(AC47-AC46),AC52)</f>
        <v>#N/A</v>
      </c>
      <c r="AG54" s="2"/>
      <c r="AH54" s="2"/>
      <c r="AI54" s="2"/>
      <c r="AJ54" s="98"/>
      <c r="AK54" s="97"/>
    </row>
    <row r="55" spans="2:38" ht="15" customHeight="1">
      <c r="B55" s="8" t="s">
        <v>257</v>
      </c>
      <c r="C55" s="226">
        <f>IF('Take-off'!$C$13='Dropdown lists'!$B$30,C54 -0.8, C54)</f>
        <v>5.5398499999999995</v>
      </c>
      <c r="J55" s="12"/>
      <c r="K55" s="12"/>
      <c r="L55" s="12"/>
      <c r="M55" s="12"/>
      <c r="O55" s="8" t="s">
        <v>257</v>
      </c>
      <c r="P55" s="106" t="e">
        <f>IF('Take-off'!$C$13='Dropdown lists'!$B$30,P54 -0.8, P54)</f>
        <v>#N/A</v>
      </c>
      <c r="W55" s="12"/>
      <c r="X55" s="12"/>
      <c r="Y55" s="12"/>
      <c r="AJ55" s="12"/>
      <c r="AK55" s="12"/>
      <c r="AL55" s="12"/>
    </row>
    <row r="56" spans="2:38" ht="15.75" customHeight="1"/>
    <row r="57" spans="2:38" ht="15.75" customHeight="1"/>
    <row r="58" spans="2:38" ht="15.75" customHeight="1"/>
    <row r="59" spans="2:38" ht="15" customHeight="1">
      <c r="C59" s="99"/>
    </row>
    <row r="60" spans="2:38" ht="15.75" customHeight="1"/>
    <row r="61" spans="2:38" ht="15.75" customHeight="1"/>
    <row r="62" spans="2:38" ht="15.75" customHeight="1"/>
    <row r="63" spans="2:38" ht="15.75" customHeight="1"/>
    <row r="64" spans="2:3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D42:E42"/>
    <mergeCell ref="Q42:R42"/>
    <mergeCell ref="AD42:AE42"/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B30:G30"/>
    <mergeCell ref="O30:T30"/>
    <mergeCell ref="AB30:AG30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3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4">
      <colorScale>
        <cfvo type="min"/>
        <cfvo type="max"/>
        <color rgb="FFFCFCFF"/>
        <color rgb="FFF8696B"/>
      </colorScale>
    </cfRule>
  </conditionalFormatting>
  <conditionalFormatting sqref="P32:S39">
    <cfRule type="colorScale" priority="5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6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7">
      <colorScale>
        <cfvo type="min"/>
        <cfvo type="max"/>
        <color rgb="FFFCFCFF"/>
        <color rgb="FFF8696B"/>
      </colorScale>
    </cfRule>
  </conditionalFormatting>
  <conditionalFormatting sqref="AB32:AE39">
    <cfRule type="colorScale" priority="8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9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C1000"/>
  <sheetViews>
    <sheetView workbookViewId="0"/>
  </sheetViews>
  <sheetFormatPr defaultColWidth="14.42578125" defaultRowHeight="15" customHeight="1"/>
  <cols>
    <col min="1" max="12" width="9.140625" customWidth="1"/>
    <col min="13" max="13" width="5" customWidth="1"/>
    <col min="14" max="55" width="9.140625" customWidth="1"/>
  </cols>
  <sheetData>
    <row r="1" spans="1:55" ht="14.25" customHeight="1">
      <c r="A1" s="77"/>
      <c r="B1" s="73" t="s">
        <v>231</v>
      </c>
      <c r="C1" s="98" t="s">
        <v>183</v>
      </c>
      <c r="D1" s="186">
        <f>IF('Take-off'!$C$9="",'Take-off'!$C$16,MAX(0,'Take-off'!$C$16+30*(1013-'Take-off'!$C$9)))</f>
        <v>0</v>
      </c>
      <c r="E1" s="336"/>
      <c r="F1" s="336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341"/>
      <c r="AW1" s="77"/>
      <c r="AX1" s="77"/>
      <c r="AY1" s="77"/>
      <c r="AZ1" s="77"/>
      <c r="BA1" s="77"/>
      <c r="BB1" s="77"/>
      <c r="BC1" s="77"/>
    </row>
    <row r="2" spans="1:55" ht="14.25" customHeight="1">
      <c r="A2" s="77"/>
      <c r="B2" s="73" t="s">
        <v>233</v>
      </c>
      <c r="C2" s="96" t="s">
        <v>184</v>
      </c>
      <c r="D2" s="186">
        <f>IF('Take-off'!$C$13='Dropdown lists'!$B$30, 'Take-off'!$C$8+10, 'Take-off'!$C$8)</f>
        <v>-2</v>
      </c>
      <c r="E2" s="187" t="s">
        <v>249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341"/>
      <c r="AW2" s="77"/>
      <c r="AX2" s="77"/>
      <c r="AY2" s="77"/>
      <c r="AZ2" s="77"/>
      <c r="BA2" s="77"/>
      <c r="BB2" s="77"/>
      <c r="BC2" s="77"/>
    </row>
    <row r="3" spans="1:55" ht="14.25" customHeight="1">
      <c r="A3" s="77"/>
      <c r="B3" s="247" t="s">
        <v>262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77"/>
      <c r="N3" s="77"/>
      <c r="O3" s="247" t="s">
        <v>263</v>
      </c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77"/>
      <c r="AA3" s="77"/>
      <c r="AB3" s="247" t="s">
        <v>264</v>
      </c>
      <c r="AC3" s="262"/>
      <c r="AD3" s="262"/>
      <c r="AE3" s="262"/>
      <c r="AF3" s="262"/>
      <c r="AG3" s="262"/>
      <c r="AH3" s="262"/>
      <c r="AI3" s="262"/>
      <c r="AJ3" s="262"/>
      <c r="AK3" s="262"/>
      <c r="AL3" s="262"/>
      <c r="AM3" s="77"/>
      <c r="AN3" s="77"/>
      <c r="AO3" s="77"/>
      <c r="AP3" s="77"/>
      <c r="AQ3" s="77"/>
      <c r="AR3" s="77"/>
      <c r="AS3" s="77"/>
      <c r="AT3" s="77"/>
      <c r="AU3" s="77"/>
      <c r="AV3" s="341"/>
      <c r="AW3" s="77"/>
      <c r="AX3" s="77"/>
      <c r="AY3" s="77"/>
      <c r="AZ3" s="77"/>
      <c r="BA3" s="77"/>
      <c r="BB3" s="77"/>
      <c r="BC3" s="77"/>
    </row>
    <row r="4" spans="1:55" ht="15" customHeight="1">
      <c r="A4" s="12"/>
      <c r="B4" s="258" t="s">
        <v>252</v>
      </c>
      <c r="C4" s="260"/>
      <c r="D4" s="260"/>
      <c r="E4" s="260"/>
      <c r="F4" s="260"/>
      <c r="G4" s="82"/>
      <c r="H4" s="82"/>
      <c r="I4" s="82"/>
      <c r="J4" s="82"/>
      <c r="K4" s="82"/>
      <c r="L4" s="82"/>
      <c r="M4" s="82"/>
      <c r="N4" s="12"/>
      <c r="O4" s="258" t="s">
        <v>252</v>
      </c>
      <c r="P4" s="260"/>
      <c r="Q4" s="260"/>
      <c r="R4" s="260"/>
      <c r="S4" s="260"/>
      <c r="T4" s="82"/>
      <c r="U4" s="82"/>
      <c r="V4" s="82"/>
      <c r="W4" s="82"/>
      <c r="X4" s="82"/>
      <c r="Y4" s="82"/>
      <c r="Z4" s="98"/>
      <c r="AA4" s="12"/>
      <c r="AB4" s="258" t="s">
        <v>252</v>
      </c>
      <c r="AC4" s="260"/>
      <c r="AD4" s="260"/>
      <c r="AE4" s="260"/>
      <c r="AF4" s="260"/>
      <c r="AG4" s="82"/>
      <c r="AH4" s="82"/>
      <c r="AI4" s="82"/>
      <c r="AJ4" s="82"/>
      <c r="AK4" s="82"/>
      <c r="AL4" s="82"/>
      <c r="AM4" s="2"/>
      <c r="AN4" s="2"/>
      <c r="AO4" s="2"/>
      <c r="AP4" s="98"/>
      <c r="AQ4" s="97"/>
      <c r="AU4" s="2"/>
      <c r="AV4" s="2"/>
      <c r="AW4" s="2"/>
      <c r="AX4" s="98"/>
      <c r="AY4" s="97"/>
    </row>
    <row r="5" spans="1:55" ht="15" customHeight="1">
      <c r="A5" s="12" t="s">
        <v>253</v>
      </c>
      <c r="B5" s="189">
        <v>0</v>
      </c>
      <c r="C5" s="190">
        <v>1000</v>
      </c>
      <c r="D5" s="191">
        <v>2000</v>
      </c>
      <c r="E5" s="191">
        <v>3000</v>
      </c>
      <c r="F5" s="192">
        <v>4000</v>
      </c>
      <c r="G5" s="98"/>
      <c r="H5" s="97"/>
      <c r="I5" s="12"/>
      <c r="J5" s="98"/>
      <c r="K5" s="97"/>
      <c r="L5" s="12"/>
      <c r="M5" s="12"/>
      <c r="N5" s="12" t="s">
        <v>253</v>
      </c>
      <c r="O5" s="189">
        <v>0</v>
      </c>
      <c r="P5" s="190">
        <v>1000</v>
      </c>
      <c r="Q5" s="191">
        <v>2000</v>
      </c>
      <c r="R5" s="191">
        <v>3000</v>
      </c>
      <c r="S5" s="192">
        <v>4000</v>
      </c>
      <c r="T5" s="98"/>
      <c r="U5" s="97"/>
      <c r="V5" s="12"/>
      <c r="W5" s="98"/>
      <c r="X5" s="97"/>
      <c r="Y5" s="12"/>
      <c r="AA5" s="12" t="s">
        <v>253</v>
      </c>
      <c r="AB5" s="189">
        <v>0</v>
      </c>
      <c r="AC5" s="190">
        <v>1000</v>
      </c>
      <c r="AD5" s="191">
        <v>2000</v>
      </c>
      <c r="AE5" s="191">
        <v>3000</v>
      </c>
      <c r="AF5" s="192">
        <v>4000</v>
      </c>
      <c r="AG5" s="98"/>
      <c r="AH5" s="97"/>
      <c r="AI5" s="12"/>
      <c r="AJ5" s="98"/>
      <c r="AK5" s="97"/>
      <c r="AL5" s="12"/>
      <c r="AM5" s="98"/>
      <c r="AN5" s="97"/>
      <c r="AR5" s="2"/>
      <c r="AS5" s="2"/>
      <c r="AT5" s="2"/>
      <c r="AU5" s="98"/>
      <c r="AV5" s="97"/>
    </row>
    <row r="6" spans="1:55" ht="15" customHeight="1">
      <c r="A6" s="12">
        <v>-30</v>
      </c>
      <c r="B6" s="189">
        <v>1400</v>
      </c>
      <c r="C6" s="190">
        <v>1490</v>
      </c>
      <c r="D6" s="191">
        <v>1550</v>
      </c>
      <c r="E6" s="191">
        <v>1600</v>
      </c>
      <c r="F6" s="192">
        <v>99999</v>
      </c>
      <c r="G6" s="98"/>
      <c r="H6" s="97"/>
      <c r="I6" s="12"/>
      <c r="J6" s="98"/>
      <c r="K6" s="97"/>
      <c r="L6" s="12"/>
      <c r="M6" s="12"/>
      <c r="N6" s="12">
        <v>-30</v>
      </c>
      <c r="O6" s="189"/>
      <c r="P6" s="190"/>
      <c r="Q6" s="191"/>
      <c r="R6" s="191"/>
      <c r="S6" s="192">
        <v>99999</v>
      </c>
      <c r="T6" s="98"/>
      <c r="U6" s="97"/>
      <c r="V6" s="12"/>
      <c r="W6" s="98"/>
      <c r="X6" s="97"/>
      <c r="Y6" s="12"/>
      <c r="AA6" s="12">
        <v>-30</v>
      </c>
      <c r="AB6" s="189"/>
      <c r="AC6" s="190"/>
      <c r="AD6" s="191"/>
      <c r="AE6" s="191"/>
      <c r="AF6" s="192">
        <v>99999</v>
      </c>
      <c r="AG6" s="98"/>
      <c r="AH6" s="97"/>
      <c r="AI6" s="12"/>
      <c r="AJ6" s="98"/>
      <c r="AK6" s="97"/>
      <c r="AL6" s="12"/>
      <c r="AM6" s="98"/>
      <c r="AN6" s="97"/>
      <c r="AR6" s="2"/>
      <c r="AS6" s="2"/>
      <c r="AT6" s="2"/>
      <c r="AU6" s="98"/>
      <c r="AV6" s="97"/>
    </row>
    <row r="7" spans="1:55" ht="15" customHeight="1">
      <c r="A7" s="12">
        <v>-20</v>
      </c>
      <c r="B7" s="340">
        <v>1450</v>
      </c>
      <c r="C7" s="182">
        <v>1550</v>
      </c>
      <c r="D7" s="12">
        <v>1600</v>
      </c>
      <c r="E7" s="12">
        <v>1700</v>
      </c>
      <c r="F7" s="339">
        <v>99999</v>
      </c>
      <c r="G7" s="98"/>
      <c r="H7" s="97"/>
      <c r="J7" s="98"/>
      <c r="K7" s="97"/>
      <c r="N7" s="12">
        <v>-20</v>
      </c>
      <c r="O7" s="340"/>
      <c r="P7" s="182"/>
      <c r="Q7" s="12"/>
      <c r="R7" s="12"/>
      <c r="S7" s="339">
        <v>99999</v>
      </c>
      <c r="T7" s="98"/>
      <c r="U7" s="97"/>
      <c r="W7" s="98"/>
      <c r="X7" s="97"/>
      <c r="AA7" s="12">
        <v>-20</v>
      </c>
      <c r="AB7" s="340"/>
      <c r="AC7" s="182"/>
      <c r="AD7" s="12"/>
      <c r="AE7" s="12"/>
      <c r="AF7" s="339">
        <v>99999</v>
      </c>
      <c r="AG7" s="98"/>
      <c r="AH7" s="97"/>
      <c r="AJ7" s="98"/>
      <c r="AK7" s="97"/>
      <c r="AM7" s="98"/>
      <c r="AN7" s="97"/>
      <c r="AR7" s="2"/>
      <c r="AS7" s="2"/>
      <c r="AT7" s="2"/>
      <c r="AU7" s="98"/>
      <c r="AV7" s="97"/>
    </row>
    <row r="8" spans="1:55" ht="15" customHeight="1">
      <c r="A8" s="12">
        <v>-10</v>
      </c>
      <c r="B8" s="340">
        <v>1550</v>
      </c>
      <c r="C8" s="182">
        <v>1600</v>
      </c>
      <c r="D8" s="12">
        <v>1700</v>
      </c>
      <c r="E8" s="12">
        <v>1800</v>
      </c>
      <c r="F8" s="339">
        <v>99999</v>
      </c>
      <c r="G8" s="98"/>
      <c r="H8" s="97"/>
      <c r="J8" s="98"/>
      <c r="K8" s="97"/>
      <c r="N8" s="12">
        <v>-10</v>
      </c>
      <c r="O8" s="340"/>
      <c r="P8" s="182"/>
      <c r="Q8" s="12"/>
      <c r="R8" s="12"/>
      <c r="S8" s="339">
        <v>99999</v>
      </c>
      <c r="T8" s="98"/>
      <c r="U8" s="97"/>
      <c r="W8" s="98"/>
      <c r="X8" s="97"/>
      <c r="AA8" s="12">
        <v>-10</v>
      </c>
      <c r="AB8" s="340"/>
      <c r="AC8" s="182"/>
      <c r="AD8" s="12"/>
      <c r="AE8" s="12"/>
      <c r="AF8" s="339">
        <v>99999</v>
      </c>
      <c r="AG8" s="98"/>
      <c r="AH8" s="97"/>
      <c r="AJ8" s="98"/>
      <c r="AK8" s="97"/>
      <c r="AM8" s="98"/>
      <c r="AN8" s="97"/>
      <c r="AR8" s="2"/>
      <c r="AS8" s="2"/>
      <c r="AT8" s="2"/>
      <c r="AU8" s="98"/>
      <c r="AV8" s="97"/>
    </row>
    <row r="9" spans="1:55" ht="15" customHeight="1">
      <c r="A9" s="12">
        <v>0</v>
      </c>
      <c r="B9" s="340">
        <v>1610</v>
      </c>
      <c r="C9" s="182">
        <v>1700</v>
      </c>
      <c r="D9" s="12">
        <v>1800</v>
      </c>
      <c r="E9" s="12">
        <v>1900</v>
      </c>
      <c r="F9" s="339">
        <v>99999</v>
      </c>
      <c r="G9" s="98"/>
      <c r="H9" s="97"/>
      <c r="J9" s="98"/>
      <c r="K9" s="97"/>
      <c r="N9" s="12">
        <v>0</v>
      </c>
      <c r="O9" s="340"/>
      <c r="P9" s="182"/>
      <c r="Q9" s="12"/>
      <c r="R9" s="12"/>
      <c r="S9" s="339">
        <v>99999</v>
      </c>
      <c r="T9" s="98"/>
      <c r="U9" s="97"/>
      <c r="W9" s="98"/>
      <c r="X9" s="97"/>
      <c r="AA9" s="12">
        <v>0</v>
      </c>
      <c r="AB9" s="340"/>
      <c r="AC9" s="182"/>
      <c r="AD9" s="12"/>
      <c r="AE9" s="12"/>
      <c r="AF9" s="339">
        <v>99999</v>
      </c>
      <c r="AG9" s="98"/>
      <c r="AH9" s="97"/>
      <c r="AJ9" s="98"/>
      <c r="AK9" s="97"/>
      <c r="AM9" s="98"/>
      <c r="AN9" s="97"/>
      <c r="AR9" s="2"/>
      <c r="AS9" s="2"/>
      <c r="AT9" s="2"/>
      <c r="AU9" s="98"/>
      <c r="AV9" s="97"/>
    </row>
    <row r="10" spans="1:55" ht="15" customHeight="1">
      <c r="A10" s="12">
        <v>10</v>
      </c>
      <c r="B10" s="340">
        <v>1700</v>
      </c>
      <c r="C10" s="182">
        <v>1800</v>
      </c>
      <c r="D10" s="12">
        <v>1900</v>
      </c>
      <c r="E10" s="12">
        <v>2015</v>
      </c>
      <c r="F10" s="339">
        <v>99999</v>
      </c>
      <c r="G10" s="98"/>
      <c r="H10" s="97"/>
      <c r="J10" s="98"/>
      <c r="K10" s="97"/>
      <c r="N10" s="12">
        <v>10</v>
      </c>
      <c r="O10" s="340"/>
      <c r="P10" s="182"/>
      <c r="Q10" s="12"/>
      <c r="R10" s="12"/>
      <c r="S10" s="339">
        <v>99999</v>
      </c>
      <c r="T10" s="98"/>
      <c r="U10" s="97"/>
      <c r="W10" s="98"/>
      <c r="X10" s="97"/>
      <c r="AA10" s="12">
        <v>10</v>
      </c>
      <c r="AB10" s="340"/>
      <c r="AC10" s="182"/>
      <c r="AD10" s="12"/>
      <c r="AE10" s="12"/>
      <c r="AF10" s="339">
        <v>99999</v>
      </c>
      <c r="AG10" s="98"/>
      <c r="AH10" s="97"/>
      <c r="AJ10" s="98"/>
      <c r="AK10" s="97"/>
      <c r="AM10" s="98"/>
      <c r="AN10" s="97"/>
      <c r="AR10" s="2"/>
      <c r="AS10" s="2"/>
      <c r="AT10" s="2"/>
      <c r="AU10" s="98"/>
      <c r="AV10" s="97"/>
    </row>
    <row r="11" spans="1:55" ht="15" customHeight="1">
      <c r="A11" s="12">
        <v>20</v>
      </c>
      <c r="B11" s="340">
        <v>1780</v>
      </c>
      <c r="C11" s="182">
        <v>1900</v>
      </c>
      <c r="D11" s="12">
        <v>2000</v>
      </c>
      <c r="E11" s="12">
        <v>2150</v>
      </c>
      <c r="F11" s="339">
        <v>99999</v>
      </c>
      <c r="G11" s="98"/>
      <c r="H11" s="97"/>
      <c r="J11" s="98"/>
      <c r="K11" s="97"/>
      <c r="N11" s="12">
        <v>20</v>
      </c>
      <c r="O11" s="340"/>
      <c r="P11" s="182"/>
      <c r="Q11" s="12"/>
      <c r="R11" s="12"/>
      <c r="S11" s="339">
        <v>99999</v>
      </c>
      <c r="T11" s="98"/>
      <c r="U11" s="97"/>
      <c r="W11" s="98"/>
      <c r="X11" s="97"/>
      <c r="AA11" s="12">
        <v>20</v>
      </c>
      <c r="AB11" s="340"/>
      <c r="AC11" s="182"/>
      <c r="AD11" s="12"/>
      <c r="AE11" s="12"/>
      <c r="AF11" s="339">
        <v>99999</v>
      </c>
      <c r="AG11" s="98"/>
      <c r="AH11" s="97"/>
      <c r="AJ11" s="98"/>
      <c r="AK11" s="97"/>
      <c r="AM11" s="98"/>
      <c r="AN11" s="97"/>
      <c r="AR11" s="2"/>
      <c r="AS11" s="2"/>
      <c r="AT11" s="2"/>
      <c r="AU11" s="98"/>
      <c r="AV11" s="97"/>
    </row>
    <row r="12" spans="1:55" ht="15" customHeight="1">
      <c r="A12" s="12">
        <v>30</v>
      </c>
      <c r="B12" s="340">
        <v>1880</v>
      </c>
      <c r="C12" s="182">
        <v>2000</v>
      </c>
      <c r="D12" s="12">
        <v>2130</v>
      </c>
      <c r="E12" s="12">
        <v>2320</v>
      </c>
      <c r="F12" s="339">
        <v>99999</v>
      </c>
      <c r="G12" s="98"/>
      <c r="H12" s="97"/>
      <c r="J12" s="98"/>
      <c r="K12" s="97"/>
      <c r="N12" s="12"/>
      <c r="O12" s="340"/>
      <c r="P12" s="182"/>
      <c r="Q12" s="12"/>
      <c r="R12" s="12"/>
      <c r="S12" s="339"/>
      <c r="T12" s="98"/>
      <c r="U12" s="97"/>
      <c r="W12" s="98"/>
      <c r="X12" s="97"/>
      <c r="AA12" s="12">
        <v>30</v>
      </c>
      <c r="AB12" s="340"/>
      <c r="AC12" s="182"/>
      <c r="AD12" s="12"/>
      <c r="AE12" s="12"/>
      <c r="AF12" s="339">
        <v>99999</v>
      </c>
      <c r="AG12" s="98"/>
      <c r="AH12" s="97"/>
      <c r="AJ12" s="98"/>
      <c r="AK12" s="97"/>
      <c r="AM12" s="98"/>
      <c r="AN12" s="97"/>
      <c r="AR12" s="2"/>
      <c r="AS12" s="2"/>
      <c r="AT12" s="2"/>
      <c r="AU12" s="98"/>
      <c r="AV12" s="97"/>
    </row>
    <row r="13" spans="1:55" ht="15" customHeight="1">
      <c r="A13" s="12">
        <v>40</v>
      </c>
      <c r="B13" s="340">
        <v>2075</v>
      </c>
      <c r="C13" s="182">
        <v>2200</v>
      </c>
      <c r="D13" s="12">
        <v>2380</v>
      </c>
      <c r="E13" s="12">
        <v>2600</v>
      </c>
      <c r="F13" s="339">
        <v>99999</v>
      </c>
      <c r="G13" s="98"/>
      <c r="H13" s="97"/>
      <c r="J13" s="98"/>
      <c r="K13" s="97"/>
      <c r="N13" s="12">
        <v>30</v>
      </c>
      <c r="O13" s="340"/>
      <c r="P13" s="182"/>
      <c r="Q13" s="12"/>
      <c r="R13" s="12"/>
      <c r="S13" s="339">
        <v>99999</v>
      </c>
      <c r="T13" s="98"/>
      <c r="U13" s="97"/>
      <c r="W13" s="98"/>
      <c r="X13" s="97"/>
      <c r="AA13" s="12">
        <v>40</v>
      </c>
      <c r="AB13" s="340"/>
      <c r="AC13" s="182"/>
      <c r="AD13" s="12"/>
      <c r="AE13" s="12"/>
      <c r="AF13" s="339">
        <v>99999</v>
      </c>
      <c r="AG13" s="98"/>
      <c r="AH13" s="97"/>
      <c r="AJ13" s="98"/>
      <c r="AK13" s="97"/>
      <c r="AM13" s="98"/>
      <c r="AN13" s="97"/>
      <c r="AR13" s="2"/>
      <c r="AS13" s="2"/>
      <c r="AT13" s="2"/>
      <c r="AU13" s="98"/>
      <c r="AV13" s="97"/>
    </row>
    <row r="14" spans="1:55" ht="15" customHeight="1">
      <c r="A14" s="12">
        <v>45</v>
      </c>
      <c r="B14" s="196">
        <v>99999</v>
      </c>
      <c r="C14" s="197">
        <v>99999</v>
      </c>
      <c r="D14" s="197">
        <v>99999</v>
      </c>
      <c r="E14" s="197">
        <v>99999</v>
      </c>
      <c r="F14" s="198">
        <v>99999</v>
      </c>
      <c r="G14" s="98"/>
      <c r="H14" s="97"/>
      <c r="J14" s="98"/>
      <c r="K14" s="97"/>
      <c r="N14" s="12">
        <v>35</v>
      </c>
      <c r="O14" s="196">
        <v>99999</v>
      </c>
      <c r="P14" s="197">
        <v>99999</v>
      </c>
      <c r="Q14" s="197">
        <v>99999</v>
      </c>
      <c r="R14" s="197">
        <v>99999</v>
      </c>
      <c r="S14" s="198">
        <v>99999</v>
      </c>
      <c r="T14" s="98"/>
      <c r="U14" s="97"/>
      <c r="W14" s="98"/>
      <c r="X14" s="97"/>
      <c r="AA14" s="12">
        <v>45</v>
      </c>
      <c r="AB14" s="196">
        <v>99999</v>
      </c>
      <c r="AC14" s="197">
        <v>99999</v>
      </c>
      <c r="AD14" s="197">
        <v>99999</v>
      </c>
      <c r="AE14" s="197">
        <v>99999</v>
      </c>
      <c r="AF14" s="198">
        <v>99999</v>
      </c>
      <c r="AG14" s="98"/>
      <c r="AH14" s="97"/>
      <c r="AJ14" s="98"/>
      <c r="AK14" s="97"/>
      <c r="AM14" s="98"/>
      <c r="AN14" s="97"/>
      <c r="AR14" s="2"/>
      <c r="AS14" s="2"/>
      <c r="AT14" s="2"/>
      <c r="AU14" s="98"/>
      <c r="AV14" s="97"/>
    </row>
    <row r="15" spans="1:55" ht="15" customHeight="1">
      <c r="B15" s="98"/>
      <c r="C15" s="97"/>
      <c r="D15" s="12"/>
      <c r="E15" s="12"/>
      <c r="F15" s="12"/>
      <c r="G15" s="2"/>
      <c r="H15" s="2"/>
      <c r="I15" s="2"/>
      <c r="J15" s="98"/>
      <c r="K15" s="97"/>
      <c r="O15" s="98"/>
      <c r="P15" s="97"/>
      <c r="Q15" s="12"/>
      <c r="R15" s="12"/>
      <c r="S15" s="12"/>
      <c r="T15" s="2"/>
      <c r="U15" s="2"/>
      <c r="V15" s="2"/>
      <c r="W15" s="98"/>
      <c r="X15" s="97"/>
      <c r="Z15" s="98"/>
      <c r="AB15" s="98"/>
      <c r="AC15" s="97"/>
      <c r="AD15" s="12"/>
      <c r="AE15" s="12"/>
      <c r="AF15" s="12"/>
      <c r="AG15" s="2"/>
      <c r="AH15" s="2"/>
      <c r="AI15" s="2"/>
      <c r="AJ15" s="98"/>
      <c r="AK15" s="97"/>
      <c r="AM15" s="2"/>
      <c r="AN15" s="2"/>
      <c r="AO15" s="2"/>
      <c r="AP15" s="98"/>
      <c r="AQ15" s="97"/>
      <c r="AU15" s="2"/>
      <c r="AV15" s="2"/>
      <c r="AW15" s="2"/>
      <c r="AX15" s="98"/>
      <c r="AY15" s="97"/>
    </row>
    <row r="16" spans="1:55" ht="15" customHeight="1">
      <c r="B16" s="98" t="s">
        <v>183</v>
      </c>
      <c r="C16" s="97">
        <f>D1</f>
        <v>0</v>
      </c>
      <c r="D16" s="251" t="s">
        <v>237</v>
      </c>
      <c r="E16" s="262"/>
      <c r="G16" s="2"/>
      <c r="H16" s="2"/>
      <c r="I16" s="2"/>
      <c r="J16" s="98"/>
      <c r="K16" s="97"/>
      <c r="L16" s="82"/>
      <c r="O16" s="98" t="s">
        <v>183</v>
      </c>
      <c r="P16" s="97">
        <f>D1</f>
        <v>0</v>
      </c>
      <c r="Q16" s="251" t="s">
        <v>237</v>
      </c>
      <c r="R16" s="262"/>
      <c r="T16" s="2"/>
      <c r="U16" s="2"/>
      <c r="V16" s="2"/>
      <c r="W16" s="98"/>
      <c r="X16" s="97"/>
      <c r="Y16" s="82"/>
      <c r="Z16" s="98"/>
      <c r="AB16" s="98" t="s">
        <v>183</v>
      </c>
      <c r="AC16" s="97">
        <f>D1</f>
        <v>0</v>
      </c>
      <c r="AD16" s="251" t="s">
        <v>237</v>
      </c>
      <c r="AE16" s="262"/>
      <c r="AG16" s="2"/>
      <c r="AH16" s="2"/>
      <c r="AI16" s="2"/>
      <c r="AJ16" s="98"/>
      <c r="AK16" s="97"/>
      <c r="AL16" s="82"/>
      <c r="AM16" s="2"/>
      <c r="AN16" s="2"/>
      <c r="AO16" s="2"/>
      <c r="AP16" s="98"/>
      <c r="AQ16" s="97"/>
      <c r="AR16" s="251"/>
      <c r="AS16" s="262"/>
      <c r="AU16" s="2"/>
      <c r="AV16" s="2"/>
      <c r="AW16" s="2"/>
      <c r="AX16" s="98"/>
      <c r="AY16" s="97"/>
      <c r="AZ16" s="251"/>
      <c r="BA16" s="262"/>
    </row>
    <row r="17" spans="1:53" ht="15" customHeight="1">
      <c r="B17" s="73" t="s">
        <v>238</v>
      </c>
      <c r="C17" s="100">
        <f t="array" ref="C17">INDEX(B5:F5,MATCH(C16,B5:F5,1))</f>
        <v>0</v>
      </c>
      <c r="D17" s="73" t="s">
        <v>181</v>
      </c>
      <c r="E17" s="88">
        <f>MATCH(MAX(A6:A14),A6:A14,1)</f>
        <v>9</v>
      </c>
      <c r="G17" s="2"/>
      <c r="H17" s="2"/>
      <c r="I17" s="2"/>
      <c r="J17" s="73"/>
      <c r="K17" s="100"/>
      <c r="L17" s="73"/>
      <c r="M17" s="88"/>
      <c r="O17" s="73" t="s">
        <v>238</v>
      </c>
      <c r="P17" s="100">
        <f t="array" ref="P17">INDEX(O5:S5,MATCH(P16,O5:S5,1))</f>
        <v>0</v>
      </c>
      <c r="Q17" s="73" t="s">
        <v>181</v>
      </c>
      <c r="R17" s="88">
        <f>MATCH(MAX(N6:N14),N6:N14,1)</f>
        <v>9</v>
      </c>
      <c r="T17" s="2"/>
      <c r="U17" s="2"/>
      <c r="V17" s="2"/>
      <c r="W17" s="73"/>
      <c r="X17" s="100"/>
      <c r="Y17" s="73"/>
      <c r="Z17" s="73"/>
      <c r="AB17" s="73" t="s">
        <v>238</v>
      </c>
      <c r="AC17" s="100">
        <f t="array" ref="AC17">INDEX(AB5:AF5,MATCH(AC16,AB5:AF5,1))</f>
        <v>0</v>
      </c>
      <c r="AD17" s="73" t="s">
        <v>181</v>
      </c>
      <c r="AE17" s="88">
        <f>MATCH(MAX(AA6:AA14),AA6:AA14,1)</f>
        <v>9</v>
      </c>
      <c r="AG17" s="2"/>
      <c r="AH17" s="2"/>
      <c r="AI17" s="2"/>
      <c r="AJ17" s="73"/>
      <c r="AK17" s="100"/>
      <c r="AL17" s="73"/>
      <c r="AM17" s="2"/>
      <c r="AN17" s="2"/>
      <c r="AO17" s="2"/>
      <c r="AP17" s="73"/>
      <c r="AQ17" s="100"/>
      <c r="AR17" s="73"/>
      <c r="AS17" s="88"/>
      <c r="AU17" s="2"/>
      <c r="AV17" s="2"/>
      <c r="AW17" s="2"/>
      <c r="AX17" s="73"/>
      <c r="AY17" s="100"/>
      <c r="AZ17" s="73"/>
      <c r="BA17" s="88"/>
    </row>
    <row r="18" spans="1:53" ht="15" customHeight="1">
      <c r="B18" s="73" t="s">
        <v>239</v>
      </c>
      <c r="C18" s="100">
        <f t="array" ref="C18">INDEX(B5:F5,IF(MATCH(C16,B5:F5,1)&lt;E18,MATCH(C16,B5:F5,1)+1,MATCH(C16,B5:F5,1)))</f>
        <v>1000</v>
      </c>
      <c r="D18" s="73" t="s">
        <v>182</v>
      </c>
      <c r="E18" s="88">
        <f>MATCH(MAX(B5:F5),B5:F5,0)</f>
        <v>5</v>
      </c>
      <c r="G18" s="2"/>
      <c r="H18" s="2"/>
      <c r="I18" s="2"/>
      <c r="J18" s="73"/>
      <c r="K18" s="100"/>
      <c r="L18" s="73"/>
      <c r="M18" s="88"/>
      <c r="O18" s="73" t="s">
        <v>239</v>
      </c>
      <c r="P18" s="100">
        <f t="array" ref="P18">INDEX(O5:S5,IF(MATCH(P16,O5:S5,1)&lt;R18,MATCH(P16,O5:S5,1)+1,MATCH(P16,O5:S5,1)))</f>
        <v>1000</v>
      </c>
      <c r="Q18" s="73" t="s">
        <v>182</v>
      </c>
      <c r="R18" s="88">
        <f>MATCH(MAX(O5:S5),O5:S5,0)</f>
        <v>5</v>
      </c>
      <c r="T18" s="2"/>
      <c r="U18" s="2"/>
      <c r="V18" s="2"/>
      <c r="W18" s="73"/>
      <c r="X18" s="100"/>
      <c r="Y18" s="73"/>
      <c r="Z18" s="73"/>
      <c r="AB18" s="73" t="s">
        <v>239</v>
      </c>
      <c r="AC18" s="100">
        <f t="array" ref="AC18">INDEX(AB5:AF5,IF(MATCH(AC16,AB5:AF5,1)&lt;AE18,MATCH(AC16,AB5:AF5,1)+1,MATCH(AC16,AB5:AF5,1)))</f>
        <v>1000</v>
      </c>
      <c r="AD18" s="73" t="s">
        <v>182</v>
      </c>
      <c r="AE18" s="88">
        <f>MATCH(MAX(AB5:AF5),AB5:AF5,0)</f>
        <v>5</v>
      </c>
      <c r="AG18" s="2"/>
      <c r="AH18" s="2"/>
      <c r="AI18" s="2"/>
      <c r="AJ18" s="73"/>
      <c r="AK18" s="100"/>
      <c r="AL18" s="73"/>
      <c r="AM18" s="2"/>
      <c r="AN18" s="2"/>
      <c r="AO18" s="2"/>
      <c r="AP18" s="73"/>
      <c r="AQ18" s="100"/>
      <c r="AR18" s="73"/>
      <c r="AS18" s="88"/>
      <c r="AU18" s="2"/>
      <c r="AV18" s="2"/>
      <c r="AW18" s="2"/>
      <c r="AX18" s="73"/>
      <c r="AY18" s="100"/>
      <c r="AZ18" s="73"/>
      <c r="BA18" s="88"/>
    </row>
    <row r="19" spans="1:53" ht="15" customHeight="1">
      <c r="B19" s="96" t="s">
        <v>184</v>
      </c>
      <c r="C19" s="155">
        <f>D2</f>
        <v>-2</v>
      </c>
      <c r="D19" s="2"/>
      <c r="E19" s="2"/>
      <c r="G19" s="2"/>
      <c r="H19" s="2"/>
      <c r="I19" s="2"/>
      <c r="J19" s="98"/>
      <c r="K19" s="155"/>
      <c r="L19" s="2"/>
      <c r="M19" s="2"/>
      <c r="O19" s="96" t="s">
        <v>184</v>
      </c>
      <c r="P19" s="155">
        <f>D2</f>
        <v>-2</v>
      </c>
      <c r="Q19" s="2"/>
      <c r="R19" s="2"/>
      <c r="T19" s="2"/>
      <c r="U19" s="2"/>
      <c r="V19" s="2"/>
      <c r="W19" s="98"/>
      <c r="X19" s="155"/>
      <c r="Y19" s="2"/>
      <c r="Z19" s="98"/>
      <c r="AB19" s="96" t="s">
        <v>184</v>
      </c>
      <c r="AC19" s="155">
        <f>D2</f>
        <v>-2</v>
      </c>
      <c r="AD19" s="2"/>
      <c r="AE19" s="2"/>
      <c r="AG19" s="2"/>
      <c r="AH19" s="2"/>
      <c r="AI19" s="2"/>
      <c r="AJ19" s="98"/>
      <c r="AK19" s="155"/>
      <c r="AL19" s="2"/>
      <c r="AM19" s="2"/>
      <c r="AN19" s="2"/>
      <c r="AO19" s="2"/>
      <c r="AP19" s="98"/>
      <c r="AQ19" s="155"/>
      <c r="AR19" s="2"/>
      <c r="AS19" s="2"/>
      <c r="AU19" s="2"/>
      <c r="AV19" s="2"/>
      <c r="AW19" s="2"/>
      <c r="AX19" s="98"/>
      <c r="AY19" s="155"/>
      <c r="AZ19" s="2"/>
      <c r="BA19" s="2"/>
    </row>
    <row r="20" spans="1:53" ht="15" customHeight="1">
      <c r="B20" s="73" t="s">
        <v>185</v>
      </c>
      <c r="C20" s="100">
        <f t="array" ref="C20">INDEX(A6:A14,MATCH(C19,A6:A14,1))</f>
        <v>-10</v>
      </c>
      <c r="D20" s="2"/>
      <c r="E20" s="92"/>
      <c r="G20" s="2"/>
      <c r="H20" s="2"/>
      <c r="I20" s="2"/>
      <c r="J20" s="73"/>
      <c r="K20" s="100"/>
      <c r="L20" s="2"/>
      <c r="M20" s="92"/>
      <c r="O20" s="73" t="s">
        <v>185</v>
      </c>
      <c r="P20" s="100">
        <f t="array" ref="P20">INDEX(N6:N14,MATCH(P19,N6:N14,1))</f>
        <v>-10</v>
      </c>
      <c r="Q20" s="2"/>
      <c r="R20" s="92"/>
      <c r="T20" s="2"/>
      <c r="U20" s="2"/>
      <c r="V20" s="2"/>
      <c r="W20" s="73"/>
      <c r="X20" s="100"/>
      <c r="Y20" s="2"/>
      <c r="Z20" s="73"/>
      <c r="AB20" s="73" t="s">
        <v>185</v>
      </c>
      <c r="AC20" s="100">
        <f t="array" ref="AC20">INDEX(AA6:AA14,MATCH(AC19,AA6:AA14,1))</f>
        <v>-10</v>
      </c>
      <c r="AD20" s="2"/>
      <c r="AE20" s="92"/>
      <c r="AG20" s="2"/>
      <c r="AH20" s="2"/>
      <c r="AI20" s="2"/>
      <c r="AJ20" s="73"/>
      <c r="AK20" s="100"/>
      <c r="AL20" s="2"/>
      <c r="AM20" s="2"/>
      <c r="AN20" s="2"/>
      <c r="AO20" s="2"/>
      <c r="AP20" s="73"/>
      <c r="AQ20" s="100"/>
      <c r="AR20" s="2"/>
      <c r="AS20" s="92"/>
      <c r="AU20" s="2"/>
      <c r="AV20" s="2"/>
      <c r="AW20" s="2"/>
      <c r="AX20" s="73"/>
      <c r="AY20" s="100"/>
      <c r="AZ20" s="2"/>
      <c r="BA20" s="92"/>
    </row>
    <row r="21" spans="1:53" ht="15" customHeight="1">
      <c r="B21" s="73" t="s">
        <v>186</v>
      </c>
      <c r="C21" s="100">
        <f t="array" ref="C21">INDEX(A6:A14,IF(MATCH(C19,A6:A14,1)&lt;E17,MATCH(C19,A6:A14,1)+1,MATCH(C19,A6:A14,1)))</f>
        <v>0</v>
      </c>
      <c r="D21" s="2"/>
      <c r="E21" s="92"/>
      <c r="G21" s="2"/>
      <c r="H21" s="2"/>
      <c r="I21" s="2"/>
      <c r="J21" s="73"/>
      <c r="K21" s="100"/>
      <c r="L21" s="2"/>
      <c r="M21" s="92"/>
      <c r="O21" s="73" t="s">
        <v>186</v>
      </c>
      <c r="P21" s="100">
        <f t="array" ref="P21">INDEX(N6:N14,IF(MATCH(P19,N6:N14,1)&lt;R17,MATCH(P19,N6:N14,1)+1,MATCH(P19,N6:N14,1)))</f>
        <v>0</v>
      </c>
      <c r="Q21" s="2"/>
      <c r="R21" s="92"/>
      <c r="T21" s="2"/>
      <c r="U21" s="2"/>
      <c r="V21" s="2"/>
      <c r="W21" s="73"/>
      <c r="X21" s="100"/>
      <c r="Y21" s="2"/>
      <c r="Z21" s="73"/>
      <c r="AB21" s="73" t="s">
        <v>186</v>
      </c>
      <c r="AC21" s="100">
        <f t="array" ref="AC21">INDEX(AA6:AA14,IF(MATCH(AC19,AA6:AA14,1)&lt;AE17,MATCH(AC19,AA6:AA14,1)+1,MATCH(AC19,AA6:AA14,1)))</f>
        <v>0</v>
      </c>
      <c r="AD21" s="2"/>
      <c r="AE21" s="92"/>
      <c r="AG21" s="2"/>
      <c r="AH21" s="2"/>
      <c r="AI21" s="2"/>
      <c r="AJ21" s="73"/>
      <c r="AK21" s="100"/>
      <c r="AL21" s="2"/>
      <c r="AM21" s="2"/>
      <c r="AN21" s="2"/>
      <c r="AO21" s="2"/>
      <c r="AP21" s="73"/>
      <c r="AQ21" s="100"/>
      <c r="AR21" s="2"/>
      <c r="AS21" s="92"/>
      <c r="AU21" s="2"/>
      <c r="AV21" s="2"/>
      <c r="AW21" s="2"/>
      <c r="AX21" s="73"/>
      <c r="AY21" s="100"/>
      <c r="AZ21" s="2"/>
      <c r="BA21" s="92"/>
    </row>
    <row r="22" spans="1:53" ht="15" customHeight="1">
      <c r="B22" s="98" t="s">
        <v>187</v>
      </c>
      <c r="C22" s="97">
        <f t="array" ref="C22">INDEX(B6:F14,MATCH(C19,A6:A14,1),MATCH(C16,B5:F5,1))</f>
        <v>1550</v>
      </c>
      <c r="D22" s="2"/>
      <c r="E22" s="92"/>
      <c r="G22" s="2"/>
      <c r="H22" s="2"/>
      <c r="I22" s="2"/>
      <c r="J22" s="98"/>
      <c r="K22" s="97"/>
      <c r="L22" s="2"/>
      <c r="M22" s="92"/>
      <c r="O22" s="98" t="s">
        <v>187</v>
      </c>
      <c r="P22" s="97">
        <f t="array" ref="P22">INDEX(O6:S14,MATCH(P19,N6:N14,1),MATCH(P16,O5:S5,1))</f>
        <v>0</v>
      </c>
      <c r="Q22" s="2"/>
      <c r="R22" s="92"/>
      <c r="T22" s="2"/>
      <c r="U22" s="2"/>
      <c r="V22" s="2"/>
      <c r="W22" s="98"/>
      <c r="X22" s="97"/>
      <c r="Y22" s="2"/>
      <c r="Z22" s="98"/>
      <c r="AB22" s="98" t="s">
        <v>187</v>
      </c>
      <c r="AC22" s="97">
        <f t="array" ref="AC22">INDEX(AB6:AF14,MATCH(AC19,AA6:AA14,1),MATCH(AC16,AB5:AF5,1))</f>
        <v>0</v>
      </c>
      <c r="AD22" s="2"/>
      <c r="AE22" s="92"/>
      <c r="AG22" s="2"/>
      <c r="AH22" s="2"/>
      <c r="AI22" s="2"/>
      <c r="AJ22" s="98"/>
      <c r="AK22" s="97"/>
      <c r="AL22" s="2"/>
      <c r="AM22" s="2"/>
      <c r="AN22" s="2"/>
      <c r="AO22" s="2"/>
      <c r="AP22" s="98"/>
      <c r="AQ22" s="97"/>
      <c r="AR22" s="2"/>
      <c r="AS22" s="92"/>
      <c r="AU22" s="2"/>
      <c r="AV22" s="2"/>
      <c r="AW22" s="2"/>
      <c r="AX22" s="98"/>
      <c r="AY22" s="97"/>
      <c r="AZ22" s="2"/>
      <c r="BA22" s="92"/>
    </row>
    <row r="23" spans="1:53" ht="15" customHeight="1">
      <c r="B23" s="98" t="s">
        <v>240</v>
      </c>
      <c r="C23" s="97">
        <f t="array" ref="C23">INDEX(B6:F14,MATCH(C19,A6:A14,1),IF(MATCH(C16,B5:F5,1)&lt;E18,MATCH(C16,B5:F5,1)+1,MATCH(C19,A6:A14,1)))</f>
        <v>1600</v>
      </c>
      <c r="E23" s="92"/>
      <c r="G23" s="2"/>
      <c r="H23" s="2"/>
      <c r="I23" s="2"/>
      <c r="J23" s="98"/>
      <c r="K23" s="97"/>
      <c r="M23" s="92"/>
      <c r="O23" s="98" t="s">
        <v>240</v>
      </c>
      <c r="P23" s="97">
        <f t="array" ref="P23">INDEX(O6:S14,MATCH(P19,N6:N14,1),IF(MATCH(P16,O5:S5,1)&lt;R18,MATCH(P16,O5:S5,1)+1,MATCH(P19,N6:N14,1)))</f>
        <v>0</v>
      </c>
      <c r="R23" s="92"/>
      <c r="T23" s="2"/>
      <c r="U23" s="2"/>
      <c r="V23" s="2"/>
      <c r="W23" s="98"/>
      <c r="X23" s="97"/>
      <c r="Z23" s="98"/>
      <c r="AB23" s="98" t="s">
        <v>240</v>
      </c>
      <c r="AC23" s="97">
        <f t="array" ref="AC23">INDEX(AB6:AF14,MATCH(AC19,AA6:AA14,1),IF(MATCH(AC16,AB5:AF5,1)&lt;AE18,MATCH(AC16,AB5:AF5,1)+1,MATCH(AC19,AA6:AA14,1)))</f>
        <v>0</v>
      </c>
      <c r="AE23" s="92"/>
      <c r="AG23" s="2"/>
      <c r="AH23" s="2"/>
      <c r="AI23" s="2"/>
      <c r="AJ23" s="98"/>
      <c r="AK23" s="97"/>
      <c r="AM23" s="2"/>
      <c r="AN23" s="2"/>
      <c r="AO23" s="2"/>
      <c r="AP23" s="98"/>
      <c r="AQ23" s="97"/>
      <c r="AS23" s="92"/>
      <c r="AU23" s="2"/>
      <c r="AV23" s="2"/>
      <c r="AW23" s="2"/>
      <c r="AX23" s="98"/>
      <c r="AY23" s="97"/>
      <c r="BA23" s="92"/>
    </row>
    <row r="24" spans="1:53" ht="15" customHeight="1">
      <c r="B24" s="98" t="s">
        <v>188</v>
      </c>
      <c r="C24" s="97">
        <f t="array" ref="C24">INDEX(B6:F14,IF(MATCH(C19,A6:A14,1)&lt;E17,MATCH(C19,A6:A14,1)+1,MATCH(C19,A6:A14,1)),MATCH(C16,B5:F5,1))</f>
        <v>1610</v>
      </c>
      <c r="E24" s="92"/>
      <c r="G24" s="2"/>
      <c r="H24" s="2"/>
      <c r="I24" s="2"/>
      <c r="J24" s="98"/>
      <c r="K24" s="97"/>
      <c r="M24" s="92"/>
      <c r="O24" s="98" t="s">
        <v>188</v>
      </c>
      <c r="P24" s="97">
        <f t="array" ref="P24">INDEX(O6:S14,IF(MATCH(P19,N6:N14,1)&lt;R17,MATCH(P19,N6:N14,1)+1,MATCH(P19,N6:N14,1)),MATCH(P16,O5:S5,1))</f>
        <v>0</v>
      </c>
      <c r="R24" s="92"/>
      <c r="T24" s="2"/>
      <c r="U24" s="2"/>
      <c r="V24" s="2"/>
      <c r="W24" s="98"/>
      <c r="X24" s="97"/>
      <c r="Z24" s="98"/>
      <c r="AB24" s="98" t="s">
        <v>188</v>
      </c>
      <c r="AC24" s="97">
        <f t="array" ref="AC24">INDEX(AB6:AF14,IF(MATCH(AC19,AA6:AA14,1)&lt;AE17,MATCH(AC19,AA6:AA14,1)+1,MATCH(AC19,AA6:AA14,1)),MATCH(AC16,AB5:AF5,1))</f>
        <v>0</v>
      </c>
      <c r="AE24" s="92"/>
      <c r="AG24" s="2"/>
      <c r="AH24" s="2"/>
      <c r="AI24" s="2"/>
      <c r="AJ24" s="98"/>
      <c r="AK24" s="97"/>
      <c r="AM24" s="2"/>
      <c r="AN24" s="2"/>
      <c r="AO24" s="2"/>
      <c r="AP24" s="98"/>
      <c r="AQ24" s="97"/>
      <c r="AS24" s="92"/>
      <c r="AU24" s="2"/>
      <c r="AV24" s="2"/>
      <c r="AW24" s="2"/>
      <c r="AX24" s="98"/>
      <c r="AY24" s="97"/>
      <c r="BA24" s="92"/>
    </row>
    <row r="25" spans="1:53" ht="15" customHeight="1">
      <c r="B25" s="98" t="s">
        <v>241</v>
      </c>
      <c r="C25" s="97">
        <f t="array" ref="C25">INDEX(B6:F14,IF(MATCH(C19,A6:A14,1)&lt;E17,MATCH(C19,A6:A14,1)+1,MATCH(C19,A6:A14,1)),IF(MATCH(C16,B5:F5,1)&lt;E18,MATCH(C16,B5:F5,1)+1,MATCH(C16,B5:F5,1)))</f>
        <v>1700</v>
      </c>
      <c r="G25" s="2"/>
      <c r="H25" s="2"/>
      <c r="I25" s="2"/>
      <c r="J25" s="98"/>
      <c r="K25" s="97"/>
      <c r="O25" s="98" t="s">
        <v>241</v>
      </c>
      <c r="P25" s="97">
        <f t="array" ref="P25">INDEX(O6:S14,IF(MATCH(P19,N6:N14,1)&lt;R17,MATCH(P19,N6:N14,1)+1,MATCH(P19,N6:N14,1)),IF(MATCH(P16,O5:S5,1)&lt;R18,MATCH(P16,O5:S5,1)+1,MATCH(P16,O5:S5,1)))</f>
        <v>0</v>
      </c>
      <c r="T25" s="2"/>
      <c r="U25" s="2"/>
      <c r="V25" s="2"/>
      <c r="W25" s="98"/>
      <c r="X25" s="97"/>
      <c r="Z25" s="98"/>
      <c r="AB25" s="98" t="s">
        <v>241</v>
      </c>
      <c r="AC25" s="97">
        <f t="array" ref="AC25">INDEX(AB6:AF14,IF(MATCH(AC19,AA6:AA14,1)&lt;AE17,MATCH(AC19,AA6:AA14,1)+1,MATCH(AC19,AA6:AA14,1)),IF(MATCH(AC16,AB5:AF5,1)&lt;AE18,MATCH(AC16,AB5:AF5,1)+1,MATCH(AC16,AB5:AF5,1)))</f>
        <v>0</v>
      </c>
      <c r="AG25" s="2"/>
      <c r="AH25" s="2"/>
      <c r="AI25" s="2"/>
      <c r="AJ25" s="98"/>
      <c r="AK25" s="97"/>
      <c r="AM25" s="2"/>
      <c r="AN25" s="2"/>
      <c r="AO25" s="2"/>
      <c r="AP25" s="98"/>
      <c r="AQ25" s="97"/>
      <c r="AU25" s="2"/>
      <c r="AV25" s="2"/>
      <c r="AW25" s="2"/>
      <c r="AX25" s="98"/>
      <c r="AY25" s="97"/>
    </row>
    <row r="26" spans="1:53" ht="15" customHeight="1">
      <c r="B26" s="73" t="s">
        <v>242</v>
      </c>
      <c r="C26" s="100">
        <f>IFERROR(C22+(C16-C17)*(C23-C22)/(C18-C17),C22)</f>
        <v>1550</v>
      </c>
      <c r="G26" s="2"/>
      <c r="H26" s="2"/>
      <c r="I26" s="2"/>
      <c r="J26" s="73"/>
      <c r="K26" s="100"/>
      <c r="O26" s="73" t="s">
        <v>242</v>
      </c>
      <c r="P26" s="100">
        <f>IFERROR(P22+(P16-P17)*(P23-P22)/(P18-P17),P22)</f>
        <v>0</v>
      </c>
      <c r="T26" s="2"/>
      <c r="U26" s="2"/>
      <c r="V26" s="2"/>
      <c r="W26" s="73"/>
      <c r="X26" s="100"/>
      <c r="Z26" s="73"/>
      <c r="AB26" s="73" t="s">
        <v>242</v>
      </c>
      <c r="AC26" s="100">
        <f>IFERROR(AC22+(AC16-AC17)*(AC23-AC22)/(AC18-AC17),AC22)</f>
        <v>0</v>
      </c>
      <c r="AG26" s="2"/>
      <c r="AH26" s="2"/>
      <c r="AI26" s="2"/>
      <c r="AJ26" s="73"/>
      <c r="AK26" s="100"/>
      <c r="AM26" s="2"/>
      <c r="AN26" s="2"/>
      <c r="AO26" s="2"/>
      <c r="AP26" s="73"/>
      <c r="AQ26" s="100"/>
      <c r="AU26" s="2"/>
      <c r="AV26" s="2"/>
      <c r="AW26" s="2"/>
      <c r="AX26" s="73"/>
      <c r="AY26" s="100"/>
    </row>
    <row r="27" spans="1:53" ht="15" customHeight="1">
      <c r="B27" s="73" t="s">
        <v>243</v>
      </c>
      <c r="C27" s="100">
        <f>IFERROR(C24+(C16-C17)*(C25-C24)/(C18-C17),C24)</f>
        <v>1610</v>
      </c>
      <c r="G27" s="2"/>
      <c r="H27" s="2"/>
      <c r="I27" s="2"/>
      <c r="J27" s="73"/>
      <c r="K27" s="100"/>
      <c r="O27" s="73" t="s">
        <v>243</v>
      </c>
      <c r="P27" s="100">
        <f>IFERROR(P24+(P16-P17)*(P25-P24)/(P18-P17),P24)</f>
        <v>0</v>
      </c>
      <c r="T27" s="2"/>
      <c r="U27" s="2"/>
      <c r="V27" s="2"/>
      <c r="W27" s="73"/>
      <c r="X27" s="100"/>
      <c r="Z27" s="73"/>
      <c r="AB27" s="73" t="s">
        <v>243</v>
      </c>
      <c r="AC27" s="100">
        <f>IFERROR(AC24+(AC16-AC17)*(AC25-AC24)/(AC18-AC17),AC24)</f>
        <v>0</v>
      </c>
      <c r="AG27" s="2"/>
      <c r="AH27" s="2"/>
      <c r="AI27" s="2"/>
      <c r="AJ27" s="73"/>
      <c r="AK27" s="100"/>
      <c r="AM27" s="2"/>
      <c r="AN27" s="2"/>
      <c r="AO27" s="2"/>
      <c r="AP27" s="73"/>
      <c r="AQ27" s="100"/>
      <c r="AU27" s="2"/>
      <c r="AV27" s="2"/>
      <c r="AW27" s="2"/>
      <c r="AX27" s="73"/>
      <c r="AY27" s="100"/>
    </row>
    <row r="28" spans="1:53" ht="15" customHeight="1">
      <c r="B28" s="98" t="s">
        <v>244</v>
      </c>
      <c r="C28" s="97">
        <f>IFERROR(C26+(C19-C20)*(C27-C26)/(C21-C20),C26)</f>
        <v>1598</v>
      </c>
      <c r="G28" s="2"/>
      <c r="H28" s="2"/>
      <c r="I28" s="2"/>
      <c r="J28" s="98"/>
      <c r="K28" s="97"/>
      <c r="O28" s="98" t="s">
        <v>244</v>
      </c>
      <c r="P28" s="97">
        <f>IFERROR(P26+(P19-P20)*(P27-P26)/(P21-P20),P26)</f>
        <v>0</v>
      </c>
      <c r="T28" s="2"/>
      <c r="U28" s="2"/>
      <c r="V28" s="2"/>
      <c r="W28" s="98"/>
      <c r="X28" s="97"/>
      <c r="Z28" s="98"/>
      <c r="AB28" s="98" t="s">
        <v>244</v>
      </c>
      <c r="AC28" s="97">
        <f>IFERROR(AC26+(AC19-AC20)*(AC27-AC26)/(AC21-AC20),AC26)</f>
        <v>0</v>
      </c>
      <c r="AG28" s="2"/>
      <c r="AH28" s="2"/>
      <c r="AI28" s="2"/>
      <c r="AJ28" s="98"/>
      <c r="AK28" s="97"/>
      <c r="AM28" s="2"/>
      <c r="AN28" s="2"/>
      <c r="AO28" s="2"/>
      <c r="AP28" s="98"/>
      <c r="AQ28" s="97"/>
      <c r="AU28" s="2"/>
      <c r="AV28" s="2"/>
      <c r="AW28" s="2"/>
      <c r="AX28" s="98"/>
      <c r="AY28" s="97"/>
    </row>
    <row r="29" spans="1:53" ht="15.75" customHeight="1"/>
    <row r="30" spans="1:53" ht="15" customHeight="1">
      <c r="A30" s="12"/>
      <c r="B30" s="251" t="s">
        <v>245</v>
      </c>
      <c r="C30" s="262"/>
      <c r="D30" s="262"/>
      <c r="E30" s="262"/>
      <c r="F30" s="262"/>
      <c r="G30" s="262"/>
      <c r="H30" s="82"/>
      <c r="I30" s="82"/>
      <c r="J30" s="82"/>
      <c r="K30" s="82"/>
      <c r="L30" s="82"/>
      <c r="M30" s="82"/>
      <c r="N30" s="12"/>
      <c r="O30" s="251" t="s">
        <v>245</v>
      </c>
      <c r="P30" s="262"/>
      <c r="Q30" s="262"/>
      <c r="R30" s="262"/>
      <c r="S30" s="262"/>
      <c r="T30" s="262"/>
      <c r="U30" s="82"/>
      <c r="V30" s="82"/>
      <c r="W30" s="82"/>
      <c r="X30" s="82"/>
      <c r="Y30" s="82"/>
      <c r="AA30" s="12"/>
      <c r="AB30" s="251" t="s">
        <v>245</v>
      </c>
      <c r="AC30" s="262"/>
      <c r="AD30" s="262"/>
      <c r="AE30" s="262"/>
      <c r="AF30" s="262"/>
      <c r="AG30" s="262"/>
      <c r="AH30" s="82"/>
      <c r="AI30" s="82"/>
      <c r="AJ30" s="82"/>
      <c r="AK30" s="82"/>
      <c r="AL30" s="82"/>
    </row>
    <row r="31" spans="1:53" ht="15" customHeight="1">
      <c r="A31" s="12" t="s">
        <v>30</v>
      </c>
      <c r="B31" s="203">
        <v>1000</v>
      </c>
      <c r="C31" s="207">
        <v>1500</v>
      </c>
      <c r="D31" s="207">
        <v>2000</v>
      </c>
      <c r="E31" s="209">
        <v>2500</v>
      </c>
      <c r="F31" s="209">
        <v>3000</v>
      </c>
      <c r="G31" s="192">
        <v>3500</v>
      </c>
      <c r="H31" s="12"/>
      <c r="I31" s="12"/>
      <c r="J31" s="12"/>
      <c r="K31" s="12"/>
      <c r="L31" s="12"/>
      <c r="M31" s="12"/>
      <c r="N31" s="12"/>
      <c r="O31" s="12" t="s">
        <v>30</v>
      </c>
      <c r="P31" s="203">
        <v>1900</v>
      </c>
      <c r="Q31" s="207">
        <v>2350</v>
      </c>
      <c r="R31" s="209">
        <v>2850</v>
      </c>
      <c r="S31" s="209">
        <v>3350</v>
      </c>
      <c r="T31" s="192">
        <v>4500</v>
      </c>
      <c r="U31" s="12"/>
      <c r="V31" s="12"/>
      <c r="W31" s="12"/>
      <c r="X31" s="12"/>
      <c r="Y31" s="12"/>
      <c r="AB31" s="12" t="s">
        <v>30</v>
      </c>
      <c r="AC31" s="203">
        <v>1550</v>
      </c>
      <c r="AD31" s="207">
        <v>2000</v>
      </c>
      <c r="AE31" s="209">
        <v>2500</v>
      </c>
      <c r="AF31" s="209">
        <v>3050</v>
      </c>
      <c r="AG31" s="192">
        <v>4500</v>
      </c>
      <c r="AH31" s="12"/>
      <c r="AI31" s="12"/>
      <c r="AJ31" s="12"/>
      <c r="AK31" s="12"/>
      <c r="AL31" s="12"/>
    </row>
    <row r="32" spans="1:53" ht="15" customHeight="1">
      <c r="A32" s="12">
        <v>9000</v>
      </c>
      <c r="B32" s="189">
        <v>875</v>
      </c>
      <c r="C32" s="190">
        <v>1250</v>
      </c>
      <c r="D32" s="190">
        <v>1600</v>
      </c>
      <c r="E32" s="191">
        <v>1890</v>
      </c>
      <c r="F32" s="191">
        <v>2150</v>
      </c>
      <c r="G32" s="192">
        <v>99999</v>
      </c>
      <c r="H32" s="12"/>
      <c r="I32" s="12"/>
      <c r="J32" s="12"/>
      <c r="K32" s="12"/>
      <c r="L32" s="12"/>
      <c r="M32" s="12"/>
      <c r="N32" s="12"/>
      <c r="O32" s="12">
        <v>10000</v>
      </c>
      <c r="P32" s="189"/>
      <c r="Q32" s="190"/>
      <c r="R32" s="191"/>
      <c r="S32" s="191"/>
      <c r="T32" s="192">
        <v>99999</v>
      </c>
      <c r="U32" s="12"/>
      <c r="V32" s="12"/>
      <c r="W32" s="12"/>
      <c r="X32" s="12"/>
      <c r="Y32" s="12"/>
      <c r="AB32" s="12">
        <v>9000</v>
      </c>
      <c r="AC32" s="189"/>
      <c r="AD32" s="190"/>
      <c r="AE32" s="191"/>
      <c r="AF32" s="191"/>
      <c r="AG32" s="192">
        <v>99999</v>
      </c>
      <c r="AH32" s="12"/>
      <c r="AI32" s="12"/>
      <c r="AJ32" s="12"/>
      <c r="AK32" s="12"/>
      <c r="AL32" s="12"/>
    </row>
    <row r="33" spans="1:38" ht="15" customHeight="1">
      <c r="A33" s="12">
        <v>9500</v>
      </c>
      <c r="B33" s="340">
        <v>890</v>
      </c>
      <c r="C33" s="182">
        <v>1300</v>
      </c>
      <c r="D33" s="182">
        <v>1650</v>
      </c>
      <c r="E33" s="12">
        <v>1950</v>
      </c>
      <c r="F33" s="12">
        <v>2250</v>
      </c>
      <c r="G33" s="339">
        <v>99999</v>
      </c>
      <c r="H33" s="12"/>
      <c r="I33" s="12"/>
      <c r="J33" s="12"/>
      <c r="K33" s="12"/>
      <c r="L33" s="12"/>
      <c r="M33" s="12"/>
      <c r="N33" s="12"/>
      <c r="O33" s="12">
        <v>11000</v>
      </c>
      <c r="P33" s="340"/>
      <c r="Q33" s="182"/>
      <c r="R33" s="12"/>
      <c r="S33" s="12"/>
      <c r="T33" s="339">
        <v>99999</v>
      </c>
      <c r="U33" s="12"/>
      <c r="V33" s="12"/>
      <c r="W33" s="12"/>
      <c r="X33" s="12"/>
      <c r="Y33" s="12"/>
      <c r="AB33" s="12">
        <v>9500</v>
      </c>
      <c r="AC33" s="340"/>
      <c r="AD33" s="182"/>
      <c r="AE33" s="12"/>
      <c r="AF33" s="12"/>
      <c r="AG33" s="339">
        <v>99999</v>
      </c>
      <c r="AH33" s="12"/>
      <c r="AI33" s="12"/>
      <c r="AJ33" s="12"/>
      <c r="AK33" s="12"/>
      <c r="AL33" s="12"/>
    </row>
    <row r="34" spans="1:38" ht="15" customHeight="1">
      <c r="A34" s="12">
        <v>10000</v>
      </c>
      <c r="B34" s="340">
        <v>900</v>
      </c>
      <c r="C34" s="182">
        <v>1330</v>
      </c>
      <c r="D34" s="182">
        <v>1700</v>
      </c>
      <c r="E34" s="12">
        <v>2050</v>
      </c>
      <c r="F34" s="12">
        <v>2350</v>
      </c>
      <c r="G34" s="339">
        <v>99999</v>
      </c>
      <c r="H34" s="12"/>
      <c r="I34" s="12"/>
      <c r="J34" s="12"/>
      <c r="K34" s="12"/>
      <c r="L34" s="12"/>
      <c r="M34" s="12"/>
      <c r="N34" s="12"/>
      <c r="O34" s="12">
        <v>12000</v>
      </c>
      <c r="P34" s="340"/>
      <c r="Q34" s="182"/>
      <c r="R34" s="12"/>
      <c r="S34" s="12"/>
      <c r="T34" s="339">
        <v>99999</v>
      </c>
      <c r="U34" s="12"/>
      <c r="V34" s="12"/>
      <c r="W34" s="12"/>
      <c r="X34" s="12"/>
      <c r="Y34" s="12"/>
      <c r="AB34" s="12">
        <v>10000</v>
      </c>
      <c r="AC34" s="340"/>
      <c r="AD34" s="182"/>
      <c r="AE34" s="12"/>
      <c r="AF34" s="12"/>
      <c r="AG34" s="339">
        <v>99999</v>
      </c>
      <c r="AH34" s="12"/>
      <c r="AI34" s="12"/>
      <c r="AJ34" s="12"/>
      <c r="AK34" s="12"/>
      <c r="AL34" s="12"/>
    </row>
    <row r="35" spans="1:38" ht="15" customHeight="1">
      <c r="A35" s="12">
        <v>10500</v>
      </c>
      <c r="B35" s="340">
        <v>910</v>
      </c>
      <c r="C35" s="182">
        <v>1360</v>
      </c>
      <c r="D35" s="182">
        <v>1775</v>
      </c>
      <c r="E35" s="12">
        <v>2150</v>
      </c>
      <c r="F35" s="12">
        <v>2450</v>
      </c>
      <c r="G35" s="339">
        <v>99999</v>
      </c>
      <c r="H35" s="12"/>
      <c r="I35" s="12"/>
      <c r="J35" s="12"/>
      <c r="K35" s="12"/>
      <c r="L35" s="12"/>
      <c r="M35" s="12"/>
      <c r="N35" s="12"/>
      <c r="O35" s="12">
        <v>13000</v>
      </c>
      <c r="P35" s="340"/>
      <c r="Q35" s="182"/>
      <c r="R35" s="12"/>
      <c r="S35" s="12"/>
      <c r="T35" s="339">
        <v>99999</v>
      </c>
      <c r="U35" s="12"/>
      <c r="V35" s="12"/>
      <c r="W35" s="12"/>
      <c r="X35" s="12"/>
      <c r="Y35" s="12"/>
      <c r="AB35" s="12">
        <v>10500</v>
      </c>
      <c r="AC35" s="340"/>
      <c r="AD35" s="182"/>
      <c r="AE35" s="12"/>
      <c r="AF35" s="12"/>
      <c r="AG35" s="339">
        <v>99999</v>
      </c>
      <c r="AH35" s="12"/>
      <c r="AI35" s="12"/>
      <c r="AJ35" s="12"/>
      <c r="AK35" s="12"/>
      <c r="AL35" s="12"/>
    </row>
    <row r="36" spans="1:38" ht="15" customHeight="1">
      <c r="A36" s="12">
        <v>11000</v>
      </c>
      <c r="B36" s="340">
        <v>940</v>
      </c>
      <c r="C36" s="182">
        <v>1400</v>
      </c>
      <c r="D36" s="182">
        <v>1820</v>
      </c>
      <c r="E36" s="12">
        <v>2250</v>
      </c>
      <c r="F36" s="12">
        <v>2600</v>
      </c>
      <c r="G36" s="339">
        <v>99999</v>
      </c>
      <c r="H36" s="12"/>
      <c r="I36" s="12"/>
      <c r="J36" s="12"/>
      <c r="K36" s="12"/>
      <c r="L36" s="12"/>
      <c r="M36" s="12"/>
      <c r="N36" s="12"/>
      <c r="O36" s="12">
        <v>14000</v>
      </c>
      <c r="P36" s="340"/>
      <c r="Q36" s="182"/>
      <c r="R36" s="12"/>
      <c r="S36" s="12"/>
      <c r="T36" s="339">
        <v>99999</v>
      </c>
      <c r="U36" s="12"/>
      <c r="V36" s="12"/>
      <c r="W36" s="12"/>
      <c r="X36" s="12"/>
      <c r="Y36" s="12"/>
      <c r="AB36" s="12">
        <v>11000</v>
      </c>
      <c r="AC36" s="340"/>
      <c r="AD36" s="182"/>
      <c r="AE36" s="12"/>
      <c r="AF36" s="12"/>
      <c r="AG36" s="339">
        <v>99999</v>
      </c>
      <c r="AH36" s="12"/>
      <c r="AI36" s="12"/>
      <c r="AJ36" s="12"/>
      <c r="AK36" s="12"/>
      <c r="AL36" s="12"/>
    </row>
    <row r="37" spans="1:38" ht="15" customHeight="1">
      <c r="A37" s="12">
        <v>11500</v>
      </c>
      <c r="B37" s="340">
        <v>960</v>
      </c>
      <c r="C37" s="182">
        <v>1440</v>
      </c>
      <c r="D37" s="182">
        <v>1900</v>
      </c>
      <c r="E37" s="12">
        <v>2320</v>
      </c>
      <c r="F37" s="12">
        <v>2700</v>
      </c>
      <c r="G37" s="339">
        <v>99999</v>
      </c>
      <c r="H37" s="12"/>
      <c r="I37" s="12"/>
      <c r="J37" s="12"/>
      <c r="K37" s="12"/>
      <c r="L37" s="12"/>
      <c r="M37" s="12"/>
      <c r="N37" s="12"/>
      <c r="O37" s="12">
        <v>15000</v>
      </c>
      <c r="P37" s="340"/>
      <c r="Q37" s="182"/>
      <c r="R37" s="12"/>
      <c r="S37" s="12"/>
      <c r="T37" s="339">
        <v>99999</v>
      </c>
      <c r="U37" s="12"/>
      <c r="V37" s="12"/>
      <c r="W37" s="12"/>
      <c r="X37" s="12"/>
      <c r="Y37" s="12"/>
      <c r="AB37" s="12">
        <v>11500</v>
      </c>
      <c r="AC37" s="340"/>
      <c r="AD37" s="182"/>
      <c r="AE37" s="12"/>
      <c r="AF37" s="12"/>
      <c r="AG37" s="339">
        <v>99999</v>
      </c>
      <c r="AH37" s="12"/>
      <c r="AI37" s="12"/>
      <c r="AJ37" s="12"/>
      <c r="AK37" s="12"/>
      <c r="AL37" s="12"/>
    </row>
    <row r="38" spans="1:38" ht="15" customHeight="1">
      <c r="A38" s="12">
        <v>12000</v>
      </c>
      <c r="B38" s="340">
        <v>990</v>
      </c>
      <c r="C38" s="182">
        <v>1460</v>
      </c>
      <c r="D38" s="182">
        <v>1950</v>
      </c>
      <c r="E38" s="12">
        <v>2400</v>
      </c>
      <c r="F38" s="12">
        <v>2850</v>
      </c>
      <c r="G38" s="339">
        <v>99999</v>
      </c>
      <c r="H38" s="12"/>
      <c r="I38" s="12"/>
      <c r="J38" s="12"/>
      <c r="K38" s="12"/>
      <c r="L38" s="12"/>
      <c r="M38" s="12"/>
      <c r="N38" s="12"/>
      <c r="O38" s="12">
        <v>16000</v>
      </c>
      <c r="P38" s="340"/>
      <c r="Q38" s="182"/>
      <c r="R38" s="12"/>
      <c r="S38" s="12"/>
      <c r="T38" s="339">
        <v>99999</v>
      </c>
      <c r="U38" s="12"/>
      <c r="V38" s="12"/>
      <c r="W38" s="12"/>
      <c r="X38" s="12"/>
      <c r="Y38" s="12"/>
      <c r="AB38" s="12">
        <v>12000</v>
      </c>
      <c r="AC38" s="340"/>
      <c r="AD38" s="182"/>
      <c r="AE38" s="12"/>
      <c r="AF38" s="12"/>
      <c r="AG38" s="339">
        <v>99999</v>
      </c>
      <c r="AH38" s="12"/>
      <c r="AI38" s="12"/>
      <c r="AJ38" s="12"/>
      <c r="AK38" s="12"/>
      <c r="AL38" s="12"/>
    </row>
    <row r="39" spans="1:38" ht="15" customHeight="1">
      <c r="A39" s="12">
        <v>12500</v>
      </c>
      <c r="B39" s="196">
        <v>1000</v>
      </c>
      <c r="C39" s="197">
        <v>1500</v>
      </c>
      <c r="D39" s="197">
        <v>2000</v>
      </c>
      <c r="E39" s="162">
        <v>2500</v>
      </c>
      <c r="F39" s="162">
        <v>3000</v>
      </c>
      <c r="G39" s="339">
        <v>99999</v>
      </c>
      <c r="H39" s="12"/>
      <c r="I39" s="12"/>
      <c r="J39" s="12"/>
      <c r="K39" s="12"/>
      <c r="L39" s="12"/>
      <c r="M39" s="12"/>
      <c r="N39" s="12"/>
      <c r="O39" s="12">
        <v>16600</v>
      </c>
      <c r="P39" s="196"/>
      <c r="Q39" s="197"/>
      <c r="R39" s="162"/>
      <c r="S39" s="162"/>
      <c r="T39" s="339">
        <v>99999</v>
      </c>
      <c r="U39" s="12"/>
      <c r="V39" s="12"/>
      <c r="W39" s="12"/>
      <c r="X39" s="12"/>
      <c r="Y39" s="12"/>
      <c r="AB39" s="12">
        <v>12500</v>
      </c>
      <c r="AC39" s="196"/>
      <c r="AD39" s="197"/>
      <c r="AE39" s="162"/>
      <c r="AF39" s="162"/>
      <c r="AG39" s="339">
        <v>99999</v>
      </c>
      <c r="AH39" s="12"/>
      <c r="AI39" s="12"/>
      <c r="AJ39" s="12"/>
      <c r="AK39" s="12"/>
      <c r="AL39" s="12"/>
    </row>
    <row r="40" spans="1:38" ht="15" customHeight="1">
      <c r="A40" s="12">
        <v>12600</v>
      </c>
      <c r="B40" s="196">
        <v>99999</v>
      </c>
      <c r="C40" s="197">
        <v>99999</v>
      </c>
      <c r="D40" s="197">
        <v>99999</v>
      </c>
      <c r="E40" s="197">
        <v>99999</v>
      </c>
      <c r="F40" s="197">
        <v>99999</v>
      </c>
      <c r="G40" s="211">
        <v>99999</v>
      </c>
      <c r="H40" s="182"/>
      <c r="I40" s="182"/>
      <c r="J40" s="182"/>
      <c r="K40" s="182"/>
      <c r="L40" s="182"/>
      <c r="M40" s="182"/>
      <c r="N40" s="83"/>
      <c r="O40" s="12">
        <v>16700</v>
      </c>
      <c r="P40" s="196">
        <v>99999</v>
      </c>
      <c r="Q40" s="197">
        <v>99999</v>
      </c>
      <c r="R40" s="197">
        <v>99999</v>
      </c>
      <c r="S40" s="197">
        <v>99999</v>
      </c>
      <c r="T40" s="211">
        <v>99999</v>
      </c>
      <c r="U40" s="182"/>
      <c r="V40" s="182"/>
      <c r="W40" s="182"/>
      <c r="X40" s="182"/>
      <c r="Y40" s="182"/>
      <c r="AB40" s="12">
        <v>12600</v>
      </c>
      <c r="AC40" s="196">
        <v>99999</v>
      </c>
      <c r="AD40" s="197">
        <v>99999</v>
      </c>
      <c r="AE40" s="197">
        <v>99999</v>
      </c>
      <c r="AF40" s="197">
        <v>99999</v>
      </c>
      <c r="AG40" s="211">
        <v>99999</v>
      </c>
      <c r="AH40" s="182"/>
      <c r="AI40" s="182"/>
      <c r="AJ40" s="182"/>
      <c r="AK40" s="182"/>
      <c r="AL40" s="182"/>
    </row>
    <row r="41" spans="1:38" ht="15" customHeight="1">
      <c r="B41" s="98"/>
      <c r="C41" s="97"/>
      <c r="D41" s="12"/>
      <c r="E41" s="12"/>
      <c r="F41" s="12"/>
      <c r="G41" s="2"/>
      <c r="H41" s="2"/>
      <c r="I41" s="2"/>
      <c r="J41" s="98"/>
      <c r="K41" s="97"/>
      <c r="L41" s="12"/>
      <c r="M41" s="12"/>
      <c r="O41" s="98"/>
      <c r="P41" s="97"/>
      <c r="Q41" s="12"/>
      <c r="R41" s="12"/>
      <c r="S41" s="12"/>
      <c r="T41" s="2"/>
      <c r="U41" s="2"/>
      <c r="V41" s="2"/>
      <c r="W41" s="98"/>
      <c r="X41" s="97"/>
      <c r="Y41" s="12"/>
      <c r="AB41" s="98"/>
      <c r="AC41" s="97"/>
      <c r="AD41" s="12"/>
      <c r="AE41" s="12"/>
      <c r="AF41" s="12"/>
      <c r="AG41" s="2"/>
      <c r="AH41" s="2"/>
      <c r="AI41" s="2"/>
      <c r="AJ41" s="98"/>
      <c r="AK41" s="97"/>
      <c r="AL41" s="12"/>
    </row>
    <row r="42" spans="1:38" ht="15" customHeight="1">
      <c r="B42" s="98" t="s">
        <v>183</v>
      </c>
      <c r="C42" s="97">
        <f>C28</f>
        <v>1598</v>
      </c>
      <c r="D42" s="251" t="s">
        <v>237</v>
      </c>
      <c r="E42" s="262"/>
      <c r="G42" s="2"/>
      <c r="H42" s="2"/>
      <c r="I42" s="2"/>
      <c r="J42" s="98"/>
      <c r="K42" s="97"/>
      <c r="L42" s="82"/>
      <c r="O42" s="98" t="s">
        <v>183</v>
      </c>
      <c r="P42" s="97">
        <f>P28</f>
        <v>0</v>
      </c>
      <c r="Q42" s="251" t="s">
        <v>237</v>
      </c>
      <c r="R42" s="262"/>
      <c r="T42" s="2"/>
      <c r="U42" s="2"/>
      <c r="V42" s="2"/>
      <c r="W42" s="98"/>
      <c r="X42" s="97"/>
      <c r="Y42" s="82"/>
      <c r="AB42" s="98" t="s">
        <v>183</v>
      </c>
      <c r="AC42" s="97">
        <f>AC28</f>
        <v>0</v>
      </c>
      <c r="AD42" s="251" t="s">
        <v>237</v>
      </c>
      <c r="AE42" s="262"/>
      <c r="AG42" s="2"/>
      <c r="AH42" s="2"/>
      <c r="AI42" s="2"/>
      <c r="AJ42" s="98"/>
      <c r="AK42" s="97"/>
      <c r="AL42" s="82"/>
    </row>
    <row r="43" spans="1:38" ht="15" customHeight="1">
      <c r="B43" s="73" t="s">
        <v>238</v>
      </c>
      <c r="C43" s="100">
        <f t="array" ref="C43">INDEX(B31:G31,MATCH(C42,B31:G31,1))</f>
        <v>1500</v>
      </c>
      <c r="D43" s="73" t="s">
        <v>181</v>
      </c>
      <c r="E43" s="88">
        <f>MATCH(MAX(A32:A40),A32:A40,1)</f>
        <v>9</v>
      </c>
      <c r="G43" s="2"/>
      <c r="H43" s="2"/>
      <c r="I43" s="2"/>
      <c r="J43" s="73"/>
      <c r="K43" s="100"/>
      <c r="L43" s="73"/>
      <c r="M43" s="88"/>
      <c r="O43" s="73" t="s">
        <v>238</v>
      </c>
      <c r="P43" s="100" t="e">
        <f t="array" ref="P43">INDEX(P31:T31,MATCH(P42,P31:T31,1))</f>
        <v>#N/A</v>
      </c>
      <c r="Q43" s="73" t="s">
        <v>181</v>
      </c>
      <c r="R43" s="88">
        <f>MATCH(MAX(O32:O40),O32:O40,1)</f>
        <v>9</v>
      </c>
      <c r="T43" s="2"/>
      <c r="U43" s="2"/>
      <c r="V43" s="2"/>
      <c r="W43" s="73"/>
      <c r="X43" s="100"/>
      <c r="Y43" s="73"/>
      <c r="AB43" s="73" t="s">
        <v>238</v>
      </c>
      <c r="AC43" s="100" t="e">
        <f t="array" ref="AC43">INDEX(AC31:AG31,MATCH(AC42,AC31:AG31,1))</f>
        <v>#N/A</v>
      </c>
      <c r="AD43" s="73" t="s">
        <v>181</v>
      </c>
      <c r="AE43" s="88">
        <f>MATCH(MAX(AB32:AB40),AB32:AB40,1)</f>
        <v>9</v>
      </c>
      <c r="AG43" s="2"/>
      <c r="AH43" s="2"/>
      <c r="AI43" s="2"/>
      <c r="AJ43" s="73"/>
      <c r="AK43" s="100"/>
      <c r="AL43" s="73"/>
    </row>
    <row r="44" spans="1:38" ht="15" customHeight="1">
      <c r="B44" s="73" t="s">
        <v>239</v>
      </c>
      <c r="C44" s="100">
        <f t="array" ref="C44">INDEX(B31:G31,IF(MATCH(C42,B31:G31,1)&lt;E44,MATCH(C42,B31:G31,1)+1,MATCH(C42,B31:G31,1)))</f>
        <v>2000</v>
      </c>
      <c r="D44" s="73" t="s">
        <v>182</v>
      </c>
      <c r="E44" s="88">
        <f>MATCH(MAX(B31:G31),B31:G31,0)</f>
        <v>6</v>
      </c>
      <c r="G44" s="2"/>
      <c r="H44" s="2"/>
      <c r="I44" s="2"/>
      <c r="J44" s="73"/>
      <c r="K44" s="100"/>
      <c r="L44" s="73"/>
      <c r="M44" s="88"/>
      <c r="O44" s="73" t="s">
        <v>239</v>
      </c>
      <c r="P44" s="100" t="e">
        <f t="array" ref="P44">INDEX(P31:T31,IF(MATCH(P42,P31:T31,1)&lt;R44,MATCH(P42,P31:T31,1)+1,MATCH(P42,P31:T31,1)))</f>
        <v>#N/A</v>
      </c>
      <c r="Q44" s="73" t="s">
        <v>182</v>
      </c>
      <c r="R44" s="88">
        <f>MATCH(MAX(P31:T31),P31:T31,0)</f>
        <v>5</v>
      </c>
      <c r="T44" s="2"/>
      <c r="U44" s="2"/>
      <c r="V44" s="2"/>
      <c r="W44" s="73"/>
      <c r="X44" s="100"/>
      <c r="Y44" s="73"/>
      <c r="AB44" s="73" t="s">
        <v>239</v>
      </c>
      <c r="AC44" s="100" t="e">
        <f t="array" ref="AC44">INDEX(AC31:AG31,IF(MATCH(AC42,AC31:AG31,1)&lt;AE44,MATCH(AC42,AC31:AG31,1)+1,MATCH(AC42,AC31:AG31,1)))</f>
        <v>#N/A</v>
      </c>
      <c r="AD44" s="73" t="s">
        <v>182</v>
      </c>
      <c r="AE44" s="88">
        <f>MATCH(MAX(AC31:AG31),AC31:AG31,0)</f>
        <v>5</v>
      </c>
      <c r="AG44" s="2"/>
      <c r="AH44" s="2"/>
      <c r="AI44" s="2"/>
      <c r="AJ44" s="73"/>
      <c r="AK44" s="100"/>
      <c r="AL44" s="73"/>
    </row>
    <row r="45" spans="1:38" ht="15" customHeight="1">
      <c r="B45" s="96" t="s">
        <v>184</v>
      </c>
      <c r="C45" s="155">
        <f>'Take-off'!$C$14</f>
        <v>12500</v>
      </c>
      <c r="D45" s="2"/>
      <c r="E45" s="2"/>
      <c r="G45" s="2"/>
      <c r="H45" s="2"/>
      <c r="I45" s="2"/>
      <c r="J45" s="98"/>
      <c r="K45" s="155"/>
      <c r="L45" s="2"/>
      <c r="M45" s="2"/>
      <c r="O45" s="96" t="s">
        <v>184</v>
      </c>
      <c r="P45" s="155">
        <f>'Take-off'!$C$14</f>
        <v>12500</v>
      </c>
      <c r="Q45" s="2"/>
      <c r="R45" s="2"/>
      <c r="T45" s="2"/>
      <c r="U45" s="2"/>
      <c r="V45" s="2"/>
      <c r="W45" s="98"/>
      <c r="X45" s="155"/>
      <c r="Y45" s="2"/>
      <c r="AB45" s="96" t="s">
        <v>184</v>
      </c>
      <c r="AC45" s="155">
        <f>'Take-off'!$C$14</f>
        <v>12500</v>
      </c>
      <c r="AD45" s="2"/>
      <c r="AE45" s="2"/>
      <c r="AG45" s="2"/>
      <c r="AH45" s="2"/>
      <c r="AI45" s="2"/>
      <c r="AJ45" s="98"/>
      <c r="AK45" s="155"/>
      <c r="AL45" s="2"/>
    </row>
    <row r="46" spans="1:38" ht="15" customHeight="1">
      <c r="B46" s="73" t="s">
        <v>185</v>
      </c>
      <c r="C46" s="100">
        <f t="array" ref="C46">INDEX(A32:A40,MATCH(C45,A32:A40,1))</f>
        <v>12500</v>
      </c>
      <c r="D46" s="2"/>
      <c r="E46" s="92"/>
      <c r="G46" s="2"/>
      <c r="H46" s="2"/>
      <c r="I46" s="2"/>
      <c r="J46" s="73"/>
      <c r="K46" s="100"/>
      <c r="L46" s="2"/>
      <c r="M46" s="92"/>
      <c r="O46" s="73" t="s">
        <v>185</v>
      </c>
      <c r="P46" s="100">
        <f t="array" ref="P46">INDEX(O32:O40,MATCH(P45,O32:O40,1))</f>
        <v>12000</v>
      </c>
      <c r="Q46" s="2"/>
      <c r="R46" s="92"/>
      <c r="T46" s="2"/>
      <c r="U46" s="2"/>
      <c r="V46" s="2"/>
      <c r="W46" s="73"/>
      <c r="X46" s="100"/>
      <c r="Y46" s="2"/>
      <c r="AB46" s="73" t="s">
        <v>185</v>
      </c>
      <c r="AC46" s="100">
        <f t="array" ref="AC46">INDEX(AB32:AB40,MATCH(AC45,AB32:AB40,1))</f>
        <v>12500</v>
      </c>
      <c r="AD46" s="2"/>
      <c r="AE46" s="92"/>
      <c r="AG46" s="2"/>
      <c r="AH46" s="2"/>
      <c r="AI46" s="2"/>
      <c r="AJ46" s="73"/>
      <c r="AK46" s="100"/>
      <c r="AL46" s="2"/>
    </row>
    <row r="47" spans="1:38" ht="15" customHeight="1">
      <c r="B47" s="73" t="s">
        <v>186</v>
      </c>
      <c r="C47" s="100">
        <f t="array" ref="C47">INDEX(A32:A40,IF(MATCH(C45,A32:A40,1)&lt;E43,MATCH(C45,A32:A40,1)+1,MATCH(C45,A32:A40,1)))</f>
        <v>12600</v>
      </c>
      <c r="D47" s="2"/>
      <c r="E47" s="92"/>
      <c r="G47" s="2"/>
      <c r="H47" s="2"/>
      <c r="I47" s="2"/>
      <c r="J47" s="73"/>
      <c r="K47" s="100"/>
      <c r="L47" s="2"/>
      <c r="M47" s="92"/>
      <c r="O47" s="73" t="s">
        <v>186</v>
      </c>
      <c r="P47" s="100">
        <f t="array" ref="P47">INDEX(O32:O40,IF(MATCH(P45,O32:O40,1)&lt;R43,MATCH(P45,O32:O40,1)+1,MATCH(P45,O32:O40,1)))</f>
        <v>13000</v>
      </c>
      <c r="Q47" s="2"/>
      <c r="R47" s="92"/>
      <c r="T47" s="2"/>
      <c r="U47" s="2"/>
      <c r="V47" s="2"/>
      <c r="W47" s="73"/>
      <c r="X47" s="100"/>
      <c r="Y47" s="2"/>
      <c r="AB47" s="73" t="s">
        <v>186</v>
      </c>
      <c r="AC47" s="100">
        <f t="array" ref="AC47">INDEX(AB32:AB40,IF(MATCH(AC45,AB32:AB40,1)&lt;AE43,MATCH(AC45,AB32:AB40,1)+1,MATCH(AC45,AB32:AB40,1)))</f>
        <v>12600</v>
      </c>
      <c r="AD47" s="2"/>
      <c r="AE47" s="92"/>
      <c r="AG47" s="2"/>
      <c r="AH47" s="2"/>
      <c r="AI47" s="2"/>
      <c r="AJ47" s="73"/>
      <c r="AK47" s="100"/>
      <c r="AL47" s="2"/>
    </row>
    <row r="48" spans="1:38" ht="15" customHeight="1">
      <c r="B48" s="98" t="s">
        <v>187</v>
      </c>
      <c r="C48" s="97">
        <f t="array" ref="C48">INDEX(B32:G40,MATCH(C45,A32:A40,1),MATCH(C42,B31:G31,1))</f>
        <v>1500</v>
      </c>
      <c r="D48" s="2"/>
      <c r="E48" s="92"/>
      <c r="G48" s="2"/>
      <c r="H48" s="2"/>
      <c r="I48" s="2"/>
      <c r="J48" s="98"/>
      <c r="K48" s="97"/>
      <c r="L48" s="2"/>
      <c r="M48" s="92"/>
      <c r="O48" s="98" t="s">
        <v>187</v>
      </c>
      <c r="P48" s="97" t="e">
        <f t="array" ref="P48">INDEX(P32:T40,MATCH(P45,O32:O40,1),MATCH(P42,P31:T31,1))</f>
        <v>#N/A</v>
      </c>
      <c r="Q48" s="2"/>
      <c r="R48" s="92"/>
      <c r="T48" s="2"/>
      <c r="U48" s="2"/>
      <c r="V48" s="2"/>
      <c r="W48" s="98"/>
      <c r="X48" s="97"/>
      <c r="Y48" s="2"/>
      <c r="AB48" s="98" t="s">
        <v>187</v>
      </c>
      <c r="AC48" s="97" t="e">
        <f t="array" ref="AC48">INDEX(AC32:AG40,MATCH(AC45,AB32:AB40,1),MATCH(AC42,AC31:AG31,1))</f>
        <v>#N/A</v>
      </c>
      <c r="AD48" s="2"/>
      <c r="AE48" s="92"/>
      <c r="AG48" s="2"/>
      <c r="AH48" s="2"/>
      <c r="AI48" s="2"/>
      <c r="AJ48" s="98"/>
      <c r="AK48" s="97"/>
      <c r="AL48" s="2"/>
    </row>
    <row r="49" spans="1:41" ht="15" customHeight="1">
      <c r="B49" s="98" t="s">
        <v>240</v>
      </c>
      <c r="C49" s="97">
        <f t="array" ref="C49">INDEX(B32:G40,MATCH(C45,A32:A40,1),IF(MATCH(C42,B31:G31,1)&lt;E44,MATCH(C42,B31:G31,1)+1,MATCH(C45,A32:A40,1)))</f>
        <v>2000</v>
      </c>
      <c r="E49" s="92"/>
      <c r="G49" s="2"/>
      <c r="H49" s="2"/>
      <c r="I49" s="2"/>
      <c r="J49" s="98"/>
      <c r="K49" s="97"/>
      <c r="M49" s="92"/>
      <c r="O49" s="98" t="s">
        <v>240</v>
      </c>
      <c r="P49" s="97" t="e">
        <f t="array" ref="P49">INDEX(P32:T40,MATCH(P45,O32:O40,1),IF(MATCH(P42,P31:T31,1)&lt;R44,MATCH(P42,P31:T31,1)+1,MATCH(P45,O32:O40,1)))</f>
        <v>#N/A</v>
      </c>
      <c r="R49" s="92"/>
      <c r="T49" s="2"/>
      <c r="U49" s="2"/>
      <c r="V49" s="2"/>
      <c r="W49" s="98"/>
      <c r="X49" s="97"/>
      <c r="AB49" s="98" t="s">
        <v>240</v>
      </c>
      <c r="AC49" s="97" t="e">
        <f t="array" ref="AC49">INDEX(AC32:AG40,MATCH(AC45,AB32:AB40,1),IF(MATCH(AC42,AC31:AG31,1)&lt;AE44,MATCH(AC42,AC31:AG31,1)+1,MATCH(AC45,AB32:AB40,1)))</f>
        <v>#N/A</v>
      </c>
      <c r="AE49" s="92"/>
      <c r="AG49" s="2"/>
      <c r="AH49" s="2"/>
      <c r="AI49" s="2"/>
      <c r="AJ49" s="98"/>
      <c r="AK49" s="97"/>
    </row>
    <row r="50" spans="1:41" ht="15" customHeight="1">
      <c r="B50" s="98" t="s">
        <v>188</v>
      </c>
      <c r="C50" s="97">
        <f t="array" ref="C50">INDEX(B32:G40,IF(MATCH(C45,A32:A40,1)&lt;E43,MATCH(C45,A32:A40,1)+1,MATCH(C45,A32:A40,1)),MATCH(C42,B31:G31,1))</f>
        <v>99999</v>
      </c>
      <c r="E50" s="92"/>
      <c r="G50" s="2"/>
      <c r="H50" s="2"/>
      <c r="I50" s="2"/>
      <c r="J50" s="98"/>
      <c r="K50" s="97"/>
      <c r="M50" s="92"/>
      <c r="O50" s="98" t="s">
        <v>188</v>
      </c>
      <c r="P50" s="97" t="e">
        <f t="array" ref="P50">INDEX(P32:T40,IF(MATCH(P45,O32:O40,1)&lt;R43,MATCH(P45,O32:O40,1)+1,MATCH(P45,O32:O40,1)),MATCH(P42,P31:T31,1))</f>
        <v>#N/A</v>
      </c>
      <c r="R50" s="92"/>
      <c r="T50" s="2"/>
      <c r="U50" s="2"/>
      <c r="V50" s="2"/>
      <c r="W50" s="98"/>
      <c r="X50" s="97"/>
      <c r="AB50" s="98" t="s">
        <v>188</v>
      </c>
      <c r="AC50" s="97" t="e">
        <f t="array" ref="AC50">INDEX(AC32:AG40,IF(MATCH(AC45,AB32:AB40,1)&lt;AE43,MATCH(AC45,AB32:AB40,1)+1,MATCH(AC45,AB32:AB40,1)),MATCH(AC42,AC31:AG31,1))</f>
        <v>#N/A</v>
      </c>
      <c r="AE50" s="92"/>
      <c r="AG50" s="2"/>
      <c r="AH50" s="2"/>
      <c r="AI50" s="2"/>
      <c r="AJ50" s="98"/>
      <c r="AK50" s="97"/>
    </row>
    <row r="51" spans="1:41" ht="15" customHeight="1">
      <c r="B51" s="98" t="s">
        <v>241</v>
      </c>
      <c r="C51" s="97">
        <f t="array" ref="C51">INDEX(B32:G40,IF(MATCH(C45,A32:A40,1)&lt;E43,MATCH(C45,A32:A40,1)+1,MATCH(C45,A32:A40,1)),IF(MATCH(C42,B31:G31,1)&lt;E44,MATCH(C42,B31:G31,1)+1,MATCH(C42,B31:G31,1)))</f>
        <v>99999</v>
      </c>
      <c r="G51" s="2"/>
      <c r="H51" s="2"/>
      <c r="I51" s="2"/>
      <c r="J51" s="98"/>
      <c r="K51" s="97"/>
      <c r="O51" s="98" t="s">
        <v>241</v>
      </c>
      <c r="P51" s="97" t="e">
        <f t="array" ref="P51">INDEX(P32:T40,IF(MATCH(P45,O32:O40,1)&lt;R43,MATCH(P45,O32:O40,1)+1,MATCH(P45,O32:O40,1)),IF(MATCH(P42,P31:T31,1)&lt;R44,MATCH(P42,P31:T31,1)+1,MATCH(P42,P31:T31,1)))</f>
        <v>#N/A</v>
      </c>
      <c r="T51" s="2"/>
      <c r="U51" s="2"/>
      <c r="V51" s="2"/>
      <c r="W51" s="98"/>
      <c r="X51" s="97"/>
      <c r="AB51" s="98" t="s">
        <v>241</v>
      </c>
      <c r="AC51" s="97" t="e">
        <f t="array" ref="AC51">INDEX(AC32:AG40,IF(MATCH(AC45,AB32:AB40,1)&lt;AE43,MATCH(AC45,AB32:AB40,1)+1,MATCH(AC45,AB32:AB40,1)),IF(MATCH(AC42,AC31:AG31,1)&lt;AE44,MATCH(AC42,AC31:AG31,1)+1,MATCH(AC42,AC31:AG31,1)))</f>
        <v>#N/A</v>
      </c>
      <c r="AG51" s="2"/>
      <c r="AH51" s="2"/>
      <c r="AI51" s="2"/>
      <c r="AJ51" s="98"/>
      <c r="AK51" s="97"/>
    </row>
    <row r="52" spans="1:41" ht="15" customHeight="1">
      <c r="B52" s="73" t="s">
        <v>242</v>
      </c>
      <c r="C52" s="100">
        <f>IFERROR(C48+(C42-C43)*(C49-C48)/(C44-C43),C48)</f>
        <v>1598</v>
      </c>
      <c r="G52" s="2"/>
      <c r="H52" s="2"/>
      <c r="I52" s="2"/>
      <c r="J52" s="73"/>
      <c r="K52" s="100"/>
      <c r="O52" s="73" t="s">
        <v>242</v>
      </c>
      <c r="P52" s="100" t="e">
        <f>IFERROR(P48+(P42-P43)*(P49-P48)/(P44-P43),P48)</f>
        <v>#N/A</v>
      </c>
      <c r="T52" s="2"/>
      <c r="U52" s="2"/>
      <c r="V52" s="2"/>
      <c r="W52" s="73"/>
      <c r="X52" s="100"/>
      <c r="AB52" s="73" t="s">
        <v>242</v>
      </c>
      <c r="AC52" s="100" t="e">
        <f>IFERROR(AC48+(AC42-AC43)*(AC49-AC48)/(AC44-AC43),AC48)</f>
        <v>#N/A</v>
      </c>
      <c r="AG52" s="2"/>
      <c r="AH52" s="2"/>
      <c r="AI52" s="2"/>
      <c r="AJ52" s="73"/>
      <c r="AK52" s="100"/>
    </row>
    <row r="53" spans="1:41" ht="15" customHeight="1">
      <c r="B53" s="73" t="s">
        <v>243</v>
      </c>
      <c r="C53" s="100">
        <f>IFERROR(C50+(C42-C43)*(C51-C50)/(C44-C43),C50)</f>
        <v>99999</v>
      </c>
      <c r="G53" s="2"/>
      <c r="H53" s="2"/>
      <c r="I53" s="2"/>
      <c r="J53" s="73"/>
      <c r="K53" s="100"/>
      <c r="O53" s="73" t="s">
        <v>243</v>
      </c>
      <c r="P53" s="100" t="e">
        <f>IFERROR(P50+(P42-P43)*(P51-P50)/(P44-P43),P50)</f>
        <v>#N/A</v>
      </c>
      <c r="T53" s="2"/>
      <c r="U53" s="2"/>
      <c r="V53" s="2"/>
      <c r="W53" s="73"/>
      <c r="X53" s="100"/>
      <c r="AB53" s="73" t="s">
        <v>243</v>
      </c>
      <c r="AC53" s="100" t="e">
        <f>IFERROR(AC50+(AC42-AC43)*(AC51-AC50)/(AC44-AC43),AC50)</f>
        <v>#N/A</v>
      </c>
      <c r="AG53" s="2"/>
      <c r="AH53" s="2"/>
      <c r="AI53" s="2"/>
      <c r="AJ53" s="73"/>
      <c r="AK53" s="100"/>
    </row>
    <row r="54" spans="1:41" ht="15" customHeight="1">
      <c r="B54" s="98" t="s">
        <v>244</v>
      </c>
      <c r="C54" s="97">
        <f>IFERROR(C52+(C45-C46)*(C53-C52)/(C47-C46),C52)</f>
        <v>1598</v>
      </c>
      <c r="G54" s="2"/>
      <c r="H54" s="2"/>
      <c r="I54" s="2"/>
      <c r="J54" s="98"/>
      <c r="K54" s="97"/>
      <c r="O54" s="98" t="s">
        <v>244</v>
      </c>
      <c r="P54" s="97" t="e">
        <f>IFERROR(P52+(P45-P46)*(P53-P52)/(P47-P46),P52)</f>
        <v>#N/A</v>
      </c>
      <c r="T54" s="2"/>
      <c r="U54" s="2"/>
      <c r="V54" s="2"/>
      <c r="W54" s="98"/>
      <c r="X54" s="97"/>
      <c r="AB54" s="98" t="s">
        <v>244</v>
      </c>
      <c r="AC54" s="97" t="e">
        <f>IFERROR(AC52+(AC45-AC46)*(AC53-AC52)/(AC47-AC46),AC52)</f>
        <v>#N/A</v>
      </c>
      <c r="AG54" s="2"/>
      <c r="AH54" s="2"/>
      <c r="AI54" s="2"/>
      <c r="AJ54" s="98"/>
      <c r="AK54" s="97"/>
    </row>
    <row r="55" spans="1:41" ht="15" customHeight="1">
      <c r="J55" s="12"/>
      <c r="K55" s="12"/>
      <c r="L55" s="12"/>
      <c r="M55" s="12"/>
      <c r="W55" s="12"/>
      <c r="X55" s="12"/>
      <c r="Y55" s="12"/>
      <c r="AJ55" s="12"/>
      <c r="AK55" s="12"/>
      <c r="AL55" s="12"/>
    </row>
    <row r="56" spans="1:41" ht="15" customHeight="1">
      <c r="A56" s="12"/>
      <c r="B56" s="251" t="s">
        <v>246</v>
      </c>
      <c r="C56" s="262"/>
      <c r="D56" s="262"/>
      <c r="E56" s="262"/>
      <c r="F56" s="262"/>
      <c r="G56" s="262"/>
      <c r="H56" s="262"/>
      <c r="I56" s="262"/>
      <c r="J56" s="82"/>
      <c r="K56" s="82"/>
      <c r="L56" s="82"/>
      <c r="M56" s="82"/>
      <c r="N56" s="12"/>
      <c r="O56" s="251" t="s">
        <v>246</v>
      </c>
      <c r="P56" s="262"/>
      <c r="Q56" s="262"/>
      <c r="R56" s="262"/>
      <c r="S56" s="262"/>
      <c r="T56" s="262"/>
      <c r="U56" s="262"/>
      <c r="V56" s="262"/>
      <c r="W56" s="82"/>
      <c r="X56" s="82"/>
      <c r="Y56" s="82"/>
      <c r="AA56" s="12"/>
      <c r="AB56" s="251" t="s">
        <v>246</v>
      </c>
      <c r="AC56" s="262"/>
      <c r="AD56" s="262"/>
      <c r="AE56" s="262"/>
      <c r="AF56" s="262"/>
      <c r="AG56" s="262"/>
      <c r="AH56" s="262"/>
      <c r="AI56" s="262"/>
      <c r="AJ56" s="82"/>
      <c r="AK56" s="82"/>
      <c r="AL56" s="82"/>
    </row>
    <row r="57" spans="1:41" ht="15" customHeight="1">
      <c r="A57" s="12" t="s">
        <v>42</v>
      </c>
      <c r="B57" s="189">
        <v>1000</v>
      </c>
      <c r="C57" s="199">
        <v>1500</v>
      </c>
      <c r="D57" s="189">
        <v>2000</v>
      </c>
      <c r="E57" s="199">
        <v>2500</v>
      </c>
      <c r="F57" s="199">
        <v>3000</v>
      </c>
      <c r="G57" s="199">
        <v>3500</v>
      </c>
      <c r="H57" s="192">
        <v>4000</v>
      </c>
      <c r="I57" s="83"/>
      <c r="J57" s="83"/>
      <c r="K57" s="83"/>
      <c r="L57" s="12"/>
      <c r="M57" s="12"/>
      <c r="N57" s="12" t="s">
        <v>42</v>
      </c>
      <c r="O57" s="189">
        <v>1000</v>
      </c>
      <c r="P57" s="199">
        <v>1200</v>
      </c>
      <c r="Q57" s="199">
        <v>1500</v>
      </c>
      <c r="R57" s="199">
        <v>2000</v>
      </c>
      <c r="S57" s="199">
        <v>2500</v>
      </c>
      <c r="T57" s="199">
        <v>3000</v>
      </c>
      <c r="U57" s="199">
        <v>3500</v>
      </c>
      <c r="V57" s="192">
        <v>5000</v>
      </c>
      <c r="Y57" s="12"/>
      <c r="Z57" s="12"/>
      <c r="AA57" s="12" t="s">
        <v>42</v>
      </c>
      <c r="AB57" s="189">
        <v>950</v>
      </c>
      <c r="AC57" s="199">
        <v>1400</v>
      </c>
      <c r="AD57" s="199">
        <v>1900</v>
      </c>
      <c r="AE57" s="199">
        <v>2400</v>
      </c>
      <c r="AF57" s="199">
        <v>2900</v>
      </c>
      <c r="AG57" s="199">
        <v>3300</v>
      </c>
      <c r="AH57" s="192">
        <v>3500</v>
      </c>
      <c r="AM57" s="12"/>
      <c r="AN57" s="12"/>
      <c r="AO57" s="12"/>
    </row>
    <row r="58" spans="1:41" ht="15" customHeight="1">
      <c r="A58" s="12">
        <v>-10</v>
      </c>
      <c r="B58" s="189">
        <v>1130</v>
      </c>
      <c r="C58" s="199">
        <v>1700</v>
      </c>
      <c r="D58" s="189">
        <v>2250</v>
      </c>
      <c r="E58" s="199">
        <v>2800</v>
      </c>
      <c r="F58" s="199">
        <v>3350</v>
      </c>
      <c r="G58" s="199">
        <v>3900</v>
      </c>
      <c r="H58" s="201">
        <v>99999</v>
      </c>
      <c r="I58" s="82"/>
      <c r="J58" s="82"/>
      <c r="K58" s="82"/>
      <c r="L58" s="12"/>
      <c r="N58" s="12">
        <v>-10</v>
      </c>
      <c r="O58" s="189"/>
      <c r="P58" s="199"/>
      <c r="Q58" s="199"/>
      <c r="R58" s="199"/>
      <c r="S58" s="199"/>
      <c r="T58" s="199"/>
      <c r="U58" s="199"/>
      <c r="V58" s="201">
        <v>99999</v>
      </c>
      <c r="Y58" s="12"/>
      <c r="AA58" s="12">
        <v>-10</v>
      </c>
      <c r="AB58" s="189"/>
      <c r="AC58" s="199"/>
      <c r="AD58" s="199"/>
      <c r="AE58" s="199"/>
      <c r="AF58" s="199"/>
      <c r="AG58" s="199"/>
      <c r="AH58" s="201">
        <v>99999</v>
      </c>
      <c r="AM58" s="12"/>
    </row>
    <row r="59" spans="1:41" ht="15" customHeight="1">
      <c r="A59" s="12">
        <v>0</v>
      </c>
      <c r="B59" s="340">
        <v>1000</v>
      </c>
      <c r="C59" s="82">
        <v>1500</v>
      </c>
      <c r="D59" s="340">
        <v>2000</v>
      </c>
      <c r="E59" s="82">
        <v>2500</v>
      </c>
      <c r="F59" s="82">
        <v>3000</v>
      </c>
      <c r="G59" s="82">
        <v>3500</v>
      </c>
      <c r="H59" s="201">
        <v>99999</v>
      </c>
      <c r="I59" s="82"/>
      <c r="J59" s="82"/>
      <c r="K59" s="82"/>
      <c r="L59" s="12"/>
      <c r="N59" s="12">
        <v>0</v>
      </c>
      <c r="O59" s="340"/>
      <c r="P59" s="82"/>
      <c r="Q59" s="82"/>
      <c r="R59" s="82"/>
      <c r="S59" s="82"/>
      <c r="T59" s="82"/>
      <c r="U59" s="82"/>
      <c r="V59" s="201">
        <v>99999</v>
      </c>
      <c r="Y59" s="12"/>
      <c r="AA59" s="12">
        <v>0</v>
      </c>
      <c r="AB59" s="340"/>
      <c r="AC59" s="82"/>
      <c r="AD59" s="82"/>
      <c r="AE59" s="82"/>
      <c r="AF59" s="82"/>
      <c r="AG59" s="82"/>
      <c r="AH59" s="201">
        <v>99999</v>
      </c>
      <c r="AM59" s="12"/>
    </row>
    <row r="60" spans="1:41" ht="15" customHeight="1">
      <c r="A60" s="12">
        <v>30</v>
      </c>
      <c r="B60" s="196">
        <v>1000</v>
      </c>
      <c r="C60" s="202">
        <v>1300</v>
      </c>
      <c r="D60" s="196">
        <v>1800</v>
      </c>
      <c r="E60" s="202">
        <v>2250</v>
      </c>
      <c r="F60" s="202">
        <v>2730</v>
      </c>
      <c r="G60" s="202">
        <v>3130</v>
      </c>
      <c r="H60" s="218">
        <v>99999</v>
      </c>
      <c r="I60" s="82"/>
      <c r="J60" s="82"/>
      <c r="K60" s="82"/>
      <c r="L60" s="12"/>
      <c r="N60" s="12">
        <v>30</v>
      </c>
      <c r="O60" s="196"/>
      <c r="P60" s="202"/>
      <c r="Q60" s="202"/>
      <c r="R60" s="202"/>
      <c r="S60" s="202"/>
      <c r="T60" s="202"/>
      <c r="U60" s="202"/>
      <c r="V60" s="218">
        <v>99999</v>
      </c>
      <c r="Y60" s="12"/>
      <c r="AA60" s="12">
        <v>30</v>
      </c>
      <c r="AB60" s="196"/>
      <c r="AC60" s="202"/>
      <c r="AD60" s="202"/>
      <c r="AE60" s="202"/>
      <c r="AF60" s="202"/>
      <c r="AG60" s="202"/>
      <c r="AH60" s="218">
        <v>99999</v>
      </c>
      <c r="AM60" s="12"/>
    </row>
    <row r="61" spans="1:41" ht="15" customHeight="1">
      <c r="B61" s="98"/>
      <c r="C61" s="97"/>
      <c r="D61" s="12"/>
      <c r="E61" s="12"/>
      <c r="F61" s="12"/>
      <c r="G61" s="2"/>
      <c r="H61" s="2"/>
      <c r="I61" s="2"/>
      <c r="J61" s="98"/>
      <c r="K61" s="97"/>
      <c r="O61" s="98"/>
      <c r="P61" s="97"/>
      <c r="Q61" s="12"/>
      <c r="R61" s="12"/>
      <c r="S61" s="12"/>
      <c r="T61" s="2"/>
      <c r="U61" s="2"/>
      <c r="V61" s="2"/>
      <c r="W61" s="98"/>
      <c r="X61" s="97"/>
      <c r="AB61" s="98"/>
      <c r="AC61" s="97"/>
      <c r="AD61" s="12"/>
      <c r="AE61" s="12"/>
      <c r="AF61" s="12"/>
      <c r="AG61" s="2"/>
      <c r="AH61" s="2"/>
      <c r="AI61" s="2"/>
      <c r="AJ61" s="98"/>
      <c r="AK61" s="97"/>
    </row>
    <row r="62" spans="1:41" ht="15" customHeight="1">
      <c r="B62" s="98" t="s">
        <v>183</v>
      </c>
      <c r="C62" s="97">
        <f>C54</f>
        <v>1598</v>
      </c>
      <c r="D62" s="251" t="s">
        <v>237</v>
      </c>
      <c r="E62" s="262"/>
      <c r="G62" s="2"/>
      <c r="H62" s="2"/>
      <c r="I62" s="2"/>
      <c r="J62" s="98"/>
      <c r="K62" s="97"/>
      <c r="L62" s="82"/>
      <c r="O62" s="98" t="s">
        <v>183</v>
      </c>
      <c r="P62" s="97" t="e">
        <f>P54</f>
        <v>#N/A</v>
      </c>
      <c r="Q62" s="251" t="s">
        <v>237</v>
      </c>
      <c r="R62" s="262"/>
      <c r="T62" s="2"/>
      <c r="U62" s="2"/>
      <c r="V62" s="2"/>
      <c r="W62" s="98"/>
      <c r="X62" s="97"/>
      <c r="Y62" s="82"/>
      <c r="AB62" s="98" t="s">
        <v>183</v>
      </c>
      <c r="AC62" s="97" t="e">
        <f>AC54</f>
        <v>#N/A</v>
      </c>
      <c r="AD62" s="251" t="s">
        <v>237</v>
      </c>
      <c r="AE62" s="262"/>
      <c r="AG62" s="2"/>
      <c r="AH62" s="2"/>
      <c r="AI62" s="2"/>
      <c r="AJ62" s="98"/>
      <c r="AK62" s="97"/>
      <c r="AL62" s="82"/>
    </row>
    <row r="63" spans="1:41" ht="15" customHeight="1">
      <c r="B63" s="73" t="s">
        <v>238</v>
      </c>
      <c r="C63" s="100">
        <f t="array" ref="C63">INDEX($B57:$H57,MATCH(C62,$B57:$H57,1))</f>
        <v>1500</v>
      </c>
      <c r="D63" s="73" t="s">
        <v>181</v>
      </c>
      <c r="E63" s="88">
        <f>MATCH(MAX($A58:$A60),$A58:$A60,1)</f>
        <v>3</v>
      </c>
      <c r="G63" s="2"/>
      <c r="H63" s="2"/>
      <c r="I63" s="2"/>
      <c r="J63" s="73"/>
      <c r="K63" s="100"/>
      <c r="L63" s="73"/>
      <c r="M63" s="88"/>
      <c r="O63" s="73" t="s">
        <v>238</v>
      </c>
      <c r="P63" s="100" t="e">
        <f t="array" ref="P63">INDEX($O57:$V57,MATCH(P62,$O57:$V57,1))</f>
        <v>#N/A</v>
      </c>
      <c r="Q63" s="73" t="s">
        <v>181</v>
      </c>
      <c r="R63" s="88">
        <f>MATCH(MAX($N58:$N60),$N58:$N60,1)</f>
        <v>3</v>
      </c>
      <c r="T63" s="2"/>
      <c r="U63" s="2"/>
      <c r="V63" s="2"/>
      <c r="W63" s="73"/>
      <c r="X63" s="100"/>
      <c r="Y63" s="73"/>
      <c r="AB63" s="73" t="s">
        <v>238</v>
      </c>
      <c r="AC63" s="100" t="e">
        <f t="array" ref="AC63">INDEX($AB57:$AH57,MATCH(AC62,$AB57:$AH57,1))</f>
        <v>#N/A</v>
      </c>
      <c r="AD63" s="73" t="s">
        <v>181</v>
      </c>
      <c r="AE63" s="88">
        <f>MATCH(MAX($AA58:$AA60),$AA58:$AA60,1)</f>
        <v>3</v>
      </c>
      <c r="AG63" s="2"/>
      <c r="AH63" s="2"/>
      <c r="AI63" s="2"/>
      <c r="AJ63" s="73"/>
      <c r="AK63" s="100"/>
      <c r="AL63" s="73"/>
    </row>
    <row r="64" spans="1:41" ht="15" customHeight="1">
      <c r="B64" s="73" t="s">
        <v>239</v>
      </c>
      <c r="C64" s="100">
        <f t="array" ref="C64">INDEX($B57:$H57,IF(MATCH(C62,$B57:$H57,1)&lt;E64,MATCH(C62,$B57:$H57,1)+1,MATCH(C62,$B57:$H57,1)))</f>
        <v>2000</v>
      </c>
      <c r="D64" s="73" t="s">
        <v>182</v>
      </c>
      <c r="E64" s="88">
        <f>MATCH(MAX($B57:$H57),$B57:$H57,0)</f>
        <v>7</v>
      </c>
      <c r="G64" s="2"/>
      <c r="H64" s="2"/>
      <c r="I64" s="2"/>
      <c r="J64" s="73"/>
      <c r="K64" s="100"/>
      <c r="L64" s="73"/>
      <c r="M64" s="88"/>
      <c r="O64" s="73" t="s">
        <v>239</v>
      </c>
      <c r="P64" s="100" t="e">
        <f t="array" ref="P64">INDEX($O57:$V57,IF(MATCH(P62,$O57:$V57,1)&lt;R64,MATCH(P62,$O57:$V57,1)+1,MATCH(P62,$O57:$V57,1)))</f>
        <v>#N/A</v>
      </c>
      <c r="Q64" s="73" t="s">
        <v>182</v>
      </c>
      <c r="R64" s="88">
        <f>MATCH(MAX($O57:$V57),$O57:$V57,0)</f>
        <v>8</v>
      </c>
      <c r="T64" s="2"/>
      <c r="U64" s="2"/>
      <c r="V64" s="2"/>
      <c r="W64" s="73"/>
      <c r="X64" s="100"/>
      <c r="Y64" s="73"/>
      <c r="AB64" s="73" t="s">
        <v>239</v>
      </c>
      <c r="AC64" s="100" t="e">
        <f t="array" ref="AC64">INDEX($AB57:$AH57,IF(MATCH(AC62,$AB57:$AH57,1)&lt;AE64,MATCH(AC62,$AB57:$AH57,1)+1,MATCH(AC62,$AB57:$AH57,1)))</f>
        <v>#N/A</v>
      </c>
      <c r="AD64" s="73" t="s">
        <v>182</v>
      </c>
      <c r="AE64" s="88">
        <f>MATCH(MAX($AB57:$AH57),$AB57:$AH57,0)</f>
        <v>7</v>
      </c>
      <c r="AG64" s="2"/>
      <c r="AH64" s="2"/>
      <c r="AI64" s="2"/>
      <c r="AJ64" s="73"/>
      <c r="AK64" s="100"/>
      <c r="AL64" s="73"/>
    </row>
    <row r="65" spans="1:38" ht="15" customHeight="1">
      <c r="B65" s="96" t="s">
        <v>184</v>
      </c>
      <c r="C65" s="155">
        <f>'Take-off'!$C$24</f>
        <v>0</v>
      </c>
      <c r="D65" s="2"/>
      <c r="E65" s="2"/>
      <c r="G65" s="2"/>
      <c r="H65" s="2"/>
      <c r="I65" s="2"/>
      <c r="J65" s="98"/>
      <c r="K65" s="155"/>
      <c r="L65" s="2"/>
      <c r="M65" s="2"/>
      <c r="O65" s="96" t="s">
        <v>184</v>
      </c>
      <c r="P65" s="155">
        <f>'Take-off'!$C$24</f>
        <v>0</v>
      </c>
      <c r="Q65" s="2"/>
      <c r="R65" s="2"/>
      <c r="T65" s="2"/>
      <c r="U65" s="2"/>
      <c r="V65" s="2"/>
      <c r="W65" s="98"/>
      <c r="X65" s="155"/>
      <c r="Y65" s="2"/>
      <c r="AB65" s="96" t="s">
        <v>184</v>
      </c>
      <c r="AC65" s="155">
        <f>'Take-off'!$C$24</f>
        <v>0</v>
      </c>
      <c r="AD65" s="2"/>
      <c r="AE65" s="2"/>
      <c r="AG65" s="2"/>
      <c r="AH65" s="2"/>
      <c r="AI65" s="2"/>
      <c r="AJ65" s="98"/>
      <c r="AK65" s="155"/>
      <c r="AL65" s="2"/>
    </row>
    <row r="66" spans="1:38" ht="15" customHeight="1">
      <c r="B66" s="73" t="s">
        <v>185</v>
      </c>
      <c r="C66" s="100">
        <f t="array" ref="C66">INDEX($A58:$A60,MATCH(C65,$A58:$A60,1))</f>
        <v>0</v>
      </c>
      <c r="D66" s="2"/>
      <c r="E66" s="92"/>
      <c r="G66" s="2"/>
      <c r="H66" s="2"/>
      <c r="I66" s="2"/>
      <c r="J66" s="73"/>
      <c r="K66" s="100"/>
      <c r="L66" s="2"/>
      <c r="M66" s="92"/>
      <c r="O66" s="73" t="s">
        <v>185</v>
      </c>
      <c r="P66" s="100">
        <f t="array" ref="P66">INDEX($N58:$N60,MATCH(P65,$N58:$N60,1))</f>
        <v>0</v>
      </c>
      <c r="Q66" s="2"/>
      <c r="R66" s="92"/>
      <c r="T66" s="2"/>
      <c r="U66" s="2"/>
      <c r="V66" s="2"/>
      <c r="W66" s="73"/>
      <c r="X66" s="100"/>
      <c r="Y66" s="2"/>
      <c r="AB66" s="73" t="s">
        <v>185</v>
      </c>
      <c r="AC66" s="100">
        <f t="array" ref="AC66">INDEX($AA58:$AA60,MATCH(AC65,$AA58:$AA60,1))</f>
        <v>0</v>
      </c>
      <c r="AD66" s="2"/>
      <c r="AE66" s="92"/>
      <c r="AG66" s="2"/>
      <c r="AH66" s="2"/>
      <c r="AI66" s="2"/>
      <c r="AJ66" s="73"/>
      <c r="AK66" s="100"/>
      <c r="AL66" s="2"/>
    </row>
    <row r="67" spans="1:38" ht="15" customHeight="1">
      <c r="B67" s="73" t="s">
        <v>186</v>
      </c>
      <c r="C67" s="100">
        <f t="array" ref="C67">INDEX($A58:$A60,IF(MATCH(C65,$A58:$A60,1)&lt;E63,MATCH(C65,$A58:$A60,1)+1,MATCH(C65,$A58:$A60,1)))</f>
        <v>30</v>
      </c>
      <c r="D67" s="2"/>
      <c r="E67" s="92"/>
      <c r="G67" s="2"/>
      <c r="H67" s="2"/>
      <c r="I67" s="2"/>
      <c r="J67" s="73"/>
      <c r="K67" s="100"/>
      <c r="L67" s="2"/>
      <c r="M67" s="92"/>
      <c r="O67" s="73" t="s">
        <v>186</v>
      </c>
      <c r="P67" s="100">
        <f t="array" ref="P67">INDEX($N58:$N60,IF(MATCH(P65,$N58:$N60,1)&lt;R63,MATCH(P65,$N58:$N60,1)+1,MATCH(P65,$N58:$N60,1)))</f>
        <v>30</v>
      </c>
      <c r="Q67" s="2"/>
      <c r="R67" s="92"/>
      <c r="T67" s="2"/>
      <c r="U67" s="2"/>
      <c r="V67" s="2"/>
      <c r="W67" s="73"/>
      <c r="X67" s="100"/>
      <c r="Y67" s="2"/>
      <c r="AB67" s="73" t="s">
        <v>186</v>
      </c>
      <c r="AC67" s="100">
        <f t="array" ref="AC67">INDEX($AA58:$AA60,IF(MATCH(AC65,$AA58:$AA60,1)&lt;AE63,MATCH(AC65,$AA58:$AA60,1)+1,MATCH(AC65,$AA58:$AA60,1)))</f>
        <v>30</v>
      </c>
      <c r="AD67" s="2"/>
      <c r="AE67" s="92"/>
      <c r="AG67" s="2"/>
      <c r="AH67" s="2"/>
      <c r="AI67" s="2"/>
      <c r="AJ67" s="73"/>
      <c r="AK67" s="100"/>
      <c r="AL67" s="2"/>
    </row>
    <row r="68" spans="1:38" ht="15" customHeight="1">
      <c r="B68" s="98" t="s">
        <v>187</v>
      </c>
      <c r="C68" s="97">
        <f t="array" ref="C68">INDEX($B58:$H60,MATCH(C65,$A58:$A60,1),MATCH(C62,$B57:$H57,1))</f>
        <v>1500</v>
      </c>
      <c r="D68" s="2"/>
      <c r="E68" s="92"/>
      <c r="G68" s="2"/>
      <c r="H68" s="2"/>
      <c r="I68" s="2"/>
      <c r="J68" s="98"/>
      <c r="K68" s="97"/>
      <c r="L68" s="2"/>
      <c r="M68" s="92"/>
      <c r="O68" s="98" t="s">
        <v>187</v>
      </c>
      <c r="P68" s="97" t="e">
        <f t="array" ref="P68">INDEX($O58:$V60,MATCH(P65,$N58:$N60,1),MATCH(P62,$O57:$V57,1))</f>
        <v>#N/A</v>
      </c>
      <c r="Q68" s="2"/>
      <c r="R68" s="92"/>
      <c r="T68" s="2"/>
      <c r="U68" s="2"/>
      <c r="V68" s="2"/>
      <c r="W68" s="98"/>
      <c r="X68" s="97"/>
      <c r="Y68" s="2"/>
      <c r="AB68" s="98" t="s">
        <v>187</v>
      </c>
      <c r="AC68" s="97" t="e">
        <f t="array" ref="AC68">INDEX($AB58:$AH60,MATCH(AC65,$AA58:$AA60,1),MATCH(AC62,$AB57:$AH57,1))</f>
        <v>#N/A</v>
      </c>
      <c r="AD68" s="2"/>
      <c r="AE68" s="92"/>
      <c r="AG68" s="2"/>
      <c r="AH68" s="2"/>
      <c r="AI68" s="2"/>
      <c r="AJ68" s="98"/>
      <c r="AK68" s="97"/>
      <c r="AL68" s="2"/>
    </row>
    <row r="69" spans="1:38" ht="15" customHeight="1">
      <c r="B69" s="98" t="s">
        <v>240</v>
      </c>
      <c r="C69" s="97">
        <f t="array" ref="C69">INDEX($B58:$H60,MATCH(C65,$A58:$A60,1),IF(MATCH(C62,$B57:$H57,1)&lt;E64,MATCH(C62,$B57:$H57,1)+1,MATCH(C65,$A58:$A60,1)))</f>
        <v>2000</v>
      </c>
      <c r="E69" s="92"/>
      <c r="G69" s="2"/>
      <c r="H69" s="2"/>
      <c r="I69" s="2"/>
      <c r="J69" s="98"/>
      <c r="K69" s="97"/>
      <c r="M69" s="92"/>
      <c r="O69" s="98" t="s">
        <v>240</v>
      </c>
      <c r="P69" s="97" t="e">
        <f t="array" ref="P69">INDEX($O58:$V60,MATCH(P65,$N58:$N60,1),IF(MATCH(P62,$O57:$V57,1)&lt;R64,MATCH(P62,$O57:$V57,1)+1,MATCH(P65,$N58:$N60,1)))</f>
        <v>#N/A</v>
      </c>
      <c r="R69" s="92"/>
      <c r="T69" s="2"/>
      <c r="U69" s="2"/>
      <c r="V69" s="2"/>
      <c r="W69" s="98"/>
      <c r="X69" s="97"/>
      <c r="AB69" s="98" t="s">
        <v>240</v>
      </c>
      <c r="AC69" s="97" t="e">
        <f t="array" ref="AC69">INDEX($AB58:$AH60,MATCH(AC65,$AA58:$AA60,1),IF(MATCH(AC62,$AB57:$AH57,1)&lt;AE64,MATCH(AC62,$AB57:$AH57,1)+1,MATCH(AC65,$AB58:$AH60,1)))</f>
        <v>#N/A</v>
      </c>
      <c r="AE69" s="92"/>
      <c r="AG69" s="2"/>
      <c r="AH69" s="2"/>
      <c r="AI69" s="2"/>
      <c r="AJ69" s="98"/>
      <c r="AK69" s="97"/>
    </row>
    <row r="70" spans="1:38" ht="15" customHeight="1">
      <c r="B70" s="98" t="s">
        <v>188</v>
      </c>
      <c r="C70" s="97">
        <f t="array" ref="C70">INDEX($B58:$H60,IF(MATCH(C65,$A58:$A60,1)&lt;E63,MATCH(C65,$A58:$A60,1)+1,MATCH(C65,$A58:$A60,1)),MATCH(C62,$B57:$H57,1))</f>
        <v>1300</v>
      </c>
      <c r="E70" s="92"/>
      <c r="G70" s="2"/>
      <c r="H70" s="2"/>
      <c r="I70" s="2"/>
      <c r="J70" s="98"/>
      <c r="K70" s="97"/>
      <c r="M70" s="92"/>
      <c r="O70" s="98" t="s">
        <v>188</v>
      </c>
      <c r="P70" s="97" t="e">
        <f t="array" ref="P70">INDEX($O58:$V60,IF(MATCH(P65,$N58:$N60,1)&lt;R63,MATCH(P65,$N58:$N60,1)+1,MATCH(P65,$N58:$N60,1)),MATCH(P62,$O57:$V57,1))</f>
        <v>#N/A</v>
      </c>
      <c r="R70" s="92"/>
      <c r="T70" s="2"/>
      <c r="U70" s="2"/>
      <c r="V70" s="2"/>
      <c r="W70" s="98"/>
      <c r="X70" s="97"/>
      <c r="AB70" s="98" t="s">
        <v>188</v>
      </c>
      <c r="AC70" s="97" t="e">
        <f t="array" ref="AC70">INDEX($AB58:$AH60,IF(MATCH(AC65,$AA58:$AA60,1)&lt;AE63,MATCH(AC65,$AA58:$AA60,1)+1,MATCH(AC65,$AA58:$AA60,1)),MATCH(AC62,$AB57:$AH57,1))</f>
        <v>#N/A</v>
      </c>
      <c r="AE70" s="92"/>
      <c r="AG70" s="2"/>
      <c r="AH70" s="2"/>
      <c r="AI70" s="2"/>
      <c r="AJ70" s="98"/>
      <c r="AK70" s="97"/>
    </row>
    <row r="71" spans="1:38" ht="15" customHeight="1">
      <c r="B71" s="98" t="s">
        <v>241</v>
      </c>
      <c r="C71" s="97">
        <f t="array" ref="C71">INDEX($B58:$H60,IF(MATCH(C65,$A58:$A60,1)&lt;E63,MATCH(C65,$A58:$A60,1)+1,MATCH(C65,$A58:$A60,1)),IF(MATCH(C62,$B57:$H57,1)&lt;E64,MATCH(C62,$B57:$H57,1)+1,MATCH(C62,$B57:$H57,1)))</f>
        <v>1800</v>
      </c>
      <c r="G71" s="2"/>
      <c r="H71" s="2"/>
      <c r="I71" s="2"/>
      <c r="J71" s="98"/>
      <c r="K71" s="97"/>
      <c r="O71" s="98" t="s">
        <v>241</v>
      </c>
      <c r="P71" s="97" t="e">
        <f t="array" ref="P71">INDEX($O58:$V60,IF(MATCH(P65,$N58:$N60,1)&lt;R63,MATCH(P65,$N58:$N60,1)+1,MATCH(P65,$N58:$N60,1)),IF(MATCH(P62,$O57:$V57,1)&lt;R64,MATCH(P62,$O57:$V57,1)+1,MATCH(P62,$O57:$V57,1)))</f>
        <v>#N/A</v>
      </c>
      <c r="T71" s="2"/>
      <c r="U71" s="2"/>
      <c r="V71" s="2"/>
      <c r="W71" s="98"/>
      <c r="X71" s="97"/>
      <c r="AB71" s="98" t="s">
        <v>241</v>
      </c>
      <c r="AC71" s="97" t="e">
        <f t="array" ref="AC71">INDEX($AB58:$AH60,IF(MATCH(AC65,$AA58:$AA60,1)&lt;AE63,MATCH(AC65,$AA58:$AA60,1)+1,MATCH(AC65,$AA58:$AA60,1)),IF(MATCH(AC62,$AB57:$AH57,1)&lt;AE64,MATCH(AC62,$AB57:$AH57,1)+1,MATCH(AC62,$AB57:$AH57,1)))</f>
        <v>#N/A</v>
      </c>
      <c r="AG71" s="2"/>
      <c r="AH71" s="2"/>
      <c r="AI71" s="2"/>
      <c r="AJ71" s="98"/>
      <c r="AK71" s="97"/>
    </row>
    <row r="72" spans="1:38" ht="15" customHeight="1">
      <c r="B72" s="73" t="s">
        <v>242</v>
      </c>
      <c r="C72" s="100">
        <f>IFERROR(C68+(C62-C63)*(C69-C68)/(C64-C63),C68)</f>
        <v>1598</v>
      </c>
      <c r="G72" s="2"/>
      <c r="H72" s="2"/>
      <c r="I72" s="2"/>
      <c r="J72" s="73"/>
      <c r="K72" s="100"/>
      <c r="O72" s="73" t="s">
        <v>242</v>
      </c>
      <c r="P72" s="100" t="e">
        <f>IFERROR(P68+(P62-P63)*(P69-P68)/(P64-P63),P68)</f>
        <v>#N/A</v>
      </c>
      <c r="T72" s="2"/>
      <c r="U72" s="2"/>
      <c r="V72" s="2"/>
      <c r="W72" s="73"/>
      <c r="X72" s="100"/>
      <c r="AB72" s="73" t="s">
        <v>242</v>
      </c>
      <c r="AC72" s="100" t="e">
        <f>IFERROR(AC68+(AC62-AC63)*(AC69-AC68)/(AC64-AC63),AC68)</f>
        <v>#N/A</v>
      </c>
      <c r="AG72" s="2"/>
      <c r="AH72" s="2"/>
      <c r="AI72" s="2"/>
      <c r="AJ72" s="73"/>
      <c r="AK72" s="100"/>
    </row>
    <row r="73" spans="1:38" ht="15" customHeight="1">
      <c r="B73" s="73" t="s">
        <v>243</v>
      </c>
      <c r="C73" s="100">
        <f>IFERROR(C70+(C62-C63)*(C71-C70)/(C64-C63),C70)</f>
        <v>1398</v>
      </c>
      <c r="G73" s="2"/>
      <c r="H73" s="2"/>
      <c r="I73" s="2"/>
      <c r="J73" s="73"/>
      <c r="K73" s="100"/>
      <c r="O73" s="73" t="s">
        <v>243</v>
      </c>
      <c r="P73" s="100" t="e">
        <f>IFERROR(P70+(P62-P63)*(P71-P70)/(P64-P63),P70)</f>
        <v>#N/A</v>
      </c>
      <c r="T73" s="2"/>
      <c r="U73" s="2"/>
      <c r="V73" s="2"/>
      <c r="W73" s="73"/>
      <c r="X73" s="100"/>
      <c r="AB73" s="73" t="s">
        <v>243</v>
      </c>
      <c r="AC73" s="100" t="e">
        <f>IFERROR(AC70+(AC62-AC63)*(AC71-AC70)/(AC64-AC63),AC70)</f>
        <v>#N/A</v>
      </c>
      <c r="AG73" s="2"/>
      <c r="AH73" s="2"/>
      <c r="AI73" s="2"/>
      <c r="AJ73" s="73"/>
      <c r="AK73" s="100"/>
    </row>
    <row r="74" spans="1:38" ht="15" customHeight="1">
      <c r="B74" s="98" t="s">
        <v>244</v>
      </c>
      <c r="C74" s="97">
        <f>IFERROR(C72+(C65-C66)*(C73-C72)/(C67-C66),C72)</f>
        <v>1598</v>
      </c>
      <c r="G74" s="2"/>
      <c r="H74" s="2"/>
      <c r="I74" s="2"/>
      <c r="J74" s="98"/>
      <c r="K74" s="97"/>
      <c r="O74" s="98" t="s">
        <v>244</v>
      </c>
      <c r="P74" s="97" t="e">
        <f>IFERROR(P72+(P65-P66)*(P73-P72)/(P67-P66),P72)</f>
        <v>#N/A</v>
      </c>
      <c r="T74" s="2"/>
      <c r="U74" s="2"/>
      <c r="V74" s="2"/>
      <c r="W74" s="98"/>
      <c r="X74" s="97"/>
      <c r="AB74" s="98" t="s">
        <v>244</v>
      </c>
      <c r="AC74" s="97" t="e">
        <f>IFERROR(AC72+(AC65-AC66)*(AC73-AC72)/(AC67-AC66),AC72)</f>
        <v>#N/A</v>
      </c>
      <c r="AG74" s="2"/>
      <c r="AH74" s="2"/>
      <c r="AI74" s="2"/>
      <c r="AJ74" s="98"/>
      <c r="AK74" s="97"/>
    </row>
    <row r="75" spans="1:38" ht="15.75" customHeight="1"/>
    <row r="76" spans="1:38" ht="15" customHeight="1">
      <c r="A76" s="12"/>
      <c r="B76" s="258" t="s">
        <v>247</v>
      </c>
      <c r="C76" s="260"/>
      <c r="D76" s="260"/>
      <c r="E76" s="260"/>
      <c r="F76" s="260"/>
      <c r="G76" s="260"/>
      <c r="H76" s="260"/>
      <c r="I76" s="260"/>
      <c r="N76" s="12"/>
      <c r="O76" s="258" t="s">
        <v>247</v>
      </c>
      <c r="P76" s="260"/>
      <c r="Q76" s="260"/>
      <c r="R76" s="260"/>
      <c r="S76" s="260"/>
      <c r="T76" s="260"/>
      <c r="U76" s="260"/>
      <c r="V76" s="260"/>
      <c r="AA76" s="12"/>
      <c r="AB76" s="258" t="s">
        <v>247</v>
      </c>
      <c r="AC76" s="260"/>
      <c r="AD76" s="260"/>
      <c r="AE76" s="260"/>
      <c r="AF76" s="260"/>
      <c r="AG76" s="260"/>
      <c r="AH76" s="260"/>
      <c r="AI76" s="260"/>
    </row>
    <row r="77" spans="1:38" ht="15" customHeight="1">
      <c r="A77" s="12" t="s">
        <v>28</v>
      </c>
      <c r="B77" s="189">
        <v>1000</v>
      </c>
      <c r="C77" s="199">
        <v>1500</v>
      </c>
      <c r="D77" s="199">
        <v>2000</v>
      </c>
      <c r="E77" s="199">
        <v>2500</v>
      </c>
      <c r="F77" s="199">
        <v>3000</v>
      </c>
      <c r="G77" s="199">
        <v>3500</v>
      </c>
      <c r="H77" s="192">
        <v>4000</v>
      </c>
      <c r="I77" s="83"/>
      <c r="J77" s="83"/>
      <c r="K77" s="83"/>
      <c r="L77" s="83"/>
      <c r="N77" s="12" t="s">
        <v>28</v>
      </c>
      <c r="O77" s="189">
        <v>1000</v>
      </c>
      <c r="P77" s="199">
        <v>1600</v>
      </c>
      <c r="Q77" s="199">
        <v>2200</v>
      </c>
      <c r="R77" s="199">
        <v>2800</v>
      </c>
      <c r="S77" s="199">
        <v>3400</v>
      </c>
      <c r="T77" s="199">
        <v>4000</v>
      </c>
      <c r="U77" s="199">
        <v>4600</v>
      </c>
      <c r="V77" s="192">
        <v>5000</v>
      </c>
      <c r="AA77" s="12" t="s">
        <v>28</v>
      </c>
      <c r="AB77" s="189">
        <v>750</v>
      </c>
      <c r="AC77" s="199">
        <v>1100</v>
      </c>
      <c r="AD77" s="199">
        <v>1500</v>
      </c>
      <c r="AE77" s="199">
        <v>1850</v>
      </c>
      <c r="AF77" s="199">
        <v>2200</v>
      </c>
      <c r="AG77" s="199">
        <v>2600</v>
      </c>
      <c r="AH77" s="199">
        <v>2950</v>
      </c>
      <c r="AI77" s="199">
        <v>3350</v>
      </c>
      <c r="AJ77" s="199">
        <v>3700</v>
      </c>
      <c r="AK77" s="199">
        <v>4100</v>
      </c>
      <c r="AL77" s="192">
        <v>4500</v>
      </c>
    </row>
    <row r="78" spans="1:38" ht="15" customHeight="1">
      <c r="A78" s="12">
        <v>0</v>
      </c>
      <c r="B78" s="189">
        <v>1000</v>
      </c>
      <c r="C78" s="199">
        <v>1500</v>
      </c>
      <c r="D78" s="199">
        <v>2000</v>
      </c>
      <c r="E78" s="199">
        <v>2500</v>
      </c>
      <c r="F78" s="199">
        <v>3000</v>
      </c>
      <c r="G78" s="199">
        <v>3500</v>
      </c>
      <c r="H78" s="201">
        <v>99999</v>
      </c>
      <c r="I78" s="82"/>
      <c r="J78" s="82"/>
      <c r="K78" s="82"/>
      <c r="L78" s="82"/>
      <c r="N78" s="12">
        <v>0</v>
      </c>
      <c r="O78" s="189"/>
      <c r="P78" s="199"/>
      <c r="Q78" s="199"/>
      <c r="R78" s="199"/>
      <c r="S78" s="199"/>
      <c r="T78" s="199"/>
      <c r="U78" s="199"/>
      <c r="V78" s="201">
        <v>99999</v>
      </c>
      <c r="AA78" s="12">
        <v>0</v>
      </c>
      <c r="AB78" s="189"/>
      <c r="AC78" s="199"/>
      <c r="AD78" s="199"/>
      <c r="AE78" s="199"/>
      <c r="AF78" s="199"/>
      <c r="AG78" s="199"/>
      <c r="AH78" s="199"/>
      <c r="AI78" s="199"/>
      <c r="AJ78" s="199"/>
      <c r="AK78" s="199"/>
      <c r="AL78" s="201">
        <v>99999</v>
      </c>
    </row>
    <row r="79" spans="1:38" ht="15" customHeight="1">
      <c r="A79" s="12">
        <v>50</v>
      </c>
      <c r="B79" s="196">
        <v>1200</v>
      </c>
      <c r="C79" s="202">
        <v>1900</v>
      </c>
      <c r="D79" s="202">
        <v>2550</v>
      </c>
      <c r="E79" s="202">
        <v>3230</v>
      </c>
      <c r="F79" s="202">
        <v>3900</v>
      </c>
      <c r="G79" s="202">
        <v>4650</v>
      </c>
      <c r="H79" s="201">
        <v>99999</v>
      </c>
      <c r="I79" s="82"/>
      <c r="J79" s="82"/>
      <c r="K79" s="82"/>
      <c r="L79" s="82"/>
      <c r="N79" s="12">
        <v>50</v>
      </c>
      <c r="O79" s="196"/>
      <c r="P79" s="202"/>
      <c r="Q79" s="202"/>
      <c r="R79" s="202"/>
      <c r="S79" s="202"/>
      <c r="T79" s="202"/>
      <c r="U79" s="202"/>
      <c r="V79" s="201">
        <v>99999</v>
      </c>
      <c r="AA79" s="12">
        <v>50</v>
      </c>
      <c r="AB79" s="196"/>
      <c r="AC79" s="202"/>
      <c r="AD79" s="202"/>
      <c r="AE79" s="202"/>
      <c r="AF79" s="202"/>
      <c r="AG79" s="202"/>
      <c r="AH79" s="202"/>
      <c r="AI79" s="202"/>
      <c r="AJ79" s="202"/>
      <c r="AK79" s="202"/>
      <c r="AL79" s="201">
        <v>99999</v>
      </c>
    </row>
    <row r="80" spans="1:38" ht="15" customHeight="1">
      <c r="B80" s="98"/>
      <c r="C80" s="97"/>
      <c r="D80" s="12"/>
      <c r="E80" s="12"/>
      <c r="F80" s="12"/>
      <c r="G80" s="2"/>
      <c r="H80" s="2"/>
      <c r="I80" s="2"/>
      <c r="O80" s="98"/>
      <c r="P80" s="97"/>
      <c r="Q80" s="12"/>
      <c r="R80" s="12"/>
      <c r="S80" s="12"/>
      <c r="T80" s="2"/>
      <c r="U80" s="2"/>
      <c r="V80" s="2"/>
      <c r="AB80" s="98"/>
      <c r="AC80" s="97"/>
      <c r="AD80" s="12"/>
      <c r="AE80" s="12"/>
      <c r="AF80" s="12"/>
      <c r="AG80" s="2"/>
      <c r="AH80" s="2"/>
      <c r="AI80" s="2"/>
    </row>
    <row r="81" spans="2:35" ht="15" customHeight="1">
      <c r="B81" s="98" t="s">
        <v>183</v>
      </c>
      <c r="C81" s="97">
        <f>C74</f>
        <v>1598</v>
      </c>
      <c r="D81" s="251" t="s">
        <v>237</v>
      </c>
      <c r="E81" s="262"/>
      <c r="G81" s="2"/>
      <c r="H81" s="2"/>
      <c r="I81" s="2"/>
      <c r="O81" s="98" t="s">
        <v>183</v>
      </c>
      <c r="P81" s="97" t="e">
        <f>P74</f>
        <v>#N/A</v>
      </c>
      <c r="Q81" s="251" t="s">
        <v>237</v>
      </c>
      <c r="R81" s="262"/>
      <c r="T81" s="2"/>
      <c r="U81" s="2"/>
      <c r="V81" s="2"/>
      <c r="AB81" s="98" t="s">
        <v>183</v>
      </c>
      <c r="AC81" s="97" t="e">
        <f>AC74</f>
        <v>#N/A</v>
      </c>
      <c r="AD81" s="251" t="s">
        <v>237</v>
      </c>
      <c r="AE81" s="262"/>
      <c r="AG81" s="2"/>
      <c r="AH81" s="2"/>
      <c r="AI81" s="2"/>
    </row>
    <row r="82" spans="2:35" ht="15" customHeight="1">
      <c r="B82" s="73" t="s">
        <v>238</v>
      </c>
      <c r="C82" s="100">
        <f t="array" ref="C82">INDEX($B77:$H77,MATCH(C81,$B77:$H77,1))</f>
        <v>1500</v>
      </c>
      <c r="D82" s="73" t="s">
        <v>181</v>
      </c>
      <c r="E82" s="88">
        <f>MATCH(MAX($A78:$A79),$A78:$A79,1)</f>
        <v>2</v>
      </c>
      <c r="G82" s="2"/>
      <c r="H82" s="2"/>
      <c r="I82" s="2"/>
      <c r="O82" s="73" t="s">
        <v>238</v>
      </c>
      <c r="P82" s="100" t="e">
        <f t="array" ref="P82">INDEX($O77:$V77,MATCH(P81,$O77:$V77,1))</f>
        <v>#N/A</v>
      </c>
      <c r="Q82" s="73" t="s">
        <v>181</v>
      </c>
      <c r="R82" s="88">
        <f>MATCH(MAX($N78:$N79),$N78:$N79,1)</f>
        <v>2</v>
      </c>
      <c r="T82" s="2"/>
      <c r="U82" s="2"/>
      <c r="V82" s="2"/>
      <c r="AB82" s="73" t="s">
        <v>238</v>
      </c>
      <c r="AC82" s="100" t="e">
        <f t="array" ref="AC82">INDEX($AB77:$AL77,MATCH(AC81,$AB77:$AL77,1))</f>
        <v>#N/A</v>
      </c>
      <c r="AD82" s="73" t="s">
        <v>181</v>
      </c>
      <c r="AE82" s="88">
        <f>MATCH(MAX($AA78:$AA79),$AA78:$AA79,1)</f>
        <v>2</v>
      </c>
      <c r="AG82" s="2"/>
      <c r="AH82" s="2"/>
      <c r="AI82" s="2"/>
    </row>
    <row r="83" spans="2:35" ht="15" customHeight="1">
      <c r="B83" s="73" t="s">
        <v>239</v>
      </c>
      <c r="C83" s="100">
        <f t="array" ref="C83">INDEX($B77:$H77,IF(MATCH(C81,$B77:$H77,1)&lt;E83,MATCH(C81,$B77:$H77,1)+1,MATCH(C81,$B77:$H77,1)))</f>
        <v>2000</v>
      </c>
      <c r="D83" s="73" t="s">
        <v>182</v>
      </c>
      <c r="E83" s="88">
        <f>MATCH(MAX($B77:$H77),$B77:$H77,0)</f>
        <v>7</v>
      </c>
      <c r="G83" s="2"/>
      <c r="H83" s="2"/>
      <c r="I83" s="2"/>
      <c r="O83" s="73" t="s">
        <v>239</v>
      </c>
      <c r="P83" s="100" t="e">
        <f t="array" ref="P83">INDEX($O77:$V77,IF(MATCH(P81,$O77:$V77,1)&lt;R83,MATCH(P81,$O77:$V77,1)+1,MATCH(P81,$O77:$V77,1)))</f>
        <v>#N/A</v>
      </c>
      <c r="Q83" s="73" t="s">
        <v>182</v>
      </c>
      <c r="R83" s="88">
        <f>MATCH(MAX($O77:$V77),$O77:$V77,0)</f>
        <v>8</v>
      </c>
      <c r="T83" s="2"/>
      <c r="U83" s="2"/>
      <c r="V83" s="2"/>
      <c r="AB83" s="73" t="s">
        <v>239</v>
      </c>
      <c r="AC83" s="100" t="e">
        <f t="array" ref="AC83">INDEX($AB77:$AL77,IF(MATCH(AC81,$AB77:$AL77,1)&lt;AE83,MATCH(AC81,$AB77:$AL77,1)+1,MATCH(AC81,$AB77:$AL77,1)))</f>
        <v>#N/A</v>
      </c>
      <c r="AD83" s="73" t="s">
        <v>182</v>
      </c>
      <c r="AE83" s="88">
        <f>MATCH(MAX($AB77:$AL77),$AB77:$AL77,0)</f>
        <v>11</v>
      </c>
      <c r="AG83" s="2"/>
      <c r="AH83" s="2"/>
      <c r="AI83" s="2"/>
    </row>
    <row r="84" spans="2:35" ht="15" customHeight="1">
      <c r="B84" s="96" t="s">
        <v>184</v>
      </c>
      <c r="C84" s="155">
        <v>50</v>
      </c>
      <c r="D84" s="2"/>
      <c r="E84" s="2"/>
      <c r="G84" s="2"/>
      <c r="H84" s="2"/>
      <c r="I84" s="2"/>
      <c r="O84" s="96" t="s">
        <v>184</v>
      </c>
      <c r="P84" s="155">
        <v>50</v>
      </c>
      <c r="Q84" s="2"/>
      <c r="R84" s="2"/>
      <c r="T84" s="2"/>
      <c r="U84" s="2"/>
      <c r="V84" s="2"/>
      <c r="AB84" s="96" t="s">
        <v>184</v>
      </c>
      <c r="AC84" s="155">
        <v>50</v>
      </c>
      <c r="AD84" s="2"/>
      <c r="AE84" s="2"/>
      <c r="AG84" s="2"/>
      <c r="AH84" s="2"/>
      <c r="AI84" s="2"/>
    </row>
    <row r="85" spans="2:35" ht="15" customHeight="1">
      <c r="B85" s="73" t="s">
        <v>185</v>
      </c>
      <c r="C85" s="100">
        <f t="array" ref="C85">INDEX($A78:$A79,MATCH(C84,$A78:$A79,1))</f>
        <v>50</v>
      </c>
      <c r="D85" s="2"/>
      <c r="E85" s="92"/>
      <c r="G85" s="2"/>
      <c r="H85" s="2"/>
      <c r="I85" s="2"/>
      <c r="O85" s="73" t="s">
        <v>185</v>
      </c>
      <c r="P85" s="100">
        <f t="array" ref="P85">INDEX($N78:$N79,MATCH(P84,$N78:$N79,1))</f>
        <v>50</v>
      </c>
      <c r="Q85" s="2"/>
      <c r="R85" s="92"/>
      <c r="T85" s="2"/>
      <c r="U85" s="2"/>
      <c r="V85" s="2"/>
      <c r="AB85" s="73" t="s">
        <v>185</v>
      </c>
      <c r="AC85" s="100">
        <f t="array" ref="AC85">INDEX($AA78:$AA79,MATCH(AC84,$AA78:$AA79,1))</f>
        <v>50</v>
      </c>
      <c r="AD85" s="2"/>
      <c r="AE85" s="92"/>
      <c r="AG85" s="2"/>
      <c r="AH85" s="2"/>
      <c r="AI85" s="2"/>
    </row>
    <row r="86" spans="2:35" ht="15" customHeight="1">
      <c r="B86" s="73" t="s">
        <v>186</v>
      </c>
      <c r="C86" s="100">
        <f t="array" ref="C86">INDEX($A78:$A79,IF(MATCH(C84,$A78:$A79,1)&lt;E82,MATCH(C84,$A78:$A79,1)+1,MATCH(C84,$A78:$A79,1)))</f>
        <v>50</v>
      </c>
      <c r="D86" s="2"/>
      <c r="E86" s="92"/>
      <c r="G86" s="2"/>
      <c r="H86" s="2"/>
      <c r="I86" s="2"/>
      <c r="O86" s="73" t="s">
        <v>186</v>
      </c>
      <c r="P86" s="100">
        <f t="array" ref="P86">INDEX($N78:$N79,IF(MATCH(P84,$N78:$N79,1)&lt;R82,MATCH(P84,$N78:$N79,1)+1,MATCH(P84,$N78:$N79,1)))</f>
        <v>50</v>
      </c>
      <c r="Q86" s="2"/>
      <c r="R86" s="92"/>
      <c r="T86" s="2"/>
      <c r="U86" s="2"/>
      <c r="V86" s="2"/>
      <c r="AB86" s="73" t="s">
        <v>186</v>
      </c>
      <c r="AC86" s="100">
        <f t="array" ref="AC86">INDEX($AA78:$AA79,IF(MATCH(AC84,$AA78:$AA79,1)&lt;AE82,MATCH(AC84,$AA78:$AA79,1)+1,MATCH(AC84,$AA78:$AA79,1)))</f>
        <v>50</v>
      </c>
      <c r="AD86" s="2"/>
      <c r="AE86" s="92"/>
      <c r="AG86" s="2"/>
      <c r="AH86" s="2"/>
      <c r="AI86" s="2"/>
    </row>
    <row r="87" spans="2:35" ht="15" customHeight="1">
      <c r="B87" s="98" t="s">
        <v>187</v>
      </c>
      <c r="C87" s="97">
        <f t="array" ref="C87">INDEX($B78:$H79,MATCH(C84,$A78:$A79,1),MATCH(C81,$B77:$H77,1))</f>
        <v>1900</v>
      </c>
      <c r="D87" s="2"/>
      <c r="E87" s="92"/>
      <c r="G87" s="2"/>
      <c r="H87" s="2"/>
      <c r="I87" s="2"/>
      <c r="O87" s="98" t="s">
        <v>187</v>
      </c>
      <c r="P87" s="97" t="e">
        <f t="array" ref="P87">INDEX($O78:$V79,MATCH(P84,$N78:$N79,1),MATCH(P81,$O77:$V77,1))</f>
        <v>#N/A</v>
      </c>
      <c r="Q87" s="2"/>
      <c r="R87" s="92"/>
      <c r="T87" s="2"/>
      <c r="U87" s="2"/>
      <c r="V87" s="2"/>
      <c r="AB87" s="98" t="s">
        <v>187</v>
      </c>
      <c r="AC87" s="97" t="e">
        <f t="array" ref="AC87">INDEX($AB78:$AL79,MATCH(AC84,$AA78:$AA79,1),MATCH(AC81,$AB77:$AL77,1))</f>
        <v>#N/A</v>
      </c>
      <c r="AD87" s="2"/>
      <c r="AE87" s="92"/>
      <c r="AG87" s="2"/>
      <c r="AH87" s="2"/>
      <c r="AI87" s="2"/>
    </row>
    <row r="88" spans="2:35" ht="15" customHeight="1">
      <c r="B88" s="98" t="s">
        <v>240</v>
      </c>
      <c r="C88" s="97">
        <f t="array" ref="C88">INDEX($B78:$H79,MATCH(C84,$A78:$A79,1),IF(MATCH(C81,$B77:$H77,1)&lt;E83,MATCH(C81,$B77:$H77,1)+1,MATCH(C84,$A78:$A79,1)))</f>
        <v>2550</v>
      </c>
      <c r="E88" s="92"/>
      <c r="G88" s="2"/>
      <c r="H88" s="2"/>
      <c r="I88" s="2"/>
      <c r="O88" s="98" t="s">
        <v>240</v>
      </c>
      <c r="P88" s="97" t="e">
        <f t="array" ref="P88">INDEX($O78:$V79,MATCH(P84,$N78:$N79,1),IF(MATCH(P81,$O77:$V77,1)&lt;R83,MATCH(P81,$O77:$V77,1)+1,MATCH(P84,$N78:$N79,1)))</f>
        <v>#N/A</v>
      </c>
      <c r="R88" s="92"/>
      <c r="T88" s="2"/>
      <c r="U88" s="2"/>
      <c r="V88" s="2"/>
      <c r="AB88" s="98" t="s">
        <v>240</v>
      </c>
      <c r="AC88" s="97" t="e">
        <f t="array" ref="AC88">INDEX($AB78:$AL79,MATCH(AC84,$AA78:$AA79,1),IF(MATCH(AC81,$AB77:$AL77,1)&lt;AE83,MATCH(AC81,$AB77:$AL77,1)+1,MATCH(AC84,$AA78:$AA79,1)))</f>
        <v>#N/A</v>
      </c>
      <c r="AE88" s="92"/>
      <c r="AG88" s="2"/>
      <c r="AH88" s="2"/>
      <c r="AI88" s="2"/>
    </row>
    <row r="89" spans="2:35" ht="15" customHeight="1">
      <c r="B89" s="98" t="s">
        <v>188</v>
      </c>
      <c r="C89" s="97">
        <f t="array" ref="C89">INDEX($B78:$H79,IF(MATCH(C84,$A78:$A79,1)&lt;E82,MATCH(C84,$A78:$A79,1)+1,MATCH(C84,$A78:$A79,1)),MATCH(C81,$B77:$H77,1))</f>
        <v>1900</v>
      </c>
      <c r="E89" s="92"/>
      <c r="G89" s="2"/>
      <c r="H89" s="2"/>
      <c r="I89" s="2"/>
      <c r="O89" s="98" t="s">
        <v>188</v>
      </c>
      <c r="P89" s="97" t="e">
        <f t="array" ref="P89">INDEX($O78:$V79,IF(MATCH(P84,$N78:$N79,1)&lt;R82,MATCH(P84,$N78:$N79,1)+1,MATCH(P84,$N78:$N79,1)),MATCH(P81,$O77:$V77,1))</f>
        <v>#N/A</v>
      </c>
      <c r="R89" s="92"/>
      <c r="T89" s="2"/>
      <c r="U89" s="2"/>
      <c r="V89" s="2"/>
      <c r="AB89" s="98" t="s">
        <v>188</v>
      </c>
      <c r="AC89" s="97" t="e">
        <f t="array" ref="AC89">INDEX($AB78:$AL79,IF(MATCH(AC84,$AA78:$AA79,1)&lt;AE82,MATCH(AC84,$AA78:$AA79,1)+1,MATCH(AC84,$AA78:$AA79,1)),MATCH(AC81,$AB77:$AL77,1))</f>
        <v>#N/A</v>
      </c>
      <c r="AE89" s="92"/>
      <c r="AG89" s="2"/>
      <c r="AH89" s="2"/>
      <c r="AI89" s="2"/>
    </row>
    <row r="90" spans="2:35" ht="15" customHeight="1">
      <c r="B90" s="98" t="s">
        <v>241</v>
      </c>
      <c r="C90" s="97">
        <f t="array" ref="C90">INDEX($B78:$H79,IF(MATCH(C84,$A78:$A79,1)&lt;E82,MATCH(C84,$A78:$A79,1)+1,MATCH(C84,$A78:$A79,1)),IF(MATCH(C81,$B77:$H77,1)&lt;E83,MATCH(C81,$B77:$H77,1)+1,MATCH(C81,$B77:$H77,1)))</f>
        <v>2550</v>
      </c>
      <c r="G90" s="2"/>
      <c r="H90" s="2"/>
      <c r="I90" s="2"/>
      <c r="O90" s="98" t="s">
        <v>241</v>
      </c>
      <c r="P90" s="97" t="e">
        <f t="array" ref="P90">INDEX($O78:$V79,IF(MATCH(P84,$N78:$N79,1)&lt;R82,MATCH(P84,$N78:$N79,1)+1,MATCH(P84,$N78:$N79,1)),IF(MATCH(P81,$O77:$V77,1)&lt;R83,MATCH(P81,$O77:$V77,1)+1,MATCH(P81,$O77:$V77,1)))</f>
        <v>#N/A</v>
      </c>
      <c r="T90" s="2"/>
      <c r="U90" s="2"/>
      <c r="V90" s="2"/>
      <c r="AB90" s="98" t="s">
        <v>241</v>
      </c>
      <c r="AC90" s="97" t="e">
        <f t="array" ref="AC90">INDEX($AB78:$AL79,IF(MATCH(AC84,$AA78:$AA79,1)&lt;AE82,MATCH(AC84,$AA78:$AA79,1)+1,MATCH(AC84,$AA78:$AA79,1)),IF(MATCH(AC81,$AB77:$AL77,1)&lt;AE83,MATCH(AC81,$AB77:$AL77,1)+1,MATCH(AC81,$AB77:$AL77,1)))</f>
        <v>#N/A</v>
      </c>
      <c r="AG90" s="2"/>
      <c r="AH90" s="2"/>
      <c r="AI90" s="2"/>
    </row>
    <row r="91" spans="2:35" ht="15" customHeight="1">
      <c r="B91" s="73" t="s">
        <v>242</v>
      </c>
      <c r="C91" s="100">
        <f>IFERROR(C87+(C81-C82)*(C88-C87)/(C83-C82),C87)</f>
        <v>2027.4</v>
      </c>
      <c r="G91" s="2"/>
      <c r="H91" s="2"/>
      <c r="I91" s="2"/>
      <c r="O91" s="73" t="s">
        <v>242</v>
      </c>
      <c r="P91" s="100" t="e">
        <f>IFERROR(P87+(P81-P82)*(P88-P87)/(P83-P82),P87)</f>
        <v>#N/A</v>
      </c>
      <c r="T91" s="2"/>
      <c r="U91" s="2"/>
      <c r="V91" s="2"/>
      <c r="AB91" s="73" t="s">
        <v>242</v>
      </c>
      <c r="AC91" s="100" t="e">
        <f>IFERROR(AC87+(AC81-AC82)*(AC88-AC87)/(AC83-AC82),AC87)</f>
        <v>#N/A</v>
      </c>
      <c r="AG91" s="2"/>
      <c r="AH91" s="2"/>
      <c r="AI91" s="2"/>
    </row>
    <row r="92" spans="2:35" ht="15" customHeight="1">
      <c r="B92" s="73" t="s">
        <v>243</v>
      </c>
      <c r="C92" s="100">
        <f>IFERROR(C89+(C81-C82)*(C90-C89)/(C83-C82),C89)</f>
        <v>2027.4</v>
      </c>
      <c r="G92" s="2"/>
      <c r="H92" s="2"/>
      <c r="I92" s="2"/>
      <c r="O92" s="73" t="s">
        <v>243</v>
      </c>
      <c r="P92" s="100" t="e">
        <f>IFERROR(P89+(P81-P82)*(P90-P89)/(P83-P82),P89)</f>
        <v>#N/A</v>
      </c>
      <c r="T92" s="2"/>
      <c r="U92" s="2"/>
      <c r="V92" s="2"/>
      <c r="AB92" s="73" t="s">
        <v>243</v>
      </c>
      <c r="AC92" s="100" t="e">
        <f>IFERROR(AC89+(AC81-AC82)*(AC90-AC89)/(AC83-AC82),AC89)</f>
        <v>#N/A</v>
      </c>
      <c r="AG92" s="2"/>
      <c r="AH92" s="2"/>
      <c r="AI92" s="2"/>
    </row>
    <row r="93" spans="2:35" ht="15" customHeight="1">
      <c r="B93" s="98" t="s">
        <v>244</v>
      </c>
      <c r="C93" s="97">
        <f>IFERROR(C91+(C84-C85)*(C92-C91)/(C86-C85),C91)</f>
        <v>2027.4</v>
      </c>
      <c r="G93" s="2"/>
      <c r="H93" s="2"/>
      <c r="I93" s="2"/>
      <c r="O93" s="98" t="s">
        <v>244</v>
      </c>
      <c r="P93" s="97" t="e">
        <f>IFERROR(P91+(P84-P85)*(P92-P91)/(P86-P85),P91)</f>
        <v>#N/A</v>
      </c>
      <c r="T93" s="2"/>
      <c r="U93" s="2"/>
      <c r="V93" s="2"/>
      <c r="AB93" s="98" t="s">
        <v>244</v>
      </c>
      <c r="AC93" s="97" t="e">
        <f>IFERROR(AC91+(AC84-AC85)*(AC92-AC91)/(AC86-AC85),AC91)</f>
        <v>#N/A</v>
      </c>
      <c r="AG93" s="2"/>
      <c r="AH93" s="2"/>
      <c r="AI93" s="2"/>
    </row>
    <row r="94" spans="2:35" ht="15" customHeight="1">
      <c r="C94" s="176"/>
      <c r="P94" s="176"/>
      <c r="AC94" s="176"/>
    </row>
    <row r="95" spans="2:35" ht="15" customHeight="1">
      <c r="C95" s="99"/>
      <c r="P95" s="99"/>
      <c r="AC95" s="99"/>
    </row>
    <row r="96" spans="2:35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Q81:R81"/>
    <mergeCell ref="AD81:AE81"/>
    <mergeCell ref="D62:E62"/>
    <mergeCell ref="Q62:R62"/>
    <mergeCell ref="AD62:AE62"/>
    <mergeCell ref="B76:I76"/>
    <mergeCell ref="O76:V76"/>
    <mergeCell ref="AB76:AI76"/>
    <mergeCell ref="D81:E81"/>
    <mergeCell ref="O56:V56"/>
    <mergeCell ref="AB56:AI56"/>
    <mergeCell ref="B30:G30"/>
    <mergeCell ref="O30:T30"/>
    <mergeCell ref="AB30:AG30"/>
    <mergeCell ref="D42:E42"/>
    <mergeCell ref="Q42:R42"/>
    <mergeCell ref="AD42:AE42"/>
    <mergeCell ref="B56:I56"/>
    <mergeCell ref="Q16:R16"/>
    <mergeCell ref="AD16:AE16"/>
    <mergeCell ref="AR16:AS16"/>
    <mergeCell ref="AZ16:BA16"/>
    <mergeCell ref="B3:L3"/>
    <mergeCell ref="O3:Y3"/>
    <mergeCell ref="AB3:AL3"/>
    <mergeCell ref="B4:F4"/>
    <mergeCell ref="O4:S4"/>
    <mergeCell ref="AB4:AF4"/>
    <mergeCell ref="D16:E16"/>
  </mergeCells>
  <conditionalFormatting sqref="B6: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3">
      <colorScale>
        <cfvo type="min"/>
        <cfvo type="max"/>
        <color rgb="FFFCFCFF"/>
        <color rgb="FFF8696B"/>
      </colorScale>
    </cfRule>
  </conditionalFormatting>
  <conditionalFormatting sqref="B78:G79">
    <cfRule type="colorScale" priority="4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5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6">
      <colorScale>
        <cfvo type="min"/>
        <cfvo type="max"/>
        <color rgb="FFFCFCFF"/>
        <color rgb="FFF8696B"/>
      </colorScale>
    </cfRule>
  </conditionalFormatting>
  <conditionalFormatting sqref="O58:U60">
    <cfRule type="colorScale" priority="7">
      <colorScale>
        <cfvo type="min"/>
        <cfvo type="max"/>
        <color rgb="FFFCFCFF"/>
        <color rgb="FFF8696B"/>
      </colorScale>
    </cfRule>
  </conditionalFormatting>
  <conditionalFormatting sqref="O78:U79">
    <cfRule type="colorScale" priority="8">
      <colorScale>
        <cfvo type="min"/>
        <cfvo type="max"/>
        <color rgb="FFFCFCFF"/>
        <color rgb="FFF8696B"/>
      </colorScale>
    </cfRule>
  </conditionalFormatting>
  <conditionalFormatting sqref="P32:S39">
    <cfRule type="colorScale" priority="9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58:AG60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78:AK79">
    <cfRule type="colorScale" priority="13">
      <colorScale>
        <cfvo type="min"/>
        <cfvo type="max"/>
        <color rgb="FFFCFCFF"/>
        <color rgb="FFF8696B"/>
      </colorScale>
    </cfRule>
  </conditionalFormatting>
  <conditionalFormatting sqref="AC32:AF39">
    <cfRule type="colorScale" priority="14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15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Markus Uppenberg</cp:lastModifiedBy>
  <cp:revision/>
  <dcterms:created xsi:type="dcterms:W3CDTF">2026-09-30T06:31:27Z</dcterms:created>
  <dcterms:modified xsi:type="dcterms:W3CDTF">2026-09-30T06:31:27Z</dcterms:modified>
  <cp:category/>
  <cp:contentStatus/>
</cp:coreProperties>
</file>