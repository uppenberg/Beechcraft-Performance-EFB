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e-off" sheetId="1" r:id="rId5"/>
    <sheet state="visible" name="Landing" sheetId="2" r:id="rId6"/>
    <sheet state="visible" name="Airport data" sheetId="3" r:id="rId7"/>
    <sheet state="visible" name="Dropdown lists" sheetId="4" r:id="rId8"/>
    <sheet state="visible" name="LTL_LDG Performance" sheetId="5" r:id="rId9"/>
    <sheet state="visible" name="LTL_TAKE OFF Performance FLAPS " sheetId="6" r:id="rId10"/>
    <sheet state="visible" name="Blad3" sheetId="7" r:id="rId11"/>
    <sheet state="visible" name="LTL_Landing distance data" sheetId="8" r:id="rId12"/>
    <sheet state="visible" name="LTL_Accelerate and GO (2)" sheetId="9" r:id="rId13"/>
    <sheet state="visible" name="LTL_Accelerate and stop2" sheetId="10" r:id="rId14"/>
    <sheet state="visible" name="LTL_OEI CLIMB GRADIENT" sheetId="11" r:id="rId15"/>
    <sheet state="visible" name="LTL_NET GRADIENT OF CLIMB" sheetId="12" r:id="rId16"/>
    <sheet state="visible" name="LTL_Takeoff distance (2)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tc={1e351f40-92c6-47ed-ab42-4b56f98145a6}</author>
    <author>tc={2fab5a5e-b843-4ed5-942d-1db510423e0e}</author>
    <author>tc={8bd70d89-d93b-4af7-8c07-b787ac1c8294}</author>
    <author>tc={bedb02f0-b54e-4c0e-b1ef-9fc1f6e4d396}</author>
    <author>tc={dbfe3512-74e1-44ae-9d49-ac8c6aa65c95}</author>
  </authors>
  <commentList>
    <comment authorId="0" xr:uid="{1e351f40-92c6-47ed-ab42-4b56f98145a6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Includes 10m for aircraft alignment
</t>
      </text>
    </comment>
    <comment authorId="1" xr:uid="{2fab5a5e-b843-4ed5-942d-1db510423e0e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Climb Gradient (%) wind corrected = Climb Gradient (%) x (Airspeed/ GS)
50% headwind
150% tailwind
</t>
      </text>
    </comment>
    <comment authorId="2" xr:uid="{8bd70d89-d93b-4af7-8c07-b787ac1c8294}" ref="I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Hinderfritt 2,5%
Plus 0,8% marginal
Annars står det på SID eller på annan plats
</t>
      </text>
    </comment>
    <comment authorId="3" xr:uid="{bedb02f0-b54e-4c0e-b1ef-9fc1f6e4d396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Includes 10m for aircraft alignment
</t>
      </text>
    </comment>
    <comment authorId="4" xr:uid="{dbfe3512-74e1-44ae-9d49-ac8c6aa65c95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@markus.uppenberg@jonair.se Det som står här i gult betyder ju att man kan starta med Engine Anti-ice ON om vi kan få ut max torque. 
Jag har dock inte hittat stöd för det i 200ans AFM bara i 1900. Men jag förstår inte varför prestandan ändras om man får ut max torque.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tc={a93e9c67-4bda-47ab-b37b-389aa85c152c}</author>
    <author>tc={efac0845-592d-4113-b9ac-c129a309f311}</author>
  </authors>
  <commentList>
    <comment authorId="0" xr:uid="{a93e9c67-4bda-47ab-b37b-389aa85c152c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Climb Gradient (%) wind corrected = Climb Gradient (%) x (Airspeed/ GS)
50% headwind
150% tailwind
</t>
      </text>
    </comment>
    <comment authorId="1" xr:uid="{efac0845-592d-4113-b9ac-c129a309f311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RWCC eller "70%" (OM-A 8.1.5.6 Commencement and continuation of an approach)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tc={c1dfbf76-7a3e-408a-9f9d-3aff83575622}</author>
    <author>tc={f71a44d2-93cc-405d-95ec-df9f3e162a39}</author>
  </authors>
  <commentList>
    <comment authorId="0" xr:uid="{c1dfbf76-7a3e-408a-9f9d-3aff83575622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Till 15 fot enligt reglerna
</t>
      </text>
    </comment>
    <comment authorId="1" xr:uid="{f71a44d2-93cc-405d-95ec-df9f3e162a39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Till 35 fot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tc={2a2bbff1-76aa-4fbe-ba85-36a2f297ce86}</author>
    <author>tc={917e309f-6a41-497a-86b0-a27f2143dc6c}</author>
  </authors>
  <commentList>
    <comment authorId="0" xr:uid="{2a2bbff1-76aa-4fbe-ba85-36a2f297ce86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Till 15 fot enligt reglerna
</t>
      </text>
    </comment>
    <comment authorId="1" xr:uid="{917e309f-6a41-497a-86b0-a27f2143dc6c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Till 35 fot
</t>
      </text>
    </comment>
  </commentList>
</comments>
</file>

<file path=xl/sharedStrings.xml><?xml version="1.0" encoding="utf-8"?>
<sst xmlns="http://schemas.openxmlformats.org/spreadsheetml/2006/main" count="1305" uniqueCount="270">
  <si>
    <t>Airport</t>
  </si>
  <si>
    <t>Factors</t>
  </si>
  <si>
    <t>X-wind</t>
  </si>
  <si>
    <t>Runway Threshold Elevation:</t>
  </si>
  <si>
    <t>TORA</t>
  </si>
  <si>
    <t>RWCC</t>
  </si>
  <si>
    <t>Faktor</t>
  </si>
  <si>
    <t>Limit</t>
  </si>
  <si>
    <t>TODA</t>
  </si>
  <si>
    <t>ASDA</t>
  </si>
  <si>
    <t>LDA:</t>
  </si>
  <si>
    <t>FLAPS</t>
  </si>
  <si>
    <t>RWY Slope:</t>
  </si>
  <si>
    <t>Runway take off</t>
  </si>
  <si>
    <t>RWY
HDG</t>
  </si>
  <si>
    <t>Engine anti-ice</t>
  </si>
  <si>
    <t>Minimum departure climb gradient, obstacles</t>
  </si>
  <si>
    <t>Uppdaterad</t>
  </si>
  <si>
    <t>ESCAPE ROUTE INFO</t>
  </si>
  <si>
    <t>Min cloud base</t>
  </si>
  <si>
    <t>Routing</t>
  </si>
  <si>
    <t>[ft]</t>
  </si>
  <si>
    <t>[m]</t>
  </si>
  <si>
    <t>ON</t>
  </si>
  <si>
    <t>OFF</t>
  </si>
  <si>
    <t>[%]</t>
  </si>
  <si>
    <t>[°]</t>
  </si>
  <si>
    <t>Runway contaminant</t>
  </si>
  <si>
    <t>[Date]</t>
  </si>
  <si>
    <t>Måttenhet</t>
  </si>
  <si>
    <t>Max</t>
  </si>
  <si>
    <t>No airport selected</t>
  </si>
  <si>
    <t>Wet Runway</t>
  </si>
  <si>
    <t>-</t>
  </si>
  <si>
    <t>N/A</t>
  </si>
  <si>
    <t>Compacted snow</t>
  </si>
  <si>
    <t>Dry snow</t>
  </si>
  <si>
    <t>mm</t>
  </si>
  <si>
    <t>Wet snow</t>
  </si>
  <si>
    <t>Slush</t>
  </si>
  <si>
    <t>Custom airport</t>
  </si>
  <si>
    <t>Standing water</t>
  </si>
  <si>
    <t>No contaminant</t>
  </si>
  <si>
    <t>Technique</t>
  </si>
  <si>
    <t>Static T/O power</t>
  </si>
  <si>
    <t>Rolling take off</t>
  </si>
  <si>
    <t>Kör mot OY gör en racetrack entry och stig på QDR 090 till MSA.</t>
  </si>
  <si>
    <t>ÄNDRA ljusgröna RADER VID BEHOV</t>
  </si>
  <si>
    <t>ESKM RWY 16</t>
  </si>
  <si>
    <t>ESKM RWY 34</t>
  </si>
  <si>
    <t>ESND RWY 09</t>
  </si>
  <si>
    <t>ESSA</t>
  </si>
  <si>
    <t>ESND RWY 27</t>
  </si>
  <si>
    <t>ESNU 14 B</t>
  </si>
  <si>
    <t>ESNU 14 FULL</t>
  </si>
  <si>
    <t>ESNU 32</t>
  </si>
  <si>
    <t>ESNU 32 D</t>
  </si>
  <si>
    <t>ESNZ RWY 12 G</t>
  </si>
  <si>
    <t>ESNZ RWY 30</t>
  </si>
  <si>
    <t>ESOH RWY 18</t>
  </si>
  <si>
    <t>ESOH RWY 36</t>
  </si>
  <si>
    <t>ESPA RWY 14 A3</t>
  </si>
  <si>
    <t>ESPA RWY 32 A5</t>
  </si>
  <si>
    <t>ESSA 01L FULL</t>
  </si>
  <si>
    <t>ESSA 01L Y3</t>
  </si>
  <si>
    <t>ESSA 01R FULL</t>
  </si>
  <si>
    <t>ESSA 01R W3</t>
  </si>
  <si>
    <t>ESSA 08 FULL</t>
  </si>
  <si>
    <t>ESSA 08 X3</t>
  </si>
  <si>
    <t>ESSA 19L FULL</t>
  </si>
  <si>
    <t>ESSA 19L W6</t>
  </si>
  <si>
    <t>ESSA 19R FULL</t>
  </si>
  <si>
    <t>ESSA 19R Y8</t>
  </si>
  <si>
    <t>ESSA RWY 08 X3</t>
  </si>
  <si>
    <t>ESSA RWY 26</t>
  </si>
  <si>
    <t>ESSB  30</t>
  </si>
  <si>
    <t>ESSB 12  Y1</t>
  </si>
  <si>
    <t>ESSB 30  Y5</t>
  </si>
  <si>
    <t>Landning distance Beech 200 - SE-LTL</t>
  </si>
  <si>
    <t>SE-LTL</t>
  </si>
  <si>
    <t>ESSB RWY 12</t>
  </si>
  <si>
    <t>ESSP 09</t>
  </si>
  <si>
    <t>ESSP 27</t>
  </si>
  <si>
    <t>ESST RWY 16</t>
  </si>
  <si>
    <t>ESST RWY 34</t>
  </si>
  <si>
    <t>ESUP RWY 11</t>
  </si>
  <si>
    <t xml:space="preserve">Take-off distance Beech 200 </t>
  </si>
  <si>
    <t>Version</t>
  </si>
  <si>
    <t>Interpoleringsverktyg för landningsträcka</t>
  </si>
  <si>
    <t>2026-XY-ZV</t>
  </si>
  <si>
    <t>Flygplats och bana:</t>
  </si>
  <si>
    <t>Interpoleringsverktyg för startsträcka från AFM.</t>
  </si>
  <si>
    <t>ESUP RWY 29</t>
  </si>
  <si>
    <t>ESUP 300450Z AUTO 00000KT 9999 ///////// M02/M02 Q1034</t>
  </si>
  <si>
    <t>Wind direction:</t>
  </si>
  <si>
    <t>°</t>
  </si>
  <si>
    <t>Wind speed:</t>
  </si>
  <si>
    <t>ESUT RWY 15</t>
  </si>
  <si>
    <t>kt</t>
  </si>
  <si>
    <t>Climb STRAIGHT ahead to "SUT" LOCATOR and enter published holding.</t>
  </si>
  <si>
    <t>Outside air temperature:</t>
  </si>
  <si>
    <t>°C</t>
  </si>
  <si>
    <t>Source:</t>
  </si>
  <si>
    <t>AIP</t>
  </si>
  <si>
    <t>AIP AD</t>
  </si>
  <si>
    <t>AIP AD 2.12</t>
  </si>
  <si>
    <t>Remove manual MET</t>
  </si>
  <si>
    <t>Uträknat från AIP "AOC"</t>
  </si>
  <si>
    <t>QNH</t>
  </si>
  <si>
    <t>Hpa</t>
  </si>
  <si>
    <t>LANDING PERFORMANCE (Normal)</t>
  </si>
  <si>
    <t>Runway Condition Code</t>
  </si>
  <si>
    <t>EMG RETURN</t>
  </si>
  <si>
    <t>FLAPS UP</t>
  </si>
  <si>
    <t>Normal</t>
  </si>
  <si>
    <t>Landing Mass</t>
  </si>
  <si>
    <t>Speeds</t>
  </si>
  <si>
    <t>MANUAL MET -&gt;</t>
  </si>
  <si>
    <t>REFRESH METAR</t>
  </si>
  <si>
    <t>Vref</t>
  </si>
  <si>
    <t>Manual MET -&gt;</t>
  </si>
  <si>
    <t>Contaminant depth</t>
  </si>
  <si>
    <t>Max:</t>
  </si>
  <si>
    <t>Landing weight</t>
  </si>
  <si>
    <t>Lbs</t>
  </si>
  <si>
    <t>Max landing weight</t>
  </si>
  <si>
    <t>Engine Anti-ice</t>
  </si>
  <si>
    <t>Airport data</t>
  </si>
  <si>
    <t>Engine anti-ice can be disregarded (OFF in calculation) whenever 3300 lbs/ft take-off power can be obtained</t>
  </si>
  <si>
    <t>Table size Landing distance</t>
  </si>
  <si>
    <t>Elevation:</t>
  </si>
  <si>
    <t>Rows:</t>
  </si>
  <si>
    <t>Columns:</t>
  </si>
  <si>
    <t>Take off mass:</t>
  </si>
  <si>
    <t>x_n:</t>
  </si>
  <si>
    <t>Airport data (Expandable)</t>
  </si>
  <si>
    <t>y_n:</t>
  </si>
  <si>
    <t>Från 1900an. Men borde vara lika på alla om man får ut max torque. Men det är inte utskrivet vad jag sett.</t>
  </si>
  <si>
    <t>Treshold elevation:</t>
  </si>
  <si>
    <t>n1:</t>
  </si>
  <si>
    <t>ft</t>
  </si>
  <si>
    <t>Runway Slope:</t>
  </si>
  <si>
    <t>%</t>
  </si>
  <si>
    <t>+ = upphill</t>
  </si>
  <si>
    <t>RWY Heading:</t>
  </si>
  <si>
    <t>n2:</t>
  </si>
  <si>
    <t>m</t>
  </si>
  <si>
    <t>Calculated data</t>
  </si>
  <si>
    <t>Landing Distance Factor</t>
  </si>
  <si>
    <t>ASDA:</t>
  </si>
  <si>
    <t>Head/Tail wind</t>
  </si>
  <si>
    <t>Req gradient:</t>
  </si>
  <si>
    <t>Kt</t>
  </si>
  <si>
    <t>Crosswind</t>
  </si>
  <si>
    <t>TORA:</t>
  </si>
  <si>
    <t>TODA:</t>
  </si>
  <si>
    <t>Take off PERFORMANCE (FLAPS UP)</t>
  </si>
  <si>
    <t>UP</t>
  </si>
  <si>
    <t>TOR</t>
  </si>
  <si>
    <t>FLAPS:</t>
  </si>
  <si>
    <t>villkorsberoende format wind, xwind, limit</t>
  </si>
  <si>
    <t>TAKE-OFF</t>
  </si>
  <si>
    <t>Ny källa metar script landing</t>
  </si>
  <si>
    <t>APP</t>
  </si>
  <si>
    <t>FULL</t>
  </si>
  <si>
    <t>y1_n1:</t>
  </si>
  <si>
    <t>Jämförelse rätt metar</t>
  </si>
  <si>
    <t>Landing Distance</t>
  </si>
  <si>
    <t>V1/R</t>
  </si>
  <si>
    <t>V2</t>
  </si>
  <si>
    <t>VREF [kts]</t>
  </si>
  <si>
    <t>Dry Runway (Expandable)</t>
  </si>
  <si>
    <t>Landing Distance factored [m]</t>
  </si>
  <si>
    <t>Ground Roll [m]</t>
  </si>
  <si>
    <t>Flap Up based on AFM graph</t>
  </si>
  <si>
    <t>Take off distance [m]</t>
  </si>
  <si>
    <t>Table size Vref</t>
  </si>
  <si>
    <t>y1_n2:</t>
  </si>
  <si>
    <t>Missed approach</t>
  </si>
  <si>
    <t>Accelerade &amp; STOP [m]</t>
  </si>
  <si>
    <t>OEI Climb Gradient [%]</t>
  </si>
  <si>
    <t>V1 [kts]</t>
  </si>
  <si>
    <t>VR [kts]</t>
  </si>
  <si>
    <t>Gradient includes wind, 150% &amp; 50%</t>
  </si>
  <si>
    <t>V2 [kts]</t>
  </si>
  <si>
    <t>Flaps UP</t>
  </si>
  <si>
    <t>Flaps FULL</t>
  </si>
  <si>
    <t>LDA</t>
  </si>
  <si>
    <t>Selected contaminant</t>
  </si>
  <si>
    <t>Landing distance</t>
  </si>
  <si>
    <t>Vref:</t>
  </si>
  <si>
    <t>Standard Procedure Design Gradient (PDG): 3,3%</t>
  </si>
  <si>
    <t>Climb</t>
  </si>
  <si>
    <t>Net Gradient OEI wings level [%]</t>
  </si>
  <si>
    <t>Windcalc</t>
  </si>
  <si>
    <t>WCA</t>
  </si>
  <si>
    <t>Factor</t>
  </si>
  <si>
    <t>H/T wind</t>
  </si>
  <si>
    <t>Emergency Return</t>
  </si>
  <si>
    <t>Landing Distance [m]</t>
  </si>
  <si>
    <t>Crosswind factor</t>
  </si>
  <si>
    <t>Engine out procedure</t>
  </si>
  <si>
    <t>Landing distance required calculations</t>
  </si>
  <si>
    <t>Unfactorised</t>
  </si>
  <si>
    <t>Factorised</t>
  </si>
  <si>
    <t>Minimum cloud base:</t>
  </si>
  <si>
    <t>Landing Distance Factor:</t>
  </si>
  <si>
    <t>Flat</t>
  </si>
  <si>
    <t>Teknik</t>
  </si>
  <si>
    <t>Runwayfactor &lt;5</t>
  </si>
  <si>
    <t>Runwayfactor &lt;3</t>
  </si>
  <si>
    <t>Slope</t>
  </si>
  <si>
    <t>Totalt</t>
  </si>
  <si>
    <t>Factor for Contaminant type</t>
  </si>
  <si>
    <t>Tot before</t>
  </si>
  <si>
    <t>Correction</t>
  </si>
  <si>
    <t>Rulebased factor</t>
  </si>
  <si>
    <t>Correction 15ft istället för 35ft</t>
  </si>
  <si>
    <t>Total contaminated</t>
  </si>
  <si>
    <t>Ground Roll</t>
  </si>
  <si>
    <t>Escape Route:</t>
  </si>
  <si>
    <t>LANDING PERFORMANCE (UP)</t>
  </si>
  <si>
    <t>Landing Distance Flaps LAND [feet]</t>
  </si>
  <si>
    <t>2900Ft Max i grafen</t>
  </si>
  <si>
    <t>Take off distance</t>
  </si>
  <si>
    <t>Accelerate GO DRY</t>
  </si>
  <si>
    <t>Accelerate GO WET/CONT</t>
  </si>
  <si>
    <t>35 fot</t>
  </si>
  <si>
    <t>Accelerate stop</t>
  </si>
  <si>
    <t>TDR</t>
  </si>
  <si>
    <t>T/O Distance:</t>
  </si>
  <si>
    <t>TAKE OFF PERFORMANCE (FLAPS APPROACH)</t>
  </si>
  <si>
    <t xml:space="preserve"> Mass</t>
  </si>
  <si>
    <t>Pressure Alt</t>
  </si>
  <si>
    <t>EMG Return</t>
  </si>
  <si>
    <t>Temp in calc</t>
  </si>
  <si>
    <t>NORMAL</t>
  </si>
  <si>
    <t>Landing</t>
  </si>
  <si>
    <t>Density Altitude</t>
  </si>
  <si>
    <t>Table size</t>
  </si>
  <si>
    <t>x1_n:</t>
  </si>
  <si>
    <t>x2_n:</t>
  </si>
  <si>
    <t>Windcorrected distances</t>
  </si>
  <si>
    <t>Includes ICE-Vane. Could be disregarded for us</t>
  </si>
  <si>
    <t>FLAPS TAKEOFF</t>
  </si>
  <si>
    <t>FLAPS APPROACH</t>
  </si>
  <si>
    <t>Density altitude</t>
  </si>
  <si>
    <t>Temp/PA</t>
  </si>
  <si>
    <t>Accelerate STOP distance</t>
  </si>
  <si>
    <t>y2_n1:</t>
  </si>
  <si>
    <t>y2_n2:</t>
  </si>
  <si>
    <t>GRadient adjustments</t>
  </si>
  <si>
    <t>y_n1:</t>
  </si>
  <si>
    <t>y_n2:</t>
  </si>
  <si>
    <t>Distance</t>
  </si>
  <si>
    <t>Vikt</t>
  </si>
  <si>
    <t>NET GRADIENT OF CLIMB - FLAPS UP</t>
  </si>
  <si>
    <t>Vind</t>
  </si>
  <si>
    <t>ROC</t>
  </si>
  <si>
    <t>ROC-&gt;Gradient</t>
  </si>
  <si>
    <t>Obstacle height</t>
  </si>
  <si>
    <t>Meter</t>
  </si>
  <si>
    <t>ICE VANE CORR</t>
  </si>
  <si>
    <t>35 fot extra</t>
  </si>
  <si>
    <t>NET GRADIENT OF CLIMB - FLAPS TAKEOFF</t>
  </si>
  <si>
    <t>NET GRADIENT OF CLIMB - FLAPS APPROACH</t>
  </si>
  <si>
    <t>TAKE OFF DISTANCE - FLAPS UP</t>
  </si>
  <si>
    <t>TAKE OFF DISTANCE - FLAPS TAKEOFF</t>
  </si>
  <si>
    <t>TAKE OFF DISTANCE - FLAPS APPROACH</t>
  </si>
  <si>
    <t>Gradient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</si>
</sst>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yyyy\-mm\-dd"/>
  </numFmts>
  <fonts count="2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sz val="14.0"/>
      <color theme="1"/>
      <name val="Calibri"/>
    </font>
    <font>
      <b/>
      <sz val="25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b/>
      <sz val="17.0"/>
      <color theme="1"/>
      <name val="Calibri"/>
    </font>
    <font>
      <b/>
      <sz val="17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24.0"/>
      <color theme="1"/>
      <name val="Calibri"/>
    </font>
    <font>
      <sz val="25.0"/>
      <color theme="1"/>
      <name val="Calibri"/>
    </font>
    <font>
      <sz val="8.0"/>
      <color rgb="FF000000"/>
      <name val="Arial"/>
    </font>
    <font>
      <sz val="8.0"/>
      <color theme="1"/>
      <name val="Calibri"/>
    </font>
    <font>
      <sz val="9.0"/>
      <color rgb="FF000000"/>
      <name val="Google Sans"/>
    </font>
    <font>
      <sz val="11.0"/>
      <color theme="0"/>
      <name val="Calibri"/>
    </font>
    <font>
      <sz val="12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</fills>
  <borders count="134">
    <border/>
    <border>
      <left style="double">
        <color rgb="FF000000"/>
      </left>
      <right style="medium">
        <color rgb="FF000000"/>
      </right>
      <top style="double">
        <color rgb="FF000000"/>
      </top>
    </border>
    <border>
      <left/>
      <right style="thin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double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/>
      <top style="dotted">
        <color rgb="FF000000"/>
      </top>
      <bottom/>
    </border>
    <border>
      <left style="thin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rgb="FF000000"/>
      </bottom>
    </border>
    <border>
      <left style="thin">
        <color rgb="FF000000"/>
      </left>
      <top style="dotted">
        <color rgb="FF000000"/>
      </top>
      <bottom style="double">
        <color rgb="FF000000"/>
      </bottom>
    </border>
    <border>
      <left style="thin">
        <color rgb="FF000000"/>
      </left>
      <right/>
      <top style="dotted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tted">
        <color rgb="FF000000"/>
      </top>
      <bottom style="double">
        <color rgb="FF000000"/>
      </bottom>
    </border>
    <border>
      <left/>
      <right/>
      <bottom/>
    </border>
    <border>
      <left style="thin">
        <color rgb="FF000000"/>
      </left>
      <right/>
      <top/>
      <bottom style="dotted">
        <color rgb="FF000000"/>
      </bottom>
    </border>
    <border>
      <left style="thin">
        <color rgb="FF000000"/>
      </left>
      <top/>
      <bottom style="dotted">
        <color rgb="FF000000"/>
      </bottom>
    </border>
    <border>
      <left style="thin">
        <color rgb="FF000000"/>
      </left>
      <right style="double">
        <color rgb="FF000000"/>
      </right>
      <top/>
      <bottom style="dotted">
        <color rgb="FF000000"/>
      </bottom>
    </border>
    <border>
      <left style="double">
        <color rgb="FF000000"/>
      </left>
      <right style="medium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/>
    </border>
    <border>
      <left style="double">
        <color rgb="FF000000"/>
      </left>
      <right style="medium">
        <color rgb="FF000000"/>
      </right>
      <top style="dotted">
        <color rgb="FF000000"/>
      </top>
      <bottom/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top/>
    </border>
    <border>
      <top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double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right style="double">
        <color rgb="FF000000"/>
      </righ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right style="double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</border>
    <border>
      <lef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medium">
        <color rgb="FF000000"/>
      </right>
      <top style="dotted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double">
        <color rgb="FF000000"/>
      </left>
      <right style="medium">
        <color rgb="FF000000"/>
      </right>
      <top style="dotted">
        <color rgb="FF000000"/>
      </top>
      <bottom style="double">
        <color rgb="FF000000"/>
      </bottom>
    </border>
    <border>
      <left style="medium">
        <color rgb="FF000000"/>
      </left>
      <top style="dotted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dotted">
        <color rgb="FF000000"/>
      </top>
      <bottom style="double">
        <color rgb="FF000000"/>
      </bottom>
    </border>
    <border>
      <right style="double">
        <color rgb="FF000000"/>
      </right>
      <top style="dotted">
        <color rgb="FF000000"/>
      </top>
      <bottom style="double">
        <color rgb="FF000000"/>
      </bottom>
    </border>
    <border>
      <top style="dotted">
        <color rgb="FF000000"/>
      </top>
      <bottom style="double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double">
        <color rgb="FF000000"/>
      </left>
      <right style="medium">
        <color rgb="FF000000"/>
      </right>
      <bottom style="dotted">
        <color rgb="FF000000"/>
      </bottom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3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 vertical="center"/>
    </xf>
    <xf borderId="2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2" fontId="1" numFmtId="0" xfId="0" applyAlignment="1" applyBorder="1" applyFill="1" applyFont="1">
      <alignment horizontal="center"/>
    </xf>
    <xf borderId="6" fillId="2" fontId="1" numFmtId="0" xfId="0" applyAlignment="1" applyBorder="1" applyFill="1" applyFont="1">
      <alignment horizontal="center" shrinkToFit="0" wrapText="1"/>
    </xf>
    <xf borderId="7" fillId="2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2" fontId="1" numFmtId="0" xfId="0" applyAlignment="1" applyFill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2" fontId="2" numFmtId="0" xfId="0" applyAlignment="1" applyBorder="1" applyFill="1" applyFont="1">
      <alignment horizontal="center" shrinkToFit="0" wrapText="1"/>
    </xf>
    <xf borderId="0" fillId="0" fontId="4" numFmtId="0" xfId="0" applyFont="1"/>
    <xf borderId="17" fillId="2" fontId="2" numFmtId="0" xfId="0" applyAlignment="1" applyBorder="1" applyFill="1" applyFont="1">
      <alignment horizontal="center" shrinkToFit="0" vertical="bottom" wrapText="1"/>
    </xf>
    <xf borderId="17" fillId="2" fontId="2" numFmtId="0" xfId="0" applyAlignment="1" applyBorder="1" applyFill="1" applyFont="1">
      <alignment horizontal="center" shrinkToFit="0" wrapText="1"/>
    </xf>
    <xf borderId="18" fillId="0" fontId="1" numFmtId="0" xfId="0" applyAlignment="1" applyBorder="1" applyFont="1">
      <alignment horizontal="center" vertical="center"/>
    </xf>
    <xf borderId="19" fillId="2" fontId="2" numFmtId="0" xfId="0" applyAlignment="1" applyBorder="1" applyFill="1" applyFont="1">
      <alignment horizontal="center" shrinkToFit="0" wrapText="1"/>
    </xf>
    <xf borderId="0" fillId="2" fontId="2" numFmtId="0" xfId="0" applyAlignment="1" applyFill="1" applyFont="1">
      <alignment horizontal="center" shrinkToFit="0" wrapText="1"/>
    </xf>
    <xf borderId="0" fillId="0" fontId="2" numFmtId="0" xfId="0" applyFont="1"/>
    <xf borderId="20" fillId="2" fontId="2" numFmtId="0" xfId="0" applyAlignment="1" applyBorder="1" applyFill="1" applyFont="1">
      <alignment horizontal="center"/>
    </xf>
    <xf borderId="21" fillId="0" fontId="2" numFmtId="0" xfId="0" applyBorder="1" applyFont="1"/>
    <xf quotePrefix="1" borderId="22" fillId="2" fontId="2" numFmtId="0" xfId="0" applyAlignment="1" applyBorder="1" applyFill="1" applyFont="1">
      <alignment horizontal="center" shrinkToFit="0" wrapText="1"/>
    </xf>
    <xf borderId="0" fillId="0" fontId="2" numFmtId="164" xfId="0" applyAlignment="1" applyFont="1" applyNumberFormat="1">
      <alignment horizontal="center" vertical="center"/>
    </xf>
    <xf borderId="22" fillId="2" fontId="2" numFmtId="0" xfId="0" applyAlignment="1" applyBorder="1" applyFill="1" applyFont="1">
      <alignment horizontal="center" shrinkToFit="0" wrapText="1"/>
    </xf>
    <xf borderId="23" fillId="0" fontId="2" numFmtId="0" xfId="0" applyBorder="1" applyFont="1"/>
    <xf quotePrefix="1" borderId="22" fillId="2" fontId="2" numFmtId="1" xfId="0" applyAlignment="1" applyBorder="1" applyFill="1" applyFont="1" applyNumberFormat="1">
      <alignment horizontal="center" shrinkToFit="0" wrapText="1"/>
    </xf>
    <xf borderId="22" fillId="2" fontId="2" numFmtId="1" xfId="0" applyAlignment="1" applyBorder="1" applyFill="1" applyFont="1" applyNumberFormat="1">
      <alignment horizontal="center" shrinkToFit="0" wrapText="1"/>
    </xf>
    <xf borderId="24" fillId="3" fontId="2" numFmtId="0" xfId="0" applyAlignment="1" applyBorder="1" applyFill="1" applyFont="1">
      <alignment horizontal="center" readingOrder="0"/>
    </xf>
    <xf borderId="25" fillId="3" fontId="2" numFmtId="1" xfId="0" applyAlignment="1" applyBorder="1" applyFill="1" applyFont="1" applyNumberFormat="1">
      <alignment horizontal="center" readingOrder="0"/>
    </xf>
    <xf borderId="26" fillId="0" fontId="2" numFmtId="0" xfId="0" applyBorder="1" applyFont="1"/>
    <xf borderId="27" fillId="3" fontId="2" numFmtId="1" xfId="0" applyAlignment="1" applyBorder="1" applyFill="1" applyFont="1" applyNumberFormat="1">
      <alignment horizontal="center" readingOrder="0"/>
    </xf>
    <xf borderId="22" fillId="3" fontId="2" numFmtId="1" xfId="0" applyAlignment="1" applyBorder="1" applyFill="1" applyFont="1" applyNumberFormat="1">
      <alignment horizontal="center" readingOrder="0"/>
    </xf>
    <xf borderId="28" fillId="3" fontId="2" numFmtId="1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left" vertical="center"/>
    </xf>
    <xf borderId="29" fillId="3" fontId="2" numFmtId="2" xfId="0" applyAlignment="1" applyBorder="1" applyFill="1" applyFont="1" applyNumberFormat="1">
      <alignment horizontal="center" readingOrder="0"/>
    </xf>
    <xf borderId="30" fillId="3" fontId="2" numFmtId="165" xfId="0" applyAlignment="1" applyBorder="1" applyFill="1" applyFont="1" applyNumberFormat="1">
      <alignment horizontal="center" readingOrder="0"/>
    </xf>
    <xf borderId="31" fillId="3" fontId="2" numFmtId="1" xfId="0" applyAlignment="1" applyBorder="1" applyFill="1" applyFont="1" applyNumberFormat="1">
      <alignment horizontal="center"/>
    </xf>
    <xf borderId="0" fillId="3" fontId="2" numFmtId="1" xfId="0" applyAlignment="1" applyFill="1" applyFont="1" applyNumberFormat="1">
      <alignment horizontal="center" readingOrder="0"/>
    </xf>
    <xf borderId="0" fillId="3" fontId="2" numFmtId="1" xfId="0" applyAlignment="1" applyFill="1" applyFont="1" applyNumberFormat="1">
      <alignment horizontal="center"/>
    </xf>
    <xf borderId="32" fillId="4" fontId="1" numFmtId="0" xfId="0" applyAlignment="1" applyBorder="1" applyFill="1" applyFont="1">
      <alignment horizontal="center" vertical="center"/>
    </xf>
    <xf borderId="24" fillId="3" fontId="2" numFmtId="0" xfId="0" applyAlignment="1" applyBorder="1" applyFill="1" applyFont="1">
      <alignment horizontal="center"/>
    </xf>
    <xf borderId="33" fillId="3" fontId="2" numFmtId="1" xfId="0" applyAlignment="1" applyBorder="1" applyFill="1" applyFont="1" applyNumberFormat="1">
      <alignment horizontal="center"/>
    </xf>
    <xf borderId="34" fillId="3" fontId="2" numFmtId="1" xfId="0" applyAlignment="1" applyBorder="1" applyFill="1" applyFont="1" applyNumberFormat="1">
      <alignment horizontal="center"/>
    </xf>
    <xf borderId="33" fillId="3" fontId="2" numFmtId="2" xfId="0" applyAlignment="1" applyBorder="1" applyFill="1" applyFont="1" applyNumberFormat="1">
      <alignment horizontal="center"/>
    </xf>
    <xf borderId="33" fillId="3" fontId="2" numFmtId="1" xfId="0" applyAlignment="1" applyBorder="1" applyFill="1" applyFont="1" applyNumberFormat="1">
      <alignment horizontal="center" readingOrder="0"/>
    </xf>
    <xf borderId="35" fillId="3" fontId="2" numFmtId="165" xfId="0" applyAlignment="1" applyBorder="1" applyFill="1" applyFont="1" applyNumberFormat="1">
      <alignment horizontal="center"/>
    </xf>
    <xf borderId="36" fillId="3" fontId="2" numFmtId="1" xfId="0" applyAlignment="1" applyBorder="1" applyFill="1" applyFont="1" applyNumberFormat="1">
      <alignment horizontal="center"/>
    </xf>
    <xf borderId="37" fillId="0" fontId="3" numFmtId="0" xfId="0" applyBorder="1" applyFont="1"/>
    <xf borderId="38" fillId="2" fontId="2" numFmtId="1" xfId="0" applyAlignment="1" applyBorder="1" applyFill="1" applyFont="1" applyNumberFormat="1">
      <alignment horizontal="center"/>
    </xf>
    <xf borderId="39" fillId="2" fontId="2" numFmtId="1" xfId="0" applyAlignment="1" applyBorder="1" applyFill="1" applyFont="1" applyNumberFormat="1">
      <alignment horizontal="center" readingOrder="0"/>
    </xf>
    <xf borderId="38" fillId="2" fontId="2" numFmtId="2" xfId="0" applyAlignment="1" applyBorder="1" applyFill="1" applyFont="1" applyNumberFormat="1">
      <alignment horizontal="center"/>
    </xf>
    <xf borderId="38" fillId="2" fontId="2" numFmtId="0" xfId="0" applyAlignment="1" applyBorder="1" applyFill="1" applyFont="1">
      <alignment horizontal="center" readingOrder="0"/>
    </xf>
    <xf borderId="40" fillId="2" fontId="2" numFmtId="166" xfId="0" applyAlignment="1" applyBorder="1" applyFill="1" applyFont="1" applyNumberFormat="1">
      <alignment horizontal="center"/>
    </xf>
    <xf borderId="0" fillId="2" fontId="2" numFmtId="166" xfId="0" applyAlignment="1" applyFill="1" applyFont="1" applyNumberFormat="1">
      <alignment horizontal="center"/>
    </xf>
    <xf borderId="38" fillId="2" fontId="2" numFmtId="1" xfId="0" applyAlignment="1" applyBorder="1" applyFill="1" applyFont="1" applyNumberFormat="1">
      <alignment horizontal="center" readingOrder="0"/>
    </xf>
    <xf borderId="41" fillId="2" fontId="2" numFmtId="1" xfId="0" applyAlignment="1" applyBorder="1" applyFill="1" applyFont="1" applyNumberFormat="1">
      <alignment horizontal="center"/>
    </xf>
    <xf borderId="25" fillId="2" fontId="2" numFmtId="1" xfId="0" applyAlignment="1" applyBorder="1" applyFill="1" applyFont="1" applyNumberFormat="1">
      <alignment horizontal="center"/>
    </xf>
    <xf borderId="29" fillId="2" fontId="2" numFmtId="1" xfId="0" applyAlignment="1" applyBorder="1" applyFill="1" applyFont="1" applyNumberFormat="1">
      <alignment horizontal="center"/>
    </xf>
    <xf borderId="42" fillId="2" fontId="2" numFmtId="1" xfId="0" applyAlignment="1" applyBorder="1" applyFill="1" applyFont="1" applyNumberFormat="1">
      <alignment horizontal="center"/>
    </xf>
    <xf borderId="42" fillId="2" fontId="2" numFmtId="2" xfId="0" applyAlignment="1" applyBorder="1" applyFill="1" applyFont="1" applyNumberFormat="1">
      <alignment horizontal="center"/>
    </xf>
    <xf borderId="29" fillId="2" fontId="2" numFmtId="2" xfId="0" applyAlignment="1" applyBorder="1" applyFill="1" applyFont="1" applyNumberFormat="1">
      <alignment horizontal="center"/>
    </xf>
    <xf borderId="24" fillId="2" fontId="2" numFmtId="0" xfId="0" applyAlignment="1" applyBorder="1" applyFill="1" applyFont="1">
      <alignment horizontal="center"/>
    </xf>
    <xf borderId="43" fillId="2" fontId="2" numFmtId="1" xfId="0" applyAlignment="1" applyBorder="1" applyFill="1" applyFont="1" applyNumberFormat="1">
      <alignment horizontal="center"/>
    </xf>
    <xf borderId="44" fillId="2" fontId="2" numFmtId="1" xfId="0" applyAlignment="1" applyBorder="1" applyFill="1" applyFont="1" applyNumberFormat="1">
      <alignment horizontal="center"/>
    </xf>
    <xf borderId="28" fillId="2" fontId="2" numFmtId="1" xfId="0" applyAlignment="1" applyBorder="1" applyFill="1" applyFont="1" applyNumberFormat="1">
      <alignment horizontal="center"/>
    </xf>
    <xf borderId="24" fillId="2" fontId="2" numFmtId="1" xfId="0" applyAlignment="1" applyBorder="1" applyFill="1" applyFont="1" applyNumberFormat="1">
      <alignment horizontal="center" readingOrder="0"/>
    </xf>
    <xf borderId="43" fillId="2" fontId="2" numFmtId="1" xfId="0" applyAlignment="1" applyBorder="1" applyFill="1" applyFont="1" applyNumberFormat="1">
      <alignment horizontal="center" readingOrder="0"/>
    </xf>
    <xf borderId="29" fillId="2" fontId="2" numFmtId="1" xfId="0" applyAlignment="1" applyBorder="1" applyFill="1" applyFont="1" applyNumberFormat="1">
      <alignment horizontal="center" readingOrder="0"/>
    </xf>
    <xf borderId="29" fillId="2" fontId="2" numFmtId="2" xfId="0" applyAlignment="1" applyBorder="1" applyFill="1" applyFont="1" applyNumberFormat="1">
      <alignment horizontal="center" readingOrder="0"/>
    </xf>
    <xf borderId="41" fillId="2" fontId="2" numFmtId="0" xfId="0" applyAlignment="1" applyBorder="1" applyFill="1" applyFont="1">
      <alignment horizontal="center"/>
    </xf>
    <xf borderId="24" fillId="2" fontId="2" numFmtId="1" xfId="0" applyAlignment="1" applyBorder="1" applyFill="1" applyFont="1" applyNumberFormat="1">
      <alignment horizontal="center"/>
    </xf>
    <xf borderId="40" fillId="2" fontId="2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20" fillId="2" fontId="2" numFmtId="1" xfId="0" applyAlignment="1" applyBorder="1" applyFill="1" applyFont="1" applyNumberFormat="1">
      <alignment horizontal="center"/>
    </xf>
    <xf borderId="28" fillId="2" fontId="2" numFmtId="2" xfId="0" applyAlignment="1" applyBorder="1" applyFill="1" applyFont="1" applyNumberFormat="1">
      <alignment horizontal="center"/>
    </xf>
    <xf borderId="45" fillId="2" fontId="2" numFmtId="0" xfId="0" applyAlignment="1" applyBorder="1" applyFill="1" applyFont="1">
      <alignment horizontal="center"/>
    </xf>
    <xf borderId="46" fillId="0" fontId="5" numFmtId="0" xfId="0" applyAlignment="1" applyBorder="1" applyFont="1">
      <alignment horizontal="center" vertical="center"/>
    </xf>
    <xf borderId="47" fillId="5" fontId="1" numFmtId="0" xfId="0" applyAlignment="1" applyBorder="1" applyFill="1" applyFont="1">
      <alignment horizontal="center"/>
    </xf>
    <xf borderId="22" fillId="2" fontId="2" numFmtId="1" xfId="0" applyAlignment="1" applyBorder="1" applyFill="1" applyFont="1" applyNumberFormat="1">
      <alignment horizontal="center"/>
    </xf>
    <xf borderId="48" fillId="0" fontId="3" numFmtId="0" xfId="0" applyBorder="1" applyFont="1"/>
    <xf borderId="31" fillId="2" fontId="2" numFmtId="166" xfId="0" applyAlignment="1" applyBorder="1" applyFill="1" applyFont="1" applyNumberFormat="1">
      <alignment horizontal="center"/>
    </xf>
    <xf borderId="49" fillId="0" fontId="3" numFmtId="0" xfId="0" applyBorder="1" applyFont="1"/>
    <xf borderId="22" fillId="2" fontId="2" numFmtId="0" xfId="0" applyAlignment="1" applyBorder="1" applyFill="1" applyFont="1">
      <alignment horizontal="center"/>
    </xf>
    <xf borderId="0" fillId="5" fontId="4" numFmtId="0" xfId="0" applyFill="1" applyFont="1"/>
    <xf borderId="39" fillId="2" fontId="2" numFmtId="0" xfId="0" applyAlignment="1" applyBorder="1" applyFill="1" applyFont="1">
      <alignment horizontal="center" readingOrder="0"/>
    </xf>
    <xf borderId="46" fillId="0" fontId="6" numFmtId="0" xfId="0" applyAlignment="1" applyBorder="1" applyFont="1">
      <alignment horizontal="left" readingOrder="0" vertical="center"/>
    </xf>
    <xf borderId="50" fillId="0" fontId="6" numFmtId="0" xfId="0" applyAlignment="1" applyBorder="1" applyFont="1">
      <alignment horizontal="center" vertical="center"/>
    </xf>
    <xf borderId="50" fillId="0" fontId="3" numFmtId="0" xfId="0" applyBorder="1" applyFont="1"/>
    <xf borderId="50" fillId="0" fontId="7" numFmtId="0" xfId="0" applyAlignment="1" applyBorder="1" applyFont="1">
      <alignment horizontal="center" readingOrder="0" vertical="center"/>
    </xf>
    <xf borderId="28" fillId="2" fontId="2" numFmtId="0" xfId="0" applyAlignment="1" applyBorder="1" applyFill="1" applyFont="1">
      <alignment horizontal="center" readingOrder="0"/>
    </xf>
    <xf borderId="51" fillId="0" fontId="8" numFmtId="0" xfId="0" applyAlignment="1" applyBorder="1" applyFont="1">
      <alignment horizontal="center" vertical="center"/>
    </xf>
    <xf borderId="18" fillId="0" fontId="9" numFmtId="0" xfId="0" applyAlignment="1" applyBorder="1" applyFont="1">
      <alignment horizontal="center" vertical="center"/>
    </xf>
    <xf borderId="52" fillId="0" fontId="9" numFmtId="166" xfId="0" applyAlignment="1" applyBorder="1" applyFont="1" applyNumberFormat="1">
      <alignment horizontal="center" vertical="center"/>
    </xf>
    <xf borderId="28" fillId="2" fontId="2" numFmtId="0" xfId="0" applyAlignment="1" applyBorder="1" applyFill="1" applyFont="1">
      <alignment horizontal="center"/>
    </xf>
    <xf borderId="53" fillId="6" fontId="10" numFmtId="0" xfId="0" applyAlignment="1" applyBorder="1" applyFill="1" applyFont="1">
      <alignment horizontal="right" vertical="center"/>
    </xf>
    <xf borderId="38" fillId="2" fontId="2" numFmtId="0" xfId="0" applyAlignment="1" applyBorder="1" applyFill="1" applyFont="1">
      <alignment horizontal="center"/>
    </xf>
    <xf borderId="31" fillId="2" fontId="2" numFmtId="0" xfId="0" applyAlignment="1" applyBorder="1" applyFill="1" applyFont="1">
      <alignment horizontal="center" readingOrder="0"/>
    </xf>
    <xf borderId="0" fillId="0" fontId="9" numFmtId="166" xfId="0" applyAlignment="1" applyFont="1" applyNumberFormat="1">
      <alignment horizontal="center" vertical="center"/>
    </xf>
    <xf borderId="54" fillId="7" fontId="11" numFmtId="0" xfId="0" applyAlignment="1" applyBorder="1" applyFill="1" applyFont="1">
      <alignment horizontal="left" readingOrder="0" vertical="center"/>
    </xf>
    <xf borderId="55" fillId="0" fontId="3" numFmtId="0" xfId="0" applyBorder="1" applyFont="1"/>
    <xf borderId="56" fillId="0" fontId="3" numFmtId="0" xfId="0" applyBorder="1" applyFont="1"/>
    <xf borderId="57" fillId="7" fontId="11" numFmtId="0" xfId="0" applyAlignment="1" applyBorder="1" applyFill="1" applyFont="1">
      <alignment horizontal="left" readingOrder="0" vertical="center"/>
    </xf>
    <xf borderId="58" fillId="0" fontId="3" numFmtId="0" xfId="0" applyBorder="1" applyFont="1"/>
    <xf borderId="18" fillId="0" fontId="2" numFmtId="0" xfId="0" applyAlignment="1" applyBorder="1" applyFont="1">
      <alignment horizontal="right" vertical="center"/>
    </xf>
    <xf borderId="59" fillId="7" fontId="12" numFmtId="0" xfId="0" applyAlignment="1" applyBorder="1" applyFill="1" applyFont="1">
      <alignment horizontal="left" readingOrder="0" vertical="center"/>
    </xf>
    <xf borderId="18" fillId="0" fontId="2" numFmtId="0" xfId="0" applyAlignment="1" applyBorder="1" applyFont="1">
      <alignment horizontal="right" readingOrder="0" vertical="center"/>
    </xf>
    <xf borderId="60" fillId="7" fontId="13" numFmtId="0" xfId="0" applyAlignment="1" applyBorder="1" applyFill="1" applyFont="1">
      <alignment horizontal="left" readingOrder="0" shrinkToFit="0" vertical="center" wrapText="1"/>
    </xf>
    <xf borderId="61" fillId="0" fontId="3" numFmtId="0" xfId="0" applyBorder="1" applyFont="1"/>
    <xf borderId="62" fillId="0" fontId="3" numFmtId="0" xfId="0" applyBorder="1" applyFont="1"/>
    <xf borderId="63" fillId="0" fontId="13" numFmtId="0" xfId="0" applyAlignment="1" applyBorder="1" applyFont="1">
      <alignment horizontal="right" readingOrder="0" vertical="center"/>
    </xf>
    <xf borderId="63" fillId="0" fontId="2" numFmtId="0" xfId="0" applyAlignment="1" applyBorder="1" applyFont="1">
      <alignment vertical="center"/>
    </xf>
    <xf borderId="63" fillId="0" fontId="2" numFmtId="0" xfId="0" applyAlignment="1" applyBorder="1" applyFont="1">
      <alignment horizontal="left" readingOrder="0" vertical="center"/>
    </xf>
    <xf borderId="33" fillId="2" fontId="2" numFmtId="0" xfId="0" applyAlignment="1" applyBorder="1" applyFill="1" applyFont="1">
      <alignment horizontal="center"/>
    </xf>
    <xf borderId="64" fillId="0" fontId="3" numFmtId="0" xfId="0" applyBorder="1" applyFont="1"/>
    <xf borderId="33" fillId="2" fontId="2" numFmtId="0" xfId="0" applyAlignment="1" applyBorder="1" applyFill="1" applyFont="1">
      <alignment horizontal="center" readingOrder="0"/>
    </xf>
    <xf borderId="36" fillId="2" fontId="2" numFmtId="0" xfId="0" applyAlignment="1" applyBorder="1" applyFill="1" applyFont="1">
      <alignment horizontal="center" readingOrder="0"/>
    </xf>
    <xf borderId="0" fillId="8" fontId="13" numFmtId="0" xfId="0" applyAlignment="1" applyFill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63" fillId="0" fontId="4" numFmtId="0" xfId="0" applyAlignment="1" applyBorder="1" applyFont="1">
      <alignment horizontal="left" readingOrder="0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vertical="center" wrapText="1"/>
    </xf>
    <xf borderId="64" fillId="0" fontId="14" numFmtId="0" xfId="0" applyAlignment="1" applyBorder="1" applyFont="1">
      <alignment readingOrder="0"/>
    </xf>
    <xf borderId="63" fillId="0" fontId="13" numFmtId="0" xfId="0" applyAlignment="1" applyBorder="1" applyFont="1">
      <alignment horizontal="right" vertical="center"/>
    </xf>
    <xf borderId="63" fillId="0" fontId="2" numFmtId="0" xfId="0" applyAlignment="1" applyBorder="1" applyFont="1">
      <alignment horizontal="left" readingOrder="0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63" fillId="9" fontId="13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Font="1"/>
    <xf borderId="65" fillId="10" fontId="7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60" fillId="10" fontId="7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textRotation="90" wrapText="1"/>
    </xf>
    <xf borderId="66" fillId="0" fontId="3" numFmtId="0" xfId="0" applyBorder="1" applyFont="1"/>
    <xf borderId="0" fillId="0" fontId="4" numFmtId="0" xfId="0" applyAlignment="1" applyFont="1">
      <alignment horizontal="left" readingOrder="0" vertical="center"/>
    </xf>
    <xf borderId="64" fillId="0" fontId="15" numFmtId="0" xfId="0" applyAlignment="1" applyBorder="1" applyFont="1">
      <alignment readingOrder="0"/>
    </xf>
    <xf borderId="63" fillId="9" fontId="2" numFmtId="0" xfId="0" applyAlignment="1" applyBorder="1" applyFill="1" applyFont="1">
      <alignment readingOrder="0"/>
    </xf>
    <xf borderId="60" fillId="8" fontId="7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readingOrder="0" textRotation="90" vertical="top"/>
    </xf>
    <xf borderId="63" fillId="11" fontId="1" numFmtId="1" xfId="0" applyAlignment="1" applyBorder="1" applyFill="1" applyFont="1" applyNumberFormat="1">
      <alignment horizontal="center" vertical="center"/>
    </xf>
    <xf borderId="63" fillId="11" fontId="2" numFmtId="1" xfId="0" applyAlignment="1" applyBorder="1" applyFill="1" applyFont="1" applyNumberFormat="1">
      <alignment horizontal="center" vertical="center"/>
    </xf>
    <xf borderId="63" fillId="8" fontId="1" numFmtId="1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left"/>
    </xf>
    <xf borderId="63" fillId="8" fontId="2" numFmtId="1" xfId="0" applyAlignment="1" applyBorder="1" applyFill="1" applyFont="1" applyNumberFormat="1">
      <alignment horizontal="center" vertical="center"/>
    </xf>
    <xf borderId="64" fillId="0" fontId="2" numFmtId="0" xfId="0" applyBorder="1" applyFont="1"/>
    <xf borderId="67" fillId="6" fontId="2" numFmtId="0" xfId="0" applyAlignment="1" applyBorder="1" applyFill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Alignment="1" applyFont="1">
      <alignment readingOrder="0" shrinkToFit="0" wrapText="1"/>
    </xf>
    <xf borderId="0" fillId="0" fontId="2" numFmtId="1" xfId="0" applyAlignment="1" applyFont="1" applyNumberFormat="1">
      <alignment horizontal="center" vertical="center"/>
    </xf>
    <xf borderId="68" fillId="12" fontId="2" numFmtId="0" xfId="0" applyAlignment="1" applyBorder="1" applyFill="1" applyFont="1">
      <alignment shrinkToFit="0" wrapText="1"/>
    </xf>
    <xf borderId="69" fillId="0" fontId="3" numFmtId="0" xfId="0" applyBorder="1" applyFont="1"/>
    <xf borderId="70" fillId="6" fontId="2" numFmtId="0" xfId="0" applyAlignment="1" applyBorder="1" applyFill="1" applyFont="1">
      <alignment horizontal="center" vertical="center"/>
    </xf>
    <xf borderId="71" fillId="0" fontId="3" numFmtId="0" xfId="0" applyBorder="1" applyFont="1"/>
    <xf borderId="72" fillId="0" fontId="3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73" fillId="0" fontId="3" numFmtId="0" xfId="0" applyBorder="1" applyFont="1"/>
    <xf borderId="0" fillId="0" fontId="16" numFmtId="0" xfId="0" applyFont="1"/>
    <xf borderId="74" fillId="0" fontId="3" numFmtId="0" xfId="0" applyBorder="1" applyFont="1"/>
    <xf borderId="0" fillId="0" fontId="2" numFmtId="0" xfId="0" applyAlignment="1" applyFont="1">
      <alignment horizontal="right" vertical="center"/>
    </xf>
    <xf borderId="75" fillId="0" fontId="3" numFmtId="0" xfId="0" applyBorder="1" applyFont="1"/>
    <xf borderId="76" fillId="0" fontId="3" numFmtId="0" xfId="0" applyBorder="1" applyFont="1"/>
    <xf borderId="67" fillId="6" fontId="2" numFmtId="0" xfId="0" applyAlignment="1" applyBorder="1" applyFill="1" applyFont="1">
      <alignment horizontal="center" readingOrder="0" vertical="center"/>
    </xf>
    <xf quotePrefix="1" borderId="0" fillId="0" fontId="1" numFmtId="0" xfId="0" applyAlignment="1" applyFont="1">
      <alignment horizontal="right"/>
    </xf>
    <xf borderId="0" fillId="0" fontId="1" numFmtId="1" xfId="0" applyAlignment="1" applyFont="1" applyNumberFormat="1">
      <alignment horizontal="left"/>
    </xf>
    <xf borderId="0" fillId="0" fontId="1" numFmtId="0" xfId="0" applyAlignment="1" applyFont="1">
      <alignment horizontal="right"/>
    </xf>
    <xf borderId="70" fillId="6" fontId="2" numFmtId="0" xfId="0" applyAlignment="1" applyBorder="1" applyFill="1" applyFont="1">
      <alignment vertical="center"/>
    </xf>
    <xf borderId="77" fillId="4" fontId="2" numFmtId="0" xfId="0" applyBorder="1" applyFill="1" applyFont="1"/>
    <xf borderId="0" fillId="0" fontId="2" numFmtId="1" xfId="0" applyFont="1" applyNumberFormat="1"/>
    <xf borderId="0" fillId="0" fontId="2" numFmtId="1" xfId="0" applyAlignment="1" applyFont="1" applyNumberFormat="1">
      <alignment horizontal="left"/>
    </xf>
    <xf borderId="0" fillId="0" fontId="2" numFmtId="2" xfId="0" applyFont="1" applyNumberFormat="1"/>
    <xf quotePrefix="1" borderId="0" fillId="0" fontId="2" numFmtId="0" xfId="0" applyAlignment="1" applyFont="1">
      <alignment vertical="center"/>
    </xf>
    <xf borderId="67" fillId="6" fontId="2" numFmtId="0" xfId="0" applyAlignment="1" applyBorder="1" applyFill="1" applyFont="1">
      <alignment horizontal="center"/>
    </xf>
    <xf borderId="77" fillId="6" fontId="2" numFmtId="0" xfId="0" applyAlignment="1" applyBorder="1" applyFill="1" applyFont="1">
      <alignment horizontal="center"/>
    </xf>
    <xf borderId="78" fillId="6" fontId="2" numFmtId="0" xfId="0" applyAlignment="1" applyBorder="1" applyFill="1" applyFont="1">
      <alignment horizontal="center"/>
    </xf>
    <xf borderId="0" fillId="0" fontId="2" numFmtId="0" xfId="0" applyAlignment="1" applyFont="1">
      <alignment horizontal="right" shrinkToFit="0" wrapText="1"/>
    </xf>
    <xf borderId="0" fillId="0" fontId="2" numFmtId="1" xfId="0" applyAlignment="1" applyFont="1" applyNumberFormat="1">
      <alignment vertical="center"/>
    </xf>
    <xf borderId="64" fillId="0" fontId="2" numFmtId="0" xfId="0" applyAlignment="1" applyBorder="1" applyFont="1">
      <alignment horizontal="left"/>
    </xf>
    <xf borderId="0" fillId="0" fontId="2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64" fillId="0" fontId="2" numFmtId="0" xfId="0" applyAlignment="1" applyBorder="1" applyFont="1">
      <alignment horizontal="center"/>
    </xf>
    <xf borderId="18" fillId="0" fontId="1" numFmtId="0" xfId="0" applyAlignment="1" applyBorder="1" applyFont="1">
      <alignment horizontal="right" vertical="center"/>
    </xf>
    <xf borderId="64" fillId="0" fontId="1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center"/>
    </xf>
    <xf borderId="79" fillId="0" fontId="7" numFmtId="0" xfId="0" applyAlignment="1" applyBorder="1" applyFont="1">
      <alignment horizontal="center" vertical="center"/>
    </xf>
    <xf borderId="0" fillId="0" fontId="4" numFmtId="1" xfId="0" applyFont="1" applyNumberFormat="1"/>
    <xf borderId="80" fillId="2" fontId="1" numFmtId="0" xfId="0" applyAlignment="1" applyBorder="1" applyFill="1" applyFont="1">
      <alignment horizontal="right" vertical="center"/>
    </xf>
    <xf borderId="81" fillId="0" fontId="7" numFmtId="0" xfId="0" applyAlignment="1" applyBorder="1" applyFont="1">
      <alignment horizontal="center" vertical="center"/>
    </xf>
    <xf borderId="82" fillId="2" fontId="1" numFmtId="0" xfId="0" applyAlignment="1" applyBorder="1" applyFill="1" applyFont="1">
      <alignment horizontal="center" vertical="center"/>
    </xf>
    <xf borderId="83" fillId="0" fontId="7" numFmtId="0" xfId="0" applyAlignment="1" applyBorder="1" applyFont="1">
      <alignment horizontal="center" vertical="center"/>
    </xf>
    <xf borderId="82" fillId="2" fontId="1" numFmtId="0" xfId="0" applyAlignment="1" applyBorder="1" applyFill="1" applyFont="1">
      <alignment horizontal="center"/>
    </xf>
    <xf borderId="84" fillId="0" fontId="7" numFmtId="0" xfId="0" applyAlignment="1" applyBorder="1" applyFont="1">
      <alignment horizontal="center" vertical="center"/>
    </xf>
    <xf borderId="85" fillId="2" fontId="1" numFmtId="0" xfId="0" applyAlignment="1" applyBorder="1" applyFill="1" applyFont="1">
      <alignment horizontal="center"/>
    </xf>
    <xf borderId="81" fillId="0" fontId="3" numFmtId="0" xfId="0" applyBorder="1" applyFont="1"/>
    <xf borderId="0" fillId="0" fontId="1" numFmtId="1" xfId="0" applyAlignment="1" applyFont="1" applyNumberFormat="1">
      <alignment vertical="center"/>
    </xf>
    <xf borderId="86" fillId="6" fontId="2" numFmtId="0" xfId="0" applyAlignment="1" applyBorder="1" applyFill="1" applyFont="1">
      <alignment horizontal="center" vertical="center"/>
    </xf>
    <xf borderId="87" fillId="0" fontId="3" numFmtId="0" xfId="0" applyBorder="1" applyFont="1"/>
    <xf borderId="88" fillId="0" fontId="7" numFmtId="0" xfId="0" applyAlignment="1" applyBorder="1" applyFont="1">
      <alignment horizontal="center" shrinkToFit="0" vertical="center" wrapText="1"/>
    </xf>
    <xf borderId="89" fillId="0" fontId="7" numFmtId="0" xfId="0" applyAlignment="1" applyBorder="1" applyFont="1">
      <alignment horizontal="center" shrinkToFit="0" vertical="center" wrapText="1"/>
    </xf>
    <xf borderId="90" fillId="0" fontId="7" numFmtId="0" xfId="0" applyAlignment="1" applyBorder="1" applyFont="1">
      <alignment horizontal="center" shrinkToFit="0" vertical="center" wrapText="1"/>
    </xf>
    <xf borderId="91" fillId="0" fontId="7" numFmtId="0" xfId="0" applyAlignment="1" applyBorder="1" applyFont="1">
      <alignment horizontal="center" shrinkToFit="0" vertical="center" wrapText="1"/>
    </xf>
    <xf borderId="24" fillId="0" fontId="1" numFmtId="1" xfId="0" applyAlignment="1" applyBorder="1" applyFont="1" applyNumberFormat="1">
      <alignment horizontal="center" vertical="center"/>
    </xf>
    <xf borderId="46" fillId="0" fontId="2" numFmtId="1" xfId="0" applyAlignment="1" applyBorder="1" applyFont="1" applyNumberFormat="1">
      <alignment horizontal="center" vertical="center"/>
    </xf>
    <xf borderId="92" fillId="0" fontId="2" numFmtId="1" xfId="0" applyAlignment="1" applyBorder="1" applyFont="1" applyNumberFormat="1">
      <alignment horizontal="center" vertical="center"/>
    </xf>
    <xf borderId="93" fillId="0" fontId="2" numFmtId="1" xfId="0" applyAlignment="1" applyBorder="1" applyFont="1" applyNumberFormat="1">
      <alignment horizontal="center" vertical="center"/>
    </xf>
    <xf borderId="50" fillId="0" fontId="2" numFmtId="1" xfId="0" applyAlignment="1" applyBorder="1" applyFont="1" applyNumberFormat="1">
      <alignment horizontal="center" vertical="center"/>
    </xf>
    <xf borderId="94" fillId="0" fontId="3" numFmtId="0" xfId="0" applyBorder="1" applyFont="1"/>
    <xf borderId="50" fillId="0" fontId="2" numFmtId="165" xfId="0" applyAlignment="1" applyBorder="1" applyFont="1" applyNumberFormat="1">
      <alignment horizontal="center" vertical="center"/>
    </xf>
    <xf borderId="92" fillId="0" fontId="2" numFmtId="165" xfId="0" applyAlignment="1" applyBorder="1" applyFont="1" applyNumberFormat="1">
      <alignment horizontal="center" vertical="center"/>
    </xf>
    <xf borderId="95" fillId="0" fontId="2" numFmtId="1" xfId="0" applyAlignment="1" applyBorder="1" applyFont="1" applyNumberFormat="1">
      <alignment horizontal="center" vertical="center"/>
    </xf>
    <xf borderId="96" fillId="0" fontId="2" numFmtId="0" xfId="0" applyAlignment="1" applyBorder="1" applyFont="1">
      <alignment horizontal="right" vertical="center"/>
    </xf>
    <xf borderId="97" fillId="0" fontId="2" numFmtId="1" xfId="0" applyAlignment="1" applyBorder="1" applyFont="1" applyNumberFormat="1">
      <alignment horizontal="center" vertical="center"/>
    </xf>
    <xf borderId="98" fillId="0" fontId="2" numFmtId="1" xfId="0" applyAlignment="1" applyBorder="1" applyFont="1" applyNumberFormat="1">
      <alignment horizontal="center" vertical="center"/>
    </xf>
    <xf borderId="99" fillId="0" fontId="2" numFmtId="165" xfId="0" applyAlignment="1" applyBorder="1" applyFont="1" applyNumberFormat="1">
      <alignment horizontal="center" vertical="center"/>
    </xf>
    <xf borderId="82" fillId="2" fontId="1" numFmtId="0" xfId="0" applyAlignment="1" applyBorder="1" applyFill="1" applyFont="1">
      <alignment horizontal="center" readingOrder="0" vertical="center"/>
    </xf>
    <xf borderId="97" fillId="0" fontId="2" numFmtId="165" xfId="0" applyAlignment="1" applyBorder="1" applyFont="1" applyNumberFormat="1">
      <alignment horizontal="center" vertical="center"/>
    </xf>
    <xf borderId="60" fillId="0" fontId="2" numFmtId="1" xfId="0" applyAlignment="1" applyBorder="1" applyFont="1" applyNumberFormat="1">
      <alignment horizontal="center" vertical="center"/>
    </xf>
    <xf borderId="100" fillId="0" fontId="2" numFmtId="0" xfId="0" applyAlignment="1" applyBorder="1" applyFont="1">
      <alignment horizontal="right" vertical="center"/>
    </xf>
    <xf borderId="101" fillId="2" fontId="1" numFmtId="0" xfId="0" applyAlignment="1" applyBorder="1" applyFill="1" applyFont="1">
      <alignment horizontal="center"/>
    </xf>
    <xf borderId="99" fillId="0" fontId="2" numFmtId="1" xfId="0" applyAlignment="1" applyBorder="1" applyFont="1" applyNumberFormat="1">
      <alignment horizontal="center" vertical="center"/>
    </xf>
    <xf borderId="102" fillId="0" fontId="2" numFmtId="1" xfId="0" applyAlignment="1" applyBorder="1" applyFont="1" applyNumberFormat="1">
      <alignment horizontal="center" vertical="center"/>
    </xf>
    <xf borderId="103" fillId="0" fontId="1" numFmtId="1" xfId="0" applyAlignment="1" applyBorder="1" applyFont="1" applyNumberFormat="1">
      <alignment horizontal="center" vertical="center"/>
    </xf>
    <xf borderId="104" fillId="6" fontId="2" numFmtId="0" xfId="0" applyAlignment="1" applyBorder="1" applyFill="1" applyFont="1">
      <alignment horizontal="center" readingOrder="0" vertical="center"/>
    </xf>
    <xf borderId="59" fillId="0" fontId="3" numFmtId="0" xfId="0" applyBorder="1" applyFont="1"/>
    <xf borderId="105" fillId="0" fontId="1" numFmtId="1" xfId="0" applyAlignment="1" applyBorder="1" applyFont="1" applyNumberFormat="1">
      <alignment horizontal="center" vertical="center"/>
    </xf>
    <xf borderId="106" fillId="0" fontId="2" numFmtId="1" xfId="0" applyAlignment="1" applyBorder="1" applyFont="1" applyNumberFormat="1">
      <alignment horizontal="center" vertical="center"/>
    </xf>
    <xf borderId="107" fillId="0" fontId="2" numFmtId="0" xfId="0" applyAlignment="1" applyBorder="1" applyFont="1">
      <alignment horizontal="right" readingOrder="0" vertical="center"/>
    </xf>
    <xf borderId="108" fillId="0" fontId="2" numFmtId="1" xfId="0" applyAlignment="1" applyBorder="1" applyFont="1" applyNumberFormat="1">
      <alignment horizontal="center" vertical="center"/>
    </xf>
    <xf borderId="63" fillId="0" fontId="2" numFmtId="1" xfId="0" applyAlignment="1" applyBorder="1" applyFont="1" applyNumberFormat="1">
      <alignment horizontal="center"/>
    </xf>
    <xf borderId="109" fillId="0" fontId="2" numFmtId="1" xfId="0" applyAlignment="1" applyBorder="1" applyFont="1" applyNumberFormat="1">
      <alignment horizontal="center" vertical="center"/>
    </xf>
    <xf borderId="110" fillId="0" fontId="2" numFmtId="1" xfId="0" applyAlignment="1" applyBorder="1" applyFont="1" applyNumberFormat="1">
      <alignment horizontal="center" vertical="center"/>
    </xf>
    <xf borderId="110" fillId="0" fontId="2" numFmtId="165" xfId="0" applyAlignment="1" applyBorder="1" applyFont="1" applyNumberFormat="1">
      <alignment horizontal="center" vertical="center"/>
    </xf>
    <xf borderId="108" fillId="0" fontId="2" numFmtId="165" xfId="0" applyAlignment="1" applyBorder="1" applyFont="1" applyNumberFormat="1">
      <alignment horizontal="center" vertical="center"/>
    </xf>
    <xf borderId="10" fillId="0" fontId="2" numFmtId="1" xfId="0" applyAlignment="1" applyBorder="1" applyFont="1" applyNumberFormat="1">
      <alignment horizontal="center" vertical="center"/>
    </xf>
    <xf borderId="0" fillId="0" fontId="4" numFmtId="0" xfId="0" applyFont="1"/>
    <xf borderId="18" fillId="0" fontId="17" numFmtId="0" xfId="0" applyAlignment="1" applyBorder="1" applyFont="1">
      <alignment horizontal="right" shrinkToFit="0" vertical="center" wrapText="1"/>
    </xf>
    <xf borderId="64" fillId="0" fontId="1" numFmtId="1" xfId="0" applyAlignment="1" applyBorder="1" applyFont="1" applyNumberFormat="1">
      <alignment horizontal="right" vertical="center"/>
    </xf>
    <xf borderId="111" fillId="0" fontId="2" numFmtId="0" xfId="0" applyAlignment="1" applyBorder="1" applyFont="1">
      <alignment horizontal="right" vertical="center"/>
    </xf>
    <xf borderId="18" fillId="0" fontId="2" numFmtId="0" xfId="0" applyAlignment="1" applyBorder="1" applyFont="1">
      <alignment horizontal="center" vertical="center"/>
    </xf>
    <xf borderId="65" fillId="0" fontId="2" numFmtId="1" xfId="0" applyAlignment="1" applyBorder="1" applyFont="1" applyNumberFormat="1">
      <alignment horizontal="center" vertical="center"/>
    </xf>
    <xf borderId="104" fillId="6" fontId="2" numFmtId="0" xfId="0" applyAlignment="1" applyBorder="1" applyFill="1" applyFont="1">
      <alignment horizontal="center" vertical="center"/>
    </xf>
    <xf borderId="112" fillId="0" fontId="2" numFmtId="0" xfId="0" applyAlignment="1" applyBorder="1" applyFont="1">
      <alignment horizontal="right" vertical="center"/>
    </xf>
    <xf borderId="63" fillId="0" fontId="2" numFmtId="1" xfId="0" applyAlignment="1" applyBorder="1" applyFont="1" applyNumberFormat="1">
      <alignment horizontal="center" vertical="center"/>
    </xf>
    <xf borderId="113" fillId="0" fontId="2" numFmtId="165" xfId="0" applyAlignment="1" applyBorder="1" applyFont="1" applyNumberFormat="1">
      <alignment horizontal="center" vertical="center"/>
    </xf>
    <xf borderId="0" fillId="5" fontId="2" numFmtId="0" xfId="0" applyFill="1" applyFont="1"/>
    <xf borderId="114" fillId="0" fontId="17" numFmtId="0" xfId="0" applyAlignment="1" applyBorder="1" applyFont="1">
      <alignment horizontal="left" vertical="center"/>
    </xf>
    <xf borderId="115" fillId="0" fontId="3" numFmtId="0" xfId="0" applyBorder="1" applyFont="1"/>
    <xf borderId="116" fillId="0" fontId="2" numFmtId="0" xfId="0" applyAlignment="1" applyBorder="1" applyFont="1">
      <alignment horizontal="right" vertical="center"/>
    </xf>
    <xf borderId="117" fillId="0" fontId="2" numFmtId="0" xfId="0" applyAlignment="1" applyBorder="1" applyFont="1">
      <alignment horizontal="right" vertical="center"/>
    </xf>
    <xf borderId="0" fillId="0" fontId="2" numFmtId="0" xfId="0" applyAlignment="1" applyFont="1">
      <alignment readingOrder="0"/>
    </xf>
    <xf borderId="10" fillId="0" fontId="2" numFmtId="4" xfId="0" applyAlignment="1" applyBorder="1" applyFont="1" applyNumberFormat="1">
      <alignment horizontal="center" vertical="center"/>
    </xf>
    <xf borderId="118" fillId="0" fontId="2" numFmtId="0" xfId="0" applyAlignment="1" applyBorder="1" applyFont="1">
      <alignment horizontal="right" vertical="center"/>
    </xf>
    <xf borderId="13" fillId="0" fontId="2" numFmtId="165" xfId="0" applyAlignment="1" applyBorder="1" applyFont="1" applyNumberFormat="1">
      <alignment horizontal="center" vertical="center"/>
    </xf>
    <xf borderId="0" fillId="0" fontId="18" numFmtId="1" xfId="0" applyFont="1" applyNumberFormat="1"/>
    <xf borderId="77" fillId="13" fontId="19" numFmtId="0" xfId="0" applyAlignment="1" applyBorder="1" applyFill="1" applyFont="1">
      <alignment horizontal="center" vertical="center"/>
    </xf>
    <xf borderId="18" fillId="0" fontId="17" numFmtId="0" xfId="0" applyAlignment="1" applyBorder="1" applyFont="1">
      <alignment horizontal="right" vertical="center"/>
    </xf>
    <xf borderId="77" fillId="13" fontId="19" numFmtId="1" xfId="0" applyAlignment="1" applyBorder="1" applyFill="1" applyFont="1" applyNumberFormat="1">
      <alignment horizontal="center" vertical="center"/>
    </xf>
    <xf borderId="119" fillId="0" fontId="2" numFmtId="0" xfId="0" applyAlignment="1" applyBorder="1" applyFont="1">
      <alignment horizontal="center" vertical="center"/>
    </xf>
    <xf borderId="120" fillId="0" fontId="3" numFmtId="0" xfId="0" applyBorder="1" applyFont="1"/>
    <xf borderId="121" fillId="0" fontId="3" numFmtId="0" xfId="0" applyBorder="1" applyFont="1"/>
    <xf borderId="77" fillId="13" fontId="19" numFmtId="2" xfId="0" applyAlignment="1" applyBorder="1" applyFill="1" applyFont="1" applyNumberFormat="1">
      <alignment horizontal="center" vertical="center"/>
    </xf>
    <xf borderId="0" fillId="0" fontId="1" numFmtId="165" xfId="0" applyAlignment="1" applyFont="1" applyNumberFormat="1">
      <alignment horizontal="left"/>
    </xf>
    <xf borderId="0" fillId="0" fontId="2" numFmtId="1" xfId="0" applyAlignment="1" applyFont="1" applyNumberFormat="1">
      <alignment horizontal="right" vertical="center"/>
    </xf>
    <xf borderId="13" fillId="0" fontId="2" numFmtId="1" xfId="0" applyAlignment="1" applyBorder="1" applyFont="1" applyNumberFormat="1">
      <alignment horizontal="center" vertical="center"/>
    </xf>
    <xf borderId="122" fillId="0" fontId="2" numFmtId="1" xfId="0" applyAlignment="1" applyBorder="1" applyFont="1" applyNumberFormat="1">
      <alignment horizontal="center" vertical="center"/>
    </xf>
    <xf borderId="123" fillId="0" fontId="2" numFmtId="0" xfId="0" applyAlignment="1" applyBorder="1" applyFont="1">
      <alignment horizontal="right" vertical="center"/>
    </xf>
    <xf borderId="17" fillId="0" fontId="2" numFmtId="1" xfId="0" applyAlignment="1" applyBorder="1" applyFont="1" applyNumberFormat="1">
      <alignment horizontal="center" vertical="center"/>
    </xf>
    <xf borderId="115" fillId="0" fontId="2" numFmtId="0" xfId="0" applyAlignment="1" applyBorder="1" applyFont="1">
      <alignment horizontal="left" vertical="center"/>
    </xf>
    <xf borderId="115" fillId="0" fontId="2" numFmtId="0" xfId="0" applyBorder="1" applyFont="1"/>
    <xf borderId="115" fillId="0" fontId="2" numFmtId="1" xfId="0" applyAlignment="1" applyBorder="1" applyFont="1" applyNumberFormat="1">
      <alignment horizontal="center" vertical="center"/>
    </xf>
    <xf borderId="124" fillId="0" fontId="2" numFmtId="1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2" numFmtId="165" xfId="0" applyFont="1" applyNumberFormat="1"/>
    <xf borderId="77" fillId="14" fontId="2" numFmtId="0" xfId="0" applyBorder="1" applyFill="1" applyFont="1"/>
    <xf borderId="77" fillId="14" fontId="2" numFmtId="0" xfId="0" applyAlignment="1" applyBorder="1" applyFill="1" applyFont="1">
      <alignment horizontal="center" vertical="center"/>
    </xf>
    <xf borderId="77" fillId="14" fontId="2" numFmtId="0" xfId="0" applyAlignment="1" applyBorder="1" applyFill="1" applyFont="1">
      <alignment horizontal="right"/>
    </xf>
    <xf borderId="77" fillId="14" fontId="2" numFmtId="0" xfId="0" applyAlignment="1" applyBorder="1" applyFill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77" fillId="15" fontId="2" numFmtId="0" xfId="0" applyBorder="1" applyFill="1" applyFont="1"/>
    <xf borderId="18" fillId="0" fontId="4" numFmtId="0" xfId="0" applyAlignment="1" applyBorder="1" applyFont="1">
      <alignment horizontal="right" readingOrder="0"/>
    </xf>
    <xf borderId="77" fillId="15" fontId="2" numFmtId="0" xfId="0" applyAlignment="1" applyBorder="1" applyFill="1" applyFont="1">
      <alignment horizontal="center" vertical="center"/>
    </xf>
    <xf borderId="0" fillId="0" fontId="2" numFmtId="1" xfId="0" applyAlignment="1" applyFont="1" applyNumberFormat="1">
      <alignment shrinkToFit="0" wrapText="1"/>
    </xf>
    <xf borderId="0" fillId="0" fontId="2" numFmtId="165" xfId="0" applyAlignment="1" applyFont="1" applyNumberFormat="1">
      <alignment readingOrder="0"/>
    </xf>
    <xf borderId="0" fillId="0" fontId="1" numFmtId="1" xfId="0" applyAlignment="1" applyFont="1" applyNumberFormat="1">
      <alignment horizontal="center"/>
    </xf>
    <xf borderId="0" fillId="0" fontId="2" numFmtId="1" xfId="0" applyAlignment="1" applyFont="1" applyNumberFormat="1">
      <alignment horizontal="right" readingOrder="0"/>
    </xf>
    <xf borderId="64" fillId="0" fontId="4" numFmtId="0" xfId="0" applyBorder="1" applyFont="1"/>
    <xf borderId="65" fillId="10" fontId="7" numFmtId="0" xfId="0" applyAlignment="1" applyBorder="1" applyFill="1" applyFont="1">
      <alignment horizontal="center" shrinkToFit="0" vertical="center" wrapText="1"/>
    </xf>
    <xf borderId="0" fillId="0" fontId="2" numFmtId="2" xfId="0" applyAlignment="1" applyFont="1" applyNumberFormat="1">
      <alignment horizontal="left"/>
    </xf>
    <xf borderId="119" fillId="0" fontId="2" numFmtId="1" xfId="0" applyAlignment="1" applyBorder="1" applyFont="1" applyNumberFormat="1">
      <alignment shrinkToFit="0" vertical="center" wrapText="1"/>
    </xf>
    <xf borderId="125" fillId="0" fontId="3" numFmtId="0" xfId="0" applyBorder="1" applyFont="1"/>
    <xf borderId="18" fillId="0" fontId="4" numFmtId="0" xfId="0" applyBorder="1" applyFont="1"/>
    <xf borderId="100" fillId="0" fontId="3" numFmtId="0" xfId="0" applyBorder="1" applyFont="1"/>
    <xf borderId="126" fillId="0" fontId="3" numFmtId="0" xfId="0" applyBorder="1" applyFont="1"/>
    <xf borderId="127" fillId="0" fontId="3" numFmtId="0" xfId="0" applyBorder="1" applyFont="1"/>
    <xf borderId="128" fillId="0" fontId="3" numFmtId="0" xfId="0" applyBorder="1" applyFont="1"/>
    <xf borderId="114" fillId="0" fontId="4" numFmtId="0" xfId="0" applyBorder="1" applyFont="1"/>
    <xf borderId="115" fillId="0" fontId="4" numFmtId="0" xfId="0" applyBorder="1" applyFont="1"/>
    <xf borderId="0" fillId="0" fontId="2" numFmtId="1" xfId="0" applyAlignment="1" applyFont="1" applyNumberFormat="1">
      <alignment readingOrder="0"/>
    </xf>
    <xf borderId="117" fillId="0" fontId="4" numFmtId="0" xfId="0" applyBorder="1" applyFont="1"/>
    <xf borderId="0" fillId="0" fontId="2" numFmtId="1" xfId="0" applyAlignment="1" applyFont="1" applyNumberFormat="1">
      <alignment horizontal="right"/>
    </xf>
    <xf borderId="0" fillId="0" fontId="2" numFmtId="9" xfId="0" applyFont="1" applyNumberFormat="1"/>
    <xf borderId="0" fillId="0" fontId="2" numFmtId="10" xfId="0" applyFont="1" applyNumberFormat="1"/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5" numFmtId="0" xfId="0" applyFont="1"/>
    <xf borderId="0" fillId="0" fontId="1" numFmtId="1" xfId="0" applyFont="1" applyNumberFormat="1"/>
    <xf borderId="0" fillId="0" fontId="7" numFmtId="0" xfId="0" applyAlignment="1" applyFont="1">
      <alignment shrinkToFit="0" wrapText="1"/>
    </xf>
    <xf borderId="0" fillId="0" fontId="7" numFmtId="0" xfId="0" applyFont="1"/>
    <xf borderId="129" fillId="0" fontId="1" numFmtId="1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right"/>
    </xf>
    <xf borderId="77" fillId="8" fontId="18" numFmtId="0" xfId="0" applyBorder="1" applyFill="1" applyFont="1"/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horizontal="center" vertical="center"/>
    </xf>
    <xf borderId="70" fillId="16" fontId="1" numFmtId="0" xfId="0" applyAlignment="1" applyBorder="1" applyFill="1" applyFont="1">
      <alignment horizontal="center"/>
    </xf>
    <xf borderId="130" fillId="0" fontId="3" numFmtId="0" xfId="0" applyBorder="1" applyFont="1"/>
    <xf borderId="115" fillId="0" fontId="1" numFmtId="0" xfId="0" applyAlignment="1" applyBorder="1" applyFont="1">
      <alignment horizontal="center"/>
    </xf>
    <xf borderId="131" fillId="0" fontId="1" numFmtId="0" xfId="0" applyBorder="1" applyFont="1"/>
    <xf borderId="132" fillId="0" fontId="1" numFmtId="1" xfId="0" applyBorder="1" applyFont="1" applyNumberFormat="1"/>
    <xf borderId="132" fillId="0" fontId="2" numFmtId="0" xfId="0" applyBorder="1" applyFont="1"/>
    <xf borderId="133" fillId="0" fontId="2" numFmtId="0" xfId="0" applyAlignment="1" applyBorder="1" applyFont="1">
      <alignment vertical="center"/>
    </xf>
    <xf borderId="131" fillId="0" fontId="2" numFmtId="0" xfId="0" applyBorder="1" applyFont="1"/>
    <xf borderId="18" fillId="0" fontId="2" numFmtId="0" xfId="0" applyBorder="1" applyFont="1"/>
    <xf borderId="64" fillId="0" fontId="2" numFmtId="0" xfId="0" applyAlignment="1" applyBorder="1" applyFont="1">
      <alignment vertical="center"/>
    </xf>
    <xf borderId="114" fillId="0" fontId="2" numFmtId="0" xfId="0" applyBorder="1" applyFont="1"/>
    <xf borderId="115" fillId="0" fontId="2" numFmtId="1" xfId="0" applyBorder="1" applyFont="1" applyNumberFormat="1"/>
    <xf borderId="114" fillId="0" fontId="1" numFmtId="0" xfId="0" applyBorder="1" applyFont="1"/>
    <xf borderId="115" fillId="0" fontId="1" numFmtId="1" xfId="0" applyBorder="1" applyFont="1" applyNumberFormat="1"/>
    <xf borderId="77" fillId="12" fontId="5" numFmtId="0" xfId="0" applyAlignment="1" applyBorder="1" applyFill="1" applyFont="1">
      <alignment horizontal="center" vertical="center"/>
    </xf>
    <xf borderId="18" fillId="0" fontId="1" numFmtId="0" xfId="0" applyBorder="1" applyFont="1"/>
    <xf borderId="117" fillId="0" fontId="2" numFmtId="0" xfId="0" applyAlignment="1" applyBorder="1" applyFont="1">
      <alignment vertical="center"/>
    </xf>
    <xf borderId="132" fillId="0" fontId="1" numFmtId="0" xfId="0" applyBorder="1" applyFont="1"/>
    <xf borderId="0" fillId="0" fontId="1" numFmtId="0" xfId="0" applyAlignment="1" applyFont="1">
      <alignment horizontal="left"/>
    </xf>
    <xf borderId="133" fillId="0" fontId="1" numFmtId="0" xfId="0" applyBorder="1" applyFont="1"/>
    <xf borderId="115" fillId="0" fontId="1" numFmtId="0" xfId="0" applyBorder="1" applyFont="1"/>
    <xf borderId="104" fillId="0" fontId="1" numFmtId="0" xfId="0" applyBorder="1" applyFont="1"/>
    <xf borderId="131" fillId="0" fontId="1" numFmtId="165" xfId="0" applyBorder="1" applyFont="1" applyNumberFormat="1"/>
    <xf borderId="58" fillId="0" fontId="1" numFmtId="0" xfId="0" applyBorder="1" applyFont="1"/>
    <xf borderId="132" fillId="0" fontId="1" numFmtId="165" xfId="0" applyBorder="1" applyFont="1" applyNumberFormat="1"/>
    <xf borderId="58" fillId="0" fontId="1" numFmtId="1" xfId="0" applyBorder="1" applyFont="1" applyNumberFormat="1"/>
    <xf borderId="132" fillId="0" fontId="2" numFmtId="165" xfId="0" applyBorder="1" applyFont="1" applyNumberFormat="1"/>
    <xf borderId="58" fillId="0" fontId="2" numFmtId="0" xfId="0" applyBorder="1" applyFont="1"/>
    <xf borderId="18" fillId="0" fontId="1" numFmtId="165" xfId="0" applyBorder="1" applyFont="1" applyNumberFormat="1"/>
    <xf borderId="0" fillId="0" fontId="1" numFmtId="165" xfId="0" applyFont="1" applyNumberFormat="1"/>
    <xf borderId="117" fillId="0" fontId="1" numFmtId="1" xfId="0" applyBorder="1" applyFont="1" applyNumberFormat="1"/>
    <xf borderId="131" fillId="0" fontId="1" numFmtId="2" xfId="0" applyBorder="1" applyFont="1" applyNumberFormat="1"/>
    <xf borderId="132" fillId="0" fontId="1" numFmtId="2" xfId="0" applyBorder="1" applyFont="1" applyNumberFormat="1"/>
    <xf borderId="132" fillId="0" fontId="2" numFmtId="2" xfId="0" applyBorder="1" applyFont="1" applyNumberFormat="1"/>
    <xf borderId="117" fillId="0" fontId="1" numFmtId="0" xfId="0" applyBorder="1" applyFont="1"/>
    <xf borderId="114" fillId="0" fontId="1" numFmtId="165" xfId="0" applyBorder="1" applyFont="1" applyNumberFormat="1"/>
    <xf borderId="115" fillId="0" fontId="1" numFmtId="165" xfId="0" applyBorder="1" applyFont="1" applyNumberFormat="1"/>
    <xf borderId="64" fillId="0" fontId="1" numFmtId="0" xfId="0" applyBorder="1" applyFont="1"/>
    <xf borderId="59" fillId="0" fontId="1" numFmtId="0" xfId="0" applyBorder="1" applyFont="1"/>
    <xf borderId="0" fillId="0" fontId="1" numFmtId="2" xfId="0" applyAlignment="1" applyFont="1" applyNumberFormat="1">
      <alignment horizontal="left"/>
    </xf>
    <xf borderId="18" fillId="0" fontId="1" numFmtId="2" xfId="0" applyBorder="1" applyFont="1" applyNumberFormat="1"/>
    <xf borderId="0" fillId="0" fontId="1" numFmtId="2" xfId="0" applyFont="1" applyNumberFormat="1"/>
    <xf borderId="58" fillId="0" fontId="1" numFmtId="165" xfId="0" applyBorder="1" applyFont="1" applyNumberFormat="1"/>
    <xf borderId="115" fillId="0" fontId="2" numFmtId="165" xfId="0" applyBorder="1" applyFont="1" applyNumberFormat="1"/>
    <xf borderId="114" fillId="0" fontId="1" numFmtId="2" xfId="0" applyBorder="1" applyFont="1" applyNumberFormat="1"/>
    <xf borderId="115" fillId="0" fontId="1" numFmtId="2" xfId="0" applyBorder="1" applyFont="1" applyNumberFormat="1"/>
    <xf borderId="115" fillId="0" fontId="2" numFmtId="2" xfId="0" applyBorder="1" applyFont="1" applyNumberFormat="1"/>
    <xf borderId="0" fillId="0" fontId="4" numFmtId="2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Selected Contaminant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'Take-off'!$B$55</c:f>
            </c:strRef>
          </c:tx>
          <c:spPr>
            <a:solidFill>
              <a:srgbClr val="434343"/>
            </a:solidFill>
            <a:ln cmpd="sng">
              <a:noFill/>
            </a:ln>
          </c:spPr>
          <c:invertIfNegative val="0"/>
          <c:cat>
            <c:strRef>
              <c:f>'Take-off'!$C$54</c:f>
            </c:strRef>
          </c:cat>
          <c:val>
            <c:numRef>
              <c:f>'Take-off'!$C$55</c:f>
              <c:numCache/>
            </c:numRef>
          </c:val>
        </c:ser>
        <c:ser>
          <c:idx val="1"/>
          <c:order val="1"/>
          <c:tx>
            <c:strRef>
              <c:f>'Take-off'!$B$56</c:f>
            </c:strRef>
          </c:tx>
          <c:spPr>
            <a:solidFill>
              <a:srgbClr val="666666"/>
            </a:solidFill>
            <a:ln cmpd="sng">
              <a:noFill/>
            </a:ln>
          </c:spPr>
          <c:invertIfNegative val="0"/>
          <c:cat>
            <c:strRef>
              <c:f>'Take-off'!$C$54</c:f>
            </c:strRef>
          </c:cat>
          <c:val>
            <c:numRef>
              <c:f>'Take-off'!$C$56</c:f>
              <c:numCache/>
            </c:numRef>
          </c:val>
        </c:ser>
        <c:ser>
          <c:idx val="2"/>
          <c:order val="2"/>
          <c:tx>
            <c:strRef>
              <c:f>'Take-off'!$B$57</c:f>
            </c:strRef>
          </c:tx>
          <c:spPr>
            <a:solidFill>
              <a:srgbClr val="999999"/>
            </a:solidFill>
            <a:ln cmpd="sng">
              <a:noFill/>
            </a:ln>
          </c:spPr>
          <c:invertIfNegative val="0"/>
          <c:cat>
            <c:strRef>
              <c:f>'Take-off'!$C$54</c:f>
            </c:strRef>
          </c:cat>
          <c:val>
            <c:numRef>
              <c:f>'Take-off'!$C$57</c:f>
              <c:numCache/>
            </c:numRef>
          </c:val>
        </c:ser>
        <c:ser>
          <c:idx val="3"/>
          <c:order val="3"/>
          <c:tx>
            <c:strRef>
              <c:f>'Take-off'!$B$58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'Take-off'!$C$54</c:f>
            </c:strRef>
          </c:cat>
          <c:val>
            <c:numRef>
              <c:f>'Take-off'!$C$58</c:f>
              <c:numCache/>
            </c:numRef>
          </c:val>
        </c:ser>
        <c:ser>
          <c:idx val="4"/>
          <c:order val="4"/>
          <c:tx>
            <c:strRef>
              <c:f>'Take-off'!$B$59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'Take-off'!$C$54</c:f>
            </c:strRef>
          </c:cat>
          <c:val>
            <c:numRef>
              <c:f>'Take-off'!$C$59</c:f>
              <c:numCache/>
            </c:numRef>
          </c:val>
        </c:ser>
        <c:ser>
          <c:idx val="5"/>
          <c:order val="5"/>
          <c:tx>
            <c:strRef>
              <c:f>'Take-off'!$B$60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'Take-off'!$C$54</c:f>
            </c:strRef>
          </c:cat>
          <c:val>
            <c:numRef>
              <c:f>'Take-off'!$C$60</c:f>
              <c:numCache/>
            </c:numRef>
          </c:val>
        </c:ser>
        <c:axId val="1826860980"/>
        <c:axId val="592389054"/>
      </c:barChart>
      <c:catAx>
        <c:axId val="18268609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389054"/>
      </c:catAx>
      <c:valAx>
        <c:axId val="5923890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Flaps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860980"/>
        <c:crosses val="max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LDA</c:v>
          </c:tx>
          <c:spPr>
            <a:solidFill>
              <a:srgbClr val="66666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Landing!$C$35:$D$35</c:f>
            </c:strRef>
          </c:cat>
          <c:val>
            <c:numRef>
              <c:f>Landing!$C$36:$D$36</c:f>
              <c:numCache/>
            </c:numRef>
          </c:val>
        </c:ser>
        <c:ser>
          <c:idx val="1"/>
          <c:order val="1"/>
          <c:tx>
            <c:v>Landing distance</c:v>
          </c:tx>
          <c:spPr>
            <a:solidFill>
              <a:srgbClr val="6D9EEB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Landing!$C$35:$D$35</c:f>
            </c:strRef>
          </c:cat>
          <c:val>
            <c:numRef>
              <c:f>Landing!$C$37:$D$37</c:f>
              <c:numCache/>
            </c:numRef>
          </c:val>
        </c:ser>
        <c:axId val="805872040"/>
        <c:axId val="1220987704"/>
      </c:barChart>
      <c:catAx>
        <c:axId val="8058720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220987704"/>
      </c:catAx>
      <c:valAx>
        <c:axId val="12209877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Banlängder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5872040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46</xdr:row>
      <xdr:rowOff>76200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31</xdr:row>
      <xdr:rowOff>104775</xdr:rowOff>
    </xdr:from>
    <xdr:ext cx="5153025" cy="2667000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rik Jonasson" id="{4650a6de-a670-426f-bf1a-97ad2c13cd85}" providerId="google-sheets"/>
  <x18tc:person displayName="Pans-ops" id="{bc107197-e4a2-4d78-a12f-12ae4eb72f2d}" providerId="google-sheets"/>
  <x18tc:person displayName="" id="{fb8f09fd-f791-4162-94f3-0a95aa7beee4}" providerId="google-sheets"/>
  <x18tc:person displayName="markus.uppenberg@jonair.se" id="{a62526ac-80f4-4752-abd1-99f6a295cd8e}" userId="markus.uppenberg@jonair.se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3" dT="2026-09-09T09:57:58.00" personId="{4650a6de-a670-426f-bf1a-97ad2c13cd85}" id="{dbfe3512-74e1-44ae-9d49-ac8c6aa65c95}" done="1">
    <x18tc:text xml:space="preserve">@markus.uppenberg@jonair.se Det som står här i gult betyder ju att man kan starta med Engine Anti-ice ON om vi kan få ut max torque. 
Jag har dock inte hittat stöd för det i 200ans AFM bara i 1900. Men jag förstår inte varför prestandan ändras om man får ut max torque.</x18tc:text>
    <x18tc:mentions>
      <x18tc:mention mentionpersonId="{a62526ac-80f4-4752-abd1-99f6a295cd8e}" mentionId="{a05733fd-5863-4ea4-9ac3-680c825143da}" startIndex="0" length="27"/>
    </x18tc:mentions>
  </x18tc:threadedComment>
  <x18tc:threadedComment ref="I40" dT="2026-09-08T18:06:20.00" personId="{bc107197-e4a2-4d78-a12f-12ae4eb72f2d}" id="{8bd70d89-d93b-4af7-8c07-b787ac1c8294}" done="0">
    <x18tc:text xml:space="preserve">Hinderfritt 2,5%
Plus 0,8% marginal
Annars står det på SID eller på annan plats</x18tc:text>
  </x18tc:threadedComment>
  <x18tc:threadedComment ref="B19" dT="2026-09-08T18:06:20.00" personId="{fb8f09fd-f791-4162-94f3-0a95aa7beee4}" id="{1e351f40-92c6-47ed-ab42-4b56f98145a6}" done="1">
    <x18tc:text xml:space="preserve">Includes 10m for aircraft alignment</x18tc:text>
  </x18tc:threadedComment>
  <x18tc:threadedComment ref="B21" dT="2026-09-08T18:06:20.00" personId="{fb8f09fd-f791-4162-94f3-0a95aa7beee4}" id="{bedb02f0-b54e-4c0e-b1ef-9fc1f6e4d396}" done="1">
    <x18tc:text xml:space="preserve">Includes 10m for aircraft alignment</x18tc:text>
  </x18tc:threadedComment>
  <x18tc:threadedComment ref="B42" dT="2026-09-08T18:06:20.00" personId="{fb8f09fd-f791-4162-94f3-0a95aa7beee4}" id="{2fab5a5e-b843-4ed5-942d-1db510423e0e}" done="0">
    <x18tc:text xml:space="preserve">Climb Gradient (%) wind corrected = Climb Gradient (%) x (Airspeed/ GS)
50% headwind
150% tailwind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0" dT="2026-09-08T18:06:20.00" personId="{fb8f09fd-f791-4162-94f3-0a95aa7beee4}" id="{efac0845-592d-4113-b9ac-c129a309f311}" done="0">
    <x18tc:text xml:space="preserve">RWCC eller "70%" (OM-A 8.1.5.6 Commencement and continuation of an approach)</x18tc:text>
  </x18tc:threadedComment>
  <x18tc:threadedComment ref="B31" dT="2026-09-08T18:06:20.00" personId="{fb8f09fd-f791-4162-94f3-0a95aa7beee4}" id="{a93e9c67-4bda-47ab-b37b-389aa85c152c}" done="0">
    <x18tc:text xml:space="preserve">Climb Gradient (%) wind corrected = Climb Gradient (%) x (Airspeed/ GS)
50% headwind
150% tailwind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1" dT="2026-09-08T18:06:20.00" personId="{fb8f09fd-f791-4162-94f3-0a95aa7beee4}" id="{c1dfbf76-7a3e-408a-9f9d-3aff83575622}" done="0">
    <x18tc:text xml:space="preserve">Till 15 fot enligt reglerna</x18tc:text>
  </x18tc:threadedComment>
  <x18tc:threadedComment ref="A30" dT="2026-09-08T18:06:20.00" personId="{fb8f09fd-f791-4162-94f3-0a95aa7beee4}" id="{f71a44d2-93cc-405d-95ec-df9f3e162a39}" done="0">
    <x18tc:text xml:space="preserve">Till 35 fot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0" dT="2026-09-08T18:06:20.00" personId="{fb8f09fd-f791-4162-94f3-0a95aa7beee4}" id="{917e309f-6a41-497a-86b0-a27f2143dc6c}" done="0">
    <x18tc:text xml:space="preserve">Till 35 fot</x18tc:text>
  </x18tc:threadedComment>
  <x18tc:threadedComment ref="A31" dT="2026-09-08T18:06:20.00" personId="{fb8f09fd-f791-4162-94f3-0a95aa7beee4}" id="{2a2bbff1-76aa-4fbe-ba85-36a2f297ce86}" done="0">
    <x18tc:text xml:space="preserve">Till 15 fot enligt reglerna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 outlineLevelRow="1"/>
  <cols>
    <col customWidth="1" min="1" max="1" width="4.0"/>
    <col customWidth="1" min="2" max="2" width="28.29"/>
    <col customWidth="1" min="3" max="3" width="19.29"/>
    <col customWidth="1" min="4" max="4" width="9.14"/>
    <col customWidth="1" min="5" max="5" width="6.57"/>
    <col customWidth="1" min="6" max="6" width="15.0"/>
    <col customWidth="1" min="7" max="7" width="9.0"/>
    <col customWidth="1" min="8" max="8" width="5.43"/>
    <col customWidth="1" min="9" max="9" width="6.14"/>
    <col customWidth="1" min="10" max="13" width="12.14"/>
    <col customWidth="1" min="16" max="16" width="50.29"/>
  </cols>
  <sheetData>
    <row r="1" ht="15.0" customHeight="1">
      <c r="B1" s="88" t="s">
        <v>79</v>
      </c>
      <c r="C1" s="90"/>
      <c r="D1" s="90"/>
      <c r="E1" s="90"/>
      <c r="F1" s="90"/>
      <c r="G1" s="92"/>
    </row>
    <row r="2">
      <c r="A2" s="94"/>
      <c r="B2" s="96" t="s">
        <v>86</v>
      </c>
      <c r="C2" s="97"/>
      <c r="D2" s="97"/>
      <c r="E2" s="97"/>
      <c r="F2" s="99" t="s">
        <v>79</v>
      </c>
      <c r="G2" s="101" t="s">
        <v>87</v>
      </c>
      <c r="H2" s="29"/>
    </row>
    <row r="3" ht="14.25" customHeight="1">
      <c r="A3" s="94"/>
      <c r="B3" s="102" t="s">
        <v>91</v>
      </c>
      <c r="F3" s="108"/>
      <c r="G3" s="103">
        <v>46266.0</v>
      </c>
      <c r="H3" s="29"/>
    </row>
    <row r="4" ht="52.5" customHeight="1">
      <c r="A4" s="94"/>
      <c r="B4" s="105" t="s">
        <v>90</v>
      </c>
      <c r="C4" s="112" t="s">
        <v>92</v>
      </c>
      <c r="D4" s="113"/>
      <c r="E4" s="113"/>
      <c r="F4" s="113"/>
      <c r="G4" s="115"/>
      <c r="I4" s="29"/>
    </row>
    <row r="5" ht="30.0" customHeight="1">
      <c r="A5" s="94"/>
      <c r="B5" s="116"/>
      <c r="C5" s="117" t="s">
        <v>93</v>
      </c>
      <c r="D5" s="118"/>
      <c r="E5" s="118"/>
      <c r="F5" s="118"/>
      <c r="G5" s="119"/>
      <c r="I5" s="29"/>
    </row>
    <row r="6" ht="14.25" customHeight="1">
      <c r="A6" s="94"/>
      <c r="B6" s="116" t="s">
        <v>94</v>
      </c>
      <c r="C6" s="120">
        <f>IFERROR(__xludf.DUMMYFUNCTION("IF(E6&lt;&gt;"""", E6, IF($G$8, E6, IFERROR(IF(REGEXMATCH(C5, ""\bVRB""), ""000"", VALUE(REGEXEXTRACT(C5, ""\b(\d{3})\d{2,3}(?:G\d{2,3})?(?:KT|MPS)\b""))), ""-"")))"),0.0)</f>
        <v>0</v>
      </c>
      <c r="D6" s="121" t="s">
        <v>95</v>
      </c>
      <c r="E6" s="122"/>
      <c r="F6" s="3" t="str">
        <f>IF(C24&lt;0, "Tailwind", "")</f>
        <v/>
      </c>
      <c r="G6" s="124"/>
      <c r="I6" s="29"/>
    </row>
    <row r="7" ht="14.25" customHeight="1">
      <c r="A7" s="94"/>
      <c r="B7" s="116" t="s">
        <v>96</v>
      </c>
      <c r="C7" s="120">
        <f>IFERROR(__xludf.DUMMYFUNCTION("IF(E7&lt;&gt;"""", E7, IF($G$8, E7, IFERROR(VALUE(REGEXEXTRACT(C5, ""\b(?:\d{3}|VRB)(\d{2,3})(?:G\d{2,3})?(?:KT|MPS)\b"")), ""-"")))"),0.0)</f>
        <v>0</v>
      </c>
      <c r="D7" s="121" t="s">
        <v>98</v>
      </c>
      <c r="E7" s="122"/>
      <c r="G7" s="124"/>
    </row>
    <row r="8" ht="14.25" customHeight="1">
      <c r="A8" s="94"/>
      <c r="B8" s="114" t="s">
        <v>100</v>
      </c>
      <c r="C8" s="120">
        <f>IFERROR(__xludf.DUMMYFUNCTION("IF(E8&lt;&gt;"""", E8, IF($G$8, E8, IFERROR(VALUE(SUBSTITUTE(REGEXEXTRACT(C5, ""\b(M?\d{2})\/(?:M?\d{2})\b""), ""M"", ""-"")), ""-"")))"),-2.0)</f>
        <v>-2</v>
      </c>
      <c r="D8" s="121" t="s">
        <v>101</v>
      </c>
      <c r="E8" s="130"/>
      <c r="F8" s="132" t="s">
        <v>106</v>
      </c>
      <c r="G8" s="133" t="b">
        <v>0</v>
      </c>
      <c r="I8" s="29"/>
    </row>
    <row r="9" ht="14.25" customHeight="1">
      <c r="A9" s="94"/>
      <c r="B9" s="114" t="s">
        <v>108</v>
      </c>
      <c r="C9" s="134">
        <f>IFERROR(__xludf.DUMMYFUNCTION("IF(E9&lt;&gt;"""", E9, IF($G$8, E9, IFERROR(VALUE(REGEXEXTRACT(C5, ""\bQ(\d{4})\b"")), ""-"")))"),1034.0)</f>
        <v>1034</v>
      </c>
      <c r="D9" s="121" t="s">
        <v>109</v>
      </c>
      <c r="E9" s="135"/>
      <c r="G9" s="124"/>
    </row>
    <row r="10" ht="22.5" customHeight="1">
      <c r="A10" s="94"/>
      <c r="B10" s="114" t="s">
        <v>111</v>
      </c>
      <c r="C10" s="139">
        <v>5.0</v>
      </c>
      <c r="D10" s="143"/>
      <c r="E10" s="145" t="s">
        <v>117</v>
      </c>
      <c r="F10" s="147" t="s">
        <v>118</v>
      </c>
      <c r="G10" s="148" t="b">
        <v>0</v>
      </c>
      <c r="J10" s="23"/>
    </row>
    <row r="11" ht="22.5" customHeight="1">
      <c r="A11" s="94"/>
      <c r="B11" s="114" t="s">
        <v>27</v>
      </c>
      <c r="C11" s="139" t="s">
        <v>42</v>
      </c>
      <c r="D11" s="29"/>
      <c r="G11" s="124"/>
    </row>
    <row r="12" ht="22.5" customHeight="1">
      <c r="A12" s="94"/>
      <c r="B12" s="114" t="s">
        <v>121</v>
      </c>
      <c r="C12" s="139">
        <v>0.0</v>
      </c>
      <c r="D12" s="143" t="s">
        <v>37</v>
      </c>
      <c r="E12" s="129" t="s">
        <v>122</v>
      </c>
      <c r="F12" s="155" t="str">
        <f>VLOOKUP(C11,'Dropdown lists'!B34:F40,5,FALSE)</f>
        <v>N/A</v>
      </c>
      <c r="G12" s="157"/>
    </row>
    <row r="13" ht="22.5" customHeight="1">
      <c r="A13" s="94"/>
      <c r="B13" s="114" t="s">
        <v>126</v>
      </c>
      <c r="C13" s="139" t="s">
        <v>24</v>
      </c>
      <c r="D13" s="143"/>
      <c r="E13" s="29"/>
      <c r="F13" s="160"/>
      <c r="G13" s="157"/>
      <c r="I13" s="162" t="s">
        <v>128</v>
      </c>
      <c r="J13" s="163"/>
      <c r="K13" s="163"/>
      <c r="L13" s="169"/>
    </row>
    <row r="14" ht="22.5" customHeight="1">
      <c r="A14" s="94"/>
      <c r="B14" s="114" t="s">
        <v>133</v>
      </c>
      <c r="C14" s="139">
        <v>12500.0</v>
      </c>
      <c r="D14" s="143" t="s">
        <v>124</v>
      </c>
      <c r="E14" s="29"/>
      <c r="F14" s="29"/>
      <c r="G14" s="157"/>
      <c r="I14" s="171"/>
      <c r="J14" s="173"/>
      <c r="K14" s="173"/>
      <c r="L14" s="174"/>
    </row>
    <row r="15" ht="14.25" customHeight="1">
      <c r="A15" s="94"/>
      <c r="B15" s="175" t="s">
        <v>135</v>
      </c>
      <c r="C15" s="179"/>
      <c r="D15" s="165"/>
      <c r="E15" s="165"/>
      <c r="F15" s="165"/>
      <c r="G15" s="166"/>
      <c r="I15" s="180" t="s">
        <v>137</v>
      </c>
    </row>
    <row r="16" ht="14.25" customHeight="1" outlineLevel="1">
      <c r="A16" s="94"/>
      <c r="B16" s="114" t="s">
        <v>138</v>
      </c>
      <c r="C16" s="181">
        <f t="array" ref="C16">INDEX('Airport data'!$A$5:$L1006,MATCH($C$4,'Airport data'!$A$5:$A1006,0),2)</f>
        <v>541</v>
      </c>
      <c r="D16" s="143" t="s">
        <v>140</v>
      </c>
      <c r="F16" s="29"/>
      <c r="G16" s="157"/>
      <c r="H16" s="143"/>
    </row>
    <row r="17" ht="14.25" customHeight="1" outlineLevel="1">
      <c r="A17" s="94"/>
      <c r="B17" s="114" t="s">
        <v>141</v>
      </c>
      <c r="C17" s="183">
        <f t="array" ref="C17">INDEX('Airport data'!$A$5:$L1006,MATCH($C$4,'Airport data'!$A$5:$A1006,0),7)</f>
        <v>0</v>
      </c>
      <c r="D17" s="143" t="s">
        <v>142</v>
      </c>
      <c r="E17" s="184" t="s">
        <v>143</v>
      </c>
      <c r="G17" s="124"/>
      <c r="H17" s="29"/>
    </row>
    <row r="18" outlineLevel="1">
      <c r="A18" s="94"/>
      <c r="B18" s="114" t="s">
        <v>144</v>
      </c>
      <c r="C18" s="181">
        <f t="array" ref="C18">INDEX('Airport data'!$A$5:$L1006,MATCH($C$4,'Airport data'!$A$5:$A1006,0),8)</f>
        <v>285</v>
      </c>
      <c r="D18" s="143" t="s">
        <v>95</v>
      </c>
      <c r="F18" s="29"/>
      <c r="G18" s="157"/>
      <c r="H18" s="29"/>
    </row>
    <row r="19" outlineLevel="1">
      <c r="A19" s="94"/>
      <c r="B19" s="114" t="s">
        <v>149</v>
      </c>
      <c r="C19" s="181">
        <f t="array" ref="C19">INDEX('Airport data'!$A$5:$L1006,MATCH($C$4,'Airport data'!$A$5:$A1006,0),5)-10</f>
        <v>2290</v>
      </c>
      <c r="D19" s="143" t="s">
        <v>146</v>
      </c>
      <c r="E19" s="188" t="s">
        <v>151</v>
      </c>
      <c r="G19" s="190">
        <f t="array" ref="G19">INDEX('Airport data'!$A$5:$L1006,MATCH($C$4,'Airport data'!$A$5:$A1006,0),9)</f>
        <v>3.3</v>
      </c>
      <c r="H19" s="128"/>
    </row>
    <row r="20" outlineLevel="1">
      <c r="A20" s="94"/>
      <c r="B20" s="116" t="s">
        <v>154</v>
      </c>
      <c r="C20" s="181">
        <f t="array" ref="C20">INDEX('Airport data'!$A$5:$L1006,MATCH($C$4,'Airport data'!$A$5:$A1006,0),3)-10</f>
        <v>2290</v>
      </c>
      <c r="D20" s="191" t="s">
        <v>146</v>
      </c>
      <c r="G20" s="157"/>
      <c r="H20" s="29"/>
      <c r="J20" s="192"/>
    </row>
    <row r="21" outlineLevel="1">
      <c r="A21" s="94"/>
      <c r="B21" s="114" t="s">
        <v>155</v>
      </c>
      <c r="C21" s="181">
        <f t="array" ref="C21">INDEX('Airport data'!$A$5:$L1006,MATCH($C$4,'Airport data'!$A$5:$A1006,0),4)-10</f>
        <v>2290</v>
      </c>
      <c r="D21" s="143" t="s">
        <v>146</v>
      </c>
      <c r="E21" s="192" t="s">
        <v>158</v>
      </c>
      <c r="F21" s="198">
        <f>C35*1.15</f>
        <v>560.2743902</v>
      </c>
      <c r="G21" s="157"/>
      <c r="H21" s="29"/>
      <c r="J21" s="192" t="s">
        <v>160</v>
      </c>
    </row>
    <row r="22" outlineLevel="1">
      <c r="A22" s="94"/>
      <c r="B22" s="114" t="s">
        <v>10</v>
      </c>
      <c r="C22" s="181">
        <f t="array" ref="C22">INDEX('Airport data'!$A$5:$L1006,MATCH($C$4,'Airport data'!$A$5:$A1006,0),6)</f>
        <v>2300</v>
      </c>
      <c r="D22" s="143" t="s">
        <v>146</v>
      </c>
      <c r="E22" s="128"/>
      <c r="F22" s="128"/>
      <c r="G22" s="193"/>
      <c r="J22" s="192" t="s">
        <v>162</v>
      </c>
    </row>
    <row r="23" ht="15.75" customHeight="1">
      <c r="A23" s="94"/>
      <c r="B23" s="185" t="s">
        <v>147</v>
      </c>
      <c r="C23" s="179"/>
      <c r="D23" s="165"/>
      <c r="E23" s="165"/>
      <c r="F23" s="165"/>
      <c r="G23" s="166"/>
      <c r="H23" s="29"/>
      <c r="J23" s="192" t="s">
        <v>166</v>
      </c>
    </row>
    <row r="24" ht="15.75" customHeight="1">
      <c r="A24" s="94"/>
      <c r="B24" s="114" t="s">
        <v>150</v>
      </c>
      <c r="C24" s="207">
        <f>'LTL_TAKE OFF Performance FLAPS '!D34</f>
        <v>0</v>
      </c>
      <c r="D24" s="143" t="s">
        <v>152</v>
      </c>
      <c r="E24" s="172"/>
      <c r="F24" s="29"/>
      <c r="G24" s="157"/>
    </row>
    <row r="25" ht="15.75" customHeight="1">
      <c r="A25" s="94"/>
      <c r="B25" s="114" t="s">
        <v>153</v>
      </c>
      <c r="C25" s="207">
        <f>ABS('LTL_TAKE OFF Performance FLAPS '!C39*C7)</f>
        <v>0</v>
      </c>
      <c r="D25" s="143" t="s">
        <v>152</v>
      </c>
      <c r="E25" s="129" t="s">
        <v>7</v>
      </c>
      <c r="F25" s="155">
        <f t="array" ref="F25">IF(ISBLANK(#REF!), 25,  INDEX('Dropdown lists'!$B$4:$D$10,MATCH(C10,'Dropdown lists'!$B$4:$B$10,0),3))</f>
        <v>25</v>
      </c>
      <c r="G25" s="157"/>
      <c r="H25" s="29"/>
    </row>
    <row r="26" ht="15.75" customHeight="1">
      <c r="A26" s="94"/>
      <c r="B26" s="199" t="s">
        <v>159</v>
      </c>
      <c r="C26" s="227" t="s">
        <v>157</v>
      </c>
      <c r="D26" s="201" t="s">
        <v>161</v>
      </c>
      <c r="E26" s="203" t="s">
        <v>163</v>
      </c>
      <c r="F26" s="231"/>
      <c r="G26" s="205" t="s">
        <v>164</v>
      </c>
    </row>
    <row r="27" ht="15.75" customHeight="1">
      <c r="A27" s="94"/>
      <c r="B27" s="235" t="s">
        <v>171</v>
      </c>
      <c r="C27" s="113"/>
      <c r="D27" s="113"/>
      <c r="E27" s="113"/>
      <c r="F27" s="113"/>
      <c r="G27" s="236"/>
    </row>
    <row r="28" ht="14.25" hidden="1" customHeight="1" outlineLevel="1">
      <c r="A28" s="94"/>
      <c r="B28" s="239" t="s">
        <v>173</v>
      </c>
      <c r="C28" s="246">
        <f>'LTL_TAKE OFF Performance FLAPS '!G28</f>
        <v>487.195122</v>
      </c>
      <c r="F28" s="29"/>
      <c r="G28" s="157"/>
      <c r="H28" s="29"/>
      <c r="I28" s="247"/>
      <c r="J28" s="247"/>
      <c r="K28" s="247"/>
      <c r="L28" s="247"/>
      <c r="M28" s="247"/>
    </row>
    <row r="29" ht="14.25" hidden="1" customHeight="1" outlineLevel="1">
      <c r="A29" s="94"/>
      <c r="B29" s="250" t="s">
        <v>175</v>
      </c>
      <c r="C29" s="252">
        <f>MAX('LTL_TAKE OFF Performance FLAPS '!G29:G30)</f>
        <v>963.4146341</v>
      </c>
      <c r="F29" s="29"/>
      <c r="G29" s="157"/>
      <c r="H29" s="29"/>
      <c r="I29" s="247"/>
      <c r="J29" s="247"/>
      <c r="K29" s="247"/>
      <c r="L29" s="247"/>
      <c r="M29" s="247"/>
    </row>
    <row r="30" ht="15.75" hidden="1" customHeight="1" outlineLevel="1">
      <c r="A30" s="94"/>
      <c r="B30" s="250" t="s">
        <v>179</v>
      </c>
      <c r="C30" s="252">
        <f>MAX('LTL_TAKE OFF Performance FLAPS '!G32)</f>
        <v>926.8292683</v>
      </c>
      <c r="F30" s="29"/>
      <c r="G30" s="157"/>
      <c r="H30" s="29"/>
      <c r="I30" s="247"/>
      <c r="J30" s="247"/>
      <c r="K30" s="247"/>
      <c r="L30" s="247"/>
      <c r="M30" s="247"/>
    </row>
    <row r="31" ht="15.75" hidden="1" customHeight="1" outlineLevel="1">
      <c r="A31" s="94"/>
      <c r="B31" s="223" t="s">
        <v>181</v>
      </c>
      <c r="C31" s="255">
        <f>'LTL_TAKE OFF Performance FLAPS '!E$22</f>
        <v>94</v>
      </c>
      <c r="F31" s="29"/>
      <c r="G31" s="157"/>
      <c r="H31" s="29"/>
      <c r="I31" s="247"/>
      <c r="J31" s="247"/>
      <c r="K31" s="247"/>
      <c r="L31" s="247"/>
      <c r="M31" s="247"/>
    </row>
    <row r="32" ht="15.75" hidden="1" customHeight="1" outlineLevel="1">
      <c r="A32" s="94"/>
      <c r="B32" s="223" t="s">
        <v>182</v>
      </c>
      <c r="C32" s="255">
        <f>'LTL_TAKE OFF Performance FLAPS '!E$22</f>
        <v>94</v>
      </c>
      <c r="F32" s="29"/>
      <c r="G32" s="157"/>
      <c r="H32" s="29"/>
      <c r="I32" s="247"/>
      <c r="J32" s="247"/>
      <c r="K32" s="247"/>
      <c r="L32" s="247"/>
      <c r="M32" s="247"/>
    </row>
    <row r="33" ht="15.75" hidden="1" customHeight="1" outlineLevel="1">
      <c r="A33" s="257"/>
      <c r="B33" s="260" t="s">
        <v>184</v>
      </c>
      <c r="C33" s="246">
        <f>'LTL_TAKE OFF Performance FLAPS '!I22</f>
        <v>103</v>
      </c>
      <c r="F33" s="29"/>
      <c r="G33" s="157"/>
      <c r="H33" s="29"/>
    </row>
    <row r="34" ht="15.75" customHeight="1" collapsed="1">
      <c r="A34" s="94"/>
      <c r="B34" s="253" t="s">
        <v>188</v>
      </c>
      <c r="C34" s="113"/>
      <c r="D34" s="113"/>
      <c r="E34" s="113"/>
      <c r="F34" s="113"/>
      <c r="G34" s="236"/>
      <c r="H34" s="29"/>
      <c r="I34" s="29"/>
    </row>
    <row r="35" ht="15.75" customHeight="1">
      <c r="A35" s="94"/>
      <c r="B35" s="239" t="s">
        <v>173</v>
      </c>
      <c r="C35" s="246">
        <f>'LTL_TAKE OFF Performance FLAPS '!Q28</f>
        <v>487.195122</v>
      </c>
      <c r="F35" s="29"/>
      <c r="G35" s="157"/>
      <c r="H35" s="262"/>
      <c r="I35" s="263"/>
    </row>
    <row r="36" ht="15.75" customHeight="1">
      <c r="A36" s="94"/>
      <c r="B36" s="250" t="s">
        <v>175</v>
      </c>
      <c r="C36" s="252">
        <f>MAX('LTL_TAKE OFF Performance FLAPS '!Q29:Q31)</f>
        <v>963.4146341</v>
      </c>
      <c r="F36" s="29"/>
      <c r="G36" s="157"/>
      <c r="H36" s="262"/>
      <c r="I36" s="29"/>
    </row>
    <row r="37" ht="15.75" customHeight="1">
      <c r="A37" s="94"/>
      <c r="B37" s="250" t="s">
        <v>179</v>
      </c>
      <c r="C37" s="252">
        <f>MAX('LTL_TAKE OFF Performance FLAPS '!Q32)</f>
        <v>926.8292683</v>
      </c>
      <c r="F37" s="29"/>
      <c r="G37" s="157"/>
      <c r="H37" s="29"/>
      <c r="I37" s="129"/>
    </row>
    <row r="38" ht="15.75" customHeight="1">
      <c r="A38" s="94"/>
      <c r="B38" s="250" t="s">
        <v>181</v>
      </c>
      <c r="C38" s="255">
        <f>'LTL_TAKE OFF Performance FLAPS '!E$22</f>
        <v>94</v>
      </c>
      <c r="F38" s="29"/>
      <c r="G38" s="157"/>
      <c r="H38" s="29"/>
    </row>
    <row r="39" ht="15.75" customHeight="1">
      <c r="A39" s="94"/>
      <c r="B39" s="223" t="s">
        <v>182</v>
      </c>
      <c r="C39" s="255">
        <f>'LTL_TAKE OFF Performance FLAPS '!E$22</f>
        <v>94</v>
      </c>
      <c r="F39" s="29"/>
      <c r="G39" s="157"/>
      <c r="H39" s="29"/>
    </row>
    <row r="40" ht="15.75" customHeight="1">
      <c r="A40" s="94"/>
      <c r="B40" s="260" t="s">
        <v>184</v>
      </c>
      <c r="C40" s="252">
        <f>'LTL_TAKE OFF Performance FLAPS '!I$22</f>
        <v>103</v>
      </c>
      <c r="F40" s="29"/>
      <c r="G40" s="157"/>
      <c r="H40" s="29"/>
      <c r="I40" s="155" t="s">
        <v>191</v>
      </c>
    </row>
    <row r="41" ht="15.75" customHeight="1">
      <c r="A41" s="94"/>
      <c r="B41" s="253" t="s">
        <v>192</v>
      </c>
      <c r="C41" s="113"/>
      <c r="D41" s="113"/>
      <c r="E41" s="113"/>
      <c r="F41" s="113"/>
      <c r="G41" s="236"/>
      <c r="H41" s="29"/>
      <c r="I41" s="29"/>
    </row>
    <row r="42" ht="15.75" customHeight="1">
      <c r="A42" s="94"/>
      <c r="B42" s="264" t="s">
        <v>193</v>
      </c>
      <c r="C42" s="265">
        <f> IF(  C24&gt;0, 'LTL_NET GRADIENT OF CLIMB'!C55*(125/(125-50%*ABS(C24))),  'LTL_NET GRADIENT OF CLIMB'!C55*(125/(125+150%*ABS(C24)))  )</f>
        <v>5.53985</v>
      </c>
      <c r="F42" s="29"/>
      <c r="G42" s="157"/>
      <c r="H42" s="29"/>
      <c r="I42" s="181"/>
    </row>
    <row r="43" ht="15.75" customHeight="1">
      <c r="A43" s="94"/>
      <c r="B43" s="268" t="s">
        <v>183</v>
      </c>
      <c r="C43" s="270" t="str">
        <f>IF(C42&gt;G19,"", "Check jeppessen climb requriment")</f>
        <v/>
      </c>
      <c r="D43" s="271"/>
      <c r="E43" s="272"/>
      <c r="F43" s="29"/>
      <c r="G43" s="157"/>
      <c r="H43" s="29"/>
      <c r="I43" s="181"/>
    </row>
    <row r="44" ht="15.75" customHeight="1">
      <c r="A44" s="94"/>
      <c r="B44" s="253" t="s">
        <v>198</v>
      </c>
      <c r="C44" s="113"/>
      <c r="D44" s="113"/>
      <c r="E44" s="113"/>
      <c r="F44" s="113"/>
      <c r="G44" s="236"/>
      <c r="H44" s="29"/>
      <c r="I44" s="181"/>
    </row>
    <row r="45" ht="15.75" customHeight="1">
      <c r="A45" s="94"/>
      <c r="B45" s="264" t="s">
        <v>170</v>
      </c>
      <c r="C45" s="276">
        <f>'LTL_LDG Performance'!K21</f>
        <v>121</v>
      </c>
      <c r="D45" s="172"/>
      <c r="F45" s="161"/>
      <c r="G45" s="277">
        <f>'LTL_LDG Performance'!I21</f>
        <v>97</v>
      </c>
      <c r="H45" s="29"/>
      <c r="I45" s="181"/>
    </row>
    <row r="46" ht="15.75" customHeight="1">
      <c r="A46" s="94"/>
      <c r="B46" s="278" t="s">
        <v>199</v>
      </c>
      <c r="C46" s="279">
        <f>('LTL_LDG Performance'!D88/3.28)*'LTL_LDG Performance'!C55</f>
        <v>2320.914634</v>
      </c>
      <c r="D46" s="280"/>
      <c r="E46" s="281"/>
      <c r="F46" s="282"/>
      <c r="G46" s="283">
        <f>'LTL_LDG Performance'!C54</f>
        <v>1365.243902</v>
      </c>
      <c r="H46" s="29"/>
      <c r="I46" s="181"/>
    </row>
    <row r="47" ht="15.75" customHeight="1">
      <c r="H47" s="29"/>
      <c r="I47" s="181"/>
    </row>
    <row r="48" ht="15.75" customHeight="1">
      <c r="B48" s="129"/>
      <c r="F48" s="161"/>
      <c r="G48" s="161"/>
      <c r="H48" s="29"/>
      <c r="I48" s="181"/>
    </row>
    <row r="49" ht="15.75" customHeight="1">
      <c r="B49" s="129"/>
      <c r="F49" s="161"/>
      <c r="G49" s="161"/>
      <c r="H49" s="29"/>
      <c r="I49" s="181"/>
    </row>
    <row r="50" ht="15.75" customHeight="1">
      <c r="B50" s="129"/>
      <c r="F50" s="161"/>
      <c r="G50" s="161"/>
      <c r="H50" s="29"/>
      <c r="I50" s="181"/>
    </row>
    <row r="51" ht="15.75" customHeight="1">
      <c r="B51" s="129"/>
      <c r="F51" s="161"/>
      <c r="G51" s="161"/>
    </row>
    <row r="52" ht="15.75" customHeight="1">
      <c r="B52" s="129"/>
      <c r="F52" s="161"/>
      <c r="G52" s="161"/>
    </row>
    <row r="53" ht="15.75" customHeight="1">
      <c r="B53" s="129"/>
      <c r="F53" s="161"/>
      <c r="G53" s="161"/>
    </row>
    <row r="54" ht="15.75" customHeight="1">
      <c r="C54" s="29" t="s">
        <v>185</v>
      </c>
      <c r="D54" s="161"/>
    </row>
    <row r="55" ht="15.0" customHeight="1">
      <c r="B55" s="181" t="str">
        <f>'Take-off'!$B19</f>
        <v>ASDA:</v>
      </c>
      <c r="C55" s="181">
        <f>'Take-off'!$C19</f>
        <v>2290</v>
      </c>
    </row>
    <row r="56" ht="15.0" customHeight="1">
      <c r="B56" s="181" t="str">
        <f>'Take-off'!$B20</f>
        <v>TORA:</v>
      </c>
      <c r="C56" s="181">
        <f>'Take-off'!$C20</f>
        <v>2290</v>
      </c>
    </row>
    <row r="57" ht="15.0" customHeight="1">
      <c r="B57" s="181" t="str">
        <f>'Take-off'!$B21</f>
        <v>TODA:</v>
      </c>
      <c r="C57" s="181">
        <f>'Take-off'!$C21</f>
        <v>2290</v>
      </c>
    </row>
    <row r="58" ht="15.0" customHeight="1">
      <c r="B58" s="29" t="str">
        <f t="shared" ref="B58:C58" si="1">B35</f>
        <v>Ground Roll [m]</v>
      </c>
      <c r="C58" s="181">
        <f t="shared" si="1"/>
        <v>487.195122</v>
      </c>
    </row>
    <row r="59" ht="15.0" customHeight="1">
      <c r="B59" s="29" t="str">
        <f t="shared" ref="B59:C59" si="2">B36</f>
        <v>Take off distance [m]</v>
      </c>
      <c r="C59" s="181">
        <f t="shared" si="2"/>
        <v>963.4146341</v>
      </c>
    </row>
    <row r="60" ht="15.75" customHeight="1">
      <c r="B60" s="29" t="str">
        <f t="shared" ref="B60:C60" si="3">B37</f>
        <v>Accelerade &amp; STOP [m]</v>
      </c>
      <c r="C60" s="181">
        <f t="shared" si="3"/>
        <v>926.8292683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>
      <c r="B68" s="235" t="s">
        <v>201</v>
      </c>
      <c r="C68" s="113"/>
      <c r="D68" s="113"/>
      <c r="E68" s="113"/>
      <c r="F68" s="113"/>
      <c r="G68" s="236"/>
    </row>
    <row r="69" ht="15.75" customHeight="1">
      <c r="B69" s="293" t="s">
        <v>205</v>
      </c>
      <c r="C69" s="181" t="str">
        <f t="array" ref="C69">INDEX('Airport data'!$B$5:$M$44,MATCH($C$4,'Airport data'!$A$5:$A$44,0),10)</f>
        <v/>
      </c>
      <c r="D69" s="192" t="s">
        <v>140</v>
      </c>
      <c r="G69" s="299"/>
    </row>
    <row r="70" ht="15.75" customHeight="1">
      <c r="B70" s="293" t="s">
        <v>220</v>
      </c>
      <c r="C70" s="302" t="str">
        <f t="array" ref="C70">INDEX('Airport data'!$B$5:$M$44,MATCH($C$4,'Airport data'!$A$5:$A$44,0),11)</f>
        <v/>
      </c>
      <c r="D70" s="271"/>
      <c r="E70" s="271"/>
      <c r="F70" s="271"/>
      <c r="G70" s="303"/>
    </row>
    <row r="71" ht="15.75" customHeight="1">
      <c r="B71" s="304"/>
      <c r="C71" s="305"/>
      <c r="G71" s="124"/>
    </row>
    <row r="72" ht="15.75" customHeight="1">
      <c r="B72" s="304"/>
      <c r="C72" s="306"/>
      <c r="D72" s="307"/>
      <c r="E72" s="307"/>
      <c r="F72" s="307"/>
      <c r="G72" s="308"/>
    </row>
    <row r="73" ht="15.75" customHeight="1">
      <c r="B73" s="309"/>
      <c r="C73" s="310"/>
      <c r="D73" s="310"/>
      <c r="E73" s="310"/>
      <c r="F73" s="310"/>
      <c r="G73" s="312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2">
    <mergeCell ref="B1:G1"/>
    <mergeCell ref="B3:E3"/>
    <mergeCell ref="C4:F4"/>
    <mergeCell ref="C5:G5"/>
    <mergeCell ref="F6:G7"/>
    <mergeCell ref="F8:F9"/>
    <mergeCell ref="G8:G9"/>
    <mergeCell ref="C23:G23"/>
    <mergeCell ref="B27:G27"/>
    <mergeCell ref="B34:G34"/>
    <mergeCell ref="B41:G41"/>
    <mergeCell ref="C43:E43"/>
    <mergeCell ref="B44:G44"/>
    <mergeCell ref="B68:G68"/>
    <mergeCell ref="C70:G72"/>
    <mergeCell ref="E10:E11"/>
    <mergeCell ref="F10:F11"/>
    <mergeCell ref="G10:G11"/>
    <mergeCell ref="I13:L14"/>
    <mergeCell ref="C15:G15"/>
    <mergeCell ref="E17:G17"/>
    <mergeCell ref="E19:F19"/>
  </mergeCells>
  <conditionalFormatting sqref="C42">
    <cfRule type="cellIs" dxfId="2" priority="1" operator="lessThan">
      <formula>3.3</formula>
    </cfRule>
  </conditionalFormatting>
  <conditionalFormatting sqref="C42">
    <cfRule type="cellIs" dxfId="3" priority="2" operator="greaterThanOrEqual">
      <formula>$G$19</formula>
    </cfRule>
  </conditionalFormatting>
  <conditionalFormatting sqref="C43">
    <cfRule type="notContainsBlanks" dxfId="2" priority="3">
      <formula>LEN(TRIM(C43))&gt;0</formula>
    </cfRule>
  </conditionalFormatting>
  <conditionalFormatting sqref="F6:G6">
    <cfRule type="notContainsBlanks" dxfId="6" priority="4">
      <formula>LEN(TRIM(F6))&gt;0</formula>
    </cfRule>
  </conditionalFormatting>
  <conditionalFormatting sqref="C46 F46:G46">
    <cfRule type="cellIs" dxfId="4" priority="5" operator="greaterThan">
      <formula>$C$22</formula>
    </cfRule>
  </conditionalFormatting>
  <conditionalFormatting sqref="C46 F46:G46">
    <cfRule type="cellIs" dxfId="3" priority="6" operator="lessThan">
      <formula>$C$22</formula>
    </cfRule>
  </conditionalFormatting>
  <conditionalFormatting sqref="C6:C9">
    <cfRule type="expression" dxfId="0" priority="7">
      <formula>E6&lt;&gt;""</formula>
    </cfRule>
  </conditionalFormatting>
  <conditionalFormatting sqref="E6:E9">
    <cfRule type="notContainsBlanks" dxfId="0" priority="8">
      <formula>LEN(TRIM(E6))&gt;0</formula>
    </cfRule>
  </conditionalFormatting>
  <conditionalFormatting sqref="F8:F9">
    <cfRule type="expression" dxfId="0" priority="9">
      <formula>E6&lt;&gt;""</formula>
    </cfRule>
  </conditionalFormatting>
  <conditionalFormatting sqref="F8:F9">
    <cfRule type="expression" dxfId="0" priority="10">
      <formula>E7&lt;&gt;""</formula>
    </cfRule>
  </conditionalFormatting>
  <conditionalFormatting sqref="F8:F9">
    <cfRule type="expression" dxfId="0" priority="11">
      <formula>E8&lt;&gt;""</formula>
    </cfRule>
  </conditionalFormatting>
  <conditionalFormatting sqref="F8:F9">
    <cfRule type="expression" dxfId="0" priority="12">
      <formula>E9&lt;&gt;""</formula>
    </cfRule>
  </conditionalFormatting>
  <conditionalFormatting sqref="C25">
    <cfRule type="cellIs" dxfId="6" priority="13" operator="greaterThan">
      <formula>F25</formula>
    </cfRule>
  </conditionalFormatting>
  <conditionalFormatting sqref="C24">
    <cfRule type="cellIs" dxfId="6" priority="14" operator="lessThan">
      <formula>-10</formula>
    </cfRule>
  </conditionalFormatting>
  <conditionalFormatting sqref="C5">
    <cfRule type="expression" dxfId="6" priority="15">
      <formula>AND(LEN(C5)&gt;=4, LEFT(C5, 4) &lt;&gt; LEFT(C4, 4))</formula>
    </cfRule>
  </conditionalFormatting>
  <conditionalFormatting sqref="C28">
    <cfRule type="cellIs" dxfId="3" priority="16" operator="lessThanOrEqual">
      <formula>C20</formula>
    </cfRule>
  </conditionalFormatting>
  <conditionalFormatting sqref="C28">
    <cfRule type="cellIs" dxfId="4" priority="17" operator="greaterThan">
      <formula>C20</formula>
    </cfRule>
  </conditionalFormatting>
  <conditionalFormatting sqref="C29">
    <cfRule type="cellIs" dxfId="3" priority="18" operator="lessThanOrEqual">
      <formula>C21</formula>
    </cfRule>
  </conditionalFormatting>
  <conditionalFormatting sqref="C29">
    <cfRule type="cellIs" dxfId="4" priority="19" operator="greaterThan">
      <formula>"C21"</formula>
    </cfRule>
  </conditionalFormatting>
  <conditionalFormatting sqref="C30">
    <cfRule type="cellIs" dxfId="3" priority="20" operator="lessThanOrEqual">
      <formula>C19</formula>
    </cfRule>
  </conditionalFormatting>
  <conditionalFormatting sqref="C30">
    <cfRule type="cellIs" dxfId="4" priority="21" operator="greaterThan">
      <formula>C19</formula>
    </cfRule>
  </conditionalFormatting>
  <conditionalFormatting sqref="C35 I35">
    <cfRule type="cellIs" dxfId="3" priority="22" operator="lessThanOrEqual">
      <formula>C20</formula>
    </cfRule>
  </conditionalFormatting>
  <conditionalFormatting sqref="C35 I35">
    <cfRule type="cellIs" dxfId="4" priority="23" operator="greaterThan">
      <formula>C20</formula>
    </cfRule>
  </conditionalFormatting>
  <conditionalFormatting sqref="C36">
    <cfRule type="cellIs" dxfId="3" priority="24" operator="lessThanOrEqual">
      <formula>C21</formula>
    </cfRule>
  </conditionalFormatting>
  <conditionalFormatting sqref="C36">
    <cfRule type="cellIs" dxfId="4" priority="25" operator="greaterThan">
      <formula>C21</formula>
    </cfRule>
  </conditionalFormatting>
  <conditionalFormatting sqref="C37">
    <cfRule type="cellIs" dxfId="3" priority="26" operator="lessThanOrEqual">
      <formula>C19</formula>
    </cfRule>
  </conditionalFormatting>
  <conditionalFormatting sqref="C37">
    <cfRule type="cellIs" dxfId="4" priority="27" operator="greaterThan">
      <formula>C19</formula>
    </cfRule>
  </conditionalFormatting>
  <dataValidations>
    <dataValidation type="list" allowBlank="1" showErrorMessage="1" sqref="F2">
      <formula1>"SE-LTL,SE-KVL,SE-MJU"</formula1>
    </dataValidation>
    <dataValidation type="list" allowBlank="1" showErrorMessage="1" sqref="C4">
      <formula1>'Airport data'!$A$5:$A$44</formula1>
    </dataValidation>
    <dataValidation type="list" allowBlank="1" showErrorMessage="1" sqref="C13">
      <formula1>'Dropdown lists'!$B$30:$B$31</formula1>
    </dataValidation>
    <dataValidation type="list" allowBlank="1" showErrorMessage="1" sqref="C10">
      <formula1>'Dropdown lists'!$B$4:$B$9</formula1>
    </dataValidation>
    <dataValidation type="list" allowBlank="1" showErrorMessage="1" sqref="C11">
      <formula1>'Dropdown lists'!$B$34:$B$40</formula1>
    </dataValidation>
  </dataValidations>
  <printOptions horizontalCentered="1" verticalCentered="1"/>
  <pageMargins bottom="0.5905511811023623" footer="0.0" header="0.0" left="0.3937007874015748" right="0.3937007874015748" top="0.5905511811023623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43"/>
    <col customWidth="1" min="2" max="2" width="27.0"/>
    <col customWidth="1" min="3" max="3" width="16.0"/>
    <col customWidth="1" min="4" max="4" width="4.43"/>
    <col customWidth="1" min="5" max="5" width="9.0"/>
    <col customWidth="1" min="6" max="6" width="15.29"/>
    <col customWidth="1" min="7" max="7" width="9.0"/>
    <col customWidth="1" min="9" max="9" width="4.86"/>
  </cols>
  <sheetData>
    <row r="2">
      <c r="B2" s="87" t="s">
        <v>78</v>
      </c>
      <c r="C2" s="98"/>
      <c r="D2" s="98"/>
      <c r="E2" s="98"/>
      <c r="F2" s="98"/>
      <c r="G2" s="101" t="s">
        <v>87</v>
      </c>
      <c r="H2" s="29"/>
    </row>
    <row r="3">
      <c r="B3" s="102" t="s">
        <v>88</v>
      </c>
      <c r="G3" s="103" t="s">
        <v>89</v>
      </c>
      <c r="H3" s="29"/>
    </row>
    <row r="4" ht="52.5" customHeight="1">
      <c r="B4" s="105" t="s">
        <v>90</v>
      </c>
      <c r="C4" s="109" t="s">
        <v>92</v>
      </c>
      <c r="D4" s="110"/>
      <c r="E4" s="110"/>
      <c r="F4" s="110"/>
      <c r="G4" s="111"/>
      <c r="H4" s="29"/>
      <c r="I4" s="29"/>
    </row>
    <row r="5" ht="30.75" customHeight="1">
      <c r="B5" s="114"/>
      <c r="C5" s="117" t="s">
        <v>93</v>
      </c>
      <c r="D5" s="118"/>
      <c r="E5" s="118"/>
      <c r="F5" s="118"/>
      <c r="G5" s="119"/>
      <c r="H5" s="29"/>
      <c r="I5" s="29"/>
    </row>
    <row r="6">
      <c r="B6" s="116" t="s">
        <v>94</v>
      </c>
      <c r="C6" s="120">
        <f>IFERROR(__xludf.DUMMYFUNCTION("IF(E6&lt;&gt;"""", E6, IF($G$8, E6, IFERROR(IF(REGEXMATCH(C5, ""\bVRB""), ""000"", VALUE(REGEXEXTRACT(C5, ""\b(\d{3})\d{2,3}(?:G\d{2,3})?(?:KT|MPS)\b""))), ""-"")))"),0.0)</f>
        <v>0</v>
      </c>
      <c r="D6" s="121" t="s">
        <v>95</v>
      </c>
      <c r="E6" s="122"/>
      <c r="F6" s="3" t="str">
        <f>IF(C21&lt;0, "Tailwind", "")</f>
        <v/>
      </c>
      <c r="G6" s="124"/>
      <c r="H6" s="29"/>
      <c r="I6" s="29"/>
    </row>
    <row r="7">
      <c r="B7" s="116" t="s">
        <v>96</v>
      </c>
      <c r="C7" s="120">
        <f>IFERROR(__xludf.DUMMYFUNCTION("IF(E7&lt;&gt;"""", E7, IF($G$8, E7, IFERROR(VALUE(REGEXEXTRACT(C5, ""\b(?:\d{3}|VRB)(\d{2,3})(?:G\d{2,3})?(?:KT|MPS)\b"")), ""-"")))"),0.0)</f>
        <v>0</v>
      </c>
      <c r="D7" s="121" t="s">
        <v>98</v>
      </c>
      <c r="E7" s="122"/>
      <c r="G7" s="124"/>
      <c r="H7" s="29"/>
    </row>
    <row r="8" ht="18.0" customHeight="1">
      <c r="B8" s="114" t="s">
        <v>100</v>
      </c>
      <c r="C8" s="120">
        <f>IFERROR(__xludf.DUMMYFUNCTION("IF(E8&lt;&gt;"""", E8, IF($G$8, E8, IFERROR(VALUE(SUBSTITUTE(REGEXEXTRACT(C5, ""\b(M?\d{2})\/(?:M?\d{2})\b""), ""M"", ""-"")), ""-"")))"),-2.0)</f>
        <v>-2</v>
      </c>
      <c r="D8" s="121" t="s">
        <v>101</v>
      </c>
      <c r="E8" s="130"/>
      <c r="F8" s="132" t="s">
        <v>106</v>
      </c>
      <c r="G8" s="133" t="b">
        <v>0</v>
      </c>
      <c r="H8" s="29"/>
    </row>
    <row r="9">
      <c r="B9" s="114" t="s">
        <v>108</v>
      </c>
      <c r="C9" s="134">
        <f>IFERROR(__xludf.DUMMYFUNCTION("IF(E9&lt;&gt;"""", E9, IF($G$8, E9, IFERROR(VALUE(REGEXEXTRACT(C5, ""\bQ(\d{4})\b"")), ""-"")))"),1034.0)</f>
        <v>1034</v>
      </c>
      <c r="D9" s="121" t="s">
        <v>109</v>
      </c>
      <c r="E9" s="135"/>
      <c r="G9" s="124"/>
      <c r="H9" s="29"/>
      <c r="I9" s="141"/>
    </row>
    <row r="10" ht="22.5" customHeight="1">
      <c r="B10" s="114" t="s">
        <v>111</v>
      </c>
      <c r="C10" s="149">
        <v>6.0</v>
      </c>
      <c r="D10" s="143"/>
      <c r="E10" s="151" t="s">
        <v>120</v>
      </c>
      <c r="F10" s="147" t="s">
        <v>118</v>
      </c>
      <c r="G10" s="148" t="b">
        <v>0</v>
      </c>
      <c r="H10" s="29"/>
    </row>
    <row r="11" ht="22.5" customHeight="1">
      <c r="B11" s="116" t="s">
        <v>123</v>
      </c>
      <c r="C11" s="149">
        <v>12500.0</v>
      </c>
      <c r="D11" s="143" t="s">
        <v>124</v>
      </c>
      <c r="G11" s="124"/>
      <c r="H11" s="29"/>
      <c r="I11" s="29"/>
    </row>
    <row r="12">
      <c r="B12" s="129" t="s">
        <v>125</v>
      </c>
      <c r="C12" s="120">
        <v>12500.0</v>
      </c>
      <c r="D12" s="23" t="s">
        <v>124</v>
      </c>
      <c r="G12" s="157"/>
      <c r="H12" s="29"/>
      <c r="I12" s="29"/>
    </row>
    <row r="13">
      <c r="B13" s="114"/>
      <c r="D13" s="143"/>
      <c r="G13" s="157"/>
      <c r="H13" s="29"/>
      <c r="I13" s="29"/>
    </row>
    <row r="14">
      <c r="B14" s="158" t="s">
        <v>127</v>
      </c>
      <c r="C14" s="164" t="str">
        <f>IF(C11&gt;C12, "Overweight landning","")</f>
        <v/>
      </c>
      <c r="D14" s="165"/>
      <c r="E14" s="165"/>
      <c r="F14" s="165"/>
      <c r="G14" s="166"/>
      <c r="H14" s="29"/>
    </row>
    <row r="15">
      <c r="B15" s="114" t="s">
        <v>130</v>
      </c>
      <c r="C15" s="181">
        <f t="array" ref="C15">INDEX('Airport data'!$B$5:$H$43,MATCH($C$4,'Airport data'!$A$5:$A$43,0),1)</f>
        <v>541</v>
      </c>
      <c r="D15" s="143" t="s">
        <v>140</v>
      </c>
      <c r="G15" s="157"/>
      <c r="H15" s="29"/>
    </row>
    <row r="16">
      <c r="B16" s="114" t="s">
        <v>141</v>
      </c>
      <c r="C16" s="183">
        <f t="array" ref="C16">INDEX('Airport data'!$B$5:$H$43,MATCH($C$4,'Airport data'!$A$5:$A$43,0),5)</f>
        <v>2300</v>
      </c>
      <c r="D16" s="143" t="s">
        <v>142</v>
      </c>
      <c r="E16" s="143"/>
      <c r="F16" s="184" t="s">
        <v>143</v>
      </c>
      <c r="G16" s="124"/>
      <c r="H16" s="29"/>
    </row>
    <row r="17">
      <c r="B17" s="114" t="s">
        <v>144</v>
      </c>
      <c r="C17" s="181">
        <f t="array" ref="C17">INDEX('Airport data'!$B$5:$H$43,MATCH($C$4,'Airport data'!$A$5:$A$43,0),7)</f>
        <v>285</v>
      </c>
      <c r="D17" s="143" t="s">
        <v>95</v>
      </c>
      <c r="G17" s="157"/>
      <c r="H17" s="29"/>
    </row>
    <row r="18">
      <c r="B18" s="114" t="s">
        <v>10</v>
      </c>
      <c r="C18" s="181">
        <f t="array" ref="C18">INDEX('Airport data'!$B$5:$H$43,MATCH($C$4,'Airport data'!$A$5:$A$43,0),4)</f>
        <v>2300</v>
      </c>
      <c r="D18" s="143" t="s">
        <v>146</v>
      </c>
      <c r="G18" s="157"/>
      <c r="H18" s="29"/>
    </row>
    <row r="19">
      <c r="B19" s="185" t="s">
        <v>147</v>
      </c>
      <c r="C19" s="186"/>
      <c r="D19" s="186"/>
      <c r="E19" s="186"/>
      <c r="F19" s="186"/>
      <c r="G19" s="187"/>
      <c r="H19" s="29"/>
      <c r="I19" s="183"/>
    </row>
    <row r="20">
      <c r="B20" s="114" t="s">
        <v>148</v>
      </c>
      <c r="C20" s="183">
        <f>IF( ISBLANK(Landing!C10),1.67, VLOOKUP(Landing!C10,'Dropdown lists'!B4:C10,2))</f>
        <v>1.67</v>
      </c>
      <c r="D20" s="143"/>
      <c r="G20" s="157"/>
      <c r="H20" s="29"/>
      <c r="I20" s="181"/>
      <c r="J20" s="29"/>
      <c r="K20" s="29"/>
    </row>
    <row r="21">
      <c r="B21" s="114" t="s">
        <v>150</v>
      </c>
      <c r="C21" s="189">
        <f>'LTL_LDG Performance'!D32</f>
        <v>0</v>
      </c>
      <c r="D21" s="143" t="s">
        <v>152</v>
      </c>
      <c r="E21" s="172"/>
      <c r="F21" s="172"/>
      <c r="G21" s="157"/>
      <c r="H21" s="29"/>
      <c r="I21" s="181"/>
      <c r="J21" s="29"/>
      <c r="K21" s="29"/>
    </row>
    <row r="22">
      <c r="B22" s="114" t="s">
        <v>153</v>
      </c>
      <c r="C22" s="189">
        <f>ABS('LTL_LDG Performance'!C37*C7)</f>
        <v>0</v>
      </c>
      <c r="D22" s="143" t="s">
        <v>152</v>
      </c>
      <c r="E22" s="172"/>
      <c r="F22" s="172" t="s">
        <v>7</v>
      </c>
      <c r="G22" s="193">
        <f t="array" ref="G22">IF(ISBLANK(C10), 25,  INDEX('Dropdown lists'!$B$4:$D$10,MATCH($C$10,'Dropdown lists'!$B$4:$B$10,0),3))</f>
        <v>25</v>
      </c>
      <c r="H22" s="29"/>
      <c r="I22" s="29"/>
      <c r="J22" s="29"/>
      <c r="K22" s="29"/>
    </row>
    <row r="23">
      <c r="B23" s="194"/>
      <c r="C23" s="1"/>
      <c r="D23" s="1"/>
      <c r="E23" s="167"/>
      <c r="F23" s="167"/>
      <c r="G23" s="195"/>
      <c r="H23" s="29"/>
      <c r="I23" s="29"/>
      <c r="J23" s="29"/>
      <c r="K23" s="29"/>
    </row>
    <row r="24" ht="15.75" customHeight="1">
      <c r="B24" s="199" t="s">
        <v>159</v>
      </c>
      <c r="C24" s="201" t="s">
        <v>157</v>
      </c>
      <c r="D24" s="201" t="s">
        <v>161</v>
      </c>
      <c r="E24" s="203"/>
      <c r="F24" s="203" t="s">
        <v>163</v>
      </c>
      <c r="G24" s="205" t="s">
        <v>164</v>
      </c>
      <c r="H24" s="29"/>
      <c r="I24" s="29"/>
      <c r="J24" s="29"/>
      <c r="K24" s="29"/>
    </row>
    <row r="25" ht="15.75" customHeight="1">
      <c r="B25" s="208" t="s">
        <v>167</v>
      </c>
      <c r="C25" s="209"/>
      <c r="D25" s="209"/>
      <c r="E25" s="209"/>
      <c r="F25" s="209"/>
      <c r="G25" s="219"/>
      <c r="H25" s="29"/>
      <c r="I25" s="181"/>
      <c r="J25" s="29"/>
    </row>
    <row r="26" ht="15.75" customHeight="1">
      <c r="B26" s="223" t="s">
        <v>170</v>
      </c>
      <c r="C26" s="229">
        <f>'LTL_LDG Performance'!M21</f>
        <v>121</v>
      </c>
      <c r="D26" s="230"/>
      <c r="G26" s="233">
        <f>'LTL_LDG Performance'!E21</f>
        <v>97</v>
      </c>
      <c r="H26" s="29"/>
    </row>
    <row r="27" ht="15.75" customHeight="1">
      <c r="B27" s="223" t="s">
        <v>172</v>
      </c>
      <c r="C27" s="241">
        <f>('LTL_LDG Performance'!B88/3.28)*Landing!C20</f>
        <v>1926.538476</v>
      </c>
      <c r="D27" s="44"/>
      <c r="G27" s="233">
        <f>'LTL_Landing distance data'!C102*C20</f>
        <v>1133.257927</v>
      </c>
      <c r="H27" s="29"/>
    </row>
    <row r="28" ht="15.75" customHeight="1">
      <c r="B28" s="248" t="s">
        <v>174</v>
      </c>
      <c r="D28" s="44"/>
      <c r="G28" s="249"/>
      <c r="H28" s="29"/>
    </row>
    <row r="29" ht="15.75" customHeight="1">
      <c r="B29" s="251"/>
      <c r="C29" s="128" t="str">
        <f>IF(ISBLANK(C10), "Dry &amp; Unfactored *1,67", "" )</f>
        <v/>
      </c>
      <c r="G29" s="124"/>
      <c r="H29" s="29"/>
      <c r="I29" s="29"/>
      <c r="J29" s="29"/>
      <c r="K29" s="29"/>
    </row>
    <row r="30" ht="15.75" customHeight="1">
      <c r="B30" s="253" t="s">
        <v>178</v>
      </c>
      <c r="C30" s="113"/>
      <c r="D30" s="113"/>
      <c r="E30" s="113"/>
      <c r="F30" s="113"/>
      <c r="G30" s="236"/>
      <c r="H30" s="29"/>
      <c r="I30" s="29"/>
      <c r="J30" s="29"/>
    </row>
    <row r="31" ht="15.75" customHeight="1">
      <c r="B31" s="254" t="s">
        <v>180</v>
      </c>
      <c r="C31" s="256">
        <f>IF( C21&gt;0, 'LTL_OEI CLIMB GRADIENT'!P46*(125/(125+50%*C21)), 'LTL_OEI CLIMB GRADIENT'!P46*(125/(125-150%*C21)) )</f>
        <v>4.94</v>
      </c>
      <c r="D31" s="258" t="s">
        <v>183</v>
      </c>
      <c r="E31" s="259"/>
      <c r="F31" s="259"/>
      <c r="G31" s="261"/>
      <c r="H31" s="29"/>
      <c r="I31" s="29"/>
      <c r="J31" s="29"/>
    </row>
    <row r="32" ht="15.75" customHeight="1"/>
    <row r="33" ht="15.75" customHeight="1"/>
    <row r="34" ht="15.75" customHeight="1"/>
    <row r="35" ht="15.0" customHeight="1">
      <c r="C35" s="29" t="s">
        <v>185</v>
      </c>
      <c r="D35" s="29" t="s">
        <v>186</v>
      </c>
    </row>
    <row r="36" ht="15.0" customHeight="1">
      <c r="B36" s="29" t="s">
        <v>187</v>
      </c>
      <c r="C36" s="181">
        <f>Landing!$C$18</f>
        <v>2300</v>
      </c>
      <c r="D36" s="181">
        <f>Landing!$C$18</f>
        <v>2300</v>
      </c>
    </row>
    <row r="37" ht="15.0" customHeight="1">
      <c r="B37" s="29" t="s">
        <v>189</v>
      </c>
      <c r="C37" s="181">
        <f>C27</f>
        <v>1926.538476</v>
      </c>
      <c r="D37" s="181">
        <f>G27</f>
        <v>1133.257927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F8:F9"/>
    <mergeCell ref="F10:F11"/>
    <mergeCell ref="E10:E13"/>
    <mergeCell ref="C14:G14"/>
    <mergeCell ref="F16:G16"/>
    <mergeCell ref="B25:G25"/>
    <mergeCell ref="B28:C28"/>
    <mergeCell ref="C29:G29"/>
    <mergeCell ref="B30:G30"/>
    <mergeCell ref="D31:F31"/>
    <mergeCell ref="B2:F2"/>
    <mergeCell ref="B3:F3"/>
    <mergeCell ref="C4:G4"/>
    <mergeCell ref="C5:G5"/>
    <mergeCell ref="F6:G7"/>
    <mergeCell ref="G8:G9"/>
    <mergeCell ref="G10:G11"/>
  </mergeCells>
  <conditionalFormatting sqref="C6:C9">
    <cfRule type="expression" dxfId="0" priority="1">
      <formula>E6&lt;&gt;""</formula>
    </cfRule>
  </conditionalFormatting>
  <conditionalFormatting sqref="E6:E9">
    <cfRule type="notContainsBlanks" dxfId="0" priority="2">
      <formula>LEN(TRIM(E6))&gt;0</formula>
    </cfRule>
  </conditionalFormatting>
  <conditionalFormatting sqref="F8:F9">
    <cfRule type="expression" dxfId="0" priority="3">
      <formula>E6&lt;&gt;""</formula>
    </cfRule>
  </conditionalFormatting>
  <conditionalFormatting sqref="F8:F9">
    <cfRule type="expression" dxfId="0" priority="4">
      <formula>E7&lt;&gt;""</formula>
    </cfRule>
  </conditionalFormatting>
  <conditionalFormatting sqref="F8:F9">
    <cfRule type="expression" dxfId="0" priority="5">
      <formula>E8&lt;&gt;""</formula>
    </cfRule>
  </conditionalFormatting>
  <conditionalFormatting sqref="F8:F9">
    <cfRule type="expression" dxfId="0" priority="6">
      <formula>E9&lt;&gt;""</formula>
    </cfRule>
  </conditionalFormatting>
  <conditionalFormatting sqref="C6:C9">
    <cfRule type="expression" dxfId="1" priority="7">
      <formula>$G$8=TRUE</formula>
    </cfRule>
  </conditionalFormatting>
  <conditionalFormatting sqref="C19 C29">
    <cfRule type="notContainsBlanks" dxfId="2" priority="8">
      <formula>LEN(TRIM(C19))&gt;0</formula>
    </cfRule>
  </conditionalFormatting>
  <conditionalFormatting sqref="C23:C24">
    <cfRule type="cellIs" dxfId="3" priority="9" operator="lessThan">
      <formula>$C$19</formula>
    </cfRule>
  </conditionalFormatting>
  <conditionalFormatting sqref="C27 G27">
    <cfRule type="cellIs" dxfId="3" priority="10" operator="lessThanOrEqual">
      <formula>$C$18</formula>
    </cfRule>
  </conditionalFormatting>
  <conditionalFormatting sqref="C27">
    <cfRule type="cellIs" dxfId="2" priority="11" operator="greaterThan">
      <formula>$C$18</formula>
    </cfRule>
  </conditionalFormatting>
  <conditionalFormatting sqref="C31">
    <cfRule type="cellIs" dxfId="4" priority="12" operator="lessThan">
      <formula>2.5</formula>
    </cfRule>
  </conditionalFormatting>
  <conditionalFormatting sqref="C14:F14">
    <cfRule type="notContainsBlanks" dxfId="4" priority="13">
      <formula>LEN(TRIM(C14))&gt;0</formula>
    </cfRule>
  </conditionalFormatting>
  <conditionalFormatting sqref="G27">
    <cfRule type="cellIs" dxfId="4" priority="14" operator="greaterThan">
      <formula>$C$18</formula>
    </cfRule>
  </conditionalFormatting>
  <conditionalFormatting sqref="J11:K13">
    <cfRule type="notContainsBlanks" dxfId="4" priority="15">
      <formula>LEN(TRIM(J11))&gt;0</formula>
    </cfRule>
  </conditionalFormatting>
  <conditionalFormatting sqref="E6:E9">
    <cfRule type="expression" dxfId="5" priority="16">
      <formula>$G$8=TRUE</formula>
    </cfRule>
  </conditionalFormatting>
  <conditionalFormatting sqref="F6:G6">
    <cfRule type="notContainsBlanks" dxfId="6" priority="17">
      <formula>LEN(TRIM(F6))&gt;0</formula>
    </cfRule>
  </conditionalFormatting>
  <conditionalFormatting sqref="C22">
    <cfRule type="cellIs" dxfId="6" priority="18" operator="greaterThan">
      <formula>G22</formula>
    </cfRule>
  </conditionalFormatting>
  <conditionalFormatting sqref="C21">
    <cfRule type="cellIs" dxfId="6" priority="19" operator="lessThan">
      <formula>-10</formula>
    </cfRule>
  </conditionalFormatting>
  <conditionalFormatting sqref="C5:G5">
    <cfRule type="expression" dxfId="6" priority="20">
      <formula>AND(LEN(C5)&gt;=4, LEFT(C5, 4) &lt;&gt; LEFT(C4, 4))</formula>
    </cfRule>
  </conditionalFormatting>
  <dataValidations>
    <dataValidation type="list" allowBlank="1" showInputMessage="1" showErrorMessage="1" prompt="Ange ett värde från intervallet ='Airport data'!$A$5:$A$37" sqref="C4">
      <formula1>'Airport data'!$A$5:$A$43</formula1>
    </dataValidation>
    <dataValidation type="list" allowBlank="1" showErrorMessage="1" sqref="C10">
      <formula1>'Dropdown lists'!$B$4:$B$9</formula1>
    </dataValidation>
  </dataValidations>
  <printOptions/>
  <pageMargins bottom="0.0" footer="0.0" header="0.0" left="0.0" right="0.0" top="0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2" width="20.14"/>
    <col customWidth="1" min="3" max="3" width="11.71"/>
    <col customWidth="1" min="4" max="5" width="20.14"/>
    <col customWidth="1" min="6" max="6" width="12.14"/>
    <col customWidth="1" min="7" max="7" width="9.14"/>
    <col customWidth="1" min="8" max="8" width="13.43"/>
    <col customWidth="1" min="9" max="9" width="17.43"/>
    <col customWidth="1" min="10" max="13" width="11.71"/>
    <col customWidth="1" min="14" max="14" width="30.0"/>
    <col customWidth="1" min="15" max="15" width="9.14"/>
    <col customWidth="1" min="16" max="16" width="11.0"/>
  </cols>
  <sheetData>
    <row r="1" ht="14.25" customHeight="1">
      <c r="A1" s="2" t="s">
        <v>0</v>
      </c>
      <c r="B1" s="4" t="s">
        <v>3</v>
      </c>
      <c r="C1" s="5" t="s">
        <v>4</v>
      </c>
      <c r="D1" s="4" t="s">
        <v>8</v>
      </c>
      <c r="E1" s="4" t="s">
        <v>9</v>
      </c>
      <c r="F1" s="9" t="s">
        <v>10</v>
      </c>
      <c r="G1" s="10" t="s">
        <v>12</v>
      </c>
      <c r="H1" s="10" t="s">
        <v>14</v>
      </c>
      <c r="I1" s="10" t="s">
        <v>16</v>
      </c>
      <c r="J1" s="11" t="s">
        <v>17</v>
      </c>
      <c r="K1" s="12" t="s">
        <v>18</v>
      </c>
    </row>
    <row r="2" ht="14.25" customHeight="1">
      <c r="A2" s="13"/>
      <c r="B2" s="14"/>
      <c r="C2" s="14"/>
      <c r="D2" s="14"/>
      <c r="E2" s="14"/>
      <c r="F2" s="15"/>
      <c r="G2" s="15"/>
      <c r="H2" s="15"/>
      <c r="I2" s="15"/>
      <c r="J2" s="16"/>
      <c r="K2" s="12" t="s">
        <v>19</v>
      </c>
      <c r="L2" s="12" t="s">
        <v>20</v>
      </c>
      <c r="M2" s="17"/>
    </row>
    <row r="3">
      <c r="A3" s="13"/>
      <c r="B3" s="18"/>
      <c r="C3" s="18"/>
      <c r="D3" s="18"/>
      <c r="E3" s="18"/>
      <c r="F3" s="19"/>
      <c r="G3" s="19"/>
      <c r="H3" s="19"/>
      <c r="I3" s="19"/>
      <c r="J3" s="20"/>
      <c r="K3" s="17"/>
      <c r="L3" s="17"/>
      <c r="M3" s="17"/>
    </row>
    <row r="4" ht="14.25" customHeight="1">
      <c r="A4" s="21"/>
      <c r="B4" s="22" t="s">
        <v>21</v>
      </c>
      <c r="C4" s="24" t="s">
        <v>22</v>
      </c>
      <c r="D4" s="25" t="s">
        <v>22</v>
      </c>
      <c r="E4" s="25" t="s">
        <v>22</v>
      </c>
      <c r="F4" s="25" t="s">
        <v>22</v>
      </c>
      <c r="G4" s="25" t="s">
        <v>25</v>
      </c>
      <c r="H4" s="25" t="s">
        <v>26</v>
      </c>
      <c r="I4" s="25" t="s">
        <v>25</v>
      </c>
      <c r="J4" s="27" t="s">
        <v>28</v>
      </c>
      <c r="K4" s="28"/>
      <c r="L4" s="28"/>
      <c r="M4" s="28"/>
    </row>
    <row r="5" ht="14.25" customHeight="1">
      <c r="A5" s="30" t="s">
        <v>31</v>
      </c>
      <c r="B5" s="32" t="s">
        <v>33</v>
      </c>
      <c r="C5" s="34"/>
      <c r="D5" s="32" t="s">
        <v>33</v>
      </c>
      <c r="E5" s="32" t="s">
        <v>33</v>
      </c>
      <c r="F5" s="32" t="s">
        <v>33</v>
      </c>
      <c r="G5" s="32" t="s">
        <v>33</v>
      </c>
      <c r="H5" s="36" t="s">
        <v>33</v>
      </c>
      <c r="I5" s="37"/>
      <c r="J5" s="32" t="s">
        <v>33</v>
      </c>
      <c r="K5" s="28"/>
      <c r="L5" s="28"/>
      <c r="M5" s="28"/>
    </row>
    <row r="6" ht="21.0" customHeight="1">
      <c r="A6" s="38" t="s">
        <v>40</v>
      </c>
      <c r="B6" s="39">
        <v>200.0</v>
      </c>
      <c r="C6" s="41">
        <v>2000.0</v>
      </c>
      <c r="D6" s="42">
        <v>2000.0</v>
      </c>
      <c r="E6" s="42">
        <v>2000.0</v>
      </c>
      <c r="F6" s="43">
        <v>2000.0</v>
      </c>
      <c r="G6" s="45">
        <v>0.0</v>
      </c>
      <c r="H6" s="43">
        <v>120.0</v>
      </c>
      <c r="I6" s="46">
        <v>3.3</v>
      </c>
      <c r="J6" s="47"/>
      <c r="K6" s="48">
        <v>666.0</v>
      </c>
      <c r="L6" s="48" t="s">
        <v>46</v>
      </c>
      <c r="M6" s="49"/>
      <c r="N6" s="50" t="s">
        <v>47</v>
      </c>
    </row>
    <row r="7" ht="21.0" customHeight="1">
      <c r="A7" s="51"/>
      <c r="B7" s="52"/>
      <c r="C7" s="53"/>
      <c r="D7" s="52"/>
      <c r="E7" s="52"/>
      <c r="F7" s="52"/>
      <c r="G7" s="54"/>
      <c r="H7" s="55"/>
      <c r="I7" s="56"/>
      <c r="J7" s="57"/>
      <c r="K7" s="49"/>
      <c r="L7" s="49"/>
      <c r="M7" s="49"/>
      <c r="N7" s="58"/>
    </row>
    <row r="8" ht="21.0" customHeight="1">
      <c r="A8" s="59" t="s">
        <v>48</v>
      </c>
      <c r="B8" s="59">
        <v>631.0</v>
      </c>
      <c r="C8" s="60">
        <f t="shared" ref="C8:C43" si="1">D8</f>
        <v>1814</v>
      </c>
      <c r="D8" s="59">
        <v>1814.0</v>
      </c>
      <c r="E8" s="59">
        <v>1814.0</v>
      </c>
      <c r="F8" s="59">
        <v>1814.0</v>
      </c>
      <c r="G8" s="61">
        <v>0.0</v>
      </c>
      <c r="H8" s="59">
        <v>156.0</v>
      </c>
      <c r="I8" s="62">
        <v>5.0</v>
      </c>
      <c r="J8" s="63"/>
      <c r="K8" s="64"/>
      <c r="L8" s="64"/>
      <c r="M8" s="64"/>
    </row>
    <row r="9" ht="21.0" customHeight="1">
      <c r="A9" s="59" t="s">
        <v>49</v>
      </c>
      <c r="B9" s="59">
        <v>618.0</v>
      </c>
      <c r="C9" s="60">
        <f t="shared" si="1"/>
        <v>1814</v>
      </c>
      <c r="D9" s="59">
        <v>1814.0</v>
      </c>
      <c r="E9" s="59">
        <v>1814.0</v>
      </c>
      <c r="F9" s="65">
        <v>1814.0</v>
      </c>
      <c r="G9" s="61">
        <v>0.0</v>
      </c>
      <c r="H9" s="59">
        <v>336.0</v>
      </c>
      <c r="I9" s="62">
        <v>3.3</v>
      </c>
      <c r="J9" s="63"/>
      <c r="K9" s="64"/>
      <c r="L9" s="64"/>
      <c r="M9" s="64"/>
    </row>
    <row r="10" ht="21.0" customHeight="1">
      <c r="A10" s="66" t="s">
        <v>50</v>
      </c>
      <c r="B10" s="67">
        <v>1172.0</v>
      </c>
      <c r="C10" s="60">
        <f t="shared" si="1"/>
        <v>1701</v>
      </c>
      <c r="D10" s="68">
        <v>1701.0</v>
      </c>
      <c r="E10" s="68">
        <v>1701.0</v>
      </c>
      <c r="F10" s="69">
        <v>1701.0</v>
      </c>
      <c r="G10" s="70">
        <v>0.0</v>
      </c>
      <c r="H10" s="69">
        <v>82.0</v>
      </c>
      <c r="I10" s="62">
        <v>3.3</v>
      </c>
      <c r="J10" s="63"/>
      <c r="K10" s="64"/>
      <c r="L10" s="64"/>
      <c r="M10" s="64"/>
      <c r="P10" s="23" t="s">
        <v>51</v>
      </c>
    </row>
    <row r="11" ht="21.0" customHeight="1">
      <c r="A11" s="66" t="s">
        <v>52</v>
      </c>
      <c r="B11" s="67">
        <v>1177.0</v>
      </c>
      <c r="C11" s="60">
        <f t="shared" si="1"/>
        <v>1701</v>
      </c>
      <c r="D11" s="68">
        <v>1701.0</v>
      </c>
      <c r="E11" s="68">
        <v>1701.0</v>
      </c>
      <c r="F11" s="68">
        <v>1701.0</v>
      </c>
      <c r="G11" s="71">
        <v>0.0</v>
      </c>
      <c r="H11" s="68">
        <v>262.0</v>
      </c>
      <c r="I11" s="62">
        <v>3.3</v>
      </c>
      <c r="J11" s="63"/>
      <c r="K11" s="64"/>
      <c r="L11" s="64"/>
      <c r="M11" s="64"/>
    </row>
    <row r="12" ht="21.0" customHeight="1">
      <c r="A12" s="72" t="s">
        <v>53</v>
      </c>
      <c r="B12" s="67">
        <v>25.0</v>
      </c>
      <c r="C12" s="60">
        <f t="shared" si="1"/>
        <v>1721</v>
      </c>
      <c r="D12" s="73">
        <v>1721.0</v>
      </c>
      <c r="E12" s="74">
        <v>1721.0</v>
      </c>
      <c r="F12" s="75">
        <v>2302.0</v>
      </c>
      <c r="G12" s="71">
        <v>0.0</v>
      </c>
      <c r="H12" s="68">
        <v>130.0</v>
      </c>
      <c r="I12" s="62">
        <v>3.4</v>
      </c>
      <c r="J12" s="63">
        <v>45604.0</v>
      </c>
      <c r="K12" s="64"/>
      <c r="L12" s="64"/>
      <c r="M12" s="64"/>
    </row>
    <row r="13" ht="21.0" customHeight="1">
      <c r="A13" s="72" t="s">
        <v>54</v>
      </c>
      <c r="B13" s="67">
        <v>25.0</v>
      </c>
      <c r="C13" s="60">
        <f t="shared" si="1"/>
        <v>2302</v>
      </c>
      <c r="D13" s="73">
        <v>2302.0</v>
      </c>
      <c r="E13" s="74">
        <v>2302.0</v>
      </c>
      <c r="F13" s="75">
        <v>2302.0</v>
      </c>
      <c r="G13" s="71">
        <v>0.0</v>
      </c>
      <c r="H13" s="68">
        <v>130.0</v>
      </c>
      <c r="I13" s="62">
        <v>3.4</v>
      </c>
      <c r="J13" s="63">
        <v>45604.0</v>
      </c>
      <c r="K13" s="64"/>
      <c r="L13" s="64"/>
      <c r="M13" s="64"/>
    </row>
    <row r="14" ht="21.0" customHeight="1">
      <c r="A14" s="72" t="s">
        <v>55</v>
      </c>
      <c r="B14" s="67">
        <v>17.0</v>
      </c>
      <c r="C14" s="60">
        <f t="shared" si="1"/>
        <v>2302</v>
      </c>
      <c r="D14" s="73">
        <v>2302.0</v>
      </c>
      <c r="E14" s="74">
        <v>2302.0</v>
      </c>
      <c r="F14" s="75">
        <v>2242.0</v>
      </c>
      <c r="G14" s="71">
        <v>0.0</v>
      </c>
      <c r="H14" s="68">
        <v>310.0</v>
      </c>
      <c r="I14" s="62">
        <v>3.3</v>
      </c>
      <c r="J14" s="63">
        <v>45604.0</v>
      </c>
      <c r="K14" s="64"/>
      <c r="L14" s="64"/>
      <c r="M14" s="64"/>
    </row>
    <row r="15" ht="21.0" customHeight="1">
      <c r="A15" s="72" t="s">
        <v>56</v>
      </c>
      <c r="B15" s="67">
        <v>17.0</v>
      </c>
      <c r="C15" s="60">
        <f t="shared" si="1"/>
        <v>1599</v>
      </c>
      <c r="D15" s="73">
        <v>1599.0</v>
      </c>
      <c r="E15" s="74">
        <v>1599.0</v>
      </c>
      <c r="F15" s="75">
        <v>2242.0</v>
      </c>
      <c r="G15" s="71">
        <v>0.0</v>
      </c>
      <c r="H15" s="68">
        <v>310.0</v>
      </c>
      <c r="I15" s="62">
        <v>3.3</v>
      </c>
      <c r="J15" s="63">
        <v>45604.0</v>
      </c>
      <c r="K15" s="64"/>
      <c r="L15" s="64"/>
      <c r="M15" s="64"/>
    </row>
    <row r="16" ht="21.0" customHeight="1">
      <c r="A16" s="76" t="s">
        <v>57</v>
      </c>
      <c r="B16" s="77">
        <v>1194.0</v>
      </c>
      <c r="C16" s="60">
        <f t="shared" si="1"/>
        <v>1907</v>
      </c>
      <c r="D16" s="78">
        <v>1907.0</v>
      </c>
      <c r="E16" s="78">
        <v>1907.0</v>
      </c>
      <c r="F16" s="78">
        <v>2500.0</v>
      </c>
      <c r="G16" s="79">
        <v>1.5</v>
      </c>
      <c r="H16" s="78">
        <v>109.0</v>
      </c>
      <c r="I16" s="62">
        <v>4.2</v>
      </c>
      <c r="J16" s="63"/>
      <c r="K16" s="64"/>
      <c r="L16" s="64"/>
      <c r="M16" s="64"/>
    </row>
    <row r="17" ht="21.0" customHeight="1">
      <c r="A17" s="76" t="s">
        <v>58</v>
      </c>
      <c r="B17" s="77">
        <v>1234.0</v>
      </c>
      <c r="C17" s="60">
        <f t="shared" si="1"/>
        <v>2500</v>
      </c>
      <c r="D17" s="78">
        <v>2500.0</v>
      </c>
      <c r="E17" s="78">
        <v>2500.0</v>
      </c>
      <c r="F17" s="78">
        <v>2500.0</v>
      </c>
      <c r="G17" s="79">
        <v>-1.5</v>
      </c>
      <c r="H17" s="78">
        <v>289.0</v>
      </c>
      <c r="I17" s="62">
        <v>3.5</v>
      </c>
      <c r="J17" s="63"/>
      <c r="K17" s="64"/>
      <c r="L17" s="64"/>
      <c r="M17" s="64"/>
    </row>
    <row r="18" ht="21.0" customHeight="1">
      <c r="A18" s="80" t="s">
        <v>59</v>
      </c>
      <c r="B18" s="67">
        <v>474.0</v>
      </c>
      <c r="C18" s="60">
        <f t="shared" si="1"/>
        <v>1508</v>
      </c>
      <c r="D18" s="68">
        <v>1508.0</v>
      </c>
      <c r="E18" s="68">
        <v>1508.0</v>
      </c>
      <c r="F18" s="69">
        <v>1508.0</v>
      </c>
      <c r="G18" s="70">
        <v>0.0</v>
      </c>
      <c r="H18" s="69">
        <v>172.0</v>
      </c>
      <c r="I18" s="62">
        <v>3.8</v>
      </c>
      <c r="J18" s="63"/>
      <c r="K18" s="64"/>
      <c r="L18" s="64"/>
      <c r="M18" s="64"/>
    </row>
    <row r="19" ht="21.0" customHeight="1">
      <c r="A19" s="80" t="s">
        <v>60</v>
      </c>
      <c r="B19" s="67">
        <v>469.0</v>
      </c>
      <c r="C19" s="60">
        <f t="shared" si="1"/>
        <v>1508</v>
      </c>
      <c r="D19" s="68">
        <v>1508.0</v>
      </c>
      <c r="E19" s="68">
        <v>1508.0</v>
      </c>
      <c r="F19" s="68">
        <v>1508.0</v>
      </c>
      <c r="G19" s="71">
        <v>0.0</v>
      </c>
      <c r="H19" s="68">
        <v>352.0</v>
      </c>
      <c r="I19" s="62">
        <v>5.5</v>
      </c>
      <c r="J19" s="63"/>
      <c r="K19" s="64"/>
      <c r="L19" s="64"/>
      <c r="M19" s="64"/>
    </row>
    <row r="20" ht="21.0" customHeight="1">
      <c r="A20" s="81" t="s">
        <v>61</v>
      </c>
      <c r="B20" s="73">
        <v>65.0</v>
      </c>
      <c r="C20" s="60">
        <f t="shared" si="1"/>
        <v>2260</v>
      </c>
      <c r="D20" s="68">
        <v>2260.0</v>
      </c>
      <c r="E20" s="68">
        <v>3160.0</v>
      </c>
      <c r="F20" s="68">
        <v>3350.0</v>
      </c>
      <c r="G20" s="71">
        <v>0.0</v>
      </c>
      <c r="H20" s="68">
        <v>127.0</v>
      </c>
      <c r="I20" s="62">
        <v>3.3</v>
      </c>
      <c r="J20" s="82"/>
      <c r="K20" s="83"/>
      <c r="L20" s="83"/>
      <c r="M20" s="83"/>
    </row>
    <row r="21" ht="21.0" customHeight="1">
      <c r="A21" s="81" t="s">
        <v>62</v>
      </c>
      <c r="B21" s="73">
        <v>21.0</v>
      </c>
      <c r="C21" s="60">
        <f t="shared" si="1"/>
        <v>2335</v>
      </c>
      <c r="D21" s="68">
        <v>2335.0</v>
      </c>
      <c r="E21" s="68">
        <v>2395.0</v>
      </c>
      <c r="F21" s="68">
        <v>3350.0</v>
      </c>
      <c r="G21" s="71">
        <v>0.0</v>
      </c>
      <c r="H21" s="68">
        <v>307.0</v>
      </c>
      <c r="I21" s="62">
        <v>3.3</v>
      </c>
      <c r="J21" s="82"/>
      <c r="K21" s="83"/>
      <c r="L21" s="83"/>
      <c r="M21" s="83"/>
    </row>
    <row r="22" ht="14.25" customHeight="1">
      <c r="A22" s="81" t="s">
        <v>63</v>
      </c>
      <c r="B22" s="67">
        <v>98.0</v>
      </c>
      <c r="C22" s="60">
        <f t="shared" si="1"/>
        <v>3301</v>
      </c>
      <c r="D22" s="73">
        <v>3301.0</v>
      </c>
      <c r="E22" s="74">
        <v>3301.0</v>
      </c>
      <c r="F22" s="75">
        <v>3301.0</v>
      </c>
      <c r="G22" s="71">
        <v>0.0</v>
      </c>
      <c r="H22" s="68">
        <v>4.0</v>
      </c>
      <c r="I22" s="62">
        <v>3.3</v>
      </c>
      <c r="J22" s="63"/>
      <c r="K22" s="64"/>
      <c r="L22" s="64"/>
      <c r="M22" s="64"/>
    </row>
    <row r="23" ht="14.25" customHeight="1">
      <c r="A23" s="81" t="s">
        <v>64</v>
      </c>
      <c r="B23" s="67">
        <v>98.0</v>
      </c>
      <c r="C23" s="60">
        <f t="shared" si="1"/>
        <v>2276</v>
      </c>
      <c r="D23" s="73">
        <v>2276.0</v>
      </c>
      <c r="E23" s="74">
        <v>2276.0</v>
      </c>
      <c r="F23" s="75">
        <v>2500.0</v>
      </c>
      <c r="G23" s="71">
        <v>0.0</v>
      </c>
      <c r="H23" s="68">
        <v>4.0</v>
      </c>
      <c r="I23" s="62">
        <v>3.3</v>
      </c>
      <c r="J23" s="63"/>
      <c r="K23" s="64"/>
      <c r="L23" s="64"/>
      <c r="M23" s="64"/>
    </row>
    <row r="24" ht="14.25" customHeight="1">
      <c r="A24" s="66" t="s">
        <v>65</v>
      </c>
      <c r="B24" s="67">
        <v>138.0</v>
      </c>
      <c r="C24" s="60">
        <f t="shared" si="1"/>
        <v>2500</v>
      </c>
      <c r="D24" s="73">
        <v>2500.0</v>
      </c>
      <c r="E24" s="73">
        <v>2500.0</v>
      </c>
      <c r="F24" s="68">
        <v>2500.0</v>
      </c>
      <c r="G24" s="71">
        <v>0.0</v>
      </c>
      <c r="H24" s="68">
        <v>4.0</v>
      </c>
      <c r="I24" s="62">
        <v>3.3</v>
      </c>
      <c r="J24" s="63"/>
      <c r="K24" s="64"/>
      <c r="L24" s="64"/>
      <c r="M24" s="64"/>
    </row>
    <row r="25" ht="14.25" customHeight="1">
      <c r="A25" s="66" t="s">
        <v>66</v>
      </c>
      <c r="B25" s="67">
        <v>138.0</v>
      </c>
      <c r="C25" s="60">
        <f t="shared" si="1"/>
        <v>2147</v>
      </c>
      <c r="D25" s="73">
        <v>2147.0</v>
      </c>
      <c r="E25" s="73">
        <v>2147.0</v>
      </c>
      <c r="F25" s="68">
        <v>2147.0</v>
      </c>
      <c r="G25" s="71">
        <v>0.0</v>
      </c>
      <c r="H25" s="68">
        <v>4.0</v>
      </c>
      <c r="I25" s="62">
        <v>3.3</v>
      </c>
      <c r="J25" s="63"/>
      <c r="K25" s="64"/>
      <c r="L25" s="64"/>
      <c r="M25" s="64"/>
    </row>
    <row r="26" ht="14.25" customHeight="1">
      <c r="A26" s="66" t="s">
        <v>67</v>
      </c>
      <c r="B26" s="67">
        <v>108.0</v>
      </c>
      <c r="C26" s="60">
        <f t="shared" si="1"/>
        <v>2800</v>
      </c>
      <c r="D26" s="73">
        <v>2800.0</v>
      </c>
      <c r="E26" s="73">
        <v>2500.0</v>
      </c>
      <c r="F26" s="68">
        <v>2500.0</v>
      </c>
      <c r="G26" s="71">
        <v>0.0</v>
      </c>
      <c r="H26" s="68">
        <v>70.0</v>
      </c>
      <c r="I26" s="62">
        <v>3.3</v>
      </c>
      <c r="J26" s="63"/>
      <c r="K26" s="64"/>
      <c r="L26" s="64"/>
      <c r="M26" s="64"/>
    </row>
    <row r="27" ht="14.25" customHeight="1">
      <c r="A27" s="66" t="s">
        <v>68</v>
      </c>
      <c r="B27" s="67">
        <v>108.0</v>
      </c>
      <c r="C27" s="60">
        <f t="shared" si="1"/>
        <v>2179</v>
      </c>
      <c r="D27" s="73">
        <v>2179.0</v>
      </c>
      <c r="E27" s="73">
        <v>1879.0</v>
      </c>
      <c r="F27" s="68">
        <v>2500.0</v>
      </c>
      <c r="G27" s="71">
        <v>0.0</v>
      </c>
      <c r="H27" s="68">
        <v>70.0</v>
      </c>
      <c r="I27" s="62">
        <v>3.3</v>
      </c>
      <c r="J27" s="63"/>
      <c r="K27" s="64"/>
      <c r="L27" s="64"/>
      <c r="M27" s="64"/>
    </row>
    <row r="28" ht="14.25" customHeight="1">
      <c r="A28" s="84" t="s">
        <v>69</v>
      </c>
      <c r="B28" s="67">
        <v>99.0</v>
      </c>
      <c r="C28" s="60">
        <f t="shared" si="1"/>
        <v>2500</v>
      </c>
      <c r="D28" s="73">
        <v>2500.0</v>
      </c>
      <c r="E28" s="73">
        <v>2500.0</v>
      </c>
      <c r="F28" s="68">
        <v>2500.0</v>
      </c>
      <c r="G28" s="71">
        <v>0.0</v>
      </c>
      <c r="H28" s="68">
        <v>184.0</v>
      </c>
      <c r="I28" s="62">
        <v>3.3</v>
      </c>
      <c r="J28" s="63"/>
      <c r="K28" s="64"/>
      <c r="L28" s="64"/>
      <c r="M28" s="64"/>
    </row>
    <row r="29" ht="14.25" customHeight="1">
      <c r="A29" s="66" t="s">
        <v>70</v>
      </c>
      <c r="B29" s="67">
        <v>99.0</v>
      </c>
      <c r="C29" s="60">
        <f t="shared" si="1"/>
        <v>2147</v>
      </c>
      <c r="D29" s="73">
        <v>2147.0</v>
      </c>
      <c r="E29" s="73">
        <v>2147.0</v>
      </c>
      <c r="F29" s="68">
        <v>2500.0</v>
      </c>
      <c r="G29" s="71">
        <v>0.0</v>
      </c>
      <c r="H29" s="68">
        <v>184.0</v>
      </c>
      <c r="I29" s="62">
        <v>3.3</v>
      </c>
      <c r="J29" s="63"/>
      <c r="K29" s="64"/>
      <c r="L29" s="64"/>
      <c r="M29" s="64"/>
    </row>
    <row r="30" ht="14.25" customHeight="1">
      <c r="A30" s="84" t="s">
        <v>71</v>
      </c>
      <c r="B30" s="67">
        <v>118.0</v>
      </c>
      <c r="C30" s="60">
        <f t="shared" si="1"/>
        <v>3301</v>
      </c>
      <c r="D30" s="73">
        <v>3301.0</v>
      </c>
      <c r="E30" s="74">
        <v>3301.0</v>
      </c>
      <c r="F30" s="75">
        <v>3301.0</v>
      </c>
      <c r="G30" s="85">
        <v>0.0</v>
      </c>
      <c r="H30" s="75">
        <v>184.0</v>
      </c>
      <c r="I30" s="62">
        <v>3.3</v>
      </c>
      <c r="J30" s="63"/>
      <c r="K30" s="64"/>
      <c r="L30" s="64"/>
      <c r="M30" s="64"/>
    </row>
    <row r="31" ht="14.25" customHeight="1">
      <c r="A31" s="84" t="s">
        <v>72</v>
      </c>
      <c r="B31" s="67">
        <v>118.0</v>
      </c>
      <c r="C31" s="60">
        <f t="shared" si="1"/>
        <v>2288</v>
      </c>
      <c r="D31" s="73">
        <v>2288.0</v>
      </c>
      <c r="E31" s="74">
        <v>2288.0</v>
      </c>
      <c r="F31" s="75">
        <v>3301.0</v>
      </c>
      <c r="G31" s="85">
        <v>0.0</v>
      </c>
      <c r="H31" s="75">
        <v>184.0</v>
      </c>
      <c r="I31" s="62">
        <v>3.3</v>
      </c>
      <c r="J31" s="63"/>
      <c r="K31" s="64"/>
      <c r="L31" s="64"/>
      <c r="M31" s="64"/>
    </row>
    <row r="32" ht="14.25" customHeight="1">
      <c r="A32" s="84" t="s">
        <v>73</v>
      </c>
      <c r="B32" s="67">
        <v>108.0</v>
      </c>
      <c r="C32" s="60">
        <f t="shared" si="1"/>
        <v>2179</v>
      </c>
      <c r="D32" s="73">
        <v>2179.0</v>
      </c>
      <c r="E32" s="74">
        <v>1879.0</v>
      </c>
      <c r="F32" s="75">
        <v>2500.0</v>
      </c>
      <c r="G32" s="85">
        <v>0.0</v>
      </c>
      <c r="H32" s="75">
        <v>70.0</v>
      </c>
      <c r="I32" s="62">
        <v>3.3</v>
      </c>
      <c r="J32" s="63"/>
      <c r="K32" s="64"/>
      <c r="L32" s="64"/>
      <c r="M32" s="64"/>
    </row>
    <row r="33" ht="14.25" customHeight="1">
      <c r="A33" s="84" t="s">
        <v>74</v>
      </c>
      <c r="B33" s="67">
        <v>125.0</v>
      </c>
      <c r="C33" s="60">
        <f t="shared" si="1"/>
        <v>2500</v>
      </c>
      <c r="D33" s="73">
        <v>2500.0</v>
      </c>
      <c r="E33" s="74">
        <v>2500.0</v>
      </c>
      <c r="F33" s="75">
        <v>2500.0</v>
      </c>
      <c r="G33" s="85">
        <v>0.0</v>
      </c>
      <c r="H33" s="75">
        <v>250.0</v>
      </c>
      <c r="I33" s="62">
        <v>3.3</v>
      </c>
      <c r="J33" s="63"/>
      <c r="K33" s="64"/>
      <c r="L33" s="64"/>
      <c r="M33" s="64"/>
    </row>
    <row r="34" ht="14.25" customHeight="1">
      <c r="A34" s="30" t="s">
        <v>75</v>
      </c>
      <c r="B34" s="67">
        <v>43.0</v>
      </c>
      <c r="C34" s="60">
        <f t="shared" si="1"/>
        <v>1668</v>
      </c>
      <c r="D34" s="73">
        <v>1668.0</v>
      </c>
      <c r="E34" s="73">
        <v>1668.0</v>
      </c>
      <c r="F34" s="73">
        <v>1668.0</v>
      </c>
      <c r="G34" s="85">
        <v>0.0</v>
      </c>
      <c r="H34" s="75">
        <v>299.0</v>
      </c>
      <c r="I34" s="62">
        <v>3.6</v>
      </c>
      <c r="J34" s="63"/>
      <c r="K34" s="64"/>
      <c r="L34" s="64"/>
      <c r="M34" s="64"/>
    </row>
    <row r="35" ht="14.25" customHeight="1">
      <c r="A35" s="30" t="s">
        <v>76</v>
      </c>
      <c r="B35" s="67">
        <v>47.0</v>
      </c>
      <c r="C35" s="60">
        <f t="shared" si="1"/>
        <v>1779</v>
      </c>
      <c r="D35" s="73">
        <v>1779.0</v>
      </c>
      <c r="E35" s="73">
        <v>1779.0</v>
      </c>
      <c r="F35" s="73">
        <v>1668.0</v>
      </c>
      <c r="G35" s="85">
        <v>0.0</v>
      </c>
      <c r="H35" s="75">
        <v>119.0</v>
      </c>
      <c r="I35" s="62">
        <v>5.6</v>
      </c>
      <c r="J35" s="63"/>
      <c r="K35" s="64"/>
      <c r="L35" s="64"/>
      <c r="M35" s="64"/>
    </row>
    <row r="36" ht="14.25" customHeight="1">
      <c r="A36" s="86" t="s">
        <v>77</v>
      </c>
      <c r="B36" s="67">
        <v>43.0</v>
      </c>
      <c r="C36" s="60">
        <f t="shared" si="1"/>
        <v>1779</v>
      </c>
      <c r="D36" s="75">
        <v>1779.0</v>
      </c>
      <c r="E36" s="75">
        <v>1779.0</v>
      </c>
      <c r="F36" s="75">
        <v>1668.0</v>
      </c>
      <c r="G36" s="85">
        <v>0.0</v>
      </c>
      <c r="H36" s="75">
        <v>299.0</v>
      </c>
      <c r="I36" s="62">
        <v>3.6</v>
      </c>
      <c r="J36" s="63"/>
      <c r="K36" s="64"/>
      <c r="L36" s="64"/>
      <c r="M36" s="64"/>
    </row>
    <row r="37" ht="14.25" customHeight="1">
      <c r="A37" s="86" t="s">
        <v>80</v>
      </c>
      <c r="B37" s="67">
        <v>47.0</v>
      </c>
      <c r="C37" s="60">
        <f t="shared" si="1"/>
        <v>1668</v>
      </c>
      <c r="D37" s="75">
        <v>1668.0</v>
      </c>
      <c r="E37" s="75">
        <v>1668.0</v>
      </c>
      <c r="F37" s="75">
        <v>1668.0</v>
      </c>
      <c r="G37" s="85">
        <v>0.0</v>
      </c>
      <c r="H37" s="75">
        <v>119.0</v>
      </c>
      <c r="I37" s="62">
        <v>5.6</v>
      </c>
      <c r="J37" s="63"/>
      <c r="K37" s="64"/>
      <c r="L37" s="64"/>
      <c r="M37" s="64"/>
    </row>
    <row r="38" ht="14.25" customHeight="1">
      <c r="A38" s="72" t="s">
        <v>81</v>
      </c>
      <c r="B38" s="67">
        <v>13.0</v>
      </c>
      <c r="C38" s="60">
        <f t="shared" si="1"/>
        <v>2205</v>
      </c>
      <c r="D38" s="75">
        <v>2205.0</v>
      </c>
      <c r="E38" s="75">
        <v>2205.0</v>
      </c>
      <c r="F38" s="75">
        <v>2205.0</v>
      </c>
      <c r="G38" s="71">
        <v>0.0</v>
      </c>
      <c r="H38" s="68">
        <v>85.0</v>
      </c>
      <c r="I38" s="62">
        <v>3.3</v>
      </c>
      <c r="J38" s="63"/>
      <c r="K38" s="64"/>
      <c r="L38" s="64"/>
      <c r="M38" s="64"/>
    </row>
    <row r="39" ht="14.25" customHeight="1">
      <c r="A39" s="72" t="s">
        <v>82</v>
      </c>
      <c r="B39" s="67">
        <v>33.0</v>
      </c>
      <c r="C39" s="60">
        <f t="shared" si="1"/>
        <v>2205</v>
      </c>
      <c r="D39" s="75">
        <v>2205.0</v>
      </c>
      <c r="E39" s="75">
        <v>2205.0</v>
      </c>
      <c r="F39" s="75">
        <v>2205.0</v>
      </c>
      <c r="G39" s="71">
        <v>0.0</v>
      </c>
      <c r="H39" s="68">
        <v>265.0</v>
      </c>
      <c r="I39" s="62">
        <v>4.1</v>
      </c>
      <c r="J39" s="63"/>
      <c r="K39" s="64"/>
      <c r="L39" s="64"/>
      <c r="M39" s="64"/>
    </row>
    <row r="40" ht="14.25" customHeight="1">
      <c r="A40" s="72" t="s">
        <v>83</v>
      </c>
      <c r="B40" s="67">
        <v>350.0</v>
      </c>
      <c r="C40" s="60">
        <f t="shared" si="1"/>
        <v>1590</v>
      </c>
      <c r="D40" s="67">
        <v>1590.0</v>
      </c>
      <c r="E40" s="89">
        <v>1590.0</v>
      </c>
      <c r="F40" s="75">
        <v>1590.0</v>
      </c>
      <c r="G40" s="71">
        <v>0.0</v>
      </c>
      <c r="H40" s="75">
        <v>153.0</v>
      </c>
      <c r="I40" s="62">
        <v>3.3</v>
      </c>
      <c r="J40" s="91"/>
      <c r="K40" s="64"/>
      <c r="L40" s="64"/>
      <c r="M40" s="64"/>
    </row>
    <row r="41" ht="14.25" customHeight="1">
      <c r="A41" s="72" t="s">
        <v>84</v>
      </c>
      <c r="B41" s="67">
        <v>394.0</v>
      </c>
      <c r="C41" s="60">
        <f t="shared" si="1"/>
        <v>1590</v>
      </c>
      <c r="D41" s="67">
        <v>1590.0</v>
      </c>
      <c r="E41" s="89">
        <v>1590.0</v>
      </c>
      <c r="F41" s="75">
        <v>1590.0</v>
      </c>
      <c r="G41" s="71">
        <v>0.0</v>
      </c>
      <c r="H41" s="75">
        <v>333.0</v>
      </c>
      <c r="I41" s="62">
        <v>4.7</v>
      </c>
      <c r="J41" s="91"/>
      <c r="K41" s="64"/>
      <c r="L41" s="64"/>
      <c r="M41" s="64"/>
    </row>
    <row r="42" ht="14.25" customHeight="1">
      <c r="A42" s="72" t="s">
        <v>85</v>
      </c>
      <c r="B42" s="93">
        <v>541.0</v>
      </c>
      <c r="C42" s="95">
        <f t="shared" si="1"/>
        <v>2300</v>
      </c>
      <c r="D42" s="93">
        <v>2300.0</v>
      </c>
      <c r="E42" s="93">
        <v>2300.0</v>
      </c>
      <c r="F42" s="100">
        <v>2300.0</v>
      </c>
      <c r="G42" s="104">
        <v>0.0</v>
      </c>
      <c r="H42" s="104">
        <v>105.0</v>
      </c>
      <c r="I42" s="106">
        <v>4.1</v>
      </c>
      <c r="J42" s="107"/>
      <c r="K42" s="83"/>
      <c r="L42" s="83"/>
      <c r="M42" s="83"/>
    </row>
    <row r="43" ht="14.25" customHeight="1">
      <c r="A43" s="72" t="s">
        <v>92</v>
      </c>
      <c r="B43" s="123">
        <v>541.0</v>
      </c>
      <c r="C43" s="95">
        <f t="shared" si="1"/>
        <v>2300</v>
      </c>
      <c r="D43" s="123">
        <v>2300.0</v>
      </c>
      <c r="E43" s="123">
        <v>2300.0</v>
      </c>
      <c r="F43" s="125">
        <v>2300.0</v>
      </c>
      <c r="G43" s="123">
        <v>0.0</v>
      </c>
      <c r="H43" s="123">
        <v>285.0</v>
      </c>
      <c r="I43" s="62">
        <v>3.3</v>
      </c>
      <c r="J43" s="126"/>
      <c r="K43" s="83"/>
      <c r="L43" s="83"/>
      <c r="M43" s="83"/>
    </row>
    <row r="44" ht="14.25" customHeight="1">
      <c r="A44" s="83" t="s">
        <v>97</v>
      </c>
      <c r="B44" s="83">
        <v>1503.0</v>
      </c>
      <c r="C44" s="83">
        <v>1594.0</v>
      </c>
      <c r="D44" s="83">
        <v>1594.0</v>
      </c>
      <c r="E44" s="83">
        <v>1594.0</v>
      </c>
      <c r="F44" s="83">
        <v>1445.0</v>
      </c>
      <c r="G44" s="83">
        <v>0.0</v>
      </c>
      <c r="H44" s="83">
        <v>150.0</v>
      </c>
      <c r="I44" s="83">
        <v>2.4</v>
      </c>
      <c r="J44" s="83"/>
      <c r="K44" s="83">
        <v>150.0</v>
      </c>
      <c r="L44" s="127" t="s">
        <v>99</v>
      </c>
      <c r="M44" s="83"/>
    </row>
    <row r="45" ht="14.25" customHeight="1">
      <c r="A45" s="29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</row>
    <row r="46" ht="33.75" customHeight="1">
      <c r="A46" s="129" t="s">
        <v>102</v>
      </c>
      <c r="B46" s="128" t="s">
        <v>103</v>
      </c>
      <c r="C46" s="128"/>
      <c r="D46" s="128" t="s">
        <v>104</v>
      </c>
      <c r="E46" s="128" t="s">
        <v>104</v>
      </c>
      <c r="F46" s="128" t="s">
        <v>103</v>
      </c>
      <c r="G46" s="131" t="s">
        <v>105</v>
      </c>
      <c r="H46" s="131" t="s">
        <v>103</v>
      </c>
      <c r="I46" s="131" t="s">
        <v>107</v>
      </c>
      <c r="J46" s="128"/>
      <c r="K46" s="128"/>
      <c r="L46" s="128"/>
      <c r="M46" s="12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H1:H3"/>
    <mergeCell ref="I1:I3"/>
    <mergeCell ref="J1:J3"/>
    <mergeCell ref="K1:M1"/>
    <mergeCell ref="N6:N7"/>
    <mergeCell ref="A1:A4"/>
    <mergeCell ref="B1:B3"/>
    <mergeCell ref="C1:C3"/>
    <mergeCell ref="D1:D3"/>
    <mergeCell ref="E1:E3"/>
    <mergeCell ref="F1:F3"/>
    <mergeCell ref="G1:G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8.86"/>
    <col customWidth="1" min="2" max="2" width="20.43"/>
    <col customWidth="1" min="3" max="3" width="13.71"/>
    <col customWidth="1" min="4" max="4" width="8.86"/>
    <col customWidth="1" min="5" max="6" width="14.43"/>
  </cols>
  <sheetData>
    <row r="1" ht="14.25" customHeight="1">
      <c r="B1" s="1" t="s">
        <v>1</v>
      </c>
      <c r="C1" s="1"/>
      <c r="D1" s="3" t="s">
        <v>2</v>
      </c>
    </row>
    <row r="2" ht="14.25" customHeight="1">
      <c r="B2" s="3"/>
      <c r="C2" s="3"/>
      <c r="D2" s="3"/>
    </row>
    <row r="3" ht="14.25" customHeight="1">
      <c r="B3" s="1" t="s">
        <v>5</v>
      </c>
      <c r="C3" s="1" t="s">
        <v>6</v>
      </c>
      <c r="D3" s="1" t="s">
        <v>7</v>
      </c>
    </row>
    <row r="4" ht="14.25" customHeight="1">
      <c r="B4" s="6">
        <v>1.0</v>
      </c>
      <c r="C4" s="6">
        <v>2.9</v>
      </c>
      <c r="D4" s="3">
        <v>4.0</v>
      </c>
    </row>
    <row r="5" ht="14.25" customHeight="1">
      <c r="B5" s="7">
        <v>2.0</v>
      </c>
      <c r="C5" s="7">
        <v>2.7</v>
      </c>
      <c r="D5" s="3">
        <v>9.0</v>
      </c>
    </row>
    <row r="6" ht="14.25" customHeight="1">
      <c r="B6" s="7">
        <v>3.0</v>
      </c>
      <c r="C6" s="7">
        <v>2.4</v>
      </c>
      <c r="D6" s="3">
        <v>14.0</v>
      </c>
    </row>
    <row r="7" ht="14.25" customHeight="1">
      <c r="B7" s="7">
        <v>4.0</v>
      </c>
      <c r="C7" s="7">
        <v>2.2</v>
      </c>
      <c r="D7" s="3">
        <v>20.0</v>
      </c>
    </row>
    <row r="8" ht="14.25" customHeight="1">
      <c r="B8" s="7">
        <v>5.0</v>
      </c>
      <c r="C8" s="7">
        <v>2.0</v>
      </c>
      <c r="D8" s="3">
        <v>25.0</v>
      </c>
    </row>
    <row r="9" ht="14.25" customHeight="1">
      <c r="B9" s="7">
        <v>6.0</v>
      </c>
      <c r="C9" s="7">
        <v>1.67</v>
      </c>
      <c r="D9" s="3">
        <v>25.0</v>
      </c>
    </row>
    <row r="10" ht="14.25" customHeight="1">
      <c r="B10" s="8"/>
      <c r="C10" s="8"/>
      <c r="D10" s="3">
        <v>25.0</v>
      </c>
    </row>
    <row r="11" ht="14.25" customHeight="1">
      <c r="B11" s="3"/>
      <c r="C11" s="3"/>
      <c r="D11" s="3"/>
    </row>
    <row r="12" ht="14.25" customHeight="1">
      <c r="B12" s="1" t="s">
        <v>11</v>
      </c>
      <c r="C12" s="3"/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 ht="14.25" customHeight="1">
      <c r="B19" s="1" t="s">
        <v>13</v>
      </c>
      <c r="D19" s="3"/>
    </row>
    <row r="20" ht="14.25" customHeight="1">
      <c r="B20" s="3"/>
      <c r="D20" s="3"/>
    </row>
    <row r="21" ht="14.25" customHeight="1">
      <c r="B21" s="1"/>
      <c r="D21" s="3"/>
    </row>
    <row r="22" ht="14.25" customHeight="1">
      <c r="B22" s="6"/>
      <c r="D22" s="3"/>
    </row>
    <row r="23" ht="14.25" customHeight="1">
      <c r="B23" s="7"/>
      <c r="D23" s="3"/>
    </row>
    <row r="24" ht="14.25" customHeight="1">
      <c r="B24" s="8"/>
      <c r="D24" s="3"/>
    </row>
    <row r="25" ht="14.25" customHeight="1">
      <c r="B25" s="3"/>
      <c r="D25" s="3"/>
    </row>
    <row r="26" ht="14.25" customHeight="1">
      <c r="B26" s="3"/>
      <c r="D26" s="3"/>
    </row>
    <row r="27" ht="14.25" customHeight="1">
      <c r="B27" s="1" t="s">
        <v>15</v>
      </c>
      <c r="D27" s="3"/>
    </row>
    <row r="28" ht="14.25" customHeight="1">
      <c r="B28" s="3"/>
      <c r="D28" s="3"/>
    </row>
    <row r="29" ht="14.25" customHeight="1">
      <c r="B29" s="1"/>
      <c r="D29" s="3"/>
      <c r="I29" s="23" t="b">
        <f>IF('Take-off'!$C$11='Dropdown lists'!B34,)</f>
        <v>0</v>
      </c>
    </row>
    <row r="30" ht="14.25" customHeight="1">
      <c r="B30" s="6" t="s">
        <v>23</v>
      </c>
      <c r="D30" s="3"/>
    </row>
    <row r="31" ht="14.25" customHeight="1">
      <c r="B31" s="8" t="s">
        <v>24</v>
      </c>
      <c r="D31" s="3"/>
    </row>
    <row r="32" ht="15.75" customHeight="1">
      <c r="D32" s="3"/>
    </row>
    <row r="33" ht="14.25" customHeight="1">
      <c r="B33" s="26" t="s">
        <v>27</v>
      </c>
      <c r="D33" s="3" t="s">
        <v>6</v>
      </c>
      <c r="E33" s="23" t="s">
        <v>29</v>
      </c>
      <c r="F33" s="23" t="s">
        <v>30</v>
      </c>
    </row>
    <row r="34" ht="14.25" customHeight="1">
      <c r="A34" s="29"/>
      <c r="B34" s="31" t="s">
        <v>32</v>
      </c>
      <c r="C34" s="29"/>
      <c r="D34" s="33">
        <v>0.0</v>
      </c>
      <c r="F34" s="23" t="s">
        <v>34</v>
      </c>
    </row>
    <row r="35" ht="14.25" customHeight="1">
      <c r="A35" s="29"/>
      <c r="B35" s="35" t="s">
        <v>35</v>
      </c>
      <c r="C35" s="29"/>
      <c r="D35" s="33">
        <v>0.0</v>
      </c>
      <c r="F35" s="23" t="s">
        <v>34</v>
      </c>
    </row>
    <row r="36" ht="14.25" customHeight="1">
      <c r="A36" s="29"/>
      <c r="B36" s="35" t="s">
        <v>36</v>
      </c>
      <c r="C36" s="29"/>
      <c r="D36" s="33">
        <v>0.005</v>
      </c>
      <c r="E36" s="23" t="s">
        <v>37</v>
      </c>
      <c r="F36" s="23" t="s">
        <v>34</v>
      </c>
    </row>
    <row r="37" ht="14.25" customHeight="1">
      <c r="A37" s="29"/>
      <c r="B37" s="35" t="s">
        <v>38</v>
      </c>
      <c r="C37" s="29"/>
      <c r="D37" s="33">
        <v>0.01</v>
      </c>
      <c r="E37" s="23" t="s">
        <v>37</v>
      </c>
      <c r="F37" s="23">
        <v>50.0</v>
      </c>
    </row>
    <row r="38" ht="14.25" customHeight="1">
      <c r="A38" s="29"/>
      <c r="B38" s="35" t="s">
        <v>39</v>
      </c>
      <c r="C38" s="29"/>
      <c r="D38" s="33">
        <v>0.02</v>
      </c>
      <c r="E38" s="23" t="s">
        <v>37</v>
      </c>
      <c r="F38" s="23">
        <v>25.0</v>
      </c>
    </row>
    <row r="39" ht="14.25" customHeight="1">
      <c r="A39" s="29"/>
      <c r="B39" s="35" t="s">
        <v>41</v>
      </c>
      <c r="C39" s="29"/>
      <c r="D39" s="33">
        <v>0.02</v>
      </c>
      <c r="E39" s="23" t="s">
        <v>37</v>
      </c>
      <c r="F39" s="23">
        <v>25.0</v>
      </c>
    </row>
    <row r="40" ht="14.25" customHeight="1">
      <c r="A40" s="29"/>
      <c r="B40" s="40" t="s">
        <v>42</v>
      </c>
      <c r="C40" s="29"/>
      <c r="D40" s="33">
        <v>0.0</v>
      </c>
      <c r="F40" s="23" t="s">
        <v>34</v>
      </c>
    </row>
    <row r="41" ht="14.25" customHeight="1">
      <c r="B41" s="44"/>
      <c r="D41" s="3"/>
    </row>
    <row r="42" ht="14.25" customHeight="1">
      <c r="B42" s="3"/>
      <c r="D42" s="3"/>
    </row>
    <row r="43" ht="14.25" customHeight="1">
      <c r="B43" s="3"/>
      <c r="D43" s="3"/>
    </row>
    <row r="44" ht="14.25" customHeight="1">
      <c r="B44" s="1" t="s">
        <v>43</v>
      </c>
      <c r="D44" s="3"/>
    </row>
    <row r="45" ht="14.25" customHeight="1">
      <c r="B45" s="3"/>
      <c r="D45" s="3"/>
    </row>
    <row r="46" ht="14.25" customHeight="1">
      <c r="B46" s="1"/>
      <c r="D46" s="3"/>
    </row>
    <row r="47" ht="14.25" customHeight="1">
      <c r="B47" s="6" t="s">
        <v>44</v>
      </c>
      <c r="D47" s="3"/>
    </row>
    <row r="48" ht="14.25" customHeight="1">
      <c r="B48" s="8" t="s">
        <v>45</v>
      </c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  <row r="1000" ht="15.75" customHeight="1">
      <c r="D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15.71"/>
    <col customWidth="1" min="2" max="6" width="9.14"/>
    <col customWidth="1" min="7" max="7" width="9.0"/>
    <col customWidth="1" min="8" max="10" width="9.14"/>
    <col customWidth="1" min="11" max="11" width="10.57"/>
    <col customWidth="1" min="12" max="20" width="9.14"/>
    <col customWidth="1" min="21" max="33" width="8.71"/>
  </cols>
  <sheetData>
    <row r="1" ht="14.25" customHeight="1">
      <c r="A1" s="136" t="s">
        <v>110</v>
      </c>
      <c r="F1" s="137"/>
      <c r="G1" s="137"/>
      <c r="K1" s="3"/>
      <c r="L1" s="3"/>
      <c r="M1" s="3"/>
      <c r="N1" s="3"/>
      <c r="O1" s="3"/>
    </row>
    <row r="2" ht="35.25" customHeight="1">
      <c r="A2" s="138"/>
      <c r="B2" s="138"/>
      <c r="C2" s="138"/>
      <c r="D2" s="138"/>
      <c r="E2" s="138"/>
      <c r="H2" s="138" t="s">
        <v>112</v>
      </c>
      <c r="I2" s="138" t="s">
        <v>112</v>
      </c>
      <c r="J2" s="138" t="s">
        <v>113</v>
      </c>
      <c r="K2" s="140" t="s">
        <v>112</v>
      </c>
      <c r="L2" s="138" t="s">
        <v>113</v>
      </c>
      <c r="M2" s="140" t="s">
        <v>114</v>
      </c>
      <c r="N2" s="140"/>
      <c r="O2" s="140"/>
    </row>
    <row r="3" ht="14.25" customHeight="1">
      <c r="A3" s="142" t="s">
        <v>115</v>
      </c>
      <c r="D3" s="144" t="s">
        <v>116</v>
      </c>
      <c r="E3" s="146"/>
      <c r="H3" s="144" t="s">
        <v>116</v>
      </c>
      <c r="I3" s="146"/>
      <c r="J3" s="144" t="s">
        <v>116</v>
      </c>
      <c r="K3" s="146"/>
      <c r="L3" s="144" t="s">
        <v>116</v>
      </c>
      <c r="M3" s="146"/>
    </row>
    <row r="4" ht="14.25" customHeight="1">
      <c r="A4" s="19"/>
      <c r="D4" s="150" t="s">
        <v>119</v>
      </c>
      <c r="E4" s="146"/>
      <c r="H4" s="150" t="s">
        <v>119</v>
      </c>
      <c r="I4" s="146"/>
      <c r="J4" s="150" t="s">
        <v>119</v>
      </c>
      <c r="K4" s="146"/>
      <c r="L4" s="150" t="s">
        <v>119</v>
      </c>
      <c r="M4" s="146"/>
    </row>
    <row r="5" ht="14.25" customHeight="1">
      <c r="A5" s="152">
        <v>9000.0</v>
      </c>
      <c r="D5" s="153">
        <v>80.0</v>
      </c>
      <c r="E5" s="153"/>
      <c r="H5" s="153">
        <v>80.0</v>
      </c>
      <c r="I5" s="153"/>
      <c r="J5" s="153">
        <v>103.0</v>
      </c>
      <c r="K5" s="153"/>
      <c r="L5" s="153">
        <v>103.0</v>
      </c>
      <c r="M5" s="153"/>
    </row>
    <row r="6" ht="14.25" customHeight="1">
      <c r="A6" s="154">
        <v>10000.0</v>
      </c>
      <c r="D6" s="156">
        <v>85.0</v>
      </c>
      <c r="E6" s="156"/>
      <c r="H6" s="156">
        <v>85.0</v>
      </c>
      <c r="I6" s="156"/>
      <c r="J6" s="156">
        <v>108.0</v>
      </c>
      <c r="K6" s="156"/>
      <c r="L6" s="156">
        <v>108.0</v>
      </c>
      <c r="M6" s="156"/>
    </row>
    <row r="7" ht="14.25" customHeight="1">
      <c r="A7" s="152">
        <v>11000.0</v>
      </c>
      <c r="D7" s="153">
        <v>90.0</v>
      </c>
      <c r="E7" s="153"/>
      <c r="H7" s="153">
        <v>90.0</v>
      </c>
      <c r="I7" s="153"/>
      <c r="J7" s="153">
        <v>113.0</v>
      </c>
      <c r="K7" s="153"/>
      <c r="L7" s="153">
        <v>113.0</v>
      </c>
      <c r="M7" s="153"/>
    </row>
    <row r="8" ht="14.25" customHeight="1">
      <c r="A8" s="154">
        <v>12000.0</v>
      </c>
      <c r="D8" s="156">
        <v>95.0</v>
      </c>
      <c r="E8" s="156"/>
      <c r="H8" s="156">
        <v>95.0</v>
      </c>
      <c r="I8" s="156"/>
      <c r="J8" s="156">
        <v>119.0</v>
      </c>
      <c r="K8" s="156"/>
      <c r="L8" s="156">
        <v>119.0</v>
      </c>
      <c r="M8" s="156"/>
    </row>
    <row r="9" ht="14.25" customHeight="1">
      <c r="A9" s="152">
        <v>12500.0</v>
      </c>
      <c r="D9" s="153">
        <v>97.0</v>
      </c>
      <c r="E9" s="153"/>
      <c r="H9" s="153">
        <v>97.0</v>
      </c>
      <c r="I9" s="153"/>
      <c r="J9" s="153">
        <v>121.0</v>
      </c>
      <c r="K9" s="153"/>
      <c r="L9" s="153">
        <v>121.0</v>
      </c>
      <c r="M9" s="153"/>
    </row>
    <row r="10" ht="14.25" customHeight="1">
      <c r="A10" s="159"/>
      <c r="B10" s="161"/>
      <c r="C10" s="161"/>
      <c r="D10" s="161"/>
      <c r="H10" s="3"/>
      <c r="I10" s="3"/>
      <c r="J10" s="3"/>
      <c r="K10" s="3"/>
      <c r="L10" s="3"/>
      <c r="M10" s="3"/>
    </row>
    <row r="11" ht="14.25" customHeight="1">
      <c r="A11" s="167" t="s">
        <v>129</v>
      </c>
      <c r="D11" s="29"/>
      <c r="E11" s="29"/>
      <c r="F11" s="29"/>
      <c r="H11" s="168"/>
      <c r="K11" s="3"/>
      <c r="L11" s="3"/>
      <c r="M11" s="3"/>
    </row>
    <row r="12" ht="14.25" customHeight="1">
      <c r="A12" s="3"/>
      <c r="B12" s="129" t="s">
        <v>131</v>
      </c>
      <c r="C12" s="155">
        <f>MATCH(MAX(A5:A9),A5:A9,0)</f>
        <v>5</v>
      </c>
      <c r="D12" s="3"/>
      <c r="E12" s="129"/>
      <c r="F12" s="155"/>
      <c r="H12" s="3"/>
      <c r="I12" s="129"/>
      <c r="J12" s="170"/>
      <c r="K12" s="3"/>
      <c r="L12" s="3"/>
      <c r="M12" s="3"/>
    </row>
    <row r="13" ht="14.25" customHeight="1">
      <c r="A13" s="3"/>
      <c r="B13" s="129" t="s">
        <v>132</v>
      </c>
      <c r="C13" s="155">
        <f>MATCH(MAX(D5),D5,0)</f>
        <v>1</v>
      </c>
      <c r="D13" s="3"/>
      <c r="E13" s="129"/>
      <c r="F13" s="155"/>
      <c r="H13" s="3"/>
      <c r="I13" s="129"/>
      <c r="J13" s="170"/>
      <c r="K13" s="3"/>
      <c r="L13" s="3"/>
      <c r="M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4.25" customHeight="1">
      <c r="D15" s="172" t="s">
        <v>134</v>
      </c>
      <c r="E15" s="44" t="str">
        <f>D4</f>
        <v>Vref</v>
      </c>
      <c r="F15" s="44"/>
      <c r="H15" s="172"/>
      <c r="I15" s="44" t="str">
        <f>H4</f>
        <v>Vref</v>
      </c>
      <c r="J15" s="44"/>
      <c r="K15" s="44" t="str">
        <f>J4</f>
        <v>Vref</v>
      </c>
      <c r="L15" s="3"/>
      <c r="M15" s="44" t="str">
        <f>L4</f>
        <v>Vref</v>
      </c>
    </row>
    <row r="16" ht="14.25" customHeight="1">
      <c r="D16" s="176" t="s">
        <v>136</v>
      </c>
      <c r="E16" s="177">
        <f>Landing!C11</f>
        <v>12500</v>
      </c>
      <c r="F16" s="177"/>
      <c r="H16" s="178"/>
      <c r="I16" s="177">
        <f>'Take-off'!C14</f>
        <v>12500</v>
      </c>
      <c r="J16" s="177"/>
      <c r="K16" s="177">
        <f>'Take-off'!C14</f>
        <v>12500</v>
      </c>
      <c r="L16" s="3"/>
      <c r="M16" s="177">
        <f>Landing!C11</f>
        <v>12500</v>
      </c>
    </row>
    <row r="17" ht="14.25" customHeight="1">
      <c r="D17" s="129" t="s">
        <v>139</v>
      </c>
      <c r="E17" s="182">
        <f t="array" ref="E17">INDEX($A$5:$A$9,MATCH(E16,$A$5:$A$9,1))</f>
        <v>12500</v>
      </c>
      <c r="F17" s="182"/>
      <c r="H17" s="129"/>
      <c r="I17" s="182">
        <f t="array" ref="I17">INDEX($A$5:$A$9,MATCH(I16,$A$5:$A$9,1))</f>
        <v>12500</v>
      </c>
      <c r="J17" s="182"/>
      <c r="K17" s="182">
        <f t="array" ref="K17">INDEX($A$5:$A$9,MATCH(K16,$A$5:$A$9,1))</f>
        <v>12500</v>
      </c>
      <c r="L17" s="3"/>
      <c r="M17" s="182">
        <f t="array" ref="M17">INDEX($A$5:$A$9,MATCH(M16,$A$5:$A$9,1))</f>
        <v>12500</v>
      </c>
      <c r="P17" s="3"/>
      <c r="Q17" s="3"/>
      <c r="R17" s="3"/>
      <c r="S17" s="3"/>
      <c r="T17" s="3"/>
    </row>
    <row r="18" ht="14.25" customHeight="1">
      <c r="D18" s="129" t="s">
        <v>145</v>
      </c>
      <c r="E18" s="182">
        <f t="array" ref="E18">INDEX($A$5:$A$9,IF(MATCH(E16,$A$5:$A$9,1)&lt;$C$12,MATCH(E16,$A$5:$A$9,1)+1,MATCH(E16,$A$5:$A$9,1)))</f>
        <v>12500</v>
      </c>
      <c r="F18" s="182"/>
      <c r="H18" s="129"/>
      <c r="I18" s="182">
        <f t="array" ref="I18">INDEX($A$5:$A$9,IF(MATCH(I16,$A$5:$A$9,1)&lt;$C$12,MATCH(I16,$A$5:$A$9,1)+1,MATCH(I16,$A$5:$A$9,1)))</f>
        <v>12500</v>
      </c>
      <c r="J18" s="182"/>
      <c r="K18" s="182">
        <f t="array" ref="K18">INDEX($A$5:$A$9,IF(MATCH(K16,$A$5:$A$9,1)&lt;$C$12,MATCH(K16,$A$5:$A$9,1)+1,MATCH(K16,$A$5:$A$9,1)))</f>
        <v>12500</v>
      </c>
      <c r="L18" s="3"/>
      <c r="M18" s="182">
        <f t="array" ref="M18">INDEX($A$5:$A$9,IF(MATCH(M16,$A$5:$A$9,1)&lt;$C$12,MATCH(M16,$A$5:$A$9,1)+1,MATCH(M16,$A$5:$A$9,1)))</f>
        <v>12500</v>
      </c>
      <c r="P18" s="3"/>
      <c r="Q18" s="3"/>
      <c r="R18" s="3"/>
      <c r="S18" s="3"/>
      <c r="T18" s="3"/>
    </row>
    <row r="19" ht="14.25" customHeight="1">
      <c r="D19" s="178" t="s">
        <v>165</v>
      </c>
      <c r="E19" s="177">
        <f t="array" ref="E19">INDEX(D5:D9,MATCH(E16,$A$5:$A$9,1),MATCH(E15,D4,1))</f>
        <v>97</v>
      </c>
      <c r="F19" s="177"/>
      <c r="H19" s="178"/>
      <c r="I19" s="177">
        <f t="array" ref="I19">INDEX(H5:H9,MATCH(I16,$A$5:$A$9,1),MATCH(I15,H4,1))</f>
        <v>97</v>
      </c>
      <c r="J19" s="177"/>
      <c r="K19" s="177">
        <f t="array" ref="K19">INDEX(J5:J9,MATCH(K16,$A$5:$A$9,1),MATCH(K15,J4,1))</f>
        <v>121</v>
      </c>
      <c r="L19" s="3"/>
      <c r="M19" s="177">
        <f t="array" ref="M19">INDEX(L5:L9,MATCH(M16,$A$5:$A$9,1),MATCH(M15,L4,1))</f>
        <v>121</v>
      </c>
      <c r="P19" s="3"/>
      <c r="Q19" s="3"/>
      <c r="R19" s="3"/>
      <c r="S19" s="3"/>
      <c r="T19" s="3"/>
    </row>
    <row r="20" ht="14.25" customHeight="1">
      <c r="D20" s="178" t="s">
        <v>177</v>
      </c>
      <c r="E20" s="177">
        <f t="array" ref="E20">INDEX(D5:D9,IF(MATCH(E16,$A$5:$A$9,1)&lt;$C$12,MATCH(E16,$A$5:$A$9,1)+1,MATCH(E16,$A$5:$A$9,1)),MATCH(E15,D4,1))</f>
        <v>97</v>
      </c>
      <c r="F20" s="177"/>
      <c r="H20" s="178"/>
      <c r="I20" s="177">
        <f t="array" ref="I20">INDEX(H5:H9,IF(MATCH(I16,$A$5:$A$9,1)&lt;$C$12,MATCH(I16,$A$5:$A$9,1)+1,MATCH(I16,$A$5:$A$9,1)),MATCH(I15,H4,1))</f>
        <v>97</v>
      </c>
      <c r="J20" s="177"/>
      <c r="K20" s="177">
        <f t="array" ref="K20">INDEX(J5:J9,IF(MATCH(K16,$A$5:$A$9,1)&lt;$C$12,MATCH(K16,$A$5:$A$9,1)+1,MATCH(K16,$A$5:$A$9,1)),MATCH(K15,J4,1))</f>
        <v>121</v>
      </c>
      <c r="L20" s="3"/>
      <c r="M20" s="177">
        <f t="array" ref="M20">INDEX(L5:L9,IF(MATCH(M16,$A$5:$A$9,1)&lt;$C$12,MATCH(M16,$A$5:$A$9,1)+1,MATCH(M16,$A$5:$A$9,1)),MATCH(M15,L4,1))</f>
        <v>121</v>
      </c>
      <c r="P20" s="3"/>
      <c r="Q20" s="3"/>
      <c r="R20" s="3"/>
      <c r="S20" s="3"/>
      <c r="T20" s="3"/>
    </row>
    <row r="21" ht="14.25" customHeight="1">
      <c r="D21" s="178" t="s">
        <v>190</v>
      </c>
      <c r="E21" s="177">
        <f>IFERROR(E19+(E16-E17)*(E20-E19)/(E18-E17),E19)</f>
        <v>97</v>
      </c>
      <c r="F21" s="177"/>
      <c r="H21" s="178"/>
      <c r="I21" s="177">
        <f>IFERROR(I19+(I16-I17)*(I20-I19)/(I18-I17),I19)</f>
        <v>97</v>
      </c>
      <c r="J21" s="177"/>
      <c r="K21" s="177">
        <f>IFERROR(K19+(K16-K17)*(K20-K19)/(K18-K17),K19)</f>
        <v>121</v>
      </c>
      <c r="L21" s="3"/>
      <c r="M21" s="177">
        <f>IFERROR(M19+(M16-M17)*(M20-M19)/(M18-M17),M19)</f>
        <v>121</v>
      </c>
      <c r="P21" s="3"/>
      <c r="Q21" s="3"/>
      <c r="R21" s="3"/>
      <c r="S21" s="3"/>
      <c r="T21" s="3"/>
    </row>
    <row r="22" ht="14.25" customHeight="1"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4.25" customHeight="1">
      <c r="A23" s="29"/>
      <c r="B23" s="29"/>
      <c r="C23" s="29"/>
      <c r="D23" s="29"/>
      <c r="E23" s="29"/>
      <c r="F23" s="29"/>
      <c r="L23" s="136"/>
      <c r="S23" s="3"/>
      <c r="T23" s="3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>
      <c r="B29" s="3" t="s">
        <v>194</v>
      </c>
      <c r="C29" s="3"/>
      <c r="D29" s="3"/>
    </row>
    <row r="30" ht="14.25" customHeight="1">
      <c r="B30" s="161"/>
      <c r="C30" s="161"/>
      <c r="D30" s="266"/>
    </row>
    <row r="31" ht="14.25" customHeight="1">
      <c r="B31" s="267" t="s">
        <v>195</v>
      </c>
      <c r="C31" s="267" t="s">
        <v>196</v>
      </c>
      <c r="D31" s="267" t="s">
        <v>197</v>
      </c>
    </row>
    <row r="32" ht="14.25" customHeight="1">
      <c r="B32" s="269">
        <f>IF(ABS(Landing!C17-Landing!C6)&gt;270,360-ABS(Landing!C17-Landing!C6),Landing!C17-Landing!C6)</f>
        <v>75</v>
      </c>
      <c r="C32" s="273">
        <f>IF(ABS(B32)&gt;90,ABS(COS(B32*PI()/180))*(-1),ABS(COS(B32*PI()/180)))</f>
        <v>0.2588190451</v>
      </c>
      <c r="D32" s="269">
        <f>IF( ISBLANK(Landing!C6), Landing!C7*-1,    Landing!C7*C32)</f>
        <v>0</v>
      </c>
    </row>
    <row r="33" ht="14.25" customHeight="1">
      <c r="B33" s="172"/>
      <c r="C33" s="3"/>
      <c r="D33" s="3"/>
    </row>
    <row r="34" ht="14.25" customHeight="1">
      <c r="B34" s="275"/>
      <c r="C34" s="161"/>
      <c r="D34" s="161"/>
    </row>
    <row r="35" ht="14.25" customHeight="1">
      <c r="B35" s="172"/>
      <c r="C35" s="284"/>
      <c r="D35" s="172"/>
    </row>
    <row r="36" ht="14.25" customHeight="1">
      <c r="B36" s="172"/>
      <c r="C36" s="172"/>
      <c r="D36" s="172"/>
    </row>
    <row r="37" ht="14.25" customHeight="1">
      <c r="B37" s="172" t="s">
        <v>200</v>
      </c>
      <c r="C37" s="284">
        <f>IF(ABS(B32)&gt;90,ABS(SIN(B32*PI()/180))*(-1),ABS(SIN(B32*PI()/180)))</f>
        <v>0.9659258263</v>
      </c>
      <c r="D37" s="172"/>
    </row>
    <row r="38" ht="14.25" customHeight="1">
      <c r="A38" s="285"/>
      <c r="B38" s="29"/>
      <c r="C38" s="29"/>
      <c r="D38" s="29"/>
      <c r="E38" s="29"/>
      <c r="F38" s="29"/>
      <c r="G38" s="29"/>
    </row>
    <row r="39" ht="14.25" customHeight="1"/>
    <row r="40" ht="14.25" customHeight="1">
      <c r="B40" s="29"/>
      <c r="C40" s="29"/>
      <c r="D40" s="29"/>
    </row>
    <row r="41" ht="14.25" customHeight="1">
      <c r="A41" s="29"/>
      <c r="B41" s="29"/>
      <c r="C41" s="29"/>
      <c r="D41" s="29"/>
    </row>
    <row r="42" ht="14.25" customHeight="1">
      <c r="A42" s="29"/>
      <c r="B42" s="29"/>
      <c r="C42" s="29"/>
      <c r="D42" s="29"/>
    </row>
    <row r="43" ht="14.25" customHeight="1">
      <c r="A43" s="29"/>
      <c r="B43" s="29"/>
      <c r="C43" s="29"/>
      <c r="D43" s="29"/>
    </row>
    <row r="44" ht="14.25" customHeight="1">
      <c r="A44" s="29"/>
      <c r="B44" s="29"/>
      <c r="C44" s="29"/>
      <c r="D44" s="29"/>
    </row>
    <row r="45" ht="14.25" customHeight="1">
      <c r="A45" s="29"/>
      <c r="B45" s="29"/>
      <c r="C45" s="29"/>
      <c r="D45" s="29"/>
    </row>
    <row r="46" ht="14.25" customHeight="1">
      <c r="A46" s="29"/>
      <c r="B46" s="29"/>
      <c r="C46" s="29"/>
      <c r="D46" s="29"/>
    </row>
    <row r="47" ht="14.25" customHeight="1">
      <c r="A47" s="29"/>
      <c r="B47" s="29"/>
      <c r="C47" s="29"/>
      <c r="D47" s="29"/>
    </row>
    <row r="48" ht="14.25" customHeight="1">
      <c r="A48" s="286" t="s">
        <v>198</v>
      </c>
      <c r="B48" s="286"/>
      <c r="C48" s="286"/>
      <c r="D48" s="286"/>
      <c r="E48" s="286"/>
      <c r="F48" s="286"/>
      <c r="G48" s="286"/>
      <c r="H48" s="286"/>
      <c r="I48" s="286"/>
      <c r="J48" s="286"/>
      <c r="K48" s="287"/>
      <c r="L48" s="287"/>
      <c r="M48" s="287"/>
      <c r="N48" s="288"/>
      <c r="O48" s="289"/>
      <c r="P48" s="287"/>
      <c r="Q48" s="287"/>
      <c r="R48" s="287"/>
      <c r="S48" s="287"/>
      <c r="T48" s="287"/>
      <c r="U48" s="286"/>
      <c r="V48" s="286"/>
      <c r="W48" s="286"/>
      <c r="X48" s="286"/>
      <c r="Y48" s="286"/>
      <c r="Z48" s="286"/>
    </row>
    <row r="49" ht="14.25" customHeight="1">
      <c r="A49" s="29"/>
      <c r="E49" s="29"/>
      <c r="F49" s="29"/>
      <c r="G49" s="29"/>
      <c r="I49" s="290"/>
      <c r="J49" s="291"/>
      <c r="K49" s="291"/>
      <c r="L49" s="291"/>
      <c r="M49" s="291"/>
      <c r="N49" s="291"/>
      <c r="O49" s="291"/>
      <c r="P49" s="291"/>
      <c r="AD49" s="29"/>
      <c r="AE49" s="29"/>
      <c r="AF49" s="29"/>
      <c r="AG49" s="29"/>
    </row>
    <row r="50" ht="14.25" customHeight="1">
      <c r="A50" s="285"/>
      <c r="E50" s="29"/>
      <c r="F50" s="29"/>
      <c r="G50" s="29"/>
      <c r="I50" s="29"/>
      <c r="J50" s="29"/>
      <c r="K50" s="29"/>
      <c r="L50" s="29"/>
      <c r="M50" s="29"/>
      <c r="N50" s="29"/>
      <c r="O50" s="29"/>
      <c r="P50" s="29"/>
      <c r="AD50" s="29"/>
      <c r="AE50" s="29"/>
      <c r="AF50" s="29"/>
      <c r="AG50" s="29"/>
    </row>
    <row r="51" ht="14.25" customHeight="1">
      <c r="A51" s="285"/>
      <c r="E51" s="29"/>
      <c r="F51" s="29"/>
      <c r="G51" s="29"/>
      <c r="I51" s="29"/>
      <c r="J51" s="29"/>
      <c r="K51" s="29"/>
      <c r="L51" s="29"/>
      <c r="M51" s="29"/>
      <c r="N51" s="29"/>
      <c r="O51" s="29"/>
      <c r="P51" s="29"/>
      <c r="AD51" s="29"/>
      <c r="AE51" s="29"/>
      <c r="AF51" s="29"/>
      <c r="AG51" s="29"/>
    </row>
    <row r="52" ht="14.25" customHeight="1">
      <c r="A52" s="285"/>
      <c r="E52" s="29"/>
      <c r="F52" s="29"/>
      <c r="G52" s="29"/>
      <c r="I52" s="29"/>
      <c r="J52" s="29"/>
      <c r="K52" s="29"/>
      <c r="L52" s="29"/>
      <c r="M52" s="29"/>
      <c r="N52" s="29"/>
      <c r="O52" s="29"/>
      <c r="P52" s="29"/>
      <c r="AD52" s="29"/>
      <c r="AE52" s="29"/>
      <c r="AF52" s="29"/>
      <c r="AG52" s="29"/>
    </row>
    <row r="53" ht="14.25" customHeight="1">
      <c r="A53" s="285"/>
      <c r="B53" s="172" t="s">
        <v>203</v>
      </c>
      <c r="C53" s="3" t="s">
        <v>204</v>
      </c>
      <c r="D53" s="3"/>
      <c r="E53" s="29"/>
      <c r="F53" s="29"/>
      <c r="G53" s="29"/>
      <c r="I53" s="181"/>
      <c r="J53" s="29"/>
      <c r="K53" s="29"/>
      <c r="L53" s="29"/>
      <c r="M53" s="29"/>
      <c r="N53" s="29"/>
      <c r="O53" s="29"/>
      <c r="P53" s="29"/>
      <c r="AD53" s="29"/>
      <c r="AE53" s="29"/>
      <c r="AF53" s="29"/>
      <c r="AG53" s="29"/>
    </row>
    <row r="54" ht="14.25" customHeight="1">
      <c r="A54" s="285"/>
      <c r="B54" s="275">
        <f>'LTL_Landing distance data'!K102</f>
        <v>682.6219512</v>
      </c>
      <c r="C54" s="161">
        <f>B54*C55</f>
        <v>1365.243902</v>
      </c>
      <c r="D54" s="161"/>
      <c r="E54" s="29"/>
      <c r="F54" s="29"/>
      <c r="G54" s="29"/>
      <c r="I54" s="181"/>
      <c r="J54" s="29"/>
      <c r="K54" s="29"/>
      <c r="L54" s="29"/>
      <c r="M54" s="29"/>
      <c r="N54" s="29"/>
      <c r="O54" s="29"/>
      <c r="P54" s="29"/>
      <c r="AD54" s="29"/>
      <c r="AE54" s="29"/>
      <c r="AF54" s="29"/>
      <c r="AG54" s="29"/>
    </row>
    <row r="55" ht="14.25" customHeight="1">
      <c r="A55" s="285"/>
      <c r="B55" s="172" t="s">
        <v>206</v>
      </c>
      <c r="C55" s="284">
        <f>IF( ISBLANK('Take-off'!C10),MIN('Dropdown lists'!C4:C10), VLOOKUP('Take-off'!C10,'Dropdown lists'!B4:C10,2))</f>
        <v>2</v>
      </c>
      <c r="D55" s="172"/>
      <c r="E55" s="29"/>
      <c r="F55" s="29"/>
      <c r="G55" s="29"/>
      <c r="I55" s="181"/>
      <c r="J55" s="29"/>
      <c r="K55" s="29"/>
      <c r="L55" s="29"/>
      <c r="M55" s="29"/>
      <c r="N55" s="29"/>
      <c r="O55" s="29"/>
      <c r="P55" s="29"/>
      <c r="AD55" s="29"/>
      <c r="AE55" s="29"/>
      <c r="AF55" s="29"/>
      <c r="AG55" s="29"/>
    </row>
    <row r="56" ht="14.25" customHeight="1">
      <c r="A56" s="285"/>
      <c r="B56" s="172"/>
      <c r="C56" s="172"/>
      <c r="D56" s="172"/>
      <c r="E56" s="29"/>
      <c r="F56" s="29"/>
      <c r="G56" s="29"/>
      <c r="I56" s="297"/>
      <c r="J56" s="128"/>
      <c r="K56" s="128"/>
      <c r="L56" s="128"/>
      <c r="M56" s="128"/>
      <c r="N56" s="128"/>
      <c r="O56" s="128"/>
      <c r="P56" s="128"/>
      <c r="AD56" s="128"/>
      <c r="AE56" s="128"/>
      <c r="AF56" s="128"/>
      <c r="AG56" s="128"/>
    </row>
    <row r="57" ht="14.25" customHeight="1">
      <c r="A57" s="285"/>
      <c r="B57" s="172"/>
      <c r="C57" s="284"/>
      <c r="D57" s="172"/>
      <c r="E57" s="29"/>
      <c r="F57" s="29"/>
      <c r="G57" s="29"/>
      <c r="I57" s="297"/>
      <c r="J57" s="128"/>
      <c r="K57" s="128"/>
      <c r="L57" s="128"/>
      <c r="M57" s="128"/>
      <c r="N57" s="128"/>
      <c r="O57" s="128"/>
      <c r="P57" s="128"/>
      <c r="AD57" s="128"/>
      <c r="AE57" s="128"/>
      <c r="AF57" s="128"/>
      <c r="AG57" s="128"/>
    </row>
    <row r="58" ht="14.25" customHeight="1">
      <c r="B58" s="29"/>
      <c r="C58" s="181"/>
      <c r="I58" s="297"/>
      <c r="J58" s="128"/>
      <c r="K58" s="128"/>
      <c r="L58" s="128"/>
      <c r="M58" s="128"/>
      <c r="N58" s="128"/>
      <c r="O58" s="128"/>
      <c r="P58" s="128"/>
      <c r="AD58" s="128"/>
      <c r="AE58" s="128"/>
      <c r="AF58" s="128"/>
      <c r="AG58" s="128"/>
    </row>
    <row r="59" ht="14.25" customHeight="1">
      <c r="B59" s="29"/>
      <c r="C59" s="181"/>
      <c r="I59" s="297"/>
      <c r="J59" s="128"/>
      <c r="K59" s="128"/>
      <c r="L59" s="128"/>
      <c r="M59" s="128"/>
      <c r="N59" s="128"/>
      <c r="O59" s="128"/>
      <c r="P59" s="128"/>
      <c r="AD59" s="128"/>
      <c r="AE59" s="128"/>
      <c r="AF59" s="128"/>
      <c r="AG59" s="128"/>
    </row>
    <row r="60" ht="14.25" customHeight="1">
      <c r="B60" s="29"/>
      <c r="C60" s="181"/>
      <c r="I60" s="297"/>
      <c r="J60" s="128"/>
      <c r="K60" s="128"/>
      <c r="L60" s="128"/>
      <c r="M60" s="128"/>
      <c r="N60" s="128"/>
      <c r="O60" s="128"/>
      <c r="P60" s="128"/>
      <c r="AD60" s="128"/>
      <c r="AE60" s="128"/>
      <c r="AF60" s="128"/>
      <c r="AG60" s="128"/>
    </row>
    <row r="61" ht="14.25" customHeight="1">
      <c r="B61" s="29"/>
      <c r="C61" s="181"/>
      <c r="I61" s="297"/>
      <c r="J61" s="128"/>
      <c r="K61" s="128"/>
      <c r="L61" s="128"/>
      <c r="M61" s="128"/>
      <c r="N61" s="128"/>
      <c r="O61" s="128"/>
      <c r="P61" s="128"/>
      <c r="AD61" s="128"/>
      <c r="AE61" s="128"/>
      <c r="AF61" s="128"/>
      <c r="AG61" s="128"/>
    </row>
    <row r="62" ht="14.25" customHeight="1">
      <c r="B62" s="29"/>
      <c r="C62" s="181"/>
      <c r="I62" s="297"/>
      <c r="J62" s="128"/>
      <c r="K62" s="128"/>
      <c r="L62" s="128"/>
      <c r="M62" s="128"/>
      <c r="N62" s="128"/>
      <c r="O62" s="128"/>
      <c r="P62" s="128"/>
      <c r="AD62" s="128"/>
      <c r="AE62" s="128"/>
      <c r="AF62" s="128"/>
      <c r="AG62" s="128"/>
    </row>
    <row r="63" ht="15.75" customHeight="1"/>
    <row r="64" ht="15.75" customHeight="1"/>
    <row r="65" ht="15.75" customHeight="1"/>
    <row r="66" ht="14.25" customHeight="1">
      <c r="A66" s="136" t="s">
        <v>221</v>
      </c>
    </row>
    <row r="67" ht="14.25" customHeight="1"/>
    <row r="68" ht="14.25" customHeight="1">
      <c r="A68" s="300" t="s">
        <v>222</v>
      </c>
      <c r="B68" s="144" t="s">
        <v>189</v>
      </c>
      <c r="C68" s="146"/>
      <c r="D68" s="144" t="s">
        <v>112</v>
      </c>
      <c r="E68" s="146"/>
    </row>
    <row r="69" ht="30.0" customHeight="1">
      <c r="A69" s="19"/>
      <c r="B69" s="150" t="s">
        <v>157</v>
      </c>
      <c r="C69" s="146"/>
      <c r="D69" s="150" t="s">
        <v>112</v>
      </c>
      <c r="E69" s="146"/>
    </row>
    <row r="70" ht="14.25" customHeight="1">
      <c r="A70" s="154">
        <v>500.0</v>
      </c>
      <c r="B70" s="156">
        <v>850.0</v>
      </c>
      <c r="C70" s="153"/>
      <c r="D70" s="153"/>
      <c r="E70" s="153"/>
    </row>
    <row r="71" ht="14.25" customHeight="1">
      <c r="A71" s="152">
        <v>1000.0</v>
      </c>
      <c r="B71" s="153">
        <v>1700.0</v>
      </c>
      <c r="C71" s="156"/>
      <c r="D71" s="156"/>
      <c r="E71" s="156"/>
    </row>
    <row r="72" ht="14.25" customHeight="1">
      <c r="A72" s="154">
        <v>1500.0</v>
      </c>
      <c r="B72" s="156">
        <v>2550.0</v>
      </c>
      <c r="C72" s="153"/>
      <c r="D72" s="153"/>
      <c r="E72" s="153"/>
    </row>
    <row r="73" ht="14.25" customHeight="1">
      <c r="A73" s="154">
        <v>2000.0</v>
      </c>
      <c r="B73" s="156">
        <v>3400.0</v>
      </c>
      <c r="C73" s="156"/>
      <c r="D73" s="156"/>
      <c r="E73" s="156"/>
    </row>
    <row r="74" ht="14.25" customHeight="1">
      <c r="A74" s="154">
        <v>2500.0</v>
      </c>
      <c r="B74" s="156">
        <v>4250.0</v>
      </c>
      <c r="C74" s="156"/>
      <c r="D74" s="156"/>
      <c r="E74" s="156"/>
    </row>
    <row r="75" ht="14.25" customHeight="1">
      <c r="A75" s="154">
        <v>2900.0</v>
      </c>
      <c r="B75" s="156">
        <v>5000.0</v>
      </c>
      <c r="C75" s="156"/>
      <c r="D75" s="156"/>
      <c r="E75" s="156"/>
      <c r="G75" s="23" t="s">
        <v>223</v>
      </c>
    </row>
    <row r="76" ht="14.25" customHeight="1">
      <c r="A76" s="152">
        <v>3500.0</v>
      </c>
      <c r="B76" s="153">
        <v>99999.0</v>
      </c>
      <c r="C76" s="153"/>
      <c r="D76" s="153"/>
      <c r="E76" s="153"/>
    </row>
    <row r="77" ht="14.25" customHeight="1">
      <c r="A77" s="159"/>
      <c r="B77" s="161"/>
      <c r="C77" s="161"/>
      <c r="D77" s="161"/>
    </row>
    <row r="78" ht="14.25" customHeight="1">
      <c r="A78" s="167" t="s">
        <v>129</v>
      </c>
      <c r="D78" s="29"/>
      <c r="E78" s="29"/>
    </row>
    <row r="79" ht="14.25" customHeight="1">
      <c r="A79" s="3"/>
      <c r="B79" s="129" t="s">
        <v>131</v>
      </c>
      <c r="C79" s="155">
        <f>MATCH(MAX(A70:A76),A70:A76,0)</f>
        <v>7</v>
      </c>
      <c r="D79" s="129"/>
    </row>
    <row r="80" ht="14.25" customHeight="1">
      <c r="A80" s="3"/>
      <c r="B80" s="129" t="s">
        <v>132</v>
      </c>
      <c r="C80" s="155">
        <f>MATCH(MAX(B70),B70,0)</f>
        <v>1</v>
      </c>
      <c r="D80" s="129"/>
    </row>
    <row r="81" ht="14.25" customHeight="1">
      <c r="A81" s="3"/>
      <c r="B81" s="3"/>
      <c r="C81" s="3"/>
      <c r="D81" s="3"/>
    </row>
    <row r="82" ht="14.25" customHeight="1">
      <c r="A82" s="172" t="s">
        <v>134</v>
      </c>
      <c r="B82" s="44" t="str">
        <f>B69</f>
        <v>UP</v>
      </c>
      <c r="C82" s="44"/>
      <c r="D82" s="44" t="str">
        <f>D69</f>
        <v>EMG RETURN</v>
      </c>
    </row>
    <row r="83" ht="14.25" customHeight="1">
      <c r="A83" s="176" t="s">
        <v>136</v>
      </c>
      <c r="B83" s="177">
        <f>'LTL_Landing distance data'!C102*3.28</f>
        <v>2225.8</v>
      </c>
      <c r="C83" s="177"/>
      <c r="D83" s="177">
        <f>'LTL_Landing distance data'!K102*3.28</f>
        <v>2239</v>
      </c>
    </row>
    <row r="84" ht="14.25" customHeight="1">
      <c r="A84" s="129" t="s">
        <v>139</v>
      </c>
      <c r="B84" s="182">
        <f t="array" ref="B84">INDEX(A70:A76,MATCH(B83,A70:A76,1))</f>
        <v>2000</v>
      </c>
      <c r="C84" s="182"/>
      <c r="D84" s="182">
        <f t="array" ref="D84">INDEX($A$70:$A$76,MATCH(D83,$A$70:$A$76,1))</f>
        <v>2000</v>
      </c>
    </row>
    <row r="85" ht="14.25" customHeight="1">
      <c r="A85" s="129" t="s">
        <v>145</v>
      </c>
      <c r="B85" s="182">
        <f t="array" ref="B85">INDEX(A70:A76,IF(MATCH(B83,A70:A76,1)&lt;C79,MATCH(B83,A70:A76,1)+1,MATCH(B83,A70:A76,1)))</f>
        <v>2500</v>
      </c>
      <c r="C85" s="182"/>
      <c r="D85" s="182">
        <f t="array" ref="D85">INDEX($A$70:$A$76,IF(MATCH(D83,$A$70:$A$76,1)&lt;$C$79,MATCH(D83,$A$70:$A$76,1)+1,MATCH(D83,$A$70:$A$76,1)))</f>
        <v>2500</v>
      </c>
    </row>
    <row r="86" ht="14.25" customHeight="1">
      <c r="A86" s="178" t="s">
        <v>165</v>
      </c>
      <c r="B86" s="177">
        <f t="array" ref="B86">INDEX(B70:B76,MATCH(B83,A70:A76,1),MATCH(B82,B69,1))</f>
        <v>3400</v>
      </c>
      <c r="C86" s="177"/>
      <c r="D86" s="177">
        <f t="array" ref="D86">INDEX(B70:B76,MATCH(D83,$A$70:$A$76,1),MATCH(D82,D69,1))</f>
        <v>3400</v>
      </c>
    </row>
    <row r="87" ht="14.25" customHeight="1">
      <c r="A87" s="178" t="s">
        <v>177</v>
      </c>
      <c r="B87" s="177">
        <f t="array" ref="B87">INDEX(B70:B76,IF(MATCH(B83,A70:A76,1)&lt;C79,MATCH(B83,A70:A76,1)+1,MATCH(B83,A70:A76,1)),MATCH(B82,B69,1))</f>
        <v>4250</v>
      </c>
      <c r="C87" s="177"/>
      <c r="D87" s="177">
        <f t="array" ref="D87">INDEX(B70:B76,IF(MATCH(D83,$A$70:$A$76,1)&lt;$C$79,MATCH(D83,$A$70:$A$76,1)+1,MATCH(D83,$A$70:$A$76,1)),MATCH(D82,D69,1))</f>
        <v>4250</v>
      </c>
    </row>
    <row r="88" ht="14.25" customHeight="1">
      <c r="A88" s="178" t="s">
        <v>230</v>
      </c>
      <c r="B88" s="177">
        <f>IFERROR(B86+(B83-B84)*(B87-B86)/(B85-B84),B86)</f>
        <v>3783.86</v>
      </c>
      <c r="C88" s="177"/>
      <c r="D88" s="177">
        <f>IFERROR(D86+(D83-D84)*(D87-D86)/(D85-D84),D86)</f>
        <v>3806.3</v>
      </c>
    </row>
    <row r="89" ht="14.25" customHeight="1"/>
    <row r="90" ht="14.25" customHeight="1"/>
    <row r="91" ht="14.25" customHeight="1">
      <c r="A91" s="29"/>
      <c r="B91" s="29"/>
      <c r="C91" s="29"/>
      <c r="D91" s="29"/>
    </row>
    <row r="92" ht="14.25" customHeight="1">
      <c r="A92" s="29"/>
      <c r="B92" s="29"/>
      <c r="C92" s="29"/>
      <c r="D92" s="29"/>
    </row>
    <row r="93" ht="14.25" customHeight="1">
      <c r="A93" s="285"/>
      <c r="B93" s="181"/>
      <c r="C93" s="29"/>
    </row>
    <row r="94" ht="14.25" customHeight="1">
      <c r="A94" s="285"/>
      <c r="B94" s="181"/>
      <c r="C94" s="29"/>
    </row>
    <row r="95" ht="14.25" customHeight="1">
      <c r="B95" s="29"/>
      <c r="C95" s="29"/>
    </row>
    <row r="96" ht="14.25" customHeight="1">
      <c r="B96" s="181"/>
      <c r="C96" s="29"/>
    </row>
    <row r="97" ht="14.25" customHeight="1">
      <c r="B97" s="181"/>
      <c r="C97" s="29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E1"/>
    <mergeCell ref="A3:A4"/>
    <mergeCell ref="D3:E3"/>
    <mergeCell ref="H3:I3"/>
    <mergeCell ref="J3:K3"/>
    <mergeCell ref="L3:M3"/>
    <mergeCell ref="D4:E4"/>
    <mergeCell ref="L4:M4"/>
    <mergeCell ref="B68:C68"/>
    <mergeCell ref="D68:E68"/>
    <mergeCell ref="B69:C69"/>
    <mergeCell ref="D69:E69"/>
    <mergeCell ref="A78:C78"/>
    <mergeCell ref="H4:I4"/>
    <mergeCell ref="J4:K4"/>
    <mergeCell ref="A11:C11"/>
    <mergeCell ref="H11:J11"/>
    <mergeCell ref="L23:R23"/>
    <mergeCell ref="A66:E66"/>
    <mergeCell ref="A68:A69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15.71"/>
    <col customWidth="1" min="2" max="5" width="9.14"/>
    <col customWidth="1" min="6" max="6" width="14.0"/>
    <col customWidth="1" min="7" max="7" width="9.0"/>
    <col customWidth="1" min="8" max="10" width="9.14"/>
    <col customWidth="1" min="11" max="11" width="10.57"/>
    <col customWidth="1" min="12" max="13" width="9.14"/>
    <col customWidth="1" min="14" max="14" width="30.86"/>
    <col customWidth="1" min="15" max="15" width="9.14"/>
    <col customWidth="1" min="16" max="16" width="24.86"/>
    <col customWidth="1" min="17" max="17" width="18.71"/>
    <col customWidth="1" min="18" max="18" width="18.86"/>
    <col customWidth="1" min="19" max="20" width="9.14"/>
    <col customWidth="1" min="21" max="25" width="8.71"/>
  </cols>
  <sheetData>
    <row r="1" ht="14.25" customHeight="1">
      <c r="A1" s="136" t="s">
        <v>156</v>
      </c>
      <c r="F1" s="137"/>
      <c r="G1" s="137"/>
      <c r="I1" s="29"/>
      <c r="J1" s="29"/>
      <c r="K1" s="29"/>
      <c r="L1" s="29"/>
      <c r="M1" s="29"/>
      <c r="N1" s="29"/>
      <c r="O1" s="29"/>
      <c r="P1" s="29"/>
      <c r="Q1" s="29"/>
      <c r="R1" s="3"/>
      <c r="S1" s="3"/>
      <c r="T1" s="3"/>
    </row>
    <row r="2" ht="14.25" customHeight="1">
      <c r="A2" s="29" t="s">
        <v>157</v>
      </c>
      <c r="O2" s="29"/>
      <c r="P2" s="29"/>
      <c r="Q2" s="29"/>
      <c r="R2" s="3"/>
      <c r="S2" s="3"/>
      <c r="T2" s="3"/>
    </row>
    <row r="3" ht="14.25" customHeight="1">
      <c r="A3" s="196" t="s">
        <v>115</v>
      </c>
      <c r="B3" s="197"/>
      <c r="C3" s="200"/>
      <c r="D3" s="197" t="s">
        <v>116</v>
      </c>
      <c r="E3" s="200"/>
      <c r="F3" s="202"/>
      <c r="G3" s="204"/>
      <c r="H3" s="202" t="s">
        <v>116</v>
      </c>
      <c r="I3" s="200"/>
      <c r="J3" s="202"/>
      <c r="K3" s="206"/>
      <c r="L3" s="29"/>
      <c r="M3" s="29"/>
      <c r="O3" s="29"/>
      <c r="P3" s="29"/>
      <c r="Q3" s="29"/>
      <c r="R3" s="3"/>
      <c r="S3" s="3"/>
      <c r="T3" s="3"/>
    </row>
    <row r="4" ht="31.5" customHeight="1">
      <c r="A4" s="21"/>
      <c r="B4" s="210"/>
      <c r="C4" s="211"/>
      <c r="D4" s="210" t="s">
        <v>168</v>
      </c>
      <c r="E4" s="211"/>
      <c r="F4" s="210"/>
      <c r="G4" s="212"/>
      <c r="H4" s="213" t="s">
        <v>169</v>
      </c>
      <c r="I4" s="211"/>
      <c r="J4" s="213"/>
      <c r="K4" s="211"/>
      <c r="M4" s="29"/>
      <c r="O4" s="29"/>
      <c r="P4" s="29"/>
      <c r="Q4" s="29"/>
      <c r="R4" s="3"/>
      <c r="S4" s="3"/>
      <c r="T4" s="3"/>
    </row>
    <row r="5" ht="14.25" customHeight="1">
      <c r="A5" s="214">
        <v>9000.0</v>
      </c>
      <c r="B5" s="215"/>
      <c r="C5" s="216"/>
      <c r="D5" s="215">
        <v>94.0</v>
      </c>
      <c r="E5" s="216"/>
      <c r="F5" s="215"/>
      <c r="G5" s="217"/>
      <c r="H5" s="218">
        <v>103.0</v>
      </c>
      <c r="I5" s="216"/>
      <c r="J5" s="220"/>
      <c r="K5" s="221"/>
      <c r="M5" s="181"/>
      <c r="O5" s="29"/>
      <c r="P5" s="29"/>
      <c r="Q5" s="29"/>
      <c r="R5" s="3"/>
      <c r="S5" s="3"/>
      <c r="T5" s="3"/>
    </row>
    <row r="6" ht="14.25" customHeight="1">
      <c r="A6" s="214">
        <v>10000.0</v>
      </c>
      <c r="B6" s="222"/>
      <c r="C6" s="224"/>
      <c r="D6" s="222">
        <v>94.0</v>
      </c>
      <c r="E6" s="224"/>
      <c r="F6" s="222"/>
      <c r="G6" s="225"/>
      <c r="H6" s="222">
        <v>103.0</v>
      </c>
      <c r="I6" s="224"/>
      <c r="J6" s="226"/>
      <c r="K6" s="228"/>
      <c r="M6" s="181"/>
      <c r="O6" s="29"/>
      <c r="P6" s="29"/>
      <c r="Q6" s="29"/>
      <c r="R6" s="3"/>
      <c r="S6" s="3"/>
      <c r="T6" s="3"/>
    </row>
    <row r="7" ht="14.25" customHeight="1">
      <c r="A7" s="214">
        <v>11000.0</v>
      </c>
      <c r="B7" s="222"/>
      <c r="C7" s="224"/>
      <c r="D7" s="222">
        <v>94.0</v>
      </c>
      <c r="E7" s="224"/>
      <c r="F7" s="222"/>
      <c r="G7" s="225"/>
      <c r="H7" s="232">
        <v>103.0</v>
      </c>
      <c r="I7" s="224"/>
      <c r="J7" s="226"/>
      <c r="K7" s="228"/>
      <c r="M7" s="181"/>
      <c r="O7" s="29"/>
      <c r="P7" s="29"/>
      <c r="Q7" s="29"/>
      <c r="R7" s="3"/>
      <c r="S7" s="3"/>
      <c r="T7" s="3"/>
    </row>
    <row r="8" ht="14.25" customHeight="1">
      <c r="A8" s="234">
        <v>11500.0</v>
      </c>
      <c r="B8" s="222"/>
      <c r="C8" s="224"/>
      <c r="D8" s="222">
        <v>94.0</v>
      </c>
      <c r="E8" s="224"/>
      <c r="F8" s="222"/>
      <c r="G8" s="225"/>
      <c r="H8" s="222">
        <v>103.0</v>
      </c>
      <c r="I8" s="224"/>
      <c r="J8" s="226"/>
      <c r="K8" s="228"/>
      <c r="M8" s="181"/>
      <c r="O8" s="29"/>
      <c r="P8" s="29"/>
      <c r="Q8" s="29"/>
      <c r="R8" s="3"/>
      <c r="S8" s="3"/>
      <c r="T8" s="3"/>
    </row>
    <row r="9" ht="14.25" customHeight="1">
      <c r="A9" s="234">
        <v>12000.0</v>
      </c>
      <c r="B9" s="222"/>
      <c r="C9" s="224"/>
      <c r="D9" s="222">
        <v>94.0</v>
      </c>
      <c r="E9" s="224"/>
      <c r="F9" s="222"/>
      <c r="G9" s="225"/>
      <c r="H9" s="232">
        <v>103.0</v>
      </c>
      <c r="I9" s="224"/>
      <c r="J9" s="226"/>
      <c r="K9" s="228"/>
      <c r="M9" s="181"/>
      <c r="O9" s="29"/>
      <c r="P9" s="29"/>
      <c r="Q9" s="29"/>
      <c r="R9" s="3"/>
      <c r="S9" s="3"/>
      <c r="T9" s="3"/>
    </row>
    <row r="10" ht="14.25" customHeight="1">
      <c r="A10" s="237">
        <v>12500.0</v>
      </c>
      <c r="B10" s="238"/>
      <c r="C10" s="240"/>
      <c r="D10" s="238">
        <v>94.0</v>
      </c>
      <c r="E10" s="240"/>
      <c r="F10" s="238"/>
      <c r="G10" s="242"/>
      <c r="H10" s="243">
        <v>103.0</v>
      </c>
      <c r="I10" s="240"/>
      <c r="J10" s="244"/>
      <c r="K10" s="245"/>
      <c r="M10" s="181"/>
      <c r="O10" s="29"/>
      <c r="P10" s="29"/>
      <c r="Q10" s="29"/>
      <c r="R10" s="3"/>
      <c r="S10" s="3"/>
      <c r="T10" s="3"/>
    </row>
    <row r="11" ht="14.25" customHeight="1">
      <c r="A11" s="159"/>
      <c r="B11" s="161"/>
      <c r="C11" s="161"/>
      <c r="D11" s="161"/>
      <c r="F11" s="29"/>
      <c r="H11" s="29"/>
      <c r="I11" s="181"/>
      <c r="J11" s="29"/>
      <c r="K11" s="181"/>
      <c r="O11" s="29"/>
      <c r="P11" s="29"/>
      <c r="Q11" s="29"/>
      <c r="R11" s="3"/>
      <c r="S11" s="3"/>
      <c r="T11" s="3"/>
    </row>
    <row r="12" ht="14.25" customHeight="1">
      <c r="A12" s="167"/>
      <c r="B12" s="167"/>
      <c r="D12" s="167" t="s">
        <v>176</v>
      </c>
      <c r="H12" s="167" t="s">
        <v>169</v>
      </c>
      <c r="J12" s="167"/>
      <c r="K12" s="167"/>
      <c r="M12" s="29"/>
      <c r="N12" s="29"/>
      <c r="O12" s="29"/>
      <c r="P12" s="29"/>
      <c r="Q12" s="29"/>
      <c r="R12" s="3"/>
      <c r="S12" s="3"/>
      <c r="T12" s="3"/>
    </row>
    <row r="13" ht="14.25" customHeight="1">
      <c r="B13" s="129"/>
      <c r="C13" s="155"/>
      <c r="D13" s="129" t="s">
        <v>131</v>
      </c>
      <c r="E13" s="155">
        <f>MATCH(MAX($A5:$A10),$A5:$A10,0)</f>
        <v>6</v>
      </c>
      <c r="G13" s="155"/>
      <c r="I13" s="155">
        <f>MATCH(MAX($A5:$A10),$A5:$A10,0)</f>
        <v>6</v>
      </c>
      <c r="J13" s="155"/>
      <c r="K13" s="155"/>
      <c r="M13" s="29"/>
      <c r="N13" s="29"/>
    </row>
    <row r="14" ht="14.25" customHeight="1">
      <c r="B14" s="129"/>
      <c r="C14" s="155"/>
      <c r="D14" s="129" t="s">
        <v>132</v>
      </c>
      <c r="E14" s="155">
        <f>MATCH(MAX(D5),D5,0)</f>
        <v>1</v>
      </c>
      <c r="G14" s="155"/>
      <c r="I14" s="155">
        <f>MATCH(MAX(H5),H5,0)</f>
        <v>1</v>
      </c>
      <c r="J14" s="155"/>
      <c r="K14" s="155"/>
      <c r="M14" s="29"/>
      <c r="N14" s="29"/>
    </row>
    <row r="15" ht="14.25" customHeight="1">
      <c r="A15" s="3"/>
      <c r="B15" s="3"/>
      <c r="C15" s="3"/>
      <c r="D15" s="3"/>
      <c r="E15" s="3"/>
      <c r="F15" s="3"/>
      <c r="G15" s="3"/>
      <c r="H15" s="29"/>
      <c r="I15" s="29"/>
      <c r="J15" s="29"/>
      <c r="K15" s="29"/>
      <c r="M15" s="29"/>
      <c r="N15" s="29"/>
    </row>
    <row r="16" ht="14.25" customHeight="1">
      <c r="B16" s="172"/>
      <c r="C16" s="44"/>
      <c r="D16" s="172" t="s">
        <v>134</v>
      </c>
      <c r="E16" s="44" t="str">
        <f>D4</f>
        <v>V1/R</v>
      </c>
      <c r="F16" s="172"/>
      <c r="G16" s="44"/>
      <c r="H16" s="29"/>
      <c r="I16" s="44" t="str">
        <f>H4</f>
        <v>V2</v>
      </c>
      <c r="J16" s="44"/>
      <c r="K16" s="44"/>
      <c r="M16" s="29"/>
      <c r="N16" s="29"/>
    </row>
    <row r="17" ht="14.25" customHeight="1">
      <c r="B17" s="178"/>
      <c r="C17" s="177"/>
      <c r="D17" s="176" t="s">
        <v>136</v>
      </c>
      <c r="E17" s="177">
        <f>'Take-off'!$C$14</f>
        <v>12500</v>
      </c>
      <c r="F17" s="178"/>
      <c r="G17" s="177"/>
      <c r="H17" s="29"/>
      <c r="I17" s="177">
        <f>'Take-off'!$C$14</f>
        <v>12500</v>
      </c>
      <c r="J17" s="177"/>
      <c r="K17" s="177"/>
      <c r="M17" s="181"/>
      <c r="N17" s="181"/>
    </row>
    <row r="18" ht="14.25" customHeight="1">
      <c r="B18" s="129"/>
      <c r="C18" s="182"/>
      <c r="D18" s="129" t="s">
        <v>139</v>
      </c>
      <c r="E18" s="182">
        <f t="array" ref="E18">INDEX($A5:$A10,MATCH(E17,$A5:$A10,1))</f>
        <v>12500</v>
      </c>
      <c r="F18" s="129"/>
      <c r="G18" s="182"/>
      <c r="H18" s="29"/>
      <c r="I18" s="182">
        <f t="array" ref="I18">INDEX($A5:$A10,MATCH(I17,$A5:$A10,1))</f>
        <v>12500</v>
      </c>
      <c r="J18" s="182"/>
      <c r="K18" s="182"/>
      <c r="M18" s="181"/>
      <c r="N18" s="181"/>
    </row>
    <row r="19" ht="14.25" customHeight="1">
      <c r="B19" s="129"/>
      <c r="C19" s="182"/>
      <c r="D19" s="129" t="s">
        <v>145</v>
      </c>
      <c r="E19" s="182">
        <f t="array" ref="E19">INDEX($A5:$A10,IF(MATCH(E17,$A5:$A10,1)&lt;E13,MATCH(E17,$A5:$A10,1)+1,MATCH(E17,$A5:$A10,1)))</f>
        <v>12500</v>
      </c>
      <c r="F19" s="129"/>
      <c r="G19" s="182"/>
      <c r="H19" s="29"/>
      <c r="I19" s="182">
        <f t="array" ref="I19">INDEX($A5:$A10,IF(MATCH(I17,$A5:$A10,1)&lt;I13,MATCH(I17,$A5:$A10,1)+1,MATCH(I17,$A5:$A10,1)))</f>
        <v>12500</v>
      </c>
      <c r="J19" s="182"/>
      <c r="K19" s="182"/>
      <c r="M19" s="181"/>
      <c r="N19" s="181"/>
    </row>
    <row r="20" ht="14.25" customHeight="1">
      <c r="B20" s="178"/>
      <c r="C20" s="177"/>
      <c r="D20" s="178" t="s">
        <v>165</v>
      </c>
      <c r="E20" s="177">
        <f t="array" ref="E20">INDEX(D5:D10,MATCH(E17,$A5:$A10,1),MATCH(E16,D4,1))</f>
        <v>94</v>
      </c>
      <c r="F20" s="178"/>
      <c r="G20" s="177"/>
      <c r="H20" s="29"/>
      <c r="I20" s="177">
        <f t="array" ref="I20">INDEX(H5:H10,MATCH(I17,$A5:$A10,1),MATCH(I16,H4,1))</f>
        <v>103</v>
      </c>
      <c r="J20" s="274"/>
      <c r="K20" s="274"/>
      <c r="M20" s="181"/>
      <c r="N20" s="181"/>
      <c r="O20" s="29"/>
      <c r="P20" s="29"/>
      <c r="Q20" s="29"/>
      <c r="R20" s="3"/>
      <c r="S20" s="3"/>
      <c r="T20" s="3"/>
    </row>
    <row r="21" ht="14.25" customHeight="1">
      <c r="B21" s="178"/>
      <c r="C21" s="177"/>
      <c r="D21" s="178" t="s">
        <v>177</v>
      </c>
      <c r="E21" s="177">
        <f t="array" ref="E21">INDEX(D5:D10,IF(MATCH(E17,$A5:$A10,1)&lt;E13,MATCH(E17,$A5:$A10,1)+1,MATCH(E17,$A5:$A10,1)),MATCH(E16,D4,1))</f>
        <v>94</v>
      </c>
      <c r="F21" s="178"/>
      <c r="G21" s="177"/>
      <c r="H21" s="29"/>
      <c r="I21" s="177">
        <f t="array" ref="I21">INDEX(H5:H10,IF(MATCH(I17,$A5:$A10,1)&lt;I13,MATCH(I17,$A5:$A10,1)+1,MATCH(I17,$A5:$A10,1)),MATCH(I16,H4,1))</f>
        <v>103</v>
      </c>
      <c r="J21" s="274"/>
      <c r="K21" s="274"/>
      <c r="M21" s="181"/>
      <c r="N21" s="181"/>
      <c r="O21" s="29"/>
      <c r="P21" s="29"/>
      <c r="Q21" s="29"/>
      <c r="R21" s="3"/>
      <c r="S21" s="3"/>
      <c r="T21" s="3"/>
    </row>
    <row r="22" ht="14.25" customHeight="1">
      <c r="B22" s="178"/>
      <c r="C22" s="177"/>
      <c r="D22" s="178" t="s">
        <v>190</v>
      </c>
      <c r="E22" s="177">
        <f>IFERROR(E20+(E17-E18)*(E21-E20)/(E19-E18),E20)</f>
        <v>94</v>
      </c>
      <c r="F22" s="178"/>
      <c r="G22" s="177"/>
      <c r="H22" s="29"/>
      <c r="I22" s="177">
        <f>IFERROR(I20+(I17-I18)*(I21-I20)/(I19-I18),I20)</f>
        <v>103</v>
      </c>
      <c r="J22" s="274"/>
      <c r="K22" s="274"/>
      <c r="M22" s="181"/>
      <c r="N22" s="181"/>
      <c r="O22" s="29"/>
      <c r="P22" s="29"/>
      <c r="Q22" s="29"/>
      <c r="R22" s="3"/>
      <c r="S22" s="3"/>
      <c r="T22" s="3"/>
    </row>
    <row r="23" ht="14.25" customHeight="1">
      <c r="A23" s="29"/>
      <c r="C23" s="181"/>
      <c r="G23" s="181"/>
      <c r="I23" s="129"/>
      <c r="J23" s="274"/>
      <c r="K23" s="274"/>
      <c r="M23" s="3"/>
      <c r="N23" s="3"/>
      <c r="O23" s="3"/>
      <c r="P23" s="3"/>
      <c r="Q23" s="3"/>
      <c r="R23" s="3"/>
      <c r="S23" s="3"/>
      <c r="T23" s="3"/>
    </row>
    <row r="24" ht="14.25" customHeight="1">
      <c r="A24" s="29"/>
      <c r="B24" s="29"/>
      <c r="C24" s="29"/>
      <c r="D24" s="29"/>
      <c r="E24" s="29"/>
      <c r="F24" s="29"/>
      <c r="L24" s="136"/>
      <c r="M24" s="136"/>
      <c r="N24" s="136"/>
      <c r="O24" s="136"/>
      <c r="P24" s="136"/>
      <c r="Q24" s="136"/>
      <c r="R24" s="136"/>
      <c r="S24" s="3"/>
      <c r="T24" s="3"/>
    </row>
    <row r="25" ht="14.25" customHeight="1">
      <c r="A25" s="180" t="s">
        <v>202</v>
      </c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4"/>
      <c r="M25" s="294"/>
      <c r="N25" s="294"/>
      <c r="O25" s="294"/>
      <c r="P25" s="294"/>
      <c r="Q25" s="294"/>
      <c r="R25" s="294"/>
      <c r="S25" s="294"/>
      <c r="T25" s="294"/>
      <c r="U25" s="292"/>
      <c r="V25" s="292"/>
      <c r="W25" s="292"/>
      <c r="X25" s="292"/>
      <c r="Y25" s="292"/>
    </row>
    <row r="26" ht="14.25" customHeight="1">
      <c r="A26" s="29"/>
      <c r="B26" s="29"/>
      <c r="C26" s="29"/>
      <c r="D26" s="29"/>
      <c r="E26" s="29"/>
      <c r="F26" s="29"/>
      <c r="G26" s="29"/>
      <c r="L26" s="29"/>
      <c r="M26" s="29"/>
      <c r="N26" s="29"/>
      <c r="O26" s="29"/>
      <c r="P26" s="29"/>
      <c r="Q26" s="29"/>
      <c r="R26" s="29"/>
      <c r="S26" s="3"/>
      <c r="T26" s="3"/>
    </row>
    <row r="27" ht="42.0" customHeight="1">
      <c r="A27" s="138"/>
      <c r="B27" s="140" t="s">
        <v>207</v>
      </c>
      <c r="C27" s="295" t="s">
        <v>208</v>
      </c>
      <c r="D27" s="138" t="s">
        <v>209</v>
      </c>
      <c r="E27" s="138" t="s">
        <v>210</v>
      </c>
      <c r="F27" s="140" t="s">
        <v>211</v>
      </c>
      <c r="G27" s="138" t="s">
        <v>212</v>
      </c>
      <c r="H27" s="138"/>
      <c r="I27" s="138" t="s">
        <v>213</v>
      </c>
      <c r="J27" s="138" t="s">
        <v>121</v>
      </c>
      <c r="K27" s="138" t="s">
        <v>214</v>
      </c>
      <c r="L27" s="138" t="s">
        <v>215</v>
      </c>
      <c r="M27" s="138" t="s">
        <v>209</v>
      </c>
      <c r="N27" s="138" t="s">
        <v>210</v>
      </c>
      <c r="O27" s="138" t="s">
        <v>216</v>
      </c>
      <c r="P27" s="138" t="s">
        <v>217</v>
      </c>
      <c r="Q27" s="138" t="s">
        <v>218</v>
      </c>
      <c r="R27" s="140"/>
      <c r="S27" s="140"/>
      <c r="T27" s="138"/>
      <c r="U27" s="138"/>
      <c r="V27" s="138"/>
      <c r="W27" s="138"/>
    </row>
    <row r="28" ht="14.25" customHeight="1">
      <c r="A28" s="296" t="s">
        <v>219</v>
      </c>
      <c r="B28" s="275">
        <f>'LTL_Takeoff distance (2)'!C74/3.28</f>
        <v>487.195122</v>
      </c>
      <c r="C28" s="298">
        <v>0.0</v>
      </c>
      <c r="D28" s="29" t="s">
        <v>34</v>
      </c>
      <c r="E28" s="29" t="s">
        <v>34</v>
      </c>
      <c r="F28" s="275">
        <f>IF('Take-off'!$C$17&gt;0, ((+'Take-off'!$C$17*5)%*SUM(B28:E28)),0 )</f>
        <v>0</v>
      </c>
      <c r="G28" s="275">
        <f>SUM(B28:F28)</f>
        <v>487.195122</v>
      </c>
      <c r="I28" s="301">
        <f>VLOOKUP('Take-off'!$C$11, 'Dropdown lists'!$B$34:$D$40, 3, FALSE)</f>
        <v>0</v>
      </c>
      <c r="J28" s="23">
        <f>'Take-off'!$C$12</f>
        <v>0</v>
      </c>
      <c r="K28" s="181">
        <f t="shared" ref="K28:K32" si="1">SUM(B28:F28)</f>
        <v>487.195122</v>
      </c>
      <c r="L28" s="181">
        <f t="shared" ref="L28:L29" si="2">K28*(I28*J28)</f>
        <v>0</v>
      </c>
      <c r="M28" s="23">
        <f>IF('Take-off'!$C$10&lt;5, 30%*K28, 0)</f>
        <v>0</v>
      </c>
      <c r="N28" s="23">
        <f>IF('Take-off'!$C$10&lt;3, 20%*K28, 0)</f>
        <v>0</v>
      </c>
      <c r="O28" s="311">
        <v>0.0</v>
      </c>
      <c r="P28" s="181"/>
      <c r="Q28" s="181">
        <f t="shared" ref="Q28:Q29" si="3">SUM(K28:O28)</f>
        <v>487.195122</v>
      </c>
      <c r="R28" s="3"/>
      <c r="S28" s="3"/>
    </row>
    <row r="29" ht="14.25" customHeight="1">
      <c r="A29" s="285" t="s">
        <v>224</v>
      </c>
      <c r="B29" s="275">
        <f>'LTL_Takeoff distance (2)'!C93/3.28</f>
        <v>618.1097561</v>
      </c>
      <c r="C29" s="313">
        <v>0.0</v>
      </c>
      <c r="D29" s="29" t="s">
        <v>34</v>
      </c>
      <c r="E29" s="29" t="s">
        <v>34</v>
      </c>
      <c r="F29" s="275">
        <f>IF('Take-off'!$C$17&gt;0, ((+'Take-off'!$C$17*5)%*SUM(B29:E29)),0 )</f>
        <v>0</v>
      </c>
      <c r="G29" s="275">
        <f>SUM(B29:F29)*115%</f>
        <v>710.8262195</v>
      </c>
      <c r="I29" s="301">
        <f>VLOOKUP('Take-off'!$C$11, 'Dropdown lists'!$B$34:$D$40, 3, FALSE)</f>
        <v>0</v>
      </c>
      <c r="J29" s="23">
        <f>'Take-off'!$C$12</f>
        <v>0</v>
      </c>
      <c r="K29" s="181">
        <f t="shared" si="1"/>
        <v>618.1097561</v>
      </c>
      <c r="L29" s="181">
        <f t="shared" si="2"/>
        <v>0</v>
      </c>
      <c r="M29" s="23">
        <f>IF('Take-off'!$C$10&lt;5, 30%*K29, 0)</f>
        <v>0</v>
      </c>
      <c r="N29" s="23">
        <f>IF('Take-off'!$C$10&lt;3, 20%*K29, 0)</f>
        <v>0</v>
      </c>
      <c r="O29" s="181">
        <f>15%*SUM(K29:N29)</f>
        <v>92.71646341</v>
      </c>
      <c r="P29" s="181"/>
      <c r="Q29" s="181">
        <f t="shared" si="3"/>
        <v>710.8262195</v>
      </c>
      <c r="R29" s="3"/>
      <c r="S29" s="3"/>
    </row>
    <row r="30" ht="14.25" customHeight="1">
      <c r="A30" s="285" t="s">
        <v>225</v>
      </c>
      <c r="B30" s="181">
        <f>'LTL_Accelerate and GO (2)'!C74/3.28</f>
        <v>963.4146341</v>
      </c>
      <c r="C30" s="313">
        <v>0.0</v>
      </c>
      <c r="D30" s="29" t="s">
        <v>34</v>
      </c>
      <c r="E30" s="29" t="s">
        <v>34</v>
      </c>
      <c r="F30" s="275">
        <f>IF('Take-off'!$C$17&gt;0, ((+'Take-off'!$C$17*5)%*SUM(B30:E30)),0 )</f>
        <v>0</v>
      </c>
      <c r="G30" s="275">
        <f t="shared" ref="G30:G32" si="4">SUM(B30:F30)</f>
        <v>963.4146341</v>
      </c>
      <c r="I30" s="301">
        <f>VLOOKUP('Take-off'!$C$11, 'Dropdown lists'!$B$34:$D$40, 3, FALSE)</f>
        <v>0</v>
      </c>
      <c r="J30" s="23">
        <f>'Take-off'!$C$12</f>
        <v>0</v>
      </c>
      <c r="K30" s="181">
        <f t="shared" si="1"/>
        <v>963.4146341</v>
      </c>
      <c r="L30" s="181"/>
      <c r="Q30" s="181">
        <f>G30</f>
        <v>963.4146341</v>
      </c>
    </row>
    <row r="31" ht="14.25" customHeight="1">
      <c r="A31" s="285" t="s">
        <v>226</v>
      </c>
      <c r="B31" s="181">
        <f>B30</f>
        <v>963.4146341</v>
      </c>
      <c r="C31" s="313">
        <v>0.0</v>
      </c>
      <c r="D31" s="29" t="s">
        <v>34</v>
      </c>
      <c r="E31" s="29" t="s">
        <v>34</v>
      </c>
      <c r="F31" s="275">
        <f>IF('Take-off'!$C$17&gt;0, ((+'Take-off'!$C$17*5)%*SUM(B31:E31)),0 )</f>
        <v>0</v>
      </c>
      <c r="G31" s="275">
        <f t="shared" si="4"/>
        <v>963.4146341</v>
      </c>
      <c r="H31" s="29" t="s">
        <v>227</v>
      </c>
      <c r="I31" s="301">
        <f>VLOOKUP('Take-off'!$C$11, 'Dropdown lists'!$B$34:$D$40, 3, FALSE)</f>
        <v>0</v>
      </c>
      <c r="J31" s="23">
        <f>'Take-off'!$C$12</f>
        <v>0</v>
      </c>
      <c r="K31" s="181">
        <f t="shared" si="1"/>
        <v>963.4146341</v>
      </c>
      <c r="L31" s="181">
        <f t="shared" ref="L31:L32" si="5">K31*(I31*J31)</f>
        <v>0</v>
      </c>
      <c r="M31" s="23">
        <f>IF('Take-off'!$C$10&lt;5, 30%*K31, 0)</f>
        <v>0</v>
      </c>
      <c r="N31" s="23">
        <f>IF('Take-off'!$C$10&lt;3, 20%*K31, 0)</f>
        <v>0</v>
      </c>
      <c r="O31" s="23">
        <v>0.0</v>
      </c>
      <c r="P31" s="23">
        <f>-20/('Take-off'!C42/100)/3.28</f>
        <v>-110.0672577</v>
      </c>
      <c r="Q31" s="181">
        <f>SUM(K31:P31)</f>
        <v>853.3473764</v>
      </c>
    </row>
    <row r="32" ht="14.25" customHeight="1">
      <c r="A32" s="285" t="s">
        <v>228</v>
      </c>
      <c r="B32" s="313">
        <f>'LTL_Accelerate and stop2'!C74/3.28</f>
        <v>926.8292683</v>
      </c>
      <c r="C32" s="313">
        <v>0.0</v>
      </c>
      <c r="D32" s="29" t="s">
        <v>34</v>
      </c>
      <c r="E32" s="29" t="s">
        <v>34</v>
      </c>
      <c r="F32" s="275">
        <f>IF('Take-off'!$C$17&gt;0, ((+'Take-off'!$C$17*5)%*SUM(B32:E32)),0 )</f>
        <v>0</v>
      </c>
      <c r="G32" s="275">
        <f t="shared" si="4"/>
        <v>926.8292683</v>
      </c>
      <c r="I32" s="301">
        <f>VLOOKUP('Take-off'!$C$11, 'Dropdown lists'!$B$34:$D$40, 3, FALSE)</f>
        <v>0</v>
      </c>
      <c r="J32" s="23">
        <f>'Take-off'!$C$12</f>
        <v>0</v>
      </c>
      <c r="K32" s="181">
        <f t="shared" si="1"/>
        <v>926.8292683</v>
      </c>
      <c r="L32" s="181">
        <f t="shared" si="5"/>
        <v>0</v>
      </c>
      <c r="M32" s="23">
        <f>IF('Take-off'!$C$10&lt;5, 30%*K32, 0)</f>
        <v>0</v>
      </c>
      <c r="N32" s="23">
        <f>IF('Take-off'!$C$10&lt;3, 20%*K32, 0)</f>
        <v>0</v>
      </c>
      <c r="O32" s="23">
        <v>0.0</v>
      </c>
      <c r="Q32" s="181">
        <f>SUM(K32:O32)</f>
        <v>926.8292683</v>
      </c>
    </row>
    <row r="33" ht="14.25" customHeight="1">
      <c r="A33" s="285"/>
      <c r="B33" s="267" t="s">
        <v>195</v>
      </c>
      <c r="C33" s="267" t="s">
        <v>196</v>
      </c>
      <c r="D33" s="267" t="s">
        <v>197</v>
      </c>
      <c r="E33" s="29"/>
      <c r="F33" s="285"/>
      <c r="G33" s="29"/>
      <c r="H33" s="29"/>
      <c r="I33" s="29"/>
      <c r="T33" s="3"/>
    </row>
    <row r="34" ht="14.25" customHeight="1">
      <c r="A34" s="285"/>
      <c r="B34" s="269">
        <f>IF(ABS('Take-off'!C18-'Take-off'!C6)&gt;270,360-ABS('Take-off'!C18-'Take-off'!C6),'Take-off'!C18-'Take-off'!C6)</f>
        <v>75</v>
      </c>
      <c r="C34" s="273">
        <f>IF(ABS(B34)&gt;90,ABS(COS(B34*PI()/180))*(-1),ABS(COS(B34*PI()/180)))</f>
        <v>0.2588190451</v>
      </c>
      <c r="D34" s="269">
        <f>IF( ISBLANK('Take-off'!C6), 'Take-off'!C7*-1,    'Take-off'!C7*C34)</f>
        <v>0</v>
      </c>
      <c r="E34" s="29"/>
      <c r="F34" s="29"/>
      <c r="G34" s="314"/>
      <c r="H34" s="181"/>
      <c r="T34" s="3"/>
    </row>
    <row r="35" ht="14.25" customHeight="1">
      <c r="A35" s="285" t="s">
        <v>229</v>
      </c>
      <c r="B35" s="172" t="s">
        <v>203</v>
      </c>
      <c r="C35" s="3" t="s">
        <v>204</v>
      </c>
      <c r="D35" s="3"/>
      <c r="E35" s="29"/>
      <c r="F35" s="29"/>
      <c r="G35" s="314"/>
      <c r="H35" s="181"/>
      <c r="T35" s="3"/>
    </row>
    <row r="36" ht="14.25" customHeight="1">
      <c r="A36" s="285"/>
      <c r="C36" s="161"/>
      <c r="D36" s="161"/>
      <c r="E36" s="29"/>
      <c r="F36" s="29"/>
      <c r="T36" s="3"/>
    </row>
    <row r="37" ht="14.25" customHeight="1">
      <c r="A37" s="285"/>
      <c r="B37" s="172"/>
      <c r="C37" s="284"/>
      <c r="D37" s="172"/>
      <c r="E37" s="29"/>
      <c r="F37" s="29"/>
      <c r="T37" s="3"/>
    </row>
    <row r="38" ht="14.25" customHeight="1">
      <c r="A38" s="285"/>
      <c r="B38" s="172"/>
      <c r="C38" s="172"/>
      <c r="D38" s="172"/>
      <c r="E38" s="29"/>
      <c r="F38" s="29"/>
      <c r="T38" s="3"/>
    </row>
    <row r="39" ht="14.25" customHeight="1">
      <c r="A39" s="285"/>
      <c r="B39" s="172" t="s">
        <v>200</v>
      </c>
      <c r="C39" s="284">
        <f>IF(ABS(B34)&gt;90,ABS(SIN(B34*PI()/180))*(-1),ABS(SIN(B34*PI()/180)))</f>
        <v>0.9659258263</v>
      </c>
      <c r="D39" s="172"/>
      <c r="E39" s="29"/>
      <c r="F39" s="29"/>
      <c r="T39" s="3"/>
    </row>
    <row r="40" ht="14.25" customHeight="1">
      <c r="B40" s="29"/>
      <c r="C40" s="29"/>
      <c r="D40" s="29"/>
      <c r="E40" s="29"/>
      <c r="F40" s="29"/>
      <c r="K40" s="3"/>
      <c r="L40" s="3"/>
      <c r="P40" s="3"/>
      <c r="Q40" s="3"/>
      <c r="R40" s="315"/>
      <c r="S40" s="3"/>
      <c r="T40" s="3"/>
    </row>
    <row r="41" ht="14.25" customHeight="1">
      <c r="K41" s="3"/>
      <c r="L41" s="3"/>
      <c r="M41" s="178"/>
      <c r="N41" s="177"/>
      <c r="P41" s="3"/>
      <c r="Q41" s="3"/>
      <c r="R41" s="3"/>
      <c r="S41" s="3"/>
      <c r="T41" s="3"/>
    </row>
    <row r="42" ht="14.25" customHeight="1"/>
    <row r="43" ht="14.25" customHeight="1">
      <c r="A43" s="29"/>
      <c r="B43" s="29"/>
      <c r="C43" s="181"/>
      <c r="D43" s="29"/>
      <c r="E43" s="29"/>
      <c r="F43" s="29"/>
      <c r="G43" s="29"/>
      <c r="H43" s="29"/>
      <c r="I43" s="29"/>
      <c r="J43" s="29"/>
      <c r="K43" s="3"/>
      <c r="L43" s="3"/>
      <c r="M43" s="129"/>
      <c r="N43" s="182"/>
      <c r="O43" s="29"/>
      <c r="P43" s="316"/>
      <c r="Q43" s="29"/>
      <c r="R43" s="29"/>
      <c r="S43" s="3"/>
      <c r="T43" s="3"/>
    </row>
    <row r="44" ht="14.25" customHeight="1">
      <c r="A44" s="290"/>
      <c r="B44" s="291"/>
      <c r="C44" s="291"/>
      <c r="D44" s="291"/>
      <c r="E44" s="291"/>
      <c r="F44" s="291"/>
      <c r="G44" s="291"/>
      <c r="H44" s="291"/>
      <c r="I44" s="3"/>
      <c r="J44" s="3"/>
      <c r="K44" s="3"/>
      <c r="L44" s="3"/>
      <c r="M44" s="3"/>
      <c r="N44" s="3"/>
      <c r="O44" s="3"/>
      <c r="P44" s="29"/>
      <c r="Q44" s="317"/>
      <c r="R44" s="29"/>
      <c r="S44" s="29"/>
      <c r="T44" s="29"/>
    </row>
    <row r="45" ht="14.25" customHeight="1">
      <c r="A45" s="29"/>
      <c r="B45" s="29"/>
      <c r="C45" s="29"/>
      <c r="D45" s="29"/>
      <c r="E45" s="29"/>
      <c r="F45" s="29"/>
      <c r="G45" s="29"/>
      <c r="H45" s="29"/>
      <c r="I45" s="3"/>
      <c r="J45" s="3"/>
      <c r="K45" s="3"/>
      <c r="L45" s="178"/>
      <c r="M45" s="177"/>
      <c r="N45" s="167"/>
      <c r="O45" s="29"/>
      <c r="P45" s="297"/>
      <c r="Q45" s="318"/>
      <c r="R45" s="181"/>
      <c r="S45" s="29"/>
      <c r="T45" s="29"/>
    </row>
    <row r="46" ht="14.25" customHeight="1">
      <c r="A46" s="316"/>
      <c r="B46" s="155"/>
      <c r="C46" s="128"/>
      <c r="D46" s="128"/>
      <c r="E46" s="128"/>
      <c r="F46" s="128"/>
      <c r="G46" s="128"/>
      <c r="H46" s="128"/>
      <c r="I46" s="128"/>
      <c r="J46" s="128"/>
      <c r="K46" s="3"/>
      <c r="L46" s="129"/>
      <c r="M46" s="182"/>
      <c r="N46" s="129"/>
      <c r="O46" s="155"/>
      <c r="P46" s="297"/>
      <c r="Q46" s="318"/>
      <c r="R46" s="181"/>
      <c r="S46" s="29"/>
      <c r="T46" s="29"/>
    </row>
    <row r="47" ht="14.25" customHeight="1">
      <c r="A47" s="29"/>
      <c r="B47" s="317"/>
      <c r="C47" s="317"/>
      <c r="D47" s="317"/>
      <c r="E47" s="317"/>
      <c r="F47" s="317"/>
      <c r="G47" s="317"/>
      <c r="H47" s="317"/>
      <c r="I47" s="317"/>
      <c r="J47" s="317"/>
      <c r="K47" s="3"/>
      <c r="L47" s="129"/>
      <c r="M47" s="182"/>
      <c r="N47" s="129"/>
      <c r="O47" s="155"/>
      <c r="P47" s="297"/>
      <c r="Q47" s="318"/>
      <c r="R47" s="181"/>
      <c r="S47" s="29"/>
      <c r="T47" s="29"/>
    </row>
    <row r="48" ht="14.25" customHeight="1">
      <c r="A48" s="297"/>
      <c r="B48" s="128"/>
      <c r="C48" s="128"/>
      <c r="D48" s="128"/>
      <c r="E48" s="128"/>
      <c r="F48" s="128"/>
      <c r="G48" s="128"/>
      <c r="H48" s="128"/>
      <c r="I48" s="128"/>
      <c r="J48" s="128"/>
      <c r="K48" s="3"/>
      <c r="L48" s="178"/>
      <c r="M48" s="177"/>
      <c r="N48" s="3"/>
      <c r="O48" s="3"/>
      <c r="P48" s="297"/>
      <c r="Q48" s="318"/>
      <c r="R48" s="181"/>
      <c r="S48" s="181"/>
      <c r="T48" s="29"/>
    </row>
    <row r="49" ht="14.25" customHeight="1">
      <c r="A49" s="297"/>
      <c r="B49" s="128"/>
      <c r="C49" s="128"/>
      <c r="D49" s="128"/>
      <c r="E49" s="128"/>
      <c r="F49" s="128"/>
      <c r="G49" s="128"/>
      <c r="H49" s="128"/>
      <c r="I49" s="128"/>
      <c r="J49" s="128"/>
      <c r="K49" s="3"/>
      <c r="L49" s="129"/>
      <c r="M49" s="182"/>
      <c r="N49" s="3"/>
      <c r="O49" s="161"/>
      <c r="P49" s="297"/>
      <c r="Q49" s="318"/>
      <c r="R49" s="181"/>
      <c r="S49" s="29"/>
    </row>
    <row r="50" ht="14.25" customHeight="1">
      <c r="A50" s="297"/>
      <c r="B50" s="128"/>
      <c r="C50" s="128"/>
      <c r="D50" s="128"/>
      <c r="E50" s="128"/>
      <c r="F50" s="128"/>
      <c r="G50" s="128"/>
      <c r="H50" s="128"/>
      <c r="I50" s="128"/>
      <c r="J50" s="128"/>
      <c r="K50" s="3"/>
      <c r="L50" s="129"/>
      <c r="M50" s="182"/>
      <c r="N50" s="3"/>
      <c r="O50" s="161"/>
      <c r="P50" s="297"/>
      <c r="Q50" s="318"/>
      <c r="R50" s="181"/>
      <c r="S50" s="29"/>
    </row>
    <row r="51" ht="14.25" customHeight="1">
      <c r="A51" s="297"/>
      <c r="B51" s="128"/>
      <c r="C51" s="128"/>
      <c r="D51" s="128"/>
      <c r="E51" s="128"/>
      <c r="F51" s="128"/>
      <c r="G51" s="128"/>
      <c r="H51" s="128"/>
      <c r="I51" s="128"/>
      <c r="J51" s="128"/>
      <c r="K51" s="3"/>
      <c r="L51" s="178"/>
      <c r="M51" s="177"/>
      <c r="N51" s="3"/>
      <c r="O51" s="161"/>
      <c r="P51" s="297"/>
      <c r="Q51" s="318"/>
      <c r="R51" s="181"/>
      <c r="S51" s="29"/>
    </row>
    <row r="52" ht="14.25" customHeight="1">
      <c r="A52" s="297"/>
      <c r="B52" s="128"/>
      <c r="C52" s="128"/>
      <c r="D52" s="128"/>
      <c r="E52" s="128"/>
      <c r="F52" s="128"/>
      <c r="G52" s="128"/>
      <c r="H52" s="128"/>
      <c r="I52" s="128"/>
      <c r="J52" s="128"/>
      <c r="K52" s="3"/>
      <c r="L52" s="178"/>
      <c r="M52" s="177"/>
      <c r="N52" s="29"/>
      <c r="O52" s="161"/>
      <c r="P52" s="297"/>
      <c r="Q52" s="318"/>
      <c r="R52" s="181"/>
      <c r="S52" s="29"/>
    </row>
    <row r="53" ht="14.25" customHeight="1">
      <c r="A53" s="297"/>
      <c r="B53" s="128"/>
      <c r="C53" s="128"/>
      <c r="D53" s="128"/>
      <c r="E53" s="128"/>
      <c r="F53" s="128"/>
      <c r="G53" s="128"/>
      <c r="H53" s="128"/>
      <c r="I53" s="128"/>
      <c r="J53" s="128"/>
      <c r="K53" s="3"/>
      <c r="L53" s="178"/>
      <c r="M53" s="177"/>
      <c r="N53" s="29"/>
      <c r="O53" s="161"/>
      <c r="P53" s="297"/>
      <c r="Q53" s="318"/>
      <c r="R53" s="181"/>
      <c r="S53" s="29"/>
    </row>
    <row r="54" ht="14.25" customHeight="1">
      <c r="A54" s="297"/>
      <c r="B54" s="128"/>
      <c r="C54" s="128"/>
      <c r="D54" s="128"/>
      <c r="E54" s="128"/>
      <c r="F54" s="128"/>
      <c r="G54" s="128"/>
      <c r="H54" s="128"/>
      <c r="I54" s="128"/>
      <c r="J54" s="128"/>
      <c r="K54" s="3"/>
      <c r="L54" s="178"/>
      <c r="M54" s="177"/>
      <c r="N54" s="29"/>
      <c r="O54" s="29"/>
      <c r="P54" s="181"/>
      <c r="Q54" s="181"/>
      <c r="R54" s="181"/>
      <c r="S54" s="29"/>
    </row>
    <row r="55" ht="14.25" customHeight="1">
      <c r="A55" s="297"/>
      <c r="B55" s="128"/>
      <c r="C55" s="128"/>
      <c r="D55" s="128"/>
      <c r="E55" s="128"/>
      <c r="F55" s="128"/>
      <c r="G55" s="128"/>
      <c r="H55" s="128"/>
      <c r="I55" s="128"/>
      <c r="J55" s="128"/>
      <c r="K55" s="3"/>
      <c r="L55" s="129"/>
      <c r="M55" s="182"/>
      <c r="N55" s="29"/>
      <c r="O55" s="29"/>
      <c r="P55" s="167"/>
      <c r="Q55" s="29"/>
      <c r="R55" s="29"/>
      <c r="S55" s="29"/>
    </row>
    <row r="56" ht="14.25" customHeight="1">
      <c r="A56" s="297"/>
      <c r="B56" s="128"/>
      <c r="C56" s="128"/>
      <c r="D56" s="128"/>
      <c r="E56" s="128"/>
      <c r="F56" s="128"/>
      <c r="G56" s="128"/>
      <c r="H56" s="128"/>
      <c r="I56" s="128"/>
      <c r="J56" s="128"/>
      <c r="K56" s="3"/>
      <c r="L56" s="129"/>
      <c r="M56" s="182"/>
      <c r="N56" s="29"/>
      <c r="O56" s="29"/>
      <c r="P56" s="29"/>
      <c r="Q56" s="129"/>
      <c r="R56" s="129"/>
      <c r="S56" s="29"/>
    </row>
    <row r="57" ht="14.25" customHeight="1">
      <c r="A57" s="297"/>
      <c r="B57" s="128"/>
      <c r="C57" s="128"/>
      <c r="D57" s="128"/>
      <c r="E57" s="128"/>
      <c r="F57" s="128"/>
      <c r="G57" s="128"/>
      <c r="H57" s="128"/>
      <c r="I57" s="128"/>
      <c r="J57" s="128"/>
      <c r="K57" s="3"/>
      <c r="L57" s="178"/>
      <c r="M57" s="177"/>
      <c r="N57" s="29"/>
      <c r="O57" s="29"/>
      <c r="P57" s="29"/>
      <c r="Q57" s="129"/>
      <c r="R57" s="129"/>
      <c r="S57" s="29"/>
    </row>
    <row r="58" ht="14.25" customHeight="1">
      <c r="A58" s="29"/>
      <c r="B58" s="29"/>
      <c r="C58" s="29"/>
      <c r="D58" s="29"/>
      <c r="E58" s="29"/>
      <c r="F58" s="29"/>
      <c r="G58" s="29"/>
      <c r="H58" s="29"/>
      <c r="I58" s="143"/>
      <c r="J58" s="143"/>
      <c r="K58" s="143"/>
      <c r="L58" s="143"/>
      <c r="M58" s="143"/>
      <c r="N58" s="143"/>
      <c r="O58" s="143"/>
      <c r="P58" s="29"/>
      <c r="Q58" s="29"/>
      <c r="R58" s="29"/>
    </row>
    <row r="59" ht="14.25" customHeight="1">
      <c r="A59" s="319"/>
      <c r="B59" s="319"/>
      <c r="C59" s="319"/>
      <c r="D59" s="319"/>
      <c r="E59" s="319"/>
      <c r="F59" s="319"/>
      <c r="G59" s="319"/>
      <c r="H59" s="319"/>
      <c r="I59" s="143"/>
      <c r="J59" s="143"/>
      <c r="K59" s="143"/>
      <c r="L59" s="143"/>
      <c r="M59" s="143"/>
      <c r="N59" s="143"/>
      <c r="O59" s="143"/>
      <c r="P59" s="29"/>
      <c r="Q59" s="29"/>
      <c r="R59" s="29"/>
    </row>
    <row r="60" ht="14.25" customHeight="1">
      <c r="A60" s="29"/>
      <c r="B60" s="29"/>
      <c r="C60" s="29"/>
      <c r="D60" s="29"/>
      <c r="E60" s="29"/>
      <c r="F60" s="29"/>
      <c r="G60" s="29"/>
      <c r="H60" s="29"/>
      <c r="I60" s="143"/>
      <c r="J60" s="143"/>
      <c r="K60" s="143"/>
      <c r="L60" s="141"/>
      <c r="M60" s="320"/>
      <c r="N60" s="141"/>
      <c r="O60" s="29"/>
      <c r="P60" s="141"/>
      <c r="Q60" s="320"/>
      <c r="R60" s="181"/>
    </row>
    <row r="61" ht="14.25" customHeight="1">
      <c r="A61" s="321"/>
      <c r="B61" s="29"/>
      <c r="C61" s="29"/>
      <c r="D61" s="29"/>
      <c r="E61" s="29"/>
      <c r="F61" s="29"/>
      <c r="G61" s="29"/>
      <c r="H61" s="29"/>
      <c r="I61" s="29"/>
      <c r="J61" s="29"/>
      <c r="K61" s="143"/>
      <c r="L61" s="29"/>
      <c r="M61" s="181"/>
      <c r="N61" s="29"/>
      <c r="O61" s="29"/>
      <c r="P61" s="29"/>
      <c r="Q61" s="181"/>
      <c r="R61" s="181"/>
    </row>
    <row r="62" ht="14.25" customHeight="1">
      <c r="A62" s="29"/>
      <c r="B62" s="322"/>
      <c r="C62" s="322"/>
      <c r="D62" s="322"/>
      <c r="E62" s="322"/>
      <c r="F62" s="322"/>
      <c r="G62" s="322"/>
      <c r="H62" s="322"/>
      <c r="I62" s="322"/>
      <c r="J62" s="322"/>
      <c r="K62" s="143"/>
      <c r="L62" s="29"/>
      <c r="M62" s="181"/>
      <c r="N62" s="29"/>
      <c r="O62" s="29"/>
      <c r="P62" s="29"/>
      <c r="Q62" s="181"/>
      <c r="R62" s="181"/>
    </row>
    <row r="63" ht="14.25" customHeight="1">
      <c r="A63" s="320"/>
      <c r="B63" s="29"/>
      <c r="C63" s="29"/>
      <c r="D63" s="29"/>
      <c r="E63" s="29"/>
      <c r="F63" s="29"/>
      <c r="G63" s="29"/>
      <c r="H63" s="29"/>
      <c r="I63" s="29"/>
      <c r="J63" s="29"/>
      <c r="K63" s="143"/>
      <c r="L63" s="141"/>
      <c r="M63" s="320"/>
      <c r="N63" s="143"/>
      <c r="O63" s="143"/>
      <c r="P63" s="141"/>
      <c r="Q63" s="320"/>
      <c r="R63" s="181"/>
    </row>
    <row r="64" ht="14.25" customHeight="1">
      <c r="A64" s="320"/>
      <c r="B64" s="29"/>
      <c r="C64" s="29"/>
      <c r="D64" s="29"/>
      <c r="E64" s="29"/>
      <c r="F64" s="29"/>
      <c r="G64" s="29"/>
      <c r="H64" s="29"/>
      <c r="I64" s="29"/>
      <c r="J64" s="29"/>
      <c r="K64" s="143"/>
      <c r="L64" s="29"/>
      <c r="M64" s="181"/>
      <c r="N64" s="143"/>
      <c r="O64" s="189"/>
      <c r="P64" s="141"/>
      <c r="Q64" s="320"/>
      <c r="R64" s="181"/>
    </row>
    <row r="65" ht="14.25" customHeight="1">
      <c r="A65" s="320"/>
      <c r="B65" s="29"/>
      <c r="C65" s="29"/>
      <c r="D65" s="29"/>
      <c r="E65" s="29"/>
      <c r="F65" s="29"/>
      <c r="G65" s="29"/>
      <c r="H65" s="29"/>
      <c r="I65" s="29"/>
      <c r="J65" s="29"/>
      <c r="K65" s="143"/>
      <c r="L65" s="29"/>
      <c r="M65" s="181"/>
      <c r="N65" s="143"/>
      <c r="O65" s="189"/>
      <c r="P65" s="141"/>
      <c r="Q65" s="320"/>
      <c r="R65" s="29"/>
    </row>
    <row r="66" ht="14.25" customHeight="1">
      <c r="A66" s="320"/>
      <c r="B66" s="29"/>
      <c r="C66" s="29"/>
      <c r="D66" s="29"/>
      <c r="E66" s="29"/>
      <c r="F66" s="29"/>
      <c r="G66" s="29"/>
      <c r="H66" s="29"/>
      <c r="I66" s="29"/>
      <c r="J66" s="29"/>
      <c r="K66" s="143"/>
      <c r="L66" s="141"/>
      <c r="M66" s="320"/>
      <c r="N66" s="143"/>
      <c r="O66" s="189"/>
      <c r="P66" s="143"/>
      <c r="Q66" s="143"/>
      <c r="R66" s="29"/>
    </row>
    <row r="67" ht="14.25" customHeight="1">
      <c r="A67" s="320"/>
      <c r="B67" s="29"/>
      <c r="C67" s="29"/>
      <c r="D67" s="29"/>
      <c r="E67" s="29"/>
      <c r="F67" s="29"/>
      <c r="G67" s="29"/>
      <c r="H67" s="29"/>
      <c r="I67" s="29"/>
      <c r="J67" s="29"/>
      <c r="K67" s="143"/>
      <c r="L67" s="141"/>
      <c r="M67" s="320"/>
      <c r="N67" s="29"/>
      <c r="O67" s="189"/>
      <c r="P67" s="143"/>
      <c r="Q67" s="143"/>
      <c r="R67" s="29"/>
    </row>
    <row r="68" ht="14.25" customHeight="1">
      <c r="A68" s="320"/>
      <c r="B68" s="29"/>
      <c r="C68" s="29"/>
      <c r="D68" s="29"/>
      <c r="E68" s="29"/>
      <c r="F68" s="29"/>
      <c r="G68" s="29"/>
      <c r="H68" s="29"/>
      <c r="I68" s="29"/>
      <c r="J68" s="29"/>
      <c r="K68" s="143"/>
      <c r="L68" s="141"/>
      <c r="M68" s="320"/>
      <c r="N68" s="29"/>
      <c r="O68" s="189"/>
      <c r="P68" s="143"/>
      <c r="Q68" s="143"/>
      <c r="R68" s="29"/>
    </row>
    <row r="69" ht="14.25" customHeight="1">
      <c r="A69" s="320"/>
      <c r="B69" s="29"/>
      <c r="C69" s="29"/>
      <c r="D69" s="29"/>
      <c r="E69" s="29"/>
      <c r="F69" s="29"/>
      <c r="G69" s="29"/>
      <c r="H69" s="29"/>
      <c r="I69" s="29"/>
      <c r="J69" s="29"/>
      <c r="K69" s="143"/>
      <c r="L69" s="141"/>
      <c r="M69" s="320"/>
      <c r="N69" s="29"/>
      <c r="O69" s="29"/>
      <c r="P69" s="143"/>
      <c r="Q69" s="143"/>
      <c r="R69" s="29"/>
    </row>
    <row r="70" ht="14.25" customHeight="1">
      <c r="A70" s="320"/>
      <c r="B70" s="29"/>
      <c r="C70" s="29"/>
      <c r="D70" s="29"/>
      <c r="E70" s="29"/>
      <c r="F70" s="29"/>
      <c r="G70" s="29"/>
      <c r="H70" s="29"/>
      <c r="I70" s="29"/>
      <c r="J70" s="29"/>
      <c r="K70" s="143"/>
      <c r="L70" s="29"/>
      <c r="M70" s="181"/>
      <c r="N70" s="29"/>
      <c r="O70" s="29"/>
      <c r="P70" s="143"/>
      <c r="Q70" s="143"/>
      <c r="R70" s="29"/>
    </row>
    <row r="71" ht="14.25" customHeight="1">
      <c r="A71" s="320"/>
      <c r="B71" s="29"/>
      <c r="C71" s="29"/>
      <c r="D71" s="29"/>
      <c r="E71" s="29"/>
      <c r="F71" s="29"/>
      <c r="G71" s="29"/>
      <c r="H71" s="29"/>
      <c r="I71" s="29"/>
      <c r="J71" s="29"/>
      <c r="K71" s="143"/>
      <c r="L71" s="29"/>
      <c r="M71" s="181"/>
      <c r="N71" s="29"/>
      <c r="O71" s="29"/>
      <c r="P71" s="143"/>
      <c r="Q71" s="143"/>
      <c r="R71" s="29"/>
    </row>
    <row r="72" ht="14.25" customHeight="1">
      <c r="A72" s="320"/>
      <c r="B72" s="29"/>
      <c r="C72" s="29"/>
      <c r="D72" s="29"/>
      <c r="E72" s="29"/>
      <c r="F72" s="29"/>
      <c r="G72" s="29"/>
      <c r="H72" s="29"/>
      <c r="I72" s="29"/>
      <c r="J72" s="29"/>
      <c r="K72" s="143"/>
      <c r="L72" s="141"/>
      <c r="M72" s="320"/>
      <c r="N72" s="29"/>
      <c r="O72" s="29"/>
      <c r="P72" s="143"/>
      <c r="Q72" s="143"/>
      <c r="R72" s="29"/>
    </row>
    <row r="73" ht="14.2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143"/>
      <c r="L73" s="143"/>
      <c r="M73" s="143"/>
      <c r="N73" s="143"/>
      <c r="O73" s="143"/>
      <c r="P73" s="143"/>
      <c r="Q73" s="143"/>
      <c r="R73" s="29"/>
    </row>
    <row r="74" ht="14.25" customHeight="1">
      <c r="A74" s="319"/>
      <c r="B74" s="319"/>
      <c r="C74" s="319"/>
      <c r="D74" s="319"/>
      <c r="E74" s="319"/>
      <c r="F74" s="319"/>
      <c r="G74" s="319"/>
      <c r="H74" s="319"/>
      <c r="I74" s="143"/>
      <c r="J74" s="143"/>
      <c r="K74" s="143"/>
      <c r="L74" s="143"/>
      <c r="M74" s="143"/>
      <c r="N74" s="143"/>
      <c r="O74" s="143"/>
      <c r="P74" s="143"/>
      <c r="Q74" s="143"/>
      <c r="R74" s="29"/>
    </row>
    <row r="75" ht="14.25" customHeight="1">
      <c r="A75" s="29"/>
      <c r="B75" s="29"/>
      <c r="C75" s="29"/>
      <c r="D75" s="29"/>
      <c r="E75" s="29"/>
      <c r="F75" s="29"/>
      <c r="G75" s="29"/>
      <c r="H75" s="29"/>
      <c r="I75" s="143"/>
      <c r="J75" s="143"/>
      <c r="K75" s="143"/>
      <c r="L75" s="141"/>
      <c r="M75" s="320"/>
      <c r="N75" s="141"/>
      <c r="O75" s="29"/>
      <c r="P75" s="143"/>
      <c r="Q75" s="143"/>
      <c r="R75" s="29"/>
    </row>
    <row r="76" ht="14.25" customHeight="1">
      <c r="A76" s="321"/>
      <c r="B76" s="29"/>
      <c r="C76" s="29"/>
      <c r="D76" s="29"/>
      <c r="E76" s="29"/>
      <c r="F76" s="29"/>
      <c r="G76" s="29"/>
      <c r="H76" s="29"/>
      <c r="I76" s="29"/>
      <c r="J76" s="29"/>
      <c r="K76" s="143"/>
      <c r="L76" s="29"/>
      <c r="M76" s="181"/>
      <c r="N76" s="29"/>
      <c r="O76" s="29"/>
      <c r="P76" s="143"/>
      <c r="Q76" s="143"/>
      <c r="R76" s="29"/>
    </row>
    <row r="77" ht="14.25" customHeight="1">
      <c r="A77" s="29"/>
      <c r="B77" s="322"/>
      <c r="C77" s="322"/>
      <c r="D77" s="322"/>
      <c r="E77" s="322"/>
      <c r="F77" s="322"/>
      <c r="G77" s="322"/>
      <c r="H77" s="322"/>
      <c r="I77" s="322"/>
      <c r="J77" s="322"/>
      <c r="K77" s="143"/>
      <c r="L77" s="29"/>
      <c r="M77" s="181"/>
      <c r="N77" s="29"/>
      <c r="O77" s="29"/>
      <c r="P77" s="143"/>
      <c r="Q77" s="143"/>
      <c r="R77" s="29"/>
    </row>
    <row r="78" ht="14.25" customHeight="1">
      <c r="A78" s="320"/>
      <c r="B78" s="29"/>
      <c r="C78" s="29"/>
      <c r="D78" s="29"/>
      <c r="E78" s="29"/>
      <c r="F78" s="29"/>
      <c r="G78" s="29"/>
      <c r="H78" s="29"/>
      <c r="I78" s="29"/>
      <c r="J78" s="29"/>
      <c r="K78" s="143"/>
      <c r="L78" s="141"/>
      <c r="M78" s="320"/>
      <c r="N78" s="143"/>
      <c r="O78" s="143"/>
      <c r="P78" s="143"/>
      <c r="Q78" s="143"/>
      <c r="R78" s="29"/>
    </row>
    <row r="79" ht="14.25" customHeight="1">
      <c r="A79" s="320"/>
      <c r="B79" s="29"/>
      <c r="C79" s="29"/>
      <c r="D79" s="29"/>
      <c r="E79" s="29"/>
      <c r="F79" s="29"/>
      <c r="G79" s="29"/>
      <c r="H79" s="29"/>
      <c r="I79" s="29"/>
      <c r="J79" s="29"/>
      <c r="K79" s="143"/>
      <c r="L79" s="29"/>
      <c r="M79" s="181"/>
      <c r="N79" s="143"/>
      <c r="O79" s="189"/>
      <c r="P79" s="143"/>
      <c r="Q79" s="143"/>
      <c r="R79" s="29"/>
    </row>
    <row r="80" ht="14.25" customHeight="1">
      <c r="A80" s="320"/>
      <c r="B80" s="29"/>
      <c r="C80" s="29"/>
      <c r="D80" s="29"/>
      <c r="E80" s="29"/>
      <c r="F80" s="29"/>
      <c r="G80" s="29"/>
      <c r="H80" s="29"/>
      <c r="I80" s="29"/>
      <c r="J80" s="29"/>
      <c r="K80" s="143"/>
      <c r="L80" s="29"/>
      <c r="M80" s="181"/>
      <c r="N80" s="143"/>
      <c r="O80" s="189"/>
      <c r="P80" s="143"/>
      <c r="Q80" s="143"/>
      <c r="R80" s="29"/>
    </row>
    <row r="81" ht="14.2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141"/>
      <c r="M81" s="320"/>
      <c r="N81" s="143"/>
      <c r="O81" s="189"/>
      <c r="P81" s="29"/>
      <c r="Q81" s="29"/>
      <c r="R81" s="29"/>
    </row>
    <row r="82" ht="14.2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141"/>
      <c r="M82" s="320"/>
      <c r="N82" s="29"/>
      <c r="O82" s="189"/>
      <c r="P82" s="29"/>
      <c r="Q82" s="29"/>
      <c r="R82" s="29"/>
    </row>
    <row r="83" ht="14.2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141"/>
      <c r="M83" s="320"/>
      <c r="N83" s="29"/>
      <c r="O83" s="189"/>
      <c r="P83" s="29"/>
      <c r="Q83" s="29"/>
      <c r="R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141"/>
      <c r="M84" s="320"/>
      <c r="N84" s="29"/>
      <c r="O84" s="29"/>
      <c r="P84" s="29"/>
      <c r="Q84" s="29"/>
      <c r="R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181"/>
      <c r="N85" s="29"/>
      <c r="O85" s="29"/>
      <c r="P85" s="29"/>
      <c r="Q85" s="29"/>
      <c r="R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181"/>
      <c r="N86" s="29"/>
      <c r="O86" s="29"/>
      <c r="P86" s="29"/>
      <c r="Q86" s="29"/>
      <c r="R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141"/>
      <c r="M87" s="320"/>
      <c r="N87" s="29"/>
      <c r="O87" s="29"/>
      <c r="P87" s="29"/>
      <c r="Q87" s="29"/>
      <c r="R87" s="29"/>
    </row>
    <row r="88" ht="15.0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E1"/>
    <mergeCell ref="A3:A4"/>
    <mergeCell ref="J3:K3"/>
    <mergeCell ref="B12:C12"/>
    <mergeCell ref="D12:E12"/>
    <mergeCell ref="H12:I12"/>
  </mergeCells>
  <printOptions/>
  <pageMargins bottom="0.75" footer="0.0" header="0.0" left="0.7" right="0.7" top="0.75"/>
  <pageSetup paperSize="9" orientation="landscape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23.43"/>
    <col customWidth="1" min="2" max="6" width="9.14"/>
    <col customWidth="1" min="7" max="7" width="9.0"/>
    <col customWidth="1" min="8" max="10" width="9.14"/>
    <col customWidth="1" min="11" max="11" width="10.57"/>
    <col customWidth="1" min="12" max="18" width="9.14"/>
  </cols>
  <sheetData>
    <row r="1" ht="14.25" customHeight="1">
      <c r="A1" s="136" t="s">
        <v>231</v>
      </c>
      <c r="F1" s="137"/>
      <c r="G1" s="3"/>
      <c r="I1" s="29"/>
      <c r="J1" s="3"/>
      <c r="K1" s="3"/>
      <c r="L1" s="3"/>
    </row>
    <row r="2" ht="14.25" customHeight="1">
      <c r="A2" s="29" t="s">
        <v>161</v>
      </c>
      <c r="G2" s="3"/>
      <c r="J2" s="3"/>
      <c r="K2" s="3"/>
      <c r="L2" s="3"/>
    </row>
    <row r="3" ht="14.25" customHeight="1">
      <c r="A3" s="196" t="s">
        <v>232</v>
      </c>
      <c r="D3" s="197" t="s">
        <v>116</v>
      </c>
      <c r="E3" s="206"/>
      <c r="H3" s="197" t="s">
        <v>116</v>
      </c>
      <c r="I3" s="206"/>
      <c r="J3" s="197"/>
      <c r="K3" s="206"/>
      <c r="L3" s="3"/>
    </row>
    <row r="4" ht="31.5" customHeight="1">
      <c r="A4" s="21"/>
      <c r="D4" s="210" t="s">
        <v>168</v>
      </c>
      <c r="E4" s="211"/>
      <c r="H4" s="213" t="s">
        <v>169</v>
      </c>
      <c r="I4" s="211"/>
      <c r="J4" s="213"/>
      <c r="K4" s="211"/>
    </row>
    <row r="5" ht="14.25" customHeight="1">
      <c r="A5" s="323">
        <v>9000.0</v>
      </c>
      <c r="D5" s="215">
        <v>1.0</v>
      </c>
      <c r="E5" s="216"/>
      <c r="H5" s="218">
        <v>2.0</v>
      </c>
      <c r="I5" s="216"/>
      <c r="J5" s="220"/>
      <c r="K5" s="221"/>
    </row>
    <row r="6" ht="14.25" customHeight="1">
      <c r="A6" s="214">
        <v>10000.0</v>
      </c>
      <c r="D6" s="222">
        <v>1.0</v>
      </c>
      <c r="E6" s="224"/>
      <c r="H6" s="222">
        <v>2.0</v>
      </c>
      <c r="I6" s="224"/>
      <c r="J6" s="226"/>
      <c r="K6" s="228"/>
    </row>
    <row r="7" ht="14.25" customHeight="1">
      <c r="A7" s="214">
        <v>11000.0</v>
      </c>
      <c r="D7" s="222">
        <v>1.0</v>
      </c>
      <c r="E7" s="224"/>
      <c r="H7" s="232">
        <v>2.0</v>
      </c>
      <c r="I7" s="224"/>
      <c r="J7" s="226"/>
      <c r="K7" s="228"/>
    </row>
    <row r="8" ht="14.25" customHeight="1">
      <c r="A8" s="234">
        <v>11500.0</v>
      </c>
      <c r="D8" s="222">
        <v>1.0</v>
      </c>
      <c r="E8" s="224"/>
      <c r="H8" s="222">
        <v>2.0</v>
      </c>
      <c r="I8" s="224"/>
      <c r="J8" s="226"/>
      <c r="K8" s="228"/>
    </row>
    <row r="9" ht="14.25" customHeight="1">
      <c r="A9" s="234">
        <v>12000.0</v>
      </c>
      <c r="D9" s="222">
        <v>1.0</v>
      </c>
      <c r="E9" s="224"/>
      <c r="H9" s="232">
        <v>2.0</v>
      </c>
      <c r="I9" s="224"/>
      <c r="J9" s="226"/>
      <c r="K9" s="228"/>
    </row>
    <row r="10" ht="14.25" customHeight="1">
      <c r="A10" s="237">
        <v>12500.0</v>
      </c>
      <c r="D10" s="238">
        <v>1.0</v>
      </c>
      <c r="E10" s="240"/>
      <c r="H10" s="243">
        <v>2.0</v>
      </c>
      <c r="I10" s="240"/>
      <c r="J10" s="244"/>
      <c r="K10" s="245"/>
    </row>
    <row r="11" ht="14.25" customHeight="1">
      <c r="A11" s="159"/>
      <c r="D11" s="161"/>
      <c r="H11" s="29"/>
      <c r="I11" s="181"/>
      <c r="J11" s="29"/>
      <c r="K11" s="181"/>
    </row>
    <row r="12" ht="14.25" customHeight="1">
      <c r="A12" s="167"/>
      <c r="D12" s="167" t="s">
        <v>176</v>
      </c>
      <c r="H12" s="167" t="s">
        <v>169</v>
      </c>
      <c r="J12" s="167"/>
      <c r="K12" s="167"/>
    </row>
    <row r="13" ht="14.25" customHeight="1">
      <c r="D13" s="129" t="s">
        <v>131</v>
      </c>
      <c r="E13" s="155">
        <f>MATCH(MAX($A5:$A10),$A5:$A10,0)</f>
        <v>6</v>
      </c>
      <c r="I13" s="155">
        <f>MATCH(MAX($A5:$A10),$A5:$A10,0)</f>
        <v>6</v>
      </c>
      <c r="J13" s="155"/>
      <c r="K13" s="155"/>
    </row>
    <row r="14" ht="14.25" customHeight="1">
      <c r="D14" s="129" t="s">
        <v>132</v>
      </c>
      <c r="E14" s="155">
        <f>MATCH(MAX(D5),D5,0)</f>
        <v>1</v>
      </c>
      <c r="I14" s="155">
        <f>MATCH(MAX(H5),H5,0)</f>
        <v>1</v>
      </c>
      <c r="J14" s="155"/>
      <c r="K14" s="155"/>
    </row>
    <row r="15" ht="14.25" customHeight="1">
      <c r="A15" s="3"/>
      <c r="D15" s="3"/>
      <c r="E15" s="3"/>
      <c r="H15" s="29"/>
      <c r="I15" s="29"/>
      <c r="J15" s="29"/>
      <c r="K15" s="29"/>
    </row>
    <row r="16" ht="14.25" customHeight="1">
      <c r="D16" s="172" t="s">
        <v>134</v>
      </c>
      <c r="E16" s="44" t="str">
        <f>D4</f>
        <v>V1/R</v>
      </c>
      <c r="H16" s="29"/>
      <c r="I16" s="44" t="str">
        <f>H4</f>
        <v>V2</v>
      </c>
      <c r="J16" s="44"/>
      <c r="K16" s="44"/>
    </row>
    <row r="17" ht="14.25" customHeight="1">
      <c r="D17" s="176" t="s">
        <v>136</v>
      </c>
      <c r="E17" s="177">
        <f>'Take-off'!$C$14</f>
        <v>12500</v>
      </c>
      <c r="H17" s="29"/>
      <c r="I17" s="177">
        <f>'Take-off'!$C$14</f>
        <v>12500</v>
      </c>
      <c r="J17" s="177"/>
      <c r="K17" s="177"/>
    </row>
    <row r="18" ht="14.25" customHeight="1">
      <c r="D18" s="129" t="s">
        <v>139</v>
      </c>
      <c r="E18" s="182">
        <f t="array" ref="E18">INDEX($A5:$A10,MATCH(E17,$A5:$A10,1))</f>
        <v>12500</v>
      </c>
      <c r="H18" s="29"/>
      <c r="I18" s="182">
        <f t="array" ref="I18">INDEX($A5:$A10,MATCH(I17,$A5:$A10,1))</f>
        <v>12500</v>
      </c>
      <c r="J18" s="182"/>
      <c r="K18" s="182"/>
    </row>
    <row r="19" ht="14.25" customHeight="1">
      <c r="D19" s="129" t="s">
        <v>145</v>
      </c>
      <c r="E19" s="182">
        <f t="array" ref="E19">INDEX($A5:$A10,IF(MATCH(E17,$A5:$A10,1)&lt;E13,MATCH(E17,$A5:$A10,1)+1,MATCH(E17,$A5:$A10,1)))</f>
        <v>12500</v>
      </c>
      <c r="H19" s="29"/>
      <c r="I19" s="182">
        <f t="array" ref="I19">INDEX($A5:$A10,IF(MATCH(I17,$A5:$A10,1)&lt;I13,MATCH(I17,$A5:$A10,1)+1,MATCH(I17,$A5:$A10,1)))</f>
        <v>12500</v>
      </c>
      <c r="J19" s="182"/>
      <c r="K19" s="182"/>
    </row>
    <row r="20" ht="14.25" customHeight="1">
      <c r="D20" s="178" t="s">
        <v>165</v>
      </c>
      <c r="E20" s="177">
        <f t="array" ref="E20">INDEX(D5:D10,MATCH(E17,$A5:$A10,1),MATCH(E16,D4,1))</f>
        <v>1</v>
      </c>
      <c r="H20" s="29"/>
      <c r="I20" s="177">
        <f t="array" ref="I20">INDEX(H5:H10,MATCH(I17,$A5:$A10,1),MATCH(I16,H4,1))</f>
        <v>2</v>
      </c>
      <c r="J20" s="274"/>
      <c r="K20" s="274"/>
    </row>
    <row r="21" ht="14.25" customHeight="1">
      <c r="D21" s="178" t="s">
        <v>177</v>
      </c>
      <c r="E21" s="177">
        <f t="array" ref="E21">INDEX(D5:D10,IF(MATCH(E17,$A5:$A10,1)&lt;E13,MATCH(E17,$A5:$A10,1)+1,MATCH(E17,$A5:$A10,1)),MATCH(E16,D4,1))</f>
        <v>1</v>
      </c>
      <c r="H21" s="29"/>
      <c r="I21" s="177">
        <f t="array" ref="I21">INDEX(H5:H10,IF(MATCH(I17,$A5:$A10,1)&lt;I13,MATCH(I17,$A5:$A10,1)+1,MATCH(I17,$A5:$A10,1)),MATCH(I16,H4,1))</f>
        <v>2</v>
      </c>
      <c r="J21" s="274"/>
      <c r="K21" s="274"/>
    </row>
    <row r="22" ht="14.25" customHeight="1">
      <c r="D22" s="178" t="s">
        <v>190</v>
      </c>
      <c r="E22" s="177">
        <f>IFERROR(E20+(E17-E18)*(E21-E20)/(E19-E18),E20)</f>
        <v>1</v>
      </c>
      <c r="H22" s="29"/>
      <c r="I22" s="177">
        <f>IFERROR(I20+(I17-I18)*(I21-I20)/(I19-I18),I20)</f>
        <v>2</v>
      </c>
      <c r="J22" s="274"/>
      <c r="K22" s="274"/>
    </row>
    <row r="23" ht="14.25" customHeight="1">
      <c r="A23" s="29" t="s">
        <v>242</v>
      </c>
      <c r="C23" s="181"/>
      <c r="I23" s="129"/>
      <c r="J23" s="274"/>
      <c r="K23" s="274"/>
    </row>
    <row r="24" ht="14.25" customHeight="1">
      <c r="A24" s="29"/>
      <c r="L24" s="136"/>
    </row>
    <row r="25" ht="14.25" customHeight="1">
      <c r="A25" s="292" t="s">
        <v>202</v>
      </c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4"/>
    </row>
    <row r="26" ht="14.25" customHeight="1">
      <c r="A26" s="29"/>
      <c r="B26" s="29"/>
      <c r="C26" s="29"/>
      <c r="D26" s="29"/>
      <c r="E26" s="29"/>
      <c r="F26" s="29"/>
      <c r="G26" s="29"/>
      <c r="L26" s="29"/>
    </row>
    <row r="27" ht="28.5" customHeight="1">
      <c r="A27" s="29"/>
      <c r="B27" s="3" t="s">
        <v>207</v>
      </c>
      <c r="C27" s="29" t="s">
        <v>43</v>
      </c>
      <c r="D27" s="138" t="s">
        <v>209</v>
      </c>
      <c r="E27" s="138" t="s">
        <v>210</v>
      </c>
      <c r="F27" s="3" t="s">
        <v>211</v>
      </c>
      <c r="G27" s="29" t="s">
        <v>212</v>
      </c>
      <c r="I27" s="138" t="s">
        <v>213</v>
      </c>
      <c r="J27" s="138" t="s">
        <v>121</v>
      </c>
      <c r="K27" s="138" t="s">
        <v>214</v>
      </c>
      <c r="L27" s="138" t="s">
        <v>215</v>
      </c>
      <c r="M27" s="138" t="s">
        <v>209</v>
      </c>
      <c r="N27" s="138" t="s">
        <v>210</v>
      </c>
      <c r="O27" s="138" t="s">
        <v>216</v>
      </c>
      <c r="P27" s="138" t="s">
        <v>217</v>
      </c>
      <c r="Q27" s="138" t="s">
        <v>218</v>
      </c>
    </row>
    <row r="28" ht="14.25" customHeight="1">
      <c r="A28" s="285" t="s">
        <v>224</v>
      </c>
      <c r="B28" s="275" t="str">
        <f>'LTL_Takeoff distance (2)'!AC93/3.28</f>
        <v>#N/A</v>
      </c>
      <c r="C28" s="313" t="str">
        <f>IF('Take-off'!#REF!='Dropdown lists'!$B$48, 500/3.28, 0)</f>
        <v>#ERROR!</v>
      </c>
      <c r="D28" s="29" t="s">
        <v>34</v>
      </c>
      <c r="E28" s="29" t="s">
        <v>34</v>
      </c>
      <c r="F28" s="275">
        <f>IF('Take-off'!$C$17&gt;0, ((+'Take-off'!$C$17*5)%*SUM(B28:E28)),0 )</f>
        <v>0</v>
      </c>
      <c r="G28" s="275" t="str">
        <f>SUM(B28:F28)*115%</f>
        <v>#N/A</v>
      </c>
      <c r="I28" s="301">
        <f>VLOOKUP('Take-off'!$C$11, 'Dropdown lists'!$B$34:$D$40, 3, FALSE)</f>
        <v>0</v>
      </c>
      <c r="J28" s="23">
        <f>'Take-off'!$C$12</f>
        <v>0</v>
      </c>
      <c r="K28" s="181" t="str">
        <f t="shared" ref="K28:K31" si="1">SUM(B28:F28)</f>
        <v>#N/A</v>
      </c>
      <c r="L28" s="181" t="str">
        <f t="shared" ref="L28:L31" si="2">K28*(I28*J28)</f>
        <v>#N/A</v>
      </c>
      <c r="M28" s="23">
        <f>IF('Take-off'!$C$10&lt;5, 30%*K28, 0)</f>
        <v>0</v>
      </c>
      <c r="N28" s="23">
        <f>IF('Take-off'!$C$10&lt;3, 20%*K28, 0)</f>
        <v>0</v>
      </c>
      <c r="O28" s="181" t="str">
        <f>15%*SUM(K28:N28)</f>
        <v>#N/A</v>
      </c>
      <c r="P28" s="181"/>
      <c r="Q28" s="181" t="str">
        <f t="shared" ref="Q28:Q29" si="3">SUM(K28:O28)</f>
        <v>#N/A</v>
      </c>
    </row>
    <row r="29" ht="14.25" customHeight="1">
      <c r="A29" s="285" t="s">
        <v>248</v>
      </c>
      <c r="B29" s="313" t="str">
        <f>'LTL_Accelerate and stop2'!AC74/3.28</f>
        <v>#N/A</v>
      </c>
      <c r="C29" s="313" t="str">
        <f>IF('Take-off'!#REF!='Dropdown lists'!$B$48, 500/3.28, 0)</f>
        <v>#ERROR!</v>
      </c>
      <c r="D29" s="29" t="s">
        <v>34</v>
      </c>
      <c r="E29" s="29" t="s">
        <v>34</v>
      </c>
      <c r="F29" s="275">
        <f>IF('Take-off'!$C$17&gt;0, ((+'Take-off'!$C$17*5)%*SUM(B29:E29)),0 )</f>
        <v>0</v>
      </c>
      <c r="G29" s="275" t="str">
        <f t="shared" ref="G29:G31" si="4">SUM(B29:F29)</f>
        <v>#N/A</v>
      </c>
      <c r="I29" s="301">
        <f>VLOOKUP('Take-off'!$C$11, 'Dropdown lists'!$B$34:$D$40, 3, FALSE)</f>
        <v>0</v>
      </c>
      <c r="J29" s="23">
        <f>'Take-off'!$C$12</f>
        <v>0</v>
      </c>
      <c r="K29" s="181" t="str">
        <f t="shared" si="1"/>
        <v>#N/A</v>
      </c>
      <c r="L29" s="181" t="str">
        <f t="shared" si="2"/>
        <v>#N/A</v>
      </c>
      <c r="M29" s="23">
        <f>IF('Take-off'!$C$10&lt;5, 30%*K29, 0)</f>
        <v>0</v>
      </c>
      <c r="N29" s="23">
        <f>IF('Take-off'!$C$10&lt;3, 20%*K29, 0)</f>
        <v>0</v>
      </c>
      <c r="O29" s="23">
        <v>0.0</v>
      </c>
      <c r="Q29" s="181" t="str">
        <f t="shared" si="3"/>
        <v>#N/A</v>
      </c>
    </row>
    <row r="30" ht="14.25" customHeight="1">
      <c r="A30" s="285" t="s">
        <v>225</v>
      </c>
      <c r="B30" s="181" t="str">
        <f>'LTL_Accelerate and GO (2)'!AD74/3.28</f>
        <v>#N/A</v>
      </c>
      <c r="C30" s="313" t="str">
        <f>IF('Take-off'!#REF!='Dropdown lists'!$B$48, 500/3.28, 0)</f>
        <v>#ERROR!</v>
      </c>
      <c r="D30" s="29" t="s">
        <v>34</v>
      </c>
      <c r="E30" s="29" t="s">
        <v>34</v>
      </c>
      <c r="F30" s="275">
        <f>IF('Take-off'!$C$17&gt;0, ((+'Take-off'!$C$17*5)%*SUM(B30:E30)),0 )</f>
        <v>0</v>
      </c>
      <c r="G30" s="275" t="str">
        <f t="shared" si="4"/>
        <v>#N/A</v>
      </c>
      <c r="I30" s="301">
        <f>VLOOKUP('Take-off'!$C$11, 'Dropdown lists'!$B$34:$D$40, 3, FALSE)</f>
        <v>0</v>
      </c>
      <c r="J30" s="23">
        <f>'Take-off'!$C$12</f>
        <v>0</v>
      </c>
      <c r="K30" s="181" t="str">
        <f t="shared" si="1"/>
        <v>#N/A</v>
      </c>
      <c r="L30" s="181" t="str">
        <f t="shared" si="2"/>
        <v>#N/A</v>
      </c>
      <c r="M30" s="23">
        <f>IF('Take-off'!$C$10&lt;5, 30%*K30, 0)</f>
        <v>0</v>
      </c>
      <c r="N30" s="23">
        <f>IF('Take-off'!$C$10&lt;3, 20%*K30, 0)</f>
        <v>0</v>
      </c>
      <c r="O30" s="23">
        <v>0.0</v>
      </c>
      <c r="Q30" s="181" t="str">
        <f>G30</f>
        <v>#N/A</v>
      </c>
    </row>
    <row r="31" ht="14.25" customHeight="1">
      <c r="A31" s="285" t="s">
        <v>226</v>
      </c>
      <c r="B31" s="181" t="str">
        <f>B30</f>
        <v>#N/A</v>
      </c>
      <c r="C31" s="313" t="str">
        <f>IF('Take-off'!#REF!='Dropdown lists'!$B$48, 500/3.28, 0)</f>
        <v>#ERROR!</v>
      </c>
      <c r="D31" s="29" t="s">
        <v>34</v>
      </c>
      <c r="E31" s="29" t="s">
        <v>34</v>
      </c>
      <c r="F31" s="275">
        <f>IF('Take-off'!$C$17&gt;0, ((+'Take-off'!$C$17*5)%*SUM(B31:E31)),0 )</f>
        <v>0</v>
      </c>
      <c r="G31" s="275" t="str">
        <f t="shared" si="4"/>
        <v>#N/A</v>
      </c>
      <c r="H31" s="29" t="s">
        <v>227</v>
      </c>
      <c r="I31" s="301">
        <f>VLOOKUP('Take-off'!$C$11, 'Dropdown lists'!$B$34:$D$40, 3, FALSE)</f>
        <v>0</v>
      </c>
      <c r="J31" s="23">
        <f>'Take-off'!$C$12</f>
        <v>0</v>
      </c>
      <c r="K31" s="181" t="str">
        <f t="shared" si="1"/>
        <v>#N/A</v>
      </c>
      <c r="L31" s="181" t="str">
        <f t="shared" si="2"/>
        <v>#N/A</v>
      </c>
      <c r="M31" s="23">
        <f>IF('Take-off'!$C$10&lt;5, 30%*K31, 0)</f>
        <v>0</v>
      </c>
      <c r="N31" s="23">
        <f>IF('Take-off'!$C$10&lt;3, 20%*K31, 0)</f>
        <v>0</v>
      </c>
      <c r="O31" s="23">
        <v>0.0</v>
      </c>
      <c r="P31" s="23" t="str">
        <f>-20/('Take-off'!E42/100)/3.28</f>
        <v>#DIV/0!</v>
      </c>
      <c r="Q31" s="181" t="str">
        <f>SUM(K31:P31)</f>
        <v>#N/A</v>
      </c>
    </row>
    <row r="32" ht="14.25" customHeight="1">
      <c r="I32" s="181"/>
      <c r="J32" s="29"/>
    </row>
    <row r="33" ht="14.25" customHeight="1">
      <c r="A33" s="285"/>
      <c r="B33" s="267" t="s">
        <v>195</v>
      </c>
      <c r="C33" s="267" t="s">
        <v>196</v>
      </c>
      <c r="D33" s="267" t="s">
        <v>197</v>
      </c>
      <c r="E33" s="29"/>
      <c r="F33" s="285"/>
      <c r="G33" s="29"/>
      <c r="H33" s="29"/>
      <c r="I33" s="29"/>
      <c r="M33" s="3"/>
      <c r="N33" s="29"/>
      <c r="O33" s="29"/>
      <c r="P33" s="29"/>
      <c r="Q33" s="29"/>
      <c r="R33" s="29"/>
    </row>
    <row r="34" ht="14.25" customHeight="1">
      <c r="A34" s="285"/>
      <c r="B34" s="269">
        <f>IF(ABS('Take-off'!C18-'Take-off'!C6)&gt;270,360-ABS('Take-off'!C18-'Take-off'!C6),'Take-off'!C18-'Take-off'!C6)</f>
        <v>75</v>
      </c>
      <c r="C34" s="273">
        <f>IF(ABS(B34)&gt;90,ABS(COS(B34*PI()/180))*(-1),ABS(COS(B34*PI()/180)))</f>
        <v>0.2588190451</v>
      </c>
      <c r="D34" s="269">
        <f>IF( ISBLANK('Take-off'!C6), 'Take-off'!C7*-1,    'Take-off'!C7*C34)</f>
        <v>0</v>
      </c>
      <c r="E34" s="29"/>
      <c r="F34" s="29"/>
      <c r="G34" s="314"/>
      <c r="H34" s="181"/>
      <c r="M34" s="3"/>
      <c r="N34" s="29"/>
      <c r="O34" s="29"/>
      <c r="P34" s="29"/>
      <c r="Q34" s="29"/>
      <c r="R34" s="29"/>
    </row>
    <row r="35" ht="14.25" customHeight="1">
      <c r="A35" s="285"/>
      <c r="B35" s="172"/>
      <c r="C35" s="3"/>
      <c r="D35" s="3"/>
      <c r="E35" s="29"/>
      <c r="F35" s="29"/>
      <c r="G35" s="314"/>
      <c r="H35" s="181"/>
      <c r="M35" s="3"/>
      <c r="N35" s="29"/>
      <c r="O35" s="29"/>
      <c r="P35" s="29"/>
      <c r="Q35" s="29"/>
      <c r="R35" s="29"/>
    </row>
    <row r="36" ht="14.25" customHeight="1">
      <c r="A36" s="285"/>
      <c r="C36" s="161"/>
      <c r="D36" s="161"/>
      <c r="E36" s="29"/>
      <c r="F36" s="29"/>
      <c r="M36" s="3"/>
      <c r="N36" s="29"/>
      <c r="R36" s="314"/>
    </row>
    <row r="37" ht="14.25" customHeight="1">
      <c r="A37" s="285"/>
      <c r="B37" s="172"/>
      <c r="C37" s="284"/>
      <c r="D37" s="172"/>
      <c r="E37" s="29"/>
      <c r="F37" s="29"/>
      <c r="M37" s="3"/>
      <c r="R37" s="3"/>
    </row>
    <row r="38" ht="14.25" customHeight="1">
      <c r="A38" s="285"/>
      <c r="B38" s="172"/>
      <c r="C38" s="172"/>
      <c r="D38" s="172"/>
      <c r="E38" s="29"/>
      <c r="F38" s="29"/>
      <c r="M38" s="3"/>
      <c r="P38" s="129"/>
      <c r="R38" s="3"/>
    </row>
    <row r="39" ht="14.25" customHeight="1">
      <c r="A39" s="285"/>
      <c r="B39" s="172" t="s">
        <v>200</v>
      </c>
      <c r="C39" s="284">
        <f>IF(ABS(B34)&gt;90,ABS(SIN(B34*PI()/180))*(-1),ABS(SIN(B34*PI()/180)))</f>
        <v>0.9659258263</v>
      </c>
      <c r="D39" s="172"/>
      <c r="E39" s="29"/>
      <c r="F39" s="29"/>
      <c r="M39" s="3"/>
      <c r="P39" s="129"/>
      <c r="Q39" s="315"/>
      <c r="R39" s="3"/>
    </row>
    <row r="40" ht="14.25" customHeight="1">
      <c r="A40" s="292" t="s">
        <v>251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4"/>
      <c r="M40" s="294"/>
      <c r="N40" s="294"/>
      <c r="O40" s="294"/>
      <c r="P40" s="294"/>
      <c r="Q40" s="294"/>
      <c r="R40" s="294"/>
    </row>
    <row r="41" ht="14.25" customHeight="1">
      <c r="K41" s="3"/>
      <c r="L41" s="3"/>
      <c r="M41" s="178"/>
      <c r="N41" s="177"/>
      <c r="P41" s="3"/>
      <c r="Q41" s="3"/>
      <c r="R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A4"/>
    <mergeCell ref="D3:E3"/>
    <mergeCell ref="H3:I3"/>
    <mergeCell ref="J3:K3"/>
    <mergeCell ref="D12:E12"/>
    <mergeCell ref="H12:I12"/>
  </mergeCells>
  <printOptions/>
  <pageMargins bottom="0.75" footer="0.0" header="0.0" left="0.7" right="0.7" top="0.75"/>
  <pageSetup paperSize="9" orientation="landscape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 outlineLevelRow="1"/>
  <cols>
    <col customWidth="1" min="1" max="33" width="9.14"/>
  </cols>
  <sheetData>
    <row r="1" ht="14.25" customHeight="1">
      <c r="A1" s="136"/>
      <c r="B1" s="129" t="s">
        <v>233</v>
      </c>
      <c r="C1" s="178" t="s">
        <v>134</v>
      </c>
      <c r="D1" s="324">
        <f>IF(Landing!$C$9="",Landing!$C$15,MAX(0,Landing!$C$15+30*(1013-Landing!$C$9)))</f>
        <v>0</v>
      </c>
      <c r="E1" s="325"/>
      <c r="F1" s="325" t="s">
        <v>234</v>
      </c>
      <c r="G1" s="136">
        <f>IF('Take-off'!$C$9="",'Take-off'!$C$16,MAX(0,'Take-off'!$C$16+30*(1013-'Take-off'!$C$9)))</f>
        <v>0</v>
      </c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</row>
    <row r="2" ht="14.25" customHeight="1">
      <c r="A2" s="136"/>
      <c r="B2" s="129" t="s">
        <v>235</v>
      </c>
      <c r="C2" s="176" t="s">
        <v>136</v>
      </c>
      <c r="D2" s="324">
        <f>Landing!C8</f>
        <v>-2</v>
      </c>
      <c r="E2" s="326"/>
      <c r="F2" s="136"/>
      <c r="G2" s="136">
        <f>MAX(  IF('Take-off'!C13='Dropdown lists'!B30, 'Take-off'!$C$8+5, 'Take-off'!$C$8),0)</f>
        <v>0</v>
      </c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</row>
    <row r="3" ht="14.25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</row>
    <row r="4" ht="14.25" customHeight="1">
      <c r="H4" s="136"/>
      <c r="P4" s="136"/>
    </row>
    <row r="5" ht="14.25" customHeight="1">
      <c r="H5" s="136"/>
      <c r="I5" s="327" t="s">
        <v>112</v>
      </c>
      <c r="P5" s="327"/>
    </row>
    <row r="6" ht="14.25" customHeight="1">
      <c r="A6" s="3"/>
      <c r="B6" s="3"/>
      <c r="C6" s="172" t="s">
        <v>236</v>
      </c>
      <c r="D6" s="44"/>
      <c r="E6" s="3"/>
      <c r="F6" s="3"/>
      <c r="G6" s="3"/>
      <c r="H6" s="3"/>
      <c r="I6" s="3"/>
      <c r="J6" s="3"/>
      <c r="K6" s="172"/>
      <c r="L6" s="44"/>
      <c r="M6" s="3"/>
      <c r="N6" s="3"/>
      <c r="O6" s="3"/>
      <c r="P6" s="3"/>
    </row>
    <row r="7" ht="14.25" customHeight="1">
      <c r="B7" s="178"/>
      <c r="C7" s="177"/>
      <c r="G7" s="3"/>
      <c r="H7" s="3"/>
      <c r="I7" s="3"/>
      <c r="J7" s="178"/>
      <c r="K7" s="177"/>
      <c r="O7" s="3"/>
      <c r="P7" s="3"/>
      <c r="Q7" s="3"/>
      <c r="R7" s="178"/>
      <c r="S7" s="177"/>
      <c r="W7" s="3"/>
      <c r="X7" s="3"/>
      <c r="Y7" s="3"/>
      <c r="Z7" s="178"/>
      <c r="AA7" s="177"/>
      <c r="AE7" s="3"/>
      <c r="AF7" s="3"/>
      <c r="AG7" s="3"/>
    </row>
    <row r="8" ht="14.25" customHeight="1">
      <c r="A8" s="328" t="s">
        <v>237</v>
      </c>
      <c r="B8" s="165"/>
      <c r="C8" s="165"/>
      <c r="D8" s="165"/>
      <c r="E8" s="165"/>
      <c r="F8" s="329"/>
      <c r="G8" s="3"/>
      <c r="H8" s="3"/>
      <c r="I8" s="3"/>
      <c r="J8" s="178"/>
      <c r="K8" s="177"/>
      <c r="O8" s="3"/>
      <c r="P8" s="3"/>
      <c r="Q8" s="3"/>
      <c r="R8" s="178"/>
      <c r="S8" s="177"/>
      <c r="W8" s="3"/>
      <c r="X8" s="3"/>
      <c r="Y8" s="3"/>
      <c r="Z8" s="178"/>
      <c r="AA8" s="177"/>
      <c r="AE8" s="3"/>
      <c r="AF8" s="3"/>
      <c r="AG8" s="3"/>
    </row>
    <row r="9" ht="14.25" customHeight="1">
      <c r="B9" s="178"/>
      <c r="C9" s="177"/>
      <c r="G9" s="3"/>
      <c r="H9" s="3"/>
      <c r="I9" s="3"/>
      <c r="J9" s="178"/>
      <c r="K9" s="177"/>
      <c r="L9" s="29"/>
      <c r="M9" s="29"/>
      <c r="O9" s="3"/>
      <c r="P9" s="3"/>
      <c r="Q9" s="3"/>
      <c r="R9" s="178"/>
      <c r="S9" s="177"/>
      <c r="W9" s="3"/>
      <c r="X9" s="3"/>
      <c r="Y9" s="3"/>
      <c r="Z9" s="178"/>
      <c r="AA9" s="177"/>
      <c r="AE9" s="3"/>
      <c r="AF9" s="3"/>
      <c r="AG9" s="3"/>
    </row>
    <row r="10" ht="14.25" customHeight="1">
      <c r="A10" s="29"/>
      <c r="B10" s="330" t="s">
        <v>238</v>
      </c>
      <c r="C10" s="259"/>
      <c r="D10" s="259"/>
      <c r="E10" s="259"/>
      <c r="F10" s="259"/>
      <c r="G10" s="141"/>
      <c r="H10" s="141"/>
      <c r="I10" s="141"/>
      <c r="J10" s="141"/>
      <c r="K10" s="141"/>
      <c r="L10" s="141"/>
      <c r="M10" s="141"/>
      <c r="N10" s="29"/>
      <c r="O10" s="3"/>
      <c r="P10" s="3"/>
      <c r="Q10" s="3"/>
      <c r="R10" s="178"/>
      <c r="S10" s="177"/>
      <c r="T10" s="29"/>
      <c r="U10" s="29"/>
      <c r="W10" s="3"/>
      <c r="X10" s="3"/>
      <c r="Y10" s="3"/>
      <c r="Z10" s="178"/>
      <c r="AA10" s="177"/>
      <c r="AE10" s="3"/>
      <c r="AF10" s="3"/>
      <c r="AG10" s="3"/>
    </row>
    <row r="11" ht="14.25" customHeight="1">
      <c r="A11" s="29"/>
      <c r="B11" s="331">
        <v>0.0</v>
      </c>
      <c r="C11" s="332">
        <v>1000.0</v>
      </c>
      <c r="D11" s="333">
        <v>2000.0</v>
      </c>
      <c r="E11" s="333">
        <v>3000.0</v>
      </c>
      <c r="F11" s="334">
        <v>3500.0</v>
      </c>
      <c r="G11" s="178"/>
      <c r="H11" s="177"/>
      <c r="I11" s="29"/>
      <c r="J11" s="178"/>
      <c r="K11" s="177"/>
      <c r="L11" s="29"/>
      <c r="M11" s="29"/>
      <c r="N11" s="29"/>
      <c r="O11" s="3"/>
      <c r="P11" s="3"/>
      <c r="Q11" s="3"/>
      <c r="R11" s="29"/>
      <c r="S11" s="29"/>
      <c r="T11" s="3"/>
      <c r="U11" s="3"/>
      <c r="V11" s="3"/>
      <c r="W11" s="178"/>
      <c r="X11" s="177"/>
      <c r="AB11" s="3"/>
      <c r="AC11" s="3"/>
      <c r="AD11" s="3"/>
      <c r="AE11" s="178"/>
      <c r="AF11" s="177"/>
    </row>
    <row r="12" ht="14.25" customHeight="1">
      <c r="A12" s="29">
        <v>-30.0</v>
      </c>
      <c r="B12" s="335">
        <v>800.0</v>
      </c>
      <c r="C12" s="333">
        <v>830.0</v>
      </c>
      <c r="D12" s="333">
        <v>860.0</v>
      </c>
      <c r="E12" s="333">
        <v>900.0</v>
      </c>
      <c r="F12" s="334">
        <v>99999.0</v>
      </c>
      <c r="G12" s="178"/>
      <c r="H12" s="177"/>
      <c r="I12" s="29"/>
      <c r="J12" s="178"/>
      <c r="K12" s="177"/>
      <c r="L12" s="29"/>
      <c r="M12" s="29"/>
      <c r="N12" s="29"/>
      <c r="O12" s="3"/>
      <c r="P12" s="3"/>
      <c r="Q12" s="3"/>
      <c r="R12" s="29"/>
      <c r="T12" s="3"/>
      <c r="U12" s="3"/>
      <c r="V12" s="3"/>
      <c r="W12" s="178"/>
      <c r="X12" s="177"/>
      <c r="AB12" s="3"/>
      <c r="AC12" s="3"/>
      <c r="AD12" s="3"/>
      <c r="AE12" s="178"/>
      <c r="AF12" s="177"/>
    </row>
    <row r="13" ht="14.25" customHeight="1">
      <c r="A13" s="29">
        <v>-20.0</v>
      </c>
      <c r="B13" s="336">
        <v>800.0</v>
      </c>
      <c r="C13" s="181">
        <v>830.0</v>
      </c>
      <c r="D13" s="29">
        <v>860.0</v>
      </c>
      <c r="E13" s="29">
        <v>900.0</v>
      </c>
      <c r="F13" s="334">
        <v>99999.0</v>
      </c>
      <c r="G13" s="178"/>
      <c r="H13" s="177"/>
      <c r="I13" s="29"/>
      <c r="J13" s="178"/>
      <c r="K13" s="177"/>
      <c r="L13" s="29"/>
      <c r="M13" s="29"/>
      <c r="N13" s="29"/>
      <c r="O13" s="3"/>
      <c r="P13" s="3"/>
      <c r="Q13" s="3"/>
      <c r="R13" s="29"/>
      <c r="T13" s="3"/>
      <c r="U13" s="3"/>
      <c r="V13" s="3"/>
      <c r="W13" s="178"/>
      <c r="X13" s="177"/>
      <c r="AB13" s="3"/>
      <c r="AC13" s="3"/>
      <c r="AD13" s="3"/>
      <c r="AE13" s="178"/>
      <c r="AF13" s="177"/>
    </row>
    <row r="14" ht="14.25" customHeight="1">
      <c r="A14" s="29">
        <v>-10.0</v>
      </c>
      <c r="B14" s="336">
        <v>810.0</v>
      </c>
      <c r="C14" s="181">
        <v>850.0</v>
      </c>
      <c r="D14" s="29">
        <v>900.0</v>
      </c>
      <c r="E14" s="29">
        <v>950.0</v>
      </c>
      <c r="F14" s="337">
        <v>99999.0</v>
      </c>
      <c r="G14" s="178"/>
      <c r="H14" s="177"/>
      <c r="J14" s="178"/>
      <c r="K14" s="177"/>
      <c r="O14" s="3"/>
      <c r="P14" s="3"/>
      <c r="Q14" s="3"/>
      <c r="T14" s="3"/>
      <c r="U14" s="3"/>
      <c r="V14" s="3"/>
      <c r="W14" s="178"/>
      <c r="X14" s="177"/>
      <c r="AB14" s="3"/>
      <c r="AC14" s="3"/>
      <c r="AD14" s="3"/>
      <c r="AE14" s="178"/>
      <c r="AF14" s="177"/>
    </row>
    <row r="15" ht="14.25" customHeight="1">
      <c r="A15" s="29">
        <v>0.0</v>
      </c>
      <c r="B15" s="336">
        <v>830.0</v>
      </c>
      <c r="C15" s="181">
        <v>880.0</v>
      </c>
      <c r="D15" s="29">
        <v>915.0</v>
      </c>
      <c r="E15" s="29">
        <v>975.0</v>
      </c>
      <c r="F15" s="337">
        <v>99999.0</v>
      </c>
      <c r="G15" s="178"/>
      <c r="H15" s="177"/>
      <c r="J15" s="178"/>
      <c r="K15" s="177"/>
      <c r="O15" s="3"/>
      <c r="P15" s="3"/>
      <c r="Q15" s="3"/>
      <c r="T15" s="3"/>
      <c r="U15" s="3"/>
      <c r="V15" s="3"/>
      <c r="W15" s="178"/>
      <c r="X15" s="177"/>
      <c r="AB15" s="3"/>
      <c r="AC15" s="3"/>
      <c r="AD15" s="3"/>
      <c r="AE15" s="178"/>
      <c r="AF15" s="177"/>
    </row>
    <row r="16" ht="14.25" customHeight="1">
      <c r="A16" s="29">
        <v>10.0</v>
      </c>
      <c r="B16" s="336">
        <v>850.0</v>
      </c>
      <c r="C16" s="181">
        <v>900.0</v>
      </c>
      <c r="D16" s="29">
        <v>930.0</v>
      </c>
      <c r="E16" s="29">
        <v>1000.0</v>
      </c>
      <c r="F16" s="337">
        <v>99999.0</v>
      </c>
      <c r="G16" s="178"/>
      <c r="H16" s="177"/>
      <c r="J16" s="178"/>
      <c r="K16" s="177"/>
      <c r="T16" s="3"/>
      <c r="U16" s="3"/>
      <c r="V16" s="3"/>
      <c r="W16" s="178"/>
      <c r="X16" s="177"/>
      <c r="AB16" s="3"/>
      <c r="AC16" s="3"/>
      <c r="AD16" s="3"/>
      <c r="AE16" s="178"/>
      <c r="AF16" s="177"/>
    </row>
    <row r="17" ht="14.25" customHeight="1">
      <c r="A17" s="29">
        <v>20.0</v>
      </c>
      <c r="B17" s="338">
        <v>900.0</v>
      </c>
      <c r="C17" s="339">
        <v>950.0</v>
      </c>
      <c r="D17" s="281">
        <v>990.0</v>
      </c>
      <c r="E17" s="281">
        <v>1050.0</v>
      </c>
      <c r="F17" s="337">
        <v>99999.0</v>
      </c>
      <c r="G17" s="178"/>
      <c r="H17" s="177"/>
      <c r="J17" s="178"/>
      <c r="K17" s="177"/>
      <c r="T17" s="3"/>
      <c r="U17" s="3"/>
      <c r="V17" s="3"/>
      <c r="W17" s="178"/>
      <c r="X17" s="177"/>
      <c r="AB17" s="3"/>
      <c r="AC17" s="3"/>
      <c r="AD17" s="3"/>
      <c r="AE17" s="178"/>
      <c r="AF17" s="177"/>
    </row>
    <row r="18" ht="14.25" customHeight="1">
      <c r="A18" s="29">
        <v>30.0</v>
      </c>
      <c r="B18" s="338">
        <v>910.0</v>
      </c>
      <c r="C18" s="339">
        <v>975.0</v>
      </c>
      <c r="D18" s="281">
        <v>1020.0</v>
      </c>
      <c r="E18" s="281">
        <v>1075.0</v>
      </c>
      <c r="F18" s="337">
        <v>99999.0</v>
      </c>
      <c r="G18" s="178"/>
      <c r="H18" s="177"/>
      <c r="J18" s="178"/>
      <c r="K18" s="177"/>
      <c r="T18" s="3"/>
      <c r="U18" s="3"/>
      <c r="V18" s="3"/>
      <c r="W18" s="178"/>
      <c r="X18" s="177"/>
      <c r="AB18" s="3"/>
      <c r="AC18" s="3"/>
      <c r="AD18" s="3"/>
      <c r="AE18" s="178"/>
      <c r="AF18" s="177"/>
    </row>
    <row r="19" ht="14.25" customHeight="1">
      <c r="A19" s="29">
        <v>35.0</v>
      </c>
      <c r="B19" s="340">
        <v>99999.0</v>
      </c>
      <c r="C19" s="341">
        <v>99999.0</v>
      </c>
      <c r="D19" s="341">
        <v>99999.0</v>
      </c>
      <c r="E19" s="341">
        <v>99999.0</v>
      </c>
      <c r="F19" s="337">
        <v>99999.0</v>
      </c>
      <c r="G19" s="178"/>
      <c r="H19" s="177"/>
      <c r="J19" s="178"/>
      <c r="K19" s="177"/>
      <c r="O19" s="3"/>
      <c r="P19" s="3"/>
      <c r="Q19" s="3"/>
      <c r="T19" s="3"/>
      <c r="U19" s="3"/>
      <c r="V19" s="3"/>
      <c r="W19" s="178"/>
      <c r="X19" s="177"/>
      <c r="AB19" s="3"/>
      <c r="AC19" s="3"/>
      <c r="AD19" s="3"/>
      <c r="AE19" s="178"/>
      <c r="AF19" s="177"/>
    </row>
    <row r="20" ht="14.25" customHeight="1">
      <c r="B20" s="178"/>
      <c r="C20" s="177"/>
      <c r="D20" s="29"/>
      <c r="E20" s="29"/>
      <c r="F20" s="29"/>
      <c r="G20" s="3"/>
      <c r="H20" s="3"/>
      <c r="I20" s="3"/>
      <c r="J20" s="178"/>
      <c r="K20" s="177"/>
      <c r="O20" s="3"/>
      <c r="P20" s="3"/>
      <c r="Q20" s="3"/>
      <c r="R20" s="178"/>
      <c r="S20" s="177"/>
      <c r="W20" s="3"/>
      <c r="X20" s="3"/>
      <c r="Y20" s="3"/>
      <c r="Z20" s="178"/>
      <c r="AA20" s="177"/>
      <c r="AE20" s="3"/>
      <c r="AF20" s="3"/>
      <c r="AG20" s="3"/>
    </row>
    <row r="21" ht="14.25" customHeight="1">
      <c r="B21" s="178" t="s">
        <v>134</v>
      </c>
      <c r="C21" s="177">
        <f>D1</f>
        <v>0</v>
      </c>
      <c r="D21" s="167" t="s">
        <v>239</v>
      </c>
      <c r="G21" s="3"/>
      <c r="H21" s="3"/>
      <c r="I21" s="3"/>
      <c r="J21" s="178" t="s">
        <v>134</v>
      </c>
      <c r="K21" s="177">
        <f>G1</f>
        <v>0</v>
      </c>
      <c r="L21" s="167" t="s">
        <v>239</v>
      </c>
      <c r="O21" s="3"/>
      <c r="P21" s="3"/>
      <c r="Q21" s="3"/>
      <c r="R21" s="178"/>
      <c r="S21" s="177"/>
      <c r="T21" s="167"/>
      <c r="W21" s="3"/>
      <c r="X21" s="3"/>
      <c r="Y21" s="3"/>
      <c r="Z21" s="178"/>
      <c r="AA21" s="177"/>
      <c r="AB21" s="167"/>
      <c r="AE21" s="3"/>
      <c r="AF21" s="3"/>
      <c r="AG21" s="3"/>
    </row>
    <row r="22" ht="14.25" customHeight="1">
      <c r="B22" s="129" t="s">
        <v>240</v>
      </c>
      <c r="C22" s="182">
        <f t="array" ref="C22">INDEX($B11:$F11,MATCH(C21,$B11:$F11,1))</f>
        <v>0</v>
      </c>
      <c r="D22" s="129" t="s">
        <v>131</v>
      </c>
      <c r="E22" s="155">
        <f>MATCH(MAX($A12:$A19),$A12:$A19,1)</f>
        <v>8</v>
      </c>
      <c r="G22" s="3"/>
      <c r="H22" s="3"/>
      <c r="I22" s="3"/>
      <c r="J22" s="129" t="s">
        <v>240</v>
      </c>
      <c r="K22" s="182">
        <f t="array" ref="K22">INDEX($B11:$F11,MATCH(K21,$B11:$F11,1))</f>
        <v>0</v>
      </c>
      <c r="L22" s="129" t="s">
        <v>131</v>
      </c>
      <c r="M22" s="155">
        <f>MATCH(MAX($A12:$A19),$A12:$A19,1)</f>
        <v>8</v>
      </c>
      <c r="O22" s="3"/>
      <c r="P22" s="3"/>
      <c r="Q22" s="3"/>
      <c r="R22" s="129"/>
      <c r="S22" s="182"/>
      <c r="T22" s="129"/>
      <c r="U22" s="155"/>
      <c r="W22" s="3"/>
      <c r="X22" s="3"/>
      <c r="Y22" s="3"/>
      <c r="Z22" s="129"/>
      <c r="AA22" s="182"/>
      <c r="AB22" s="129"/>
      <c r="AC22" s="155"/>
      <c r="AE22" s="3"/>
      <c r="AF22" s="3"/>
      <c r="AG22" s="3"/>
    </row>
    <row r="23" ht="14.25" customHeight="1">
      <c r="B23" s="129" t="s">
        <v>241</v>
      </c>
      <c r="C23" s="182">
        <f t="array" ref="C23">INDEX($B11:$F11,IF(MATCH(C21,$B11:$F11,1)&lt;E23,MATCH(C21,$B11:$F11,1)+1,MATCH(C21,$B11:$F11,1)))</f>
        <v>1000</v>
      </c>
      <c r="D23" s="129" t="s">
        <v>132</v>
      </c>
      <c r="E23" s="155">
        <f>MATCH(MAX($B11:$F11),$B11:$F11,0)</f>
        <v>5</v>
      </c>
      <c r="G23" s="3"/>
      <c r="H23" s="3"/>
      <c r="I23" s="3"/>
      <c r="J23" s="129" t="s">
        <v>241</v>
      </c>
      <c r="K23" s="182">
        <f t="array" ref="K23">INDEX($B11:$F11,IF(MATCH(K21,$B11:$F11,1)&lt;M23,MATCH(K21,$B11:$F11,1)+1,MATCH(K21,$B11:$F11,1)))</f>
        <v>1000</v>
      </c>
      <c r="L23" s="129" t="s">
        <v>132</v>
      </c>
      <c r="M23" s="155">
        <f>MATCH(MAX($B11:$F11),$B11:$F11,0)</f>
        <v>5</v>
      </c>
      <c r="O23" s="3"/>
      <c r="P23" s="3"/>
      <c r="Q23" s="3"/>
      <c r="R23" s="129"/>
      <c r="S23" s="182"/>
      <c r="T23" s="129"/>
      <c r="U23" s="155"/>
      <c r="W23" s="3"/>
      <c r="X23" s="3"/>
      <c r="Y23" s="3"/>
      <c r="Z23" s="129"/>
      <c r="AA23" s="182"/>
      <c r="AB23" s="129"/>
      <c r="AC23" s="155"/>
      <c r="AE23" s="3"/>
      <c r="AF23" s="3"/>
      <c r="AG23" s="3"/>
    </row>
    <row r="24" ht="14.25" customHeight="1">
      <c r="B24" s="176" t="s">
        <v>136</v>
      </c>
      <c r="C24" s="274">
        <f>D2</f>
        <v>-2</v>
      </c>
      <c r="D24" s="3"/>
      <c r="E24" s="3"/>
      <c r="G24" s="3"/>
      <c r="H24" s="3"/>
      <c r="I24" s="3"/>
      <c r="J24" s="176" t="s">
        <v>136</v>
      </c>
      <c r="K24" s="274">
        <f>G2</f>
        <v>0</v>
      </c>
      <c r="L24" s="3"/>
      <c r="M24" s="3"/>
      <c r="O24" s="3"/>
      <c r="P24" s="3"/>
      <c r="Q24" s="3"/>
      <c r="R24" s="178"/>
      <c r="S24" s="274"/>
      <c r="T24" s="3"/>
      <c r="U24" s="3"/>
      <c r="W24" s="3"/>
      <c r="X24" s="3"/>
      <c r="Y24" s="3"/>
      <c r="Z24" s="178"/>
      <c r="AA24" s="274"/>
      <c r="AB24" s="3"/>
      <c r="AC24" s="3"/>
      <c r="AE24" s="3"/>
      <c r="AF24" s="3"/>
      <c r="AG24" s="3"/>
    </row>
    <row r="25" ht="14.25" customHeight="1">
      <c r="B25" s="129" t="s">
        <v>139</v>
      </c>
      <c r="C25" s="182">
        <f t="array" ref="C25">INDEX($A12:$A19,MATCH(C24,$A12:$A19,1))</f>
        <v>-10</v>
      </c>
      <c r="D25" s="3"/>
      <c r="E25" s="161"/>
      <c r="G25" s="3"/>
      <c r="H25" s="3"/>
      <c r="I25" s="3"/>
      <c r="J25" s="129" t="s">
        <v>139</v>
      </c>
      <c r="K25" s="182">
        <f t="array" ref="K25">INDEX($A12:$A19,MATCH(K24,$A12:$A19,1))</f>
        <v>0</v>
      </c>
      <c r="L25" s="3"/>
      <c r="M25" s="161"/>
      <c r="O25" s="3"/>
      <c r="P25" s="3"/>
      <c r="Q25" s="3"/>
      <c r="R25" s="129"/>
      <c r="S25" s="182"/>
      <c r="T25" s="3"/>
      <c r="U25" s="161"/>
      <c r="W25" s="3"/>
      <c r="X25" s="3"/>
      <c r="Y25" s="3"/>
      <c r="Z25" s="129"/>
      <c r="AA25" s="182"/>
      <c r="AB25" s="3"/>
      <c r="AC25" s="161"/>
      <c r="AE25" s="3"/>
      <c r="AF25" s="3"/>
      <c r="AG25" s="3"/>
    </row>
    <row r="26" ht="14.25" customHeight="1">
      <c r="B26" s="129" t="s">
        <v>145</v>
      </c>
      <c r="C26" s="182">
        <f t="array" ref="C26">INDEX($A12:$A19,IF(MATCH(C24,$A12:$A19,1)&lt;E22,MATCH(C24,$A12:$A19,1)+1,MATCH(C24,$A12:$A19,1)))</f>
        <v>0</v>
      </c>
      <c r="D26" s="3"/>
      <c r="E26" s="161"/>
      <c r="G26" s="3"/>
      <c r="H26" s="3"/>
      <c r="I26" s="3"/>
      <c r="J26" s="129" t="s">
        <v>145</v>
      </c>
      <c r="K26" s="182">
        <f t="array" ref="K26">INDEX($A12:$A19,IF(MATCH(K24,$A12:$A19,1)&lt;M22,MATCH(K24,$A12:$A19,1)+1,MATCH(K24,$A12:$A19,1)))</f>
        <v>10</v>
      </c>
      <c r="L26" s="3"/>
      <c r="M26" s="161"/>
      <c r="O26" s="3"/>
      <c r="P26" s="3"/>
      <c r="Q26" s="3"/>
      <c r="R26" s="129"/>
      <c r="S26" s="182"/>
      <c r="T26" s="3"/>
      <c r="U26" s="161"/>
      <c r="W26" s="3"/>
      <c r="X26" s="3"/>
      <c r="Y26" s="3"/>
      <c r="Z26" s="129"/>
      <c r="AA26" s="182"/>
      <c r="AB26" s="3"/>
      <c r="AC26" s="161"/>
      <c r="AE26" s="3"/>
      <c r="AF26" s="3"/>
      <c r="AG26" s="3"/>
    </row>
    <row r="27" ht="14.25" customHeight="1">
      <c r="B27" s="178" t="s">
        <v>165</v>
      </c>
      <c r="C27" s="177">
        <f t="array" ref="C27">INDEX($B12:$F19,MATCH(C24,$A12:$A19,1),MATCH(C21,$B11:$F11,1))</f>
        <v>810</v>
      </c>
      <c r="D27" s="3"/>
      <c r="E27" s="161"/>
      <c r="G27" s="3"/>
      <c r="H27" s="3"/>
      <c r="I27" s="3"/>
      <c r="J27" s="178" t="s">
        <v>165</v>
      </c>
      <c r="K27" s="177">
        <f t="array" ref="K27">INDEX($B12:$F19,MATCH(K24,$A12:$A19,1),MATCH(K21,$B11:$F11,1))</f>
        <v>830</v>
      </c>
      <c r="L27" s="3"/>
      <c r="M27" s="161"/>
      <c r="O27" s="3"/>
      <c r="P27" s="3"/>
      <c r="Q27" s="3"/>
      <c r="R27" s="178"/>
      <c r="S27" s="177"/>
      <c r="T27" s="3"/>
      <c r="U27" s="161"/>
      <c r="W27" s="3"/>
      <c r="X27" s="3"/>
      <c r="Y27" s="3"/>
      <c r="Z27" s="178"/>
      <c r="AA27" s="177"/>
      <c r="AB27" s="3"/>
      <c r="AC27" s="161"/>
      <c r="AE27" s="3"/>
      <c r="AF27" s="3"/>
      <c r="AG27" s="3"/>
    </row>
    <row r="28" ht="14.25" customHeight="1">
      <c r="B28" s="178" t="s">
        <v>249</v>
      </c>
      <c r="C28" s="177">
        <f t="array" ref="C28">INDEX($B12:$F19,MATCH(C24,$A12:$A19,1),IF(MATCH(C21,$B11:$F11,1)&lt;E23,MATCH(C21,$B11:$F11,1)+1,MATCH(C24,$A12:$A19,1)))</f>
        <v>850</v>
      </c>
      <c r="E28" s="161"/>
      <c r="G28" s="3"/>
      <c r="H28" s="3"/>
      <c r="I28" s="3"/>
      <c r="J28" s="178" t="s">
        <v>249</v>
      </c>
      <c r="K28" s="177">
        <f t="array" ref="K28">INDEX($B12:$F19,MATCH(K24,$A12:$A19,1),IF(MATCH(K21,$B11:$F11,1)&lt;M23,MATCH(K21,$B11:$F11,1)+1,MATCH(K24,$A12:$A19,1)))</f>
        <v>880</v>
      </c>
      <c r="M28" s="161"/>
      <c r="O28" s="3"/>
      <c r="P28" s="3"/>
      <c r="Q28" s="3"/>
      <c r="R28" s="178"/>
      <c r="S28" s="177"/>
      <c r="U28" s="161"/>
      <c r="W28" s="3"/>
      <c r="X28" s="3"/>
      <c r="Y28" s="3"/>
      <c r="Z28" s="178"/>
      <c r="AA28" s="177"/>
      <c r="AC28" s="161"/>
      <c r="AE28" s="3"/>
      <c r="AF28" s="3"/>
      <c r="AG28" s="3"/>
    </row>
    <row r="29" ht="14.25" customHeight="1">
      <c r="B29" s="178" t="s">
        <v>177</v>
      </c>
      <c r="C29" s="177">
        <f t="array" ref="C29">INDEX($B12:$F19,IF(MATCH(C24,$A12:$A19,1)&lt;E22,MATCH(C24,$A12:$A19,1)+1,MATCH(C24,$A12:$A19,1)),MATCH(C21,$B11:$F11,1))</f>
        <v>830</v>
      </c>
      <c r="E29" s="161"/>
      <c r="G29" s="3"/>
      <c r="H29" s="3"/>
      <c r="I29" s="3"/>
      <c r="J29" s="178" t="s">
        <v>177</v>
      </c>
      <c r="K29" s="177">
        <f t="array" ref="K29">INDEX($B12:$F19,IF(MATCH(K24,$A12:$A19,1)&lt;M22,MATCH(K24,$A12:$A19,1)+1,MATCH(K24,$A12:$A19,1)),MATCH(K21,$B11:$F11,1))</f>
        <v>850</v>
      </c>
      <c r="M29" s="161"/>
      <c r="O29" s="3"/>
      <c r="P29" s="3"/>
      <c r="Q29" s="3"/>
      <c r="R29" s="178"/>
      <c r="S29" s="177"/>
      <c r="U29" s="161"/>
      <c r="W29" s="3"/>
      <c r="X29" s="3"/>
      <c r="Y29" s="3"/>
      <c r="Z29" s="178"/>
      <c r="AA29" s="177"/>
      <c r="AC29" s="161"/>
      <c r="AE29" s="3"/>
      <c r="AF29" s="3"/>
      <c r="AG29" s="3"/>
    </row>
    <row r="30" ht="14.25" customHeight="1">
      <c r="B30" s="178" t="s">
        <v>250</v>
      </c>
      <c r="C30" s="177">
        <f t="array" ref="C30">INDEX($B12:$F19,IF(MATCH(C24,$A12:$A19,1)&lt;E22,MATCH(C24,$A12:$A19,1)+1,MATCH(C24,$A12:$A19,1)),IF(MATCH(C21,$B11:$F11,1)&lt;E23,MATCH(C21,$B11:$F11,1)+1,MATCH(C21,$B11:$F11,1)))</f>
        <v>880</v>
      </c>
      <c r="G30" s="3"/>
      <c r="H30" s="3"/>
      <c r="I30" s="3"/>
      <c r="J30" s="178" t="s">
        <v>250</v>
      </c>
      <c r="K30" s="177">
        <f t="array" ref="K30">INDEX($B12:$F19,IF(MATCH(K24,$A12:$A19,1)&lt;M22,MATCH(K24,$A12:$A19,1)+1,MATCH(K24,$A12:$A19,1)),IF(MATCH(K21,$B11:$F11,1)&lt;M23,MATCH(K21,$B11:$F11,1)+1,MATCH(K21,$B11:$F11,1)))</f>
        <v>900</v>
      </c>
      <c r="O30" s="3"/>
      <c r="P30" s="3"/>
      <c r="Q30" s="3"/>
      <c r="R30" s="178"/>
      <c r="S30" s="177"/>
      <c r="W30" s="3"/>
      <c r="X30" s="3"/>
      <c r="Y30" s="3"/>
      <c r="Z30" s="178"/>
      <c r="AA30" s="177"/>
      <c r="AE30" s="3"/>
      <c r="AF30" s="3"/>
      <c r="AG30" s="3"/>
    </row>
    <row r="31" ht="14.25" customHeight="1">
      <c r="B31" s="129" t="s">
        <v>252</v>
      </c>
      <c r="C31" s="182">
        <f>IFERROR(C27+(C21-C22)*(C28-C27)/(C23-C22),C27)</f>
        <v>810</v>
      </c>
      <c r="G31" s="3"/>
      <c r="H31" s="3"/>
      <c r="I31" s="3"/>
      <c r="J31" s="129" t="s">
        <v>252</v>
      </c>
      <c r="K31" s="182">
        <f>IFERROR(K27+(K21-K22)*(K28-K27)/(K23-K22),K27)</f>
        <v>830</v>
      </c>
      <c r="O31" s="3"/>
      <c r="P31" s="3"/>
      <c r="Q31" s="3"/>
      <c r="R31" s="129"/>
      <c r="S31" s="182"/>
      <c r="W31" s="3"/>
      <c r="X31" s="3"/>
      <c r="Y31" s="3"/>
      <c r="Z31" s="129"/>
      <c r="AA31" s="182"/>
      <c r="AE31" s="3"/>
      <c r="AF31" s="3"/>
      <c r="AG31" s="3"/>
    </row>
    <row r="32" ht="14.25" customHeight="1">
      <c r="B32" s="129" t="s">
        <v>253</v>
      </c>
      <c r="C32" s="182">
        <f>IFERROR(C29+(C21-C22)*(C30-C29)/(C23-C22),C29)</f>
        <v>830</v>
      </c>
      <c r="G32" s="3"/>
      <c r="H32" s="3"/>
      <c r="I32" s="3"/>
      <c r="J32" s="129" t="s">
        <v>253</v>
      </c>
      <c r="K32" s="182">
        <f>IFERROR(K29+(K21-K22)*(K30-K29)/(K23-K22),K29)</f>
        <v>850</v>
      </c>
      <c r="O32" s="3"/>
      <c r="P32" s="3"/>
      <c r="Q32" s="3"/>
      <c r="R32" s="129"/>
      <c r="S32" s="182"/>
      <c r="W32" s="3"/>
      <c r="X32" s="3"/>
      <c r="Y32" s="3"/>
      <c r="Z32" s="129"/>
      <c r="AA32" s="182"/>
      <c r="AE32" s="3"/>
      <c r="AF32" s="3"/>
      <c r="AG32" s="3"/>
    </row>
    <row r="33" ht="14.25" customHeight="1">
      <c r="B33" s="178" t="s">
        <v>254</v>
      </c>
      <c r="C33" s="177">
        <f>IFERROR(C31+(C24-C25)*(C32-C31)/(C26-C25),C31)</f>
        <v>826</v>
      </c>
      <c r="G33" s="3"/>
      <c r="H33" s="3"/>
      <c r="I33" s="3"/>
      <c r="J33" s="178" t="s">
        <v>254</v>
      </c>
      <c r="K33" s="177">
        <f>IFERROR(K31+(K24-K25)*(K32-K31)/(K26-K25),K31)</f>
        <v>830</v>
      </c>
      <c r="O33" s="3"/>
      <c r="P33" s="3"/>
      <c r="Q33" s="3"/>
      <c r="R33" s="178"/>
      <c r="S33" s="177"/>
      <c r="W33" s="3"/>
      <c r="X33" s="3"/>
      <c r="Y33" s="3"/>
      <c r="Z33" s="178"/>
      <c r="AA33" s="177"/>
      <c r="AE33" s="3"/>
      <c r="AF33" s="3"/>
      <c r="AG33" s="3"/>
    </row>
    <row r="34" ht="14.25" customHeight="1">
      <c r="B34" s="178"/>
      <c r="C34" s="177"/>
      <c r="F34" s="29"/>
      <c r="G34" s="3"/>
      <c r="H34" s="3"/>
      <c r="I34" s="3"/>
      <c r="J34" s="178"/>
      <c r="K34" s="177"/>
      <c r="L34" s="29"/>
      <c r="M34" s="29"/>
      <c r="N34" s="29"/>
      <c r="O34" s="3"/>
      <c r="P34" s="3"/>
      <c r="Q34" s="3"/>
      <c r="R34" s="178"/>
      <c r="S34" s="177"/>
      <c r="W34" s="3"/>
      <c r="X34" s="3"/>
      <c r="Y34" s="3"/>
      <c r="Z34" s="178"/>
      <c r="AA34" s="177"/>
      <c r="AE34" s="3"/>
      <c r="AF34" s="3"/>
      <c r="AG34" s="3"/>
    </row>
    <row r="35" ht="14.25" customHeight="1">
      <c r="A35" s="29"/>
      <c r="B35" s="330" t="s">
        <v>255</v>
      </c>
      <c r="C35" s="259"/>
      <c r="D35" s="259"/>
      <c r="E35" s="259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3"/>
      <c r="Q35" s="3"/>
      <c r="R35" s="178"/>
      <c r="S35" s="177"/>
      <c r="T35" s="29"/>
      <c r="U35" s="29"/>
      <c r="W35" s="3"/>
      <c r="X35" s="3"/>
      <c r="Y35" s="3"/>
      <c r="Z35" s="178"/>
      <c r="AA35" s="177"/>
      <c r="AE35" s="3"/>
      <c r="AF35" s="3"/>
      <c r="AG35" s="3"/>
    </row>
    <row r="36" ht="14.25" customHeight="1">
      <c r="A36" s="29"/>
      <c r="B36" s="331">
        <v>500.0</v>
      </c>
      <c r="C36" s="345">
        <v>1000.0</v>
      </c>
      <c r="D36" s="345">
        <v>1500.0</v>
      </c>
      <c r="E36" s="334">
        <v>2000.0</v>
      </c>
      <c r="F36" s="346"/>
      <c r="G36" s="177"/>
      <c r="H36" s="29"/>
      <c r="I36" s="178"/>
      <c r="J36" s="177"/>
      <c r="K36" s="29"/>
      <c r="L36" s="29"/>
      <c r="M36" s="29"/>
      <c r="N36" s="3"/>
      <c r="O36" s="3"/>
      <c r="P36" s="3"/>
      <c r="Q36" s="29"/>
      <c r="R36" s="29"/>
      <c r="S36" s="3"/>
      <c r="T36" s="3"/>
      <c r="U36" s="3"/>
      <c r="V36" s="178"/>
      <c r="W36" s="177"/>
      <c r="AA36" s="3"/>
      <c r="AB36" s="3"/>
      <c r="AC36" s="3"/>
      <c r="AD36" s="178"/>
      <c r="AE36" s="177"/>
    </row>
    <row r="37" ht="14.25" customHeight="1">
      <c r="A37" s="29">
        <v>9000.0</v>
      </c>
      <c r="B37" s="331">
        <v>375.0</v>
      </c>
      <c r="C37" s="345">
        <v>690.0</v>
      </c>
      <c r="D37" s="345">
        <v>1090.0</v>
      </c>
      <c r="E37" s="347">
        <v>99999.0</v>
      </c>
      <c r="F37" s="346"/>
      <c r="G37" s="177"/>
      <c r="H37" s="177"/>
      <c r="I37" s="177"/>
      <c r="J37" s="177"/>
      <c r="K37" s="177"/>
      <c r="L37" s="177"/>
      <c r="M37" s="177"/>
      <c r="N37" s="177"/>
      <c r="O37" s="177"/>
      <c r="P37" s="3"/>
      <c r="Q37" s="29"/>
      <c r="S37" s="3"/>
      <c r="T37" s="3"/>
      <c r="U37" s="3"/>
      <c r="V37" s="178"/>
      <c r="W37" s="177"/>
      <c r="AA37" s="3"/>
      <c r="AB37" s="3"/>
      <c r="AC37" s="3"/>
      <c r="AD37" s="178"/>
      <c r="AE37" s="177"/>
    </row>
    <row r="38" ht="14.25" customHeight="1">
      <c r="A38" s="29">
        <v>9500.0</v>
      </c>
      <c r="B38" s="343">
        <v>390.0</v>
      </c>
      <c r="C38" s="141">
        <v>750.0</v>
      </c>
      <c r="D38" s="141">
        <v>1150.0</v>
      </c>
      <c r="E38" s="347">
        <v>99999.0</v>
      </c>
      <c r="F38" s="346"/>
      <c r="G38" s="177"/>
      <c r="H38" s="29"/>
      <c r="I38" s="178"/>
      <c r="J38" s="177"/>
      <c r="K38" s="29"/>
      <c r="L38" s="29"/>
      <c r="M38" s="29"/>
      <c r="N38" s="3"/>
      <c r="O38" s="3"/>
      <c r="P38" s="3"/>
      <c r="Q38" s="29"/>
      <c r="S38" s="3"/>
      <c r="T38" s="3"/>
      <c r="U38" s="3"/>
      <c r="V38" s="178"/>
      <c r="W38" s="177"/>
      <c r="AA38" s="3"/>
      <c r="AB38" s="3"/>
      <c r="AC38" s="3"/>
      <c r="AD38" s="178"/>
      <c r="AE38" s="177"/>
    </row>
    <row r="39" ht="14.25" customHeight="1">
      <c r="A39" s="29">
        <v>10000.0</v>
      </c>
      <c r="B39" s="343">
        <v>400.0</v>
      </c>
      <c r="C39" s="141">
        <v>780.0</v>
      </c>
      <c r="D39" s="141">
        <v>1200.0</v>
      </c>
      <c r="E39" s="347">
        <v>99999.0</v>
      </c>
      <c r="F39" s="346"/>
      <c r="G39" s="177"/>
      <c r="H39" s="29"/>
      <c r="I39" s="178"/>
      <c r="J39" s="177"/>
      <c r="K39" s="29"/>
      <c r="L39" s="29"/>
      <c r="M39" s="29"/>
      <c r="N39" s="3"/>
      <c r="O39" s="3"/>
      <c r="P39" s="3"/>
      <c r="Q39" s="29"/>
      <c r="S39" s="3"/>
      <c r="T39" s="3"/>
      <c r="U39" s="3"/>
      <c r="V39" s="178"/>
      <c r="W39" s="177"/>
      <c r="AA39" s="3"/>
      <c r="AB39" s="3"/>
      <c r="AC39" s="3"/>
      <c r="AD39" s="178"/>
      <c r="AE39" s="177"/>
    </row>
    <row r="40" ht="14.25" customHeight="1">
      <c r="A40" s="29">
        <v>10500.0</v>
      </c>
      <c r="B40" s="343">
        <v>410.0</v>
      </c>
      <c r="C40" s="141">
        <v>810.0</v>
      </c>
      <c r="D40" s="141">
        <v>1250.0</v>
      </c>
      <c r="E40" s="347">
        <v>99999.0</v>
      </c>
      <c r="F40" s="346"/>
      <c r="G40" s="177"/>
      <c r="H40" s="29"/>
      <c r="I40" s="178"/>
      <c r="J40" s="177"/>
      <c r="K40" s="29"/>
      <c r="L40" s="29"/>
      <c r="M40" s="29"/>
      <c r="N40" s="3"/>
      <c r="O40" s="3"/>
      <c r="P40" s="3"/>
      <c r="Q40" s="29"/>
      <c r="S40" s="3"/>
      <c r="T40" s="3"/>
      <c r="U40" s="3"/>
      <c r="V40" s="178"/>
      <c r="W40" s="177"/>
      <c r="AA40" s="3"/>
      <c r="AB40" s="3"/>
      <c r="AC40" s="3"/>
      <c r="AD40" s="178"/>
      <c r="AE40" s="177"/>
    </row>
    <row r="41" ht="14.25" customHeight="1">
      <c r="A41" s="29">
        <v>11000.0</v>
      </c>
      <c r="B41" s="343">
        <v>440.0</v>
      </c>
      <c r="C41" s="141">
        <v>850.0</v>
      </c>
      <c r="D41" s="141">
        <v>1320.0</v>
      </c>
      <c r="E41" s="347">
        <v>99999.0</v>
      </c>
      <c r="F41" s="346"/>
      <c r="G41" s="177"/>
      <c r="H41" s="29"/>
      <c r="I41" s="178"/>
      <c r="J41" s="177"/>
      <c r="K41" s="29"/>
      <c r="L41" s="29"/>
      <c r="M41" s="29"/>
      <c r="N41" s="3"/>
      <c r="O41" s="3"/>
      <c r="P41" s="3"/>
      <c r="Q41" s="29"/>
      <c r="S41" s="3"/>
      <c r="T41" s="3"/>
      <c r="U41" s="3"/>
      <c r="V41" s="178"/>
      <c r="W41" s="177"/>
      <c r="AA41" s="3"/>
      <c r="AB41" s="3"/>
      <c r="AC41" s="3"/>
      <c r="AD41" s="178"/>
      <c r="AE41" s="177"/>
    </row>
    <row r="42" ht="14.25" customHeight="1">
      <c r="A42" s="29">
        <v>11500.0</v>
      </c>
      <c r="B42" s="343">
        <v>475.0</v>
      </c>
      <c r="C42" s="141">
        <v>900.0</v>
      </c>
      <c r="D42" s="141">
        <v>1390.0</v>
      </c>
      <c r="E42" s="347">
        <v>99999.0</v>
      </c>
      <c r="F42" s="346"/>
      <c r="G42" s="177"/>
      <c r="H42" s="29"/>
      <c r="I42" s="178"/>
      <c r="J42" s="177"/>
      <c r="K42" s="29"/>
      <c r="L42" s="29"/>
      <c r="M42" s="29"/>
      <c r="N42" s="3"/>
      <c r="O42" s="3"/>
      <c r="P42" s="3"/>
      <c r="Q42" s="29"/>
      <c r="S42" s="3"/>
      <c r="T42" s="3"/>
      <c r="U42" s="3"/>
      <c r="V42" s="178"/>
      <c r="W42" s="177"/>
      <c r="AA42" s="3"/>
      <c r="AB42" s="3"/>
      <c r="AC42" s="3"/>
      <c r="AD42" s="178"/>
      <c r="AE42" s="177"/>
    </row>
    <row r="43" ht="14.25" customHeight="1">
      <c r="A43" s="29">
        <v>12000.0</v>
      </c>
      <c r="B43" s="343">
        <v>490.0</v>
      </c>
      <c r="C43" s="141">
        <v>950.0</v>
      </c>
      <c r="D43" s="141">
        <v>1450.0</v>
      </c>
      <c r="E43" s="347">
        <v>99999.0</v>
      </c>
      <c r="F43" s="346"/>
      <c r="G43" s="177"/>
      <c r="I43" s="178"/>
      <c r="J43" s="177"/>
      <c r="N43" s="3"/>
      <c r="O43" s="3"/>
      <c r="P43" s="3"/>
      <c r="S43" s="3"/>
      <c r="T43" s="3"/>
      <c r="U43" s="3"/>
      <c r="V43" s="178"/>
      <c r="W43" s="177"/>
      <c r="AA43" s="3"/>
      <c r="AB43" s="3"/>
      <c r="AC43" s="3"/>
      <c r="AD43" s="178"/>
      <c r="AE43" s="177"/>
    </row>
    <row r="44" ht="14.25" customHeight="1">
      <c r="A44" s="29">
        <v>12500.0</v>
      </c>
      <c r="B44" s="340">
        <v>500.0</v>
      </c>
      <c r="C44" s="348">
        <v>1000.0</v>
      </c>
      <c r="D44" s="348">
        <v>1500.0</v>
      </c>
      <c r="E44" s="347">
        <v>99999.0</v>
      </c>
      <c r="F44" s="346"/>
      <c r="G44" s="177"/>
      <c r="I44" s="178"/>
      <c r="J44" s="177"/>
      <c r="N44" s="3"/>
      <c r="O44" s="3"/>
      <c r="P44" s="3"/>
      <c r="S44" s="3"/>
      <c r="T44" s="3"/>
      <c r="U44" s="3"/>
      <c r="V44" s="178"/>
      <c r="W44" s="177"/>
      <c r="AA44" s="3"/>
      <c r="AB44" s="3"/>
      <c r="AC44" s="3"/>
      <c r="AD44" s="178"/>
      <c r="AE44" s="177"/>
    </row>
    <row r="45" ht="14.25" customHeight="1">
      <c r="B45" s="178"/>
      <c r="C45" s="177"/>
      <c r="D45" s="29"/>
      <c r="E45" s="29"/>
      <c r="F45" s="29"/>
      <c r="G45" s="3"/>
      <c r="H45" s="3"/>
      <c r="I45" s="3"/>
      <c r="J45" s="178"/>
      <c r="K45" s="177"/>
      <c r="O45" s="44"/>
      <c r="P45" s="3"/>
      <c r="Q45" s="3"/>
      <c r="R45" s="178"/>
      <c r="S45" s="177"/>
      <c r="W45" s="3"/>
      <c r="X45" s="3"/>
      <c r="Y45" s="3"/>
      <c r="Z45" s="178"/>
      <c r="AA45" s="177"/>
      <c r="AE45" s="3"/>
      <c r="AF45" s="3"/>
      <c r="AG45" s="3"/>
    </row>
    <row r="46" ht="14.25" customHeight="1">
      <c r="B46" s="178" t="s">
        <v>134</v>
      </c>
      <c r="C46" s="177">
        <f>C33</f>
        <v>826</v>
      </c>
      <c r="D46" s="167" t="s">
        <v>239</v>
      </c>
      <c r="G46" s="3"/>
      <c r="H46" s="3"/>
      <c r="I46" s="3"/>
      <c r="J46" s="178" t="s">
        <v>134</v>
      </c>
      <c r="K46" s="177">
        <f>K33</f>
        <v>830</v>
      </c>
      <c r="L46" s="167" t="s">
        <v>239</v>
      </c>
      <c r="O46" s="44"/>
    </row>
    <row r="47" ht="14.25" customHeight="1">
      <c r="B47" s="129" t="s">
        <v>240</v>
      </c>
      <c r="C47" s="182">
        <f t="array" ref="C47">INDEX($B36:$E36,MATCH(C46,$B36:$E36,1))</f>
        <v>500</v>
      </c>
      <c r="D47" s="129" t="s">
        <v>131</v>
      </c>
      <c r="E47" s="155">
        <f>MATCH(MAX($A37:$A44),$A37:$A44,1)</f>
        <v>8</v>
      </c>
      <c r="G47" s="3"/>
      <c r="H47" s="3"/>
      <c r="I47" s="3"/>
      <c r="J47" s="129" t="s">
        <v>240</v>
      </c>
      <c r="K47" s="182">
        <f t="array" ref="K47">INDEX($B36:$E36,MATCH(K46,$B36:$E36,1))</f>
        <v>500</v>
      </c>
      <c r="L47" s="129" t="s">
        <v>131</v>
      </c>
      <c r="M47" s="155">
        <f>MATCH(MAX($A37:$A44),$A37:$A44,1)</f>
        <v>8</v>
      </c>
      <c r="O47" s="44"/>
    </row>
    <row r="48" ht="14.25" customHeight="1">
      <c r="B48" s="129" t="s">
        <v>241</v>
      </c>
      <c r="C48" s="182">
        <f t="array" ref="C48">INDEX($B36:$E36,IF(MATCH(C46,$B36:$E36,1)&lt;E48,MATCH(C46,$B36:$E36,1)+1,MATCH(C46,$B36:$E36,1)))</f>
        <v>1000</v>
      </c>
      <c r="D48" s="129" t="s">
        <v>132</v>
      </c>
      <c r="E48" s="155">
        <f>MATCH(MAX($B36:$E36),$B36:$E36,0)</f>
        <v>4</v>
      </c>
      <c r="G48" s="3"/>
      <c r="H48" s="3"/>
      <c r="I48" s="3"/>
      <c r="J48" s="129" t="s">
        <v>241</v>
      </c>
      <c r="K48" s="182">
        <f t="array" ref="K48">INDEX($B36:$E36,IF(MATCH(K46,$B36:$E36,1)&lt;M48,MATCH(K46,$B36:$E36,1)+1,MATCH(K46,$B36:$E36,1)))</f>
        <v>1000</v>
      </c>
      <c r="L48" s="129" t="s">
        <v>132</v>
      </c>
      <c r="M48" s="155">
        <f>MATCH(MAX($B36:$E36),$B36:$E36,0)</f>
        <v>4</v>
      </c>
      <c r="O48" s="44"/>
    </row>
    <row r="49" ht="14.25" customHeight="1">
      <c r="B49" s="176" t="s">
        <v>136</v>
      </c>
      <c r="C49" s="274">
        <f>Landing!C11</f>
        <v>12500</v>
      </c>
      <c r="D49" s="3"/>
      <c r="E49" s="3"/>
      <c r="G49" s="3"/>
      <c r="H49" s="3"/>
      <c r="I49" s="3"/>
      <c r="J49" s="176" t="s">
        <v>136</v>
      </c>
      <c r="K49" s="274">
        <f>'Take-off'!C14</f>
        <v>12500</v>
      </c>
      <c r="L49" s="3"/>
      <c r="M49" s="3"/>
      <c r="O49" s="44"/>
    </row>
    <row r="50" ht="14.25" customHeight="1">
      <c r="B50" s="129" t="s">
        <v>139</v>
      </c>
      <c r="C50" s="182">
        <f t="array" ref="C50">INDEX($A37:$A44,MATCH(C49,$A37:$A44,1))</f>
        <v>12500</v>
      </c>
      <c r="D50" s="3"/>
      <c r="E50" s="161"/>
      <c r="G50" s="3"/>
      <c r="H50" s="3"/>
      <c r="I50" s="3"/>
      <c r="J50" s="129" t="s">
        <v>139</v>
      </c>
      <c r="K50" s="182">
        <f t="array" ref="K50">INDEX($A37:$A44,MATCH(K49,$A37:$A44,1))</f>
        <v>12500</v>
      </c>
      <c r="L50" s="3"/>
      <c r="M50" s="161"/>
      <c r="O50" s="44"/>
    </row>
    <row r="51" ht="14.25" customHeight="1">
      <c r="B51" s="129" t="s">
        <v>145</v>
      </c>
      <c r="C51" s="182">
        <f t="array" ref="C51">INDEX($A37:$A44,IF(MATCH(C49,$A37:$A44,1)&lt;E47,MATCH(C49,$A37:$A44,1)+1,MATCH(C49,$A37:$A44,1)))</f>
        <v>12500</v>
      </c>
      <c r="D51" s="3"/>
      <c r="E51" s="161"/>
      <c r="G51" s="3"/>
      <c r="H51" s="3"/>
      <c r="I51" s="3"/>
      <c r="J51" s="129" t="s">
        <v>145</v>
      </c>
      <c r="K51" s="182">
        <f t="array" ref="K51">INDEX($A37:$A44,IF(MATCH(K49,$A37:$A44,1)&lt;M47,MATCH(K49,$A37:$A44,1)+1,MATCH(K49,$A37:$A44,1)))</f>
        <v>12500</v>
      </c>
      <c r="L51" s="3"/>
      <c r="M51" s="161"/>
      <c r="O51" s="44"/>
    </row>
    <row r="52" ht="14.25" customHeight="1">
      <c r="B52" s="178" t="s">
        <v>165</v>
      </c>
      <c r="C52" s="177">
        <f t="array" ref="C52">INDEX($B37:$E44,MATCH(C49,$A37:$A44,1),MATCH(C46,$B36:$E36,1))</f>
        <v>500</v>
      </c>
      <c r="D52" s="3"/>
      <c r="E52" s="161"/>
      <c r="G52" s="3"/>
      <c r="H52" s="3"/>
      <c r="I52" s="3"/>
      <c r="J52" s="178" t="s">
        <v>165</v>
      </c>
      <c r="K52" s="177">
        <f t="array" ref="K52">INDEX($B37:$E44,MATCH(K49,$A37:$A44,1),MATCH(K46,$B36:$E36,1))</f>
        <v>500</v>
      </c>
      <c r="L52" s="3"/>
      <c r="M52" s="161"/>
      <c r="O52" s="44"/>
    </row>
    <row r="53" ht="14.25" customHeight="1">
      <c r="B53" s="178" t="s">
        <v>249</v>
      </c>
      <c r="C53" s="177">
        <f t="array" ref="C53">INDEX($B37:$E44,MATCH(C49,$A37:$A44,1),IF(MATCH(C46,$B36:$E36,1)&lt;E48,MATCH(C46,$B36:$E36,1)+1,MATCH(C49,$A37:$A44,1)))</f>
        <v>1000</v>
      </c>
      <c r="E53" s="161"/>
      <c r="G53" s="3"/>
      <c r="H53" s="3"/>
      <c r="I53" s="3"/>
      <c r="J53" s="178" t="s">
        <v>249</v>
      </c>
      <c r="K53" s="177">
        <f t="array" ref="K53">INDEX($B37:$E44,MATCH(K49,$A37:$A44,1),IF(MATCH(K46,$B36:$E36,1)&lt;M48,MATCH(K46,$B36:$E36,1)+1,MATCH(K49,$A37:$A44,1)))</f>
        <v>1000</v>
      </c>
      <c r="M53" s="161"/>
      <c r="O53" s="143"/>
    </row>
    <row r="54" ht="14.25" customHeight="1">
      <c r="B54" s="178" t="s">
        <v>177</v>
      </c>
      <c r="C54" s="177">
        <f t="array" ref="C54">INDEX($B37:$E44,IF(MATCH(C49,$A37:$A44,1)&lt;E47,MATCH(C49,$A37:$A44,1)+1,MATCH(C49,$A37:$A44,1)),MATCH(C46,$B36:$E36,1))</f>
        <v>500</v>
      </c>
      <c r="E54" s="161"/>
      <c r="G54" s="3"/>
      <c r="H54" s="3"/>
      <c r="I54" s="3"/>
      <c r="J54" s="178" t="s">
        <v>177</v>
      </c>
      <c r="K54" s="177">
        <f t="array" ref="K54">INDEX($B37:$E44,IF(MATCH(K49,$A37:$A44,1)&lt;M47,MATCH(K49,$A37:$A44,1)+1,MATCH(K49,$A37:$A44,1)),MATCH(K46,$B36:$E36,1))</f>
        <v>500</v>
      </c>
      <c r="M54" s="161"/>
      <c r="O54" s="143"/>
    </row>
    <row r="55" ht="14.25" customHeight="1">
      <c r="B55" s="178" t="s">
        <v>250</v>
      </c>
      <c r="C55" s="177">
        <f t="array" ref="C55">INDEX($B37:$E44,IF(MATCH(C49,$A37:$A44,1)&lt;E47,MATCH(C49,$A37:$A44,1)+1,MATCH(C49,$A37:$A44,1)),IF(MATCH(C46,$B36:$E36,1)&lt;E48,MATCH(C46,$B36:$E36,1)+1,MATCH(C46,$B36:$E36,1)))</f>
        <v>1000</v>
      </c>
      <c r="G55" s="3"/>
      <c r="H55" s="3"/>
      <c r="I55" s="3"/>
      <c r="J55" s="178" t="s">
        <v>250</v>
      </c>
      <c r="K55" s="177">
        <f t="array" ref="K55">INDEX($B37:$E44,IF(MATCH(K49,$A37:$A44,1)&lt;M47,MATCH(K49,$A37:$A44,1)+1,MATCH(K49,$A37:$A44,1)),IF(MATCH(K46,$B36:$E36,1)&lt;M48,MATCH(K46,$B36:$E36,1)+1,MATCH(K46,$B36:$E36,1)))</f>
        <v>1000</v>
      </c>
      <c r="O55" s="143"/>
    </row>
    <row r="56" ht="14.25" customHeight="1">
      <c r="B56" s="129" t="s">
        <v>252</v>
      </c>
      <c r="C56" s="182">
        <f>IFERROR(C52+(C46-C47)*(C53-C52)/(C48-C47),C52)</f>
        <v>826</v>
      </c>
      <c r="G56" s="3"/>
      <c r="H56" s="3"/>
      <c r="I56" s="3"/>
      <c r="J56" s="129" t="s">
        <v>252</v>
      </c>
      <c r="K56" s="182">
        <f>IFERROR(K52+(K46-K47)*(K53-K52)/(K48-K47),K52)</f>
        <v>830</v>
      </c>
      <c r="O56" s="143"/>
    </row>
    <row r="57" ht="14.25" customHeight="1">
      <c r="B57" s="129" t="s">
        <v>253</v>
      </c>
      <c r="C57" s="182">
        <f>IFERROR(C54+(C46-C47)*(C55-C54)/(C48-C47),C54)</f>
        <v>826</v>
      </c>
      <c r="G57" s="3"/>
      <c r="H57" s="3"/>
      <c r="I57" s="3"/>
      <c r="J57" s="129" t="s">
        <v>253</v>
      </c>
      <c r="K57" s="182">
        <f>IFERROR(K54+(K46-K47)*(K55-K54)/(K48-K47),K54)</f>
        <v>830</v>
      </c>
      <c r="O57" s="143"/>
    </row>
    <row r="58" ht="14.25" customHeight="1">
      <c r="B58" s="178" t="s">
        <v>254</v>
      </c>
      <c r="C58" s="177">
        <f>IFERROR(C56+(C49-C50)*(C57-C56)/(C51-C50),C56)</f>
        <v>826</v>
      </c>
      <c r="G58" s="3"/>
      <c r="H58" s="3"/>
      <c r="I58" s="3"/>
      <c r="J58" s="178" t="s">
        <v>254</v>
      </c>
      <c r="K58" s="177">
        <f>IFERROR(K56+(K49-K50)*(K57-K56)/(K51-K50),K56)</f>
        <v>830</v>
      </c>
      <c r="O58" s="143"/>
    </row>
    <row r="59" ht="14.25" customHeight="1">
      <c r="B59" s="178"/>
      <c r="C59" s="177"/>
      <c r="G59" s="3"/>
      <c r="H59" s="3"/>
      <c r="I59" s="3"/>
      <c r="J59" s="178"/>
      <c r="K59" s="177"/>
      <c r="O59" s="143"/>
      <c r="P59" s="3"/>
      <c r="Q59" s="3"/>
      <c r="R59" s="178"/>
      <c r="S59" s="177"/>
      <c r="W59" s="3"/>
      <c r="X59" s="3"/>
      <c r="Y59" s="3"/>
      <c r="Z59" s="178"/>
      <c r="AA59" s="177"/>
      <c r="AE59" s="3"/>
      <c r="AF59" s="3"/>
      <c r="AG59" s="3"/>
    </row>
    <row r="60" ht="15.0" customHeight="1">
      <c r="B60" s="178"/>
      <c r="C60" s="177"/>
      <c r="G60" s="3"/>
      <c r="H60" s="3"/>
      <c r="I60" s="3"/>
      <c r="J60" s="178"/>
      <c r="K60" s="177"/>
      <c r="L60" s="29"/>
      <c r="M60" s="29"/>
      <c r="N60" s="29"/>
      <c r="O60" s="3"/>
      <c r="P60" s="3"/>
      <c r="Q60" s="3"/>
      <c r="R60" s="178"/>
      <c r="S60" s="177"/>
      <c r="W60" s="3"/>
      <c r="X60" s="3"/>
      <c r="Y60" s="3"/>
      <c r="Z60" s="178"/>
      <c r="AA60" s="177"/>
      <c r="AE60" s="3"/>
      <c r="AF60" s="3"/>
      <c r="AG60" s="3"/>
    </row>
    <row r="61" ht="15.0" customHeight="1">
      <c r="A61" s="29"/>
      <c r="B61" s="330" t="s">
        <v>257</v>
      </c>
      <c r="C61" s="259"/>
      <c r="D61" s="259"/>
      <c r="E61" s="259"/>
      <c r="F61" s="259"/>
      <c r="G61" s="141"/>
      <c r="H61" s="141"/>
      <c r="I61" s="141"/>
      <c r="J61" s="141"/>
      <c r="K61" s="141"/>
      <c r="L61" s="141"/>
      <c r="M61" s="141"/>
      <c r="N61" s="141"/>
      <c r="O61" s="141"/>
      <c r="P61" s="3"/>
      <c r="Q61" s="3"/>
      <c r="R61" s="178"/>
      <c r="S61" s="177"/>
      <c r="T61" s="29"/>
      <c r="U61" s="29"/>
      <c r="W61" s="3"/>
      <c r="X61" s="3"/>
      <c r="Y61" s="3"/>
      <c r="Z61" s="178"/>
      <c r="AA61" s="177"/>
      <c r="AE61" s="3"/>
      <c r="AF61" s="3"/>
      <c r="AG61" s="3"/>
    </row>
    <row r="62" ht="15.0" customHeight="1">
      <c r="A62" s="29" t="s">
        <v>152</v>
      </c>
      <c r="B62" s="331">
        <v>500.0</v>
      </c>
      <c r="C62" s="345">
        <v>1000.0</v>
      </c>
      <c r="D62" s="345">
        <v>1500.0</v>
      </c>
      <c r="E62" s="334">
        <v>2000.0</v>
      </c>
      <c r="F62" s="346"/>
      <c r="G62" s="177"/>
      <c r="H62" s="29"/>
      <c r="I62" s="178"/>
      <c r="J62" s="177"/>
      <c r="K62" s="29"/>
      <c r="L62" s="29"/>
      <c r="M62" s="29"/>
      <c r="N62" s="3"/>
      <c r="O62" s="3"/>
      <c r="P62" s="3"/>
      <c r="Q62" s="29"/>
      <c r="R62" s="29"/>
      <c r="S62" s="3"/>
      <c r="T62" s="3"/>
      <c r="U62" s="3"/>
      <c r="V62" s="178"/>
      <c r="W62" s="177"/>
      <c r="AA62" s="3"/>
      <c r="AB62" s="3"/>
      <c r="AC62" s="3"/>
      <c r="AD62" s="178"/>
      <c r="AE62" s="177"/>
    </row>
    <row r="63" ht="15.0" customHeight="1">
      <c r="A63" s="29">
        <v>-10.0</v>
      </c>
      <c r="B63" s="331">
        <v>800.0</v>
      </c>
      <c r="C63" s="345">
        <v>1230.0</v>
      </c>
      <c r="D63" s="345">
        <v>1910.0</v>
      </c>
      <c r="E63" s="347">
        <v>99999.0</v>
      </c>
      <c r="F63" s="346"/>
      <c r="G63" s="177"/>
      <c r="H63" s="177"/>
      <c r="I63" s="177"/>
      <c r="J63" s="177"/>
      <c r="K63" s="177"/>
      <c r="L63" s="177"/>
      <c r="M63" s="177"/>
      <c r="N63" s="177"/>
      <c r="O63" s="177"/>
      <c r="P63" s="3"/>
      <c r="Q63" s="29"/>
      <c r="S63" s="3"/>
      <c r="T63" s="3"/>
      <c r="U63" s="3"/>
      <c r="V63" s="178"/>
      <c r="W63" s="177"/>
      <c r="AA63" s="3"/>
      <c r="AB63" s="3"/>
      <c r="AC63" s="3"/>
      <c r="AD63" s="178"/>
      <c r="AE63" s="177"/>
    </row>
    <row r="64" ht="15.0" customHeight="1">
      <c r="A64" s="29">
        <v>0.0</v>
      </c>
      <c r="B64" s="343">
        <v>500.0</v>
      </c>
      <c r="C64" s="141">
        <v>1000.0</v>
      </c>
      <c r="D64" s="141">
        <v>1500.0</v>
      </c>
      <c r="E64" s="347">
        <v>99999.0</v>
      </c>
      <c r="F64" s="346"/>
      <c r="G64" s="177"/>
      <c r="H64" s="29"/>
      <c r="I64" s="178"/>
      <c r="J64" s="177"/>
      <c r="K64" s="29"/>
      <c r="L64" s="29"/>
      <c r="M64" s="29"/>
      <c r="N64" s="3"/>
      <c r="O64" s="3"/>
      <c r="P64" s="3"/>
      <c r="Q64" s="29"/>
      <c r="S64" s="3"/>
      <c r="T64" s="3"/>
      <c r="U64" s="3"/>
      <c r="V64" s="178"/>
      <c r="W64" s="177"/>
      <c r="AA64" s="3"/>
      <c r="AB64" s="3"/>
      <c r="AC64" s="3"/>
      <c r="AD64" s="178"/>
      <c r="AE64" s="177"/>
    </row>
    <row r="65" ht="15.0" customHeight="1">
      <c r="A65" s="29">
        <v>30.0</v>
      </c>
      <c r="B65" s="340">
        <v>390.0</v>
      </c>
      <c r="C65" s="348">
        <v>800.0</v>
      </c>
      <c r="D65" s="348">
        <v>1250.0</v>
      </c>
      <c r="E65" s="347">
        <v>99999.0</v>
      </c>
      <c r="F65" s="346"/>
      <c r="G65" s="177"/>
      <c r="I65" s="178"/>
      <c r="J65" s="177"/>
      <c r="N65" s="3"/>
      <c r="O65" s="3"/>
      <c r="P65" s="3"/>
      <c r="S65" s="3"/>
      <c r="T65" s="3"/>
      <c r="U65" s="3"/>
      <c r="V65" s="178"/>
      <c r="W65" s="177"/>
      <c r="AA65" s="3"/>
      <c r="AB65" s="3"/>
      <c r="AC65" s="3"/>
      <c r="AD65" s="178"/>
      <c r="AE65" s="177"/>
    </row>
    <row r="66" ht="15.0" customHeight="1">
      <c r="B66" s="178"/>
      <c r="C66" s="177"/>
      <c r="D66" s="29"/>
      <c r="E66" s="29"/>
      <c r="F66" s="29"/>
      <c r="G66" s="3"/>
      <c r="H66" s="3"/>
      <c r="I66" s="3"/>
      <c r="J66" s="178"/>
      <c r="K66" s="177"/>
      <c r="O66" s="44"/>
      <c r="P66" s="3"/>
      <c r="Q66" s="3"/>
      <c r="R66" s="178"/>
      <c r="S66" s="177"/>
      <c r="W66" s="3"/>
      <c r="X66" s="3"/>
      <c r="Y66" s="3"/>
      <c r="Z66" s="178"/>
      <c r="AA66" s="177"/>
      <c r="AE66" s="3"/>
      <c r="AF66" s="3"/>
      <c r="AG66" s="3"/>
    </row>
    <row r="67" ht="15.0" customHeight="1">
      <c r="B67" s="178" t="s">
        <v>134</v>
      </c>
      <c r="C67" s="177">
        <f>C58</f>
        <v>826</v>
      </c>
      <c r="D67" s="167" t="s">
        <v>239</v>
      </c>
      <c r="G67" s="3"/>
      <c r="H67" s="3"/>
      <c r="I67" s="3"/>
      <c r="J67" s="178" t="s">
        <v>134</v>
      </c>
      <c r="K67" s="177">
        <f>K58</f>
        <v>830</v>
      </c>
      <c r="L67" s="167" t="s">
        <v>239</v>
      </c>
      <c r="O67" s="44"/>
      <c r="P67" s="3"/>
      <c r="Q67" s="3"/>
      <c r="R67" s="178"/>
      <c r="S67" s="177"/>
      <c r="T67" s="167"/>
      <c r="W67" s="3"/>
      <c r="X67" s="3"/>
      <c r="Y67" s="3"/>
      <c r="Z67" s="178"/>
      <c r="AA67" s="177"/>
      <c r="AB67" s="167"/>
      <c r="AE67" s="3"/>
      <c r="AF67" s="3"/>
      <c r="AG67" s="3"/>
    </row>
    <row r="68" ht="15.0" customHeight="1">
      <c r="B68" s="129" t="s">
        <v>240</v>
      </c>
      <c r="C68" s="182">
        <f t="array" ref="C68">INDEX($B62:$E62,MATCH(C67,$B62:$E62,1))</f>
        <v>500</v>
      </c>
      <c r="D68" s="129" t="s">
        <v>131</v>
      </c>
      <c r="E68" s="155">
        <f>MATCH(MAX($A63:$A65),$A63:$A65,1)</f>
        <v>3</v>
      </c>
      <c r="G68" s="3"/>
      <c r="H68" s="3"/>
      <c r="I68" s="3"/>
      <c r="J68" s="129" t="s">
        <v>240</v>
      </c>
      <c r="K68" s="182">
        <f t="array" ref="K68">INDEX($B62:$E62,MATCH(K67,$B62:$E62,1))</f>
        <v>500</v>
      </c>
      <c r="L68" s="129" t="s">
        <v>131</v>
      </c>
      <c r="M68" s="155">
        <f>MATCH(MAX($A63:$A65),$A63:$A65,1)</f>
        <v>3</v>
      </c>
      <c r="O68" s="44"/>
      <c r="P68" s="3"/>
      <c r="Q68" s="3"/>
      <c r="R68" s="129"/>
      <c r="S68" s="182"/>
      <c r="T68" s="129"/>
      <c r="U68" s="155"/>
      <c r="W68" s="3"/>
      <c r="X68" s="3"/>
      <c r="Y68" s="3"/>
      <c r="Z68" s="129"/>
      <c r="AA68" s="182"/>
      <c r="AB68" s="129"/>
      <c r="AC68" s="155"/>
      <c r="AE68" s="3"/>
      <c r="AF68" s="3"/>
      <c r="AG68" s="3"/>
    </row>
    <row r="69" ht="15.0" customHeight="1">
      <c r="B69" s="129" t="s">
        <v>241</v>
      </c>
      <c r="C69" s="182">
        <f t="array" ref="C69">INDEX($B62:$E62,IF(MATCH(C67,$B62:$E62,1)&lt;E69,MATCH(C67,$B62:$E62,1)+1,MATCH(C67,$B62:$E62,1)))</f>
        <v>1000</v>
      </c>
      <c r="D69" s="129" t="s">
        <v>132</v>
      </c>
      <c r="E69" s="155">
        <f>MATCH(MAX($B62:$E62),$B62:$E62,0)</f>
        <v>4</v>
      </c>
      <c r="G69" s="3"/>
      <c r="H69" s="3"/>
      <c r="I69" s="3"/>
      <c r="J69" s="129" t="s">
        <v>241</v>
      </c>
      <c r="K69" s="182">
        <f t="array" ref="K69">INDEX($B62:$E62,IF(MATCH(K67,$B62:$E62,1)&lt;M69,MATCH(K67,$B62:$E62,1)+1,MATCH(K67,$B62:$E62,1)))</f>
        <v>1000</v>
      </c>
      <c r="L69" s="129" t="s">
        <v>132</v>
      </c>
      <c r="M69" s="155">
        <f>MATCH(MAX($B62:$E62),$B62:$E62,0)</f>
        <v>4</v>
      </c>
      <c r="O69" s="44"/>
      <c r="P69" s="3"/>
      <c r="Q69" s="3"/>
      <c r="R69" s="129"/>
      <c r="S69" s="182"/>
      <c r="T69" s="129"/>
      <c r="U69" s="155"/>
      <c r="W69" s="3"/>
      <c r="X69" s="3"/>
      <c r="Y69" s="3"/>
      <c r="Z69" s="129"/>
      <c r="AA69" s="182"/>
      <c r="AB69" s="129"/>
      <c r="AC69" s="155"/>
      <c r="AE69" s="3"/>
      <c r="AF69" s="3"/>
      <c r="AG69" s="3"/>
    </row>
    <row r="70" ht="15.0" customHeight="1">
      <c r="B70" s="176" t="s">
        <v>136</v>
      </c>
      <c r="C70" s="274">
        <f>Landing!C21</f>
        <v>0</v>
      </c>
      <c r="D70" s="3"/>
      <c r="E70" s="3"/>
      <c r="G70" s="3"/>
      <c r="H70" s="3"/>
      <c r="I70" s="3"/>
      <c r="J70" s="176" t="s">
        <v>136</v>
      </c>
      <c r="K70" s="274">
        <f>'Take-off'!$C$24</f>
        <v>0</v>
      </c>
      <c r="L70" s="3"/>
      <c r="M70" s="3"/>
      <c r="O70" s="44"/>
      <c r="P70" s="3"/>
      <c r="Q70" s="3"/>
      <c r="R70" s="178"/>
      <c r="S70" s="274"/>
      <c r="T70" s="3"/>
      <c r="U70" s="3"/>
      <c r="W70" s="3"/>
      <c r="X70" s="3"/>
      <c r="Y70" s="3"/>
      <c r="Z70" s="178"/>
      <c r="AA70" s="274"/>
      <c r="AB70" s="3"/>
      <c r="AC70" s="3"/>
      <c r="AE70" s="3"/>
      <c r="AF70" s="3"/>
      <c r="AG70" s="3"/>
    </row>
    <row r="71" ht="15.0" customHeight="1">
      <c r="B71" s="129" t="s">
        <v>139</v>
      </c>
      <c r="C71" s="182">
        <f t="array" ref="C71">INDEX($A63:$A65,MATCH(C70,$A63:$A65,1))</f>
        <v>0</v>
      </c>
      <c r="D71" s="3"/>
      <c r="E71" s="161"/>
      <c r="G71" s="3"/>
      <c r="H71" s="3"/>
      <c r="I71" s="3"/>
      <c r="J71" s="129" t="s">
        <v>139</v>
      </c>
      <c r="K71" s="182">
        <f t="array" ref="K71">INDEX($A63:$A65,MATCH(K70,$A63:$A65,1))</f>
        <v>0</v>
      </c>
      <c r="L71" s="3"/>
      <c r="M71" s="161"/>
      <c r="O71" s="44"/>
      <c r="P71" s="3"/>
      <c r="Q71" s="3"/>
      <c r="R71" s="129"/>
      <c r="S71" s="182"/>
      <c r="T71" s="3"/>
      <c r="U71" s="161"/>
      <c r="W71" s="3"/>
      <c r="X71" s="3"/>
      <c r="Y71" s="3"/>
      <c r="Z71" s="129"/>
      <c r="AA71" s="182"/>
      <c r="AB71" s="3"/>
      <c r="AC71" s="161"/>
      <c r="AE71" s="3"/>
      <c r="AF71" s="3"/>
      <c r="AG71" s="3"/>
    </row>
    <row r="72" ht="15.0" customHeight="1">
      <c r="B72" s="129" t="s">
        <v>145</v>
      </c>
      <c r="C72" s="182">
        <f t="array" ref="C72">INDEX($A63:$A65,IF(MATCH(C70,$A63:$A65,1)&lt;E68,MATCH(C70,$A63:$A65,1)+1,MATCH(C70,$A63:$A65,1)))</f>
        <v>30</v>
      </c>
      <c r="D72" s="3"/>
      <c r="E72" s="161"/>
      <c r="G72" s="3"/>
      <c r="H72" s="3"/>
      <c r="I72" s="3"/>
      <c r="J72" s="129" t="s">
        <v>145</v>
      </c>
      <c r="K72" s="182">
        <f t="array" ref="K72">INDEX($A63:$A65,IF(MATCH(K70,$A63:$A65,1)&lt;M68,MATCH(K70,$A63:$A65,1)+1,MATCH(K70,$A63:$A65,1)))</f>
        <v>30</v>
      </c>
      <c r="L72" s="3"/>
      <c r="M72" s="161"/>
      <c r="O72" s="44"/>
      <c r="P72" s="3"/>
      <c r="Q72" s="3"/>
      <c r="R72" s="129"/>
      <c r="S72" s="182"/>
      <c r="T72" s="3"/>
      <c r="U72" s="161"/>
      <c r="W72" s="3"/>
      <c r="X72" s="3"/>
      <c r="Y72" s="3"/>
      <c r="Z72" s="129"/>
      <c r="AA72" s="182"/>
      <c r="AB72" s="3"/>
      <c r="AC72" s="161"/>
      <c r="AE72" s="3"/>
      <c r="AF72" s="3"/>
      <c r="AG72" s="3"/>
    </row>
    <row r="73" ht="15.0" customHeight="1">
      <c r="B73" s="178" t="s">
        <v>165</v>
      </c>
      <c r="C73" s="177">
        <f t="array" ref="C73">INDEX($B63:$E65,MATCH(C70,$A63:$A65,1),MATCH(C67,$B62:$E62,1))</f>
        <v>500</v>
      </c>
      <c r="D73" s="3"/>
      <c r="E73" s="161"/>
      <c r="G73" s="3"/>
      <c r="H73" s="3"/>
      <c r="I73" s="3"/>
      <c r="J73" s="178" t="s">
        <v>165</v>
      </c>
      <c r="K73" s="177">
        <f t="array" ref="K73">INDEX($B63:$E65,MATCH(K70,$A63:$A65,1),MATCH(K67,$B62:$E62,1))</f>
        <v>500</v>
      </c>
      <c r="L73" s="3"/>
      <c r="M73" s="161"/>
      <c r="O73" s="44"/>
      <c r="P73" s="3"/>
      <c r="Q73" s="3"/>
      <c r="R73" s="178"/>
      <c r="S73" s="177"/>
      <c r="T73" s="3"/>
      <c r="U73" s="161"/>
      <c r="W73" s="3"/>
      <c r="X73" s="3"/>
      <c r="Y73" s="3"/>
      <c r="Z73" s="178"/>
      <c r="AA73" s="177"/>
      <c r="AB73" s="3"/>
      <c r="AC73" s="161"/>
      <c r="AE73" s="3"/>
      <c r="AF73" s="3"/>
      <c r="AG73" s="3"/>
    </row>
    <row r="74" ht="15.0" customHeight="1">
      <c r="B74" s="178" t="s">
        <v>249</v>
      </c>
      <c r="C74" s="177">
        <f t="array" ref="C74">INDEX($B63:$E65,MATCH(C70,$A63:$A65,1),IF(MATCH(C67,$B62:$E62,1)&lt;E69,MATCH(C67,$B62:$E62,1)+1,MATCH(C70,$A63:$A65,1)))</f>
        <v>1000</v>
      </c>
      <c r="E74" s="161"/>
      <c r="G74" s="3"/>
      <c r="H74" s="3"/>
      <c r="I74" s="3"/>
      <c r="J74" s="178" t="s">
        <v>249</v>
      </c>
      <c r="K74" s="177">
        <f t="array" ref="K74">INDEX($B63:$E65,MATCH(K70,$A63:$A65,1),IF(MATCH(K67,$B62:$E62,1)&lt;M69,MATCH(K67,$B62:$E62,1)+1,MATCH(K70,$A63:$A65,1)))</f>
        <v>1000</v>
      </c>
      <c r="M74" s="161"/>
      <c r="O74" s="143"/>
      <c r="P74" s="3"/>
      <c r="Q74" s="3"/>
      <c r="R74" s="178"/>
      <c r="S74" s="177"/>
      <c r="U74" s="161"/>
      <c r="W74" s="3"/>
      <c r="X74" s="3"/>
      <c r="Y74" s="3"/>
      <c r="Z74" s="178"/>
      <c r="AA74" s="177"/>
      <c r="AC74" s="161"/>
      <c r="AE74" s="3"/>
      <c r="AF74" s="3"/>
      <c r="AG74" s="3"/>
    </row>
    <row r="75" ht="15.0" customHeight="1">
      <c r="B75" s="178" t="s">
        <v>177</v>
      </c>
      <c r="C75" s="177">
        <f t="array" ref="C75">INDEX($B63:$E65,IF(MATCH(C70,$A63:$A65,1)&lt;E68,MATCH(C70,$A63:$A65,1)+1,MATCH(C70,$A63:$A65,1)),MATCH(C67,$B62:$E62,1))</f>
        <v>390</v>
      </c>
      <c r="E75" s="161"/>
      <c r="G75" s="3"/>
      <c r="H75" s="3"/>
      <c r="I75" s="3"/>
      <c r="J75" s="178" t="s">
        <v>177</v>
      </c>
      <c r="K75" s="177">
        <f t="array" ref="K75">INDEX($B63:$E65,IF(MATCH(K70,$A63:$A65,1)&lt;M68,MATCH(K70,$A63:$A65,1)+1,MATCH(K70,$A63:$A65,1)),MATCH(K67,$B62:$E62,1))</f>
        <v>390</v>
      </c>
      <c r="M75" s="161"/>
      <c r="O75" s="143"/>
      <c r="P75" s="3"/>
      <c r="Q75" s="3"/>
      <c r="R75" s="178"/>
      <c r="S75" s="177"/>
      <c r="U75" s="161"/>
      <c r="W75" s="3"/>
      <c r="X75" s="3"/>
      <c r="Y75" s="3"/>
      <c r="Z75" s="178"/>
      <c r="AA75" s="177"/>
      <c r="AC75" s="161"/>
      <c r="AE75" s="3"/>
      <c r="AF75" s="3"/>
      <c r="AG75" s="3"/>
    </row>
    <row r="76" ht="15.0" customHeight="1">
      <c r="B76" s="178" t="s">
        <v>250</v>
      </c>
      <c r="C76" s="177">
        <f t="array" ref="C76">INDEX($B63:$E65,IF(MATCH(C70,$A63:$A65,1)&lt;E68,MATCH(C70,$A63:$A65,1)+1,MATCH(C70,$A63:$A65,1)),IF(MATCH(C67,$B62:$E62,1)&lt;E69,MATCH(C67,$B62:$E62,1)+1,MATCH(C67,$B62:$E62,1)))</f>
        <v>800</v>
      </c>
      <c r="G76" s="3"/>
      <c r="H76" s="3"/>
      <c r="I76" s="3"/>
      <c r="J76" s="178" t="s">
        <v>250</v>
      </c>
      <c r="K76" s="177">
        <f t="array" ref="K76">INDEX($B63:$E65,IF(MATCH(K70,$A63:$A65,1)&lt;M68,MATCH(K70,$A63:$A65,1)+1,MATCH(K70,$A63:$A65,1)),IF(MATCH(K67,$B62:$E62,1)&lt;M69,MATCH(K67,$B62:$E62,1)+1,MATCH(K67,$B62:$E62,1)))</f>
        <v>800</v>
      </c>
      <c r="O76" s="143"/>
      <c r="P76" s="3"/>
      <c r="Q76" s="3"/>
      <c r="R76" s="178"/>
      <c r="S76" s="177"/>
      <c r="W76" s="3"/>
      <c r="X76" s="3"/>
      <c r="Y76" s="3"/>
      <c r="Z76" s="178"/>
      <c r="AA76" s="177"/>
      <c r="AE76" s="3"/>
      <c r="AF76" s="3"/>
      <c r="AG76" s="3"/>
    </row>
    <row r="77" ht="15.0" customHeight="1">
      <c r="B77" s="129" t="s">
        <v>252</v>
      </c>
      <c r="C77" s="182">
        <f>IFERROR(C73+(C67-C68)*(C74-C73)/(C69-C68),C73)</f>
        <v>826</v>
      </c>
      <c r="G77" s="3"/>
      <c r="H77" s="3"/>
      <c r="I77" s="3"/>
      <c r="J77" s="129" t="s">
        <v>252</v>
      </c>
      <c r="K77" s="182">
        <f>IFERROR(K73+(K67-K68)*(K74-K73)/(K69-K68),K73)</f>
        <v>830</v>
      </c>
      <c r="O77" s="143"/>
      <c r="P77" s="3"/>
      <c r="Q77" s="3"/>
      <c r="R77" s="129"/>
      <c r="S77" s="182"/>
      <c r="W77" s="3"/>
      <c r="X77" s="3"/>
      <c r="Y77" s="3"/>
      <c r="Z77" s="129"/>
      <c r="AA77" s="182"/>
      <c r="AE77" s="3"/>
      <c r="AF77" s="3"/>
      <c r="AG77" s="3"/>
    </row>
    <row r="78" ht="15.0" customHeight="1">
      <c r="B78" s="129" t="s">
        <v>253</v>
      </c>
      <c r="C78" s="182">
        <f>IFERROR(C75+(C67-C68)*(C76-C75)/(C69-C68),C75)</f>
        <v>657.32</v>
      </c>
      <c r="G78" s="3"/>
      <c r="H78" s="3"/>
      <c r="I78" s="3"/>
      <c r="J78" s="129" t="s">
        <v>253</v>
      </c>
      <c r="K78" s="182">
        <f>IFERROR(K75+(K67-K68)*(K76-K75)/(K69-K68),K75)</f>
        <v>660.6</v>
      </c>
      <c r="O78" s="143"/>
      <c r="P78" s="3"/>
      <c r="Q78" s="3"/>
      <c r="R78" s="129"/>
      <c r="S78" s="182"/>
      <c r="W78" s="3"/>
      <c r="X78" s="3"/>
      <c r="Y78" s="3"/>
      <c r="Z78" s="129"/>
      <c r="AA78" s="182"/>
      <c r="AE78" s="3"/>
      <c r="AF78" s="3"/>
      <c r="AG78" s="3"/>
    </row>
    <row r="79" ht="15.0" customHeight="1">
      <c r="B79" s="178" t="s">
        <v>254</v>
      </c>
      <c r="C79" s="177">
        <f>IFERROR(C77+(C70-C71)*(C78-C77)/(C72-C71),C77)</f>
        <v>826</v>
      </c>
      <c r="G79" s="3"/>
      <c r="H79" s="3"/>
      <c r="I79" s="3"/>
      <c r="J79" s="178" t="s">
        <v>254</v>
      </c>
      <c r="K79" s="177">
        <f>IFERROR(K77+(K70-K71)*(K78-K77)/(K72-K71),K77)</f>
        <v>830</v>
      </c>
      <c r="O79" s="143"/>
      <c r="P79" s="3"/>
      <c r="Q79" s="3"/>
      <c r="R79" s="178"/>
      <c r="S79" s="177"/>
      <c r="W79" s="3"/>
      <c r="X79" s="3"/>
      <c r="Y79" s="3"/>
      <c r="Z79" s="178"/>
      <c r="AA79" s="177"/>
      <c r="AE79" s="3"/>
      <c r="AF79" s="3"/>
      <c r="AG79" s="3"/>
    </row>
    <row r="80" ht="15.0" customHeight="1">
      <c r="B80" s="178"/>
      <c r="C80" s="177"/>
      <c r="G80" s="3"/>
      <c r="H80" s="3"/>
      <c r="I80" s="3"/>
      <c r="J80" s="178"/>
      <c r="K80" s="177"/>
      <c r="L80" s="29"/>
      <c r="M80" s="29"/>
      <c r="N80" s="29"/>
      <c r="O80" s="143"/>
      <c r="P80" s="3"/>
      <c r="Q80" s="3"/>
      <c r="R80" s="178"/>
      <c r="S80" s="177"/>
      <c r="T80" s="29"/>
      <c r="W80" s="3"/>
      <c r="X80" s="3"/>
      <c r="Y80" s="3"/>
      <c r="Z80" s="178"/>
      <c r="AA80" s="177"/>
      <c r="AE80" s="3"/>
      <c r="AF80" s="3"/>
      <c r="AG80" s="3"/>
    </row>
    <row r="81" ht="15.0" customHeight="1">
      <c r="A81" s="29"/>
      <c r="B81" s="330" t="s">
        <v>260</v>
      </c>
      <c r="C81" s="259"/>
      <c r="D81" s="259"/>
      <c r="E81" s="259"/>
      <c r="F81" s="259"/>
      <c r="G81" s="259"/>
      <c r="H81" s="259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29"/>
      <c r="W81" s="3"/>
      <c r="X81" s="3"/>
      <c r="Y81" s="3"/>
      <c r="Z81" s="178"/>
      <c r="AA81" s="177"/>
      <c r="AE81" s="3"/>
      <c r="AF81" s="3"/>
      <c r="AG81" s="3"/>
    </row>
    <row r="82" ht="15.0" customHeight="1">
      <c r="A82" s="29"/>
      <c r="B82" s="331">
        <v>500.0</v>
      </c>
      <c r="C82" s="331">
        <v>1000.0</v>
      </c>
      <c r="D82" s="345">
        <v>1500.0</v>
      </c>
      <c r="E82" s="345">
        <v>2000.0</v>
      </c>
      <c r="F82" s="334">
        <v>2100.0</v>
      </c>
      <c r="G82" s="346"/>
      <c r="H82" s="177"/>
      <c r="I82" s="29"/>
      <c r="J82" s="178"/>
      <c r="K82" s="177"/>
      <c r="L82" s="29"/>
      <c r="M82" s="29"/>
      <c r="N82" s="29"/>
      <c r="O82" s="3"/>
      <c r="P82" s="3"/>
      <c r="Q82" s="3"/>
      <c r="R82" s="29"/>
      <c r="S82" s="29"/>
      <c r="T82" s="3"/>
      <c r="U82" s="3"/>
      <c r="V82" s="3"/>
      <c r="W82" s="178"/>
      <c r="X82" s="177"/>
      <c r="AB82" s="3"/>
      <c r="AC82" s="3"/>
      <c r="AD82" s="3"/>
      <c r="AE82" s="178"/>
      <c r="AF82" s="177"/>
    </row>
    <row r="83" ht="15.0" customHeight="1">
      <c r="A83" s="29">
        <v>0.0</v>
      </c>
      <c r="B83" s="331">
        <v>500.0</v>
      </c>
      <c r="C83" s="345">
        <v>1000.0</v>
      </c>
      <c r="D83" s="345">
        <v>1500.0</v>
      </c>
      <c r="E83" s="345">
        <v>2000.0</v>
      </c>
      <c r="F83" s="347">
        <v>99999.0</v>
      </c>
      <c r="G83" s="346"/>
      <c r="H83" s="177"/>
      <c r="I83" s="177"/>
      <c r="J83" s="177"/>
      <c r="K83" s="177"/>
      <c r="L83" s="177"/>
      <c r="M83" s="177"/>
      <c r="N83" s="177"/>
      <c r="O83" s="177"/>
      <c r="P83" s="177"/>
      <c r="Q83" s="3"/>
      <c r="R83" s="29"/>
      <c r="T83" s="3"/>
      <c r="U83" s="3"/>
      <c r="V83" s="3"/>
      <c r="W83" s="178"/>
      <c r="X83" s="177"/>
      <c r="AB83" s="3"/>
      <c r="AC83" s="3"/>
      <c r="AD83" s="3"/>
      <c r="AE83" s="178"/>
      <c r="AF83" s="177"/>
    </row>
    <row r="84" ht="15.0" customHeight="1">
      <c r="A84" s="29">
        <v>50.0</v>
      </c>
      <c r="B84" s="340">
        <v>1150.0</v>
      </c>
      <c r="C84" s="348">
        <v>2800.0</v>
      </c>
      <c r="D84" s="348">
        <v>1950.0</v>
      </c>
      <c r="E84" s="348">
        <v>3100.0</v>
      </c>
      <c r="F84" s="362">
        <v>99999.0</v>
      </c>
      <c r="G84" s="346"/>
      <c r="H84" s="177"/>
      <c r="J84" s="178"/>
      <c r="K84" s="177"/>
      <c r="O84" s="3"/>
      <c r="P84" s="3"/>
      <c r="Q84" s="3"/>
      <c r="T84" s="3"/>
      <c r="U84" s="3"/>
      <c r="V84" s="3"/>
      <c r="W84" s="178"/>
      <c r="X84" s="177"/>
      <c r="AB84" s="3"/>
      <c r="AC84" s="3"/>
      <c r="AD84" s="3"/>
      <c r="AE84" s="178"/>
      <c r="AF84" s="177"/>
    </row>
    <row r="85" ht="15.0" customHeight="1">
      <c r="B85" s="178"/>
      <c r="C85" s="177"/>
      <c r="D85" s="29"/>
      <c r="E85" s="29"/>
      <c r="F85" s="29"/>
      <c r="G85" s="3"/>
      <c r="H85" s="3"/>
      <c r="I85" s="3"/>
      <c r="J85" s="178"/>
      <c r="K85" s="177"/>
      <c r="L85" s="29"/>
      <c r="M85" s="29"/>
      <c r="N85" s="29"/>
      <c r="O85" s="44"/>
      <c r="P85" s="3"/>
      <c r="Q85" s="3"/>
      <c r="R85" s="178"/>
      <c r="S85" s="177"/>
      <c r="T85" s="29"/>
      <c r="W85" s="3"/>
      <c r="X85" s="3"/>
      <c r="Y85" s="3"/>
      <c r="Z85" s="178"/>
      <c r="AA85" s="177"/>
      <c r="AE85" s="3"/>
      <c r="AF85" s="3"/>
      <c r="AG85" s="3"/>
    </row>
    <row r="86" ht="15.0" customHeight="1">
      <c r="B86" s="178" t="s">
        <v>134</v>
      </c>
      <c r="C86" s="177">
        <f>C79</f>
        <v>826</v>
      </c>
      <c r="D86" s="167" t="s">
        <v>239</v>
      </c>
      <c r="G86" s="3"/>
      <c r="H86" s="3"/>
      <c r="I86" s="3"/>
      <c r="J86" s="178" t="s">
        <v>134</v>
      </c>
      <c r="K86" s="177">
        <f>K79</f>
        <v>830</v>
      </c>
      <c r="L86" s="167" t="s">
        <v>239</v>
      </c>
      <c r="O86" s="44"/>
      <c r="P86" s="3"/>
    </row>
    <row r="87" ht="15.0" customHeight="1">
      <c r="B87" s="129" t="s">
        <v>240</v>
      </c>
      <c r="C87" s="182">
        <f t="array" ref="C87">INDEX($B82:$F82,MATCH(C86,$B82:$F82,1))</f>
        <v>500</v>
      </c>
      <c r="D87" s="129" t="s">
        <v>131</v>
      </c>
      <c r="E87" s="155">
        <f>MATCH(MAX($A83:$A84),$A83:$A84,1)</f>
        <v>2</v>
      </c>
      <c r="G87" s="3"/>
      <c r="H87" s="3"/>
      <c r="I87" s="3"/>
      <c r="J87" s="129" t="s">
        <v>240</v>
      </c>
      <c r="K87" s="182">
        <f t="array" ref="K87">INDEX($B82:$F82,MATCH(K86,$B82:$F82,1))</f>
        <v>500</v>
      </c>
      <c r="L87" s="129" t="s">
        <v>131</v>
      </c>
      <c r="M87" s="155">
        <f>MATCH(MAX($A83:$A84),$A83:$A84,1)</f>
        <v>2</v>
      </c>
      <c r="O87" s="44"/>
      <c r="P87" s="3"/>
    </row>
    <row r="88" ht="15.0" customHeight="1">
      <c r="B88" s="129" t="s">
        <v>241</v>
      </c>
      <c r="C88" s="182">
        <f t="array" ref="C88">INDEX($B82:$F82,IF(MATCH(C86,$B82:$F82,1)&lt;E88,MATCH(C86,$B82:$F82,1)+1,MATCH(C86,$B82:$F82,1)))</f>
        <v>1000</v>
      </c>
      <c r="D88" s="129" t="s">
        <v>132</v>
      </c>
      <c r="E88" s="155">
        <f>MATCH(MAX($B82:$F82),$B82:$F82,0)</f>
        <v>5</v>
      </c>
      <c r="G88" s="3"/>
      <c r="H88" s="3"/>
      <c r="I88" s="3"/>
      <c r="J88" s="129" t="s">
        <v>241</v>
      </c>
      <c r="K88" s="182">
        <f t="array" ref="K88">INDEX($B82:$F82,IF(MATCH(K86,$B82:$F82,1)&lt;M88,MATCH(K86,$B82:$F82,1)+1,MATCH(K86,$B82:$F82,1)))</f>
        <v>1000</v>
      </c>
      <c r="L88" s="129" t="s">
        <v>132</v>
      </c>
      <c r="M88" s="155">
        <f>MATCH(MAX($B82:$F82),$B82:$F82,0)</f>
        <v>5</v>
      </c>
      <c r="O88" s="44"/>
      <c r="P88" s="3"/>
    </row>
    <row r="89" ht="15.0" customHeight="1">
      <c r="B89" s="176" t="s">
        <v>136</v>
      </c>
      <c r="C89" s="274">
        <v>50.0</v>
      </c>
      <c r="D89" s="3"/>
      <c r="E89" s="3"/>
      <c r="G89" s="3"/>
      <c r="H89" s="3"/>
      <c r="I89" s="3"/>
      <c r="J89" s="176" t="s">
        <v>136</v>
      </c>
      <c r="K89" s="274">
        <v>50.0</v>
      </c>
      <c r="L89" s="3"/>
      <c r="M89" s="3"/>
      <c r="O89" s="44"/>
      <c r="P89" s="3"/>
    </row>
    <row r="90" ht="15.0" customHeight="1">
      <c r="B90" s="129" t="s">
        <v>139</v>
      </c>
      <c r="C90" s="182">
        <f t="array" ref="C90">INDEX($A83:$A84,MATCH(C89,$A83:$A84,1))</f>
        <v>50</v>
      </c>
      <c r="D90" s="3"/>
      <c r="E90" s="161"/>
      <c r="G90" s="3"/>
      <c r="H90" s="3"/>
      <c r="I90" s="3"/>
      <c r="J90" s="129" t="s">
        <v>139</v>
      </c>
      <c r="K90" s="182">
        <f t="array" ref="K90">INDEX($A83:$A84,MATCH(K89,$A83:$A84,1))</f>
        <v>50</v>
      </c>
      <c r="L90" s="3"/>
      <c r="M90" s="161"/>
      <c r="O90" s="44"/>
      <c r="P90" s="3"/>
    </row>
    <row r="91" ht="15.0" customHeight="1">
      <c r="B91" s="129" t="s">
        <v>145</v>
      </c>
      <c r="C91" s="182">
        <f t="array" ref="C91">INDEX($A83:$A84,IF(MATCH(C89,$A83:$A84,1)&lt;E87,MATCH(C89,$A83:$A84,1)+1,MATCH(C89,$A83:$A84,1)))</f>
        <v>50</v>
      </c>
      <c r="D91" s="3"/>
      <c r="E91" s="161"/>
      <c r="G91" s="3"/>
      <c r="H91" s="3"/>
      <c r="I91" s="3"/>
      <c r="J91" s="129" t="s">
        <v>145</v>
      </c>
      <c r="K91" s="182">
        <f t="array" ref="K91">INDEX($A83:$A84,IF(MATCH(K89,$A83:$A84,1)&lt;M87,MATCH(K89,$A83:$A84,1)+1,MATCH(K89,$A83:$A84,1)))</f>
        <v>50</v>
      </c>
      <c r="L91" s="3"/>
      <c r="M91" s="161"/>
      <c r="O91" s="44"/>
      <c r="P91" s="3"/>
    </row>
    <row r="92" ht="15.0" customHeight="1">
      <c r="B92" s="178" t="s">
        <v>165</v>
      </c>
      <c r="C92" s="177">
        <f t="array" ref="C92">INDEX($B83:$F84,MATCH(C89,$A83:$A84,1),MATCH(C86,$B82:$F82,1))</f>
        <v>1150</v>
      </c>
      <c r="D92" s="3"/>
      <c r="E92" s="161"/>
      <c r="G92" s="3"/>
      <c r="H92" s="3"/>
      <c r="I92" s="3"/>
      <c r="J92" s="178" t="s">
        <v>165</v>
      </c>
      <c r="K92" s="177">
        <f t="array" ref="K92">INDEX($B83:$F84,MATCH(K89,$A83:$A84,1),MATCH(K86,$B82:$F82,1))</f>
        <v>1150</v>
      </c>
      <c r="L92" s="3"/>
      <c r="M92" s="161"/>
      <c r="O92" s="44"/>
      <c r="P92" s="3"/>
    </row>
    <row r="93" ht="15.0" customHeight="1">
      <c r="B93" s="178" t="s">
        <v>249</v>
      </c>
      <c r="C93" s="177">
        <f t="array" ref="C93">INDEX($B83:$F84,MATCH(C89,$A83:$A84,1),IF(MATCH(C86,$B82:$F82,1)&lt;E88,MATCH(C86,$B82:$F82,1)+1,MATCH(C89,$A83:$A84,1)))</f>
        <v>2800</v>
      </c>
      <c r="E93" s="161"/>
      <c r="G93" s="3"/>
      <c r="H93" s="3"/>
      <c r="I93" s="3"/>
      <c r="J93" s="178" t="s">
        <v>249</v>
      </c>
      <c r="K93" s="177">
        <f t="array" ref="K93">INDEX($B83:$F84,MATCH(K89,$A83:$A84,1),IF(MATCH(K86,$B82:$F82,1)&lt;M88,MATCH(K86,$B82:$F82,1)+1,MATCH(K89,$A83:$A84,1)))</f>
        <v>2800</v>
      </c>
      <c r="M93" s="161"/>
      <c r="O93" s="143"/>
      <c r="P93" s="3"/>
    </row>
    <row r="94" ht="15.0" customHeight="1">
      <c r="B94" s="178" t="s">
        <v>177</v>
      </c>
      <c r="C94" s="177">
        <f t="array" ref="C94">INDEX($B83:$F84,IF(MATCH(C89,$A83:$A84,1)&lt;E87,MATCH(C89,$A83:$A84,1)+1,MATCH(C89,$A83:$A84,1)),MATCH(C86,$B82:$F82,1))</f>
        <v>1150</v>
      </c>
      <c r="E94" s="161"/>
      <c r="G94" s="3"/>
      <c r="H94" s="3"/>
      <c r="I94" s="3"/>
      <c r="J94" s="178" t="s">
        <v>177</v>
      </c>
      <c r="K94" s="177">
        <f t="array" ref="K94">INDEX($B83:$F84,IF(MATCH(K89,$A83:$A84,1)&lt;M87,MATCH(K89,$A83:$A84,1)+1,MATCH(K89,$A83:$A84,1)),MATCH(K86,$B82:$F82,1))</f>
        <v>1150</v>
      </c>
      <c r="M94" s="161"/>
      <c r="O94" s="143"/>
      <c r="P94" s="3"/>
    </row>
    <row r="95" ht="15.0" customHeight="1">
      <c r="B95" s="178" t="s">
        <v>250</v>
      </c>
      <c r="C95" s="177">
        <f t="array" ref="C95">INDEX($B83:$F84,IF(MATCH(C89,$A83:$A84,1)&lt;E87,MATCH(C89,$A83:$A84,1)+1,MATCH(C89,$A83:$A84,1)),IF(MATCH(C86,$B82:$F82,1)&lt;E88,MATCH(C86,$B82:$F82,1)+1,MATCH(C86,$B82:$F82,1)))</f>
        <v>2800</v>
      </c>
      <c r="G95" s="3"/>
      <c r="H95" s="3"/>
      <c r="I95" s="3"/>
      <c r="J95" s="178" t="s">
        <v>250</v>
      </c>
      <c r="K95" s="177">
        <f t="array" ref="K95">INDEX($B83:$F84,IF(MATCH(K89,$A83:$A84,1)&lt;M87,MATCH(K89,$A83:$A84,1)+1,MATCH(K89,$A83:$A84,1)),IF(MATCH(K86,$B82:$F82,1)&lt;M88,MATCH(K86,$B82:$F82,1)+1,MATCH(K86,$B82:$F82,1)))</f>
        <v>2800</v>
      </c>
      <c r="O95" s="143"/>
      <c r="P95" s="3"/>
    </row>
    <row r="96" ht="15.0" customHeight="1">
      <c r="B96" s="129" t="s">
        <v>252</v>
      </c>
      <c r="C96" s="182">
        <f>IFERROR(C92+(C86-C87)*(C93-C92)/(C88-C87),C92)</f>
        <v>2225.8</v>
      </c>
      <c r="G96" s="3"/>
      <c r="H96" s="3"/>
      <c r="I96" s="3"/>
      <c r="J96" s="129" t="s">
        <v>252</v>
      </c>
      <c r="K96" s="182">
        <f>IFERROR(K92+(K86-K87)*(K93-K92)/(K88-K87),K92)</f>
        <v>2239</v>
      </c>
      <c r="O96" s="143"/>
      <c r="P96" s="3"/>
    </row>
    <row r="97" ht="15.0" customHeight="1">
      <c r="B97" s="129" t="s">
        <v>253</v>
      </c>
      <c r="C97" s="182">
        <f>IFERROR(C94+(C86-C87)*(C95-C94)/(C88-C87),C94)</f>
        <v>2225.8</v>
      </c>
      <c r="G97" s="3"/>
      <c r="H97" s="3"/>
      <c r="I97" s="3"/>
      <c r="J97" s="129" t="s">
        <v>253</v>
      </c>
      <c r="K97" s="182">
        <f>IFERROR(K94+(K86-K87)*(K95-K94)/(K88-K87),K94)</f>
        <v>2239</v>
      </c>
      <c r="O97" s="143"/>
      <c r="P97" s="3"/>
    </row>
    <row r="98" ht="15.0" customHeight="1">
      <c r="B98" s="178" t="s">
        <v>254</v>
      </c>
      <c r="C98" s="177">
        <f>IFERROR(C96+(C89-C90)*(C97-C96)/(C91-C90),C96)</f>
        <v>2225.8</v>
      </c>
      <c r="G98" s="3"/>
      <c r="H98" s="3"/>
      <c r="I98" s="3"/>
      <c r="J98" s="178" t="s">
        <v>254</v>
      </c>
      <c r="K98" s="177">
        <f>IFERROR(K96+(K89-K90)*(K97-K96)/(K91-K90),K96)</f>
        <v>2239</v>
      </c>
      <c r="O98" s="143"/>
      <c r="P98" s="3"/>
    </row>
    <row r="99" ht="15.75" customHeight="1"/>
    <row r="100" ht="15.0" customHeight="1">
      <c r="A100" s="23" t="s">
        <v>261</v>
      </c>
      <c r="C100" s="23">
        <f>C98/3.28</f>
        <v>678.597561</v>
      </c>
      <c r="K100" s="23">
        <f>K98/3.28</f>
        <v>682.6219512</v>
      </c>
    </row>
    <row r="101" ht="15.0" customHeight="1">
      <c r="B101" s="23" t="s">
        <v>211</v>
      </c>
      <c r="C101" s="161">
        <f>IF(Landing!$C$16&lt;0, ((-Landing!$C$16*5)%*C100),0 )</f>
        <v>0</v>
      </c>
      <c r="K101" s="161">
        <f>IF('Take-off'!$C$17&lt;0, ((-'Take-off'!$C$17*5)%*K100),0 )</f>
        <v>0</v>
      </c>
    </row>
    <row r="102" ht="15.0" customHeight="1">
      <c r="B102" s="23" t="s">
        <v>212</v>
      </c>
      <c r="C102" s="23">
        <f>SUM(C100:C101)</f>
        <v>678.597561</v>
      </c>
      <c r="K102" s="23">
        <f>SUM(K100:K101)</f>
        <v>682.6219512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I5:O5"/>
    <mergeCell ref="A8:F8"/>
    <mergeCell ref="B10:F10"/>
    <mergeCell ref="D21:E21"/>
    <mergeCell ref="L21:M21"/>
    <mergeCell ref="T21:U21"/>
    <mergeCell ref="AB21:AC21"/>
    <mergeCell ref="D67:E67"/>
    <mergeCell ref="B81:H81"/>
    <mergeCell ref="D86:E86"/>
    <mergeCell ref="L86:M86"/>
    <mergeCell ref="B35:E35"/>
    <mergeCell ref="D46:E46"/>
    <mergeCell ref="L46:M46"/>
    <mergeCell ref="B61:F61"/>
    <mergeCell ref="L67:M67"/>
    <mergeCell ref="T67:U67"/>
    <mergeCell ref="AB67:AC67"/>
  </mergeCells>
  <conditionalFormatting sqref="B37:D44">
    <cfRule type="colorScale" priority="1">
      <colorScale>
        <cfvo type="min"/>
        <cfvo type="max"/>
        <color rgb="FFFCFCFF"/>
        <color rgb="FFF8696B"/>
      </colorScale>
    </cfRule>
  </conditionalFormatting>
  <conditionalFormatting sqref="B63:D65">
    <cfRule type="colorScale" priority="2">
      <colorScale>
        <cfvo type="min"/>
        <cfvo type="max"/>
        <color rgb="FFFCFCFF"/>
        <color rgb="FFF8696B"/>
      </colorScale>
    </cfRule>
  </conditionalFormatting>
  <conditionalFormatting sqref="B12:E18">
    <cfRule type="colorScale" priority="3">
      <colorScale>
        <cfvo type="min"/>
        <cfvo type="max"/>
        <color rgb="FFFCFCFF"/>
        <color rgb="FFF8696B"/>
      </colorScale>
    </cfRule>
  </conditionalFormatting>
  <conditionalFormatting sqref="B83:E84">
    <cfRule type="colorScale" priority="4">
      <colorScale>
        <cfvo type="min"/>
        <cfvo type="max"/>
        <color rgb="FFFCFCFF"/>
        <color rgb="FFF8696B"/>
      </colorScale>
    </cfRule>
  </conditionalFormatting>
  <conditionalFormatting sqref="I37:P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63:P65">
    <cfRule type="colorScale" priority="6">
      <colorScale>
        <cfvo type="min"/>
        <cfvo type="max"/>
        <color rgb="FFFCFCFF"/>
        <color rgb="FFF8696B"/>
      </colorScale>
    </cfRule>
  </conditionalFormatting>
  <conditionalFormatting sqref="J12:Q19">
    <cfRule type="colorScale" priority="7">
      <colorScale>
        <cfvo type="min"/>
        <cfvo type="max"/>
        <color rgb="FFFCFCFF"/>
        <color rgb="FFF8696B"/>
      </colorScale>
    </cfRule>
  </conditionalFormatting>
  <conditionalFormatting sqref="J83:Q84">
    <cfRule type="colorScale" priority="8">
      <colorScale>
        <cfvo type="min"/>
        <cfvo type="max"/>
        <color rgb="FFFCFCFF"/>
        <color rgb="FFF8696B"/>
      </colorScale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2" width="9.14"/>
    <col customWidth="1" min="13" max="13" width="5.0"/>
    <col customWidth="1" min="14" max="55" width="9.14"/>
  </cols>
  <sheetData>
    <row r="1" ht="14.25" customHeight="1">
      <c r="A1" s="136"/>
      <c r="B1" s="129" t="s">
        <v>233</v>
      </c>
      <c r="C1" s="178" t="s">
        <v>134</v>
      </c>
      <c r="D1" s="324">
        <f>IF('Take-off'!$C$9="",'Take-off'!$C$16,MAX(0,'Take-off'!$C$16+30*(1013-'Take-off'!$C$9)))</f>
        <v>0</v>
      </c>
      <c r="E1" s="325"/>
      <c r="F1" s="325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342"/>
      <c r="AW1" s="136"/>
      <c r="AX1" s="136"/>
      <c r="AY1" s="136"/>
      <c r="AZ1" s="136"/>
      <c r="BA1" s="136"/>
      <c r="BB1" s="136"/>
      <c r="BC1" s="136"/>
    </row>
    <row r="2" ht="14.25" customHeight="1">
      <c r="A2" s="136"/>
      <c r="B2" s="129" t="s">
        <v>235</v>
      </c>
      <c r="C2" s="176" t="s">
        <v>136</v>
      </c>
      <c r="D2" s="324">
        <f>IF('Take-off'!C13='Dropdown lists'!B30, 'Take-off'!$C$8+6, 'Take-off'!$C$8)</f>
        <v>-2</v>
      </c>
      <c r="E2" s="326" t="s">
        <v>243</v>
      </c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342"/>
      <c r="AW2" s="136"/>
      <c r="AX2" s="136"/>
      <c r="AY2" s="136"/>
      <c r="AZ2" s="136"/>
      <c r="BA2" s="136"/>
      <c r="BB2" s="136"/>
      <c r="BC2" s="136"/>
    </row>
    <row r="3" ht="14.25" customHeight="1">
      <c r="A3" s="136"/>
      <c r="B3" s="136" t="s">
        <v>113</v>
      </c>
      <c r="M3" s="136"/>
      <c r="N3" s="136"/>
      <c r="O3" s="136" t="s">
        <v>244</v>
      </c>
      <c r="Z3" s="136"/>
      <c r="AA3" s="136"/>
      <c r="AB3" s="136" t="s">
        <v>245</v>
      </c>
      <c r="AM3" s="136"/>
      <c r="AN3" s="136"/>
      <c r="AO3" s="136"/>
      <c r="AP3" s="136"/>
      <c r="AQ3" s="136"/>
      <c r="AR3" s="136"/>
      <c r="AS3" s="136"/>
      <c r="AT3" s="136"/>
      <c r="AU3" s="136"/>
      <c r="AV3" s="342"/>
      <c r="AW3" s="136"/>
      <c r="AX3" s="136"/>
      <c r="AY3" s="136"/>
      <c r="AZ3" s="136"/>
      <c r="BA3" s="136"/>
      <c r="BB3" s="136"/>
      <c r="BC3" s="136"/>
    </row>
    <row r="4" ht="15.0" customHeight="1">
      <c r="A4" s="29"/>
      <c r="B4" s="330" t="s">
        <v>246</v>
      </c>
      <c r="C4" s="259"/>
      <c r="D4" s="259"/>
      <c r="E4" s="259"/>
      <c r="F4" s="259"/>
      <c r="G4" s="141"/>
      <c r="H4" s="141"/>
      <c r="I4" s="141"/>
      <c r="J4" s="141"/>
      <c r="K4" s="141"/>
      <c r="L4" s="141"/>
      <c r="M4" s="141"/>
      <c r="N4" s="29"/>
      <c r="O4" s="330" t="s">
        <v>246</v>
      </c>
      <c r="P4" s="259"/>
      <c r="Q4" s="259"/>
      <c r="R4" s="259"/>
      <c r="S4" s="259"/>
      <c r="T4" s="141"/>
      <c r="U4" s="141"/>
      <c r="V4" s="141"/>
      <c r="W4" s="141"/>
      <c r="X4" s="141"/>
      <c r="Y4" s="141"/>
      <c r="Z4" s="178"/>
      <c r="AA4" s="29"/>
      <c r="AB4" s="330" t="s">
        <v>246</v>
      </c>
      <c r="AC4" s="259"/>
      <c r="AD4" s="259"/>
      <c r="AE4" s="259"/>
      <c r="AF4" s="259"/>
      <c r="AG4" s="141"/>
      <c r="AH4" s="141"/>
      <c r="AI4" s="141"/>
      <c r="AJ4" s="141"/>
      <c r="AK4" s="141"/>
      <c r="AL4" s="141"/>
      <c r="AM4" s="3"/>
      <c r="AN4" s="3"/>
      <c r="AO4" s="3"/>
      <c r="AP4" s="178"/>
      <c r="AQ4" s="177"/>
      <c r="AU4" s="3"/>
      <c r="AV4" s="3"/>
      <c r="AW4" s="3"/>
      <c r="AX4" s="178"/>
      <c r="AY4" s="177"/>
    </row>
    <row r="5" ht="15.0" customHeight="1">
      <c r="A5" s="29" t="s">
        <v>247</v>
      </c>
      <c r="B5" s="331">
        <v>0.0</v>
      </c>
      <c r="C5" s="332">
        <v>1000.0</v>
      </c>
      <c r="D5" s="333">
        <v>2000.0</v>
      </c>
      <c r="E5" s="333">
        <v>3000.0</v>
      </c>
      <c r="F5" s="334">
        <v>4000.0</v>
      </c>
      <c r="G5" s="178"/>
      <c r="H5" s="177"/>
      <c r="I5" s="29"/>
      <c r="J5" s="178"/>
      <c r="K5" s="177"/>
      <c r="L5" s="29"/>
      <c r="M5" s="29"/>
      <c r="N5" s="29" t="s">
        <v>247</v>
      </c>
      <c r="O5" s="331">
        <v>0.0</v>
      </c>
      <c r="P5" s="332">
        <v>1000.0</v>
      </c>
      <c r="Q5" s="333">
        <v>2000.0</v>
      </c>
      <c r="R5" s="333">
        <v>3000.0</v>
      </c>
      <c r="S5" s="334">
        <v>4000.0</v>
      </c>
      <c r="T5" s="178"/>
      <c r="U5" s="177"/>
      <c r="V5" s="29"/>
      <c r="W5" s="178"/>
      <c r="X5" s="177"/>
      <c r="Y5" s="29"/>
      <c r="AA5" s="29" t="s">
        <v>247</v>
      </c>
      <c r="AB5" s="331">
        <v>0.0</v>
      </c>
      <c r="AC5" s="332">
        <v>1000.0</v>
      </c>
      <c r="AD5" s="333">
        <v>2000.0</v>
      </c>
      <c r="AE5" s="333">
        <v>3000.0</v>
      </c>
      <c r="AF5" s="334">
        <v>4000.0</v>
      </c>
      <c r="AG5" s="178"/>
      <c r="AH5" s="177"/>
      <c r="AI5" s="29"/>
      <c r="AJ5" s="178"/>
      <c r="AK5" s="177"/>
      <c r="AL5" s="29"/>
      <c r="AM5" s="178"/>
      <c r="AN5" s="177"/>
      <c r="AR5" s="3"/>
      <c r="AS5" s="3"/>
      <c r="AT5" s="3"/>
      <c r="AU5" s="178"/>
      <c r="AV5" s="177"/>
    </row>
    <row r="6" ht="15.0" customHeight="1">
      <c r="A6" s="29">
        <v>-30.0</v>
      </c>
      <c r="B6" s="331">
        <v>2700.0</v>
      </c>
      <c r="C6" s="332">
        <v>2800.0</v>
      </c>
      <c r="D6" s="333">
        <v>2900.0</v>
      </c>
      <c r="E6" s="333">
        <v>3200.0</v>
      </c>
      <c r="F6" s="334">
        <v>99999.0</v>
      </c>
      <c r="G6" s="178"/>
      <c r="H6" s="177"/>
      <c r="I6" s="29"/>
      <c r="J6" s="178"/>
      <c r="K6" s="177"/>
      <c r="L6" s="29"/>
      <c r="M6" s="29"/>
      <c r="N6" s="29">
        <v>-30.0</v>
      </c>
      <c r="O6" s="331"/>
      <c r="P6" s="332"/>
      <c r="Q6" s="333"/>
      <c r="R6" s="333"/>
      <c r="S6" s="334">
        <v>99999.0</v>
      </c>
      <c r="T6" s="178"/>
      <c r="U6" s="177"/>
      <c r="V6" s="29"/>
      <c r="W6" s="178"/>
      <c r="X6" s="177"/>
      <c r="Y6" s="29"/>
      <c r="AA6" s="29">
        <v>-30.0</v>
      </c>
      <c r="AB6" s="331"/>
      <c r="AC6" s="332"/>
      <c r="AD6" s="333"/>
      <c r="AE6" s="333"/>
      <c r="AF6" s="334">
        <v>99999.0</v>
      </c>
      <c r="AG6" s="178"/>
      <c r="AH6" s="177"/>
      <c r="AI6" s="29"/>
      <c r="AJ6" s="178"/>
      <c r="AK6" s="177"/>
      <c r="AL6" s="29"/>
      <c r="AM6" s="178"/>
      <c r="AN6" s="177"/>
      <c r="AR6" s="3"/>
      <c r="AS6" s="3"/>
      <c r="AT6" s="3"/>
      <c r="AU6" s="178"/>
      <c r="AV6" s="177"/>
    </row>
    <row r="7" ht="15.0" customHeight="1">
      <c r="A7" s="29">
        <v>-20.0</v>
      </c>
      <c r="B7" s="343">
        <v>2800.0</v>
      </c>
      <c r="C7" s="320">
        <v>2980.0</v>
      </c>
      <c r="D7" s="29">
        <v>3100.0</v>
      </c>
      <c r="E7" s="29">
        <v>3400.0</v>
      </c>
      <c r="F7" s="337">
        <v>99999.0</v>
      </c>
      <c r="G7" s="178"/>
      <c r="H7" s="177"/>
      <c r="J7" s="178"/>
      <c r="K7" s="177"/>
      <c r="N7" s="29">
        <v>-20.0</v>
      </c>
      <c r="O7" s="343"/>
      <c r="P7" s="320"/>
      <c r="Q7" s="29"/>
      <c r="R7" s="29"/>
      <c r="S7" s="337">
        <v>99999.0</v>
      </c>
      <c r="T7" s="178"/>
      <c r="U7" s="177"/>
      <c r="W7" s="178"/>
      <c r="X7" s="177"/>
      <c r="AA7" s="29">
        <v>-20.0</v>
      </c>
      <c r="AB7" s="343"/>
      <c r="AC7" s="320"/>
      <c r="AD7" s="29"/>
      <c r="AE7" s="29"/>
      <c r="AF7" s="337">
        <v>99999.0</v>
      </c>
      <c r="AG7" s="178"/>
      <c r="AH7" s="177"/>
      <c r="AJ7" s="178"/>
      <c r="AK7" s="177"/>
      <c r="AM7" s="178"/>
      <c r="AN7" s="177"/>
      <c r="AR7" s="3"/>
      <c r="AS7" s="3"/>
      <c r="AT7" s="3"/>
      <c r="AU7" s="178"/>
      <c r="AV7" s="177"/>
    </row>
    <row r="8" ht="15.0" customHeight="1">
      <c r="A8" s="29">
        <v>-10.0</v>
      </c>
      <c r="B8" s="343">
        <v>3000.0</v>
      </c>
      <c r="C8" s="320">
        <v>3200.0</v>
      </c>
      <c r="D8" s="29">
        <v>3400.0</v>
      </c>
      <c r="E8" s="29">
        <v>3600.0</v>
      </c>
      <c r="F8" s="337">
        <v>99999.0</v>
      </c>
      <c r="G8" s="178"/>
      <c r="H8" s="177"/>
      <c r="J8" s="178"/>
      <c r="K8" s="177"/>
      <c r="N8" s="29">
        <v>-10.0</v>
      </c>
      <c r="O8" s="343"/>
      <c r="P8" s="320"/>
      <c r="Q8" s="29"/>
      <c r="R8" s="29"/>
      <c r="S8" s="337">
        <v>99999.0</v>
      </c>
      <c r="T8" s="178"/>
      <c r="U8" s="177"/>
      <c r="W8" s="178"/>
      <c r="X8" s="177"/>
      <c r="AA8" s="29">
        <v>-10.0</v>
      </c>
      <c r="AB8" s="343"/>
      <c r="AC8" s="320"/>
      <c r="AD8" s="29"/>
      <c r="AE8" s="29"/>
      <c r="AF8" s="337">
        <v>99999.0</v>
      </c>
      <c r="AG8" s="178"/>
      <c r="AH8" s="177"/>
      <c r="AJ8" s="178"/>
      <c r="AK8" s="177"/>
      <c r="AM8" s="178"/>
      <c r="AN8" s="177"/>
      <c r="AR8" s="3"/>
      <c r="AS8" s="3"/>
      <c r="AT8" s="3"/>
      <c r="AU8" s="178"/>
      <c r="AV8" s="177"/>
    </row>
    <row r="9" ht="15.0" customHeight="1">
      <c r="A9" s="29">
        <v>0.0</v>
      </c>
      <c r="B9" s="343">
        <v>3200.0</v>
      </c>
      <c r="C9" s="320">
        <v>3400.0</v>
      </c>
      <c r="D9" s="29">
        <v>3600.0</v>
      </c>
      <c r="E9" s="29">
        <v>3900.0</v>
      </c>
      <c r="F9" s="337">
        <v>99999.0</v>
      </c>
      <c r="G9" s="178"/>
      <c r="H9" s="177"/>
      <c r="J9" s="178"/>
      <c r="K9" s="177"/>
      <c r="N9" s="29">
        <v>0.0</v>
      </c>
      <c r="O9" s="343"/>
      <c r="P9" s="320"/>
      <c r="Q9" s="29"/>
      <c r="R9" s="29"/>
      <c r="S9" s="337">
        <v>99999.0</v>
      </c>
      <c r="T9" s="178"/>
      <c r="U9" s="177"/>
      <c r="W9" s="178"/>
      <c r="X9" s="177"/>
      <c r="AA9" s="29">
        <v>0.0</v>
      </c>
      <c r="AB9" s="343"/>
      <c r="AC9" s="320"/>
      <c r="AD9" s="29"/>
      <c r="AE9" s="29"/>
      <c r="AF9" s="337">
        <v>99999.0</v>
      </c>
      <c r="AG9" s="178"/>
      <c r="AH9" s="177"/>
      <c r="AJ9" s="178"/>
      <c r="AK9" s="177"/>
      <c r="AM9" s="178"/>
      <c r="AN9" s="177"/>
      <c r="AR9" s="3"/>
      <c r="AS9" s="3"/>
      <c r="AT9" s="3"/>
      <c r="AU9" s="178"/>
      <c r="AV9" s="177"/>
    </row>
    <row r="10" ht="15.0" customHeight="1">
      <c r="A10" s="29">
        <v>10.0</v>
      </c>
      <c r="B10" s="343">
        <v>3370.0</v>
      </c>
      <c r="C10" s="320">
        <v>3600.0</v>
      </c>
      <c r="D10" s="29">
        <v>3800.0</v>
      </c>
      <c r="E10" s="29">
        <v>4200.0</v>
      </c>
      <c r="F10" s="337">
        <v>99999.0</v>
      </c>
      <c r="G10" s="178"/>
      <c r="H10" s="177"/>
      <c r="J10" s="178"/>
      <c r="K10" s="177"/>
      <c r="N10" s="29">
        <v>10.0</v>
      </c>
      <c r="O10" s="343"/>
      <c r="P10" s="320"/>
      <c r="Q10" s="29"/>
      <c r="R10" s="29"/>
      <c r="S10" s="337">
        <v>99999.0</v>
      </c>
      <c r="T10" s="178"/>
      <c r="U10" s="177"/>
      <c r="W10" s="178"/>
      <c r="X10" s="177"/>
      <c r="AA10" s="29">
        <v>10.0</v>
      </c>
      <c r="AB10" s="343"/>
      <c r="AC10" s="320"/>
      <c r="AD10" s="29"/>
      <c r="AE10" s="29"/>
      <c r="AF10" s="337">
        <v>99999.0</v>
      </c>
      <c r="AG10" s="178"/>
      <c r="AH10" s="177"/>
      <c r="AJ10" s="178"/>
      <c r="AK10" s="177"/>
      <c r="AM10" s="178"/>
      <c r="AN10" s="177"/>
      <c r="AR10" s="3"/>
      <c r="AS10" s="3"/>
      <c r="AT10" s="3"/>
      <c r="AU10" s="178"/>
      <c r="AV10" s="177"/>
    </row>
    <row r="11" ht="15.0" customHeight="1">
      <c r="A11" s="29">
        <v>20.0</v>
      </c>
      <c r="B11" s="343">
        <v>3570.0</v>
      </c>
      <c r="C11" s="320">
        <v>3800.0</v>
      </c>
      <c r="D11" s="29">
        <v>4150.0</v>
      </c>
      <c r="E11" s="29">
        <v>4700.0</v>
      </c>
      <c r="F11" s="337">
        <v>99999.0</v>
      </c>
      <c r="G11" s="178"/>
      <c r="H11" s="177"/>
      <c r="J11" s="178"/>
      <c r="K11" s="177"/>
      <c r="N11" s="29">
        <v>20.0</v>
      </c>
      <c r="O11" s="343"/>
      <c r="P11" s="320"/>
      <c r="Q11" s="29"/>
      <c r="R11" s="29"/>
      <c r="S11" s="337">
        <v>99999.0</v>
      </c>
      <c r="T11" s="178"/>
      <c r="U11" s="177"/>
      <c r="W11" s="178"/>
      <c r="X11" s="177"/>
      <c r="AA11" s="29">
        <v>20.0</v>
      </c>
      <c r="AB11" s="343"/>
      <c r="AC11" s="320"/>
      <c r="AD11" s="29"/>
      <c r="AE11" s="29"/>
      <c r="AF11" s="337">
        <v>99999.0</v>
      </c>
      <c r="AG11" s="178"/>
      <c r="AH11" s="177"/>
      <c r="AJ11" s="178"/>
      <c r="AK11" s="177"/>
      <c r="AM11" s="178"/>
      <c r="AN11" s="177"/>
      <c r="AR11" s="3"/>
      <c r="AS11" s="3"/>
      <c r="AT11" s="3"/>
      <c r="AU11" s="178"/>
      <c r="AV11" s="177"/>
    </row>
    <row r="12" ht="15.0" customHeight="1">
      <c r="A12" s="29">
        <v>30.0</v>
      </c>
      <c r="B12" s="343">
        <v>3800.0</v>
      </c>
      <c r="C12" s="320">
        <v>4200.0</v>
      </c>
      <c r="D12" s="29">
        <v>4600.0</v>
      </c>
      <c r="E12" s="29">
        <v>5300.0</v>
      </c>
      <c r="F12" s="337">
        <v>99999.0</v>
      </c>
      <c r="G12" s="178"/>
      <c r="H12" s="177"/>
      <c r="J12" s="178"/>
      <c r="K12" s="177"/>
      <c r="N12" s="29"/>
      <c r="O12" s="343"/>
      <c r="P12" s="320"/>
      <c r="Q12" s="29"/>
      <c r="R12" s="29"/>
      <c r="S12" s="337"/>
      <c r="T12" s="178"/>
      <c r="U12" s="177"/>
      <c r="W12" s="178"/>
      <c r="X12" s="177"/>
      <c r="AA12" s="29">
        <v>30.0</v>
      </c>
      <c r="AB12" s="343"/>
      <c r="AC12" s="320"/>
      <c r="AD12" s="29"/>
      <c r="AE12" s="29"/>
      <c r="AF12" s="337">
        <v>99999.0</v>
      </c>
      <c r="AG12" s="178"/>
      <c r="AH12" s="177"/>
      <c r="AJ12" s="178"/>
      <c r="AK12" s="177"/>
      <c r="AM12" s="178"/>
      <c r="AN12" s="177"/>
      <c r="AR12" s="3"/>
      <c r="AS12" s="3"/>
      <c r="AT12" s="3"/>
      <c r="AU12" s="178"/>
      <c r="AV12" s="177"/>
    </row>
    <row r="13" ht="15.0" customHeight="1">
      <c r="A13" s="29">
        <v>40.0</v>
      </c>
      <c r="B13" s="343">
        <v>4400.0</v>
      </c>
      <c r="C13" s="320">
        <v>5000.0</v>
      </c>
      <c r="D13" s="29">
        <v>5600.0</v>
      </c>
      <c r="E13" s="29">
        <v>6800.0</v>
      </c>
      <c r="F13" s="337">
        <v>99999.0</v>
      </c>
      <c r="G13" s="178"/>
      <c r="H13" s="177"/>
      <c r="J13" s="178"/>
      <c r="K13" s="177"/>
      <c r="N13" s="29">
        <v>30.0</v>
      </c>
      <c r="O13" s="343"/>
      <c r="P13" s="320"/>
      <c r="Q13" s="29"/>
      <c r="R13" s="29"/>
      <c r="S13" s="337">
        <v>99999.0</v>
      </c>
      <c r="T13" s="178"/>
      <c r="U13" s="177"/>
      <c r="W13" s="178"/>
      <c r="X13" s="177"/>
      <c r="AA13" s="29">
        <v>40.0</v>
      </c>
      <c r="AB13" s="343"/>
      <c r="AC13" s="320"/>
      <c r="AD13" s="29"/>
      <c r="AE13" s="29"/>
      <c r="AF13" s="337">
        <v>99999.0</v>
      </c>
      <c r="AG13" s="178"/>
      <c r="AH13" s="177"/>
      <c r="AJ13" s="178"/>
      <c r="AK13" s="177"/>
      <c r="AM13" s="178"/>
      <c r="AN13" s="177"/>
      <c r="AR13" s="3"/>
      <c r="AS13" s="3"/>
      <c r="AT13" s="3"/>
      <c r="AU13" s="178"/>
      <c r="AV13" s="177"/>
    </row>
    <row r="14" ht="15.0" customHeight="1">
      <c r="A14" s="29">
        <v>35.0</v>
      </c>
      <c r="B14" s="340">
        <v>99999.0</v>
      </c>
      <c r="C14" s="341">
        <v>99999.0</v>
      </c>
      <c r="D14" s="341">
        <v>99999.0</v>
      </c>
      <c r="E14" s="341">
        <v>99999.0</v>
      </c>
      <c r="F14" s="344">
        <v>99999.0</v>
      </c>
      <c r="G14" s="178"/>
      <c r="H14" s="177"/>
      <c r="J14" s="178"/>
      <c r="K14" s="177"/>
      <c r="N14" s="29">
        <v>35.0</v>
      </c>
      <c r="O14" s="340">
        <v>99999.0</v>
      </c>
      <c r="P14" s="341">
        <v>99999.0</v>
      </c>
      <c r="Q14" s="341">
        <v>99999.0</v>
      </c>
      <c r="R14" s="341">
        <v>99999.0</v>
      </c>
      <c r="S14" s="344">
        <v>99999.0</v>
      </c>
      <c r="T14" s="178"/>
      <c r="U14" s="177"/>
      <c r="W14" s="178"/>
      <c r="X14" s="177"/>
      <c r="AA14" s="29">
        <v>45.0</v>
      </c>
      <c r="AB14" s="340">
        <v>99999.0</v>
      </c>
      <c r="AC14" s="341">
        <v>99999.0</v>
      </c>
      <c r="AD14" s="341">
        <v>99999.0</v>
      </c>
      <c r="AE14" s="341">
        <v>99999.0</v>
      </c>
      <c r="AF14" s="344">
        <v>99999.0</v>
      </c>
      <c r="AG14" s="178"/>
      <c r="AH14" s="177"/>
      <c r="AJ14" s="178"/>
      <c r="AK14" s="177"/>
      <c r="AM14" s="178"/>
      <c r="AN14" s="177"/>
      <c r="AR14" s="3"/>
      <c r="AS14" s="3"/>
      <c r="AT14" s="3"/>
      <c r="AU14" s="178"/>
      <c r="AV14" s="177"/>
    </row>
    <row r="15" ht="15.0" customHeight="1">
      <c r="B15" s="178"/>
      <c r="C15" s="177"/>
      <c r="D15" s="29"/>
      <c r="E15" s="29"/>
      <c r="F15" s="29"/>
      <c r="G15" s="3"/>
      <c r="H15" s="3"/>
      <c r="I15" s="3"/>
      <c r="J15" s="178"/>
      <c r="K15" s="177"/>
      <c r="O15" s="178"/>
      <c r="P15" s="177"/>
      <c r="Q15" s="29"/>
      <c r="R15" s="29"/>
      <c r="S15" s="29"/>
      <c r="T15" s="3"/>
      <c r="U15" s="3"/>
      <c r="V15" s="3"/>
      <c r="W15" s="178"/>
      <c r="X15" s="177"/>
      <c r="Z15" s="178"/>
      <c r="AB15" s="178"/>
      <c r="AC15" s="177"/>
      <c r="AD15" s="29"/>
      <c r="AE15" s="29"/>
      <c r="AF15" s="29"/>
      <c r="AG15" s="3"/>
      <c r="AH15" s="3"/>
      <c r="AI15" s="3"/>
      <c r="AJ15" s="178"/>
      <c r="AK15" s="177"/>
      <c r="AM15" s="3"/>
      <c r="AN15" s="3"/>
      <c r="AO15" s="3"/>
      <c r="AP15" s="178"/>
      <c r="AQ15" s="177"/>
      <c r="AU15" s="3"/>
      <c r="AV15" s="3"/>
      <c r="AW15" s="3"/>
      <c r="AX15" s="178"/>
      <c r="AY15" s="177"/>
    </row>
    <row r="16" ht="15.0" customHeight="1">
      <c r="B16" s="178" t="s">
        <v>134</v>
      </c>
      <c r="C16" s="177">
        <f>D1</f>
        <v>0</v>
      </c>
      <c r="D16" s="167" t="s">
        <v>239</v>
      </c>
      <c r="G16" s="3"/>
      <c r="H16" s="3"/>
      <c r="I16" s="3"/>
      <c r="J16" s="178"/>
      <c r="K16" s="177"/>
      <c r="L16" s="141"/>
      <c r="O16" s="178" t="s">
        <v>134</v>
      </c>
      <c r="P16" s="177">
        <f>D1</f>
        <v>0</v>
      </c>
      <c r="Q16" s="167" t="s">
        <v>239</v>
      </c>
      <c r="T16" s="3"/>
      <c r="U16" s="3"/>
      <c r="V16" s="3"/>
      <c r="W16" s="178"/>
      <c r="X16" s="177"/>
      <c r="Y16" s="141"/>
      <c r="Z16" s="178"/>
      <c r="AB16" s="178" t="s">
        <v>134</v>
      </c>
      <c r="AC16" s="177">
        <f>D1</f>
        <v>0</v>
      </c>
      <c r="AD16" s="167" t="s">
        <v>239</v>
      </c>
      <c r="AG16" s="3"/>
      <c r="AH16" s="3"/>
      <c r="AI16" s="3"/>
      <c r="AJ16" s="178"/>
      <c r="AK16" s="177"/>
      <c r="AL16" s="141"/>
      <c r="AM16" s="3"/>
      <c r="AN16" s="3"/>
      <c r="AO16" s="3"/>
      <c r="AP16" s="178"/>
      <c r="AQ16" s="177"/>
      <c r="AR16" s="167"/>
      <c r="AU16" s="3"/>
      <c r="AV16" s="3"/>
      <c r="AW16" s="3"/>
      <c r="AX16" s="178"/>
      <c r="AY16" s="177"/>
      <c r="AZ16" s="167"/>
    </row>
    <row r="17" ht="15.0" customHeight="1">
      <c r="B17" s="129" t="s">
        <v>240</v>
      </c>
      <c r="C17" s="182">
        <f t="array" ref="C17">INDEX(B5:F5,MATCH(C16,B5:F5,1))</f>
        <v>0</v>
      </c>
      <c r="D17" s="129" t="s">
        <v>131</v>
      </c>
      <c r="E17" s="155">
        <f>MATCH(MAX(A6:A14),A6:A14,1)</f>
        <v>9</v>
      </c>
      <c r="G17" s="3"/>
      <c r="H17" s="3"/>
      <c r="I17" s="3"/>
      <c r="J17" s="129"/>
      <c r="K17" s="182"/>
      <c r="L17" s="129"/>
      <c r="M17" s="155"/>
      <c r="O17" s="129" t="s">
        <v>240</v>
      </c>
      <c r="P17" s="182">
        <f t="array" ref="P17">INDEX(O5:S5,MATCH(P16,O5:S5,1))</f>
        <v>0</v>
      </c>
      <c r="Q17" s="129" t="s">
        <v>131</v>
      </c>
      <c r="R17" s="155">
        <f>MATCH(MAX(N6:N14),N6:N14,1)</f>
        <v>9</v>
      </c>
      <c r="T17" s="3"/>
      <c r="U17" s="3"/>
      <c r="V17" s="3"/>
      <c r="W17" s="129"/>
      <c r="X17" s="182"/>
      <c r="Y17" s="129"/>
      <c r="Z17" s="129"/>
      <c r="AB17" s="129" t="s">
        <v>240</v>
      </c>
      <c r="AC17" s="182">
        <f t="array" ref="AC17">INDEX(AB5:AF5,MATCH(AC16,AB5:AF5,1))</f>
        <v>0</v>
      </c>
      <c r="AD17" s="129" t="s">
        <v>131</v>
      </c>
      <c r="AE17" s="155">
        <f>MATCH(MAX(AA6:AA14),AA6:AA14,1)</f>
        <v>9</v>
      </c>
      <c r="AG17" s="3"/>
      <c r="AH17" s="3"/>
      <c r="AI17" s="3"/>
      <c r="AJ17" s="129"/>
      <c r="AK17" s="182"/>
      <c r="AL17" s="129"/>
      <c r="AM17" s="3"/>
      <c r="AN17" s="3"/>
      <c r="AO17" s="3"/>
      <c r="AP17" s="129"/>
      <c r="AQ17" s="182"/>
      <c r="AR17" s="129"/>
      <c r="AS17" s="155"/>
      <c r="AU17" s="3"/>
      <c r="AV17" s="3"/>
      <c r="AW17" s="3"/>
      <c r="AX17" s="129"/>
      <c r="AY17" s="182"/>
      <c r="AZ17" s="129"/>
      <c r="BA17" s="155"/>
    </row>
    <row r="18" ht="15.0" customHeight="1">
      <c r="B18" s="129" t="s">
        <v>241</v>
      </c>
      <c r="C18" s="182">
        <f t="array" ref="C18">INDEX(B5:F5,IF(MATCH(C16,B5:F5,1)&lt;E18,MATCH(C16,B5:F5,1)+1,MATCH(C16,B5:F5,1)))</f>
        <v>1000</v>
      </c>
      <c r="D18" s="129" t="s">
        <v>132</v>
      </c>
      <c r="E18" s="155">
        <f>MATCH(MAX(B5:F5),B5:F5,0)</f>
        <v>5</v>
      </c>
      <c r="G18" s="3"/>
      <c r="H18" s="3"/>
      <c r="I18" s="3"/>
      <c r="J18" s="129"/>
      <c r="K18" s="182"/>
      <c r="L18" s="129"/>
      <c r="M18" s="155"/>
      <c r="O18" s="129" t="s">
        <v>241</v>
      </c>
      <c r="P18" s="182">
        <f t="array" ref="P18">INDEX(O5:S5,IF(MATCH(P16,O5:S5,1)&lt;R18,MATCH(P16,O5:S5,1)+1,MATCH(P16,O5:S5,1)))</f>
        <v>1000</v>
      </c>
      <c r="Q18" s="129" t="s">
        <v>132</v>
      </c>
      <c r="R18" s="155">
        <f>MATCH(MAX(O5:S5),O5:S5,0)</f>
        <v>5</v>
      </c>
      <c r="T18" s="3"/>
      <c r="U18" s="3"/>
      <c r="V18" s="3"/>
      <c r="W18" s="129"/>
      <c r="X18" s="182"/>
      <c r="Y18" s="129"/>
      <c r="Z18" s="129"/>
      <c r="AB18" s="129" t="s">
        <v>241</v>
      </c>
      <c r="AC18" s="182">
        <f t="array" ref="AC18">INDEX(AB5:AF5,IF(MATCH(AC16,AB5:AF5,1)&lt;AE18,MATCH(AC16,AB5:AF5,1)+1,MATCH(AC16,AB5:AF5,1)))</f>
        <v>1000</v>
      </c>
      <c r="AD18" s="129" t="s">
        <v>132</v>
      </c>
      <c r="AE18" s="155">
        <f>MATCH(MAX(AB5:AF5),AB5:AF5,0)</f>
        <v>5</v>
      </c>
      <c r="AG18" s="3"/>
      <c r="AH18" s="3"/>
      <c r="AI18" s="3"/>
      <c r="AJ18" s="129"/>
      <c r="AK18" s="182"/>
      <c r="AL18" s="129"/>
      <c r="AM18" s="3"/>
      <c r="AN18" s="3"/>
      <c r="AO18" s="3"/>
      <c r="AP18" s="129"/>
      <c r="AQ18" s="182"/>
      <c r="AR18" s="129"/>
      <c r="AS18" s="155"/>
      <c r="AU18" s="3"/>
      <c r="AV18" s="3"/>
      <c r="AW18" s="3"/>
      <c r="AX18" s="129"/>
      <c r="AY18" s="182"/>
      <c r="AZ18" s="129"/>
      <c r="BA18" s="155"/>
    </row>
    <row r="19" ht="15.0" customHeight="1">
      <c r="B19" s="176" t="s">
        <v>136</v>
      </c>
      <c r="C19" s="274">
        <f>D2</f>
        <v>-2</v>
      </c>
      <c r="D19" s="3"/>
      <c r="E19" s="3"/>
      <c r="G19" s="3"/>
      <c r="H19" s="3"/>
      <c r="I19" s="3"/>
      <c r="J19" s="178"/>
      <c r="K19" s="274"/>
      <c r="L19" s="3"/>
      <c r="M19" s="3"/>
      <c r="O19" s="176" t="s">
        <v>136</v>
      </c>
      <c r="P19" s="274">
        <f>D2</f>
        <v>-2</v>
      </c>
      <c r="Q19" s="3"/>
      <c r="R19" s="3"/>
      <c r="T19" s="3"/>
      <c r="U19" s="3"/>
      <c r="V19" s="3"/>
      <c r="W19" s="178"/>
      <c r="X19" s="274"/>
      <c r="Y19" s="3"/>
      <c r="Z19" s="178"/>
      <c r="AB19" s="176" t="s">
        <v>136</v>
      </c>
      <c r="AC19" s="274">
        <f>D2</f>
        <v>-2</v>
      </c>
      <c r="AD19" s="3"/>
      <c r="AE19" s="3"/>
      <c r="AG19" s="3"/>
      <c r="AH19" s="3"/>
      <c r="AI19" s="3"/>
      <c r="AJ19" s="178"/>
      <c r="AK19" s="274"/>
      <c r="AL19" s="3"/>
      <c r="AM19" s="3"/>
      <c r="AN19" s="3"/>
      <c r="AO19" s="3"/>
      <c r="AP19" s="178"/>
      <c r="AQ19" s="274"/>
      <c r="AR19" s="3"/>
      <c r="AS19" s="3"/>
      <c r="AU19" s="3"/>
      <c r="AV19" s="3"/>
      <c r="AW19" s="3"/>
      <c r="AX19" s="178"/>
      <c r="AY19" s="274"/>
      <c r="AZ19" s="3"/>
      <c r="BA19" s="3"/>
    </row>
    <row r="20" ht="15.0" customHeight="1">
      <c r="B20" s="129" t="s">
        <v>139</v>
      </c>
      <c r="C20" s="182">
        <f t="array" ref="C20">INDEX(A6:A14,MATCH(C19,A6:A14,1))</f>
        <v>-10</v>
      </c>
      <c r="D20" s="3"/>
      <c r="E20" s="161"/>
      <c r="G20" s="3"/>
      <c r="H20" s="3"/>
      <c r="I20" s="3"/>
      <c r="J20" s="129"/>
      <c r="K20" s="182"/>
      <c r="L20" s="3"/>
      <c r="M20" s="161"/>
      <c r="O20" s="129" t="s">
        <v>139</v>
      </c>
      <c r="P20" s="182">
        <f t="array" ref="P20">INDEX(N6:N14,MATCH(P19,N6:N14,1))</f>
        <v>-10</v>
      </c>
      <c r="Q20" s="3"/>
      <c r="R20" s="161"/>
      <c r="T20" s="3"/>
      <c r="U20" s="3"/>
      <c r="V20" s="3"/>
      <c r="W20" s="129"/>
      <c r="X20" s="182"/>
      <c r="Y20" s="3"/>
      <c r="Z20" s="129"/>
      <c r="AB20" s="129" t="s">
        <v>139</v>
      </c>
      <c r="AC20" s="182">
        <f t="array" ref="AC20">INDEX(AA6:AA14,MATCH(AC19,AA6:AA14,1))</f>
        <v>-10</v>
      </c>
      <c r="AD20" s="3"/>
      <c r="AE20" s="161"/>
      <c r="AG20" s="3"/>
      <c r="AH20" s="3"/>
      <c r="AI20" s="3"/>
      <c r="AJ20" s="129"/>
      <c r="AK20" s="182"/>
      <c r="AL20" s="3"/>
      <c r="AM20" s="3"/>
      <c r="AN20" s="3"/>
      <c r="AO20" s="3"/>
      <c r="AP20" s="129"/>
      <c r="AQ20" s="182"/>
      <c r="AR20" s="3"/>
      <c r="AS20" s="161"/>
      <c r="AU20" s="3"/>
      <c r="AV20" s="3"/>
      <c r="AW20" s="3"/>
      <c r="AX20" s="129"/>
      <c r="AY20" s="182"/>
      <c r="AZ20" s="3"/>
      <c r="BA20" s="161"/>
    </row>
    <row r="21" ht="15.0" customHeight="1">
      <c r="B21" s="129" t="s">
        <v>145</v>
      </c>
      <c r="C21" s="182">
        <f t="array" ref="C21">INDEX(A6:A14,IF(MATCH(C19,A6:A14,1)&lt;E17,MATCH(C19,A6:A14,1)+1,MATCH(C19,A6:A14,1)))</f>
        <v>0</v>
      </c>
      <c r="D21" s="3"/>
      <c r="E21" s="161"/>
      <c r="G21" s="3"/>
      <c r="H21" s="3"/>
      <c r="I21" s="3"/>
      <c r="J21" s="129"/>
      <c r="K21" s="182"/>
      <c r="L21" s="3"/>
      <c r="M21" s="161"/>
      <c r="O21" s="129" t="s">
        <v>145</v>
      </c>
      <c r="P21" s="182">
        <f t="array" ref="P21">INDEX(N6:N14,IF(MATCH(P19,N6:N14,1)&lt;R17,MATCH(P19,N6:N14,1)+1,MATCH(P19,N6:N14,1)))</f>
        <v>0</v>
      </c>
      <c r="Q21" s="3"/>
      <c r="R21" s="161"/>
      <c r="T21" s="3"/>
      <c r="U21" s="3"/>
      <c r="V21" s="3"/>
      <c r="W21" s="129"/>
      <c r="X21" s="182"/>
      <c r="Y21" s="3"/>
      <c r="Z21" s="129"/>
      <c r="AB21" s="129" t="s">
        <v>145</v>
      </c>
      <c r="AC21" s="182">
        <f t="array" ref="AC21">INDEX(AA6:AA14,IF(MATCH(AC19,AA6:AA14,1)&lt;AE17,MATCH(AC19,AA6:AA14,1)+1,MATCH(AC19,AA6:AA14,1)))</f>
        <v>0</v>
      </c>
      <c r="AD21" s="3"/>
      <c r="AE21" s="161"/>
      <c r="AG21" s="3"/>
      <c r="AH21" s="3"/>
      <c r="AI21" s="3"/>
      <c r="AJ21" s="129"/>
      <c r="AK21" s="182"/>
      <c r="AL21" s="3"/>
      <c r="AM21" s="3"/>
      <c r="AN21" s="3"/>
      <c r="AO21" s="3"/>
      <c r="AP21" s="129"/>
      <c r="AQ21" s="182"/>
      <c r="AR21" s="3"/>
      <c r="AS21" s="161"/>
      <c r="AU21" s="3"/>
      <c r="AV21" s="3"/>
      <c r="AW21" s="3"/>
      <c r="AX21" s="129"/>
      <c r="AY21" s="182"/>
      <c r="AZ21" s="3"/>
      <c r="BA21" s="161"/>
    </row>
    <row r="22" ht="15.0" customHeight="1">
      <c r="B22" s="178" t="s">
        <v>165</v>
      </c>
      <c r="C22" s="177">
        <f t="array" ref="C22">INDEX(B6:F14,MATCH(C19,A6:A14,1),MATCH(C16,B5:F5,1))</f>
        <v>3000</v>
      </c>
      <c r="D22" s="3"/>
      <c r="E22" s="161"/>
      <c r="G22" s="3"/>
      <c r="H22" s="3"/>
      <c r="I22" s="3"/>
      <c r="J22" s="178"/>
      <c r="K22" s="177"/>
      <c r="L22" s="3"/>
      <c r="M22" s="161"/>
      <c r="O22" s="178" t="s">
        <v>165</v>
      </c>
      <c r="P22" s="177" t="str">
        <f t="array" ref="P22">INDEX(O6:S14,MATCH(P19,N6:N14,1),MATCH(P16,O5:S5,1))</f>
        <v/>
      </c>
      <c r="Q22" s="3"/>
      <c r="R22" s="161"/>
      <c r="T22" s="3"/>
      <c r="U22" s="3"/>
      <c r="V22" s="3"/>
      <c r="W22" s="178"/>
      <c r="X22" s="177"/>
      <c r="Y22" s="3"/>
      <c r="Z22" s="178"/>
      <c r="AB22" s="178" t="s">
        <v>165</v>
      </c>
      <c r="AC22" s="177" t="str">
        <f t="array" ref="AC22">INDEX(AB6:AF14,MATCH(AC19,AA6:AA14,1),MATCH(AC16,AB5:AF5,1))</f>
        <v/>
      </c>
      <c r="AD22" s="3"/>
      <c r="AE22" s="161"/>
      <c r="AG22" s="3"/>
      <c r="AH22" s="3"/>
      <c r="AI22" s="3"/>
      <c r="AJ22" s="178"/>
      <c r="AK22" s="177"/>
      <c r="AL22" s="3"/>
      <c r="AM22" s="3"/>
      <c r="AN22" s="3"/>
      <c r="AO22" s="3"/>
      <c r="AP22" s="178"/>
      <c r="AQ22" s="177"/>
      <c r="AR22" s="3"/>
      <c r="AS22" s="161"/>
      <c r="AU22" s="3"/>
      <c r="AV22" s="3"/>
      <c r="AW22" s="3"/>
      <c r="AX22" s="178"/>
      <c r="AY22" s="177"/>
      <c r="AZ22" s="3"/>
      <c r="BA22" s="161"/>
    </row>
    <row r="23" ht="15.0" customHeight="1">
      <c r="B23" s="178" t="s">
        <v>249</v>
      </c>
      <c r="C23" s="177">
        <f t="array" ref="C23">INDEX(B6:F14,MATCH(C19,A6:A14,1),IF(MATCH(C16,B5:F5,1)&lt;E18,MATCH(C16,B5:F5,1)+1,MATCH(C19,A6:A14,1)))</f>
        <v>3200</v>
      </c>
      <c r="E23" s="161"/>
      <c r="G23" s="3"/>
      <c r="H23" s="3"/>
      <c r="I23" s="3"/>
      <c r="J23" s="178"/>
      <c r="K23" s="177"/>
      <c r="M23" s="161"/>
      <c r="O23" s="178" t="s">
        <v>249</v>
      </c>
      <c r="P23" s="177" t="str">
        <f t="array" ref="P23">INDEX(O6:S14,MATCH(P19,N6:N14,1),IF(MATCH(P16,O5:S5,1)&lt;R18,MATCH(P16,O5:S5,1)+1,MATCH(P19,N6:N14,1)))</f>
        <v/>
      </c>
      <c r="R23" s="161"/>
      <c r="T23" s="3"/>
      <c r="U23" s="3"/>
      <c r="V23" s="3"/>
      <c r="W23" s="178"/>
      <c r="X23" s="177"/>
      <c r="Z23" s="178"/>
      <c r="AB23" s="178" t="s">
        <v>249</v>
      </c>
      <c r="AC23" s="177" t="str">
        <f t="array" ref="AC23">INDEX(AB6:AF14,MATCH(AC19,AA6:AA14,1),IF(MATCH(AC16,AB5:AF5,1)&lt;AE18,MATCH(AC16,AB5:AF5,1)+1,MATCH(AC19,AA6:AA14,1)))</f>
        <v/>
      </c>
      <c r="AE23" s="161"/>
      <c r="AG23" s="3"/>
      <c r="AH23" s="3"/>
      <c r="AI23" s="3"/>
      <c r="AJ23" s="178"/>
      <c r="AK23" s="177"/>
      <c r="AM23" s="3"/>
      <c r="AN23" s="3"/>
      <c r="AO23" s="3"/>
      <c r="AP23" s="178"/>
      <c r="AQ23" s="177"/>
      <c r="AS23" s="161"/>
      <c r="AU23" s="3"/>
      <c r="AV23" s="3"/>
      <c r="AW23" s="3"/>
      <c r="AX23" s="178"/>
      <c r="AY23" s="177"/>
      <c r="BA23" s="161"/>
    </row>
    <row r="24" ht="15.0" customHeight="1">
      <c r="B24" s="178" t="s">
        <v>177</v>
      </c>
      <c r="C24" s="177">
        <f t="array" ref="C24">INDEX(B6:F14,IF(MATCH(C19,A6:A14,1)&lt;E17,MATCH(C19,A6:A14,1)+1,MATCH(C19,A6:A14,1)),MATCH(C16,B5:F5,1))</f>
        <v>3200</v>
      </c>
      <c r="E24" s="161"/>
      <c r="G24" s="3"/>
      <c r="H24" s="3"/>
      <c r="I24" s="3"/>
      <c r="J24" s="178"/>
      <c r="K24" s="177"/>
      <c r="M24" s="161"/>
      <c r="O24" s="178" t="s">
        <v>177</v>
      </c>
      <c r="P24" s="177" t="str">
        <f t="array" ref="P24">INDEX(O6:S14,IF(MATCH(P19,N6:N14,1)&lt;R17,MATCH(P19,N6:N14,1)+1,MATCH(P19,N6:N14,1)),MATCH(P16,O5:S5,1))</f>
        <v/>
      </c>
      <c r="R24" s="161"/>
      <c r="T24" s="3"/>
      <c r="U24" s="3"/>
      <c r="V24" s="3"/>
      <c r="W24" s="178"/>
      <c r="X24" s="177"/>
      <c r="Z24" s="178"/>
      <c r="AB24" s="178" t="s">
        <v>177</v>
      </c>
      <c r="AC24" s="177" t="str">
        <f t="array" ref="AC24">INDEX(AB6:AF14,IF(MATCH(AC19,AA6:AA14,1)&lt;AE17,MATCH(AC19,AA6:AA14,1)+1,MATCH(AC19,AA6:AA14,1)),MATCH(AC16,AB5:AF5,1))</f>
        <v/>
      </c>
      <c r="AE24" s="161"/>
      <c r="AG24" s="3"/>
      <c r="AH24" s="3"/>
      <c r="AI24" s="3"/>
      <c r="AJ24" s="178"/>
      <c r="AK24" s="177"/>
      <c r="AM24" s="3"/>
      <c r="AN24" s="3"/>
      <c r="AO24" s="3"/>
      <c r="AP24" s="178"/>
      <c r="AQ24" s="177"/>
      <c r="AS24" s="161"/>
      <c r="AU24" s="3"/>
      <c r="AV24" s="3"/>
      <c r="AW24" s="3"/>
      <c r="AX24" s="178"/>
      <c r="AY24" s="177"/>
      <c r="BA24" s="161"/>
    </row>
    <row r="25" ht="15.0" customHeight="1">
      <c r="B25" s="178" t="s">
        <v>250</v>
      </c>
      <c r="C25" s="177">
        <f t="array" ref="C25">INDEX(B6:F14,IF(MATCH(C19,A6:A14,1)&lt;E17,MATCH(C19,A6:A14,1)+1,MATCH(C19,A6:A14,1)),IF(MATCH(C16,B5:F5,1)&lt;E18,MATCH(C16,B5:F5,1)+1,MATCH(C16,B5:F5,1)))</f>
        <v>3400</v>
      </c>
      <c r="G25" s="3"/>
      <c r="H25" s="3"/>
      <c r="I25" s="3"/>
      <c r="J25" s="178"/>
      <c r="K25" s="177"/>
      <c r="O25" s="178" t="s">
        <v>250</v>
      </c>
      <c r="P25" s="177" t="str">
        <f t="array" ref="P25">INDEX(O6:S14,IF(MATCH(P19,N6:N14,1)&lt;R17,MATCH(P19,N6:N14,1)+1,MATCH(P19,N6:N14,1)),IF(MATCH(P16,O5:S5,1)&lt;R18,MATCH(P16,O5:S5,1)+1,MATCH(P16,O5:S5,1)))</f>
        <v/>
      </c>
      <c r="T25" s="3"/>
      <c r="U25" s="3"/>
      <c r="V25" s="3"/>
      <c r="W25" s="178"/>
      <c r="X25" s="177"/>
      <c r="Z25" s="178"/>
      <c r="AB25" s="178" t="s">
        <v>250</v>
      </c>
      <c r="AC25" s="177" t="str">
        <f t="array" ref="AC25">INDEX(AB6:AF14,IF(MATCH(AC19,AA6:AA14,1)&lt;AE17,MATCH(AC19,AA6:AA14,1)+1,MATCH(AC19,AA6:AA14,1)),IF(MATCH(AC16,AB5:AF5,1)&lt;AE18,MATCH(AC16,AB5:AF5,1)+1,MATCH(AC16,AB5:AF5,1)))</f>
        <v/>
      </c>
      <c r="AG25" s="3"/>
      <c r="AH25" s="3"/>
      <c r="AI25" s="3"/>
      <c r="AJ25" s="178"/>
      <c r="AK25" s="177"/>
      <c r="AM25" s="3"/>
      <c r="AN25" s="3"/>
      <c r="AO25" s="3"/>
      <c r="AP25" s="178"/>
      <c r="AQ25" s="177"/>
      <c r="AU25" s="3"/>
      <c r="AV25" s="3"/>
      <c r="AW25" s="3"/>
      <c r="AX25" s="178"/>
      <c r="AY25" s="177"/>
    </row>
    <row r="26" ht="15.0" customHeight="1">
      <c r="B26" s="129" t="s">
        <v>252</v>
      </c>
      <c r="C26" s="182">
        <f>IFERROR(C22+(C16-C17)*(C23-C22)/(C18-C17),C22)</f>
        <v>3000</v>
      </c>
      <c r="G26" s="3"/>
      <c r="H26" s="3"/>
      <c r="I26" s="3"/>
      <c r="J26" s="129"/>
      <c r="K26" s="182"/>
      <c r="O26" s="129" t="s">
        <v>252</v>
      </c>
      <c r="P26" s="182">
        <f>IFERROR(P22+(P16-P17)*(P23-P22)/(P18-P17),P22)</f>
        <v>0</v>
      </c>
      <c r="T26" s="3"/>
      <c r="U26" s="3"/>
      <c r="V26" s="3"/>
      <c r="W26" s="129"/>
      <c r="X26" s="182"/>
      <c r="Z26" s="129"/>
      <c r="AB26" s="129" t="s">
        <v>252</v>
      </c>
      <c r="AC26" s="182">
        <f>IFERROR(AC22+(AC16-AC17)*(AC23-AC22)/(AC18-AC17),AC22)</f>
        <v>0</v>
      </c>
      <c r="AG26" s="3"/>
      <c r="AH26" s="3"/>
      <c r="AI26" s="3"/>
      <c r="AJ26" s="129"/>
      <c r="AK26" s="182"/>
      <c r="AM26" s="3"/>
      <c r="AN26" s="3"/>
      <c r="AO26" s="3"/>
      <c r="AP26" s="129"/>
      <c r="AQ26" s="182"/>
      <c r="AU26" s="3"/>
      <c r="AV26" s="3"/>
      <c r="AW26" s="3"/>
      <c r="AX26" s="129"/>
      <c r="AY26" s="182"/>
    </row>
    <row r="27" ht="15.0" customHeight="1">
      <c r="B27" s="129" t="s">
        <v>253</v>
      </c>
      <c r="C27" s="182">
        <f>IFERROR(C24+(C16-C17)*(C25-C24)/(C18-C17),C24)</f>
        <v>3200</v>
      </c>
      <c r="G27" s="3"/>
      <c r="H27" s="3"/>
      <c r="I27" s="3"/>
      <c r="J27" s="129"/>
      <c r="K27" s="182"/>
      <c r="O27" s="129" t="s">
        <v>253</v>
      </c>
      <c r="P27" s="182">
        <f>IFERROR(P24+(P16-P17)*(P25-P24)/(P18-P17),P24)</f>
        <v>0</v>
      </c>
      <c r="T27" s="3"/>
      <c r="U27" s="3"/>
      <c r="V27" s="3"/>
      <c r="W27" s="129"/>
      <c r="X27" s="182"/>
      <c r="Z27" s="129"/>
      <c r="AB27" s="129" t="s">
        <v>253</v>
      </c>
      <c r="AC27" s="182">
        <f>IFERROR(AC24+(AC16-AC17)*(AC25-AC24)/(AC18-AC17),AC24)</f>
        <v>0</v>
      </c>
      <c r="AG27" s="3"/>
      <c r="AH27" s="3"/>
      <c r="AI27" s="3"/>
      <c r="AJ27" s="129"/>
      <c r="AK27" s="182"/>
      <c r="AM27" s="3"/>
      <c r="AN27" s="3"/>
      <c r="AO27" s="3"/>
      <c r="AP27" s="129"/>
      <c r="AQ27" s="182"/>
      <c r="AU27" s="3"/>
      <c r="AV27" s="3"/>
      <c r="AW27" s="3"/>
      <c r="AX27" s="129"/>
      <c r="AY27" s="182"/>
    </row>
    <row r="28" ht="15.0" customHeight="1">
      <c r="B28" s="178" t="s">
        <v>254</v>
      </c>
      <c r="C28" s="177">
        <f>IFERROR(C26+(C19-C20)*(C27-C26)/(C21-C20),C26)</f>
        <v>3160</v>
      </c>
      <c r="G28" s="3"/>
      <c r="H28" s="3"/>
      <c r="I28" s="3"/>
      <c r="J28" s="178"/>
      <c r="K28" s="177"/>
      <c r="O28" s="178" t="s">
        <v>254</v>
      </c>
      <c r="P28" s="177">
        <f>IFERROR(P26+(P19-P20)*(P27-P26)/(P21-P20),P26)</f>
        <v>0</v>
      </c>
      <c r="T28" s="3"/>
      <c r="U28" s="3"/>
      <c r="V28" s="3"/>
      <c r="W28" s="178"/>
      <c r="X28" s="177"/>
      <c r="Z28" s="178"/>
      <c r="AB28" s="178" t="s">
        <v>254</v>
      </c>
      <c r="AC28" s="177">
        <f>IFERROR(AC26+(AC19-AC20)*(AC27-AC26)/(AC21-AC20),AC26)</f>
        <v>0</v>
      </c>
      <c r="AG28" s="3"/>
      <c r="AH28" s="3"/>
      <c r="AI28" s="3"/>
      <c r="AJ28" s="178"/>
      <c r="AK28" s="177"/>
      <c r="AM28" s="3"/>
      <c r="AN28" s="3"/>
      <c r="AO28" s="3"/>
      <c r="AP28" s="178"/>
      <c r="AQ28" s="177"/>
      <c r="AU28" s="3"/>
      <c r="AV28" s="3"/>
      <c r="AW28" s="3"/>
      <c r="AX28" s="178"/>
      <c r="AY28" s="177"/>
    </row>
    <row r="29" ht="15.75" customHeight="1"/>
    <row r="30" ht="15.0" customHeight="1">
      <c r="A30" s="29"/>
      <c r="B30" s="167" t="s">
        <v>255</v>
      </c>
      <c r="H30" s="141"/>
      <c r="I30" s="141"/>
      <c r="J30" s="141"/>
      <c r="K30" s="141"/>
      <c r="L30" s="141"/>
      <c r="M30" s="141"/>
      <c r="N30" s="29"/>
      <c r="O30" s="167" t="s">
        <v>255</v>
      </c>
      <c r="U30" s="141"/>
      <c r="V30" s="141"/>
      <c r="W30" s="141"/>
      <c r="X30" s="141"/>
      <c r="Y30" s="141"/>
      <c r="AA30" s="29"/>
      <c r="AB30" s="167" t="s">
        <v>255</v>
      </c>
      <c r="AH30" s="141"/>
      <c r="AI30" s="141"/>
      <c r="AJ30" s="141"/>
      <c r="AK30" s="141"/>
      <c r="AL30" s="141"/>
    </row>
    <row r="31" ht="15.0" customHeight="1">
      <c r="A31" s="29" t="s">
        <v>142</v>
      </c>
      <c r="B31" s="349">
        <v>2000.0</v>
      </c>
      <c r="C31" s="351">
        <v>3000.0</v>
      </c>
      <c r="D31" s="351">
        <v>4000.0</v>
      </c>
      <c r="E31" s="351">
        <v>5000.0</v>
      </c>
      <c r="F31" s="353">
        <v>6000.0</v>
      </c>
      <c r="G31" s="355">
        <v>7000.0</v>
      </c>
      <c r="H31" s="334">
        <v>8000.0</v>
      </c>
      <c r="I31" s="29"/>
      <c r="J31" s="29"/>
      <c r="K31" s="29"/>
      <c r="L31" s="29"/>
      <c r="M31" s="29"/>
      <c r="P31" s="29" t="s">
        <v>142</v>
      </c>
      <c r="Q31" s="349">
        <v>2000.0</v>
      </c>
      <c r="R31" s="353">
        <v>3000.0</v>
      </c>
      <c r="S31" s="355">
        <v>4000.0</v>
      </c>
      <c r="T31" s="334">
        <v>4500.0</v>
      </c>
      <c r="V31" s="29"/>
      <c r="W31" s="29"/>
      <c r="AD31" s="29" t="s">
        <v>142</v>
      </c>
      <c r="AE31" s="349">
        <v>4000.0</v>
      </c>
      <c r="AF31" s="351">
        <v>5000.0</v>
      </c>
      <c r="AG31" s="351">
        <v>6100.0</v>
      </c>
      <c r="AH31" s="351">
        <v>7200.0</v>
      </c>
      <c r="AI31" s="353">
        <v>8300.0</v>
      </c>
      <c r="AJ31" s="355">
        <v>9400.0</v>
      </c>
      <c r="AK31" s="334">
        <v>10000.0</v>
      </c>
      <c r="AL31" s="29"/>
    </row>
    <row r="32" ht="15.0" customHeight="1">
      <c r="A32" s="29">
        <v>9000.0</v>
      </c>
      <c r="B32" s="331">
        <v>1200.0</v>
      </c>
      <c r="C32" s="345">
        <v>1760.0</v>
      </c>
      <c r="D32" s="345">
        <v>2200.0</v>
      </c>
      <c r="E32" s="345">
        <v>2600.0</v>
      </c>
      <c r="F32" s="332">
        <v>3000.0</v>
      </c>
      <c r="G32" s="333">
        <v>3400.0</v>
      </c>
      <c r="H32" s="334">
        <v>99999.0</v>
      </c>
      <c r="I32" s="29"/>
      <c r="J32" s="29"/>
      <c r="K32" s="29"/>
      <c r="L32" s="29"/>
      <c r="M32" s="29"/>
      <c r="P32" s="29">
        <v>10000.0</v>
      </c>
      <c r="Q32" s="331"/>
      <c r="R32" s="332"/>
      <c r="S32" s="333"/>
      <c r="T32" s="334">
        <v>99999.0</v>
      </c>
      <c r="V32" s="29"/>
      <c r="W32" s="29"/>
      <c r="AD32" s="29">
        <v>9000.0</v>
      </c>
      <c r="AE32" s="331"/>
      <c r="AF32" s="345"/>
      <c r="AG32" s="345"/>
      <c r="AH32" s="345"/>
      <c r="AI32" s="332"/>
      <c r="AJ32" s="333"/>
      <c r="AK32" s="334">
        <v>99999.0</v>
      </c>
      <c r="AL32" s="29"/>
    </row>
    <row r="33" ht="15.0" customHeight="1">
      <c r="A33" s="29">
        <v>9500.0</v>
      </c>
      <c r="B33" s="343">
        <v>1250.0</v>
      </c>
      <c r="C33" s="141">
        <v>1800.0</v>
      </c>
      <c r="D33" s="141">
        <v>2400.0</v>
      </c>
      <c r="E33" s="141">
        <v>2800.0</v>
      </c>
      <c r="F33" s="320">
        <v>3200.0</v>
      </c>
      <c r="G33" s="29">
        <v>3600.0</v>
      </c>
      <c r="H33" s="337">
        <v>99999.0</v>
      </c>
      <c r="I33" s="29"/>
      <c r="J33" s="29"/>
      <c r="K33" s="29"/>
      <c r="L33" s="29"/>
      <c r="M33" s="29"/>
      <c r="P33" s="29">
        <v>11000.0</v>
      </c>
      <c r="Q33" s="343"/>
      <c r="R33" s="320"/>
      <c r="S33" s="29"/>
      <c r="T33" s="337">
        <v>99999.0</v>
      </c>
      <c r="V33" s="29"/>
      <c r="W33" s="29"/>
      <c r="AD33" s="29">
        <v>9500.0</v>
      </c>
      <c r="AE33" s="343"/>
      <c r="AF33" s="141"/>
      <c r="AG33" s="141"/>
      <c r="AH33" s="141"/>
      <c r="AI33" s="320"/>
      <c r="AJ33" s="29"/>
      <c r="AK33" s="337">
        <v>99999.0</v>
      </c>
      <c r="AL33" s="29"/>
    </row>
    <row r="34" ht="15.0" customHeight="1">
      <c r="A34" s="29">
        <v>10000.0</v>
      </c>
      <c r="B34" s="343">
        <v>1300.0</v>
      </c>
      <c r="C34" s="141">
        <v>2000.0</v>
      </c>
      <c r="D34" s="141">
        <v>2600.0</v>
      </c>
      <c r="E34" s="141">
        <v>3100.0</v>
      </c>
      <c r="F34" s="320">
        <v>3600.0</v>
      </c>
      <c r="G34" s="29">
        <v>4000.0</v>
      </c>
      <c r="H34" s="337">
        <v>99999.0</v>
      </c>
      <c r="I34" s="29"/>
      <c r="J34" s="29"/>
      <c r="K34" s="29"/>
      <c r="L34" s="29"/>
      <c r="M34" s="29"/>
      <c r="P34" s="29">
        <v>12000.0</v>
      </c>
      <c r="Q34" s="343"/>
      <c r="R34" s="320"/>
      <c r="S34" s="29"/>
      <c r="T34" s="337">
        <v>99999.0</v>
      </c>
      <c r="V34" s="29"/>
      <c r="W34" s="29"/>
      <c r="AD34" s="29">
        <v>10000.0</v>
      </c>
      <c r="AE34" s="343"/>
      <c r="AF34" s="141"/>
      <c r="AG34" s="141"/>
      <c r="AH34" s="141"/>
      <c r="AI34" s="320"/>
      <c r="AJ34" s="29"/>
      <c r="AK34" s="337">
        <v>99999.0</v>
      </c>
      <c r="AL34" s="29"/>
    </row>
    <row r="35" ht="15.0" customHeight="1">
      <c r="A35" s="29">
        <v>10500.0</v>
      </c>
      <c r="B35" s="343">
        <v>1400.0</v>
      </c>
      <c r="C35" s="141">
        <v>2200.0</v>
      </c>
      <c r="D35" s="141">
        <v>2820.0</v>
      </c>
      <c r="E35" s="141">
        <v>3400.0</v>
      </c>
      <c r="F35" s="320">
        <v>3900.0</v>
      </c>
      <c r="G35" s="29">
        <v>4400.0</v>
      </c>
      <c r="H35" s="337">
        <v>99999.0</v>
      </c>
      <c r="I35" s="29"/>
      <c r="J35" s="29"/>
      <c r="K35" s="29"/>
      <c r="L35" s="29"/>
      <c r="M35" s="29"/>
      <c r="P35" s="29">
        <v>13000.0</v>
      </c>
      <c r="Q35" s="343"/>
      <c r="R35" s="320"/>
      <c r="S35" s="29"/>
      <c r="T35" s="337">
        <v>99999.0</v>
      </c>
      <c r="V35" s="29"/>
      <c r="W35" s="29"/>
      <c r="AD35" s="29">
        <v>10500.0</v>
      </c>
      <c r="AE35" s="343"/>
      <c r="AF35" s="141"/>
      <c r="AG35" s="141"/>
      <c r="AH35" s="141"/>
      <c r="AI35" s="320"/>
      <c r="AJ35" s="29"/>
      <c r="AK35" s="337">
        <v>99999.0</v>
      </c>
      <c r="AL35" s="29"/>
    </row>
    <row r="36" ht="15.0" customHeight="1">
      <c r="A36" s="29">
        <v>11000.0</v>
      </c>
      <c r="B36" s="343">
        <v>1600.0</v>
      </c>
      <c r="C36" s="141">
        <v>2350.0</v>
      </c>
      <c r="D36" s="141">
        <v>3200.0</v>
      </c>
      <c r="E36" s="141">
        <v>3700.0</v>
      </c>
      <c r="F36" s="320">
        <v>4400.0</v>
      </c>
      <c r="G36" s="29">
        <v>4900.0</v>
      </c>
      <c r="H36" s="337">
        <v>99999.0</v>
      </c>
      <c r="I36" s="29"/>
      <c r="J36" s="29"/>
      <c r="K36" s="29"/>
      <c r="L36" s="29"/>
      <c r="M36" s="29"/>
      <c r="P36" s="29">
        <v>14000.0</v>
      </c>
      <c r="Q36" s="343"/>
      <c r="R36" s="320"/>
      <c r="S36" s="29"/>
      <c r="T36" s="337">
        <v>99999.0</v>
      </c>
      <c r="V36" s="29"/>
      <c r="W36" s="29"/>
      <c r="AD36" s="29">
        <v>11000.0</v>
      </c>
      <c r="AE36" s="343"/>
      <c r="AF36" s="141"/>
      <c r="AG36" s="141"/>
      <c r="AH36" s="141"/>
      <c r="AI36" s="320"/>
      <c r="AJ36" s="29"/>
      <c r="AK36" s="337">
        <v>99999.0</v>
      </c>
      <c r="AL36" s="29"/>
    </row>
    <row r="37" ht="15.0" customHeight="1">
      <c r="A37" s="29">
        <v>11500.0</v>
      </c>
      <c r="B37" s="343">
        <v>1700.0</v>
      </c>
      <c r="C37" s="141">
        <v>2600.0</v>
      </c>
      <c r="D37" s="141">
        <v>3400.0</v>
      </c>
      <c r="E37" s="141">
        <v>4100.0</v>
      </c>
      <c r="F37" s="320">
        <v>4800.0</v>
      </c>
      <c r="G37" s="29">
        <v>5450.0</v>
      </c>
      <c r="H37" s="337">
        <v>99999.0</v>
      </c>
      <c r="I37" s="29"/>
      <c r="J37" s="29"/>
      <c r="K37" s="29"/>
      <c r="L37" s="29"/>
      <c r="M37" s="29"/>
      <c r="P37" s="29">
        <v>15000.0</v>
      </c>
      <c r="Q37" s="343"/>
      <c r="R37" s="320"/>
      <c r="S37" s="29"/>
      <c r="T37" s="337">
        <v>99999.0</v>
      </c>
      <c r="V37" s="29"/>
      <c r="W37" s="29"/>
      <c r="AD37" s="29">
        <v>11500.0</v>
      </c>
      <c r="AE37" s="343"/>
      <c r="AF37" s="141"/>
      <c r="AG37" s="141"/>
      <c r="AH37" s="141"/>
      <c r="AI37" s="320"/>
      <c r="AJ37" s="29"/>
      <c r="AK37" s="337">
        <v>99999.0</v>
      </c>
      <c r="AL37" s="29"/>
    </row>
    <row r="38" ht="15.0" customHeight="1">
      <c r="A38" s="29">
        <v>12000.0</v>
      </c>
      <c r="B38" s="343">
        <v>1810.0</v>
      </c>
      <c r="C38" s="141">
        <v>2780.0</v>
      </c>
      <c r="D38" s="141">
        <v>3700.0</v>
      </c>
      <c r="E38" s="141">
        <v>4500.0</v>
      </c>
      <c r="F38" s="320">
        <v>5400.0</v>
      </c>
      <c r="G38" s="29">
        <v>6200.0</v>
      </c>
      <c r="H38" s="337">
        <v>99999.0</v>
      </c>
      <c r="I38" s="29"/>
      <c r="J38" s="29"/>
      <c r="K38" s="29"/>
      <c r="L38" s="29"/>
      <c r="M38" s="29"/>
      <c r="P38" s="29">
        <v>16000.0</v>
      </c>
      <c r="Q38" s="343"/>
      <c r="R38" s="320"/>
      <c r="S38" s="29"/>
      <c r="T38" s="337">
        <v>99999.0</v>
      </c>
      <c r="V38" s="29"/>
      <c r="W38" s="29"/>
      <c r="AD38" s="29">
        <v>12000.0</v>
      </c>
      <c r="AE38" s="343"/>
      <c r="AF38" s="141"/>
      <c r="AG38" s="141"/>
      <c r="AH38" s="141"/>
      <c r="AI38" s="320"/>
      <c r="AJ38" s="29"/>
      <c r="AK38" s="337">
        <v>99999.0</v>
      </c>
      <c r="AL38" s="29"/>
    </row>
    <row r="39" ht="15.0" customHeight="1">
      <c r="A39" s="29">
        <v>12500.0</v>
      </c>
      <c r="B39" s="340">
        <v>2000.0</v>
      </c>
      <c r="C39" s="348">
        <v>3000.0</v>
      </c>
      <c r="D39" s="348">
        <v>4000.0</v>
      </c>
      <c r="E39" s="348">
        <v>5000.0</v>
      </c>
      <c r="F39" s="341">
        <v>6000.0</v>
      </c>
      <c r="G39" s="281">
        <v>7000.0</v>
      </c>
      <c r="H39" s="337">
        <v>99999.0</v>
      </c>
      <c r="I39" s="29"/>
      <c r="J39" s="29"/>
      <c r="K39" s="29"/>
      <c r="L39" s="29"/>
      <c r="M39" s="29"/>
      <c r="P39" s="29">
        <v>16600.0</v>
      </c>
      <c r="Q39" s="340"/>
      <c r="R39" s="341"/>
      <c r="S39" s="281"/>
      <c r="T39" s="337">
        <v>99999.0</v>
      </c>
      <c r="V39" s="29"/>
      <c r="W39" s="29"/>
      <c r="AD39" s="29">
        <v>12500.0</v>
      </c>
      <c r="AE39" s="340"/>
      <c r="AF39" s="348"/>
      <c r="AG39" s="348"/>
      <c r="AH39" s="348"/>
      <c r="AI39" s="341"/>
      <c r="AJ39" s="281"/>
      <c r="AK39" s="337">
        <v>99999.0</v>
      </c>
      <c r="AL39" s="29"/>
    </row>
    <row r="40" ht="15.0" customHeight="1">
      <c r="A40" s="29">
        <v>12600.0</v>
      </c>
      <c r="B40" s="340">
        <v>99999.0</v>
      </c>
      <c r="C40" s="348">
        <v>99999.0</v>
      </c>
      <c r="D40" s="348">
        <v>99999.0</v>
      </c>
      <c r="E40" s="348">
        <v>99999.0</v>
      </c>
      <c r="F40" s="341">
        <v>99999.0</v>
      </c>
      <c r="G40" s="341">
        <v>99999.0</v>
      </c>
      <c r="H40" s="358">
        <v>99999.0</v>
      </c>
      <c r="I40" s="320"/>
      <c r="J40" s="320"/>
      <c r="K40" s="320"/>
      <c r="L40" s="320"/>
      <c r="M40" s="143"/>
      <c r="P40" s="29">
        <v>16700.0</v>
      </c>
      <c r="Q40" s="340">
        <v>99999.0</v>
      </c>
      <c r="R40" s="341">
        <v>99999.0</v>
      </c>
      <c r="S40" s="341">
        <v>99999.0</v>
      </c>
      <c r="T40" s="358">
        <v>99999.0</v>
      </c>
      <c r="V40" s="320"/>
      <c r="W40" s="320"/>
      <c r="AD40" s="29">
        <v>12600.0</v>
      </c>
      <c r="AE40" s="340">
        <v>99999.0</v>
      </c>
      <c r="AF40" s="348">
        <v>99999.0</v>
      </c>
      <c r="AG40" s="348">
        <v>99999.0</v>
      </c>
      <c r="AH40" s="348">
        <v>99999.0</v>
      </c>
      <c r="AI40" s="341">
        <v>99999.0</v>
      </c>
      <c r="AJ40" s="341">
        <v>99999.0</v>
      </c>
      <c r="AK40" s="358">
        <v>99999.0</v>
      </c>
      <c r="AL40" s="320"/>
    </row>
    <row r="41" ht="15.0" customHeight="1">
      <c r="B41" s="178"/>
      <c r="C41" s="177"/>
      <c r="D41" s="29"/>
      <c r="E41" s="29"/>
      <c r="F41" s="29"/>
      <c r="G41" s="3"/>
      <c r="H41" s="3"/>
      <c r="I41" s="3"/>
      <c r="J41" s="178"/>
      <c r="K41" s="177"/>
      <c r="L41" s="29"/>
      <c r="M41" s="29"/>
      <c r="O41" s="178"/>
      <c r="P41" s="177"/>
      <c r="Q41" s="29"/>
      <c r="R41" s="29"/>
      <c r="S41" s="29"/>
      <c r="T41" s="3"/>
      <c r="U41" s="3"/>
      <c r="V41" s="3"/>
      <c r="W41" s="178"/>
      <c r="X41" s="177"/>
      <c r="Y41" s="29"/>
      <c r="AB41" s="178"/>
      <c r="AC41" s="177"/>
      <c r="AD41" s="29"/>
      <c r="AE41" s="29"/>
      <c r="AF41" s="29"/>
      <c r="AG41" s="3"/>
      <c r="AH41" s="3"/>
      <c r="AI41" s="3"/>
      <c r="AJ41" s="178"/>
      <c r="AK41" s="177"/>
      <c r="AL41" s="29"/>
    </row>
    <row r="42" ht="15.0" customHeight="1">
      <c r="B42" s="178" t="s">
        <v>134</v>
      </c>
      <c r="C42" s="177">
        <f>C28</f>
        <v>3160</v>
      </c>
      <c r="D42" s="167" t="s">
        <v>239</v>
      </c>
      <c r="G42" s="3"/>
      <c r="H42" s="3"/>
      <c r="I42" s="3"/>
      <c r="J42" s="178"/>
      <c r="K42" s="177"/>
      <c r="L42" s="141"/>
      <c r="O42" s="178" t="s">
        <v>134</v>
      </c>
      <c r="P42" s="177">
        <f>P28</f>
        <v>0</v>
      </c>
      <c r="Q42" s="167" t="s">
        <v>239</v>
      </c>
      <c r="T42" s="3"/>
      <c r="U42" s="3"/>
      <c r="V42" s="3"/>
      <c r="W42" s="178"/>
      <c r="X42" s="177"/>
      <c r="Y42" s="141"/>
      <c r="AB42" s="178" t="s">
        <v>134</v>
      </c>
      <c r="AC42" s="177">
        <f>AC28</f>
        <v>0</v>
      </c>
      <c r="AD42" s="167" t="s">
        <v>239</v>
      </c>
      <c r="AG42" s="3"/>
      <c r="AH42" s="3"/>
      <c r="AI42" s="3"/>
      <c r="AJ42" s="178"/>
      <c r="AK42" s="177"/>
      <c r="AL42" s="141"/>
    </row>
    <row r="43" ht="15.0" customHeight="1">
      <c r="B43" s="129" t="s">
        <v>240</v>
      </c>
      <c r="C43" s="182">
        <f t="array" ref="C43">INDEX(B31:H31,MATCH(C42,B31:H31,1))</f>
        <v>3000</v>
      </c>
      <c r="D43" s="129" t="s">
        <v>131</v>
      </c>
      <c r="E43" s="155">
        <f>MATCH(MAX(A32:A40),A32:A40,1)</f>
        <v>9</v>
      </c>
      <c r="G43" s="3"/>
      <c r="H43" s="3"/>
      <c r="I43" s="3"/>
      <c r="J43" s="129"/>
      <c r="K43" s="182"/>
      <c r="L43" s="129"/>
      <c r="M43" s="155"/>
      <c r="O43" s="129" t="s">
        <v>240</v>
      </c>
      <c r="P43" s="182" t="str">
        <f t="array" ref="P43">INDEX(Q31:T31,MATCH(P42,Q31:T31,1))</f>
        <v>#N/A</v>
      </c>
      <c r="Q43" s="129" t="s">
        <v>131</v>
      </c>
      <c r="R43" s="155">
        <f>MATCH(MAX(P32:P40),P32:P40,1)</f>
        <v>9</v>
      </c>
      <c r="T43" s="3"/>
      <c r="U43" s="3"/>
      <c r="V43" s="3"/>
      <c r="W43" s="129"/>
      <c r="X43" s="182"/>
      <c r="Y43" s="129"/>
      <c r="AB43" s="129" t="s">
        <v>240</v>
      </c>
      <c r="AC43" s="182" t="str">
        <f t="array" ref="AC43">INDEX(AE31:AK31,MATCH(AC42,AE31:AK31,1))</f>
        <v>#N/A</v>
      </c>
      <c r="AD43" s="129" t="s">
        <v>131</v>
      </c>
      <c r="AE43" s="155">
        <f>MATCH(MAX(AD32:AD40),AD32:AD40,1)</f>
        <v>9</v>
      </c>
      <c r="AG43" s="3"/>
      <c r="AH43" s="3"/>
      <c r="AI43" s="3"/>
      <c r="AJ43" s="129"/>
      <c r="AK43" s="182"/>
      <c r="AL43" s="129"/>
    </row>
    <row r="44" ht="15.0" customHeight="1">
      <c r="B44" s="129" t="s">
        <v>241</v>
      </c>
      <c r="C44" s="182">
        <f t="array" ref="C44">INDEX(B31:H31,IF(MATCH(C42,B31:H31,1)&lt;E44,MATCH(C42,B31:H31,1)+1,MATCH(C42,B31:H31,1)))</f>
        <v>4000</v>
      </c>
      <c r="D44" s="129" t="s">
        <v>132</v>
      </c>
      <c r="E44" s="155">
        <f>MATCH(MAX(B31:H31),B31:H31,0)</f>
        <v>7</v>
      </c>
      <c r="G44" s="3"/>
      <c r="H44" s="3"/>
      <c r="I44" s="3"/>
      <c r="J44" s="129"/>
      <c r="K44" s="182"/>
      <c r="L44" s="129"/>
      <c r="M44" s="155"/>
      <c r="O44" s="129" t="s">
        <v>241</v>
      </c>
      <c r="P44" s="182" t="str">
        <f t="array" ref="P44">INDEX(Q31:T31,IF(MATCH(P42,Q31:T31,1)&lt;R44,MATCH(P42,Q31:T31,1)+1,MATCH(P42,Q31:T31,1)))</f>
        <v>#N/A</v>
      </c>
      <c r="Q44" s="129" t="s">
        <v>132</v>
      </c>
      <c r="R44" s="155">
        <f>MATCH(MAX(Q31:T31),Q31:T31,0)</f>
        <v>4</v>
      </c>
      <c r="T44" s="3"/>
      <c r="U44" s="3"/>
      <c r="V44" s="3"/>
      <c r="W44" s="129"/>
      <c r="X44" s="182"/>
      <c r="Y44" s="129"/>
      <c r="AB44" s="129" t="s">
        <v>241</v>
      </c>
      <c r="AC44" s="182" t="str">
        <f t="array" ref="AC44">INDEX(AE31:AK31,IF(MATCH(AC42,AE31:AK31,1)&lt;AE44,MATCH(AC42,AE31:AK31,1)+1,MATCH(AC42,AE31:AK31,1)))</f>
        <v>#N/A</v>
      </c>
      <c r="AD44" s="129" t="s">
        <v>132</v>
      </c>
      <c r="AE44" s="155">
        <f>MATCH(MAX(AE31:AK31),AE31:AK31,0)</f>
        <v>7</v>
      </c>
      <c r="AG44" s="3"/>
      <c r="AH44" s="3"/>
      <c r="AI44" s="3"/>
      <c r="AJ44" s="129"/>
      <c r="AK44" s="182"/>
      <c r="AL44" s="129"/>
    </row>
    <row r="45" ht="15.0" customHeight="1">
      <c r="B45" s="176" t="s">
        <v>136</v>
      </c>
      <c r="C45" s="274">
        <f>'Take-off'!$C$14</f>
        <v>12500</v>
      </c>
      <c r="D45" s="3"/>
      <c r="E45" s="3"/>
      <c r="G45" s="3"/>
      <c r="H45" s="3"/>
      <c r="I45" s="3"/>
      <c r="J45" s="178"/>
      <c r="K45" s="274"/>
      <c r="L45" s="3"/>
      <c r="M45" s="3"/>
      <c r="O45" s="176" t="s">
        <v>136</v>
      </c>
      <c r="P45" s="274">
        <f>'Take-off'!$C$14</f>
        <v>12500</v>
      </c>
      <c r="Q45" s="3"/>
      <c r="R45" s="3"/>
      <c r="T45" s="3"/>
      <c r="U45" s="3"/>
      <c r="V45" s="3"/>
      <c r="W45" s="178"/>
      <c r="X45" s="274"/>
      <c r="Y45" s="3"/>
      <c r="AB45" s="176" t="s">
        <v>136</v>
      </c>
      <c r="AC45" s="274">
        <f>'Take-off'!$C$14</f>
        <v>12500</v>
      </c>
      <c r="AD45" s="3"/>
      <c r="AE45" s="3"/>
      <c r="AG45" s="3"/>
      <c r="AH45" s="3"/>
      <c r="AI45" s="3"/>
      <c r="AJ45" s="178"/>
      <c r="AK45" s="274"/>
      <c r="AL45" s="3"/>
    </row>
    <row r="46" ht="15.0" customHeight="1">
      <c r="B46" s="129" t="s">
        <v>139</v>
      </c>
      <c r="C46" s="182">
        <f t="array" ref="C46">INDEX(A32:A40,MATCH(C45,A32:A40,1))</f>
        <v>12500</v>
      </c>
      <c r="D46" s="3"/>
      <c r="E46" s="161"/>
      <c r="G46" s="3"/>
      <c r="H46" s="3"/>
      <c r="I46" s="3"/>
      <c r="J46" s="129"/>
      <c r="K46" s="182"/>
      <c r="L46" s="3"/>
      <c r="M46" s="161"/>
      <c r="O46" s="129" t="s">
        <v>139</v>
      </c>
      <c r="P46" s="182">
        <f t="array" ref="P46">INDEX(P32:P40,MATCH(P45,P32:P40,1))</f>
        <v>12000</v>
      </c>
      <c r="Q46" s="3"/>
      <c r="R46" s="161"/>
      <c r="T46" s="3"/>
      <c r="U46" s="3"/>
      <c r="V46" s="3"/>
      <c r="W46" s="129"/>
      <c r="X46" s="182"/>
      <c r="Y46" s="3"/>
      <c r="AB46" s="129" t="s">
        <v>139</v>
      </c>
      <c r="AC46" s="182">
        <f t="array" ref="AC46">INDEX(AD32:AD40,MATCH(AC45,AD32:AD40,1))</f>
        <v>12500</v>
      </c>
      <c r="AD46" s="3"/>
      <c r="AE46" s="161"/>
      <c r="AG46" s="3"/>
      <c r="AH46" s="3"/>
      <c r="AI46" s="3"/>
      <c r="AJ46" s="129"/>
      <c r="AK46" s="182"/>
      <c r="AL46" s="3"/>
    </row>
    <row r="47" ht="15.0" customHeight="1">
      <c r="B47" s="129" t="s">
        <v>145</v>
      </c>
      <c r="C47" s="182">
        <f t="array" ref="C47">INDEX(A32:A40,IF(MATCH(C45,A32:A40,1)&lt;E43,MATCH(C45,A32:A40,1)+1,MATCH(C45,A32:A40,1)))</f>
        <v>12600</v>
      </c>
      <c r="D47" s="3"/>
      <c r="E47" s="161"/>
      <c r="G47" s="3"/>
      <c r="H47" s="3"/>
      <c r="I47" s="3"/>
      <c r="J47" s="129"/>
      <c r="K47" s="182"/>
      <c r="L47" s="3"/>
      <c r="M47" s="161"/>
      <c r="O47" s="129" t="s">
        <v>145</v>
      </c>
      <c r="P47" s="182">
        <f t="array" ref="P47">INDEX(P32:P40,IF(MATCH(P45,P32:P40,1)&lt;R43,MATCH(P45,P32:P40,1)+1,MATCH(P45,P32:P40,1)))</f>
        <v>13000</v>
      </c>
      <c r="Q47" s="3"/>
      <c r="R47" s="161"/>
      <c r="T47" s="3"/>
      <c r="U47" s="3"/>
      <c r="V47" s="3"/>
      <c r="W47" s="129"/>
      <c r="X47" s="182"/>
      <c r="Y47" s="3"/>
      <c r="AB47" s="129" t="s">
        <v>145</v>
      </c>
      <c r="AC47" s="182">
        <f t="array" ref="AC47">INDEX(AD32:AD40,IF(MATCH(AC45,AD32:AD40,1)&lt;AE43,MATCH(AC45,AD32:AD40,1)+1,MATCH(AC45,AD32:AD40,1)))</f>
        <v>12600</v>
      </c>
      <c r="AD47" s="3"/>
      <c r="AE47" s="161"/>
      <c r="AG47" s="3"/>
      <c r="AH47" s="3"/>
      <c r="AI47" s="3"/>
      <c r="AJ47" s="129"/>
      <c r="AK47" s="182"/>
      <c r="AL47" s="3"/>
    </row>
    <row r="48" ht="15.0" customHeight="1">
      <c r="B48" s="178" t="s">
        <v>165</v>
      </c>
      <c r="C48" s="177">
        <f t="array" ref="C48">INDEX(B32:H40,MATCH(C45,A32:A40,1),MATCH(C42,B31:H31,1))</f>
        <v>3000</v>
      </c>
      <c r="D48" s="3"/>
      <c r="E48" s="161"/>
      <c r="G48" s="3"/>
      <c r="H48" s="3"/>
      <c r="I48" s="3"/>
      <c r="J48" s="178"/>
      <c r="K48" s="177"/>
      <c r="L48" s="3"/>
      <c r="M48" s="161"/>
      <c r="O48" s="178" t="s">
        <v>165</v>
      </c>
      <c r="P48" s="177" t="str">
        <f t="array" ref="P48">INDEX(Q32:T40,MATCH(P45,P32:P40,1),MATCH(P42,Q31:T31,1))</f>
        <v>#N/A</v>
      </c>
      <c r="Q48" s="3"/>
      <c r="R48" s="161"/>
      <c r="T48" s="3"/>
      <c r="U48" s="3"/>
      <c r="V48" s="3"/>
      <c r="W48" s="178"/>
      <c r="X48" s="177"/>
      <c r="Y48" s="3"/>
      <c r="AB48" s="178" t="s">
        <v>165</v>
      </c>
      <c r="AC48" s="177" t="str">
        <f t="array" ref="AC48">INDEX(AE32:AK40,MATCH(AC45,AD32:AD40,1),MATCH(AC42,AE31:AK31,1))</f>
        <v>#N/A</v>
      </c>
      <c r="AD48" s="3"/>
      <c r="AE48" s="161"/>
      <c r="AG48" s="3"/>
      <c r="AH48" s="3"/>
      <c r="AI48" s="3"/>
      <c r="AJ48" s="178"/>
      <c r="AK48" s="177"/>
      <c r="AL48" s="3"/>
    </row>
    <row r="49" ht="15.0" customHeight="1">
      <c r="B49" s="178" t="s">
        <v>249</v>
      </c>
      <c r="C49" s="177">
        <f t="array" ref="C49">INDEX(B32:H40,MATCH(C45,A32:A40,1),IF(MATCH(C42,B31:H31,1)&lt;E44,MATCH(C42,B31:H31,1)+1,MATCH(C45,A32:A40,1)))</f>
        <v>4000</v>
      </c>
      <c r="E49" s="161"/>
      <c r="G49" s="3"/>
      <c r="H49" s="3"/>
      <c r="I49" s="3"/>
      <c r="J49" s="178"/>
      <c r="K49" s="177"/>
      <c r="M49" s="161"/>
      <c r="O49" s="178" t="s">
        <v>249</v>
      </c>
      <c r="P49" s="177" t="str">
        <f t="array" ref="P49">INDEX(Q32:T40,MATCH(P45,P32:P40,1),IF(MATCH(P42,Q31:T31,1)&lt;R44,MATCH(P42,Q31:T31,1)+1,MATCH(P45,P32:P40,1)))</f>
        <v>#N/A</v>
      </c>
      <c r="R49" s="161"/>
      <c r="T49" s="3"/>
      <c r="U49" s="3"/>
      <c r="V49" s="3"/>
      <c r="W49" s="178"/>
      <c r="X49" s="177"/>
      <c r="AB49" s="178" t="s">
        <v>249</v>
      </c>
      <c r="AC49" s="177" t="str">
        <f t="array" ref="AC49">INDEX(AE32:AK40,MATCH(AC45,AD32:AD40,1),IF(MATCH(AC42,AE31:AK31,1)&lt;AE44,MATCH(AC42,AE31:AK31,1)+1,MATCH(AC45,AD32:AD40,1)))</f>
        <v>#N/A</v>
      </c>
      <c r="AE49" s="161"/>
      <c r="AG49" s="3"/>
      <c r="AH49" s="3"/>
      <c r="AI49" s="3"/>
      <c r="AJ49" s="178"/>
      <c r="AK49" s="177"/>
    </row>
    <row r="50" ht="15.0" customHeight="1">
      <c r="B50" s="178" t="s">
        <v>177</v>
      </c>
      <c r="C50" s="177">
        <f t="array" ref="C50">INDEX(B32:H40,IF(MATCH(C45,A32:A40,1)&lt;E43,MATCH(C45,A32:A40,1)+1,MATCH(C45,A32:A40,1)),MATCH(C42,B31:H31,1))</f>
        <v>99999</v>
      </c>
      <c r="E50" s="161"/>
      <c r="G50" s="3"/>
      <c r="H50" s="3"/>
      <c r="I50" s="3"/>
      <c r="J50" s="178"/>
      <c r="K50" s="177"/>
      <c r="M50" s="161"/>
      <c r="O50" s="178" t="s">
        <v>177</v>
      </c>
      <c r="P50" s="177" t="str">
        <f t="array" ref="P50">INDEX(Q32:T40,IF(MATCH(P45,P32:P40,1)&lt;R43,MATCH(P45,P32:P40,1)+1,MATCH(P45,P32:P40,1)),MATCH(P42,Q31:T31,1))</f>
        <v>#N/A</v>
      </c>
      <c r="R50" s="161"/>
      <c r="T50" s="3"/>
      <c r="U50" s="3"/>
      <c r="V50" s="3"/>
      <c r="W50" s="178"/>
      <c r="X50" s="177"/>
      <c r="AB50" s="178" t="s">
        <v>177</v>
      </c>
      <c r="AC50" s="177" t="str">
        <f t="array" ref="AC50">INDEX(AE32:AK40,IF(MATCH(AC45,AD32:AD40,1)&lt;AE43,MATCH(AC45,AD32:AD40,1)+1,MATCH(AC45,AD32:AD40,1)),MATCH(AC42,AE31:AK31,1))</f>
        <v>#N/A</v>
      </c>
      <c r="AE50" s="161"/>
      <c r="AG50" s="3"/>
      <c r="AH50" s="3"/>
      <c r="AI50" s="3"/>
      <c r="AJ50" s="178"/>
      <c r="AK50" s="177"/>
    </row>
    <row r="51" ht="15.0" customHeight="1">
      <c r="B51" s="178" t="s">
        <v>250</v>
      </c>
      <c r="C51" s="177">
        <f t="array" ref="C51">INDEX(B32:H40,IF(MATCH(C45,A32:A40,1)&lt;E43,MATCH(C45,A32:A40,1)+1,MATCH(C45,A32:A40,1)),IF(MATCH(C42,B31:H31,1)&lt;E44,MATCH(C42,B31:H31,1)+1,MATCH(C42,B31:H31,1)))</f>
        <v>99999</v>
      </c>
      <c r="G51" s="3"/>
      <c r="H51" s="3"/>
      <c r="I51" s="3"/>
      <c r="J51" s="178"/>
      <c r="K51" s="177"/>
      <c r="O51" s="178" t="s">
        <v>250</v>
      </c>
      <c r="P51" s="177" t="str">
        <f t="array" ref="P51">INDEX(Q32:T40,IF(MATCH(P45,P32:P40,1)&lt;R43,MATCH(P45,P32:P40,1)+1,MATCH(P45,P32:P40,1)),IF(MATCH(P42,Q31:T31,1)&lt;R44,MATCH(P42,Q31:T31,1)+1,MATCH(P42,Q31:T31,1)))</f>
        <v>#N/A</v>
      </c>
      <c r="T51" s="3"/>
      <c r="U51" s="3"/>
      <c r="V51" s="3"/>
      <c r="W51" s="178"/>
      <c r="X51" s="177"/>
      <c r="AB51" s="178" t="s">
        <v>250</v>
      </c>
      <c r="AC51" s="177" t="str">
        <f t="array" ref="AC51">INDEX(AE32:AK40,IF(MATCH(AC45,AD32:AD40,1)&lt;AE43,MATCH(AC45,AD32:AD40,1)+1,MATCH(AC45,AD32:AD40,1)),IF(MATCH(AC42,AE31:AK31,1)&lt;AE44,MATCH(AC42,AE31:AK31,1)+1,MATCH(AC42,AE31:AK31,1)))</f>
        <v>#N/A</v>
      </c>
      <c r="AG51" s="3"/>
      <c r="AH51" s="3"/>
      <c r="AI51" s="3"/>
      <c r="AJ51" s="178"/>
      <c r="AK51" s="177"/>
    </row>
    <row r="52" ht="15.0" customHeight="1">
      <c r="B52" s="129" t="s">
        <v>252</v>
      </c>
      <c r="C52" s="182">
        <f>IFERROR(C48+(C42-C43)*(C49-C48)/(C44-C43),C48)</f>
        <v>3160</v>
      </c>
      <c r="G52" s="3"/>
      <c r="H52" s="3"/>
      <c r="I52" s="3"/>
      <c r="J52" s="129"/>
      <c r="K52" s="182"/>
      <c r="O52" s="129" t="s">
        <v>252</v>
      </c>
      <c r="P52" s="182" t="str">
        <f>IFERROR(P48+(P42-P43)*(P49-P48)/(P44-P43),P48)</f>
        <v>#N/A</v>
      </c>
      <c r="T52" s="3"/>
      <c r="U52" s="3"/>
      <c r="V52" s="3"/>
      <c r="W52" s="129"/>
      <c r="X52" s="182"/>
      <c r="AB52" s="129" t="s">
        <v>252</v>
      </c>
      <c r="AC52" s="182" t="str">
        <f>IFERROR(AC48+(AC42-AC43)*(AC49-AC48)/(AC44-AC43),AC48)</f>
        <v>#N/A</v>
      </c>
      <c r="AG52" s="3"/>
      <c r="AH52" s="3"/>
      <c r="AI52" s="3"/>
      <c r="AJ52" s="129"/>
      <c r="AK52" s="182"/>
    </row>
    <row r="53" ht="15.0" customHeight="1">
      <c r="B53" s="129" t="s">
        <v>253</v>
      </c>
      <c r="C53" s="182">
        <f>IFERROR(C50+(C42-C43)*(C51-C50)/(C44-C43),C50)</f>
        <v>99999</v>
      </c>
      <c r="G53" s="3"/>
      <c r="H53" s="3"/>
      <c r="I53" s="3"/>
      <c r="J53" s="129"/>
      <c r="K53" s="182"/>
      <c r="O53" s="129" t="s">
        <v>253</v>
      </c>
      <c r="P53" s="182" t="str">
        <f>IFERROR(P50+(P42-P43)*(P51-P50)/(P44-P43),P50)</f>
        <v>#N/A</v>
      </c>
      <c r="T53" s="3"/>
      <c r="U53" s="3"/>
      <c r="V53" s="3"/>
      <c r="W53" s="129"/>
      <c r="X53" s="182"/>
      <c r="AB53" s="129" t="s">
        <v>253</v>
      </c>
      <c r="AC53" s="182" t="str">
        <f>IFERROR(AC50+(AC42-AC43)*(AC51-AC50)/(AC44-AC43),AC50)</f>
        <v>#N/A</v>
      </c>
      <c r="AG53" s="3"/>
      <c r="AH53" s="3"/>
      <c r="AI53" s="3"/>
      <c r="AJ53" s="129"/>
      <c r="AK53" s="182"/>
    </row>
    <row r="54" ht="15.0" customHeight="1">
      <c r="B54" s="178" t="s">
        <v>254</v>
      </c>
      <c r="C54" s="177">
        <f>IFERROR(C52+(C45-C46)*(C53-C52)/(C47-C46),C52)</f>
        <v>3160</v>
      </c>
      <c r="G54" s="3"/>
      <c r="H54" s="3"/>
      <c r="I54" s="3"/>
      <c r="J54" s="178"/>
      <c r="K54" s="177"/>
      <c r="O54" s="178" t="s">
        <v>254</v>
      </c>
      <c r="P54" s="177" t="str">
        <f>IFERROR(P52+(P45-P46)*(P53-P52)/(P47-P46),P52)</f>
        <v>#N/A</v>
      </c>
      <c r="T54" s="3"/>
      <c r="U54" s="3"/>
      <c r="V54" s="3"/>
      <c r="W54" s="178"/>
      <c r="X54" s="177"/>
      <c r="AB54" s="178" t="s">
        <v>254</v>
      </c>
      <c r="AC54" s="177" t="str">
        <f>IFERROR(AC52+(AC45-AC46)*(AC53-AC52)/(AC47-AC46),AC52)</f>
        <v>#N/A</v>
      </c>
      <c r="AG54" s="3"/>
      <c r="AH54" s="3"/>
      <c r="AI54" s="3"/>
      <c r="AJ54" s="178"/>
      <c r="AK54" s="177"/>
    </row>
    <row r="55" ht="15.0" customHeight="1">
      <c r="J55" s="29"/>
      <c r="K55" s="29"/>
      <c r="L55" s="29"/>
      <c r="M55" s="29"/>
      <c r="W55" s="29"/>
      <c r="X55" s="29"/>
      <c r="Y55" s="29"/>
      <c r="AJ55" s="29"/>
      <c r="AK55" s="29"/>
      <c r="AL55" s="29"/>
    </row>
    <row r="56" ht="15.0" customHeight="1">
      <c r="A56" s="29"/>
      <c r="B56" s="167" t="s">
        <v>257</v>
      </c>
      <c r="J56" s="141"/>
      <c r="K56" s="141"/>
      <c r="L56" s="141"/>
      <c r="M56" s="141"/>
      <c r="N56" s="29"/>
      <c r="O56" s="167" t="s">
        <v>257</v>
      </c>
      <c r="W56" s="141"/>
      <c r="X56" s="141"/>
      <c r="Y56" s="141"/>
      <c r="AA56" s="29"/>
      <c r="AB56" s="167" t="s">
        <v>257</v>
      </c>
      <c r="AJ56" s="141"/>
      <c r="AK56" s="141"/>
      <c r="AL56" s="141"/>
    </row>
    <row r="57" ht="15.0" customHeight="1">
      <c r="A57" s="29" t="s">
        <v>152</v>
      </c>
      <c r="B57" s="345">
        <v>2000.0</v>
      </c>
      <c r="C57" s="345">
        <v>3000.0</v>
      </c>
      <c r="D57" s="345">
        <v>4000.0</v>
      </c>
      <c r="E57" s="345">
        <v>5000.0</v>
      </c>
      <c r="F57" s="332">
        <v>6000.0</v>
      </c>
      <c r="G57" s="332">
        <v>7000.0</v>
      </c>
      <c r="H57" s="332">
        <v>8000.0</v>
      </c>
      <c r="I57" s="334">
        <v>9000.0</v>
      </c>
      <c r="J57" s="143"/>
      <c r="K57" s="143"/>
      <c r="L57" s="143"/>
      <c r="M57" s="29"/>
      <c r="N57" s="29" t="s">
        <v>152</v>
      </c>
      <c r="O57" s="331">
        <v>2000.0</v>
      </c>
      <c r="P57" s="345">
        <v>3000.0</v>
      </c>
      <c r="Q57" s="345">
        <v>4000.0</v>
      </c>
      <c r="R57" s="345">
        <v>5000.0</v>
      </c>
      <c r="S57" s="345">
        <v>6000.0</v>
      </c>
      <c r="T57" s="345">
        <v>7000.0</v>
      </c>
      <c r="U57" s="345">
        <v>8000.0</v>
      </c>
      <c r="V57" s="345">
        <v>9000.0</v>
      </c>
      <c r="W57" s="334">
        <v>10000.0</v>
      </c>
      <c r="AA57" s="29"/>
      <c r="AB57" s="29" t="s">
        <v>152</v>
      </c>
      <c r="AC57" s="331">
        <v>2000.0</v>
      </c>
      <c r="AD57" s="345">
        <v>3200.0</v>
      </c>
      <c r="AE57" s="345">
        <v>4300.0</v>
      </c>
      <c r="AF57" s="345">
        <v>5400.0</v>
      </c>
      <c r="AG57" s="345">
        <v>6400.0</v>
      </c>
      <c r="AH57" s="345">
        <v>7600.0</v>
      </c>
      <c r="AI57" s="345">
        <v>8600.0</v>
      </c>
      <c r="AJ57" s="345">
        <v>9700.0</v>
      </c>
      <c r="AK57" s="347">
        <v>10000.0</v>
      </c>
      <c r="AO57" s="143"/>
      <c r="AP57" s="29"/>
      <c r="AR57" s="29"/>
      <c r="AS57" s="29"/>
      <c r="AT57" s="29"/>
    </row>
    <row r="58" ht="15.0" customHeight="1">
      <c r="A58" s="29">
        <v>-10.0</v>
      </c>
      <c r="B58" s="331">
        <v>2200.0</v>
      </c>
      <c r="C58" s="345">
        <v>3200.0</v>
      </c>
      <c r="D58" s="345">
        <v>4350.0</v>
      </c>
      <c r="E58" s="345">
        <v>5400.0</v>
      </c>
      <c r="F58" s="345">
        <v>6450.0</v>
      </c>
      <c r="G58" s="345">
        <v>7500.0</v>
      </c>
      <c r="H58" s="345">
        <v>8500.0</v>
      </c>
      <c r="I58" s="347">
        <v>99999.0</v>
      </c>
      <c r="J58" s="141"/>
      <c r="K58" s="141"/>
      <c r="L58" s="141"/>
      <c r="M58" s="29"/>
      <c r="N58" s="29">
        <v>-10.0</v>
      </c>
      <c r="O58" s="331"/>
      <c r="P58" s="345"/>
      <c r="Q58" s="345"/>
      <c r="R58" s="345"/>
      <c r="S58" s="345"/>
      <c r="T58" s="345"/>
      <c r="U58" s="345"/>
      <c r="V58" s="345"/>
      <c r="W58" s="347">
        <v>99999.0</v>
      </c>
      <c r="AA58" s="29"/>
      <c r="AB58" s="29">
        <v>-10.0</v>
      </c>
      <c r="AC58" s="331"/>
      <c r="AD58" s="345"/>
      <c r="AE58" s="345"/>
      <c r="AF58" s="345"/>
      <c r="AG58" s="345"/>
      <c r="AH58" s="345"/>
      <c r="AI58" s="345"/>
      <c r="AJ58" s="345"/>
      <c r="AK58" s="347">
        <v>99999.0</v>
      </c>
      <c r="AO58" s="141"/>
      <c r="AP58" s="29"/>
      <c r="AR58" s="29"/>
    </row>
    <row r="59" ht="15.0" customHeight="1">
      <c r="A59" s="29">
        <v>0.0</v>
      </c>
      <c r="B59" s="343">
        <v>2000.0</v>
      </c>
      <c r="C59" s="141">
        <v>3000.0</v>
      </c>
      <c r="D59" s="141">
        <v>4000.0</v>
      </c>
      <c r="E59" s="141">
        <v>5000.0</v>
      </c>
      <c r="F59" s="141">
        <v>6000.0</v>
      </c>
      <c r="G59" s="141">
        <v>7000.0</v>
      </c>
      <c r="H59" s="141">
        <v>8000.0</v>
      </c>
      <c r="I59" s="347">
        <v>99999.0</v>
      </c>
      <c r="J59" s="141"/>
      <c r="K59" s="141"/>
      <c r="L59" s="141"/>
      <c r="M59" s="29"/>
      <c r="N59" s="29">
        <v>0.0</v>
      </c>
      <c r="O59" s="343"/>
      <c r="P59" s="141"/>
      <c r="Q59" s="141"/>
      <c r="R59" s="141"/>
      <c r="S59" s="141"/>
      <c r="T59" s="141"/>
      <c r="U59" s="141"/>
      <c r="V59" s="141"/>
      <c r="W59" s="347">
        <v>99999.0</v>
      </c>
      <c r="AA59" s="29"/>
      <c r="AB59" s="29">
        <v>0.0</v>
      </c>
      <c r="AC59" s="343"/>
      <c r="AD59" s="141"/>
      <c r="AE59" s="141"/>
      <c r="AF59" s="141"/>
      <c r="AG59" s="141"/>
      <c r="AH59" s="141"/>
      <c r="AI59" s="141"/>
      <c r="AJ59" s="141"/>
      <c r="AK59" s="365">
        <v>99999.0</v>
      </c>
      <c r="AO59" s="141"/>
      <c r="AP59" s="29"/>
      <c r="AR59" s="29"/>
    </row>
    <row r="60" ht="15.0" customHeight="1">
      <c r="A60" s="29">
        <v>30.0</v>
      </c>
      <c r="B60" s="340">
        <v>1800.0</v>
      </c>
      <c r="C60" s="348">
        <v>2800.0</v>
      </c>
      <c r="D60" s="348">
        <v>3700.0</v>
      </c>
      <c r="E60" s="348">
        <v>4700.0</v>
      </c>
      <c r="F60" s="348">
        <v>5600.0</v>
      </c>
      <c r="G60" s="348">
        <v>6600.0</v>
      </c>
      <c r="H60" s="348">
        <v>7400.0</v>
      </c>
      <c r="I60" s="366">
        <v>99999.0</v>
      </c>
      <c r="J60" s="141"/>
      <c r="K60" s="141"/>
      <c r="L60" s="141"/>
      <c r="M60" s="29"/>
      <c r="N60" s="29">
        <v>30.0</v>
      </c>
      <c r="O60" s="340"/>
      <c r="P60" s="348"/>
      <c r="Q60" s="348"/>
      <c r="R60" s="348"/>
      <c r="S60" s="348"/>
      <c r="T60" s="348"/>
      <c r="U60" s="348"/>
      <c r="V60" s="348"/>
      <c r="W60" s="366">
        <v>99999.0</v>
      </c>
      <c r="AA60" s="29"/>
      <c r="AB60" s="29">
        <v>30.0</v>
      </c>
      <c r="AC60" s="340"/>
      <c r="AD60" s="348"/>
      <c r="AE60" s="348"/>
      <c r="AF60" s="348"/>
      <c r="AG60" s="348"/>
      <c r="AH60" s="348"/>
      <c r="AI60" s="348"/>
      <c r="AJ60" s="348"/>
      <c r="AK60" s="362">
        <v>99999.0</v>
      </c>
      <c r="AO60" s="141"/>
      <c r="AP60" s="29"/>
      <c r="AR60" s="29"/>
    </row>
    <row r="61" ht="15.0" customHeight="1">
      <c r="B61" s="178"/>
      <c r="C61" s="177"/>
      <c r="D61" s="29"/>
      <c r="E61" s="29"/>
      <c r="F61" s="29"/>
      <c r="G61" s="3"/>
      <c r="H61" s="3"/>
      <c r="I61" s="3"/>
      <c r="J61" s="3"/>
      <c r="K61" s="3"/>
      <c r="L61" s="178"/>
      <c r="M61" s="177"/>
      <c r="Q61" s="178"/>
      <c r="R61" s="177"/>
      <c r="S61" s="29"/>
      <c r="T61" s="29"/>
      <c r="U61" s="29"/>
      <c r="V61" s="3"/>
      <c r="W61" s="3"/>
      <c r="X61" s="3"/>
      <c r="Y61" s="178"/>
      <c r="Z61" s="177"/>
      <c r="AD61" s="178"/>
      <c r="AE61" s="177"/>
      <c r="AF61" s="29"/>
      <c r="AG61" s="29"/>
      <c r="AH61" s="29"/>
      <c r="AI61" s="3"/>
      <c r="AJ61" s="3"/>
      <c r="AK61" s="3"/>
      <c r="AL61" s="178"/>
      <c r="AM61" s="177"/>
    </row>
    <row r="62" ht="15.0" customHeight="1">
      <c r="B62" s="178" t="s">
        <v>134</v>
      </c>
      <c r="C62" s="177">
        <f>C54</f>
        <v>3160</v>
      </c>
      <c r="D62" s="167" t="s">
        <v>239</v>
      </c>
      <c r="G62" s="3"/>
      <c r="H62" s="3"/>
      <c r="I62" s="3"/>
      <c r="J62" s="3"/>
      <c r="K62" s="3"/>
      <c r="L62" s="178"/>
      <c r="M62" s="177"/>
      <c r="N62" s="141"/>
      <c r="O62" s="178" t="s">
        <v>134</v>
      </c>
      <c r="P62" s="177" t="str">
        <f>P54</f>
        <v>#N/A</v>
      </c>
      <c r="Q62" s="167" t="s">
        <v>239</v>
      </c>
      <c r="V62" s="3"/>
      <c r="W62" s="3"/>
      <c r="X62" s="3"/>
      <c r="Y62" s="178"/>
      <c r="Z62" s="177"/>
      <c r="AA62" s="141"/>
      <c r="AC62" s="178" t="s">
        <v>134</v>
      </c>
      <c r="AD62" s="177" t="str">
        <f>AC54</f>
        <v>#N/A</v>
      </c>
      <c r="AE62" s="167" t="s">
        <v>239</v>
      </c>
      <c r="AI62" s="3"/>
      <c r="AJ62" s="3"/>
      <c r="AK62" s="3"/>
      <c r="AL62" s="178"/>
      <c r="AM62" s="177"/>
      <c r="AN62" s="141"/>
    </row>
    <row r="63" ht="15.0" customHeight="1">
      <c r="B63" s="129" t="s">
        <v>240</v>
      </c>
      <c r="C63" s="182">
        <f t="array" ref="C63">INDEX(B57:I57,MATCH(C62,B57:I57,1))</f>
        <v>3000</v>
      </c>
      <c r="D63" s="129" t="s">
        <v>131</v>
      </c>
      <c r="E63" s="155">
        <f>MATCH(MAX(A58:A60),A58:A60,1)</f>
        <v>3</v>
      </c>
      <c r="G63" s="3"/>
      <c r="H63" s="3"/>
      <c r="I63" s="3"/>
      <c r="J63" s="3"/>
      <c r="K63" s="3"/>
      <c r="L63" s="129"/>
      <c r="M63" s="182"/>
      <c r="N63" s="129"/>
      <c r="O63" s="129" t="s">
        <v>240</v>
      </c>
      <c r="P63" s="182" t="str">
        <f t="array" ref="P63">INDEX(O57:W57,MATCH(P62,O57:W57,1))</f>
        <v>#N/A</v>
      </c>
      <c r="Q63" s="129" t="s">
        <v>131</v>
      </c>
      <c r="R63" s="155">
        <f>MATCH(MAX(N58:N60),N58:N60,1)</f>
        <v>3</v>
      </c>
      <c r="V63" s="3"/>
      <c r="W63" s="3"/>
      <c r="X63" s="3"/>
      <c r="Y63" s="129"/>
      <c r="Z63" s="182"/>
      <c r="AA63" s="129"/>
      <c r="AC63" s="129" t="s">
        <v>240</v>
      </c>
      <c r="AD63" s="182" t="str">
        <f t="array" ref="AD63">INDEX(AC57:AK57,MATCH(AD62,AC57:AK57,1))</f>
        <v>#N/A</v>
      </c>
      <c r="AE63" s="129" t="s">
        <v>131</v>
      </c>
      <c r="AF63" s="155">
        <f>MATCH(MAX(AB58:AB60),AB58:AB60,1)</f>
        <v>3</v>
      </c>
      <c r="AI63" s="3"/>
      <c r="AJ63" s="3"/>
      <c r="AK63" s="3"/>
      <c r="AL63" s="129"/>
      <c r="AM63" s="182"/>
      <c r="AN63" s="129"/>
    </row>
    <row r="64" ht="15.0" customHeight="1">
      <c r="B64" s="129" t="s">
        <v>241</v>
      </c>
      <c r="C64" s="182">
        <f t="array" ref="C64">INDEX(B57:I57,IF(MATCH(C62,B57:I57,1)&lt;E64,MATCH(C62,B57:I57,1)+1,MATCH(C62,B57:I57,1)))</f>
        <v>4000</v>
      </c>
      <c r="D64" s="129" t="s">
        <v>132</v>
      </c>
      <c r="E64" s="155">
        <f>MATCH(MAX(B57:I57),B57:I57,0)</f>
        <v>8</v>
      </c>
      <c r="G64" s="3"/>
      <c r="H64" s="3"/>
      <c r="I64" s="3"/>
      <c r="J64" s="3"/>
      <c r="K64" s="3"/>
      <c r="L64" s="129"/>
      <c r="M64" s="182"/>
      <c r="N64" s="129"/>
      <c r="O64" s="129" t="s">
        <v>241</v>
      </c>
      <c r="P64" s="182" t="str">
        <f t="array" ref="P64">INDEX(O57:W57,IF(MATCH(P62,O57:W57,1)&lt;R64,MATCH(P62,O57:W57,1)+1,MATCH(P62,O57:W57,1)))</f>
        <v>#N/A</v>
      </c>
      <c r="Q64" s="129" t="s">
        <v>132</v>
      </c>
      <c r="R64" s="155">
        <f>MATCH(MAX(O57:W57),O57:W57,0)</f>
        <v>9</v>
      </c>
      <c r="V64" s="3"/>
      <c r="W64" s="3"/>
      <c r="X64" s="3"/>
      <c r="Y64" s="129"/>
      <c r="Z64" s="182"/>
      <c r="AA64" s="129"/>
      <c r="AC64" s="129" t="s">
        <v>241</v>
      </c>
      <c r="AD64" s="182" t="str">
        <f t="array" ref="AD64">INDEX(AC57:AK57,IF(MATCH(AD62,AC57:AK57,1)&lt;AF64,MATCH(AD62,AC57:AK57,1)+1,MATCH(AD62,AC57:AK57,1)))</f>
        <v>#N/A</v>
      </c>
      <c r="AE64" s="129" t="s">
        <v>132</v>
      </c>
      <c r="AF64" s="155">
        <f>MATCH(MAX(AC57:AK57),AC57:AK57,0)</f>
        <v>9</v>
      </c>
      <c r="AI64" s="3"/>
      <c r="AJ64" s="3"/>
      <c r="AK64" s="3"/>
      <c r="AL64" s="129"/>
      <c r="AM64" s="182"/>
      <c r="AN64" s="129"/>
    </row>
    <row r="65" ht="15.0" customHeight="1">
      <c r="B65" s="176" t="s">
        <v>136</v>
      </c>
      <c r="C65" s="274">
        <f>'Take-off'!$C$24</f>
        <v>0</v>
      </c>
      <c r="D65" s="3"/>
      <c r="E65" s="3"/>
      <c r="G65" s="3"/>
      <c r="H65" s="3"/>
      <c r="I65" s="3"/>
      <c r="J65" s="3"/>
      <c r="K65" s="3"/>
      <c r="L65" s="178"/>
      <c r="M65" s="274"/>
      <c r="N65" s="3"/>
      <c r="O65" s="176" t="s">
        <v>136</v>
      </c>
      <c r="P65" s="274">
        <f>'Take-off'!$C$24</f>
        <v>0</v>
      </c>
      <c r="Q65" s="3"/>
      <c r="R65" s="3"/>
      <c r="V65" s="3"/>
      <c r="W65" s="3"/>
      <c r="X65" s="3"/>
      <c r="Y65" s="178"/>
      <c r="Z65" s="274"/>
      <c r="AA65" s="3"/>
      <c r="AC65" s="176" t="s">
        <v>136</v>
      </c>
      <c r="AD65" s="274">
        <f>'Take-off'!$C$24</f>
        <v>0</v>
      </c>
      <c r="AE65" s="3"/>
      <c r="AF65" s="3"/>
      <c r="AI65" s="3"/>
      <c r="AJ65" s="3"/>
      <c r="AK65" s="3"/>
      <c r="AL65" s="178"/>
      <c r="AM65" s="274"/>
      <c r="AN65" s="3"/>
    </row>
    <row r="66" ht="15.0" customHeight="1">
      <c r="B66" s="129" t="s">
        <v>139</v>
      </c>
      <c r="C66" s="182">
        <f t="array" ref="C66">INDEX(A58:A60,MATCH(C65,A58:A60,1))</f>
        <v>0</v>
      </c>
      <c r="D66" s="3"/>
      <c r="E66" s="161"/>
      <c r="G66" s="3"/>
      <c r="H66" s="3"/>
      <c r="I66" s="3"/>
      <c r="J66" s="3"/>
      <c r="K66" s="3"/>
      <c r="L66" s="129"/>
      <c r="M66" s="182"/>
      <c r="N66" s="3"/>
      <c r="O66" s="129" t="s">
        <v>139</v>
      </c>
      <c r="P66" s="182">
        <f t="array" ref="P66">INDEX(N58:N60,MATCH(P65,N58:N60,1))</f>
        <v>0</v>
      </c>
      <c r="Q66" s="3"/>
      <c r="R66" s="161"/>
      <c r="V66" s="3"/>
      <c r="W66" s="3"/>
      <c r="X66" s="3"/>
      <c r="Y66" s="129"/>
      <c r="Z66" s="182"/>
      <c r="AA66" s="3"/>
      <c r="AC66" s="129" t="s">
        <v>139</v>
      </c>
      <c r="AD66" s="182">
        <f t="array" ref="AD66">INDEX(AB58:AB60,MATCH(AD65,AB58:AB60,1))</f>
        <v>0</v>
      </c>
      <c r="AE66" s="3"/>
      <c r="AF66" s="161"/>
      <c r="AI66" s="3"/>
      <c r="AJ66" s="3"/>
      <c r="AK66" s="3"/>
      <c r="AL66" s="129"/>
      <c r="AM66" s="182"/>
      <c r="AN66" s="3"/>
    </row>
    <row r="67" ht="15.0" customHeight="1">
      <c r="B67" s="129" t="s">
        <v>145</v>
      </c>
      <c r="C67" s="182">
        <f t="array" ref="C67">INDEX(A58:A60,IF(MATCH(C65,A58:A60,1)&lt;E63,MATCH(C65,A58:A60,1)+1,MATCH(C65,A58:A60,1)))</f>
        <v>30</v>
      </c>
      <c r="D67" s="3"/>
      <c r="E67" s="161"/>
      <c r="G67" s="3"/>
      <c r="H67" s="3"/>
      <c r="I67" s="3"/>
      <c r="J67" s="3"/>
      <c r="K67" s="3"/>
      <c r="L67" s="129"/>
      <c r="M67" s="182"/>
      <c r="N67" s="3"/>
      <c r="O67" s="129" t="s">
        <v>145</v>
      </c>
      <c r="P67" s="182">
        <f t="array" ref="P67">INDEX(N58:N60,IF(MATCH(P65,N58:N60,1)&lt;R63,MATCH(P65,N58:N60,1)+1,MATCH(P65,N58:N60,1)))</f>
        <v>30</v>
      </c>
      <c r="Q67" s="3"/>
      <c r="R67" s="161"/>
      <c r="V67" s="3"/>
      <c r="W67" s="3"/>
      <c r="X67" s="3"/>
      <c r="Y67" s="129"/>
      <c r="Z67" s="182"/>
      <c r="AA67" s="3"/>
      <c r="AC67" s="129" t="s">
        <v>145</v>
      </c>
      <c r="AD67" s="182">
        <f t="array" ref="AD67">INDEX(AB58:AB60,IF(MATCH(AD65,AB58:AB60,1)&lt;AF63,MATCH(AD65,AB58:AB60,1)+1,MATCH(AD65,AB58:AB60,1)))</f>
        <v>30</v>
      </c>
      <c r="AE67" s="3"/>
      <c r="AF67" s="161"/>
      <c r="AI67" s="3"/>
      <c r="AJ67" s="3"/>
      <c r="AK67" s="3"/>
      <c r="AL67" s="129"/>
      <c r="AM67" s="182"/>
      <c r="AN67" s="3"/>
    </row>
    <row r="68" ht="15.0" customHeight="1">
      <c r="B68" s="178" t="s">
        <v>165</v>
      </c>
      <c r="C68" s="177">
        <f t="array" ref="C68">INDEX(B58:I60,MATCH(C65,A58:A60,1),MATCH(C62,B57:I57,1))</f>
        <v>3000</v>
      </c>
      <c r="D68" s="3"/>
      <c r="E68" s="161"/>
      <c r="G68" s="3"/>
      <c r="H68" s="3"/>
      <c r="I68" s="3"/>
      <c r="J68" s="3"/>
      <c r="K68" s="3"/>
      <c r="L68" s="178"/>
      <c r="M68" s="177"/>
      <c r="N68" s="3"/>
      <c r="O68" s="178" t="s">
        <v>165</v>
      </c>
      <c r="P68" s="177" t="str">
        <f t="array" ref="P68">INDEX(O58:W60,MATCH(P65,N58:N60,1),MATCH(P62,O57:W57,1))</f>
        <v>#N/A</v>
      </c>
      <c r="Q68" s="3"/>
      <c r="R68" s="161"/>
      <c r="V68" s="3"/>
      <c r="W68" s="3"/>
      <c r="X68" s="3"/>
      <c r="Y68" s="178"/>
      <c r="Z68" s="177"/>
      <c r="AA68" s="3"/>
      <c r="AC68" s="178" t="s">
        <v>165</v>
      </c>
      <c r="AD68" s="177" t="str">
        <f t="array" ref="AD68">INDEX(AC58:AK60,MATCH(AD65,AB58:AB60,1),MATCH(AD62,AC57:AK57,1))</f>
        <v>#N/A</v>
      </c>
      <c r="AE68" s="3"/>
      <c r="AF68" s="161"/>
      <c r="AI68" s="3"/>
      <c r="AJ68" s="3"/>
      <c r="AK68" s="3"/>
      <c r="AL68" s="178"/>
      <c r="AM68" s="177"/>
      <c r="AN68" s="3"/>
    </row>
    <row r="69" ht="15.0" customHeight="1">
      <c r="B69" s="178" t="s">
        <v>249</v>
      </c>
      <c r="C69" s="177">
        <f t="array" ref="C69">INDEX(B58:I60,MATCH(C65,A58:A60,1),IF(MATCH(C62,B57:I57,1)&lt;E64,MATCH(C62,B57:I57,1)+1,MATCH(C65,A58:A60,1)))</f>
        <v>4000</v>
      </c>
      <c r="E69" s="161"/>
      <c r="G69" s="3"/>
      <c r="H69" s="3"/>
      <c r="I69" s="3"/>
      <c r="J69" s="3"/>
      <c r="K69" s="3"/>
      <c r="L69" s="178"/>
      <c r="M69" s="177"/>
      <c r="O69" s="178" t="s">
        <v>249</v>
      </c>
      <c r="P69" s="177" t="str">
        <f t="array" ref="P69">INDEX(O58:W60,MATCH(P65,N58:N60,1),IF(MATCH(P62,O57:W57,1)&lt;R64,MATCH(P62,O57:W57,1)+1,MATCH(P65,N58:N60,1)))</f>
        <v>#N/A</v>
      </c>
      <c r="R69" s="161"/>
      <c r="V69" s="3"/>
      <c r="W69" s="3"/>
      <c r="X69" s="3"/>
      <c r="Y69" s="178"/>
      <c r="Z69" s="177"/>
      <c r="AC69" s="178" t="s">
        <v>249</v>
      </c>
      <c r="AD69" s="177" t="str">
        <f t="array" ref="AD69">INDEX(AC58:AK60,MATCH(AD65,AB58:AB60,1),IF(MATCH(AD62,AC57:AK57,1)&lt;AF64,MATCH(AD62,AC57:AK57,1)+1,MATCH(AD65,AB58:AB60,1)))</f>
        <v>#N/A</v>
      </c>
      <c r="AF69" s="161"/>
      <c r="AI69" s="3"/>
      <c r="AJ69" s="3"/>
      <c r="AK69" s="3"/>
      <c r="AL69" s="178"/>
      <c r="AM69" s="177"/>
    </row>
    <row r="70" ht="15.0" customHeight="1">
      <c r="B70" s="178" t="s">
        <v>177</v>
      </c>
      <c r="C70" s="177">
        <f t="array" ref="C70">INDEX(B58:I60,IF(MATCH(C65,A58:A60,1)&lt;E63,MATCH(C65,A58:A60,1)+1,MATCH(C65,A58:A60,1)),MATCH(C62,B57:I57,1))</f>
        <v>2800</v>
      </c>
      <c r="E70" s="161"/>
      <c r="G70" s="3"/>
      <c r="H70" s="3"/>
      <c r="I70" s="3"/>
      <c r="J70" s="3"/>
      <c r="K70" s="3"/>
      <c r="L70" s="178"/>
      <c r="M70" s="177"/>
      <c r="O70" s="178" t="s">
        <v>177</v>
      </c>
      <c r="P70" s="177" t="str">
        <f t="array" ref="P70">INDEX(O58:W60,IF(MATCH(P65,N58:N60,1)&lt;R63,MATCH(P65,N58:N60,1)+1,MATCH(P65,N58:N60,1)),MATCH(P62,O57:W57,1))</f>
        <v>#N/A</v>
      </c>
      <c r="R70" s="161"/>
      <c r="V70" s="3"/>
      <c r="W70" s="3"/>
      <c r="X70" s="3"/>
      <c r="Y70" s="178"/>
      <c r="Z70" s="177"/>
      <c r="AC70" s="178" t="s">
        <v>177</v>
      </c>
      <c r="AD70" s="177" t="str">
        <f t="array" ref="AD70">INDEX(AC58:AK60,IF(MATCH(AD65,AB58:AB60,1)&lt;AF63,MATCH(AD65,AB58:AB60,1)+1,MATCH(AD65,AB58:AB60,1)),MATCH(AD62,AC57:AK57,1))</f>
        <v>#N/A</v>
      </c>
      <c r="AF70" s="161"/>
      <c r="AI70" s="3"/>
      <c r="AJ70" s="3"/>
      <c r="AK70" s="3"/>
      <c r="AL70" s="178"/>
      <c r="AM70" s="177"/>
    </row>
    <row r="71" ht="15.0" customHeight="1">
      <c r="B71" s="178" t="s">
        <v>250</v>
      </c>
      <c r="C71" s="177">
        <f t="array" ref="C71">INDEX(B58:I60,IF(MATCH(C65,A58:A60,1)&lt;E63,MATCH(C65,A58:A60,1)+1,MATCH(C65,A58:A60,1)),IF(MATCH(C62,B57:I57,1)&lt;E64,MATCH(C62,B57:I57,1)+1,MATCH(C62,B57:I57,1)))</f>
        <v>3700</v>
      </c>
      <c r="G71" s="3"/>
      <c r="H71" s="3"/>
      <c r="I71" s="3"/>
      <c r="J71" s="3"/>
      <c r="K71" s="3"/>
      <c r="L71" s="178"/>
      <c r="M71" s="177"/>
      <c r="O71" s="178" t="s">
        <v>250</v>
      </c>
      <c r="P71" s="177" t="str">
        <f t="array" ref="P71">INDEX(O58:W60,IF(MATCH(P65,N58:N60,1)&lt;R63,MATCH(P65,N58:N60,1)+1,MATCH(P65,N58:N60,1)),IF(MATCH(P62,O57:W57,1)&lt;R64,MATCH(P62,O57:W57,1)+1,MATCH(P62,O57:W57,1)))</f>
        <v>#N/A</v>
      </c>
      <c r="V71" s="3"/>
      <c r="W71" s="3"/>
      <c r="X71" s="3"/>
      <c r="Y71" s="178"/>
      <c r="Z71" s="177"/>
      <c r="AC71" s="178" t="s">
        <v>250</v>
      </c>
      <c r="AD71" s="177" t="str">
        <f t="array" ref="AD71">INDEX(AC58:AK60,IF(MATCH(AD65,AB58:AB60,1)&lt;AF63,MATCH(AD65,AB58:AB60,1)+1,MATCH(AD65,AB58:AB60,1)),IF(MATCH(AD62,AC57:AK57,1)&lt;AF64,MATCH(AD62,AC57:AK57,1)+1,MATCH(AD62,AC57:AK57,1)))</f>
        <v>#N/A</v>
      </c>
      <c r="AI71" s="3"/>
      <c r="AJ71" s="3"/>
      <c r="AK71" s="3"/>
      <c r="AL71" s="178"/>
      <c r="AM71" s="177"/>
    </row>
    <row r="72" ht="15.0" customHeight="1">
      <c r="B72" s="129" t="s">
        <v>252</v>
      </c>
      <c r="C72" s="182">
        <f>IFERROR(C68+(C62-C63)*(C69-C68)/(C64-C63),C68)</f>
        <v>3160</v>
      </c>
      <c r="G72" s="3"/>
      <c r="H72" s="3"/>
      <c r="I72" s="3"/>
      <c r="J72" s="3"/>
      <c r="K72" s="3"/>
      <c r="L72" s="129"/>
      <c r="M72" s="182"/>
      <c r="O72" s="129" t="s">
        <v>252</v>
      </c>
      <c r="P72" s="182" t="str">
        <f>IFERROR(P68+(P62-P63)*(P69-P68)/(P64-P63),P68)</f>
        <v>#N/A</v>
      </c>
      <c r="V72" s="3"/>
      <c r="W72" s="3"/>
      <c r="X72" s="3"/>
      <c r="Y72" s="129"/>
      <c r="Z72" s="182"/>
      <c r="AC72" s="129" t="s">
        <v>252</v>
      </c>
      <c r="AD72" s="182" t="str">
        <f>IFERROR(AD68+(AD62-AD63)*(AD69-AD68)/(AD64-AD63),AD68)</f>
        <v>#N/A</v>
      </c>
      <c r="AI72" s="3"/>
      <c r="AJ72" s="3"/>
      <c r="AK72" s="3"/>
      <c r="AL72" s="129"/>
      <c r="AM72" s="182"/>
    </row>
    <row r="73" ht="15.0" customHeight="1">
      <c r="B73" s="129" t="s">
        <v>253</v>
      </c>
      <c r="C73" s="182">
        <f>IFERROR(C70+(C62-C63)*(C71-C70)/(C64-C63),C70)</f>
        <v>2944</v>
      </c>
      <c r="G73" s="3"/>
      <c r="H73" s="3"/>
      <c r="I73" s="3"/>
      <c r="J73" s="3"/>
      <c r="K73" s="3"/>
      <c r="L73" s="129"/>
      <c r="M73" s="182"/>
      <c r="O73" s="129" t="s">
        <v>253</v>
      </c>
      <c r="P73" s="182" t="str">
        <f>IFERROR(P70+(P62-P63)*(P71-P70)/(P64-P63),P70)</f>
        <v>#N/A</v>
      </c>
      <c r="V73" s="3"/>
      <c r="W73" s="3"/>
      <c r="X73" s="3"/>
      <c r="Y73" s="129"/>
      <c r="Z73" s="182"/>
      <c r="AC73" s="129" t="s">
        <v>253</v>
      </c>
      <c r="AD73" s="182" t="str">
        <f>IFERROR(AD70+(AD62-AD63)*(AD71-AD70)/(AD64-AD63),AD70)</f>
        <v>#N/A</v>
      </c>
      <c r="AI73" s="3"/>
      <c r="AJ73" s="3"/>
      <c r="AK73" s="3"/>
      <c r="AL73" s="129"/>
      <c r="AM73" s="182"/>
    </row>
    <row r="74" ht="15.0" customHeight="1">
      <c r="B74" s="178" t="s">
        <v>254</v>
      </c>
      <c r="C74" s="177">
        <f>IFERROR(C72+(C65-C66)*(C73-C72)/(C67-C66),C72)</f>
        <v>3160</v>
      </c>
      <c r="G74" s="3"/>
      <c r="H74" s="3"/>
      <c r="I74" s="3"/>
      <c r="J74" s="3"/>
      <c r="K74" s="3"/>
      <c r="L74" s="178"/>
      <c r="M74" s="177"/>
      <c r="O74" s="178" t="s">
        <v>254</v>
      </c>
      <c r="P74" s="177" t="str">
        <f>IFERROR(P72+(P65-P66)*(P73-P72)/(P67-P66),P72)</f>
        <v>#N/A</v>
      </c>
      <c r="V74" s="3"/>
      <c r="W74" s="3"/>
      <c r="X74" s="3"/>
      <c r="Y74" s="178"/>
      <c r="Z74" s="177"/>
      <c r="AC74" s="178" t="s">
        <v>254</v>
      </c>
      <c r="AD74" s="177" t="str">
        <f>IFERROR(AD72+(AD65-AD66)*(AD73-AD72)/(AD67-AD66),AD72)</f>
        <v>#N/A</v>
      </c>
      <c r="AI74" s="3"/>
      <c r="AJ74" s="3"/>
      <c r="AK74" s="3"/>
      <c r="AL74" s="178"/>
      <c r="AM74" s="177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Q16:R16"/>
    <mergeCell ref="AD16:AE16"/>
    <mergeCell ref="AR16:AS16"/>
    <mergeCell ref="AZ16:BA16"/>
    <mergeCell ref="B3:L3"/>
    <mergeCell ref="O3:Y3"/>
    <mergeCell ref="AB3:AL3"/>
    <mergeCell ref="B4:F4"/>
    <mergeCell ref="O4:S4"/>
    <mergeCell ref="AB4:AF4"/>
    <mergeCell ref="D16:E16"/>
    <mergeCell ref="O56:V56"/>
    <mergeCell ref="AB56:AI56"/>
    <mergeCell ref="D62:E62"/>
    <mergeCell ref="Q62:R62"/>
    <mergeCell ref="B30:G30"/>
    <mergeCell ref="O30:T30"/>
    <mergeCell ref="AB30:AG30"/>
    <mergeCell ref="D42:E42"/>
    <mergeCell ref="Q42:R42"/>
    <mergeCell ref="AD42:AE42"/>
    <mergeCell ref="B56:I56"/>
  </mergeCells>
  <conditionalFormatting sqref="B6:E13">
    <cfRule type="colorScale" priority="1">
      <colorScale>
        <cfvo type="min"/>
        <cfvo type="max"/>
        <color rgb="FFFCFCFF"/>
        <color rgb="FFF8696B"/>
      </colorScale>
    </cfRule>
  </conditionalFormatting>
  <conditionalFormatting sqref="B32:G39">
    <cfRule type="colorScale" priority="2">
      <colorScale>
        <cfvo type="min"/>
        <cfvo type="max"/>
        <color rgb="FFFCFCFF"/>
        <color rgb="FFF8696B"/>
      </colorScale>
    </cfRule>
  </conditionalFormatting>
  <conditionalFormatting sqref="B58:H60">
    <cfRule type="colorScale" priority="3">
      <colorScale>
        <cfvo type="min"/>
        <cfvo type="max"/>
        <color rgb="FFFCFCFF"/>
        <color rgb="FFF8696B"/>
      </colorScale>
    </cfRule>
  </conditionalFormatting>
  <conditionalFormatting sqref="J6:M14">
    <cfRule type="colorScale" priority="4">
      <colorScale>
        <cfvo type="min"/>
        <cfvo type="max"/>
        <color rgb="FFFCFCFF"/>
        <color rgb="FFF8696B"/>
      </colorScale>
    </cfRule>
  </conditionalFormatting>
  <conditionalFormatting sqref="O6:R13">
    <cfRule type="colorScale" priority="5">
      <colorScale>
        <cfvo type="min"/>
        <cfvo type="max"/>
        <color rgb="FFFCFCFF"/>
        <color rgb="FFF8696B"/>
      </colorScale>
    </cfRule>
  </conditionalFormatting>
  <conditionalFormatting sqref="O58:V60">
    <cfRule type="colorScale" priority="6">
      <colorScale>
        <cfvo type="min"/>
        <cfvo type="max"/>
        <color rgb="FFFCFCFF"/>
        <color rgb="FFF8696B"/>
      </colorScale>
    </cfRule>
  </conditionalFormatting>
  <conditionalFormatting sqref="Q32:S39">
    <cfRule type="colorScale" priority="7">
      <colorScale>
        <cfvo type="min"/>
        <cfvo type="max"/>
        <color rgb="FFFCFCFF"/>
        <color rgb="FFF8696B"/>
      </colorScale>
    </cfRule>
  </conditionalFormatting>
  <conditionalFormatting sqref="W6:Y14">
    <cfRule type="colorScale" priority="8">
      <colorScale>
        <cfvo type="min"/>
        <cfvo type="max"/>
        <color rgb="FFFCFCFF"/>
        <color rgb="FFF8696B"/>
      </colorScale>
    </cfRule>
  </conditionalFormatting>
  <conditionalFormatting sqref="AB6:AE13">
    <cfRule type="colorScale" priority="9">
      <colorScale>
        <cfvo type="min"/>
        <cfvo type="max"/>
        <color rgb="FFFCFCFF"/>
        <color rgb="FFF8696B"/>
      </colorScale>
    </cfRule>
  </conditionalFormatting>
  <conditionalFormatting sqref="AC58:AJ60">
    <cfRule type="colorScale" priority="10">
      <colorScale>
        <cfvo type="min"/>
        <cfvo type="max"/>
        <color rgb="FFFCFCFF"/>
        <color rgb="FFF8696B"/>
      </colorScale>
    </cfRule>
  </conditionalFormatting>
  <conditionalFormatting sqref="AE32:AJ39">
    <cfRule type="colorScale" priority="11">
      <colorScale>
        <cfvo type="min"/>
        <cfvo type="max"/>
        <color rgb="FFFCFCFF"/>
        <color rgb="FFF8696B"/>
      </colorScale>
    </cfRule>
  </conditionalFormatting>
  <conditionalFormatting sqref="AJ6:AL14">
    <cfRule type="colorScale" priority="12">
      <colorScale>
        <cfvo type="min"/>
        <cfvo type="max"/>
        <color rgb="FFFCFCFF"/>
        <color rgb="FFF8696B"/>
      </colorScale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2" width="9.14"/>
    <col customWidth="1" min="13" max="13" width="5.0"/>
    <col customWidth="1" min="14" max="54" width="9.14"/>
  </cols>
  <sheetData>
    <row r="1" ht="14.25" customHeight="1">
      <c r="A1" s="136"/>
      <c r="B1" s="129" t="s">
        <v>233</v>
      </c>
      <c r="C1" s="178" t="s">
        <v>134</v>
      </c>
      <c r="D1" s="324">
        <f>IF('Take-off'!$C$9="",'Take-off'!$C$16,MAX(0,'Take-off'!$C$16+30*(1013-'Take-off'!$C$9)))</f>
        <v>0</v>
      </c>
      <c r="E1" s="325"/>
      <c r="F1" s="325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342"/>
      <c r="AW1" s="136"/>
      <c r="AX1" s="136"/>
      <c r="AY1" s="136"/>
      <c r="AZ1" s="136"/>
      <c r="BA1" s="136"/>
      <c r="BB1" s="136"/>
    </row>
    <row r="2" ht="14.25" customHeight="1">
      <c r="A2" s="136"/>
      <c r="B2" s="129" t="s">
        <v>235</v>
      </c>
      <c r="C2" s="176" t="s">
        <v>136</v>
      </c>
      <c r="D2" s="324">
        <f>IF('Take-off'!C13='Dropdown lists'!B30, 'Take-off'!$C$8, 'Take-off'!$C$8)</f>
        <v>-2</v>
      </c>
      <c r="E2" s="32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342"/>
      <c r="AW2" s="136"/>
      <c r="AX2" s="136"/>
      <c r="AY2" s="136"/>
      <c r="AZ2" s="136"/>
      <c r="BA2" s="136"/>
      <c r="BB2" s="136"/>
    </row>
    <row r="3" ht="14.25" customHeight="1">
      <c r="A3" s="136"/>
      <c r="B3" s="136" t="s">
        <v>113</v>
      </c>
      <c r="M3" s="136"/>
      <c r="N3" s="136"/>
      <c r="O3" s="136" t="s">
        <v>244</v>
      </c>
      <c r="Z3" s="136"/>
      <c r="AA3" s="136"/>
      <c r="AB3" s="136" t="s">
        <v>245</v>
      </c>
      <c r="AM3" s="136"/>
      <c r="AN3" s="136"/>
      <c r="AO3" s="136"/>
      <c r="AP3" s="136"/>
      <c r="AQ3" s="136"/>
      <c r="AR3" s="136"/>
      <c r="AS3" s="136"/>
      <c r="AT3" s="136"/>
      <c r="AU3" s="136"/>
      <c r="AV3" s="342"/>
      <c r="AW3" s="136"/>
      <c r="AX3" s="136"/>
      <c r="AY3" s="136"/>
      <c r="AZ3" s="136"/>
      <c r="BA3" s="136"/>
      <c r="BB3" s="136"/>
    </row>
    <row r="4" ht="15.0" customHeight="1">
      <c r="A4" s="29"/>
      <c r="B4" s="330" t="s">
        <v>246</v>
      </c>
      <c r="C4" s="259"/>
      <c r="D4" s="259"/>
      <c r="E4" s="259"/>
      <c r="F4" s="259"/>
      <c r="G4" s="141"/>
      <c r="H4" s="141"/>
      <c r="I4" s="141"/>
      <c r="J4" s="141"/>
      <c r="K4" s="141"/>
      <c r="L4" s="141"/>
      <c r="M4" s="141"/>
      <c r="N4" s="29"/>
      <c r="O4" s="330" t="s">
        <v>246</v>
      </c>
      <c r="P4" s="259"/>
      <c r="Q4" s="259"/>
      <c r="R4" s="259"/>
      <c r="S4" s="259"/>
      <c r="T4" s="141"/>
      <c r="U4" s="141"/>
      <c r="V4" s="141"/>
      <c r="W4" s="141"/>
      <c r="X4" s="141"/>
      <c r="Y4" s="141"/>
      <c r="Z4" s="178"/>
      <c r="AA4" s="29"/>
      <c r="AB4" s="330" t="s">
        <v>246</v>
      </c>
      <c r="AC4" s="259"/>
      <c r="AD4" s="259"/>
      <c r="AE4" s="259"/>
      <c r="AF4" s="259"/>
      <c r="AG4" s="141"/>
      <c r="AH4" s="141"/>
      <c r="AI4" s="141"/>
      <c r="AJ4" s="141"/>
      <c r="AK4" s="141"/>
      <c r="AL4" s="141"/>
      <c r="AM4" s="3"/>
      <c r="AN4" s="3"/>
      <c r="AO4" s="3"/>
      <c r="AP4" s="178"/>
      <c r="AQ4" s="177"/>
      <c r="AU4" s="3"/>
      <c r="AV4" s="3"/>
      <c r="AW4" s="3"/>
      <c r="AX4" s="178"/>
      <c r="AY4" s="177"/>
    </row>
    <row r="5" ht="15.0" customHeight="1">
      <c r="A5" s="29" t="s">
        <v>247</v>
      </c>
      <c r="B5" s="331">
        <v>0.0</v>
      </c>
      <c r="C5" s="332">
        <v>1000.0</v>
      </c>
      <c r="D5" s="333">
        <v>2000.0</v>
      </c>
      <c r="E5" s="333">
        <v>3000.0</v>
      </c>
      <c r="F5" s="334">
        <v>4000.0</v>
      </c>
      <c r="G5" s="178"/>
      <c r="H5" s="177"/>
      <c r="I5" s="29"/>
      <c r="J5" s="178"/>
      <c r="K5" s="177"/>
      <c r="L5" s="29"/>
      <c r="M5" s="29"/>
      <c r="N5" s="29" t="s">
        <v>247</v>
      </c>
      <c r="O5" s="331">
        <v>0.0</v>
      </c>
      <c r="P5" s="332">
        <v>1000.0</v>
      </c>
      <c r="Q5" s="333">
        <v>2000.0</v>
      </c>
      <c r="R5" s="333">
        <v>3000.0</v>
      </c>
      <c r="S5" s="334">
        <v>4000.0</v>
      </c>
      <c r="T5" s="178"/>
      <c r="U5" s="177"/>
      <c r="V5" s="29"/>
      <c r="W5" s="178"/>
      <c r="X5" s="177"/>
      <c r="Y5" s="29"/>
      <c r="AA5" s="29" t="s">
        <v>247</v>
      </c>
      <c r="AB5" s="331">
        <v>0.0</v>
      </c>
      <c r="AC5" s="332">
        <v>1000.0</v>
      </c>
      <c r="AD5" s="333">
        <v>2000.0</v>
      </c>
      <c r="AE5" s="333">
        <v>3000.0</v>
      </c>
      <c r="AF5" s="334">
        <v>4000.0</v>
      </c>
      <c r="AG5" s="178"/>
      <c r="AH5" s="177"/>
      <c r="AI5" s="29"/>
      <c r="AJ5" s="178"/>
      <c r="AK5" s="177"/>
      <c r="AL5" s="29"/>
      <c r="AM5" s="178"/>
      <c r="AN5" s="177"/>
      <c r="AR5" s="3"/>
      <c r="AS5" s="3"/>
      <c r="AT5" s="3"/>
      <c r="AU5" s="178"/>
      <c r="AV5" s="177"/>
    </row>
    <row r="6" ht="15.0" customHeight="1">
      <c r="A6" s="29">
        <v>-30.0</v>
      </c>
      <c r="B6" s="331">
        <v>2800.0</v>
      </c>
      <c r="C6" s="332">
        <v>2900.0</v>
      </c>
      <c r="D6" s="333">
        <v>3000.0</v>
      </c>
      <c r="E6" s="333">
        <v>3120.0</v>
      </c>
      <c r="F6" s="334">
        <v>99999.0</v>
      </c>
      <c r="G6" s="178"/>
      <c r="H6" s="177"/>
      <c r="I6" s="29"/>
      <c r="J6" s="178"/>
      <c r="K6" s="177"/>
      <c r="L6" s="29"/>
      <c r="M6" s="29"/>
      <c r="N6" s="29">
        <v>-30.0</v>
      </c>
      <c r="O6" s="331"/>
      <c r="P6" s="332"/>
      <c r="Q6" s="333"/>
      <c r="R6" s="333"/>
      <c r="S6" s="334">
        <v>99999.0</v>
      </c>
      <c r="T6" s="178"/>
      <c r="U6" s="177"/>
      <c r="V6" s="29"/>
      <c r="W6" s="178"/>
      <c r="X6" s="177"/>
      <c r="Y6" s="29"/>
      <c r="AA6" s="29">
        <v>-30.0</v>
      </c>
      <c r="AB6" s="331"/>
      <c r="AC6" s="332"/>
      <c r="AD6" s="333"/>
      <c r="AE6" s="333"/>
      <c r="AF6" s="334">
        <v>99999.0</v>
      </c>
      <c r="AG6" s="178"/>
      <c r="AH6" s="177"/>
      <c r="AI6" s="29"/>
      <c r="AJ6" s="178"/>
      <c r="AK6" s="177"/>
      <c r="AL6" s="29"/>
      <c r="AM6" s="178"/>
      <c r="AN6" s="177"/>
      <c r="AR6" s="3"/>
      <c r="AS6" s="3"/>
      <c r="AT6" s="3"/>
      <c r="AU6" s="178"/>
      <c r="AV6" s="177"/>
    </row>
    <row r="7" ht="15.0" customHeight="1">
      <c r="A7" s="29">
        <v>-20.0</v>
      </c>
      <c r="B7" s="343">
        <v>2800.0</v>
      </c>
      <c r="C7" s="320">
        <v>2900.0</v>
      </c>
      <c r="D7" s="29">
        <v>3050.0</v>
      </c>
      <c r="E7" s="29">
        <v>3200.0</v>
      </c>
      <c r="F7" s="337">
        <v>99999.0</v>
      </c>
      <c r="G7" s="178"/>
      <c r="H7" s="177"/>
      <c r="J7" s="178"/>
      <c r="K7" s="177"/>
      <c r="N7" s="29">
        <v>-20.0</v>
      </c>
      <c r="O7" s="343"/>
      <c r="P7" s="320"/>
      <c r="Q7" s="29"/>
      <c r="R7" s="29"/>
      <c r="S7" s="337">
        <v>99999.0</v>
      </c>
      <c r="T7" s="178"/>
      <c r="U7" s="177"/>
      <c r="W7" s="178"/>
      <c r="X7" s="177"/>
      <c r="AA7" s="29">
        <v>-20.0</v>
      </c>
      <c r="AB7" s="343"/>
      <c r="AC7" s="320"/>
      <c r="AD7" s="29"/>
      <c r="AE7" s="29"/>
      <c r="AF7" s="337">
        <v>99999.0</v>
      </c>
      <c r="AG7" s="178"/>
      <c r="AH7" s="177"/>
      <c r="AJ7" s="178"/>
      <c r="AK7" s="177"/>
      <c r="AM7" s="178"/>
      <c r="AN7" s="177"/>
      <c r="AR7" s="3"/>
      <c r="AS7" s="3"/>
      <c r="AT7" s="3"/>
      <c r="AU7" s="178"/>
      <c r="AV7" s="177"/>
    </row>
    <row r="8" ht="15.0" customHeight="1">
      <c r="A8" s="29">
        <v>-10.0</v>
      </c>
      <c r="B8" s="343">
        <v>2900.0</v>
      </c>
      <c r="C8" s="320">
        <v>3100.0</v>
      </c>
      <c r="D8" s="29">
        <v>3200.0</v>
      </c>
      <c r="E8" s="29">
        <v>3310.0</v>
      </c>
      <c r="F8" s="337">
        <v>99999.0</v>
      </c>
      <c r="G8" s="178"/>
      <c r="H8" s="177"/>
      <c r="J8" s="178"/>
      <c r="K8" s="177"/>
      <c r="N8" s="29">
        <v>-10.0</v>
      </c>
      <c r="O8" s="343"/>
      <c r="P8" s="320"/>
      <c r="Q8" s="29"/>
      <c r="R8" s="29"/>
      <c r="S8" s="337">
        <v>99999.0</v>
      </c>
      <c r="T8" s="178"/>
      <c r="U8" s="177"/>
      <c r="W8" s="178"/>
      <c r="X8" s="177"/>
      <c r="AA8" s="29">
        <v>-10.0</v>
      </c>
      <c r="AB8" s="343"/>
      <c r="AC8" s="320"/>
      <c r="AD8" s="29"/>
      <c r="AE8" s="29"/>
      <c r="AF8" s="337">
        <v>99999.0</v>
      </c>
      <c r="AG8" s="178"/>
      <c r="AH8" s="177"/>
      <c r="AJ8" s="178"/>
      <c r="AK8" s="177"/>
      <c r="AM8" s="178"/>
      <c r="AN8" s="177"/>
      <c r="AR8" s="3"/>
      <c r="AS8" s="3"/>
      <c r="AT8" s="3"/>
      <c r="AU8" s="178"/>
      <c r="AV8" s="177"/>
    </row>
    <row r="9" ht="15.0" customHeight="1">
      <c r="A9" s="29">
        <v>0.0</v>
      </c>
      <c r="B9" s="343">
        <v>3075.0</v>
      </c>
      <c r="C9" s="320">
        <v>3200.0</v>
      </c>
      <c r="D9" s="29">
        <v>3300.0</v>
      </c>
      <c r="E9" s="29">
        <v>3490.0</v>
      </c>
      <c r="F9" s="337">
        <v>99999.0</v>
      </c>
      <c r="G9" s="178"/>
      <c r="H9" s="177"/>
      <c r="J9" s="178"/>
      <c r="K9" s="177"/>
      <c r="N9" s="29">
        <v>0.0</v>
      </c>
      <c r="O9" s="343"/>
      <c r="P9" s="320"/>
      <c r="Q9" s="29"/>
      <c r="R9" s="29"/>
      <c r="S9" s="337">
        <v>99999.0</v>
      </c>
      <c r="T9" s="178"/>
      <c r="U9" s="177"/>
      <c r="W9" s="178"/>
      <c r="X9" s="177"/>
      <c r="AA9" s="29">
        <v>0.0</v>
      </c>
      <c r="AB9" s="343"/>
      <c r="AC9" s="320"/>
      <c r="AD9" s="29"/>
      <c r="AE9" s="29"/>
      <c r="AF9" s="337">
        <v>99999.0</v>
      </c>
      <c r="AG9" s="178"/>
      <c r="AH9" s="177"/>
      <c r="AJ9" s="178"/>
      <c r="AK9" s="177"/>
      <c r="AM9" s="178"/>
      <c r="AN9" s="177"/>
      <c r="AR9" s="3"/>
      <c r="AS9" s="3"/>
      <c r="AT9" s="3"/>
      <c r="AU9" s="178"/>
      <c r="AV9" s="177"/>
    </row>
    <row r="10" ht="15.0" customHeight="1">
      <c r="A10" s="29">
        <v>10.0</v>
      </c>
      <c r="B10" s="343">
        <v>3200.0</v>
      </c>
      <c r="C10" s="320">
        <v>3350.0</v>
      </c>
      <c r="D10" s="29">
        <v>3450.0</v>
      </c>
      <c r="E10" s="29">
        <v>3650.0</v>
      </c>
      <c r="F10" s="337">
        <v>99999.0</v>
      </c>
      <c r="G10" s="178"/>
      <c r="H10" s="177"/>
      <c r="J10" s="178"/>
      <c r="K10" s="177"/>
      <c r="N10" s="29">
        <v>10.0</v>
      </c>
      <c r="O10" s="343"/>
      <c r="P10" s="320"/>
      <c r="Q10" s="29"/>
      <c r="R10" s="29"/>
      <c r="S10" s="337">
        <v>99999.0</v>
      </c>
      <c r="T10" s="178"/>
      <c r="U10" s="177"/>
      <c r="W10" s="178"/>
      <c r="X10" s="177"/>
      <c r="AA10" s="29">
        <v>10.0</v>
      </c>
      <c r="AB10" s="343"/>
      <c r="AC10" s="320"/>
      <c r="AD10" s="29"/>
      <c r="AE10" s="29"/>
      <c r="AF10" s="337">
        <v>99999.0</v>
      </c>
      <c r="AG10" s="178"/>
      <c r="AH10" s="177"/>
      <c r="AJ10" s="178"/>
      <c r="AK10" s="177"/>
      <c r="AM10" s="178"/>
      <c r="AN10" s="177"/>
      <c r="AR10" s="3"/>
      <c r="AS10" s="3"/>
      <c r="AT10" s="3"/>
      <c r="AU10" s="178"/>
      <c r="AV10" s="177"/>
    </row>
    <row r="11" ht="15.0" customHeight="1">
      <c r="A11" s="29">
        <v>20.0</v>
      </c>
      <c r="B11" s="343">
        <v>3300.0</v>
      </c>
      <c r="C11" s="320">
        <v>3480.0</v>
      </c>
      <c r="D11" s="29">
        <v>3600.0</v>
      </c>
      <c r="E11" s="29">
        <v>3800.0</v>
      </c>
      <c r="F11" s="337">
        <v>99999.0</v>
      </c>
      <c r="G11" s="178"/>
      <c r="H11" s="177"/>
      <c r="J11" s="178"/>
      <c r="K11" s="177"/>
      <c r="N11" s="29">
        <v>20.0</v>
      </c>
      <c r="O11" s="343"/>
      <c r="P11" s="320"/>
      <c r="Q11" s="29"/>
      <c r="R11" s="29"/>
      <c r="S11" s="337">
        <v>99999.0</v>
      </c>
      <c r="T11" s="178"/>
      <c r="U11" s="177"/>
      <c r="W11" s="178"/>
      <c r="X11" s="177"/>
      <c r="AA11" s="29">
        <v>20.0</v>
      </c>
      <c r="AB11" s="343"/>
      <c r="AC11" s="320"/>
      <c r="AD11" s="29"/>
      <c r="AE11" s="29"/>
      <c r="AF11" s="337">
        <v>99999.0</v>
      </c>
      <c r="AG11" s="178"/>
      <c r="AH11" s="177"/>
      <c r="AJ11" s="178"/>
      <c r="AK11" s="177"/>
      <c r="AM11" s="178"/>
      <c r="AN11" s="177"/>
      <c r="AR11" s="3"/>
      <c r="AS11" s="3"/>
      <c r="AT11" s="3"/>
      <c r="AU11" s="178"/>
      <c r="AV11" s="177"/>
    </row>
    <row r="12" ht="15.0" customHeight="1">
      <c r="A12" s="29">
        <v>30.0</v>
      </c>
      <c r="B12" s="343">
        <v>3450.0</v>
      </c>
      <c r="C12" s="320">
        <v>3650.0</v>
      </c>
      <c r="D12" s="29">
        <v>3800.0</v>
      </c>
      <c r="E12" s="29">
        <v>4050.0</v>
      </c>
      <c r="F12" s="337">
        <v>99999.0</v>
      </c>
      <c r="G12" s="178"/>
      <c r="H12" s="177"/>
      <c r="J12" s="178"/>
      <c r="K12" s="177"/>
      <c r="N12" s="29"/>
      <c r="O12" s="343"/>
      <c r="P12" s="320"/>
      <c r="Q12" s="29"/>
      <c r="R12" s="29"/>
      <c r="S12" s="337"/>
      <c r="T12" s="178"/>
      <c r="U12" s="177"/>
      <c r="W12" s="178"/>
      <c r="X12" s="177"/>
      <c r="AA12" s="29">
        <v>30.0</v>
      </c>
      <c r="AB12" s="343"/>
      <c r="AC12" s="320"/>
      <c r="AD12" s="29"/>
      <c r="AE12" s="29"/>
      <c r="AF12" s="337">
        <v>99999.0</v>
      </c>
      <c r="AG12" s="178"/>
      <c r="AH12" s="177"/>
      <c r="AJ12" s="178"/>
      <c r="AK12" s="177"/>
      <c r="AM12" s="178"/>
      <c r="AN12" s="177"/>
      <c r="AR12" s="3"/>
      <c r="AS12" s="3"/>
      <c r="AT12" s="3"/>
      <c r="AU12" s="178"/>
      <c r="AV12" s="177"/>
    </row>
    <row r="13" ht="15.0" customHeight="1">
      <c r="A13" s="29">
        <v>40.0</v>
      </c>
      <c r="B13" s="343">
        <v>3650.0</v>
      </c>
      <c r="C13" s="320">
        <v>3850.0</v>
      </c>
      <c r="D13" s="29">
        <v>4100.0</v>
      </c>
      <c r="E13" s="29">
        <v>4350.0</v>
      </c>
      <c r="F13" s="337">
        <v>99999.0</v>
      </c>
      <c r="G13" s="178"/>
      <c r="H13" s="177"/>
      <c r="J13" s="178"/>
      <c r="K13" s="177"/>
      <c r="N13" s="29">
        <v>30.0</v>
      </c>
      <c r="O13" s="343"/>
      <c r="P13" s="320"/>
      <c r="Q13" s="29"/>
      <c r="R13" s="29"/>
      <c r="S13" s="337">
        <v>99999.0</v>
      </c>
      <c r="T13" s="178"/>
      <c r="U13" s="177"/>
      <c r="W13" s="178"/>
      <c r="X13" s="177"/>
      <c r="AA13" s="29">
        <v>40.0</v>
      </c>
      <c r="AB13" s="343"/>
      <c r="AC13" s="320"/>
      <c r="AD13" s="29"/>
      <c r="AE13" s="29"/>
      <c r="AF13" s="337">
        <v>99999.0</v>
      </c>
      <c r="AG13" s="178"/>
      <c r="AH13" s="177"/>
      <c r="AJ13" s="178"/>
      <c r="AK13" s="177"/>
      <c r="AM13" s="178"/>
      <c r="AN13" s="177"/>
      <c r="AR13" s="3"/>
      <c r="AS13" s="3"/>
      <c r="AT13" s="3"/>
      <c r="AU13" s="178"/>
      <c r="AV13" s="177"/>
    </row>
    <row r="14" ht="15.0" customHeight="1">
      <c r="A14" s="29">
        <v>45.0</v>
      </c>
      <c r="B14" s="340">
        <v>99999.0</v>
      </c>
      <c r="C14" s="341">
        <v>99999.0</v>
      </c>
      <c r="D14" s="341">
        <v>99999.0</v>
      </c>
      <c r="E14" s="341">
        <v>99999.0</v>
      </c>
      <c r="F14" s="344">
        <v>99999.0</v>
      </c>
      <c r="G14" s="178"/>
      <c r="H14" s="177"/>
      <c r="J14" s="178"/>
      <c r="K14" s="177"/>
      <c r="N14" s="29">
        <v>35.0</v>
      </c>
      <c r="O14" s="340">
        <v>99999.0</v>
      </c>
      <c r="P14" s="341">
        <v>99999.0</v>
      </c>
      <c r="Q14" s="341">
        <v>99999.0</v>
      </c>
      <c r="R14" s="341">
        <v>99999.0</v>
      </c>
      <c r="S14" s="344">
        <v>99999.0</v>
      </c>
      <c r="T14" s="178"/>
      <c r="U14" s="177"/>
      <c r="W14" s="178"/>
      <c r="X14" s="177"/>
      <c r="AA14" s="29">
        <v>45.0</v>
      </c>
      <c r="AB14" s="340">
        <v>99999.0</v>
      </c>
      <c r="AC14" s="341">
        <v>99999.0</v>
      </c>
      <c r="AD14" s="341">
        <v>99999.0</v>
      </c>
      <c r="AE14" s="341">
        <v>99999.0</v>
      </c>
      <c r="AF14" s="344">
        <v>99999.0</v>
      </c>
      <c r="AG14" s="178"/>
      <c r="AH14" s="177"/>
      <c r="AJ14" s="178"/>
      <c r="AK14" s="177"/>
      <c r="AM14" s="178"/>
      <c r="AN14" s="177"/>
      <c r="AR14" s="3"/>
      <c r="AS14" s="3"/>
      <c r="AT14" s="3"/>
      <c r="AU14" s="178"/>
      <c r="AV14" s="177"/>
    </row>
    <row r="15" ht="15.0" customHeight="1">
      <c r="B15" s="178"/>
      <c r="C15" s="177"/>
      <c r="D15" s="29"/>
      <c r="E15" s="29"/>
      <c r="F15" s="29"/>
      <c r="G15" s="3"/>
      <c r="H15" s="3"/>
      <c r="I15" s="3"/>
      <c r="J15" s="178"/>
      <c r="K15" s="177"/>
      <c r="O15" s="178"/>
      <c r="P15" s="177"/>
      <c r="Q15" s="29"/>
      <c r="R15" s="29"/>
      <c r="S15" s="29"/>
      <c r="T15" s="3"/>
      <c r="U15" s="3"/>
      <c r="V15" s="3"/>
      <c r="W15" s="178"/>
      <c r="X15" s="177"/>
      <c r="Z15" s="178"/>
      <c r="AB15" s="178"/>
      <c r="AC15" s="177"/>
      <c r="AD15" s="29"/>
      <c r="AE15" s="29"/>
      <c r="AF15" s="29"/>
      <c r="AG15" s="3"/>
      <c r="AH15" s="3"/>
      <c r="AI15" s="3"/>
      <c r="AJ15" s="178"/>
      <c r="AK15" s="177"/>
      <c r="AM15" s="3"/>
      <c r="AN15" s="3"/>
      <c r="AO15" s="3"/>
      <c r="AP15" s="178"/>
      <c r="AQ15" s="177"/>
      <c r="AU15" s="3"/>
      <c r="AV15" s="3"/>
      <c r="AW15" s="3"/>
      <c r="AX15" s="178"/>
      <c r="AY15" s="177"/>
    </row>
    <row r="16" ht="15.0" customHeight="1">
      <c r="B16" s="178" t="s">
        <v>134</v>
      </c>
      <c r="C16" s="177">
        <f>D1</f>
        <v>0</v>
      </c>
      <c r="D16" s="167" t="s">
        <v>239</v>
      </c>
      <c r="G16" s="3"/>
      <c r="H16" s="3"/>
      <c r="I16" s="3"/>
      <c r="J16" s="178"/>
      <c r="K16" s="177"/>
      <c r="L16" s="141"/>
      <c r="O16" s="178" t="s">
        <v>134</v>
      </c>
      <c r="P16" s="177">
        <f>D1</f>
        <v>0</v>
      </c>
      <c r="Q16" s="167" t="s">
        <v>239</v>
      </c>
      <c r="T16" s="3"/>
      <c r="U16" s="3"/>
      <c r="V16" s="3"/>
      <c r="W16" s="178"/>
      <c r="X16" s="177"/>
      <c r="Y16" s="141"/>
      <c r="Z16" s="178"/>
      <c r="AB16" s="178" t="s">
        <v>134</v>
      </c>
      <c r="AC16" s="177">
        <f>D1</f>
        <v>0</v>
      </c>
      <c r="AD16" s="167" t="s">
        <v>239</v>
      </c>
      <c r="AG16" s="3"/>
      <c r="AH16" s="3"/>
      <c r="AI16" s="3"/>
      <c r="AJ16" s="178"/>
      <c r="AK16" s="177"/>
      <c r="AL16" s="141"/>
      <c r="AM16" s="3"/>
      <c r="AN16" s="3"/>
      <c r="AO16" s="3"/>
      <c r="AP16" s="178"/>
      <c r="AQ16" s="177"/>
      <c r="AR16" s="167"/>
      <c r="AU16" s="3"/>
      <c r="AV16" s="3"/>
      <c r="AW16" s="3"/>
      <c r="AX16" s="178"/>
      <c r="AY16" s="177"/>
      <c r="AZ16" s="167"/>
    </row>
    <row r="17" ht="15.0" customHeight="1">
      <c r="B17" s="129" t="s">
        <v>240</v>
      </c>
      <c r="C17" s="182">
        <f t="array" ref="C17">INDEX(B5:F5,MATCH(C16,B5:F5,1))</f>
        <v>0</v>
      </c>
      <c r="D17" s="129" t="s">
        <v>131</v>
      </c>
      <c r="E17" s="155">
        <f>MATCH(MAX(A6:A14),A6:A14,1)</f>
        <v>9</v>
      </c>
      <c r="G17" s="3"/>
      <c r="H17" s="3"/>
      <c r="I17" s="3"/>
      <c r="J17" s="129"/>
      <c r="K17" s="182"/>
      <c r="L17" s="129"/>
      <c r="M17" s="155"/>
      <c r="O17" s="129" t="s">
        <v>240</v>
      </c>
      <c r="P17" s="182">
        <f t="array" ref="P17">INDEX(O5:S5,MATCH(P16,O5:S5,1))</f>
        <v>0</v>
      </c>
      <c r="Q17" s="129" t="s">
        <v>131</v>
      </c>
      <c r="R17" s="155">
        <f>MATCH(MAX(N6:N14),N6:N14,1)</f>
        <v>9</v>
      </c>
      <c r="T17" s="3"/>
      <c r="U17" s="3"/>
      <c r="V17" s="3"/>
      <c r="W17" s="129"/>
      <c r="X17" s="182"/>
      <c r="Y17" s="129"/>
      <c r="Z17" s="129"/>
      <c r="AB17" s="129" t="s">
        <v>240</v>
      </c>
      <c r="AC17" s="182">
        <f t="array" ref="AC17">INDEX(AB5:AF5,MATCH(AC16,AB5:AF5,1))</f>
        <v>0</v>
      </c>
      <c r="AD17" s="129" t="s">
        <v>131</v>
      </c>
      <c r="AE17" s="155">
        <f>MATCH(MAX(AA6:AA14),AA6:AA14,1)</f>
        <v>9</v>
      </c>
      <c r="AG17" s="3"/>
      <c r="AH17" s="3"/>
      <c r="AI17" s="3"/>
      <c r="AJ17" s="129"/>
      <c r="AK17" s="182"/>
      <c r="AL17" s="129"/>
      <c r="AM17" s="3"/>
      <c r="AN17" s="3"/>
      <c r="AO17" s="3"/>
      <c r="AP17" s="129"/>
      <c r="AQ17" s="182"/>
      <c r="AR17" s="129"/>
      <c r="AS17" s="155"/>
      <c r="AU17" s="3"/>
      <c r="AV17" s="3"/>
      <c r="AW17" s="3"/>
      <c r="AX17" s="129"/>
      <c r="AY17" s="182"/>
      <c r="AZ17" s="129"/>
      <c r="BA17" s="155"/>
    </row>
    <row r="18" ht="15.0" customHeight="1">
      <c r="B18" s="129" t="s">
        <v>241</v>
      </c>
      <c r="C18" s="182">
        <f t="array" ref="C18">INDEX(B5:F5,IF(MATCH(C16,B5:F5,1)&lt;E18,MATCH(C16,B5:F5,1)+1,MATCH(C16,B5:F5,1)))</f>
        <v>1000</v>
      </c>
      <c r="D18" s="129" t="s">
        <v>132</v>
      </c>
      <c r="E18" s="155">
        <f>MATCH(MAX(B5:F5),B5:F5,0)</f>
        <v>5</v>
      </c>
      <c r="G18" s="3"/>
      <c r="H18" s="3"/>
      <c r="I18" s="3"/>
      <c r="J18" s="129"/>
      <c r="K18" s="182"/>
      <c r="L18" s="129"/>
      <c r="M18" s="155"/>
      <c r="O18" s="129" t="s">
        <v>241</v>
      </c>
      <c r="P18" s="182">
        <f t="array" ref="P18">INDEX(O5:S5,IF(MATCH(P16,O5:S5,1)&lt;R18,MATCH(P16,O5:S5,1)+1,MATCH(P16,O5:S5,1)))</f>
        <v>1000</v>
      </c>
      <c r="Q18" s="129" t="s">
        <v>132</v>
      </c>
      <c r="R18" s="155">
        <f>MATCH(MAX(O5:S5),O5:S5,0)</f>
        <v>5</v>
      </c>
      <c r="T18" s="3"/>
      <c r="U18" s="3"/>
      <c r="V18" s="3"/>
      <c r="W18" s="129"/>
      <c r="X18" s="182"/>
      <c r="Y18" s="129"/>
      <c r="Z18" s="129"/>
      <c r="AB18" s="129" t="s">
        <v>241</v>
      </c>
      <c r="AC18" s="182">
        <f t="array" ref="AC18">INDEX(AB5:AF5,IF(MATCH(AC16,AB5:AF5,1)&lt;AE18,MATCH(AC16,AB5:AF5,1)+1,MATCH(AC16,AB5:AF5,1)))</f>
        <v>1000</v>
      </c>
      <c r="AD18" s="129" t="s">
        <v>132</v>
      </c>
      <c r="AE18" s="155">
        <f>MATCH(MAX(AB5:AF5),AB5:AF5,0)</f>
        <v>5</v>
      </c>
      <c r="AG18" s="3"/>
      <c r="AH18" s="3"/>
      <c r="AI18" s="3"/>
      <c r="AJ18" s="129"/>
      <c r="AK18" s="182"/>
      <c r="AL18" s="129"/>
      <c r="AM18" s="3"/>
      <c r="AN18" s="3"/>
      <c r="AO18" s="3"/>
      <c r="AP18" s="129"/>
      <c r="AQ18" s="182"/>
      <c r="AR18" s="129"/>
      <c r="AS18" s="155"/>
      <c r="AU18" s="3"/>
      <c r="AV18" s="3"/>
      <c r="AW18" s="3"/>
      <c r="AX18" s="129"/>
      <c r="AY18" s="182"/>
      <c r="AZ18" s="129"/>
      <c r="BA18" s="155"/>
    </row>
    <row r="19" ht="15.0" customHeight="1">
      <c r="B19" s="176" t="s">
        <v>136</v>
      </c>
      <c r="C19" s="274">
        <f>D2</f>
        <v>-2</v>
      </c>
      <c r="D19" s="3"/>
      <c r="E19" s="3"/>
      <c r="G19" s="3"/>
      <c r="H19" s="3"/>
      <c r="I19" s="3"/>
      <c r="J19" s="178"/>
      <c r="K19" s="274"/>
      <c r="L19" s="3"/>
      <c r="M19" s="3"/>
      <c r="O19" s="176" t="s">
        <v>136</v>
      </c>
      <c r="P19" s="274">
        <f>D2</f>
        <v>-2</v>
      </c>
      <c r="Q19" s="3"/>
      <c r="R19" s="3"/>
      <c r="T19" s="3"/>
      <c r="U19" s="3"/>
      <c r="V19" s="3"/>
      <c r="W19" s="178"/>
      <c r="X19" s="274"/>
      <c r="Y19" s="3"/>
      <c r="Z19" s="178"/>
      <c r="AB19" s="176" t="s">
        <v>136</v>
      </c>
      <c r="AC19" s="274">
        <f>D2</f>
        <v>-2</v>
      </c>
      <c r="AD19" s="3"/>
      <c r="AE19" s="3"/>
      <c r="AG19" s="3"/>
      <c r="AH19" s="3"/>
      <c r="AI19" s="3"/>
      <c r="AJ19" s="178"/>
      <c r="AK19" s="274"/>
      <c r="AL19" s="3"/>
      <c r="AM19" s="3"/>
      <c r="AN19" s="3"/>
      <c r="AO19" s="3"/>
      <c r="AP19" s="178"/>
      <c r="AQ19" s="274"/>
      <c r="AR19" s="3"/>
      <c r="AS19" s="3"/>
      <c r="AU19" s="3"/>
      <c r="AV19" s="3"/>
      <c r="AW19" s="3"/>
      <c r="AX19" s="178"/>
      <c r="AY19" s="274"/>
      <c r="AZ19" s="3"/>
      <c r="BA19" s="3"/>
    </row>
    <row r="20" ht="15.0" customHeight="1">
      <c r="B20" s="129" t="s">
        <v>139</v>
      </c>
      <c r="C20" s="182">
        <f t="array" ref="C20">INDEX(A6:A14,MATCH(C19,A6:A14,1))</f>
        <v>-10</v>
      </c>
      <c r="D20" s="3"/>
      <c r="E20" s="161"/>
      <c r="G20" s="3"/>
      <c r="H20" s="3"/>
      <c r="I20" s="3"/>
      <c r="J20" s="129"/>
      <c r="K20" s="182"/>
      <c r="L20" s="3"/>
      <c r="M20" s="161"/>
      <c r="O20" s="129" t="s">
        <v>139</v>
      </c>
      <c r="P20" s="182">
        <f t="array" ref="P20">INDEX(N6:N14,MATCH(P19,N6:N14,1))</f>
        <v>-10</v>
      </c>
      <c r="Q20" s="3"/>
      <c r="R20" s="161"/>
      <c r="T20" s="3"/>
      <c r="U20" s="3"/>
      <c r="V20" s="3"/>
      <c r="W20" s="129"/>
      <c r="X20" s="182"/>
      <c r="Y20" s="3"/>
      <c r="Z20" s="129"/>
      <c r="AB20" s="129" t="s">
        <v>139</v>
      </c>
      <c r="AC20" s="182">
        <f t="array" ref="AC20">INDEX(AA6:AA14,MATCH(AC19,AA6:AA14,1))</f>
        <v>-10</v>
      </c>
      <c r="AD20" s="3"/>
      <c r="AE20" s="161"/>
      <c r="AG20" s="3"/>
      <c r="AH20" s="3"/>
      <c r="AI20" s="3"/>
      <c r="AJ20" s="129"/>
      <c r="AK20" s="182"/>
      <c r="AL20" s="3"/>
      <c r="AM20" s="3"/>
      <c r="AN20" s="3"/>
      <c r="AO20" s="3"/>
      <c r="AP20" s="129"/>
      <c r="AQ20" s="182"/>
      <c r="AR20" s="3"/>
      <c r="AS20" s="161"/>
      <c r="AU20" s="3"/>
      <c r="AV20" s="3"/>
      <c r="AW20" s="3"/>
      <c r="AX20" s="129"/>
      <c r="AY20" s="182"/>
      <c r="AZ20" s="3"/>
      <c r="BA20" s="161"/>
    </row>
    <row r="21" ht="15.0" customHeight="1">
      <c r="B21" s="129" t="s">
        <v>145</v>
      </c>
      <c r="C21" s="182">
        <f t="array" ref="C21">INDEX(A6:A14,IF(MATCH(C19,A6:A14,1)&lt;E17,MATCH(C19,A6:A14,1)+1,MATCH(C19,A6:A14,1)))</f>
        <v>0</v>
      </c>
      <c r="D21" s="3"/>
      <c r="E21" s="161"/>
      <c r="G21" s="3"/>
      <c r="H21" s="3"/>
      <c r="I21" s="3"/>
      <c r="J21" s="129"/>
      <c r="K21" s="182"/>
      <c r="L21" s="3"/>
      <c r="M21" s="161"/>
      <c r="O21" s="129" t="s">
        <v>145</v>
      </c>
      <c r="P21" s="182">
        <f t="array" ref="P21">INDEX(N6:N14,IF(MATCH(P19,N6:N14,1)&lt;R17,MATCH(P19,N6:N14,1)+1,MATCH(P19,N6:N14,1)))</f>
        <v>0</v>
      </c>
      <c r="Q21" s="3"/>
      <c r="R21" s="161"/>
      <c r="T21" s="3"/>
      <c r="U21" s="3"/>
      <c r="V21" s="3"/>
      <c r="W21" s="129"/>
      <c r="X21" s="182"/>
      <c r="Y21" s="3"/>
      <c r="Z21" s="129"/>
      <c r="AB21" s="129" t="s">
        <v>145</v>
      </c>
      <c r="AC21" s="182">
        <f t="array" ref="AC21">INDEX(AA6:AA14,IF(MATCH(AC19,AA6:AA14,1)&lt;AE17,MATCH(AC19,AA6:AA14,1)+1,MATCH(AC19,AA6:AA14,1)))</f>
        <v>0</v>
      </c>
      <c r="AD21" s="3"/>
      <c r="AE21" s="161"/>
      <c r="AG21" s="3"/>
      <c r="AH21" s="3"/>
      <c r="AI21" s="3"/>
      <c r="AJ21" s="129"/>
      <c r="AK21" s="182"/>
      <c r="AL21" s="3"/>
      <c r="AM21" s="3"/>
      <c r="AN21" s="3"/>
      <c r="AO21" s="3"/>
      <c r="AP21" s="129"/>
      <c r="AQ21" s="182"/>
      <c r="AR21" s="3"/>
      <c r="AS21" s="161"/>
      <c r="AU21" s="3"/>
      <c r="AV21" s="3"/>
      <c r="AW21" s="3"/>
      <c r="AX21" s="129"/>
      <c r="AY21" s="182"/>
      <c r="AZ21" s="3"/>
      <c r="BA21" s="161"/>
    </row>
    <row r="22" ht="15.0" customHeight="1">
      <c r="B22" s="178" t="s">
        <v>165</v>
      </c>
      <c r="C22" s="177">
        <f t="array" ref="C22">INDEX(B6:F14,MATCH(C19,A6:A14,1),MATCH(C16,B5:F5,1))</f>
        <v>2900</v>
      </c>
      <c r="D22" s="3"/>
      <c r="E22" s="161"/>
      <c r="G22" s="3"/>
      <c r="H22" s="3"/>
      <c r="I22" s="3"/>
      <c r="J22" s="178"/>
      <c r="K22" s="177"/>
      <c r="L22" s="3"/>
      <c r="M22" s="161"/>
      <c r="O22" s="178" t="s">
        <v>165</v>
      </c>
      <c r="P22" s="177" t="str">
        <f t="array" ref="P22">INDEX(O6:S14,MATCH(P19,N6:N14,1),MATCH(P16,O5:S5,1))</f>
        <v/>
      </c>
      <c r="Q22" s="3"/>
      <c r="R22" s="161"/>
      <c r="T22" s="3"/>
      <c r="U22" s="3"/>
      <c r="V22" s="3"/>
      <c r="W22" s="178"/>
      <c r="X22" s="177"/>
      <c r="Y22" s="3"/>
      <c r="Z22" s="178"/>
      <c r="AB22" s="178" t="s">
        <v>165</v>
      </c>
      <c r="AC22" s="177" t="str">
        <f t="array" ref="AC22">INDEX(AB6:AF14,MATCH(AC19,AA6:AA14,1),MATCH(AC16,AB5:AF5,1))</f>
        <v/>
      </c>
      <c r="AD22" s="3"/>
      <c r="AE22" s="161"/>
      <c r="AG22" s="3"/>
      <c r="AH22" s="3"/>
      <c r="AI22" s="3"/>
      <c r="AJ22" s="178"/>
      <c r="AK22" s="177"/>
      <c r="AL22" s="3"/>
      <c r="AM22" s="3"/>
      <c r="AN22" s="3"/>
      <c r="AO22" s="3"/>
      <c r="AP22" s="178"/>
      <c r="AQ22" s="177"/>
      <c r="AR22" s="3"/>
      <c r="AS22" s="161"/>
      <c r="AU22" s="3"/>
      <c r="AV22" s="3"/>
      <c r="AW22" s="3"/>
      <c r="AX22" s="178"/>
      <c r="AY22" s="177"/>
      <c r="AZ22" s="3"/>
      <c r="BA22" s="161"/>
    </row>
    <row r="23" ht="15.0" customHeight="1">
      <c r="B23" s="178" t="s">
        <v>249</v>
      </c>
      <c r="C23" s="177">
        <f t="array" ref="C23">INDEX(B6:F14,MATCH(C19,A6:A14,1),IF(MATCH(C16,B5:F5,1)&lt;E18,MATCH(C16,B5:F5,1)+1,MATCH(C19,A6:A14,1)))</f>
        <v>3100</v>
      </c>
      <c r="E23" s="161"/>
      <c r="G23" s="3"/>
      <c r="H23" s="3"/>
      <c r="I23" s="3"/>
      <c r="J23" s="178"/>
      <c r="K23" s="177"/>
      <c r="M23" s="161"/>
      <c r="O23" s="178" t="s">
        <v>249</v>
      </c>
      <c r="P23" s="177" t="str">
        <f t="array" ref="P23">INDEX(O6:S14,MATCH(P19,N6:N14,1),IF(MATCH(P16,O5:S5,1)&lt;R18,MATCH(P16,O5:S5,1)+1,MATCH(P19,N6:N14,1)))</f>
        <v/>
      </c>
      <c r="R23" s="161"/>
      <c r="T23" s="3"/>
      <c r="U23" s="3"/>
      <c r="V23" s="3"/>
      <c r="W23" s="178"/>
      <c r="X23" s="177"/>
      <c r="Z23" s="178"/>
      <c r="AB23" s="178" t="s">
        <v>249</v>
      </c>
      <c r="AC23" s="177" t="str">
        <f t="array" ref="AC23">INDEX(AB6:AF14,MATCH(AC19,AA6:AA14,1),IF(MATCH(AC16,AB5:AF5,1)&lt;AE18,MATCH(AC16,AB5:AF5,1)+1,MATCH(AC19,AA6:AA14,1)))</f>
        <v/>
      </c>
      <c r="AE23" s="161"/>
      <c r="AG23" s="3"/>
      <c r="AH23" s="3"/>
      <c r="AI23" s="3"/>
      <c r="AJ23" s="178"/>
      <c r="AK23" s="177"/>
      <c r="AM23" s="3"/>
      <c r="AN23" s="3"/>
      <c r="AO23" s="3"/>
      <c r="AP23" s="178"/>
      <c r="AQ23" s="177"/>
      <c r="AS23" s="161"/>
      <c r="AU23" s="3"/>
      <c r="AV23" s="3"/>
      <c r="AW23" s="3"/>
      <c r="AX23" s="178"/>
      <c r="AY23" s="177"/>
      <c r="BA23" s="161"/>
    </row>
    <row r="24" ht="15.0" customHeight="1">
      <c r="B24" s="178" t="s">
        <v>177</v>
      </c>
      <c r="C24" s="177">
        <f t="array" ref="C24">INDEX(B6:F14,IF(MATCH(C19,A6:A14,1)&lt;E17,MATCH(C19,A6:A14,1)+1,MATCH(C19,A6:A14,1)),MATCH(C16,B5:F5,1))</f>
        <v>3075</v>
      </c>
      <c r="E24" s="161"/>
      <c r="G24" s="3"/>
      <c r="H24" s="3"/>
      <c r="I24" s="3"/>
      <c r="J24" s="178"/>
      <c r="K24" s="177"/>
      <c r="M24" s="161"/>
      <c r="O24" s="178" t="s">
        <v>177</v>
      </c>
      <c r="P24" s="177" t="str">
        <f t="array" ref="P24">INDEX(O6:S14,IF(MATCH(P19,N6:N14,1)&lt;R17,MATCH(P19,N6:N14,1)+1,MATCH(P19,N6:N14,1)),MATCH(P16,O5:S5,1))</f>
        <v/>
      </c>
      <c r="R24" s="161"/>
      <c r="T24" s="3"/>
      <c r="U24" s="3"/>
      <c r="V24" s="3"/>
      <c r="W24" s="178"/>
      <c r="X24" s="177"/>
      <c r="Z24" s="178"/>
      <c r="AB24" s="178" t="s">
        <v>177</v>
      </c>
      <c r="AC24" s="177" t="str">
        <f t="array" ref="AC24">INDEX(AB6:AF14,IF(MATCH(AC19,AA6:AA14,1)&lt;AE17,MATCH(AC19,AA6:AA14,1)+1,MATCH(AC19,AA6:AA14,1)),MATCH(AC16,AB5:AF5,1))</f>
        <v/>
      </c>
      <c r="AE24" s="161"/>
      <c r="AG24" s="3"/>
      <c r="AH24" s="3"/>
      <c r="AI24" s="3"/>
      <c r="AJ24" s="178"/>
      <c r="AK24" s="177"/>
      <c r="AM24" s="3"/>
      <c r="AN24" s="3"/>
      <c r="AO24" s="3"/>
      <c r="AP24" s="178"/>
      <c r="AQ24" s="177"/>
      <c r="AS24" s="161"/>
      <c r="AU24" s="3"/>
      <c r="AV24" s="3"/>
      <c r="AW24" s="3"/>
      <c r="AX24" s="178"/>
      <c r="AY24" s="177"/>
      <c r="BA24" s="161"/>
    </row>
    <row r="25" ht="15.0" customHeight="1">
      <c r="B25" s="178" t="s">
        <v>250</v>
      </c>
      <c r="C25" s="177">
        <f t="array" ref="C25">INDEX(B6:F14,IF(MATCH(C19,A6:A14,1)&lt;E17,MATCH(C19,A6:A14,1)+1,MATCH(C19,A6:A14,1)),IF(MATCH(C16,B5:F5,1)&lt;E18,MATCH(C16,B5:F5,1)+1,MATCH(C16,B5:F5,1)))</f>
        <v>3200</v>
      </c>
      <c r="G25" s="3"/>
      <c r="H25" s="3"/>
      <c r="I25" s="3"/>
      <c r="J25" s="178"/>
      <c r="K25" s="177"/>
      <c r="O25" s="178" t="s">
        <v>250</v>
      </c>
      <c r="P25" s="177" t="str">
        <f t="array" ref="P25">INDEX(O6:S14,IF(MATCH(P19,N6:N14,1)&lt;R17,MATCH(P19,N6:N14,1)+1,MATCH(P19,N6:N14,1)),IF(MATCH(P16,O5:S5,1)&lt;R18,MATCH(P16,O5:S5,1)+1,MATCH(P16,O5:S5,1)))</f>
        <v/>
      </c>
      <c r="T25" s="3"/>
      <c r="U25" s="3"/>
      <c r="V25" s="3"/>
      <c r="W25" s="178"/>
      <c r="X25" s="177"/>
      <c r="Z25" s="178"/>
      <c r="AB25" s="178" t="s">
        <v>250</v>
      </c>
      <c r="AC25" s="177" t="str">
        <f t="array" ref="AC25">INDEX(AB6:AF14,IF(MATCH(AC19,AA6:AA14,1)&lt;AE17,MATCH(AC19,AA6:AA14,1)+1,MATCH(AC19,AA6:AA14,1)),IF(MATCH(AC16,AB5:AF5,1)&lt;AE18,MATCH(AC16,AB5:AF5,1)+1,MATCH(AC16,AB5:AF5,1)))</f>
        <v/>
      </c>
      <c r="AG25" s="3"/>
      <c r="AH25" s="3"/>
      <c r="AI25" s="3"/>
      <c r="AJ25" s="178"/>
      <c r="AK25" s="177"/>
      <c r="AM25" s="3"/>
      <c r="AN25" s="3"/>
      <c r="AO25" s="3"/>
      <c r="AP25" s="178"/>
      <c r="AQ25" s="177"/>
      <c r="AU25" s="3"/>
      <c r="AV25" s="3"/>
      <c r="AW25" s="3"/>
      <c r="AX25" s="178"/>
      <c r="AY25" s="177"/>
    </row>
    <row r="26" ht="15.0" customHeight="1">
      <c r="B26" s="129" t="s">
        <v>252</v>
      </c>
      <c r="C26" s="182">
        <f>IFERROR(C22+(C16-C17)*(C23-C22)/(C18-C17),C22)</f>
        <v>2900</v>
      </c>
      <c r="G26" s="3"/>
      <c r="H26" s="3"/>
      <c r="I26" s="3"/>
      <c r="J26" s="129"/>
      <c r="K26" s="182"/>
      <c r="O26" s="129" t="s">
        <v>252</v>
      </c>
      <c r="P26" s="182">
        <f>IFERROR(P22+(P16-P17)*(P23-P22)/(P18-P17),P22)</f>
        <v>0</v>
      </c>
      <c r="T26" s="3"/>
      <c r="U26" s="3"/>
      <c r="V26" s="3"/>
      <c r="W26" s="129"/>
      <c r="X26" s="182"/>
      <c r="Z26" s="129"/>
      <c r="AB26" s="129" t="s">
        <v>252</v>
      </c>
      <c r="AC26" s="182">
        <f>IFERROR(AC22+(AC16-AC17)*(AC23-AC22)/(AC18-AC17),AC22)</f>
        <v>0</v>
      </c>
      <c r="AG26" s="3"/>
      <c r="AH26" s="3"/>
      <c r="AI26" s="3"/>
      <c r="AJ26" s="129"/>
      <c r="AK26" s="182"/>
      <c r="AM26" s="3"/>
      <c r="AN26" s="3"/>
      <c r="AO26" s="3"/>
      <c r="AP26" s="129"/>
      <c r="AQ26" s="182"/>
      <c r="AU26" s="3"/>
      <c r="AV26" s="3"/>
      <c r="AW26" s="3"/>
      <c r="AX26" s="129"/>
      <c r="AY26" s="182"/>
    </row>
    <row r="27" ht="15.0" customHeight="1">
      <c r="B27" s="129" t="s">
        <v>253</v>
      </c>
      <c r="C27" s="182">
        <f>IFERROR(C24+(C16-C17)*(C25-C24)/(C18-C17),C24)</f>
        <v>3075</v>
      </c>
      <c r="G27" s="3"/>
      <c r="H27" s="3"/>
      <c r="I27" s="3"/>
      <c r="J27" s="129"/>
      <c r="K27" s="182"/>
      <c r="O27" s="129" t="s">
        <v>253</v>
      </c>
      <c r="P27" s="182">
        <f>IFERROR(P24+(P16-P17)*(P25-P24)/(P18-P17),P24)</f>
        <v>0</v>
      </c>
      <c r="T27" s="3"/>
      <c r="U27" s="3"/>
      <c r="V27" s="3"/>
      <c r="W27" s="129"/>
      <c r="X27" s="182"/>
      <c r="Z27" s="129"/>
      <c r="AB27" s="129" t="s">
        <v>253</v>
      </c>
      <c r="AC27" s="182">
        <f>IFERROR(AC24+(AC16-AC17)*(AC25-AC24)/(AC18-AC17),AC24)</f>
        <v>0</v>
      </c>
      <c r="AG27" s="3"/>
      <c r="AH27" s="3"/>
      <c r="AI27" s="3"/>
      <c r="AJ27" s="129"/>
      <c r="AK27" s="182"/>
      <c r="AM27" s="3"/>
      <c r="AN27" s="3"/>
      <c r="AO27" s="3"/>
      <c r="AP27" s="129"/>
      <c r="AQ27" s="182"/>
      <c r="AU27" s="3"/>
      <c r="AV27" s="3"/>
      <c r="AW27" s="3"/>
      <c r="AX27" s="129"/>
      <c r="AY27" s="182"/>
    </row>
    <row r="28" ht="15.0" customHeight="1">
      <c r="B28" s="178" t="s">
        <v>254</v>
      </c>
      <c r="C28" s="177">
        <f>IFERROR(C26+(C19-C20)*(C27-C26)/(C21-C20),C26)</f>
        <v>3040</v>
      </c>
      <c r="G28" s="3"/>
      <c r="H28" s="3"/>
      <c r="I28" s="3"/>
      <c r="J28" s="178"/>
      <c r="K28" s="177"/>
      <c r="O28" s="178" t="s">
        <v>254</v>
      </c>
      <c r="P28" s="177">
        <f>IFERROR(P26+(P19-P20)*(P27-P26)/(P21-P20),P26)</f>
        <v>0</v>
      </c>
      <c r="T28" s="3"/>
      <c r="U28" s="3"/>
      <c r="V28" s="3"/>
      <c r="W28" s="178"/>
      <c r="X28" s="177"/>
      <c r="Z28" s="178"/>
      <c r="AB28" s="178" t="s">
        <v>254</v>
      </c>
      <c r="AC28" s="177">
        <f>IFERROR(AC26+(AC19-AC20)*(AC27-AC26)/(AC21-AC20),AC26)</f>
        <v>0</v>
      </c>
      <c r="AG28" s="3"/>
      <c r="AH28" s="3"/>
      <c r="AI28" s="3"/>
      <c r="AJ28" s="178"/>
      <c r="AK28" s="177"/>
      <c r="AM28" s="3"/>
      <c r="AN28" s="3"/>
      <c r="AO28" s="3"/>
      <c r="AP28" s="178"/>
      <c r="AQ28" s="177"/>
      <c r="AU28" s="3"/>
      <c r="AV28" s="3"/>
      <c r="AW28" s="3"/>
      <c r="AX28" s="178"/>
      <c r="AY28" s="177"/>
    </row>
    <row r="29" ht="15.75" customHeight="1"/>
    <row r="30" ht="15.0" customHeight="1">
      <c r="A30" s="29"/>
      <c r="B30" s="167" t="s">
        <v>255</v>
      </c>
      <c r="H30" s="141"/>
      <c r="I30" s="141"/>
      <c r="J30" s="141"/>
      <c r="K30" s="141"/>
      <c r="L30" s="141"/>
      <c r="M30" s="141"/>
      <c r="N30" s="29"/>
      <c r="O30" s="167" t="s">
        <v>255</v>
      </c>
      <c r="U30" s="141"/>
      <c r="V30" s="141"/>
      <c r="W30" s="141"/>
      <c r="X30" s="141"/>
      <c r="Y30" s="141"/>
      <c r="AA30" s="29"/>
      <c r="AB30" s="167" t="s">
        <v>255</v>
      </c>
      <c r="AH30" s="141"/>
      <c r="AI30" s="141"/>
      <c r="AJ30" s="141"/>
      <c r="AK30" s="141"/>
      <c r="AL30" s="141"/>
    </row>
    <row r="31" ht="15.0" customHeight="1">
      <c r="A31" s="29" t="s">
        <v>142</v>
      </c>
      <c r="B31" s="349">
        <v>2500.0</v>
      </c>
      <c r="C31" s="353">
        <v>3000.0</v>
      </c>
      <c r="D31" s="355">
        <v>3500.0</v>
      </c>
      <c r="E31" s="355">
        <v>4000.0</v>
      </c>
      <c r="F31" s="355">
        <v>4500.0</v>
      </c>
      <c r="G31" s="334">
        <v>5000.0</v>
      </c>
      <c r="H31" s="29"/>
      <c r="I31" s="29"/>
      <c r="J31" s="29"/>
      <c r="K31" s="29"/>
      <c r="L31" s="29"/>
      <c r="M31" s="29"/>
      <c r="N31" s="29" t="s">
        <v>142</v>
      </c>
      <c r="O31" s="349">
        <v>3600.0</v>
      </c>
      <c r="P31" s="353">
        <v>4300.0</v>
      </c>
      <c r="Q31" s="355">
        <v>5000.0</v>
      </c>
      <c r="R31" s="355">
        <v>5700.0</v>
      </c>
      <c r="S31" s="334">
        <v>6000.0</v>
      </c>
      <c r="T31" s="29"/>
      <c r="U31" s="29"/>
      <c r="V31" s="29"/>
      <c r="W31" s="29"/>
      <c r="X31" s="29"/>
      <c r="AA31" s="29" t="s">
        <v>142</v>
      </c>
      <c r="AB31" s="349">
        <v>3000.0</v>
      </c>
      <c r="AC31" s="353">
        <v>3450.0</v>
      </c>
      <c r="AD31" s="355">
        <v>3900.0</v>
      </c>
      <c r="AE31" s="355">
        <v>4350.0</v>
      </c>
      <c r="AF31" s="355">
        <v>4800.0</v>
      </c>
      <c r="AG31" s="334">
        <v>5000.0</v>
      </c>
      <c r="AH31" s="29"/>
      <c r="AI31" s="29"/>
      <c r="AJ31" s="29"/>
      <c r="AK31" s="29"/>
      <c r="AL31" s="29"/>
    </row>
    <row r="32" ht="15.0" customHeight="1">
      <c r="A32" s="29">
        <v>9000.0</v>
      </c>
      <c r="B32" s="331">
        <v>2200.0</v>
      </c>
      <c r="C32" s="332">
        <v>2700.0</v>
      </c>
      <c r="D32" s="333">
        <v>3050.0</v>
      </c>
      <c r="E32" s="333">
        <v>3400.0</v>
      </c>
      <c r="F32" s="333">
        <v>3900.0</v>
      </c>
      <c r="G32" s="334">
        <v>99999.0</v>
      </c>
      <c r="H32" s="29"/>
      <c r="I32" s="29"/>
      <c r="J32" s="29"/>
      <c r="K32" s="29"/>
      <c r="L32" s="29"/>
      <c r="M32" s="29"/>
      <c r="N32" s="29">
        <v>10000.0</v>
      </c>
      <c r="O32" s="331"/>
      <c r="P32" s="332"/>
      <c r="Q32" s="333"/>
      <c r="R32" s="333"/>
      <c r="S32" s="334">
        <v>99999.0</v>
      </c>
      <c r="T32" s="29"/>
      <c r="U32" s="29"/>
      <c r="V32" s="29"/>
      <c r="W32" s="29"/>
      <c r="X32" s="29"/>
      <c r="AA32" s="29">
        <v>9000.0</v>
      </c>
      <c r="AB32" s="331"/>
      <c r="AC32" s="332"/>
      <c r="AD32" s="333"/>
      <c r="AE32" s="333"/>
      <c r="AF32" s="333"/>
      <c r="AG32" s="334">
        <v>99999.0</v>
      </c>
      <c r="AH32" s="29"/>
      <c r="AI32" s="29"/>
      <c r="AJ32" s="29"/>
      <c r="AK32" s="29"/>
      <c r="AL32" s="29"/>
    </row>
    <row r="33" ht="15.0" customHeight="1">
      <c r="A33" s="29">
        <v>9500.0</v>
      </c>
      <c r="B33" s="343">
        <v>2250.0</v>
      </c>
      <c r="C33" s="320">
        <v>2750.0</v>
      </c>
      <c r="D33" s="29">
        <v>3110.0</v>
      </c>
      <c r="E33" s="29">
        <v>3500.0</v>
      </c>
      <c r="F33" s="29">
        <v>3950.0</v>
      </c>
      <c r="G33" s="337">
        <v>99999.0</v>
      </c>
      <c r="H33" s="29"/>
      <c r="I33" s="29"/>
      <c r="J33" s="29"/>
      <c r="K33" s="29"/>
      <c r="L33" s="29"/>
      <c r="M33" s="29"/>
      <c r="N33" s="29">
        <v>11000.0</v>
      </c>
      <c r="O33" s="343"/>
      <c r="P33" s="320"/>
      <c r="Q33" s="29"/>
      <c r="R33" s="29"/>
      <c r="S33" s="337">
        <v>99999.0</v>
      </c>
      <c r="T33" s="29"/>
      <c r="U33" s="29"/>
      <c r="V33" s="29"/>
      <c r="W33" s="29"/>
      <c r="X33" s="29"/>
      <c r="AA33" s="29">
        <v>9500.0</v>
      </c>
      <c r="AB33" s="343"/>
      <c r="AC33" s="320"/>
      <c r="AD33" s="29"/>
      <c r="AE33" s="29"/>
      <c r="AF33" s="29"/>
      <c r="AG33" s="337">
        <v>99999.0</v>
      </c>
      <c r="AH33" s="29"/>
      <c r="AI33" s="29"/>
      <c r="AJ33" s="29"/>
      <c r="AK33" s="29"/>
      <c r="AL33" s="29"/>
    </row>
    <row r="34" ht="15.0" customHeight="1">
      <c r="A34" s="29">
        <v>10000.0</v>
      </c>
      <c r="B34" s="343">
        <v>2290.0</v>
      </c>
      <c r="C34" s="320">
        <v>2780.0</v>
      </c>
      <c r="D34" s="29">
        <v>3190.0</v>
      </c>
      <c r="E34" s="29">
        <v>3600.0</v>
      </c>
      <c r="F34" s="29">
        <v>4000.0</v>
      </c>
      <c r="G34" s="337">
        <v>99999.0</v>
      </c>
      <c r="H34" s="29"/>
      <c r="I34" s="29"/>
      <c r="J34" s="29"/>
      <c r="K34" s="29"/>
      <c r="L34" s="29"/>
      <c r="M34" s="29"/>
      <c r="N34" s="29">
        <v>12000.0</v>
      </c>
      <c r="O34" s="343"/>
      <c r="P34" s="320"/>
      <c r="Q34" s="29"/>
      <c r="R34" s="29"/>
      <c r="S34" s="337">
        <v>99999.0</v>
      </c>
      <c r="T34" s="29"/>
      <c r="U34" s="29"/>
      <c r="V34" s="29"/>
      <c r="W34" s="29"/>
      <c r="X34" s="29"/>
      <c r="AA34" s="29">
        <v>10000.0</v>
      </c>
      <c r="AB34" s="343"/>
      <c r="AC34" s="320"/>
      <c r="AD34" s="29"/>
      <c r="AE34" s="29"/>
      <c r="AF34" s="29"/>
      <c r="AG34" s="337">
        <v>99999.0</v>
      </c>
      <c r="AH34" s="29"/>
      <c r="AI34" s="29"/>
      <c r="AJ34" s="29"/>
      <c r="AK34" s="29"/>
      <c r="AL34" s="29"/>
    </row>
    <row r="35" ht="15.0" customHeight="1">
      <c r="A35" s="29">
        <v>10500.0</v>
      </c>
      <c r="B35" s="343">
        <v>2310.0</v>
      </c>
      <c r="C35" s="320">
        <v>2800.0</v>
      </c>
      <c r="D35" s="29">
        <v>3250.0</v>
      </c>
      <c r="E35" s="29">
        <v>3675.0</v>
      </c>
      <c r="F35" s="29">
        <v>4100.0</v>
      </c>
      <c r="G35" s="337">
        <v>99999.0</v>
      </c>
      <c r="H35" s="29"/>
      <c r="I35" s="29"/>
      <c r="J35" s="29"/>
      <c r="K35" s="29"/>
      <c r="L35" s="29"/>
      <c r="M35" s="29"/>
      <c r="N35" s="29">
        <v>13000.0</v>
      </c>
      <c r="O35" s="343"/>
      <c r="P35" s="320"/>
      <c r="Q35" s="29"/>
      <c r="R35" s="29"/>
      <c r="S35" s="337">
        <v>99999.0</v>
      </c>
      <c r="T35" s="29"/>
      <c r="U35" s="29"/>
      <c r="V35" s="29"/>
      <c r="W35" s="29"/>
      <c r="X35" s="29"/>
      <c r="AA35" s="29">
        <v>10500.0</v>
      </c>
      <c r="AB35" s="343"/>
      <c r="AC35" s="320"/>
      <c r="AD35" s="29"/>
      <c r="AE35" s="29"/>
      <c r="AF35" s="29"/>
      <c r="AG35" s="337">
        <v>99999.0</v>
      </c>
      <c r="AH35" s="29"/>
      <c r="AI35" s="29"/>
      <c r="AJ35" s="29"/>
      <c r="AK35" s="29"/>
      <c r="AL35" s="29"/>
    </row>
    <row r="36" ht="15.0" customHeight="1">
      <c r="A36" s="29">
        <v>11000.0</v>
      </c>
      <c r="B36" s="343">
        <v>2375.0</v>
      </c>
      <c r="C36" s="320">
        <v>2850.0</v>
      </c>
      <c r="D36" s="29">
        <v>3300.0</v>
      </c>
      <c r="E36" s="29">
        <v>3750.0</v>
      </c>
      <c r="F36" s="29">
        <v>4200.0</v>
      </c>
      <c r="G36" s="337">
        <v>99999.0</v>
      </c>
      <c r="H36" s="29"/>
      <c r="I36" s="29"/>
      <c r="J36" s="29"/>
      <c r="K36" s="29"/>
      <c r="L36" s="29"/>
      <c r="M36" s="29"/>
      <c r="N36" s="29">
        <v>14000.0</v>
      </c>
      <c r="O36" s="343"/>
      <c r="P36" s="320"/>
      <c r="Q36" s="29"/>
      <c r="R36" s="29"/>
      <c r="S36" s="337">
        <v>99999.0</v>
      </c>
      <c r="T36" s="29"/>
      <c r="U36" s="29"/>
      <c r="V36" s="29"/>
      <c r="W36" s="29"/>
      <c r="X36" s="29"/>
      <c r="AA36" s="29">
        <v>11000.0</v>
      </c>
      <c r="AB36" s="343"/>
      <c r="AC36" s="320"/>
      <c r="AD36" s="29"/>
      <c r="AE36" s="29"/>
      <c r="AF36" s="29"/>
      <c r="AG36" s="337">
        <v>99999.0</v>
      </c>
      <c r="AH36" s="29"/>
      <c r="AI36" s="29"/>
      <c r="AJ36" s="29"/>
      <c r="AK36" s="29"/>
      <c r="AL36" s="29"/>
    </row>
    <row r="37" ht="15.0" customHeight="1">
      <c r="A37" s="29">
        <v>11500.0</v>
      </c>
      <c r="B37" s="343">
        <v>2400.0</v>
      </c>
      <c r="C37" s="320">
        <v>2900.0</v>
      </c>
      <c r="D37" s="29">
        <v>3380.0</v>
      </c>
      <c r="E37" s="29">
        <v>3820.0</v>
      </c>
      <c r="F37" s="29">
        <v>4300.0</v>
      </c>
      <c r="G37" s="337">
        <v>99999.0</v>
      </c>
      <c r="H37" s="29"/>
      <c r="I37" s="29"/>
      <c r="J37" s="29"/>
      <c r="K37" s="29"/>
      <c r="L37" s="29"/>
      <c r="M37" s="29"/>
      <c r="N37" s="29">
        <v>15000.0</v>
      </c>
      <c r="O37" s="343"/>
      <c r="P37" s="320"/>
      <c r="Q37" s="29"/>
      <c r="R37" s="29"/>
      <c r="S37" s="337">
        <v>99999.0</v>
      </c>
      <c r="T37" s="29"/>
      <c r="U37" s="29"/>
      <c r="V37" s="29"/>
      <c r="W37" s="29"/>
      <c r="X37" s="29"/>
      <c r="AA37" s="29">
        <v>11500.0</v>
      </c>
      <c r="AB37" s="343"/>
      <c r="AC37" s="320"/>
      <c r="AD37" s="29"/>
      <c r="AE37" s="29"/>
      <c r="AF37" s="29"/>
      <c r="AG37" s="337">
        <v>99999.0</v>
      </c>
      <c r="AH37" s="29"/>
      <c r="AI37" s="29"/>
      <c r="AJ37" s="29"/>
      <c r="AK37" s="29"/>
      <c r="AL37" s="29"/>
    </row>
    <row r="38" ht="15.0" customHeight="1">
      <c r="A38" s="29">
        <v>12000.0</v>
      </c>
      <c r="B38" s="343">
        <v>2450.0</v>
      </c>
      <c r="C38" s="320">
        <v>2950.0</v>
      </c>
      <c r="D38" s="29">
        <v>3450.0</v>
      </c>
      <c r="E38" s="29">
        <v>3910.0</v>
      </c>
      <c r="F38" s="29">
        <v>4400.0</v>
      </c>
      <c r="G38" s="337">
        <v>99999.0</v>
      </c>
      <c r="H38" s="29"/>
      <c r="I38" s="29"/>
      <c r="J38" s="29"/>
      <c r="K38" s="29"/>
      <c r="L38" s="29"/>
      <c r="M38" s="29"/>
      <c r="N38" s="29">
        <v>16000.0</v>
      </c>
      <c r="O38" s="343"/>
      <c r="P38" s="320"/>
      <c r="Q38" s="29"/>
      <c r="R38" s="29"/>
      <c r="S38" s="337">
        <v>99999.0</v>
      </c>
      <c r="T38" s="29"/>
      <c r="U38" s="29"/>
      <c r="V38" s="29"/>
      <c r="W38" s="29"/>
      <c r="X38" s="29"/>
      <c r="AA38" s="29">
        <v>12000.0</v>
      </c>
      <c r="AB38" s="343"/>
      <c r="AC38" s="320"/>
      <c r="AD38" s="29"/>
      <c r="AE38" s="29"/>
      <c r="AF38" s="29"/>
      <c r="AG38" s="337">
        <v>99999.0</v>
      </c>
      <c r="AH38" s="29"/>
      <c r="AI38" s="29"/>
      <c r="AJ38" s="29"/>
      <c r="AK38" s="29"/>
      <c r="AL38" s="29"/>
    </row>
    <row r="39" ht="15.0" customHeight="1">
      <c r="A39" s="29">
        <v>12500.0</v>
      </c>
      <c r="B39" s="340">
        <v>2500.0</v>
      </c>
      <c r="C39" s="341">
        <v>3000.0</v>
      </c>
      <c r="D39" s="281">
        <v>3500.0</v>
      </c>
      <c r="E39" s="281">
        <v>4000.0</v>
      </c>
      <c r="F39" s="281">
        <v>4500.0</v>
      </c>
      <c r="G39" s="337">
        <v>99999.0</v>
      </c>
      <c r="H39" s="29"/>
      <c r="I39" s="29"/>
      <c r="J39" s="29"/>
      <c r="K39" s="29"/>
      <c r="L39" s="29"/>
      <c r="M39" s="29"/>
      <c r="N39" s="29">
        <v>16600.0</v>
      </c>
      <c r="O39" s="340"/>
      <c r="P39" s="341"/>
      <c r="Q39" s="281"/>
      <c r="R39" s="281"/>
      <c r="S39" s="337">
        <v>99999.0</v>
      </c>
      <c r="T39" s="29"/>
      <c r="U39" s="29"/>
      <c r="V39" s="29"/>
      <c r="W39" s="29"/>
      <c r="X39" s="29"/>
      <c r="AA39" s="29">
        <v>12500.0</v>
      </c>
      <c r="AB39" s="340"/>
      <c r="AC39" s="341"/>
      <c r="AD39" s="281"/>
      <c r="AE39" s="281"/>
      <c r="AF39" s="281"/>
      <c r="AG39" s="337">
        <v>99999.0</v>
      </c>
      <c r="AH39" s="29"/>
      <c r="AI39" s="29"/>
      <c r="AJ39" s="29"/>
      <c r="AK39" s="29"/>
      <c r="AL39" s="29"/>
    </row>
    <row r="40" ht="15.0" customHeight="1">
      <c r="A40" s="29">
        <v>12600.0</v>
      </c>
      <c r="B40" s="340">
        <v>99999.0</v>
      </c>
      <c r="C40" s="341">
        <v>99999.0</v>
      </c>
      <c r="D40" s="341">
        <v>99999.0</v>
      </c>
      <c r="E40" s="341">
        <v>99999.0</v>
      </c>
      <c r="F40" s="341">
        <v>99999.0</v>
      </c>
      <c r="G40" s="358">
        <v>99999.0</v>
      </c>
      <c r="H40" s="320"/>
      <c r="I40" s="320"/>
      <c r="J40" s="320"/>
      <c r="K40" s="320"/>
      <c r="L40" s="320"/>
      <c r="M40" s="143"/>
      <c r="N40" s="29">
        <v>16700.0</v>
      </c>
      <c r="O40" s="340">
        <v>99999.0</v>
      </c>
      <c r="P40" s="341">
        <v>99999.0</v>
      </c>
      <c r="Q40" s="341">
        <v>99999.0</v>
      </c>
      <c r="R40" s="341">
        <v>99999.0</v>
      </c>
      <c r="S40" s="358">
        <v>99999.0</v>
      </c>
      <c r="T40" s="320"/>
      <c r="U40" s="320"/>
      <c r="V40" s="320"/>
      <c r="W40" s="320"/>
      <c r="X40" s="320"/>
      <c r="AA40" s="29">
        <v>12600.0</v>
      </c>
      <c r="AB40" s="340">
        <v>99999.0</v>
      </c>
      <c r="AC40" s="341">
        <v>99999.0</v>
      </c>
      <c r="AD40" s="341">
        <v>99999.0</v>
      </c>
      <c r="AE40" s="341">
        <v>99999.0</v>
      </c>
      <c r="AF40" s="341">
        <v>99999.0</v>
      </c>
      <c r="AG40" s="358">
        <v>99999.0</v>
      </c>
      <c r="AH40" s="320"/>
      <c r="AI40" s="320"/>
      <c r="AJ40" s="320"/>
      <c r="AK40" s="320"/>
      <c r="AL40" s="320"/>
    </row>
    <row r="41" ht="15.0" customHeight="1">
      <c r="B41" s="178"/>
      <c r="C41" s="177"/>
      <c r="D41" s="29"/>
      <c r="E41" s="29"/>
      <c r="F41" s="29"/>
      <c r="G41" s="3"/>
      <c r="H41" s="3"/>
      <c r="I41" s="3"/>
      <c r="J41" s="178"/>
      <c r="K41" s="177"/>
      <c r="L41" s="29"/>
      <c r="M41" s="29"/>
      <c r="O41" s="178"/>
      <c r="P41" s="177"/>
      <c r="Q41" s="29"/>
      <c r="R41" s="29"/>
      <c r="S41" s="29"/>
      <c r="T41" s="3"/>
      <c r="U41" s="3"/>
      <c r="V41" s="3"/>
      <c r="W41" s="178"/>
      <c r="X41" s="177"/>
      <c r="Y41" s="29"/>
      <c r="AB41" s="178"/>
      <c r="AC41" s="177"/>
      <c r="AD41" s="29"/>
      <c r="AE41" s="29"/>
      <c r="AF41" s="29"/>
      <c r="AG41" s="3"/>
      <c r="AH41" s="3"/>
      <c r="AI41" s="3"/>
      <c r="AJ41" s="178"/>
      <c r="AK41" s="177"/>
      <c r="AL41" s="29"/>
    </row>
    <row r="42" ht="15.0" customHeight="1">
      <c r="B42" s="178" t="s">
        <v>134</v>
      </c>
      <c r="C42" s="177">
        <f>C28</f>
        <v>3040</v>
      </c>
      <c r="D42" s="167" t="s">
        <v>239</v>
      </c>
      <c r="G42" s="3"/>
      <c r="H42" s="3"/>
      <c r="I42" s="3"/>
      <c r="J42" s="178"/>
      <c r="K42" s="177"/>
      <c r="L42" s="141"/>
      <c r="O42" s="178" t="s">
        <v>134</v>
      </c>
      <c r="P42" s="177">
        <f>P28</f>
        <v>0</v>
      </c>
      <c r="Q42" s="167" t="s">
        <v>239</v>
      </c>
      <c r="T42" s="3"/>
      <c r="U42" s="3"/>
      <c r="V42" s="3"/>
      <c r="W42" s="178"/>
      <c r="X42" s="177"/>
      <c r="Y42" s="141"/>
      <c r="AB42" s="178" t="s">
        <v>134</v>
      </c>
      <c r="AC42" s="177">
        <f>AC28</f>
        <v>0</v>
      </c>
      <c r="AD42" s="167" t="s">
        <v>239</v>
      </c>
      <c r="AG42" s="3"/>
      <c r="AH42" s="3"/>
      <c r="AI42" s="3"/>
      <c r="AJ42" s="178"/>
      <c r="AK42" s="177"/>
      <c r="AL42" s="141"/>
    </row>
    <row r="43" ht="15.0" customHeight="1">
      <c r="B43" s="129" t="s">
        <v>240</v>
      </c>
      <c r="C43" s="182">
        <f t="array" ref="C43">INDEX(B31:G31,MATCH(C42,B31:G31,1))</f>
        <v>3000</v>
      </c>
      <c r="D43" s="129" t="s">
        <v>131</v>
      </c>
      <c r="E43" s="155">
        <f>MATCH(MAX(A32:A40),A32:A40,1)</f>
        <v>9</v>
      </c>
      <c r="G43" s="3"/>
      <c r="H43" s="3"/>
      <c r="I43" s="3"/>
      <c r="J43" s="129"/>
      <c r="K43" s="182"/>
      <c r="L43" s="129"/>
      <c r="M43" s="155"/>
      <c r="O43" s="129" t="s">
        <v>240</v>
      </c>
      <c r="P43" s="182" t="str">
        <f t="array" ref="P43">INDEX(O31:S31,MATCH(P42,O31:S31,1))</f>
        <v>#N/A</v>
      </c>
      <c r="Q43" s="129" t="s">
        <v>131</v>
      </c>
      <c r="R43" s="155">
        <f>MATCH(MAX(N32:N40),N32:N40,1)</f>
        <v>9</v>
      </c>
      <c r="T43" s="3"/>
      <c r="U43" s="3"/>
      <c r="V43" s="3"/>
      <c r="W43" s="129"/>
      <c r="X43" s="182"/>
      <c r="Y43" s="129"/>
      <c r="AB43" s="129" t="s">
        <v>240</v>
      </c>
      <c r="AC43" s="182" t="str">
        <f t="array" ref="AC43">INDEX(AB31:AG31,MATCH(AC42,AB31:AG31,1))</f>
        <v>#N/A</v>
      </c>
      <c r="AD43" s="129" t="s">
        <v>131</v>
      </c>
      <c r="AE43" s="155">
        <f>MATCH(MAX(AA32:AA40),AA32:AA40,1)</f>
        <v>9</v>
      </c>
      <c r="AG43" s="3"/>
      <c r="AH43" s="3"/>
      <c r="AI43" s="3"/>
      <c r="AJ43" s="129"/>
      <c r="AK43" s="182"/>
      <c r="AL43" s="129"/>
    </row>
    <row r="44" ht="15.0" customHeight="1">
      <c r="B44" s="129" t="s">
        <v>241</v>
      </c>
      <c r="C44" s="182">
        <f t="array" ref="C44">INDEX(B31:G31,IF(MATCH(C42,B31:G31,1)&lt;E44,MATCH(C42,B31:G31,1)+1,MATCH(C42,B31:G31,1)))</f>
        <v>3500</v>
      </c>
      <c r="D44" s="129" t="s">
        <v>132</v>
      </c>
      <c r="E44" s="155">
        <f>MATCH(MAX(B31:G31),B31:G31,0)</f>
        <v>6</v>
      </c>
      <c r="G44" s="3"/>
      <c r="H44" s="3"/>
      <c r="I44" s="3"/>
      <c r="J44" s="129"/>
      <c r="K44" s="182"/>
      <c r="L44" s="129"/>
      <c r="M44" s="155"/>
      <c r="O44" s="129" t="s">
        <v>241</v>
      </c>
      <c r="P44" s="182" t="str">
        <f t="array" ref="P44">INDEX(O31:S31,IF(MATCH(P42,O31:S31,1)&lt;R44,MATCH(P42,O31:S31,1)+1,MATCH(P42,O31:S31,1)))</f>
        <v>#N/A</v>
      </c>
      <c r="Q44" s="129" t="s">
        <v>132</v>
      </c>
      <c r="R44" s="155">
        <f>MATCH(MAX(O31:S31),O31:S31,0)</f>
        <v>5</v>
      </c>
      <c r="T44" s="3"/>
      <c r="U44" s="3"/>
      <c r="V44" s="3"/>
      <c r="W44" s="129"/>
      <c r="X44" s="182"/>
      <c r="Y44" s="129"/>
      <c r="AB44" s="129" t="s">
        <v>241</v>
      </c>
      <c r="AC44" s="182" t="str">
        <f t="array" ref="AC44">INDEX(AB31:AG31,IF(MATCH(AC42,AB31:AG31,1)&lt;AE44,MATCH(AC42,AB31:AG31,1)+1,MATCH(AC42,AB31:AG31,1)))</f>
        <v>#N/A</v>
      </c>
      <c r="AD44" s="129" t="s">
        <v>132</v>
      </c>
      <c r="AE44" s="155">
        <f>MATCH(MAX(AB31:AG31),AB31:AG31,0)</f>
        <v>6</v>
      </c>
      <c r="AG44" s="3"/>
      <c r="AH44" s="3"/>
      <c r="AI44" s="3"/>
      <c r="AJ44" s="129"/>
      <c r="AK44" s="182"/>
      <c r="AL44" s="129"/>
    </row>
    <row r="45" ht="15.0" customHeight="1">
      <c r="B45" s="176" t="s">
        <v>136</v>
      </c>
      <c r="C45" s="274">
        <f>'Take-off'!$C$14</f>
        <v>12500</v>
      </c>
      <c r="D45" s="3"/>
      <c r="E45" s="3"/>
      <c r="G45" s="3"/>
      <c r="H45" s="3"/>
      <c r="I45" s="3"/>
      <c r="J45" s="178"/>
      <c r="K45" s="274"/>
      <c r="L45" s="3"/>
      <c r="M45" s="3"/>
      <c r="O45" s="176" t="s">
        <v>136</v>
      </c>
      <c r="P45" s="274">
        <f>'Take-off'!$C$14</f>
        <v>12500</v>
      </c>
      <c r="Q45" s="3"/>
      <c r="R45" s="3"/>
      <c r="T45" s="3"/>
      <c r="U45" s="3"/>
      <c r="V45" s="3"/>
      <c r="W45" s="178"/>
      <c r="X45" s="274"/>
      <c r="Y45" s="3"/>
      <c r="AB45" s="176" t="s">
        <v>136</v>
      </c>
      <c r="AC45" s="274">
        <f>'Take-off'!$C$14</f>
        <v>12500</v>
      </c>
      <c r="AD45" s="3"/>
      <c r="AE45" s="3"/>
      <c r="AG45" s="3"/>
      <c r="AH45" s="3"/>
      <c r="AI45" s="3"/>
      <c r="AJ45" s="178"/>
      <c r="AK45" s="274"/>
      <c r="AL45" s="3"/>
    </row>
    <row r="46" ht="15.0" customHeight="1">
      <c r="B46" s="129" t="s">
        <v>139</v>
      </c>
      <c r="C46" s="182">
        <f t="array" ref="C46">INDEX(A32:A40,MATCH(C45,A32:A40,1))</f>
        <v>12500</v>
      </c>
      <c r="D46" s="3"/>
      <c r="E46" s="161"/>
      <c r="G46" s="3"/>
      <c r="H46" s="3"/>
      <c r="I46" s="3"/>
      <c r="J46" s="129"/>
      <c r="K46" s="182"/>
      <c r="L46" s="3"/>
      <c r="M46" s="161"/>
      <c r="O46" s="129" t="s">
        <v>139</v>
      </c>
      <c r="P46" s="182">
        <f t="array" ref="P46">INDEX(N32:N40,MATCH(P45,N32:N40,1))</f>
        <v>12000</v>
      </c>
      <c r="Q46" s="3"/>
      <c r="R46" s="161"/>
      <c r="T46" s="3"/>
      <c r="U46" s="3"/>
      <c r="V46" s="3"/>
      <c r="W46" s="129"/>
      <c r="X46" s="182"/>
      <c r="Y46" s="3"/>
      <c r="AB46" s="129" t="s">
        <v>139</v>
      </c>
      <c r="AC46" s="182">
        <f t="array" ref="AC46">INDEX(AA32:AA40,MATCH(AC45,AA32:AA40,1))</f>
        <v>12500</v>
      </c>
      <c r="AD46" s="3"/>
      <c r="AE46" s="161"/>
      <c r="AG46" s="3"/>
      <c r="AH46" s="3"/>
      <c r="AI46" s="3"/>
      <c r="AJ46" s="129"/>
      <c r="AK46" s="182"/>
      <c r="AL46" s="3"/>
    </row>
    <row r="47" ht="15.0" customHeight="1">
      <c r="B47" s="129" t="s">
        <v>145</v>
      </c>
      <c r="C47" s="182">
        <f t="array" ref="C47">INDEX(A32:A40,IF(MATCH(C45,A32:A40,1)&lt;E43,MATCH(C45,A32:A40,1)+1,MATCH(C45,A32:A40,1)))</f>
        <v>12600</v>
      </c>
      <c r="D47" s="3"/>
      <c r="E47" s="161"/>
      <c r="G47" s="3"/>
      <c r="H47" s="3"/>
      <c r="I47" s="3"/>
      <c r="J47" s="129"/>
      <c r="K47" s="182"/>
      <c r="L47" s="3"/>
      <c r="M47" s="161"/>
      <c r="O47" s="129" t="s">
        <v>145</v>
      </c>
      <c r="P47" s="182">
        <f t="array" ref="P47">INDEX(N32:N40,IF(MATCH(P45,N32:N40,1)&lt;R43,MATCH(P45,N32:N40,1)+1,MATCH(P45,N32:N40,1)))</f>
        <v>13000</v>
      </c>
      <c r="Q47" s="3"/>
      <c r="R47" s="161"/>
      <c r="T47" s="3"/>
      <c r="U47" s="3"/>
      <c r="V47" s="3"/>
      <c r="W47" s="129"/>
      <c r="X47" s="182"/>
      <c r="Y47" s="3"/>
      <c r="AB47" s="129" t="s">
        <v>145</v>
      </c>
      <c r="AC47" s="182">
        <f t="array" ref="AC47">INDEX(AA32:AA40,IF(MATCH(AC45,AA32:AA40,1)&lt;AE43,MATCH(AC45,AA32:AA40,1)+1,MATCH(AC45,AA32:AA40,1)))</f>
        <v>12600</v>
      </c>
      <c r="AD47" s="3"/>
      <c r="AE47" s="161"/>
      <c r="AG47" s="3"/>
      <c r="AH47" s="3"/>
      <c r="AI47" s="3"/>
      <c r="AJ47" s="129"/>
      <c r="AK47" s="182"/>
      <c r="AL47" s="3"/>
    </row>
    <row r="48" ht="15.0" customHeight="1">
      <c r="B48" s="178" t="s">
        <v>165</v>
      </c>
      <c r="C48" s="177">
        <f t="array" ref="C48">INDEX(B32:G40,MATCH(C45,A32:A40,1),MATCH(C42,B31:G31,1))</f>
        <v>3000</v>
      </c>
      <c r="D48" s="3"/>
      <c r="E48" s="161"/>
      <c r="G48" s="3"/>
      <c r="H48" s="3"/>
      <c r="I48" s="3"/>
      <c r="J48" s="178"/>
      <c r="K48" s="177"/>
      <c r="L48" s="3"/>
      <c r="M48" s="161"/>
      <c r="O48" s="178" t="s">
        <v>165</v>
      </c>
      <c r="P48" s="177" t="str">
        <f t="array" ref="P48">INDEX(O32:S40,MATCH(P45,N32:N40,1),MATCH(P42,O31:S31,1))</f>
        <v>#N/A</v>
      </c>
      <c r="Q48" s="3"/>
      <c r="R48" s="161"/>
      <c r="T48" s="3"/>
      <c r="U48" s="3"/>
      <c r="V48" s="3"/>
      <c r="W48" s="178"/>
      <c r="X48" s="177"/>
      <c r="Y48" s="3"/>
      <c r="AB48" s="178" t="s">
        <v>165</v>
      </c>
      <c r="AC48" s="177" t="str">
        <f t="array" ref="AC48">INDEX(AB32:AG40,MATCH(AC45,AA32:AA40,1),MATCH(AC42,AB31:AG31,1))</f>
        <v>#N/A</v>
      </c>
      <c r="AD48" s="3"/>
      <c r="AE48" s="161"/>
      <c r="AG48" s="3"/>
      <c r="AH48" s="3"/>
      <c r="AI48" s="3"/>
      <c r="AJ48" s="178"/>
      <c r="AK48" s="177"/>
      <c r="AL48" s="3"/>
    </row>
    <row r="49" ht="15.0" customHeight="1">
      <c r="B49" s="178" t="s">
        <v>249</v>
      </c>
      <c r="C49" s="177">
        <f t="array" ref="C49">INDEX(B32:G40,MATCH(C45,A32:A40,1),IF(MATCH(C42,B31:G31,1)&lt;E44,MATCH(C42,B31:G31,1)+1,MATCH(C45,A32:A40,1)))</f>
        <v>3500</v>
      </c>
      <c r="E49" s="161"/>
      <c r="G49" s="3"/>
      <c r="H49" s="3"/>
      <c r="I49" s="3"/>
      <c r="J49" s="178"/>
      <c r="K49" s="177"/>
      <c r="M49" s="161"/>
      <c r="O49" s="178" t="s">
        <v>249</v>
      </c>
      <c r="P49" s="177" t="str">
        <f t="array" ref="P49">INDEX(O32:S40,MATCH(P45,N32:N40,1),IF(MATCH(P42,O31:S31,1)&lt;R44,MATCH(P42,O31:S31,1)+1,MATCH(P45,N32:N40,1)))</f>
        <v>#N/A</v>
      </c>
      <c r="R49" s="161"/>
      <c r="T49" s="3"/>
      <c r="U49" s="3"/>
      <c r="V49" s="3"/>
      <c r="W49" s="178"/>
      <c r="X49" s="177"/>
      <c r="AB49" s="178" t="s">
        <v>249</v>
      </c>
      <c r="AC49" s="177" t="str">
        <f t="array" ref="AC49">INDEX(AB32:AG40,MATCH(AC45,AA32:AA40,1),IF(MATCH(AC42,AB31:AG31,1)&lt;AE44,MATCH(AC42,AB31:AG31,1)+1,MATCH(AC45,AA32:AA40,1)))</f>
        <v>#N/A</v>
      </c>
      <c r="AE49" s="161"/>
      <c r="AG49" s="3"/>
      <c r="AH49" s="3"/>
      <c r="AI49" s="3"/>
      <c r="AJ49" s="178"/>
      <c r="AK49" s="177"/>
    </row>
    <row r="50" ht="15.0" customHeight="1">
      <c r="B50" s="178" t="s">
        <v>177</v>
      </c>
      <c r="C50" s="177">
        <f t="array" ref="C50">INDEX(B32:G40,IF(MATCH(C45,A32:A40,1)&lt;E43,MATCH(C45,A32:A40,1)+1,MATCH(C45,A32:A40,1)),MATCH(C42,B31:G31,1))</f>
        <v>99999</v>
      </c>
      <c r="E50" s="161"/>
      <c r="G50" s="3"/>
      <c r="H50" s="3"/>
      <c r="I50" s="3"/>
      <c r="J50" s="178"/>
      <c r="K50" s="177"/>
      <c r="M50" s="161"/>
      <c r="O50" s="178" t="s">
        <v>177</v>
      </c>
      <c r="P50" s="177" t="str">
        <f t="array" ref="P50">INDEX(O32:S40,IF(MATCH(P45,N32:N40,1)&lt;R43,MATCH(P45,N32:N40,1)+1,MATCH(P45,N32:N40,1)),MATCH(P42,O31:S31,1))</f>
        <v>#N/A</v>
      </c>
      <c r="R50" s="161"/>
      <c r="T50" s="3"/>
      <c r="U50" s="3"/>
      <c r="V50" s="3"/>
      <c r="W50" s="178"/>
      <c r="X50" s="177"/>
      <c r="AB50" s="178" t="s">
        <v>177</v>
      </c>
      <c r="AC50" s="177" t="str">
        <f t="array" ref="AC50">INDEX(AB32:AG40,IF(MATCH(AC45,AA32:AA40,1)&lt;AE43,MATCH(AC45,AA32:AA40,1)+1,MATCH(AC45,AA32:AA40,1)),MATCH(AC42,AB31:AG31,1))</f>
        <v>#N/A</v>
      </c>
      <c r="AE50" s="161"/>
      <c r="AG50" s="3"/>
      <c r="AH50" s="3"/>
      <c r="AI50" s="3"/>
      <c r="AJ50" s="178"/>
      <c r="AK50" s="177"/>
    </row>
    <row r="51" ht="15.0" customHeight="1">
      <c r="B51" s="178" t="s">
        <v>250</v>
      </c>
      <c r="C51" s="177">
        <f t="array" ref="C51">INDEX(B32:G40,IF(MATCH(C45,A32:A40,1)&lt;E43,MATCH(C45,A32:A40,1)+1,MATCH(C45,A32:A40,1)),IF(MATCH(C42,B31:G31,1)&lt;E44,MATCH(C42,B31:G31,1)+1,MATCH(C42,B31:G31,1)))</f>
        <v>99999</v>
      </c>
      <c r="G51" s="3"/>
      <c r="H51" s="3"/>
      <c r="I51" s="3"/>
      <c r="J51" s="178"/>
      <c r="K51" s="177"/>
      <c r="O51" s="178" t="s">
        <v>250</v>
      </c>
      <c r="P51" s="177" t="str">
        <f t="array" ref="P51">INDEX(O32:S40,IF(MATCH(P45,N32:N40,1)&lt;R43,MATCH(P45,N32:N40,1)+1,MATCH(P45,N32:N40,1)),IF(MATCH(P42,O31:S31,1)&lt;R44,MATCH(P42,O31:S31,1)+1,MATCH(P42,O31:S31,1)))</f>
        <v>#N/A</v>
      </c>
      <c r="T51" s="3"/>
      <c r="U51" s="3"/>
      <c r="V51" s="3"/>
      <c r="W51" s="178"/>
      <c r="X51" s="177"/>
      <c r="AB51" s="178" t="s">
        <v>250</v>
      </c>
      <c r="AC51" s="177" t="str">
        <f t="array" ref="AC51">INDEX(AB32:AG40,IF(MATCH(AC45,AA32:AA40,1)&lt;AE43,MATCH(AC45,AA32:AA40,1)+1,MATCH(AC45,AA32:AA40,1)),IF(MATCH(AC42,AB31:AG31,1)&lt;AE44,MATCH(AC42,AB31:AG31,1)+1,MATCH(AC42,AB31:AG31,1)))</f>
        <v>#N/A</v>
      </c>
      <c r="AG51" s="3"/>
      <c r="AH51" s="3"/>
      <c r="AI51" s="3"/>
      <c r="AJ51" s="178"/>
      <c r="AK51" s="177"/>
    </row>
    <row r="52" ht="15.0" customHeight="1">
      <c r="B52" s="129" t="s">
        <v>252</v>
      </c>
      <c r="C52" s="182">
        <f>IFERROR(C48+(C42-C43)*(C49-C48)/(C44-C43),C48)</f>
        <v>3040</v>
      </c>
      <c r="G52" s="3"/>
      <c r="H52" s="3"/>
      <c r="I52" s="3"/>
      <c r="J52" s="129"/>
      <c r="K52" s="182"/>
      <c r="O52" s="129" t="s">
        <v>252</v>
      </c>
      <c r="P52" s="182" t="str">
        <f>IFERROR(P48+(P42-P43)*(P49-P48)/(P44-P43),P48)</f>
        <v>#N/A</v>
      </c>
      <c r="T52" s="3"/>
      <c r="U52" s="3"/>
      <c r="V52" s="3"/>
      <c r="W52" s="129"/>
      <c r="X52" s="182"/>
      <c r="AB52" s="129" t="s">
        <v>252</v>
      </c>
      <c r="AC52" s="182" t="str">
        <f>IFERROR(AC48+(AC42-AC43)*(AC49-AC48)/(AC44-AC43),AC48)</f>
        <v>#N/A</v>
      </c>
      <c r="AG52" s="3"/>
      <c r="AH52" s="3"/>
      <c r="AI52" s="3"/>
      <c r="AJ52" s="129"/>
      <c r="AK52" s="182"/>
    </row>
    <row r="53" ht="15.0" customHeight="1">
      <c r="B53" s="129" t="s">
        <v>253</v>
      </c>
      <c r="C53" s="182">
        <f>IFERROR(C50+(C42-C43)*(C51-C50)/(C44-C43),C50)</f>
        <v>99999</v>
      </c>
      <c r="G53" s="3"/>
      <c r="H53" s="3"/>
      <c r="I53" s="3"/>
      <c r="J53" s="129"/>
      <c r="K53" s="182"/>
      <c r="O53" s="129" t="s">
        <v>253</v>
      </c>
      <c r="P53" s="182" t="str">
        <f>IFERROR(P50+(P42-P43)*(P51-P50)/(P44-P43),P50)</f>
        <v>#N/A</v>
      </c>
      <c r="T53" s="3"/>
      <c r="U53" s="3"/>
      <c r="V53" s="3"/>
      <c r="W53" s="129"/>
      <c r="X53" s="182"/>
      <c r="AB53" s="129" t="s">
        <v>253</v>
      </c>
      <c r="AC53" s="182" t="str">
        <f>IFERROR(AC50+(AC42-AC43)*(AC51-AC50)/(AC44-AC43),AC50)</f>
        <v>#N/A</v>
      </c>
      <c r="AG53" s="3"/>
      <c r="AH53" s="3"/>
      <c r="AI53" s="3"/>
      <c r="AJ53" s="129"/>
      <c r="AK53" s="182"/>
    </row>
    <row r="54" ht="15.0" customHeight="1">
      <c r="B54" s="178" t="s">
        <v>254</v>
      </c>
      <c r="C54" s="177">
        <f>IFERROR(C52+(C45-C46)*(C53-C52)/(C47-C46),C52)</f>
        <v>3040</v>
      </c>
      <c r="G54" s="3"/>
      <c r="H54" s="3"/>
      <c r="I54" s="3"/>
      <c r="J54" s="178"/>
      <c r="K54" s="177"/>
      <c r="O54" s="178" t="s">
        <v>254</v>
      </c>
      <c r="P54" s="177" t="str">
        <f>IFERROR(P52+(P45-P46)*(P53-P52)/(P47-P46),P52)</f>
        <v>#N/A</v>
      </c>
      <c r="T54" s="3"/>
      <c r="U54" s="3"/>
      <c r="V54" s="3"/>
      <c r="W54" s="178"/>
      <c r="X54" s="177"/>
      <c r="AB54" s="178" t="s">
        <v>254</v>
      </c>
      <c r="AC54" s="177" t="str">
        <f>IFERROR(AC52+(AC45-AC46)*(AC53-AC52)/(AC47-AC46),AC52)</f>
        <v>#N/A</v>
      </c>
      <c r="AG54" s="3"/>
      <c r="AH54" s="3"/>
      <c r="AI54" s="3"/>
      <c r="AJ54" s="178"/>
      <c r="AK54" s="177"/>
    </row>
    <row r="55" ht="15.0" customHeight="1">
      <c r="J55" s="29"/>
      <c r="K55" s="29"/>
      <c r="L55" s="29"/>
      <c r="M55" s="29"/>
      <c r="W55" s="29"/>
      <c r="X55" s="29"/>
      <c r="Y55" s="29"/>
      <c r="AJ55" s="29"/>
      <c r="AK55" s="29"/>
      <c r="AL55" s="29"/>
    </row>
    <row r="56" ht="15.0" customHeight="1">
      <c r="A56" s="29"/>
      <c r="B56" s="167" t="s">
        <v>257</v>
      </c>
      <c r="J56" s="141"/>
      <c r="K56" s="141"/>
      <c r="L56" s="141"/>
      <c r="M56" s="141"/>
      <c r="N56" s="29"/>
      <c r="O56" s="167" t="s">
        <v>257</v>
      </c>
      <c r="W56" s="141"/>
      <c r="X56" s="141"/>
      <c r="Y56" s="141"/>
      <c r="AA56" s="29"/>
      <c r="AB56" s="167" t="s">
        <v>257</v>
      </c>
      <c r="AJ56" s="141"/>
      <c r="AK56" s="141"/>
      <c r="AL56" s="141"/>
    </row>
    <row r="57" ht="15.0" customHeight="1">
      <c r="A57" s="29" t="s">
        <v>152</v>
      </c>
      <c r="B57" s="345">
        <v>2000.0</v>
      </c>
      <c r="C57" s="345">
        <v>2500.0</v>
      </c>
      <c r="D57" s="345">
        <v>3000.0</v>
      </c>
      <c r="E57" s="345">
        <v>3500.0</v>
      </c>
      <c r="F57" s="332">
        <v>4000.0</v>
      </c>
      <c r="G57" s="332">
        <v>4500.0</v>
      </c>
      <c r="H57" s="334">
        <v>5000.0</v>
      </c>
      <c r="I57" s="29"/>
      <c r="J57" s="29"/>
      <c r="K57" s="29"/>
      <c r="L57" s="29"/>
      <c r="M57" s="29"/>
      <c r="N57" s="29" t="s">
        <v>152</v>
      </c>
      <c r="O57" s="331">
        <v>2400.0</v>
      </c>
      <c r="P57" s="345">
        <v>2800.0</v>
      </c>
      <c r="Q57" s="345">
        <v>3500.0</v>
      </c>
      <c r="R57" s="345">
        <v>4350.0</v>
      </c>
      <c r="S57" s="345">
        <v>5100.0</v>
      </c>
      <c r="T57" s="345">
        <v>5900.0</v>
      </c>
      <c r="U57" s="334">
        <v>6000.0</v>
      </c>
      <c r="W57" s="29"/>
      <c r="X57" s="29"/>
      <c r="Y57" s="29"/>
      <c r="AA57" s="29" t="s">
        <v>152</v>
      </c>
      <c r="AB57" s="331">
        <v>2600.0</v>
      </c>
      <c r="AC57" s="345">
        <v>3100.0</v>
      </c>
      <c r="AD57" s="345">
        <v>3550.0</v>
      </c>
      <c r="AE57" s="345">
        <v>4000.0</v>
      </c>
      <c r="AF57" s="345">
        <v>4450.0</v>
      </c>
      <c r="AG57" s="345">
        <v>4900.0</v>
      </c>
      <c r="AH57" s="347">
        <v>5500.0</v>
      </c>
      <c r="AI57" s="143"/>
      <c r="AJ57" s="29"/>
      <c r="AL57" s="29"/>
      <c r="AM57" s="29"/>
      <c r="AN57" s="29"/>
    </row>
    <row r="58" ht="15.0" customHeight="1">
      <c r="A58" s="29">
        <v>-10.0</v>
      </c>
      <c r="B58" s="331">
        <v>2200.0</v>
      </c>
      <c r="C58" s="345">
        <v>2750.0</v>
      </c>
      <c r="D58" s="345">
        <v>3350.0</v>
      </c>
      <c r="E58" s="345">
        <v>3950.0</v>
      </c>
      <c r="F58" s="345">
        <v>4500.0</v>
      </c>
      <c r="G58" s="345">
        <v>5100.0</v>
      </c>
      <c r="H58" s="347">
        <v>99999.0</v>
      </c>
      <c r="I58" s="29"/>
      <c r="J58" s="29"/>
      <c r="K58" s="29"/>
      <c r="N58" s="29">
        <v>-10.0</v>
      </c>
      <c r="O58" s="331"/>
      <c r="P58" s="345"/>
      <c r="Q58" s="345"/>
      <c r="R58" s="345"/>
      <c r="S58" s="345"/>
      <c r="T58" s="345"/>
      <c r="U58" s="347">
        <v>99999.0</v>
      </c>
      <c r="W58" s="29"/>
      <c r="AA58" s="29">
        <v>-10.0</v>
      </c>
      <c r="AB58" s="331"/>
      <c r="AC58" s="345"/>
      <c r="AD58" s="345"/>
      <c r="AE58" s="345"/>
      <c r="AF58" s="345"/>
      <c r="AG58" s="345"/>
      <c r="AH58" s="347">
        <v>99999.0</v>
      </c>
      <c r="AI58" s="141"/>
      <c r="AJ58" s="29"/>
      <c r="AL58" s="29"/>
    </row>
    <row r="59" ht="15.0" customHeight="1">
      <c r="A59" s="29">
        <v>0.0</v>
      </c>
      <c r="B59" s="343">
        <v>2000.0</v>
      </c>
      <c r="C59" s="141">
        <v>2500.0</v>
      </c>
      <c r="D59" s="141">
        <v>3000.0</v>
      </c>
      <c r="E59" s="141">
        <v>3500.0</v>
      </c>
      <c r="F59" s="141">
        <v>4000.0</v>
      </c>
      <c r="G59" s="141">
        <v>4500.0</v>
      </c>
      <c r="H59" s="347">
        <v>99999.0</v>
      </c>
      <c r="I59" s="29"/>
      <c r="J59" s="29"/>
      <c r="K59" s="29"/>
      <c r="N59" s="29">
        <v>0.0</v>
      </c>
      <c r="O59" s="343"/>
      <c r="P59" s="141"/>
      <c r="Q59" s="141"/>
      <c r="R59" s="141"/>
      <c r="S59" s="141"/>
      <c r="T59" s="141"/>
      <c r="U59" s="347">
        <v>99999.0</v>
      </c>
      <c r="W59" s="29"/>
      <c r="AA59" s="29">
        <v>0.0</v>
      </c>
      <c r="AB59" s="343"/>
      <c r="AC59" s="141"/>
      <c r="AD59" s="141"/>
      <c r="AE59" s="141"/>
      <c r="AF59" s="141"/>
      <c r="AG59" s="141"/>
      <c r="AH59" s="365">
        <v>99999.0</v>
      </c>
      <c r="AI59" s="141"/>
      <c r="AJ59" s="29"/>
      <c r="AL59" s="29"/>
    </row>
    <row r="60" ht="15.0" customHeight="1">
      <c r="A60" s="29">
        <v>30.0</v>
      </c>
      <c r="B60" s="340">
        <v>1800.0</v>
      </c>
      <c r="C60" s="348">
        <v>2200.0</v>
      </c>
      <c r="D60" s="348">
        <v>2700.0</v>
      </c>
      <c r="E60" s="348">
        <v>3100.0</v>
      </c>
      <c r="F60" s="348">
        <v>3600.0</v>
      </c>
      <c r="G60" s="348">
        <v>4050.0</v>
      </c>
      <c r="H60" s="366">
        <v>99999.0</v>
      </c>
      <c r="I60" s="29"/>
      <c r="J60" s="29"/>
      <c r="K60" s="29"/>
      <c r="N60" s="29">
        <v>30.0</v>
      </c>
      <c r="O60" s="340"/>
      <c r="P60" s="348"/>
      <c r="Q60" s="348"/>
      <c r="R60" s="348"/>
      <c r="S60" s="348"/>
      <c r="T60" s="348"/>
      <c r="U60" s="366">
        <v>99999.0</v>
      </c>
      <c r="W60" s="29"/>
      <c r="AA60" s="29">
        <v>30.0</v>
      </c>
      <c r="AB60" s="340"/>
      <c r="AC60" s="348"/>
      <c r="AD60" s="348"/>
      <c r="AE60" s="348"/>
      <c r="AF60" s="348"/>
      <c r="AG60" s="348"/>
      <c r="AH60" s="362">
        <v>99999.0</v>
      </c>
      <c r="AI60" s="141"/>
      <c r="AJ60" s="29"/>
      <c r="AL60" s="29"/>
    </row>
    <row r="61" ht="15.0" customHeight="1">
      <c r="B61" s="178"/>
      <c r="C61" s="177"/>
      <c r="D61" s="29"/>
      <c r="E61" s="29"/>
      <c r="F61" s="29"/>
      <c r="G61" s="3"/>
      <c r="H61" s="3"/>
      <c r="I61" s="3"/>
      <c r="J61" s="178"/>
      <c r="K61" s="177"/>
      <c r="O61" s="178"/>
      <c r="P61" s="177"/>
      <c r="Q61" s="29"/>
      <c r="R61" s="29"/>
      <c r="S61" s="29"/>
      <c r="T61" s="3"/>
      <c r="U61" s="3"/>
      <c r="V61" s="3"/>
      <c r="W61" s="178"/>
      <c r="X61" s="177"/>
      <c r="AB61" s="178"/>
      <c r="AC61" s="177"/>
      <c r="AD61" s="29"/>
      <c r="AE61" s="29"/>
      <c r="AF61" s="29"/>
      <c r="AG61" s="3"/>
      <c r="AH61" s="3"/>
      <c r="AI61" s="3"/>
      <c r="AJ61" s="178"/>
      <c r="AK61" s="177"/>
    </row>
    <row r="62" ht="15.0" customHeight="1">
      <c r="B62" s="178" t="s">
        <v>134</v>
      </c>
      <c r="C62" s="177">
        <f>C54</f>
        <v>3040</v>
      </c>
      <c r="D62" s="167" t="s">
        <v>239</v>
      </c>
      <c r="G62" s="3"/>
      <c r="H62" s="3"/>
      <c r="I62" s="3"/>
      <c r="J62" s="178"/>
      <c r="K62" s="177"/>
      <c r="L62" s="141"/>
      <c r="O62" s="178" t="s">
        <v>134</v>
      </c>
      <c r="P62" s="177" t="str">
        <f>P54</f>
        <v>#N/A</v>
      </c>
      <c r="Q62" s="167" t="s">
        <v>239</v>
      </c>
      <c r="T62" s="3"/>
      <c r="U62" s="3"/>
      <c r="V62" s="3"/>
      <c r="W62" s="178"/>
      <c r="X62" s="177"/>
      <c r="Y62" s="141"/>
      <c r="AB62" s="178" t="s">
        <v>134</v>
      </c>
      <c r="AC62" s="177" t="str">
        <f>AC54</f>
        <v>#N/A</v>
      </c>
      <c r="AD62" s="167" t="s">
        <v>239</v>
      </c>
      <c r="AG62" s="3"/>
      <c r="AH62" s="3"/>
      <c r="AI62" s="3"/>
      <c r="AJ62" s="178"/>
      <c r="AK62" s="177"/>
      <c r="AL62" s="141"/>
    </row>
    <row r="63" ht="15.0" customHeight="1">
      <c r="B63" s="129" t="s">
        <v>240</v>
      </c>
      <c r="C63" s="182">
        <f t="array" ref="C63">INDEX(B57:H57,MATCH(C62,B57:H57,1))</f>
        <v>3000</v>
      </c>
      <c r="D63" s="129" t="s">
        <v>131</v>
      </c>
      <c r="E63" s="155">
        <f>MATCH(MAX(A58:A60),A58:A60,1)</f>
        <v>3</v>
      </c>
      <c r="G63" s="3"/>
      <c r="H63" s="3"/>
      <c r="I63" s="3"/>
      <c r="J63" s="129"/>
      <c r="K63" s="182"/>
      <c r="L63" s="129"/>
      <c r="M63" s="155"/>
      <c r="O63" s="129" t="s">
        <v>240</v>
      </c>
      <c r="P63" s="182" t="str">
        <f t="array" ref="P63">INDEX(O57:U57,MATCH(P62,O57:U57,1))</f>
        <v>#N/A</v>
      </c>
      <c r="Q63" s="129" t="s">
        <v>131</v>
      </c>
      <c r="R63" s="155">
        <f>MATCH(MAX(N58:N60),N58:N60,1)</f>
        <v>3</v>
      </c>
      <c r="T63" s="3"/>
      <c r="U63" s="3"/>
      <c r="V63" s="3"/>
      <c r="W63" s="129"/>
      <c r="X63" s="182"/>
      <c r="Y63" s="129"/>
      <c r="AB63" s="129" t="s">
        <v>240</v>
      </c>
      <c r="AC63" s="182" t="str">
        <f t="array" ref="AC63">INDEX(AB57:AH57,MATCH(AC62,AB57:AH57,1))</f>
        <v>#N/A</v>
      </c>
      <c r="AD63" s="129" t="s">
        <v>131</v>
      </c>
      <c r="AE63" s="155">
        <f>MATCH(MAX(AA58:AA60),AA58:AA60,1)</f>
        <v>3</v>
      </c>
      <c r="AG63" s="3"/>
      <c r="AH63" s="3"/>
      <c r="AI63" s="3"/>
      <c r="AJ63" s="129"/>
      <c r="AK63" s="182"/>
      <c r="AL63" s="129"/>
    </row>
    <row r="64" ht="15.0" customHeight="1">
      <c r="B64" s="129" t="s">
        <v>241</v>
      </c>
      <c r="C64" s="182">
        <f t="array" ref="C64">INDEX(B57:H57,IF(MATCH(C62,B57:H57,1)&lt;E64,MATCH(C62,B57:H57,1)+1,MATCH(C62,B57:H57,1)))</f>
        <v>3500</v>
      </c>
      <c r="D64" s="129" t="s">
        <v>132</v>
      </c>
      <c r="E64" s="155">
        <f>MATCH(MAX(B57:H57),B57:H57,0)</f>
        <v>7</v>
      </c>
      <c r="G64" s="3"/>
      <c r="H64" s="3"/>
      <c r="I64" s="3"/>
      <c r="J64" s="129"/>
      <c r="K64" s="182"/>
      <c r="L64" s="129"/>
      <c r="M64" s="155"/>
      <c r="O64" s="129" t="s">
        <v>241</v>
      </c>
      <c r="P64" s="182" t="str">
        <f t="array" ref="P64">INDEX(O57:U57,IF(MATCH(P62,O57:U57,1)&lt;R64,MATCH(P62,O57:U57,1)+1,MATCH(P62,O57:U57,1)))</f>
        <v>#N/A</v>
      </c>
      <c r="Q64" s="129" t="s">
        <v>132</v>
      </c>
      <c r="R64" s="155">
        <f>MATCH(MAX(O57:U57),O57:U57,0)</f>
        <v>7</v>
      </c>
      <c r="T64" s="3"/>
      <c r="U64" s="3"/>
      <c r="V64" s="3"/>
      <c r="W64" s="129"/>
      <c r="X64" s="182"/>
      <c r="Y64" s="129"/>
      <c r="AB64" s="129" t="s">
        <v>241</v>
      </c>
      <c r="AC64" s="182" t="str">
        <f t="array" ref="AC64">INDEX(AB57:AH57,IF(MATCH(AC62,AB57:AH57,1)&lt;AE64,MATCH(AC62,AB57:AH57,1)+1,MATCH(AC62,AB57:AH57,1)))</f>
        <v>#N/A</v>
      </c>
      <c r="AD64" s="129" t="s">
        <v>132</v>
      </c>
      <c r="AE64" s="155">
        <f>MATCH(MAX(AB57:AH57),AB57:AH57,0)</f>
        <v>7</v>
      </c>
      <c r="AG64" s="3"/>
      <c r="AH64" s="3"/>
      <c r="AI64" s="3"/>
      <c r="AJ64" s="129"/>
      <c r="AK64" s="182"/>
      <c r="AL64" s="129"/>
    </row>
    <row r="65" ht="15.0" customHeight="1">
      <c r="B65" s="176" t="s">
        <v>136</v>
      </c>
      <c r="C65" s="274">
        <f>'Take-off'!$C$24</f>
        <v>0</v>
      </c>
      <c r="D65" s="3"/>
      <c r="E65" s="3"/>
      <c r="G65" s="3"/>
      <c r="H65" s="3"/>
      <c r="I65" s="3"/>
      <c r="J65" s="178"/>
      <c r="K65" s="274"/>
      <c r="L65" s="3"/>
      <c r="M65" s="3"/>
      <c r="O65" s="176" t="s">
        <v>136</v>
      </c>
      <c r="P65" s="274">
        <f>'Take-off'!$C$24</f>
        <v>0</v>
      </c>
      <c r="Q65" s="3"/>
      <c r="R65" s="3"/>
      <c r="T65" s="3"/>
      <c r="U65" s="3"/>
      <c r="V65" s="3"/>
      <c r="W65" s="178"/>
      <c r="X65" s="274"/>
      <c r="Y65" s="3"/>
      <c r="AB65" s="176" t="s">
        <v>136</v>
      </c>
      <c r="AC65" s="274">
        <f>'Take-off'!$C$24</f>
        <v>0</v>
      </c>
      <c r="AD65" s="3"/>
      <c r="AE65" s="3"/>
      <c r="AG65" s="3"/>
      <c r="AH65" s="3"/>
      <c r="AI65" s="3"/>
      <c r="AJ65" s="178"/>
      <c r="AK65" s="274"/>
      <c r="AL65" s="3"/>
    </row>
    <row r="66" ht="15.0" customHeight="1">
      <c r="B66" s="129" t="s">
        <v>139</v>
      </c>
      <c r="C66" s="182">
        <f t="array" ref="C66">INDEX(A58:A60,MATCH(C65,A58:A60,1))</f>
        <v>0</v>
      </c>
      <c r="D66" s="3"/>
      <c r="E66" s="161"/>
      <c r="G66" s="3"/>
      <c r="H66" s="3"/>
      <c r="I66" s="3"/>
      <c r="J66" s="129"/>
      <c r="K66" s="182"/>
      <c r="L66" s="3"/>
      <c r="M66" s="161"/>
      <c r="O66" s="129" t="s">
        <v>139</v>
      </c>
      <c r="P66" s="182">
        <f t="array" ref="P66">INDEX(N58:N60,MATCH(P65,N58:N60,1))</f>
        <v>0</v>
      </c>
      <c r="Q66" s="3"/>
      <c r="R66" s="161"/>
      <c r="T66" s="3"/>
      <c r="U66" s="3"/>
      <c r="V66" s="3"/>
      <c r="W66" s="129"/>
      <c r="X66" s="182"/>
      <c r="Y66" s="3"/>
      <c r="AB66" s="129" t="s">
        <v>139</v>
      </c>
      <c r="AC66" s="182">
        <f t="array" ref="AC66">INDEX(AA58:AA60,MATCH(AC65,AA58:AA60,1))</f>
        <v>0</v>
      </c>
      <c r="AD66" s="3"/>
      <c r="AE66" s="161"/>
      <c r="AG66" s="3"/>
      <c r="AH66" s="3"/>
      <c r="AI66" s="3"/>
      <c r="AJ66" s="129"/>
      <c r="AK66" s="182"/>
      <c r="AL66" s="3"/>
    </row>
    <row r="67" ht="15.0" customHeight="1">
      <c r="B67" s="129" t="s">
        <v>145</v>
      </c>
      <c r="C67" s="182">
        <f t="array" ref="C67">INDEX(A58:A60,IF(MATCH(C65,A58:A60,1)&lt;E63,MATCH(C65,A58:A60,1)+1,MATCH(C65,A58:A60,1)))</f>
        <v>30</v>
      </c>
      <c r="D67" s="3"/>
      <c r="E67" s="161"/>
      <c r="G67" s="3"/>
      <c r="H67" s="3"/>
      <c r="I67" s="3"/>
      <c r="J67" s="129"/>
      <c r="K67" s="182"/>
      <c r="L67" s="3"/>
      <c r="M67" s="161"/>
      <c r="O67" s="129" t="s">
        <v>145</v>
      </c>
      <c r="P67" s="182">
        <f t="array" ref="P67">INDEX(N58:N60,IF(MATCH(P65,N58:N60,1)&lt;R63,MATCH(P65,N58:N60,1)+1,MATCH(P65,N58:N60,1)))</f>
        <v>30</v>
      </c>
      <c r="Q67" s="3"/>
      <c r="R67" s="161"/>
      <c r="T67" s="3"/>
      <c r="U67" s="3"/>
      <c r="V67" s="3"/>
      <c r="W67" s="129"/>
      <c r="X67" s="182"/>
      <c r="Y67" s="3"/>
      <c r="AB67" s="129" t="s">
        <v>145</v>
      </c>
      <c r="AC67" s="182">
        <f t="array" ref="AC67">INDEX(AA58:AA60,IF(MATCH(AC65,AA58:AA60,1)&lt;AE63,MATCH(AC65,AA58:AA60,1)+1,MATCH(AC65,AA58:AA60,1)))</f>
        <v>30</v>
      </c>
      <c r="AD67" s="3"/>
      <c r="AE67" s="161"/>
      <c r="AG67" s="3"/>
      <c r="AH67" s="3"/>
      <c r="AI67" s="3"/>
      <c r="AJ67" s="129"/>
      <c r="AK67" s="182"/>
      <c r="AL67" s="3"/>
    </row>
    <row r="68" ht="15.0" customHeight="1">
      <c r="B68" s="178" t="s">
        <v>165</v>
      </c>
      <c r="C68" s="177">
        <f t="array" ref="C68">INDEX(B58:H60,MATCH(C65,A58:A60,1),MATCH(C62,B57:H57,1))</f>
        <v>3000</v>
      </c>
      <c r="D68" s="3"/>
      <c r="E68" s="161"/>
      <c r="G68" s="3"/>
      <c r="H68" s="3"/>
      <c r="I68" s="3"/>
      <c r="J68" s="178"/>
      <c r="K68" s="177"/>
      <c r="L68" s="3"/>
      <c r="M68" s="161"/>
      <c r="O68" s="178" t="s">
        <v>165</v>
      </c>
      <c r="P68" s="177" t="str">
        <f t="array" ref="P68">INDEX(O58:U60,MATCH(P65,N58:N60,1),MATCH(P62,O57:U57,1))</f>
        <v>#N/A</v>
      </c>
      <c r="Q68" s="3"/>
      <c r="R68" s="161"/>
      <c r="T68" s="3"/>
      <c r="U68" s="3"/>
      <c r="V68" s="3"/>
      <c r="W68" s="178"/>
      <c r="X68" s="177"/>
      <c r="Y68" s="3"/>
      <c r="AB68" s="178" t="s">
        <v>165</v>
      </c>
      <c r="AC68" s="177" t="str">
        <f t="array" ref="AC68">INDEX(AB58:AH60,MATCH(AC65,AA58:AA60,1),MATCH(AC62,AB57:AH57,1))</f>
        <v>#N/A</v>
      </c>
      <c r="AD68" s="3"/>
      <c r="AE68" s="161"/>
      <c r="AG68" s="3"/>
      <c r="AH68" s="3"/>
      <c r="AI68" s="3"/>
      <c r="AJ68" s="178"/>
      <c r="AK68" s="177"/>
      <c r="AL68" s="3"/>
    </row>
    <row r="69" ht="15.0" customHeight="1">
      <c r="B69" s="178" t="s">
        <v>249</v>
      </c>
      <c r="C69" s="177">
        <f t="array" ref="C69">INDEX(B58:H60,MATCH(C65,A58:A60,1),IF(MATCH(C62,B57:H57,1)&lt;E64,MATCH(C62,B57:H57,1)+1,MATCH(C65,A58:A60,1)))</f>
        <v>3500</v>
      </c>
      <c r="E69" s="161"/>
      <c r="G69" s="3"/>
      <c r="H69" s="3"/>
      <c r="I69" s="3"/>
      <c r="J69" s="178"/>
      <c r="K69" s="177"/>
      <c r="M69" s="161"/>
      <c r="O69" s="178" t="s">
        <v>249</v>
      </c>
      <c r="P69" s="177" t="str">
        <f t="array" ref="P69">INDEX(O58:U60,MATCH(P65,N58:N60,1),IF(MATCH(P62,O57:U57,1)&lt;R64,MATCH(P62,O57:U57,1)+1,MATCH(P65,N58:N60,1)))</f>
        <v>#N/A</v>
      </c>
      <c r="R69" s="161"/>
      <c r="T69" s="3"/>
      <c r="U69" s="3"/>
      <c r="V69" s="3"/>
      <c r="W69" s="178"/>
      <c r="X69" s="177"/>
      <c r="AB69" s="178" t="s">
        <v>249</v>
      </c>
      <c r="AC69" s="177" t="str">
        <f t="array" ref="AC69">INDEX(AB58:AH60,MATCH(AC65,AA58:AA60,1),IF(MATCH(AC62,AB57:AH57,1)&lt;AE64,MATCH(AC62,AB57:AH57,1)+1,MATCH(AC65,AA58:AA60,1)))</f>
        <v>#N/A</v>
      </c>
      <c r="AE69" s="161"/>
      <c r="AG69" s="3"/>
      <c r="AH69" s="3"/>
      <c r="AI69" s="3"/>
      <c r="AJ69" s="178"/>
      <c r="AK69" s="177"/>
    </row>
    <row r="70" ht="15.0" customHeight="1">
      <c r="B70" s="178" t="s">
        <v>177</v>
      </c>
      <c r="C70" s="177">
        <f t="array" ref="C70">INDEX(B58:H60,IF(MATCH(C65,A58:A60,1)&lt;E63,MATCH(C65,A58:A60,1)+1,MATCH(C65,A58:A60,1)),MATCH(C62,B57:H57,1))</f>
        <v>2700</v>
      </c>
      <c r="E70" s="161"/>
      <c r="G70" s="3"/>
      <c r="H70" s="3"/>
      <c r="I70" s="3"/>
      <c r="J70" s="178"/>
      <c r="K70" s="177"/>
      <c r="M70" s="161"/>
      <c r="O70" s="178" t="s">
        <v>177</v>
      </c>
      <c r="P70" s="177" t="str">
        <f t="array" ref="P70">INDEX(O58:U60,IF(MATCH(P65,N58:N60,1)&lt;R63,MATCH(P65,N58:N60,1)+1,MATCH(P65,N58:N60,1)),MATCH(P62,O57:U57,1))</f>
        <v>#N/A</v>
      </c>
      <c r="R70" s="161"/>
      <c r="T70" s="3"/>
      <c r="U70" s="3"/>
      <c r="V70" s="3"/>
      <c r="W70" s="178"/>
      <c r="X70" s="177"/>
      <c r="AB70" s="178" t="s">
        <v>177</v>
      </c>
      <c r="AC70" s="177" t="str">
        <f t="array" ref="AC70">INDEX(AB58:AH60,IF(MATCH(AC65,AA58:AA60,1)&lt;AE63,MATCH(AC65,AA58:AA60,1)+1,MATCH(AC65,AA58:AA60,1)),MATCH(AC62,AB57:AH57,1))</f>
        <v>#N/A</v>
      </c>
      <c r="AE70" s="161"/>
      <c r="AG70" s="3"/>
      <c r="AH70" s="3"/>
      <c r="AI70" s="3"/>
      <c r="AJ70" s="178"/>
      <c r="AK70" s="177"/>
    </row>
    <row r="71" ht="15.0" customHeight="1">
      <c r="B71" s="178" t="s">
        <v>250</v>
      </c>
      <c r="C71" s="177">
        <f t="array" ref="C71">INDEX(B58:H60,IF(MATCH(C65,A58:A60,1)&lt;E63,MATCH(C65,A58:A60,1)+1,MATCH(C65,A58:A60,1)),IF(MATCH(C62,B57:H57,1)&lt;E64,MATCH(C62,B57:H57,1)+1,MATCH(C62,B57:H57,1)))</f>
        <v>3100</v>
      </c>
      <c r="G71" s="3"/>
      <c r="H71" s="3"/>
      <c r="I71" s="3"/>
      <c r="J71" s="178"/>
      <c r="K71" s="177"/>
      <c r="O71" s="178" t="s">
        <v>250</v>
      </c>
      <c r="P71" s="177" t="str">
        <f t="array" ref="P71">INDEX(O58:U60,IF(MATCH(P65,N58:N60,1)&lt;R63,MATCH(P65,N58:N60,1)+1,MATCH(P65,N58:N60,1)),IF(MATCH(P62,O57:U57,1)&lt;R64,MATCH(P62,O57:U57,1)+1,MATCH(P62,O57:U57,1)))</f>
        <v>#N/A</v>
      </c>
      <c r="T71" s="3"/>
      <c r="U71" s="3"/>
      <c r="V71" s="3"/>
      <c r="W71" s="178"/>
      <c r="X71" s="177"/>
      <c r="AB71" s="178" t="s">
        <v>250</v>
      </c>
      <c r="AC71" s="177" t="str">
        <f t="array" ref="AC71">INDEX(AB58:AH60,IF(MATCH(AC65,AA58:AA60,1)&lt;AE63,MATCH(AC65,AA58:AA60,1)+1,MATCH(AC65,AA58:AA60,1)),IF(MATCH(AC62,AB57:AH57,1)&lt;AE64,MATCH(AC62,AB57:AH57,1)+1,MATCH(AC62,AB57:AH57,1)))</f>
        <v>#N/A</v>
      </c>
      <c r="AG71" s="3"/>
      <c r="AH71" s="3"/>
      <c r="AI71" s="3"/>
      <c r="AJ71" s="178"/>
      <c r="AK71" s="177"/>
    </row>
    <row r="72" ht="15.0" customHeight="1">
      <c r="B72" s="129" t="s">
        <v>252</v>
      </c>
      <c r="C72" s="182">
        <f>IFERROR(C68+(C62-C63)*(C69-C68)/(C64-C63),C68)</f>
        <v>3040</v>
      </c>
      <c r="G72" s="3"/>
      <c r="H72" s="3"/>
      <c r="I72" s="3"/>
      <c r="J72" s="129"/>
      <c r="K72" s="182"/>
      <c r="O72" s="129" t="s">
        <v>252</v>
      </c>
      <c r="P72" s="182" t="str">
        <f>IFERROR(P68+(P62-P63)*(P69-P68)/(P64-P63),P68)</f>
        <v>#N/A</v>
      </c>
      <c r="T72" s="3"/>
      <c r="U72" s="3"/>
      <c r="V72" s="3"/>
      <c r="W72" s="129"/>
      <c r="X72" s="182"/>
      <c r="AB72" s="129" t="s">
        <v>252</v>
      </c>
      <c r="AC72" s="182" t="str">
        <f>IFERROR(AC68+(AC62-AC63)*(AC69-AC68)/(AC64-AC63),AC68)</f>
        <v>#N/A</v>
      </c>
      <c r="AG72" s="3"/>
      <c r="AH72" s="3"/>
      <c r="AI72" s="3"/>
      <c r="AJ72" s="129"/>
      <c r="AK72" s="182"/>
    </row>
    <row r="73" ht="15.0" customHeight="1">
      <c r="B73" s="129" t="s">
        <v>253</v>
      </c>
      <c r="C73" s="182">
        <f>IFERROR(C70+(C62-C63)*(C71-C70)/(C64-C63),C70)</f>
        <v>2732</v>
      </c>
      <c r="G73" s="3"/>
      <c r="H73" s="3"/>
      <c r="I73" s="3"/>
      <c r="J73" s="129"/>
      <c r="K73" s="182"/>
      <c r="O73" s="129" t="s">
        <v>253</v>
      </c>
      <c r="P73" s="182" t="str">
        <f>IFERROR(P70+(P62-P63)*(P71-P70)/(P64-P63),P70)</f>
        <v>#N/A</v>
      </c>
      <c r="T73" s="3"/>
      <c r="U73" s="3"/>
      <c r="V73" s="3"/>
      <c r="W73" s="129"/>
      <c r="X73" s="182"/>
      <c r="AB73" s="129" t="s">
        <v>253</v>
      </c>
      <c r="AC73" s="182" t="str">
        <f>IFERROR(AC70+(AC62-AC63)*(AC71-AC70)/(AC64-AC63),AC70)</f>
        <v>#N/A</v>
      </c>
      <c r="AG73" s="3"/>
      <c r="AH73" s="3"/>
      <c r="AI73" s="3"/>
      <c r="AJ73" s="129"/>
      <c r="AK73" s="182"/>
    </row>
    <row r="74" ht="15.0" customHeight="1">
      <c r="B74" s="178" t="s">
        <v>254</v>
      </c>
      <c r="C74" s="177">
        <f>IFERROR(C72+(C65-C66)*(C73-C72)/(C67-C66),C72)</f>
        <v>3040</v>
      </c>
      <c r="G74" s="3"/>
      <c r="H74" s="3"/>
      <c r="I74" s="3"/>
      <c r="J74" s="178"/>
      <c r="K74" s="177"/>
      <c r="O74" s="178" t="s">
        <v>254</v>
      </c>
      <c r="P74" s="177" t="str">
        <f>IFERROR(P72+(P65-P66)*(P73-P72)/(P67-P66),P72)</f>
        <v>#N/A</v>
      </c>
      <c r="T74" s="3"/>
      <c r="U74" s="3"/>
      <c r="V74" s="3"/>
      <c r="W74" s="178"/>
      <c r="X74" s="177"/>
      <c r="AB74" s="178" t="s">
        <v>254</v>
      </c>
      <c r="AC74" s="177" t="str">
        <f>IFERROR(AC72+(AC65-AC66)*(AC73-AC72)/(AC67-AC66),AC72)</f>
        <v>#N/A</v>
      </c>
      <c r="AG74" s="3"/>
      <c r="AH74" s="3"/>
      <c r="AI74" s="3"/>
      <c r="AJ74" s="178"/>
      <c r="AK74" s="177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Q16:R16"/>
    <mergeCell ref="AD16:AE16"/>
    <mergeCell ref="AR16:AS16"/>
    <mergeCell ref="AZ16:BA16"/>
    <mergeCell ref="B3:L3"/>
    <mergeCell ref="O3:Y3"/>
    <mergeCell ref="AB3:AL3"/>
    <mergeCell ref="B4:F4"/>
    <mergeCell ref="O4:S4"/>
    <mergeCell ref="AB4:AF4"/>
    <mergeCell ref="D16:E16"/>
    <mergeCell ref="O56:V56"/>
    <mergeCell ref="AB56:AI56"/>
    <mergeCell ref="D62:E62"/>
    <mergeCell ref="Q62:R62"/>
    <mergeCell ref="AD62:AE62"/>
    <mergeCell ref="B30:G30"/>
    <mergeCell ref="O30:T30"/>
    <mergeCell ref="AB30:AG30"/>
    <mergeCell ref="D42:E42"/>
    <mergeCell ref="Q42:R42"/>
    <mergeCell ref="AD42:AE42"/>
    <mergeCell ref="B56:I56"/>
  </mergeCells>
  <conditionalFormatting sqref="B6:E13">
    <cfRule type="colorScale" priority="1">
      <colorScale>
        <cfvo type="min"/>
        <cfvo type="max"/>
        <color rgb="FFFCFCFF"/>
        <color rgb="FFF8696B"/>
      </colorScale>
    </cfRule>
  </conditionalFormatting>
  <conditionalFormatting sqref="B32:F39">
    <cfRule type="colorScale" priority="2">
      <colorScale>
        <cfvo type="min"/>
        <cfvo type="max"/>
        <color rgb="FFFCFCFF"/>
        <color rgb="FFF8696B"/>
      </colorScale>
    </cfRule>
  </conditionalFormatting>
  <conditionalFormatting sqref="B58:G60">
    <cfRule type="colorScale" priority="3">
      <colorScale>
        <cfvo type="min"/>
        <cfvo type="max"/>
        <color rgb="FFFCFCFF"/>
        <color rgb="FFF8696B"/>
      </colorScale>
    </cfRule>
  </conditionalFormatting>
  <conditionalFormatting sqref="J6:M14">
    <cfRule type="colorScale" priority="4">
      <colorScale>
        <cfvo type="min"/>
        <cfvo type="max"/>
        <color rgb="FFFCFCFF"/>
        <color rgb="FFF8696B"/>
      </colorScale>
    </cfRule>
  </conditionalFormatting>
  <conditionalFormatting sqref="O6:R13">
    <cfRule type="colorScale" priority="5">
      <colorScale>
        <cfvo type="min"/>
        <cfvo type="max"/>
        <color rgb="FFFCFCFF"/>
        <color rgb="FFF8696B"/>
      </colorScale>
    </cfRule>
  </conditionalFormatting>
  <conditionalFormatting sqref="O32:R39">
    <cfRule type="colorScale" priority="6">
      <colorScale>
        <cfvo type="min"/>
        <cfvo type="max"/>
        <color rgb="FFFCFCFF"/>
        <color rgb="FFF8696B"/>
      </colorScale>
    </cfRule>
  </conditionalFormatting>
  <conditionalFormatting sqref="O58:T60">
    <cfRule type="colorScale" priority="7">
      <colorScale>
        <cfvo type="min"/>
        <cfvo type="max"/>
        <color rgb="FFFCFCFF"/>
        <color rgb="FFF8696B"/>
      </colorScale>
    </cfRule>
  </conditionalFormatting>
  <conditionalFormatting sqref="W6:Y14">
    <cfRule type="colorScale" priority="8">
      <colorScale>
        <cfvo type="min"/>
        <cfvo type="max"/>
        <color rgb="FFFCFCFF"/>
        <color rgb="FFF8696B"/>
      </colorScale>
    </cfRule>
  </conditionalFormatting>
  <conditionalFormatting sqref="AB6:AE13">
    <cfRule type="colorScale" priority="9">
      <colorScale>
        <cfvo type="min"/>
        <cfvo type="max"/>
        <color rgb="FFFCFCFF"/>
        <color rgb="FFF8696B"/>
      </colorScale>
    </cfRule>
  </conditionalFormatting>
  <conditionalFormatting sqref="AB32:AF39">
    <cfRule type="colorScale" priority="10">
      <colorScale>
        <cfvo type="min"/>
        <cfvo type="max"/>
        <color rgb="FFFCFCFF"/>
        <color rgb="FFF8696B"/>
      </colorScale>
    </cfRule>
  </conditionalFormatting>
  <conditionalFormatting sqref="AB58:AG60">
    <cfRule type="colorScale" priority="11">
      <colorScale>
        <cfvo type="min"/>
        <cfvo type="max"/>
        <color rgb="FFFCFCFF"/>
        <color rgb="FFF8696B"/>
      </colorScale>
    </cfRule>
  </conditionalFormatting>
  <conditionalFormatting sqref="AJ6:AL14">
    <cfRule type="colorScale" priority="12">
      <colorScale>
        <cfvo type="min"/>
        <cfvo type="max"/>
        <color rgb="FFFCFCFF"/>
        <color rgb="FFF8696B"/>
      </colorScale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2" width="9.14"/>
    <col customWidth="1" min="13" max="13" width="5.0"/>
    <col customWidth="1" min="14" max="48" width="9.14"/>
  </cols>
  <sheetData>
    <row r="1" ht="14.25" customHeight="1">
      <c r="A1" s="136"/>
      <c r="B1" s="129" t="s">
        <v>233</v>
      </c>
      <c r="C1" s="178" t="s">
        <v>134</v>
      </c>
      <c r="D1" s="324">
        <f>IF(Landing!$C$9="",Landing!$C$15,MAX(0,Landing!$C$15+30*(1013-Landing!$C$9)))</f>
        <v>0</v>
      </c>
      <c r="F1" s="325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342"/>
    </row>
    <row r="2" ht="14.25" customHeight="1">
      <c r="A2" s="136"/>
      <c r="B2" s="129" t="s">
        <v>235</v>
      </c>
      <c r="C2" s="176" t="s">
        <v>136</v>
      </c>
      <c r="D2" s="324">
        <f>Landing!C8</f>
        <v>-2</v>
      </c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AM2" s="136"/>
      <c r="AN2" s="136"/>
      <c r="AO2" s="136"/>
      <c r="AP2" s="136"/>
      <c r="AQ2" s="136"/>
      <c r="AR2" s="136"/>
      <c r="AS2" s="136"/>
      <c r="AT2" s="136"/>
      <c r="AU2" s="136"/>
      <c r="AV2" s="342"/>
    </row>
    <row r="3" ht="14.25" customHeight="1">
      <c r="A3" s="136"/>
      <c r="B3" s="136" t="s">
        <v>256</v>
      </c>
      <c r="M3" s="136"/>
      <c r="AM3" s="136"/>
      <c r="AN3" s="136"/>
      <c r="AO3" s="136"/>
      <c r="AP3" s="136"/>
      <c r="AQ3" s="136"/>
      <c r="AR3" s="136"/>
      <c r="AS3" s="136"/>
      <c r="AT3" s="136"/>
      <c r="AU3" s="136"/>
      <c r="AV3" s="342"/>
    </row>
    <row r="4" ht="15.0" customHeight="1">
      <c r="A4" s="29"/>
      <c r="B4" s="330" t="s">
        <v>246</v>
      </c>
      <c r="C4" s="259"/>
      <c r="D4" s="259"/>
      <c r="E4" s="259"/>
      <c r="F4" s="259"/>
      <c r="G4" s="141"/>
      <c r="H4" s="141"/>
      <c r="I4" s="141"/>
      <c r="J4" s="141"/>
      <c r="K4" s="141"/>
      <c r="L4" s="141"/>
      <c r="M4" s="141"/>
      <c r="AM4" s="3"/>
      <c r="AN4" s="3"/>
      <c r="AO4" s="3"/>
      <c r="AP4" s="178"/>
      <c r="AQ4" s="177"/>
      <c r="AU4" s="3"/>
      <c r="AV4" s="3"/>
    </row>
    <row r="5" ht="15.0" customHeight="1">
      <c r="A5" s="29" t="s">
        <v>247</v>
      </c>
      <c r="B5" s="331">
        <v>0.0</v>
      </c>
      <c r="C5" s="332">
        <v>1000.0</v>
      </c>
      <c r="D5" s="333">
        <v>2000.0</v>
      </c>
      <c r="E5" s="333">
        <v>3000.0</v>
      </c>
      <c r="F5" s="334">
        <v>4000.0</v>
      </c>
      <c r="G5" s="178"/>
      <c r="H5" s="177"/>
      <c r="I5" s="29"/>
      <c r="J5" s="178"/>
      <c r="K5" s="177"/>
      <c r="L5" s="29"/>
      <c r="M5" s="29"/>
      <c r="AM5" s="178"/>
      <c r="AN5" s="177"/>
      <c r="AR5" s="3"/>
      <c r="AS5" s="3"/>
      <c r="AT5" s="3"/>
      <c r="AU5" s="178"/>
      <c r="AV5" s="177"/>
    </row>
    <row r="6" ht="15.0" customHeight="1">
      <c r="A6" s="29">
        <v>-30.0</v>
      </c>
      <c r="B6" s="350">
        <v>790.0</v>
      </c>
      <c r="C6" s="352">
        <v>780.0</v>
      </c>
      <c r="D6" s="354">
        <v>760.0</v>
      </c>
      <c r="E6" s="354">
        <v>750.0</v>
      </c>
      <c r="F6" s="334">
        <v>0.0</v>
      </c>
      <c r="G6" s="178"/>
      <c r="H6" s="177"/>
      <c r="I6" s="29"/>
      <c r="J6" s="178"/>
      <c r="K6" s="177"/>
      <c r="L6" s="29"/>
      <c r="M6" s="29"/>
      <c r="AM6" s="178"/>
      <c r="AN6" s="177"/>
      <c r="AR6" s="3"/>
      <c r="AS6" s="3"/>
      <c r="AT6" s="3"/>
      <c r="AU6" s="178"/>
      <c r="AV6" s="177"/>
    </row>
    <row r="7" ht="15.0" customHeight="1">
      <c r="A7" s="29">
        <v>-20.0</v>
      </c>
      <c r="B7" s="356">
        <v>770.0</v>
      </c>
      <c r="C7" s="357">
        <v>760.0</v>
      </c>
      <c r="D7" s="285">
        <v>740.0</v>
      </c>
      <c r="E7" s="285">
        <v>730.0</v>
      </c>
      <c r="F7" s="337">
        <v>0.0</v>
      </c>
      <c r="G7" s="178"/>
      <c r="H7" s="177"/>
      <c r="J7" s="178"/>
      <c r="K7" s="177"/>
      <c r="AM7" s="178"/>
      <c r="AN7" s="177"/>
      <c r="AR7" s="3"/>
      <c r="AS7" s="3"/>
      <c r="AT7" s="3"/>
      <c r="AU7" s="178"/>
      <c r="AV7" s="177"/>
    </row>
    <row r="8" ht="15.0" customHeight="1">
      <c r="A8" s="29">
        <v>-10.0</v>
      </c>
      <c r="B8" s="356">
        <v>760.0</v>
      </c>
      <c r="C8" s="357">
        <v>740.0</v>
      </c>
      <c r="D8" s="285">
        <v>730.0</v>
      </c>
      <c r="E8" s="285">
        <v>710.0</v>
      </c>
      <c r="F8" s="337">
        <v>0.0</v>
      </c>
      <c r="G8" s="178"/>
      <c r="H8" s="177"/>
      <c r="J8" s="178"/>
      <c r="K8" s="177"/>
      <c r="AM8" s="178"/>
      <c r="AN8" s="177"/>
      <c r="AR8" s="3"/>
      <c r="AS8" s="3"/>
      <c r="AT8" s="3"/>
      <c r="AU8" s="178"/>
      <c r="AV8" s="177"/>
    </row>
    <row r="9" ht="15.0" customHeight="1">
      <c r="A9" s="29">
        <v>0.0</v>
      </c>
      <c r="B9" s="356">
        <v>740.0</v>
      </c>
      <c r="C9" s="357">
        <v>725.0</v>
      </c>
      <c r="D9" s="285">
        <v>710.0</v>
      </c>
      <c r="E9" s="285">
        <v>690.0</v>
      </c>
      <c r="F9" s="337">
        <v>0.0</v>
      </c>
      <c r="G9" s="178"/>
      <c r="H9" s="177"/>
      <c r="J9" s="178"/>
      <c r="K9" s="177"/>
      <c r="AM9" s="178"/>
      <c r="AN9" s="177"/>
      <c r="AR9" s="3"/>
      <c r="AS9" s="3"/>
      <c r="AT9" s="3"/>
      <c r="AU9" s="178"/>
      <c r="AV9" s="177"/>
    </row>
    <row r="10" ht="15.0" customHeight="1">
      <c r="A10" s="29">
        <v>10.0</v>
      </c>
      <c r="B10" s="356">
        <v>720.0</v>
      </c>
      <c r="C10" s="357">
        <v>710.0</v>
      </c>
      <c r="D10" s="285">
        <v>690.0</v>
      </c>
      <c r="E10" s="285">
        <v>670.0</v>
      </c>
      <c r="F10" s="337">
        <v>0.0</v>
      </c>
      <c r="G10" s="178"/>
      <c r="H10" s="177"/>
      <c r="J10" s="178"/>
      <c r="K10" s="177"/>
      <c r="AM10" s="178"/>
      <c r="AN10" s="177"/>
      <c r="AR10" s="3"/>
      <c r="AS10" s="3"/>
      <c r="AT10" s="3"/>
      <c r="AU10" s="178"/>
      <c r="AV10" s="177"/>
    </row>
    <row r="11" ht="15.0" customHeight="1">
      <c r="A11" s="29">
        <v>20.0</v>
      </c>
      <c r="B11" s="356">
        <v>700.0</v>
      </c>
      <c r="C11" s="357">
        <v>690.0</v>
      </c>
      <c r="D11" s="285">
        <v>670.0</v>
      </c>
      <c r="E11" s="285">
        <v>650.0</v>
      </c>
      <c r="F11" s="337">
        <v>0.0</v>
      </c>
      <c r="G11" s="178"/>
      <c r="H11" s="177"/>
      <c r="J11" s="178"/>
      <c r="K11" s="177"/>
      <c r="AM11" s="178"/>
      <c r="AN11" s="177"/>
      <c r="AR11" s="3"/>
      <c r="AS11" s="3"/>
      <c r="AT11" s="3"/>
      <c r="AU11" s="178"/>
      <c r="AV11" s="177"/>
    </row>
    <row r="12" ht="15.0" customHeight="1">
      <c r="A12" s="29">
        <v>30.0</v>
      </c>
      <c r="B12" s="356">
        <v>680.0</v>
      </c>
      <c r="C12" s="357">
        <v>670.0</v>
      </c>
      <c r="D12" s="285">
        <v>660.0</v>
      </c>
      <c r="E12" s="285">
        <v>620.0</v>
      </c>
      <c r="F12" s="337">
        <v>0.0</v>
      </c>
      <c r="G12" s="178"/>
      <c r="H12" s="177"/>
      <c r="J12" s="178"/>
      <c r="K12" s="177"/>
      <c r="AM12" s="178"/>
      <c r="AN12" s="177"/>
      <c r="AR12" s="3"/>
      <c r="AS12" s="3"/>
      <c r="AT12" s="3"/>
      <c r="AU12" s="178"/>
      <c r="AV12" s="177"/>
    </row>
    <row r="13" ht="15.0" customHeight="1">
      <c r="A13" s="29">
        <v>40.0</v>
      </c>
      <c r="B13" s="356">
        <v>665.0</v>
      </c>
      <c r="C13" s="357">
        <v>620.0</v>
      </c>
      <c r="D13" s="285">
        <v>580.0</v>
      </c>
      <c r="E13" s="285">
        <v>530.0</v>
      </c>
      <c r="F13" s="337">
        <v>0.0</v>
      </c>
      <c r="G13" s="178"/>
      <c r="H13" s="177"/>
      <c r="J13" s="178"/>
      <c r="K13" s="177"/>
      <c r="AM13" s="178"/>
      <c r="AN13" s="177"/>
      <c r="AR13" s="3"/>
      <c r="AS13" s="3"/>
      <c r="AT13" s="3"/>
      <c r="AU13" s="178"/>
      <c r="AV13" s="177"/>
    </row>
    <row r="14" ht="15.0" customHeight="1">
      <c r="A14" s="29">
        <v>45.0</v>
      </c>
      <c r="B14" s="340">
        <v>0.0</v>
      </c>
      <c r="C14" s="341">
        <v>0.0</v>
      </c>
      <c r="D14" s="341">
        <v>0.0</v>
      </c>
      <c r="E14" s="341">
        <v>0.0</v>
      </c>
      <c r="F14" s="344">
        <v>0.0</v>
      </c>
      <c r="G14" s="178"/>
      <c r="H14" s="177"/>
      <c r="J14" s="178"/>
      <c r="K14" s="177"/>
      <c r="AM14" s="178"/>
      <c r="AN14" s="177"/>
      <c r="AR14" s="3"/>
      <c r="AS14" s="3"/>
      <c r="AT14" s="3"/>
      <c r="AU14" s="178"/>
      <c r="AV14" s="177"/>
    </row>
    <row r="15" ht="15.0" customHeight="1">
      <c r="B15" s="178"/>
      <c r="C15" s="177"/>
      <c r="D15" s="29"/>
      <c r="E15" s="29"/>
      <c r="F15" s="29"/>
      <c r="G15" s="3"/>
      <c r="H15" s="3"/>
      <c r="I15" s="3"/>
      <c r="J15" s="178"/>
      <c r="K15" s="177"/>
      <c r="AM15" s="3"/>
      <c r="AN15" s="3"/>
      <c r="AO15" s="3"/>
      <c r="AP15" s="178"/>
      <c r="AQ15" s="177"/>
      <c r="AU15" s="3"/>
      <c r="AV15" s="3"/>
    </row>
    <row r="16" ht="15.0" customHeight="1">
      <c r="B16" s="178" t="s">
        <v>134</v>
      </c>
      <c r="C16" s="177">
        <f>D1</f>
        <v>0</v>
      </c>
      <c r="D16" s="167" t="s">
        <v>239</v>
      </c>
      <c r="G16" s="3"/>
      <c r="H16" s="3"/>
      <c r="I16" s="3"/>
      <c r="J16" s="178"/>
      <c r="K16" s="177"/>
      <c r="L16" s="141"/>
      <c r="AM16" s="3"/>
      <c r="AN16" s="3"/>
      <c r="AO16" s="3"/>
      <c r="AP16" s="178"/>
      <c r="AQ16" s="177"/>
      <c r="AR16" s="167"/>
      <c r="AU16" s="3"/>
      <c r="AV16" s="3"/>
    </row>
    <row r="17" ht="15.0" customHeight="1">
      <c r="B17" s="129" t="s">
        <v>240</v>
      </c>
      <c r="C17" s="182">
        <f t="array" ref="C17">INDEX(B5:F5,MATCH(C16,B5:F5,1))</f>
        <v>0</v>
      </c>
      <c r="D17" s="129" t="s">
        <v>131</v>
      </c>
      <c r="E17" s="155">
        <f>MATCH(MAX(A6:A14),A6:A14,1)</f>
        <v>9</v>
      </c>
      <c r="G17" s="3"/>
      <c r="H17" s="3"/>
      <c r="I17" s="3"/>
      <c r="J17" s="129"/>
      <c r="K17" s="182"/>
      <c r="L17" s="129"/>
      <c r="M17" s="155"/>
      <c r="AM17" s="3"/>
      <c r="AN17" s="3"/>
      <c r="AO17" s="3"/>
      <c r="AP17" s="129"/>
      <c r="AQ17" s="182"/>
      <c r="AR17" s="129"/>
      <c r="AS17" s="155"/>
      <c r="AU17" s="3"/>
      <c r="AV17" s="3"/>
    </row>
    <row r="18" ht="15.0" customHeight="1">
      <c r="B18" s="129" t="s">
        <v>241</v>
      </c>
      <c r="C18" s="182">
        <f t="array" ref="C18">INDEX(B5:F5,IF(MATCH(C16,B5:F5,1)&lt;E18,MATCH(C16,B5:F5,1)+1,MATCH(C16,B5:F5,1)))</f>
        <v>1000</v>
      </c>
      <c r="D18" s="129" t="s">
        <v>132</v>
      </c>
      <c r="E18" s="155">
        <f>MATCH(MAX(B5:F5),B5:F5,0)</f>
        <v>5</v>
      </c>
      <c r="G18" s="3"/>
      <c r="H18" s="3"/>
      <c r="I18" s="3"/>
      <c r="J18" s="129"/>
      <c r="K18" s="182"/>
      <c r="L18" s="129"/>
      <c r="M18" s="155"/>
      <c r="AM18" s="3"/>
      <c r="AN18" s="3"/>
      <c r="AO18" s="3"/>
      <c r="AP18" s="129"/>
      <c r="AQ18" s="182"/>
      <c r="AR18" s="129"/>
      <c r="AS18" s="155"/>
      <c r="AU18" s="3"/>
      <c r="AV18" s="3"/>
    </row>
    <row r="19" ht="15.0" customHeight="1">
      <c r="B19" s="176" t="s">
        <v>136</v>
      </c>
      <c r="C19" s="274">
        <f>D2</f>
        <v>-2</v>
      </c>
      <c r="D19" s="3"/>
      <c r="E19" s="3"/>
      <c r="G19" s="3"/>
      <c r="H19" s="3"/>
      <c r="I19" s="3"/>
      <c r="J19" s="178"/>
      <c r="K19" s="274"/>
      <c r="L19" s="3"/>
      <c r="M19" s="3"/>
      <c r="O19" s="29"/>
      <c r="W19" s="29"/>
      <c r="Z19" s="29"/>
      <c r="AB19" s="29"/>
      <c r="AJ19" s="29"/>
      <c r="AM19" s="3"/>
      <c r="AN19" s="3"/>
      <c r="AO19" s="3"/>
      <c r="AP19" s="178"/>
      <c r="AQ19" s="274"/>
      <c r="AR19" s="3"/>
      <c r="AS19" s="3"/>
      <c r="AU19" s="3"/>
      <c r="AV19" s="3"/>
    </row>
    <row r="20" ht="15.0" customHeight="1">
      <c r="B20" s="129" t="s">
        <v>139</v>
      </c>
      <c r="C20" s="182">
        <f t="array" ref="C20">INDEX(A6:A14,MATCH(C19,A6:A14,1))</f>
        <v>-10</v>
      </c>
      <c r="D20" s="3"/>
      <c r="E20" s="161"/>
      <c r="G20" s="3"/>
      <c r="H20" s="3"/>
      <c r="I20" s="3"/>
      <c r="J20" s="129"/>
      <c r="K20" s="182"/>
      <c r="L20" s="3"/>
      <c r="M20" s="161"/>
      <c r="AM20" s="3"/>
      <c r="AN20" s="3"/>
      <c r="AO20" s="3"/>
      <c r="AP20" s="129"/>
      <c r="AQ20" s="182"/>
      <c r="AR20" s="3"/>
      <c r="AS20" s="161"/>
      <c r="AU20" s="3"/>
      <c r="AV20" s="3"/>
    </row>
    <row r="21" ht="15.0" customHeight="1">
      <c r="B21" s="129" t="s">
        <v>145</v>
      </c>
      <c r="C21" s="182">
        <f t="array" ref="C21">INDEX(A6:A14,IF(MATCH(C19,A6:A14,1)&lt;E17,MATCH(C19,A6:A14,1)+1,MATCH(C19,A6:A14,1)))</f>
        <v>0</v>
      </c>
      <c r="D21" s="3"/>
      <c r="E21" s="161"/>
      <c r="G21" s="3"/>
      <c r="H21" s="3"/>
      <c r="I21" s="3"/>
      <c r="J21" s="129"/>
      <c r="K21" s="182"/>
      <c r="L21" s="3"/>
      <c r="M21" s="161"/>
      <c r="AM21" s="3"/>
      <c r="AN21" s="3"/>
      <c r="AO21" s="3"/>
      <c r="AP21" s="129"/>
      <c r="AQ21" s="182"/>
      <c r="AR21" s="3"/>
      <c r="AS21" s="161"/>
      <c r="AU21" s="3"/>
      <c r="AV21" s="3"/>
    </row>
    <row r="22" ht="15.0" customHeight="1">
      <c r="B22" s="178" t="s">
        <v>165</v>
      </c>
      <c r="C22" s="177">
        <f t="array" ref="C22">INDEX(B6:F14,MATCH(C19,A6:A14,1),MATCH(C16,B5:F5,1))</f>
        <v>760</v>
      </c>
      <c r="D22" s="3"/>
      <c r="E22" s="161"/>
      <c r="G22" s="3"/>
      <c r="H22" s="3"/>
      <c r="I22" s="3"/>
      <c r="J22" s="178"/>
      <c r="K22" s="177"/>
      <c r="L22" s="3"/>
      <c r="M22" s="161"/>
      <c r="AM22" s="3"/>
      <c r="AN22" s="3"/>
      <c r="AO22" s="3"/>
      <c r="AP22" s="178"/>
      <c r="AQ22" s="177"/>
      <c r="AR22" s="3"/>
      <c r="AS22" s="161"/>
      <c r="AU22" s="3"/>
      <c r="AV22" s="3"/>
    </row>
    <row r="23" ht="15.0" customHeight="1">
      <c r="B23" s="178" t="s">
        <v>249</v>
      </c>
      <c r="C23" s="177">
        <f t="array" ref="C23">INDEX(B6:F14,MATCH(C19,A6:A14,1),IF(MATCH(C16,B5:F5,1)&lt;E18,MATCH(C16,B5:F5,1)+1,MATCH(C19,A6:A14,1)))</f>
        <v>740</v>
      </c>
      <c r="E23" s="161"/>
      <c r="G23" s="3"/>
      <c r="H23" s="3"/>
      <c r="I23" s="3"/>
      <c r="J23" s="178"/>
      <c r="K23" s="177"/>
      <c r="M23" s="161"/>
      <c r="AM23" s="3"/>
      <c r="AN23" s="3"/>
      <c r="AO23" s="3"/>
      <c r="AP23" s="178"/>
      <c r="AQ23" s="177"/>
      <c r="AS23" s="161"/>
      <c r="AU23" s="3"/>
      <c r="AV23" s="3"/>
    </row>
    <row r="24" ht="15.0" customHeight="1">
      <c r="B24" s="178" t="s">
        <v>177</v>
      </c>
      <c r="C24" s="177">
        <f t="array" ref="C24">INDEX(B6:F14,IF(MATCH(C19,A6:A14,1)&lt;E17,MATCH(C19,A6:A14,1)+1,MATCH(C19,A6:A14,1)),MATCH(C16,B5:F5,1))</f>
        <v>740</v>
      </c>
      <c r="E24" s="161"/>
      <c r="G24" s="3"/>
      <c r="H24" s="3"/>
      <c r="I24" s="3"/>
      <c r="J24" s="178"/>
      <c r="K24" s="177"/>
      <c r="M24" s="161"/>
      <c r="AM24" s="3"/>
      <c r="AN24" s="3"/>
      <c r="AO24" s="3"/>
      <c r="AP24" s="178"/>
      <c r="AQ24" s="177"/>
      <c r="AS24" s="161"/>
      <c r="AU24" s="3"/>
      <c r="AV24" s="3"/>
    </row>
    <row r="25" ht="15.0" customHeight="1">
      <c r="B25" s="178" t="s">
        <v>250</v>
      </c>
      <c r="C25" s="177">
        <f t="array" ref="C25">INDEX(B6:F14,IF(MATCH(C19,A6:A14,1)&lt;E17,MATCH(C19,A6:A14,1)+1,MATCH(C19,A6:A14,1)),IF(MATCH(C16,B5:F5,1)&lt;E18,MATCH(C16,B5:F5,1)+1,MATCH(C16,B5:F5,1)))</f>
        <v>725</v>
      </c>
      <c r="G25" s="3"/>
      <c r="H25" s="3"/>
      <c r="I25" s="3"/>
      <c r="J25" s="178"/>
      <c r="K25" s="177"/>
      <c r="AM25" s="3"/>
      <c r="AN25" s="3"/>
      <c r="AO25" s="3"/>
      <c r="AP25" s="178"/>
      <c r="AQ25" s="177"/>
      <c r="AU25" s="3"/>
      <c r="AV25" s="3"/>
    </row>
    <row r="26" ht="15.0" customHeight="1">
      <c r="B26" s="129" t="s">
        <v>252</v>
      </c>
      <c r="C26" s="182">
        <f>IFERROR(C22+(C16-C17)*(C23-C22)/(C18-C17),C22)</f>
        <v>760</v>
      </c>
      <c r="G26" s="3"/>
      <c r="H26" s="3"/>
      <c r="I26" s="3"/>
      <c r="J26" s="129"/>
      <c r="K26" s="182"/>
      <c r="AM26" s="3"/>
      <c r="AN26" s="3"/>
      <c r="AO26" s="3"/>
      <c r="AP26" s="129"/>
      <c r="AQ26" s="182"/>
      <c r="AU26" s="3"/>
      <c r="AV26" s="3"/>
    </row>
    <row r="27" ht="15.0" customHeight="1">
      <c r="B27" s="129" t="s">
        <v>253</v>
      </c>
      <c r="C27" s="182">
        <f>IFERROR(C24+(C16-C17)*(C25-C24)/(C18-C17),C24)</f>
        <v>740</v>
      </c>
      <c r="G27" s="3"/>
      <c r="H27" s="3"/>
      <c r="I27" s="3"/>
      <c r="J27" s="129"/>
      <c r="K27" s="182"/>
      <c r="AM27" s="3"/>
      <c r="AN27" s="3"/>
      <c r="AO27" s="3"/>
      <c r="AP27" s="129"/>
      <c r="AQ27" s="182"/>
      <c r="AU27" s="3"/>
      <c r="AV27" s="3"/>
    </row>
    <row r="28" ht="15.0" customHeight="1">
      <c r="B28" s="178" t="s">
        <v>254</v>
      </c>
      <c r="C28" s="177">
        <f>IFERROR(C26+(C19-C20)*(C27-C26)/(C21-C20),C26)</f>
        <v>744</v>
      </c>
      <c r="G28" s="3"/>
      <c r="H28" s="3"/>
      <c r="I28" s="3"/>
      <c r="J28" s="178"/>
      <c r="K28" s="177"/>
      <c r="AM28" s="3"/>
      <c r="AN28" s="3"/>
      <c r="AO28" s="3"/>
      <c r="AP28" s="178"/>
      <c r="AQ28" s="177"/>
      <c r="AU28" s="3"/>
      <c r="AV28" s="3"/>
    </row>
    <row r="29" ht="15.75" customHeight="1"/>
    <row r="30" ht="15.0" customHeight="1">
      <c r="A30" s="29"/>
      <c r="B30" s="167" t="s">
        <v>258</v>
      </c>
      <c r="H30" s="141"/>
      <c r="I30" s="141"/>
      <c r="J30" s="141"/>
      <c r="K30" s="141"/>
      <c r="L30" s="141"/>
      <c r="M30" s="141"/>
      <c r="N30" s="29"/>
      <c r="O30" s="167" t="s">
        <v>259</v>
      </c>
      <c r="U30" s="141"/>
      <c r="V30" s="141"/>
      <c r="W30" s="141"/>
      <c r="X30" s="141"/>
      <c r="Y30" s="141"/>
      <c r="AA30" s="29"/>
      <c r="AH30" s="141"/>
      <c r="AI30" s="141"/>
      <c r="AJ30" s="141"/>
      <c r="AK30" s="141"/>
      <c r="AL30" s="141"/>
    </row>
    <row r="31" ht="15.0" customHeight="1">
      <c r="A31" s="29" t="s">
        <v>142</v>
      </c>
      <c r="B31" s="349">
        <v>500.0</v>
      </c>
      <c r="C31" s="353">
        <v>600.0</v>
      </c>
      <c r="D31" s="353">
        <v>700.0</v>
      </c>
      <c r="E31" s="353">
        <v>800.0</v>
      </c>
      <c r="F31" s="334">
        <v>900.0</v>
      </c>
      <c r="G31" s="29"/>
      <c r="H31" s="29"/>
      <c r="I31" s="29"/>
      <c r="J31" s="29"/>
      <c r="K31" s="29"/>
      <c r="L31" s="29"/>
      <c r="M31" s="29"/>
      <c r="N31" s="29"/>
      <c r="O31" s="29"/>
      <c r="Q31" s="29" t="s">
        <v>142</v>
      </c>
      <c r="R31" s="349">
        <v>440.0</v>
      </c>
      <c r="S31" s="351">
        <v>500.0</v>
      </c>
      <c r="T31" s="351">
        <v>550.0</v>
      </c>
      <c r="U31" s="351">
        <v>650.0</v>
      </c>
      <c r="V31" s="351">
        <v>760.0</v>
      </c>
      <c r="W31" s="351">
        <v>860.0</v>
      </c>
      <c r="X31" s="351">
        <v>960.0</v>
      </c>
      <c r="Y31" s="353">
        <v>1060.0</v>
      </c>
      <c r="Z31" s="355">
        <v>1160.0</v>
      </c>
      <c r="AA31" s="355">
        <v>1200.0</v>
      </c>
      <c r="AB31" s="334">
        <v>1200.0</v>
      </c>
      <c r="AC31" s="29"/>
      <c r="AD31" s="29"/>
      <c r="AE31" s="29"/>
      <c r="AF31" s="29"/>
      <c r="AO31" s="29"/>
      <c r="AP31" s="29"/>
      <c r="AQ31" s="29"/>
      <c r="AR31" s="29"/>
      <c r="AS31" s="29"/>
    </row>
    <row r="32" ht="15.0" customHeight="1">
      <c r="A32" s="29">
        <v>9000.0</v>
      </c>
      <c r="B32" s="350">
        <v>1050.0</v>
      </c>
      <c r="C32" s="352">
        <v>1150.0</v>
      </c>
      <c r="D32" s="352">
        <v>1200.0</v>
      </c>
      <c r="E32" s="352">
        <v>1200.0</v>
      </c>
      <c r="F32" s="334">
        <v>0.0</v>
      </c>
      <c r="G32" s="29"/>
      <c r="H32" s="29"/>
      <c r="I32" s="29"/>
      <c r="J32" s="29"/>
      <c r="K32" s="29"/>
      <c r="L32" s="29"/>
      <c r="M32" s="29"/>
      <c r="N32" s="29"/>
      <c r="O32" s="29"/>
      <c r="Q32" s="29">
        <v>1.0</v>
      </c>
      <c r="R32" s="359">
        <v>3.0</v>
      </c>
      <c r="S32" s="360">
        <v>3.5</v>
      </c>
      <c r="T32" s="360">
        <v>4.0</v>
      </c>
      <c r="U32" s="360">
        <v>5.0</v>
      </c>
      <c r="V32" s="360">
        <v>6.0</v>
      </c>
      <c r="W32" s="360">
        <v>7.0</v>
      </c>
      <c r="X32" s="360">
        <v>8.0</v>
      </c>
      <c r="Y32" s="360">
        <v>9.0</v>
      </c>
      <c r="Z32" s="361">
        <v>10.0</v>
      </c>
      <c r="AA32" s="361">
        <v>10.5</v>
      </c>
      <c r="AB32" s="334">
        <v>11.0</v>
      </c>
      <c r="AC32" s="29"/>
      <c r="AD32" s="29"/>
      <c r="AE32" s="29"/>
      <c r="AF32" s="29"/>
      <c r="AO32" s="29"/>
      <c r="AP32" s="29"/>
      <c r="AQ32" s="29"/>
      <c r="AR32" s="29"/>
      <c r="AS32" s="29"/>
    </row>
    <row r="33" ht="15.0" customHeight="1">
      <c r="A33" s="29">
        <v>9500.0</v>
      </c>
      <c r="B33" s="356">
        <v>940.0</v>
      </c>
      <c r="C33" s="357">
        <v>1050.0</v>
      </c>
      <c r="D33" s="357">
        <v>1180.0</v>
      </c>
      <c r="E33" s="357">
        <v>1200.0</v>
      </c>
      <c r="F33" s="337">
        <v>0.0</v>
      </c>
      <c r="G33" s="29"/>
      <c r="H33" s="29"/>
      <c r="I33" s="29"/>
      <c r="J33" s="29"/>
      <c r="K33" s="29"/>
      <c r="L33" s="29"/>
      <c r="M33" s="29"/>
      <c r="N33" s="29"/>
      <c r="P33" s="178"/>
      <c r="Q33" s="177"/>
      <c r="R33" s="29"/>
      <c r="S33" s="29"/>
      <c r="T33" s="29"/>
      <c r="U33" s="3"/>
      <c r="V33" s="3"/>
      <c r="W33" s="3"/>
      <c r="X33" s="178"/>
      <c r="Y33" s="177"/>
      <c r="Z33" s="29"/>
      <c r="AC33" s="29"/>
      <c r="AD33" s="29"/>
      <c r="AE33" s="29"/>
      <c r="AF33" s="29"/>
      <c r="AO33" s="29"/>
      <c r="AP33" s="29"/>
      <c r="AQ33" s="29"/>
      <c r="AR33" s="29"/>
      <c r="AS33" s="29"/>
    </row>
    <row r="34" ht="15.0" customHeight="1">
      <c r="A34" s="29">
        <v>10000.0</v>
      </c>
      <c r="B34" s="356">
        <v>860.0</v>
      </c>
      <c r="C34" s="357">
        <v>960.0</v>
      </c>
      <c r="D34" s="357">
        <v>1080.0</v>
      </c>
      <c r="E34" s="357">
        <v>1200.0</v>
      </c>
      <c r="F34" s="337">
        <v>0.0</v>
      </c>
      <c r="G34" s="29"/>
      <c r="H34" s="29"/>
      <c r="I34" s="29"/>
      <c r="J34" s="29"/>
      <c r="K34" s="29"/>
      <c r="L34" s="29"/>
      <c r="M34" s="29"/>
      <c r="N34" s="29"/>
      <c r="P34" s="178" t="s">
        <v>134</v>
      </c>
      <c r="Q34" s="177">
        <f>C54</f>
        <v>644</v>
      </c>
      <c r="R34" s="167" t="s">
        <v>239</v>
      </c>
      <c r="U34" s="3"/>
      <c r="V34" s="3"/>
      <c r="W34" s="3"/>
      <c r="X34" s="178"/>
      <c r="Y34" s="177"/>
      <c r="Z34" s="141"/>
      <c r="AC34" s="29"/>
      <c r="AD34" s="29"/>
      <c r="AE34" s="29"/>
      <c r="AF34" s="29"/>
      <c r="AO34" s="29"/>
      <c r="AP34" s="29"/>
      <c r="AQ34" s="29"/>
      <c r="AR34" s="29"/>
      <c r="AS34" s="29"/>
    </row>
    <row r="35" ht="15.0" customHeight="1">
      <c r="A35" s="29">
        <v>10500.0</v>
      </c>
      <c r="B35" s="356">
        <v>775.0</v>
      </c>
      <c r="C35" s="357">
        <v>880.0</v>
      </c>
      <c r="D35" s="357">
        <v>950.0</v>
      </c>
      <c r="E35" s="357">
        <v>1100.0</v>
      </c>
      <c r="F35" s="337">
        <v>0.0</v>
      </c>
      <c r="G35" s="29"/>
      <c r="H35" s="29"/>
      <c r="I35" s="29"/>
      <c r="J35" s="29"/>
      <c r="K35" s="29"/>
      <c r="L35" s="29"/>
      <c r="M35" s="29"/>
      <c r="N35" s="29"/>
      <c r="P35" s="129" t="s">
        <v>240</v>
      </c>
      <c r="Q35" s="182">
        <f t="array" ref="Q35">INDEX(R31:AB31,MATCH(Q34,R31:AB31,1))</f>
        <v>550</v>
      </c>
      <c r="R35" s="129" t="s">
        <v>131</v>
      </c>
      <c r="S35" s="155">
        <f>MATCH(MAX(Q32),Q32,1)</f>
        <v>1</v>
      </c>
      <c r="U35" s="3"/>
      <c r="V35" s="3"/>
      <c r="W35" s="3"/>
      <c r="X35" s="129"/>
      <c r="Y35" s="182"/>
      <c r="Z35" s="129"/>
      <c r="AC35" s="29"/>
      <c r="AD35" s="29"/>
      <c r="AE35" s="29"/>
      <c r="AF35" s="29"/>
      <c r="AO35" s="29"/>
      <c r="AP35" s="29"/>
      <c r="AQ35" s="29"/>
      <c r="AR35" s="29"/>
      <c r="AS35" s="29"/>
    </row>
    <row r="36" ht="15.0" customHeight="1">
      <c r="A36" s="29">
        <v>11000.0</v>
      </c>
      <c r="B36" s="356">
        <v>700.0</v>
      </c>
      <c r="C36" s="357">
        <v>800.0</v>
      </c>
      <c r="D36" s="357">
        <v>910.0</v>
      </c>
      <c r="E36" s="357">
        <v>1020.0</v>
      </c>
      <c r="F36" s="337">
        <v>0.0</v>
      </c>
      <c r="G36" s="29"/>
      <c r="H36" s="29"/>
      <c r="I36" s="29"/>
      <c r="J36" s="29"/>
      <c r="K36" s="29"/>
      <c r="L36" s="29"/>
      <c r="M36" s="29"/>
      <c r="N36" s="29"/>
      <c r="P36" s="129" t="s">
        <v>241</v>
      </c>
      <c r="Q36" s="182">
        <f t="array" ref="Q36">INDEX(R31:AB31,IF(MATCH(Q34,R31:AB31,1)&lt;S36,MATCH(Q34,R31:AB31,1)+1,MATCH(Q34,R31:AB31,1)))</f>
        <v>650</v>
      </c>
      <c r="R36" s="129" t="s">
        <v>132</v>
      </c>
      <c r="S36" s="155">
        <f>MATCH(MAX(R31:AB31),R31:AB31,0)</f>
        <v>10</v>
      </c>
      <c r="U36" s="3"/>
      <c r="V36" s="3"/>
      <c r="W36" s="3"/>
      <c r="X36" s="129"/>
      <c r="Y36" s="182"/>
      <c r="Z36" s="129"/>
      <c r="AC36" s="29"/>
      <c r="AD36" s="29"/>
      <c r="AE36" s="29"/>
      <c r="AF36" s="29"/>
      <c r="AO36" s="29"/>
      <c r="AP36" s="29"/>
      <c r="AQ36" s="29"/>
      <c r="AR36" s="29"/>
      <c r="AS36" s="29"/>
    </row>
    <row r="37" ht="15.0" customHeight="1">
      <c r="A37" s="29">
        <v>11500.0</v>
      </c>
      <c r="B37" s="356">
        <v>630.0</v>
      </c>
      <c r="C37" s="357">
        <v>725.0</v>
      </c>
      <c r="D37" s="357">
        <v>830.0</v>
      </c>
      <c r="E37" s="357">
        <v>940.0</v>
      </c>
      <c r="F37" s="337">
        <v>0.0</v>
      </c>
      <c r="G37" s="29"/>
      <c r="H37" s="29"/>
      <c r="I37" s="29"/>
      <c r="J37" s="29"/>
      <c r="K37" s="29"/>
      <c r="L37" s="29"/>
      <c r="M37" s="29"/>
      <c r="N37" s="29"/>
      <c r="P37" s="176" t="s">
        <v>136</v>
      </c>
      <c r="Q37" s="274">
        <v>1.0</v>
      </c>
      <c r="R37" s="3"/>
      <c r="S37" s="3"/>
      <c r="U37" s="3"/>
      <c r="V37" s="3"/>
      <c r="W37" s="3"/>
      <c r="X37" s="178"/>
      <c r="Y37" s="274"/>
      <c r="Z37" s="3"/>
      <c r="AC37" s="29"/>
      <c r="AD37" s="29"/>
      <c r="AE37" s="29"/>
      <c r="AF37" s="29"/>
      <c r="AO37" s="29"/>
      <c r="AP37" s="29"/>
      <c r="AQ37" s="29"/>
      <c r="AR37" s="29"/>
      <c r="AS37" s="29"/>
    </row>
    <row r="38" ht="15.0" customHeight="1">
      <c r="A38" s="29">
        <v>12000.0</v>
      </c>
      <c r="B38" s="363">
        <v>560.0</v>
      </c>
      <c r="C38" s="364">
        <v>660.0</v>
      </c>
      <c r="D38" s="364">
        <v>760.0</v>
      </c>
      <c r="E38" s="364">
        <v>865.0</v>
      </c>
      <c r="F38" s="337">
        <v>0.0</v>
      </c>
      <c r="G38" s="29"/>
      <c r="H38" s="29"/>
      <c r="I38" s="29"/>
      <c r="J38" s="29"/>
      <c r="K38" s="29"/>
      <c r="L38" s="29"/>
      <c r="M38" s="29"/>
      <c r="N38" s="29"/>
      <c r="P38" s="129" t="s">
        <v>139</v>
      </c>
      <c r="Q38" s="182">
        <f t="array" ref="Q38">INDEX(Q32,MATCH(Q37,Q32,1))</f>
        <v>1</v>
      </c>
      <c r="R38" s="3"/>
      <c r="S38" s="161"/>
      <c r="U38" s="3"/>
      <c r="V38" s="3"/>
      <c r="W38" s="3"/>
      <c r="X38" s="129"/>
      <c r="Y38" s="182"/>
      <c r="Z38" s="3"/>
      <c r="AC38" s="29"/>
      <c r="AD38" s="29"/>
      <c r="AE38" s="29"/>
      <c r="AF38" s="29"/>
      <c r="AO38" s="29"/>
      <c r="AP38" s="29"/>
      <c r="AQ38" s="29"/>
      <c r="AR38" s="29"/>
      <c r="AS38" s="29"/>
    </row>
    <row r="39" ht="15.0" customHeight="1">
      <c r="A39" s="29">
        <v>12500.0</v>
      </c>
      <c r="B39" s="340">
        <v>500.0</v>
      </c>
      <c r="C39" s="341">
        <v>600.0</v>
      </c>
      <c r="D39" s="341">
        <v>700.0</v>
      </c>
      <c r="E39" s="341">
        <v>800.0</v>
      </c>
      <c r="F39" s="358">
        <v>0.0</v>
      </c>
      <c r="G39" s="320"/>
      <c r="H39" s="29"/>
      <c r="I39" s="29"/>
      <c r="J39" s="29"/>
      <c r="K39" s="29"/>
      <c r="L39" s="29"/>
      <c r="M39" s="29"/>
      <c r="N39" s="29"/>
      <c r="P39" s="129" t="s">
        <v>145</v>
      </c>
      <c r="Q39" s="182">
        <f t="array" ref="Q39">INDEX(Q32,IF(MATCH(Q37,Q32,1)&lt;S35,MATCH(Q37,Q32,1)+1,MATCH(Q37,Q32,1)))</f>
        <v>1</v>
      </c>
      <c r="R39" s="3"/>
      <c r="S39" s="161"/>
      <c r="U39" s="3"/>
      <c r="V39" s="3"/>
      <c r="W39" s="3"/>
      <c r="X39" s="129"/>
      <c r="Y39" s="182"/>
      <c r="Z39" s="3"/>
      <c r="AC39" s="29"/>
      <c r="AD39" s="29"/>
      <c r="AE39" s="29"/>
      <c r="AF39" s="29"/>
      <c r="AO39" s="29"/>
      <c r="AP39" s="29"/>
      <c r="AQ39" s="29"/>
      <c r="AR39" s="29"/>
      <c r="AS39" s="29"/>
    </row>
    <row r="40" ht="15.0" customHeight="1">
      <c r="B40" s="178"/>
      <c r="C40" s="177"/>
      <c r="D40" s="29"/>
      <c r="E40" s="29"/>
      <c r="F40" s="29"/>
      <c r="G40" s="3"/>
      <c r="H40" s="3"/>
      <c r="I40" s="3"/>
      <c r="J40" s="320"/>
      <c r="K40" s="320"/>
      <c r="L40" s="320"/>
      <c r="M40" s="320"/>
      <c r="O40" s="178" t="s">
        <v>165</v>
      </c>
      <c r="P40" s="177">
        <f t="array" ref="P40">INDEX(R32:AB32,MATCH(Q37,Q32,1),MATCH(Q34,R31:AB31,1))</f>
        <v>4</v>
      </c>
      <c r="Q40" s="3"/>
      <c r="R40" s="161"/>
      <c r="T40" s="3"/>
      <c r="U40" s="3"/>
      <c r="V40" s="3"/>
      <c r="W40" s="178"/>
      <c r="X40" s="177"/>
      <c r="Y40" s="3"/>
      <c r="AB40" s="320"/>
      <c r="AC40" s="320"/>
      <c r="AD40" s="320"/>
      <c r="AE40" s="320"/>
      <c r="AN40" s="320"/>
      <c r="AO40" s="320"/>
      <c r="AP40" s="320"/>
      <c r="AQ40" s="320"/>
      <c r="AR40" s="320"/>
    </row>
    <row r="41" ht="15.0" customHeight="1">
      <c r="B41" s="178" t="s">
        <v>134</v>
      </c>
      <c r="C41" s="177">
        <f>C28</f>
        <v>744</v>
      </c>
      <c r="D41" s="167" t="s">
        <v>239</v>
      </c>
      <c r="G41" s="3"/>
      <c r="H41" s="3"/>
      <c r="I41" s="3"/>
      <c r="J41" s="178"/>
      <c r="K41" s="177"/>
      <c r="L41" s="29"/>
      <c r="M41" s="29"/>
      <c r="O41" s="178" t="s">
        <v>249</v>
      </c>
      <c r="P41" s="177">
        <f t="array" ref="P41">INDEX(R32:AB32,MATCH(Q37,Q32,1),IF(MATCH(Q34,R31:AB31,1)&lt;S36,MATCH(Q34,R31:AB31,1)+1,MATCH(Q37,Q32,1)))</f>
        <v>5</v>
      </c>
      <c r="R41" s="161"/>
      <c r="T41" s="3"/>
      <c r="U41" s="3"/>
      <c r="V41" s="3"/>
      <c r="W41" s="178"/>
      <c r="X41" s="177"/>
    </row>
    <row r="42" ht="15.0" customHeight="1">
      <c r="B42" s="129" t="s">
        <v>240</v>
      </c>
      <c r="C42" s="182">
        <f t="array" ref="C42">INDEX(B31:F31,MATCH(C41,B31:F31,1))</f>
        <v>700</v>
      </c>
      <c r="D42" s="129" t="s">
        <v>131</v>
      </c>
      <c r="E42" s="155">
        <f>MATCH(MAX(A32:A39),A32:A39,1)</f>
        <v>8</v>
      </c>
      <c r="G42" s="3"/>
      <c r="H42" s="3"/>
      <c r="I42" s="3"/>
      <c r="J42" s="178"/>
      <c r="K42" s="177"/>
      <c r="L42" s="141"/>
      <c r="O42" s="178" t="s">
        <v>177</v>
      </c>
      <c r="P42" s="177">
        <f t="array" ref="P42">INDEX(R32:AB32,IF(MATCH(Q37,Q32,1)&lt;S35,MATCH(Q37,Q32,1)+1,MATCH(Q37,Q32,1)),MATCH(Q34,R31:AB31,1))</f>
        <v>4</v>
      </c>
      <c r="R42" s="161"/>
      <c r="T42" s="3"/>
      <c r="U42" s="3"/>
      <c r="V42" s="3"/>
      <c r="W42" s="178"/>
      <c r="X42" s="177"/>
      <c r="AG42" s="3"/>
      <c r="AH42" s="3"/>
      <c r="AI42" s="3"/>
      <c r="AJ42" s="178"/>
      <c r="AK42" s="177"/>
      <c r="AL42" s="141"/>
    </row>
    <row r="43" ht="15.0" customHeight="1">
      <c r="B43" s="129" t="s">
        <v>241</v>
      </c>
      <c r="C43" s="182">
        <f t="array" ref="C43">INDEX(B31:F31,IF(MATCH(C41,B31:F31,1)&lt;E43,MATCH(C41,B31:F31,1)+1,MATCH(C41,B31:F31,1)))</f>
        <v>800</v>
      </c>
      <c r="D43" s="129" t="s">
        <v>132</v>
      </c>
      <c r="E43" s="155">
        <f>MATCH(MAX(B31:F31),B31:F31,0)</f>
        <v>5</v>
      </c>
      <c r="G43" s="3"/>
      <c r="H43" s="3"/>
      <c r="I43" s="3"/>
      <c r="J43" s="129"/>
      <c r="K43" s="182"/>
      <c r="L43" s="129"/>
      <c r="M43" s="155"/>
      <c r="O43" s="178" t="s">
        <v>250</v>
      </c>
      <c r="P43" s="177">
        <f t="array" ref="P43">INDEX(R32:AB32,IF(MATCH(Q37,Q32,1)&lt;S35,MATCH(Q37,Q32,1)+1,MATCH(Q37,Q32,1)),IF(MATCH(Q34,R31:AB31,1)&lt;S36,MATCH(Q34,R31:AB31,1)+1,MATCH(Q34,R31:AB31,1)))</f>
        <v>5</v>
      </c>
      <c r="T43" s="3"/>
      <c r="U43" s="3"/>
      <c r="V43" s="3"/>
      <c r="W43" s="178"/>
      <c r="X43" s="177"/>
      <c r="AG43" s="3"/>
      <c r="AH43" s="3"/>
      <c r="AI43" s="3"/>
      <c r="AJ43" s="129"/>
      <c r="AK43" s="182"/>
      <c r="AL43" s="129"/>
    </row>
    <row r="44" ht="15.0" customHeight="1">
      <c r="B44" s="176" t="s">
        <v>136</v>
      </c>
      <c r="C44" s="274">
        <f>Landing!C11</f>
        <v>12500</v>
      </c>
      <c r="D44" s="3"/>
      <c r="E44" s="3"/>
      <c r="G44" s="3"/>
      <c r="H44" s="3"/>
      <c r="I44" s="3"/>
      <c r="J44" s="129"/>
      <c r="K44" s="182"/>
      <c r="L44" s="129"/>
      <c r="M44" s="155"/>
      <c r="O44" s="129" t="s">
        <v>252</v>
      </c>
      <c r="P44" s="182">
        <f>IFERROR(P40+(Q34-Q35)*(P41-P40)/(Q36-Q35),P40)</f>
        <v>4.94</v>
      </c>
      <c r="T44" s="3"/>
      <c r="U44" s="3"/>
      <c r="V44" s="3"/>
      <c r="W44" s="129"/>
      <c r="X44" s="182"/>
      <c r="AG44" s="3"/>
      <c r="AH44" s="3"/>
      <c r="AI44" s="3"/>
      <c r="AJ44" s="129"/>
      <c r="AK44" s="182"/>
      <c r="AL44" s="129"/>
    </row>
    <row r="45" ht="15.0" customHeight="1">
      <c r="B45" s="129" t="s">
        <v>139</v>
      </c>
      <c r="C45" s="182">
        <f t="array" ref="C45">INDEX(A32:A39,MATCH(C44,A32:A39,1))</f>
        <v>12500</v>
      </c>
      <c r="D45" s="3"/>
      <c r="E45" s="161"/>
      <c r="G45" s="3"/>
      <c r="H45" s="3"/>
      <c r="I45" s="3"/>
      <c r="J45" s="178"/>
      <c r="K45" s="274"/>
      <c r="L45" s="3"/>
      <c r="M45" s="3"/>
      <c r="O45" s="129" t="s">
        <v>253</v>
      </c>
      <c r="P45" s="182">
        <f>IFERROR(P42+(Q34-Q35)*(P43-P42)/(Q36-Q35),P42)</f>
        <v>4.94</v>
      </c>
      <c r="T45" s="3"/>
      <c r="U45" s="3"/>
      <c r="V45" s="3"/>
      <c r="W45" s="129"/>
      <c r="X45" s="182"/>
      <c r="AB45" s="29"/>
      <c r="AG45" s="3"/>
      <c r="AH45" s="3"/>
      <c r="AI45" s="3"/>
      <c r="AJ45" s="178"/>
      <c r="AK45" s="274"/>
      <c r="AL45" s="3"/>
    </row>
    <row r="46" ht="15.0" customHeight="1">
      <c r="B46" s="129" t="s">
        <v>145</v>
      </c>
      <c r="C46" s="182">
        <f t="array" ref="C46">INDEX(A32:A39,IF(MATCH(C44,A32:A39,1)&lt;E42,MATCH(C44,A32:A39,1)+1,MATCH(C44,A32:A39,1)))</f>
        <v>12500</v>
      </c>
      <c r="D46" s="3"/>
      <c r="E46" s="161"/>
      <c r="G46" s="3"/>
      <c r="H46" s="3"/>
      <c r="I46" s="3"/>
      <c r="J46" s="129"/>
      <c r="K46" s="182"/>
      <c r="L46" s="3"/>
      <c r="M46" s="161"/>
      <c r="O46" s="178" t="s">
        <v>254</v>
      </c>
      <c r="P46" s="274">
        <f>IFERROR(P44+(Q37-Q38)*(P45-P44)/(Q39-Q38),P44)</f>
        <v>4.94</v>
      </c>
      <c r="T46" s="3"/>
      <c r="U46" s="3"/>
      <c r="V46" s="3"/>
      <c r="W46" s="178"/>
      <c r="X46" s="177"/>
      <c r="AG46" s="3"/>
      <c r="AH46" s="3"/>
      <c r="AI46" s="3"/>
      <c r="AJ46" s="129"/>
      <c r="AK46" s="182"/>
      <c r="AL46" s="3"/>
    </row>
    <row r="47" ht="15.0" customHeight="1">
      <c r="B47" s="178" t="s">
        <v>165</v>
      </c>
      <c r="C47" s="177">
        <f t="array" ref="C47">INDEX(B32:F39,MATCH(C44,A32:A39,1),MATCH(C41,B31:F31,1))</f>
        <v>700</v>
      </c>
      <c r="D47" s="3"/>
      <c r="E47" s="161"/>
      <c r="G47" s="3"/>
      <c r="H47" s="3"/>
      <c r="I47" s="3"/>
      <c r="J47" s="129"/>
      <c r="K47" s="182"/>
      <c r="L47" s="3"/>
      <c r="M47" s="161"/>
      <c r="W47" s="29"/>
      <c r="X47" s="29"/>
      <c r="Y47" s="29"/>
      <c r="AG47" s="3"/>
      <c r="AH47" s="3"/>
      <c r="AI47" s="3"/>
      <c r="AJ47" s="129"/>
      <c r="AK47" s="182"/>
      <c r="AL47" s="3"/>
    </row>
    <row r="48" ht="15.0" customHeight="1">
      <c r="B48" s="178" t="s">
        <v>249</v>
      </c>
      <c r="C48" s="177">
        <f t="array" ref="C48">INDEX(B32:F39,MATCH(C44,A32:A39,1),IF(MATCH(C41,B31:F31,1)&lt;E43,MATCH(C41,B31:F31,1)+1,MATCH(C44,A32:A39,1)))</f>
        <v>800</v>
      </c>
      <c r="E48" s="161"/>
      <c r="G48" s="3"/>
      <c r="H48" s="3"/>
      <c r="I48" s="3"/>
      <c r="J48" s="178"/>
      <c r="K48" s="177"/>
      <c r="L48" s="3"/>
      <c r="M48" s="161"/>
      <c r="AG48" s="3"/>
      <c r="AH48" s="3"/>
      <c r="AI48" s="3"/>
      <c r="AJ48" s="178"/>
      <c r="AK48" s="177"/>
      <c r="AL48" s="3"/>
    </row>
    <row r="49" ht="15.0" customHeight="1">
      <c r="B49" s="178" t="s">
        <v>177</v>
      </c>
      <c r="C49" s="177">
        <f t="array" ref="C49">INDEX(B32:F39,IF(MATCH(C44,A32:A39,1)&lt;E42,MATCH(C44,A32:A39,1)+1,MATCH(C44,A32:A39,1)),MATCH(C41,B31:F31,1))</f>
        <v>700</v>
      </c>
      <c r="E49" s="161"/>
      <c r="G49" s="3"/>
      <c r="H49" s="3"/>
      <c r="I49" s="3"/>
      <c r="J49" s="178"/>
      <c r="K49" s="177"/>
      <c r="M49" s="161"/>
      <c r="AG49" s="3"/>
      <c r="AH49" s="3"/>
      <c r="AI49" s="3"/>
      <c r="AJ49" s="178"/>
      <c r="AK49" s="177"/>
    </row>
    <row r="50" ht="15.0" customHeight="1">
      <c r="B50" s="178" t="s">
        <v>250</v>
      </c>
      <c r="C50" s="177">
        <f t="array" ref="C50">INDEX(B32:F39,IF(MATCH(C44,A32:A39,1)&lt;E42,MATCH(C44,A32:A39,1)+1,MATCH(C44,A32:A39,1)),IF(MATCH(C41,B31:F31,1)&lt;E43,MATCH(C41,B31:F31,1)+1,MATCH(C41,B31:F31,1)))</f>
        <v>800</v>
      </c>
      <c r="G50" s="3"/>
      <c r="H50" s="3"/>
      <c r="I50" s="3"/>
      <c r="J50" s="178"/>
      <c r="K50" s="177"/>
      <c r="M50" s="161"/>
      <c r="AG50" s="3"/>
      <c r="AH50" s="3"/>
      <c r="AI50" s="3"/>
      <c r="AJ50" s="178"/>
      <c r="AK50" s="177"/>
    </row>
    <row r="51" ht="15.0" customHeight="1">
      <c r="B51" s="129" t="s">
        <v>252</v>
      </c>
      <c r="C51" s="182">
        <f>IFERROR(C47+(C41-C42)*(C48-C47)/(C43-C42),C47)</f>
        <v>744</v>
      </c>
      <c r="G51" s="3"/>
      <c r="H51" s="3"/>
      <c r="I51" s="3"/>
      <c r="J51" s="178"/>
      <c r="K51" s="177"/>
      <c r="AG51" s="3"/>
      <c r="AH51" s="3"/>
      <c r="AI51" s="3"/>
      <c r="AJ51" s="178"/>
      <c r="AK51" s="177"/>
    </row>
    <row r="52" ht="15.0" customHeight="1">
      <c r="B52" s="129" t="s">
        <v>253</v>
      </c>
      <c r="C52" s="182">
        <f>IFERROR(C49+(C41-C42)*(C50-C49)/(C43-C42),C49)</f>
        <v>744</v>
      </c>
      <c r="G52" s="3"/>
      <c r="H52" s="3"/>
      <c r="I52" s="3"/>
      <c r="J52" s="129"/>
      <c r="K52" s="182"/>
      <c r="AG52" s="3"/>
      <c r="AH52" s="3"/>
      <c r="AI52" s="3"/>
      <c r="AJ52" s="129"/>
      <c r="AK52" s="182"/>
    </row>
    <row r="53" ht="15.0" customHeight="1">
      <c r="B53" s="178" t="s">
        <v>254</v>
      </c>
      <c r="C53" s="367">
        <f>IFERROR(C51+(C44-C45)*(C52-C51)/(C46-C45),C51)</f>
        <v>744</v>
      </c>
      <c r="G53" s="3"/>
      <c r="H53" s="3"/>
      <c r="I53" s="3"/>
      <c r="J53" s="129"/>
      <c r="K53" s="182"/>
      <c r="AG53" s="3"/>
      <c r="AH53" s="3"/>
      <c r="AI53" s="3"/>
      <c r="AJ53" s="129"/>
      <c r="AK53" s="182"/>
    </row>
    <row r="54" ht="15.0" customHeight="1">
      <c r="B54" s="23" t="s">
        <v>262</v>
      </c>
      <c r="C54" s="183">
        <f>C53-100</f>
        <v>644</v>
      </c>
      <c r="J54" s="178"/>
      <c r="K54" s="177"/>
      <c r="AG54" s="3"/>
      <c r="AH54" s="3"/>
      <c r="AI54" s="3"/>
      <c r="AJ54" s="178"/>
      <c r="AK54" s="177"/>
    </row>
    <row r="55" ht="15.0" customHeight="1">
      <c r="J55" s="29"/>
      <c r="K55" s="29"/>
      <c r="L55" s="29"/>
      <c r="M55" s="29"/>
      <c r="AJ55" s="29"/>
      <c r="AK55" s="29"/>
      <c r="AL55" s="29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:L3"/>
    <mergeCell ref="B4:F4"/>
    <mergeCell ref="D16:E16"/>
    <mergeCell ref="AR16:AS16"/>
    <mergeCell ref="B30:G30"/>
    <mergeCell ref="O30:T30"/>
    <mergeCell ref="R34:S34"/>
    <mergeCell ref="D41:E41"/>
  </mergeCells>
  <conditionalFormatting sqref="B6:E13">
    <cfRule type="colorScale" priority="1">
      <colorScale>
        <cfvo type="min"/>
        <cfvo type="max"/>
        <color rgb="FFFCFCFF"/>
        <color rgb="FFF8696B"/>
      </colorScale>
    </cfRule>
  </conditionalFormatting>
  <conditionalFormatting sqref="B32:E38">
    <cfRule type="colorScale" priority="2">
      <colorScale>
        <cfvo type="min"/>
        <cfvo type="max"/>
        <color rgb="FFFCFCFF"/>
        <color rgb="FFF8696B"/>
      </colorScale>
    </cfRule>
  </conditionalFormatting>
  <conditionalFormatting sqref="J6:M14">
    <cfRule type="colorScale" priority="3">
      <colorScale>
        <cfvo type="min"/>
        <cfvo type="max"/>
        <color rgb="FFFCFCFF"/>
        <color rgb="FFF8696B"/>
      </colorScale>
    </cfRule>
  </conditionalFormatting>
  <conditionalFormatting sqref="R32:AA32">
    <cfRule type="colorScale" priority="4">
      <colorScale>
        <cfvo type="min"/>
        <cfvo type="max"/>
        <color rgb="FFFCFCFF"/>
        <color rgb="FFF8696B"/>
      </colorScale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2" width="9.14"/>
    <col customWidth="1" min="13" max="13" width="5.0"/>
    <col customWidth="1" min="14" max="52" width="9.14"/>
  </cols>
  <sheetData>
    <row r="1" ht="14.25" customHeight="1">
      <c r="A1" s="136"/>
      <c r="B1" s="129" t="s">
        <v>233</v>
      </c>
      <c r="C1" s="178" t="s">
        <v>134</v>
      </c>
      <c r="D1" s="324">
        <f>IF('Take-off'!$C$9="",'Take-off'!$C$16,MAX(0,'Take-off'!$C$16+30*(1013-'Take-off'!$C$9)))+35</f>
        <v>35</v>
      </c>
      <c r="F1" s="325" t="s">
        <v>263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342"/>
      <c r="AW1" s="136"/>
      <c r="AX1" s="136"/>
      <c r="AY1" s="136"/>
      <c r="AZ1" s="136"/>
    </row>
    <row r="2" ht="14.25" customHeight="1">
      <c r="A2" s="136"/>
      <c r="B2" s="129" t="s">
        <v>235</v>
      </c>
      <c r="C2" s="176" t="s">
        <v>136</v>
      </c>
      <c r="D2" s="324">
        <f>IF('Take-off'!$C$13='Dropdown lists'!$B$30, 'Take-off'!$C$8+10, 'Take-off'!$C$8)</f>
        <v>-2</v>
      </c>
      <c r="E2" s="326" t="s">
        <v>243</v>
      </c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342"/>
      <c r="AW2" s="136"/>
      <c r="AX2" s="136"/>
      <c r="AY2" s="136"/>
      <c r="AZ2" s="136"/>
    </row>
    <row r="3" ht="14.25" customHeight="1">
      <c r="A3" s="136"/>
      <c r="B3" s="136" t="s">
        <v>256</v>
      </c>
      <c r="M3" s="136"/>
      <c r="N3" s="136"/>
      <c r="O3" s="136" t="s">
        <v>264</v>
      </c>
      <c r="Z3" s="136"/>
      <c r="AA3" s="136"/>
      <c r="AB3" s="136" t="s">
        <v>265</v>
      </c>
      <c r="AM3" s="136"/>
      <c r="AN3" s="136"/>
      <c r="AO3" s="136"/>
      <c r="AP3" s="136"/>
      <c r="AQ3" s="136"/>
      <c r="AR3" s="136"/>
      <c r="AS3" s="136"/>
      <c r="AT3" s="136"/>
      <c r="AU3" s="136"/>
      <c r="AV3" s="342"/>
      <c r="AW3" s="136"/>
      <c r="AX3" s="136"/>
      <c r="AY3" s="136"/>
      <c r="AZ3" s="136"/>
    </row>
    <row r="4" ht="15.0" customHeight="1">
      <c r="A4" s="29"/>
      <c r="B4" s="330" t="s">
        <v>246</v>
      </c>
      <c r="C4" s="259"/>
      <c r="D4" s="259"/>
      <c r="E4" s="259"/>
      <c r="F4" s="259"/>
      <c r="G4" s="141"/>
      <c r="H4" s="141"/>
      <c r="I4" s="141"/>
      <c r="J4" s="141"/>
      <c r="K4" s="141"/>
      <c r="L4" s="141"/>
      <c r="M4" s="141"/>
      <c r="N4" s="29"/>
      <c r="O4" s="330" t="s">
        <v>246</v>
      </c>
      <c r="P4" s="259"/>
      <c r="Q4" s="259"/>
      <c r="R4" s="259"/>
      <c r="S4" s="259"/>
      <c r="T4" s="141"/>
      <c r="U4" s="141"/>
      <c r="V4" s="141"/>
      <c r="W4" s="141"/>
      <c r="X4" s="141"/>
      <c r="Y4" s="141"/>
      <c r="Z4" s="178"/>
      <c r="AA4" s="29"/>
      <c r="AB4" s="330" t="s">
        <v>246</v>
      </c>
      <c r="AC4" s="259"/>
      <c r="AD4" s="259"/>
      <c r="AE4" s="259"/>
      <c r="AF4" s="259"/>
      <c r="AG4" s="141"/>
      <c r="AH4" s="141"/>
      <c r="AI4" s="141"/>
      <c r="AJ4" s="141"/>
      <c r="AK4" s="141"/>
      <c r="AL4" s="141"/>
      <c r="AM4" s="3"/>
      <c r="AN4" s="3"/>
      <c r="AO4" s="3"/>
      <c r="AP4" s="178"/>
      <c r="AQ4" s="177"/>
      <c r="AU4" s="3"/>
      <c r="AV4" s="3"/>
      <c r="AW4" s="3"/>
      <c r="AX4" s="178"/>
      <c r="AY4" s="177"/>
    </row>
    <row r="5" ht="15.0" customHeight="1">
      <c r="A5" s="29" t="s">
        <v>247</v>
      </c>
      <c r="B5" s="331">
        <v>0.0</v>
      </c>
      <c r="C5" s="332">
        <v>1000.0</v>
      </c>
      <c r="D5" s="333">
        <v>2000.0</v>
      </c>
      <c r="E5" s="333">
        <v>3000.0</v>
      </c>
      <c r="F5" s="334">
        <v>4000.0</v>
      </c>
      <c r="G5" s="178"/>
      <c r="H5" s="177"/>
      <c r="I5" s="29"/>
      <c r="J5" s="178"/>
      <c r="K5" s="177"/>
      <c r="L5" s="29"/>
      <c r="M5" s="29"/>
      <c r="N5" s="29" t="s">
        <v>247</v>
      </c>
      <c r="O5" s="331">
        <v>0.0</v>
      </c>
      <c r="P5" s="332">
        <v>1000.0</v>
      </c>
      <c r="Q5" s="333">
        <v>2000.0</v>
      </c>
      <c r="R5" s="333">
        <v>3000.0</v>
      </c>
      <c r="S5" s="334">
        <v>4000.0</v>
      </c>
      <c r="T5" s="178"/>
      <c r="U5" s="177"/>
      <c r="V5" s="29"/>
      <c r="W5" s="178"/>
      <c r="X5" s="177"/>
      <c r="Y5" s="29"/>
      <c r="AA5" s="29" t="s">
        <v>247</v>
      </c>
      <c r="AB5" s="331">
        <v>0.0</v>
      </c>
      <c r="AC5" s="332">
        <v>1000.0</v>
      </c>
      <c r="AD5" s="333">
        <v>2000.0</v>
      </c>
      <c r="AE5" s="333">
        <v>3000.0</v>
      </c>
      <c r="AF5" s="334">
        <v>4000.0</v>
      </c>
      <c r="AG5" s="178"/>
      <c r="AH5" s="177"/>
      <c r="AI5" s="29"/>
      <c r="AJ5" s="178"/>
      <c r="AK5" s="177"/>
      <c r="AL5" s="29"/>
      <c r="AM5" s="178"/>
      <c r="AN5" s="177"/>
      <c r="AR5" s="3"/>
      <c r="AS5" s="3"/>
      <c r="AT5" s="3"/>
      <c r="AU5" s="178"/>
      <c r="AV5" s="177"/>
    </row>
    <row r="6" ht="15.0" customHeight="1">
      <c r="A6" s="29">
        <v>-30.0</v>
      </c>
      <c r="B6" s="350">
        <v>6.0</v>
      </c>
      <c r="C6" s="352">
        <v>5.8</v>
      </c>
      <c r="D6" s="354">
        <v>5.6</v>
      </c>
      <c r="E6" s="354">
        <v>5.4</v>
      </c>
      <c r="F6" s="334">
        <v>0.0</v>
      </c>
      <c r="G6" s="178"/>
      <c r="H6" s="177"/>
      <c r="I6" s="29"/>
      <c r="J6" s="178"/>
      <c r="K6" s="177"/>
      <c r="L6" s="29"/>
      <c r="M6" s="29"/>
      <c r="N6" s="29">
        <v>-30.0</v>
      </c>
      <c r="O6" s="359"/>
      <c r="P6" s="360"/>
      <c r="Q6" s="361"/>
      <c r="R6" s="361"/>
      <c r="S6" s="334">
        <v>99999.0</v>
      </c>
      <c r="T6" s="178"/>
      <c r="U6" s="177"/>
      <c r="V6" s="29"/>
      <c r="W6" s="178"/>
      <c r="X6" s="177"/>
      <c r="Y6" s="29"/>
      <c r="AA6" s="29">
        <v>-30.0</v>
      </c>
      <c r="AB6" s="359"/>
      <c r="AC6" s="360"/>
      <c r="AD6" s="361"/>
      <c r="AE6" s="361"/>
      <c r="AF6" s="334">
        <v>99999.0</v>
      </c>
      <c r="AG6" s="178"/>
      <c r="AH6" s="177"/>
      <c r="AI6" s="29"/>
      <c r="AJ6" s="178"/>
      <c r="AK6" s="177"/>
      <c r="AL6" s="29"/>
      <c r="AM6" s="178"/>
      <c r="AN6" s="177"/>
      <c r="AR6" s="3"/>
      <c r="AS6" s="3"/>
      <c r="AT6" s="3"/>
      <c r="AU6" s="178"/>
      <c r="AV6" s="177"/>
    </row>
    <row r="7" ht="15.0" customHeight="1">
      <c r="A7" s="29">
        <v>-20.0</v>
      </c>
      <c r="B7" s="356">
        <v>6.0</v>
      </c>
      <c r="C7" s="357">
        <v>5.8</v>
      </c>
      <c r="D7" s="285">
        <v>5.45</v>
      </c>
      <c r="E7" s="285">
        <v>5.2</v>
      </c>
      <c r="F7" s="337">
        <v>0.0</v>
      </c>
      <c r="G7" s="178"/>
      <c r="H7" s="177"/>
      <c r="J7" s="178"/>
      <c r="K7" s="177"/>
      <c r="N7" s="29">
        <v>-20.0</v>
      </c>
      <c r="O7" s="368"/>
      <c r="P7" s="369"/>
      <c r="Q7" s="183"/>
      <c r="R7" s="183"/>
      <c r="S7" s="337">
        <v>99999.0</v>
      </c>
      <c r="T7" s="178"/>
      <c r="U7" s="177"/>
      <c r="W7" s="178"/>
      <c r="X7" s="177"/>
      <c r="AA7" s="29">
        <v>-20.0</v>
      </c>
      <c r="AB7" s="368"/>
      <c r="AC7" s="369"/>
      <c r="AD7" s="183"/>
      <c r="AE7" s="183"/>
      <c r="AF7" s="337">
        <v>99999.0</v>
      </c>
      <c r="AG7" s="178"/>
      <c r="AH7" s="177"/>
      <c r="AJ7" s="178"/>
      <c r="AK7" s="177"/>
      <c r="AM7" s="178"/>
      <c r="AN7" s="177"/>
      <c r="AR7" s="3"/>
      <c r="AS7" s="3"/>
      <c r="AT7" s="3"/>
      <c r="AU7" s="178"/>
      <c r="AV7" s="177"/>
    </row>
    <row r="8" ht="15.0" customHeight="1">
      <c r="A8" s="29">
        <v>-10.0</v>
      </c>
      <c r="B8" s="356">
        <v>5.75</v>
      </c>
      <c r="C8" s="357">
        <v>5.5</v>
      </c>
      <c r="D8" s="285">
        <v>5.2</v>
      </c>
      <c r="E8" s="285">
        <v>4.9</v>
      </c>
      <c r="F8" s="337">
        <v>0.0</v>
      </c>
      <c r="G8" s="178"/>
      <c r="H8" s="177"/>
      <c r="J8" s="178"/>
      <c r="K8" s="177"/>
      <c r="N8" s="29">
        <v>-10.0</v>
      </c>
      <c r="O8" s="368"/>
      <c r="P8" s="369"/>
      <c r="Q8" s="183"/>
      <c r="R8" s="183"/>
      <c r="S8" s="337">
        <v>99999.0</v>
      </c>
      <c r="T8" s="178"/>
      <c r="U8" s="177"/>
      <c r="W8" s="178"/>
      <c r="X8" s="177"/>
      <c r="AA8" s="29">
        <v>-10.0</v>
      </c>
      <c r="AB8" s="368"/>
      <c r="AC8" s="369"/>
      <c r="AD8" s="183"/>
      <c r="AE8" s="183"/>
      <c r="AF8" s="337">
        <v>99999.0</v>
      </c>
      <c r="AG8" s="178"/>
      <c r="AH8" s="177"/>
      <c r="AJ8" s="178"/>
      <c r="AK8" s="177"/>
      <c r="AM8" s="178"/>
      <c r="AN8" s="177"/>
      <c r="AR8" s="3"/>
      <c r="AS8" s="3"/>
      <c r="AT8" s="3"/>
      <c r="AU8" s="178"/>
      <c r="AV8" s="177"/>
    </row>
    <row r="9" ht="15.0" customHeight="1">
      <c r="A9" s="29">
        <v>0.0</v>
      </c>
      <c r="B9" s="356">
        <v>5.5</v>
      </c>
      <c r="C9" s="357">
        <v>5.2</v>
      </c>
      <c r="D9" s="285">
        <v>4.9</v>
      </c>
      <c r="E9" s="285">
        <v>4.6</v>
      </c>
      <c r="F9" s="337">
        <v>0.0</v>
      </c>
      <c r="G9" s="178"/>
      <c r="H9" s="177"/>
      <c r="J9" s="178"/>
      <c r="K9" s="177"/>
      <c r="N9" s="29">
        <v>0.0</v>
      </c>
      <c r="O9" s="368"/>
      <c r="P9" s="369"/>
      <c r="Q9" s="183"/>
      <c r="R9" s="183"/>
      <c r="S9" s="337">
        <v>99999.0</v>
      </c>
      <c r="T9" s="178"/>
      <c r="U9" s="177"/>
      <c r="W9" s="178"/>
      <c r="X9" s="177"/>
      <c r="AA9" s="29">
        <v>0.0</v>
      </c>
      <c r="AB9" s="368"/>
      <c r="AC9" s="369"/>
      <c r="AD9" s="183"/>
      <c r="AE9" s="183"/>
      <c r="AF9" s="337">
        <v>99999.0</v>
      </c>
      <c r="AG9" s="178"/>
      <c r="AH9" s="177"/>
      <c r="AJ9" s="178"/>
      <c r="AK9" s="177"/>
      <c r="AM9" s="178"/>
      <c r="AN9" s="177"/>
      <c r="AR9" s="3"/>
      <c r="AS9" s="3"/>
      <c r="AT9" s="3"/>
      <c r="AU9" s="178"/>
      <c r="AV9" s="177"/>
    </row>
    <row r="10" ht="15.0" customHeight="1">
      <c r="A10" s="29">
        <v>10.0</v>
      </c>
      <c r="B10" s="356">
        <v>5.2</v>
      </c>
      <c r="C10" s="357">
        <v>4.9</v>
      </c>
      <c r="D10" s="285">
        <v>4.6</v>
      </c>
      <c r="E10" s="285">
        <v>4.4</v>
      </c>
      <c r="F10" s="337">
        <v>0.0</v>
      </c>
      <c r="G10" s="178"/>
      <c r="H10" s="177"/>
      <c r="J10" s="178"/>
      <c r="K10" s="177"/>
      <c r="N10" s="29">
        <v>10.0</v>
      </c>
      <c r="O10" s="368"/>
      <c r="P10" s="369"/>
      <c r="Q10" s="183"/>
      <c r="R10" s="183"/>
      <c r="S10" s="337">
        <v>99999.0</v>
      </c>
      <c r="T10" s="178"/>
      <c r="U10" s="177"/>
      <c r="W10" s="178"/>
      <c r="X10" s="177"/>
      <c r="AA10" s="29">
        <v>10.0</v>
      </c>
      <c r="AB10" s="368"/>
      <c r="AC10" s="369"/>
      <c r="AD10" s="183"/>
      <c r="AE10" s="183"/>
      <c r="AF10" s="337">
        <v>99999.0</v>
      </c>
      <c r="AG10" s="178"/>
      <c r="AH10" s="177"/>
      <c r="AJ10" s="178"/>
      <c r="AK10" s="177"/>
      <c r="AM10" s="178"/>
      <c r="AN10" s="177"/>
      <c r="AR10" s="3"/>
      <c r="AS10" s="3"/>
      <c r="AT10" s="3"/>
      <c r="AU10" s="178"/>
      <c r="AV10" s="177"/>
    </row>
    <row r="11" ht="15.0" customHeight="1">
      <c r="A11" s="29">
        <v>20.0</v>
      </c>
      <c r="B11" s="356">
        <v>4.95</v>
      </c>
      <c r="C11" s="357">
        <v>4.65</v>
      </c>
      <c r="D11" s="285">
        <v>4.4</v>
      </c>
      <c r="E11" s="285">
        <v>4.0</v>
      </c>
      <c r="F11" s="337">
        <v>0.0</v>
      </c>
      <c r="G11" s="178"/>
      <c r="H11" s="177"/>
      <c r="J11" s="178"/>
      <c r="K11" s="177"/>
      <c r="N11" s="29">
        <v>20.0</v>
      </c>
      <c r="O11" s="368"/>
      <c r="P11" s="369"/>
      <c r="Q11" s="183"/>
      <c r="R11" s="183"/>
      <c r="S11" s="337">
        <v>99999.0</v>
      </c>
      <c r="T11" s="178"/>
      <c r="U11" s="177"/>
      <c r="W11" s="178"/>
      <c r="X11" s="177"/>
      <c r="AA11" s="29">
        <v>20.0</v>
      </c>
      <c r="AB11" s="368"/>
      <c r="AC11" s="369"/>
      <c r="AD11" s="183"/>
      <c r="AE11" s="183"/>
      <c r="AF11" s="337">
        <v>99999.0</v>
      </c>
      <c r="AG11" s="178"/>
      <c r="AH11" s="177"/>
      <c r="AJ11" s="178"/>
      <c r="AK11" s="177"/>
      <c r="AM11" s="178"/>
      <c r="AN11" s="177"/>
      <c r="AR11" s="3"/>
      <c r="AS11" s="3"/>
      <c r="AT11" s="3"/>
      <c r="AU11" s="178"/>
      <c r="AV11" s="177"/>
    </row>
    <row r="12" ht="15.0" customHeight="1">
      <c r="A12" s="29">
        <v>30.0</v>
      </c>
      <c r="B12" s="356">
        <v>4.7</v>
      </c>
      <c r="C12" s="357">
        <v>4.25</v>
      </c>
      <c r="D12" s="285">
        <v>3.9</v>
      </c>
      <c r="E12" s="285">
        <v>3.4</v>
      </c>
      <c r="F12" s="337">
        <v>0.0</v>
      </c>
      <c r="G12" s="178"/>
      <c r="H12" s="177"/>
      <c r="J12" s="178"/>
      <c r="K12" s="177"/>
      <c r="N12" s="29"/>
      <c r="O12" s="368"/>
      <c r="P12" s="369"/>
      <c r="Q12" s="183"/>
      <c r="R12" s="183"/>
      <c r="S12" s="337"/>
      <c r="T12" s="178"/>
      <c r="U12" s="177"/>
      <c r="W12" s="178"/>
      <c r="X12" s="177"/>
      <c r="AA12" s="29">
        <v>30.0</v>
      </c>
      <c r="AB12" s="368"/>
      <c r="AC12" s="369"/>
      <c r="AD12" s="183"/>
      <c r="AE12" s="183"/>
      <c r="AF12" s="337">
        <v>99999.0</v>
      </c>
      <c r="AG12" s="178"/>
      <c r="AH12" s="177"/>
      <c r="AJ12" s="178"/>
      <c r="AK12" s="177"/>
      <c r="AM12" s="178"/>
      <c r="AN12" s="177"/>
      <c r="AR12" s="3"/>
      <c r="AS12" s="3"/>
      <c r="AT12" s="3"/>
      <c r="AU12" s="178"/>
      <c r="AV12" s="177"/>
    </row>
    <row r="13" ht="15.0" customHeight="1">
      <c r="A13" s="29">
        <v>40.0</v>
      </c>
      <c r="B13" s="356">
        <v>4.0</v>
      </c>
      <c r="C13" s="357">
        <v>3.4</v>
      </c>
      <c r="D13" s="285">
        <v>3.0</v>
      </c>
      <c r="E13" s="285">
        <v>2.5</v>
      </c>
      <c r="F13" s="337">
        <v>0.0</v>
      </c>
      <c r="G13" s="178"/>
      <c r="H13" s="177"/>
      <c r="J13" s="178"/>
      <c r="K13" s="177"/>
      <c r="N13" s="29">
        <v>30.0</v>
      </c>
      <c r="O13" s="368"/>
      <c r="P13" s="369"/>
      <c r="Q13" s="183"/>
      <c r="R13" s="183"/>
      <c r="S13" s="337">
        <v>99999.0</v>
      </c>
      <c r="T13" s="178"/>
      <c r="U13" s="177"/>
      <c r="W13" s="178"/>
      <c r="X13" s="177"/>
      <c r="AA13" s="29">
        <v>40.0</v>
      </c>
      <c r="AB13" s="368"/>
      <c r="AC13" s="369"/>
      <c r="AD13" s="183"/>
      <c r="AE13" s="183"/>
      <c r="AF13" s="337">
        <v>99999.0</v>
      </c>
      <c r="AG13" s="178"/>
      <c r="AH13" s="177"/>
      <c r="AJ13" s="178"/>
      <c r="AK13" s="177"/>
      <c r="AM13" s="178"/>
      <c r="AN13" s="177"/>
      <c r="AR13" s="3"/>
      <c r="AS13" s="3"/>
      <c r="AT13" s="3"/>
      <c r="AU13" s="178"/>
      <c r="AV13" s="177"/>
    </row>
    <row r="14" ht="15.0" customHeight="1">
      <c r="A14" s="29">
        <v>45.0</v>
      </c>
      <c r="B14" s="340">
        <v>0.0</v>
      </c>
      <c r="C14" s="341">
        <v>0.0</v>
      </c>
      <c r="D14" s="341">
        <v>0.0</v>
      </c>
      <c r="E14" s="341">
        <v>0.0</v>
      </c>
      <c r="F14" s="344">
        <v>0.0</v>
      </c>
      <c r="G14" s="178"/>
      <c r="H14" s="177"/>
      <c r="J14" s="178"/>
      <c r="K14" s="177"/>
      <c r="N14" s="29">
        <v>35.0</v>
      </c>
      <c r="O14" s="340">
        <v>99999.0</v>
      </c>
      <c r="P14" s="341">
        <v>99999.0</v>
      </c>
      <c r="Q14" s="341">
        <v>99999.0</v>
      </c>
      <c r="R14" s="341">
        <v>99999.0</v>
      </c>
      <c r="S14" s="344">
        <v>99999.0</v>
      </c>
      <c r="T14" s="178"/>
      <c r="U14" s="177"/>
      <c r="W14" s="178"/>
      <c r="X14" s="177"/>
      <c r="AA14" s="29">
        <v>45.0</v>
      </c>
      <c r="AB14" s="340">
        <v>99999.0</v>
      </c>
      <c r="AC14" s="341">
        <v>99999.0</v>
      </c>
      <c r="AD14" s="341">
        <v>99999.0</v>
      </c>
      <c r="AE14" s="341">
        <v>99999.0</v>
      </c>
      <c r="AF14" s="344">
        <v>99999.0</v>
      </c>
      <c r="AG14" s="178"/>
      <c r="AH14" s="177"/>
      <c r="AJ14" s="178"/>
      <c r="AK14" s="177"/>
      <c r="AM14" s="178"/>
      <c r="AN14" s="177"/>
      <c r="AR14" s="3"/>
      <c r="AS14" s="3"/>
      <c r="AT14" s="3"/>
      <c r="AU14" s="178"/>
      <c r="AV14" s="177"/>
    </row>
    <row r="15" ht="15.0" customHeight="1">
      <c r="B15" s="178"/>
      <c r="C15" s="177"/>
      <c r="D15" s="29"/>
      <c r="E15" s="29"/>
      <c r="F15" s="29"/>
      <c r="G15" s="3"/>
      <c r="H15" s="3"/>
      <c r="I15" s="3"/>
      <c r="J15" s="178"/>
      <c r="K15" s="177"/>
      <c r="O15" s="178"/>
      <c r="P15" s="177"/>
      <c r="Q15" s="29"/>
      <c r="R15" s="29"/>
      <c r="S15" s="29"/>
      <c r="T15" s="3"/>
      <c r="U15" s="3"/>
      <c r="V15" s="3"/>
      <c r="W15" s="178"/>
      <c r="X15" s="177"/>
      <c r="Z15" s="178"/>
      <c r="AB15" s="178"/>
      <c r="AC15" s="177"/>
      <c r="AD15" s="29"/>
      <c r="AE15" s="29"/>
      <c r="AF15" s="29"/>
      <c r="AG15" s="3"/>
      <c r="AH15" s="3"/>
      <c r="AI15" s="3"/>
      <c r="AJ15" s="178"/>
      <c r="AK15" s="177"/>
      <c r="AM15" s="3"/>
      <c r="AN15" s="3"/>
      <c r="AO15" s="3"/>
      <c r="AP15" s="178"/>
      <c r="AQ15" s="177"/>
      <c r="AU15" s="3"/>
      <c r="AV15" s="3"/>
      <c r="AW15" s="3"/>
      <c r="AX15" s="178"/>
      <c r="AY15" s="177"/>
    </row>
    <row r="16" ht="15.0" customHeight="1">
      <c r="B16" s="178" t="s">
        <v>134</v>
      </c>
      <c r="C16" s="177">
        <f>D1</f>
        <v>35</v>
      </c>
      <c r="D16" s="167" t="s">
        <v>239</v>
      </c>
      <c r="G16" s="3"/>
      <c r="H16" s="3"/>
      <c r="I16" s="3"/>
      <c r="J16" s="178"/>
      <c r="K16" s="177"/>
      <c r="L16" s="141"/>
      <c r="O16" s="178" t="s">
        <v>134</v>
      </c>
      <c r="P16" s="177">
        <f>D1</f>
        <v>35</v>
      </c>
      <c r="Q16" s="167" t="s">
        <v>239</v>
      </c>
      <c r="T16" s="3"/>
      <c r="U16" s="3"/>
      <c r="V16" s="3"/>
      <c r="W16" s="178"/>
      <c r="X16" s="177"/>
      <c r="Y16" s="141"/>
      <c r="Z16" s="178"/>
      <c r="AB16" s="178" t="s">
        <v>134</v>
      </c>
      <c r="AC16" s="177">
        <f>D1</f>
        <v>35</v>
      </c>
      <c r="AD16" s="167" t="s">
        <v>239</v>
      </c>
      <c r="AG16" s="3"/>
      <c r="AH16" s="3"/>
      <c r="AI16" s="3"/>
      <c r="AJ16" s="178"/>
      <c r="AK16" s="177"/>
      <c r="AL16" s="141"/>
      <c r="AM16" s="3"/>
      <c r="AN16" s="3"/>
      <c r="AO16" s="3"/>
      <c r="AP16" s="178"/>
      <c r="AQ16" s="177"/>
      <c r="AR16" s="167"/>
      <c r="AU16" s="3"/>
      <c r="AV16" s="3"/>
      <c r="AW16" s="3"/>
      <c r="AX16" s="178"/>
      <c r="AY16" s="177"/>
      <c r="AZ16" s="167"/>
    </row>
    <row r="17" ht="15.0" customHeight="1">
      <c r="B17" s="129" t="s">
        <v>240</v>
      </c>
      <c r="C17" s="182">
        <f t="array" ref="C17">INDEX(B5:F5,MATCH(C16,B5:F5,1))</f>
        <v>0</v>
      </c>
      <c r="D17" s="129" t="s">
        <v>131</v>
      </c>
      <c r="E17" s="155">
        <f>MATCH(MAX(A6:A14),A6:A14,1)</f>
        <v>9</v>
      </c>
      <c r="G17" s="3"/>
      <c r="H17" s="3"/>
      <c r="I17" s="3"/>
      <c r="J17" s="129"/>
      <c r="K17" s="182"/>
      <c r="L17" s="129"/>
      <c r="M17" s="155"/>
      <c r="O17" s="129" t="s">
        <v>240</v>
      </c>
      <c r="P17" s="182">
        <f t="array" ref="P17">INDEX(O5:S5,MATCH(P16,O5:S5,1))</f>
        <v>0</v>
      </c>
      <c r="Q17" s="129" t="s">
        <v>131</v>
      </c>
      <c r="R17" s="155">
        <f>MATCH(MAX(N6:N14),N6:N14,1)</f>
        <v>9</v>
      </c>
      <c r="T17" s="3"/>
      <c r="U17" s="3"/>
      <c r="V17" s="3"/>
      <c r="W17" s="129"/>
      <c r="X17" s="182"/>
      <c r="Y17" s="129"/>
      <c r="Z17" s="129"/>
      <c r="AB17" s="129" t="s">
        <v>240</v>
      </c>
      <c r="AC17" s="182">
        <f t="array" ref="AC17">INDEX(AB5:AF5,MATCH(AC16,AB5:AF5,1))</f>
        <v>0</v>
      </c>
      <c r="AD17" s="129" t="s">
        <v>131</v>
      </c>
      <c r="AE17" s="155">
        <f>MATCH(MAX(AA6:AA14),AA6:AA14,1)</f>
        <v>9</v>
      </c>
      <c r="AG17" s="3"/>
      <c r="AH17" s="3"/>
      <c r="AI17" s="3"/>
      <c r="AJ17" s="129"/>
      <c r="AK17" s="182"/>
      <c r="AL17" s="129"/>
      <c r="AM17" s="3"/>
      <c r="AN17" s="3"/>
      <c r="AO17" s="3"/>
      <c r="AP17" s="129"/>
      <c r="AQ17" s="182"/>
      <c r="AR17" s="129"/>
      <c r="AS17" s="155"/>
      <c r="AU17" s="3"/>
      <c r="AV17" s="3"/>
      <c r="AW17" s="3"/>
      <c r="AX17" s="129"/>
      <c r="AY17" s="182"/>
      <c r="AZ17" s="129"/>
    </row>
    <row r="18" ht="15.0" customHeight="1">
      <c r="B18" s="129" t="s">
        <v>241</v>
      </c>
      <c r="C18" s="182">
        <f t="array" ref="C18">INDEX(B5:F5,IF(MATCH(C16,B5:F5,1)&lt;E18,MATCH(C16,B5:F5,1)+1,MATCH(C16,B5:F5,1)))</f>
        <v>1000</v>
      </c>
      <c r="D18" s="129" t="s">
        <v>132</v>
      </c>
      <c r="E18" s="155">
        <f>MATCH(MAX(B5:F5),B5:F5,0)</f>
        <v>5</v>
      </c>
      <c r="G18" s="3"/>
      <c r="H18" s="3"/>
      <c r="I18" s="3"/>
      <c r="J18" s="129"/>
      <c r="K18" s="182"/>
      <c r="L18" s="129"/>
      <c r="M18" s="155"/>
      <c r="O18" s="129" t="s">
        <v>241</v>
      </c>
      <c r="P18" s="182">
        <f t="array" ref="P18">INDEX(O5:S5,IF(MATCH(P16,O5:S5,1)&lt;R18,MATCH(P16,O5:S5,1)+1,MATCH(P16,O5:S5,1)))</f>
        <v>1000</v>
      </c>
      <c r="Q18" s="129" t="s">
        <v>132</v>
      </c>
      <c r="R18" s="155">
        <f>MATCH(MAX(O5:S5),O5:S5,0)</f>
        <v>5</v>
      </c>
      <c r="T18" s="3"/>
      <c r="U18" s="3"/>
      <c r="V18" s="3"/>
      <c r="W18" s="129"/>
      <c r="X18" s="182"/>
      <c r="Y18" s="129"/>
      <c r="Z18" s="129"/>
      <c r="AB18" s="129" t="s">
        <v>241</v>
      </c>
      <c r="AC18" s="182">
        <f t="array" ref="AC18">INDEX(AB5:AF5,IF(MATCH(AC16,AB5:AF5,1)&lt;AE18,MATCH(AC16,AB5:AF5,1)+1,MATCH(AC16,AB5:AF5,1)))</f>
        <v>1000</v>
      </c>
      <c r="AD18" s="129" t="s">
        <v>132</v>
      </c>
      <c r="AE18" s="155">
        <f>MATCH(MAX(AB5:AF5),AB5:AF5,0)</f>
        <v>5</v>
      </c>
      <c r="AG18" s="3"/>
      <c r="AH18" s="3"/>
      <c r="AI18" s="3"/>
      <c r="AJ18" s="129"/>
      <c r="AK18" s="182"/>
      <c r="AL18" s="129"/>
      <c r="AM18" s="3"/>
      <c r="AN18" s="3"/>
      <c r="AO18" s="3"/>
      <c r="AP18" s="129"/>
      <c r="AQ18" s="182"/>
      <c r="AR18" s="129"/>
      <c r="AS18" s="155"/>
      <c r="AU18" s="3"/>
      <c r="AV18" s="3"/>
      <c r="AW18" s="3"/>
      <c r="AX18" s="129"/>
      <c r="AY18" s="182"/>
      <c r="AZ18" s="129"/>
    </row>
    <row r="19" ht="15.0" customHeight="1">
      <c r="B19" s="176" t="s">
        <v>136</v>
      </c>
      <c r="C19" s="274">
        <f>D2</f>
        <v>-2</v>
      </c>
      <c r="D19" s="3"/>
      <c r="E19" s="3"/>
      <c r="G19" s="3"/>
      <c r="H19" s="3"/>
      <c r="I19" s="3"/>
      <c r="J19" s="178"/>
      <c r="K19" s="274"/>
      <c r="L19" s="3"/>
      <c r="M19" s="3"/>
      <c r="O19" s="176" t="s">
        <v>136</v>
      </c>
      <c r="P19" s="274">
        <f>D2</f>
        <v>-2</v>
      </c>
      <c r="Q19" s="3"/>
      <c r="R19" s="3"/>
      <c r="T19" s="3"/>
      <c r="U19" s="3"/>
      <c r="V19" s="3"/>
      <c r="W19" s="178"/>
      <c r="X19" s="274"/>
      <c r="Y19" s="3"/>
      <c r="Z19" s="178"/>
      <c r="AB19" s="176" t="s">
        <v>136</v>
      </c>
      <c r="AC19" s="274">
        <f>D2</f>
        <v>-2</v>
      </c>
      <c r="AD19" s="3"/>
      <c r="AE19" s="3"/>
      <c r="AG19" s="3"/>
      <c r="AH19" s="3"/>
      <c r="AI19" s="3"/>
      <c r="AJ19" s="178"/>
      <c r="AK19" s="274"/>
      <c r="AL19" s="3"/>
      <c r="AM19" s="3"/>
      <c r="AN19" s="3"/>
      <c r="AO19" s="3"/>
      <c r="AP19" s="178"/>
      <c r="AQ19" s="274"/>
      <c r="AR19" s="3"/>
      <c r="AS19" s="3"/>
      <c r="AU19" s="3"/>
      <c r="AV19" s="3"/>
      <c r="AW19" s="3"/>
      <c r="AX19" s="178"/>
      <c r="AY19" s="274"/>
      <c r="AZ19" s="3"/>
    </row>
    <row r="20" ht="15.0" customHeight="1">
      <c r="B20" s="129" t="s">
        <v>139</v>
      </c>
      <c r="C20" s="182">
        <f t="array" ref="C20">INDEX(A6:A14,MATCH(C19,A6:A14,1))</f>
        <v>-10</v>
      </c>
      <c r="D20" s="3"/>
      <c r="E20" s="161"/>
      <c r="G20" s="3"/>
      <c r="H20" s="3"/>
      <c r="I20" s="3"/>
      <c r="J20" s="129"/>
      <c r="K20" s="182"/>
      <c r="L20" s="3"/>
      <c r="M20" s="161"/>
      <c r="O20" s="129" t="s">
        <v>139</v>
      </c>
      <c r="P20" s="182">
        <f t="array" ref="P20">INDEX(N6:N14,MATCH(P19,N6:N14,1))</f>
        <v>-10</v>
      </c>
      <c r="Q20" s="3"/>
      <c r="R20" s="161"/>
      <c r="T20" s="3"/>
      <c r="U20" s="3"/>
      <c r="V20" s="3"/>
      <c r="W20" s="129"/>
      <c r="X20" s="182"/>
      <c r="Y20" s="3"/>
      <c r="Z20" s="129"/>
      <c r="AB20" s="129" t="s">
        <v>139</v>
      </c>
      <c r="AC20" s="182">
        <f t="array" ref="AC20">INDEX(AA6:AA14,MATCH(AC19,AA6:AA14,1))</f>
        <v>-10</v>
      </c>
      <c r="AD20" s="3"/>
      <c r="AE20" s="161"/>
      <c r="AG20" s="3"/>
      <c r="AH20" s="3"/>
      <c r="AI20" s="3"/>
      <c r="AJ20" s="129"/>
      <c r="AK20" s="182"/>
      <c r="AL20" s="3"/>
      <c r="AM20" s="3"/>
      <c r="AN20" s="3"/>
      <c r="AO20" s="3"/>
      <c r="AP20" s="129"/>
      <c r="AQ20" s="182"/>
      <c r="AR20" s="3"/>
      <c r="AS20" s="161"/>
      <c r="AU20" s="3"/>
      <c r="AV20" s="3"/>
      <c r="AW20" s="3"/>
      <c r="AX20" s="129"/>
      <c r="AY20" s="182"/>
      <c r="AZ20" s="3"/>
    </row>
    <row r="21" ht="15.0" customHeight="1">
      <c r="B21" s="129" t="s">
        <v>145</v>
      </c>
      <c r="C21" s="182">
        <f t="array" ref="C21">INDEX(A6:A14,IF(MATCH(C19,A6:A14,1)&lt;E17,MATCH(C19,A6:A14,1)+1,MATCH(C19,A6:A14,1)))</f>
        <v>0</v>
      </c>
      <c r="D21" s="3"/>
      <c r="E21" s="161"/>
      <c r="G21" s="3"/>
      <c r="H21" s="3"/>
      <c r="I21" s="3"/>
      <c r="J21" s="129"/>
      <c r="K21" s="182"/>
      <c r="L21" s="3"/>
      <c r="M21" s="161"/>
      <c r="O21" s="129" t="s">
        <v>145</v>
      </c>
      <c r="P21" s="182">
        <f t="array" ref="P21">INDEX(N6:N14,IF(MATCH(P19,N6:N14,1)&lt;R17,MATCH(P19,N6:N14,1)+1,MATCH(P19,N6:N14,1)))</f>
        <v>0</v>
      </c>
      <c r="Q21" s="3"/>
      <c r="R21" s="161"/>
      <c r="T21" s="3"/>
      <c r="U21" s="3"/>
      <c r="V21" s="3"/>
      <c r="W21" s="129"/>
      <c r="X21" s="182"/>
      <c r="Y21" s="3"/>
      <c r="Z21" s="129"/>
      <c r="AB21" s="129" t="s">
        <v>145</v>
      </c>
      <c r="AC21" s="182">
        <f t="array" ref="AC21">INDEX(AA6:AA14,IF(MATCH(AC19,AA6:AA14,1)&lt;AE17,MATCH(AC19,AA6:AA14,1)+1,MATCH(AC19,AA6:AA14,1)))</f>
        <v>0</v>
      </c>
      <c r="AD21" s="3"/>
      <c r="AE21" s="161"/>
      <c r="AG21" s="3"/>
      <c r="AH21" s="3"/>
      <c r="AI21" s="3"/>
      <c r="AJ21" s="129"/>
      <c r="AK21" s="182"/>
      <c r="AL21" s="3"/>
      <c r="AM21" s="3"/>
      <c r="AN21" s="3"/>
      <c r="AO21" s="3"/>
      <c r="AP21" s="129"/>
      <c r="AQ21" s="182"/>
      <c r="AR21" s="3"/>
      <c r="AS21" s="161"/>
      <c r="AU21" s="3"/>
      <c r="AV21" s="3"/>
      <c r="AW21" s="3"/>
      <c r="AX21" s="129"/>
      <c r="AY21" s="182"/>
      <c r="AZ21" s="3"/>
    </row>
    <row r="22" ht="15.0" customHeight="1">
      <c r="B22" s="178" t="s">
        <v>165</v>
      </c>
      <c r="C22" s="177">
        <f t="array" ref="C22">INDEX(B6:F14,MATCH(C19,A6:A14,1),MATCH(C16,B5:F5,1))</f>
        <v>5.75</v>
      </c>
      <c r="D22" s="3"/>
      <c r="E22" s="161"/>
      <c r="G22" s="3"/>
      <c r="H22" s="3"/>
      <c r="I22" s="3"/>
      <c r="J22" s="178"/>
      <c r="K22" s="177"/>
      <c r="L22" s="3"/>
      <c r="M22" s="161"/>
      <c r="O22" s="178" t="s">
        <v>165</v>
      </c>
      <c r="P22" s="177" t="str">
        <f t="array" ref="P22">INDEX(O6:S14,MATCH(P19,N6:N14,1),MATCH(P16,O5:S5,1))</f>
        <v/>
      </c>
      <c r="Q22" s="3"/>
      <c r="R22" s="161"/>
      <c r="T22" s="3"/>
      <c r="U22" s="3"/>
      <c r="V22" s="3"/>
      <c r="W22" s="178"/>
      <c r="X22" s="177"/>
      <c r="Y22" s="3"/>
      <c r="Z22" s="178"/>
      <c r="AB22" s="178" t="s">
        <v>165</v>
      </c>
      <c r="AC22" s="177" t="str">
        <f t="array" ref="AC22">INDEX(AB6:AF14,MATCH(AC19,AA6:AA14,1),MATCH(AC16,AB5:AF5,1))</f>
        <v/>
      </c>
      <c r="AD22" s="3"/>
      <c r="AE22" s="161"/>
      <c r="AG22" s="3"/>
      <c r="AH22" s="3"/>
      <c r="AI22" s="3"/>
      <c r="AJ22" s="178"/>
      <c r="AK22" s="177"/>
      <c r="AL22" s="3"/>
      <c r="AM22" s="3"/>
      <c r="AN22" s="3"/>
      <c r="AO22" s="3"/>
      <c r="AP22" s="178"/>
      <c r="AQ22" s="177"/>
      <c r="AR22" s="3"/>
      <c r="AS22" s="161"/>
      <c r="AU22" s="3"/>
      <c r="AV22" s="3"/>
      <c r="AW22" s="3"/>
      <c r="AX22" s="178"/>
      <c r="AY22" s="177"/>
      <c r="AZ22" s="3"/>
    </row>
    <row r="23" ht="15.0" customHeight="1">
      <c r="B23" s="178" t="s">
        <v>249</v>
      </c>
      <c r="C23" s="177">
        <f t="array" ref="C23">INDEX(B6:F14,MATCH(C19,A6:A14,1),IF(MATCH(C16,B5:F5,1)&lt;E18,MATCH(C16,B5:F5,1)+1,MATCH(C19,A6:A14,1)))</f>
        <v>5.5</v>
      </c>
      <c r="E23" s="161"/>
      <c r="G23" s="3"/>
      <c r="H23" s="3"/>
      <c r="I23" s="3"/>
      <c r="J23" s="178"/>
      <c r="K23" s="177"/>
      <c r="M23" s="161"/>
      <c r="O23" s="178" t="s">
        <v>249</v>
      </c>
      <c r="P23" s="177" t="str">
        <f t="array" ref="P23">INDEX(O6:S14,MATCH(P19,N6:N14,1),IF(MATCH(P16,O5:S5,1)&lt;R18,MATCH(P16,O5:S5,1)+1,MATCH(P19,N6:N14,1)))</f>
        <v/>
      </c>
      <c r="R23" s="161"/>
      <c r="T23" s="3"/>
      <c r="U23" s="3"/>
      <c r="V23" s="3"/>
      <c r="W23" s="178"/>
      <c r="X23" s="177"/>
      <c r="Z23" s="178"/>
      <c r="AB23" s="178" t="s">
        <v>249</v>
      </c>
      <c r="AC23" s="177" t="str">
        <f t="array" ref="AC23">INDEX(AB6:AF14,MATCH(AC19,AA6:AA14,1),IF(MATCH(AC16,AB5:AF5,1)&lt;AE18,MATCH(AC16,AB5:AF5,1)+1,MATCH(AC19,AA6:AA14,1)))</f>
        <v/>
      </c>
      <c r="AE23" s="161"/>
      <c r="AG23" s="3"/>
      <c r="AH23" s="3"/>
      <c r="AI23" s="3"/>
      <c r="AJ23" s="178"/>
      <c r="AK23" s="177"/>
      <c r="AM23" s="3"/>
      <c r="AN23" s="3"/>
      <c r="AO23" s="3"/>
      <c r="AP23" s="178"/>
      <c r="AQ23" s="177"/>
      <c r="AS23" s="161"/>
      <c r="AU23" s="3"/>
      <c r="AV23" s="3"/>
      <c r="AW23" s="3"/>
      <c r="AX23" s="178"/>
      <c r="AY23" s="177"/>
    </row>
    <row r="24" ht="15.0" customHeight="1">
      <c r="B24" s="178" t="s">
        <v>177</v>
      </c>
      <c r="C24" s="177">
        <f t="array" ref="C24">INDEX(B6:F14,IF(MATCH(C19,A6:A14,1)&lt;E17,MATCH(C19,A6:A14,1)+1,MATCH(C19,A6:A14,1)),MATCH(C16,B5:F5,1))</f>
        <v>5.5</v>
      </c>
      <c r="E24" s="161"/>
      <c r="G24" s="3"/>
      <c r="H24" s="3"/>
      <c r="I24" s="3"/>
      <c r="J24" s="178"/>
      <c r="K24" s="177"/>
      <c r="M24" s="161"/>
      <c r="O24" s="178" t="s">
        <v>177</v>
      </c>
      <c r="P24" s="177" t="str">
        <f t="array" ref="P24">INDEX(O6:S14,IF(MATCH(P19,N6:N14,1)&lt;R17,MATCH(P19,N6:N14,1)+1,MATCH(P19,N6:N14,1)),MATCH(P16,O5:S5,1))</f>
        <v/>
      </c>
      <c r="R24" s="161"/>
      <c r="T24" s="3"/>
      <c r="U24" s="3"/>
      <c r="V24" s="3"/>
      <c r="W24" s="178"/>
      <c r="X24" s="177"/>
      <c r="Z24" s="178"/>
      <c r="AB24" s="178" t="s">
        <v>177</v>
      </c>
      <c r="AC24" s="177" t="str">
        <f t="array" ref="AC24">INDEX(AB6:AF14,IF(MATCH(AC19,AA6:AA14,1)&lt;AE17,MATCH(AC19,AA6:AA14,1)+1,MATCH(AC19,AA6:AA14,1)),MATCH(AC16,AB5:AF5,1))</f>
        <v/>
      </c>
      <c r="AE24" s="161"/>
      <c r="AG24" s="3"/>
      <c r="AH24" s="3"/>
      <c r="AI24" s="3"/>
      <c r="AJ24" s="178"/>
      <c r="AK24" s="177"/>
      <c r="AM24" s="3"/>
      <c r="AN24" s="3"/>
      <c r="AO24" s="3"/>
      <c r="AP24" s="178"/>
      <c r="AQ24" s="177"/>
      <c r="AS24" s="161"/>
      <c r="AU24" s="3"/>
      <c r="AV24" s="3"/>
      <c r="AW24" s="3"/>
      <c r="AX24" s="178"/>
      <c r="AY24" s="177"/>
    </row>
    <row r="25" ht="15.0" customHeight="1">
      <c r="B25" s="178" t="s">
        <v>250</v>
      </c>
      <c r="C25" s="177">
        <f t="array" ref="C25">INDEX(B6:F14,IF(MATCH(C19,A6:A14,1)&lt;E17,MATCH(C19,A6:A14,1)+1,MATCH(C19,A6:A14,1)),IF(MATCH(C16,B5:F5,1)&lt;E18,MATCH(C16,B5:F5,1)+1,MATCH(C16,B5:F5,1)))</f>
        <v>5.2</v>
      </c>
      <c r="G25" s="3"/>
      <c r="H25" s="3"/>
      <c r="I25" s="3"/>
      <c r="J25" s="178"/>
      <c r="K25" s="177"/>
      <c r="O25" s="178" t="s">
        <v>250</v>
      </c>
      <c r="P25" s="177" t="str">
        <f t="array" ref="P25">INDEX(O6:S14,IF(MATCH(P19,N6:N14,1)&lt;R17,MATCH(P19,N6:N14,1)+1,MATCH(P19,N6:N14,1)),IF(MATCH(P16,O5:S5,1)&lt;R18,MATCH(P16,O5:S5,1)+1,MATCH(P16,O5:S5,1)))</f>
        <v/>
      </c>
      <c r="T25" s="3"/>
      <c r="U25" s="3"/>
      <c r="V25" s="3"/>
      <c r="W25" s="178"/>
      <c r="X25" s="177"/>
      <c r="Z25" s="178"/>
      <c r="AB25" s="178" t="s">
        <v>250</v>
      </c>
      <c r="AC25" s="177" t="str">
        <f t="array" ref="AC25">INDEX(AB6:AF14,IF(MATCH(AC19,AA6:AA14,1)&lt;AE17,MATCH(AC19,AA6:AA14,1)+1,MATCH(AC19,AA6:AA14,1)),IF(MATCH(AC16,AB5:AF5,1)&lt;AE18,MATCH(AC16,AB5:AF5,1)+1,MATCH(AC16,AB5:AF5,1)))</f>
        <v/>
      </c>
      <c r="AG25" s="3"/>
      <c r="AH25" s="3"/>
      <c r="AI25" s="3"/>
      <c r="AJ25" s="178"/>
      <c r="AK25" s="177"/>
      <c r="AM25" s="3"/>
      <c r="AN25" s="3"/>
      <c r="AO25" s="3"/>
      <c r="AP25" s="178"/>
      <c r="AQ25" s="177"/>
      <c r="AU25" s="3"/>
      <c r="AV25" s="3"/>
      <c r="AW25" s="3"/>
      <c r="AX25" s="178"/>
      <c r="AY25" s="177"/>
    </row>
    <row r="26" ht="15.0" customHeight="1">
      <c r="B26" s="129" t="s">
        <v>252</v>
      </c>
      <c r="C26" s="182">
        <f>IFERROR(C22+(C16-C17)*(C23-C22)/(C18-C17),C22)</f>
        <v>5.74125</v>
      </c>
      <c r="G26" s="3"/>
      <c r="H26" s="3"/>
      <c r="I26" s="3"/>
      <c r="J26" s="129"/>
      <c r="K26" s="182"/>
      <c r="O26" s="129" t="s">
        <v>252</v>
      </c>
      <c r="P26" s="182">
        <f>IFERROR(P22+(P16-P17)*(P23-P22)/(P18-P17),P22)</f>
        <v>0</v>
      </c>
      <c r="T26" s="3"/>
      <c r="U26" s="3"/>
      <c r="V26" s="3"/>
      <c r="W26" s="129"/>
      <c r="X26" s="182"/>
      <c r="Z26" s="129"/>
      <c r="AB26" s="129" t="s">
        <v>252</v>
      </c>
      <c r="AC26" s="182">
        <f>IFERROR(AC22+(AC16-AC17)*(AC23-AC22)/(AC18-AC17),AC22)</f>
        <v>0</v>
      </c>
      <c r="AG26" s="3"/>
      <c r="AH26" s="3"/>
      <c r="AI26" s="3"/>
      <c r="AJ26" s="129"/>
      <c r="AK26" s="182"/>
      <c r="AM26" s="3"/>
      <c r="AN26" s="3"/>
      <c r="AO26" s="3"/>
      <c r="AP26" s="129"/>
      <c r="AQ26" s="182"/>
      <c r="AU26" s="3"/>
      <c r="AV26" s="3"/>
      <c r="AW26" s="3"/>
      <c r="AX26" s="129"/>
      <c r="AY26" s="182"/>
    </row>
    <row r="27" ht="15.0" customHeight="1">
      <c r="B27" s="129" t="s">
        <v>253</v>
      </c>
      <c r="C27" s="182">
        <f>IFERROR(C24+(C16-C17)*(C25-C24)/(C18-C17),C24)</f>
        <v>5.4895</v>
      </c>
      <c r="G27" s="3"/>
      <c r="H27" s="3"/>
      <c r="I27" s="3"/>
      <c r="J27" s="129"/>
      <c r="K27" s="182"/>
      <c r="O27" s="129" t="s">
        <v>253</v>
      </c>
      <c r="P27" s="182">
        <f>IFERROR(P24+(P16-P17)*(P25-P24)/(P18-P17),P24)</f>
        <v>0</v>
      </c>
      <c r="T27" s="3"/>
      <c r="U27" s="3"/>
      <c r="V27" s="3"/>
      <c r="W27" s="129"/>
      <c r="X27" s="182"/>
      <c r="Z27" s="129"/>
      <c r="AB27" s="129" t="s">
        <v>253</v>
      </c>
      <c r="AC27" s="182">
        <f>IFERROR(AC24+(AC16-AC17)*(AC25-AC24)/(AC18-AC17),AC24)</f>
        <v>0</v>
      </c>
      <c r="AG27" s="3"/>
      <c r="AH27" s="3"/>
      <c r="AI27" s="3"/>
      <c r="AJ27" s="129"/>
      <c r="AK27" s="182"/>
      <c r="AM27" s="3"/>
      <c r="AN27" s="3"/>
      <c r="AO27" s="3"/>
      <c r="AP27" s="129"/>
      <c r="AQ27" s="182"/>
      <c r="AU27" s="3"/>
      <c r="AV27" s="3"/>
      <c r="AW27" s="3"/>
      <c r="AX27" s="129"/>
      <c r="AY27" s="182"/>
    </row>
    <row r="28" ht="15.0" customHeight="1">
      <c r="B28" s="178" t="s">
        <v>254</v>
      </c>
      <c r="C28" s="177">
        <f>IFERROR(C26+(C19-C20)*(C27-C26)/(C21-C20),C26)</f>
        <v>5.53985</v>
      </c>
      <c r="G28" s="3"/>
      <c r="H28" s="3"/>
      <c r="I28" s="3"/>
      <c r="J28" s="178"/>
      <c r="K28" s="177"/>
      <c r="O28" s="178" t="s">
        <v>254</v>
      </c>
      <c r="P28" s="177">
        <f>IFERROR(P26+(P19-P20)*(P27-P26)/(P21-P20),P26)</f>
        <v>0</v>
      </c>
      <c r="T28" s="3"/>
      <c r="U28" s="3"/>
      <c r="V28" s="3"/>
      <c r="W28" s="178"/>
      <c r="X28" s="177"/>
      <c r="Z28" s="178"/>
      <c r="AB28" s="178" t="s">
        <v>254</v>
      </c>
      <c r="AC28" s="177">
        <f>IFERROR(AC26+(AC19-AC20)*(AC27-AC26)/(AC21-AC20),AC26)</f>
        <v>0</v>
      </c>
      <c r="AG28" s="3"/>
      <c r="AH28" s="3"/>
      <c r="AI28" s="3"/>
      <c r="AJ28" s="178"/>
      <c r="AK28" s="177"/>
      <c r="AM28" s="3"/>
      <c r="AN28" s="3"/>
      <c r="AO28" s="3"/>
      <c r="AP28" s="178"/>
      <c r="AQ28" s="177"/>
      <c r="AU28" s="3"/>
      <c r="AV28" s="3"/>
      <c r="AW28" s="3"/>
      <c r="AX28" s="178"/>
      <c r="AY28" s="177"/>
    </row>
    <row r="29" ht="15.75" customHeight="1"/>
    <row r="30" ht="15.0" customHeight="1">
      <c r="A30" s="29"/>
      <c r="B30" s="167" t="s">
        <v>269</v>
      </c>
      <c r="H30" s="141"/>
      <c r="I30" s="141"/>
      <c r="J30" s="141"/>
      <c r="K30" s="141"/>
      <c r="L30" s="141"/>
      <c r="M30" s="141"/>
      <c r="N30" s="29"/>
      <c r="O30" s="167" t="s">
        <v>255</v>
      </c>
      <c r="U30" s="141"/>
      <c r="V30" s="141"/>
      <c r="W30" s="141"/>
      <c r="X30" s="141"/>
      <c r="Y30" s="141"/>
      <c r="AA30" s="29"/>
      <c r="AB30" s="167" t="s">
        <v>255</v>
      </c>
      <c r="AH30" s="141"/>
      <c r="AI30" s="141"/>
      <c r="AJ30" s="141"/>
      <c r="AK30" s="141"/>
      <c r="AL30" s="141"/>
    </row>
    <row r="31" ht="15.0" customHeight="1">
      <c r="A31" s="29" t="s">
        <v>142</v>
      </c>
      <c r="B31" s="349">
        <v>2.0</v>
      </c>
      <c r="C31" s="370">
        <v>3.0</v>
      </c>
      <c r="D31" s="355">
        <v>4.0</v>
      </c>
      <c r="E31" s="355">
        <v>5.0</v>
      </c>
      <c r="F31" s="355">
        <v>6.0</v>
      </c>
      <c r="G31" s="334">
        <v>7.0</v>
      </c>
      <c r="H31" s="29"/>
      <c r="I31" s="29"/>
      <c r="J31" s="29"/>
      <c r="K31" s="29"/>
      <c r="L31" s="29"/>
      <c r="M31" s="29"/>
      <c r="O31" s="29" t="s">
        <v>142</v>
      </c>
      <c r="P31" s="349">
        <v>1.0</v>
      </c>
      <c r="Q31" s="353">
        <v>2.0</v>
      </c>
      <c r="R31" s="355">
        <v>3.0</v>
      </c>
      <c r="S31" s="355">
        <v>4.0</v>
      </c>
      <c r="T31" s="334">
        <v>5.0</v>
      </c>
      <c r="U31" s="29"/>
      <c r="V31" s="29"/>
      <c r="W31" s="29"/>
      <c r="X31" s="29"/>
      <c r="AA31" s="29" t="s">
        <v>142</v>
      </c>
      <c r="AB31" s="349">
        <v>0.9</v>
      </c>
      <c r="AC31" s="353">
        <v>2.0</v>
      </c>
      <c r="AD31" s="355">
        <v>3.1</v>
      </c>
      <c r="AE31" s="355">
        <v>4.5</v>
      </c>
      <c r="AF31" s="334">
        <v>5.0</v>
      </c>
      <c r="AG31" s="29"/>
      <c r="AH31" s="29"/>
      <c r="AI31" s="29"/>
      <c r="AJ31" s="29"/>
      <c r="AK31" s="29"/>
    </row>
    <row r="32" ht="15.0" customHeight="1">
      <c r="A32" s="29">
        <v>9000.0</v>
      </c>
      <c r="B32" s="350">
        <v>7.2</v>
      </c>
      <c r="C32" s="352">
        <v>8.6</v>
      </c>
      <c r="D32" s="354">
        <v>10.0</v>
      </c>
      <c r="E32" s="354">
        <v>10.2</v>
      </c>
      <c r="F32" s="354">
        <v>10.2</v>
      </c>
      <c r="G32" s="334">
        <v>0.0</v>
      </c>
      <c r="H32" s="29"/>
      <c r="I32" s="29"/>
      <c r="J32" s="29"/>
      <c r="K32" s="29"/>
      <c r="L32" s="29"/>
      <c r="M32" s="29"/>
      <c r="O32" s="29">
        <v>10000.0</v>
      </c>
      <c r="P32" s="359"/>
      <c r="Q32" s="360"/>
      <c r="R32" s="361"/>
      <c r="S32" s="361"/>
      <c r="T32" s="334">
        <v>99999.0</v>
      </c>
      <c r="U32" s="29"/>
      <c r="V32" s="29"/>
      <c r="W32" s="29"/>
      <c r="X32" s="29"/>
      <c r="AA32" s="29">
        <v>9000.0</v>
      </c>
      <c r="AB32" s="359"/>
      <c r="AC32" s="360"/>
      <c r="AD32" s="361"/>
      <c r="AE32" s="361"/>
      <c r="AF32" s="334">
        <v>99999.0</v>
      </c>
      <c r="AG32" s="29"/>
      <c r="AH32" s="29"/>
      <c r="AI32" s="29"/>
      <c r="AJ32" s="29"/>
      <c r="AK32" s="29"/>
    </row>
    <row r="33" ht="15.0" customHeight="1">
      <c r="A33" s="29">
        <v>9500.0</v>
      </c>
      <c r="B33" s="356">
        <v>6.4</v>
      </c>
      <c r="C33" s="357">
        <v>7.8</v>
      </c>
      <c r="D33" s="285">
        <v>9.0</v>
      </c>
      <c r="E33" s="285">
        <v>10.2</v>
      </c>
      <c r="F33" s="285">
        <v>10.2</v>
      </c>
      <c r="G33" s="337">
        <v>0.0</v>
      </c>
      <c r="H33" s="29"/>
      <c r="I33" s="29"/>
      <c r="J33" s="29"/>
      <c r="K33" s="29"/>
      <c r="L33" s="29"/>
      <c r="M33" s="29"/>
      <c r="O33" s="29">
        <v>11000.0</v>
      </c>
      <c r="P33" s="368"/>
      <c r="Q33" s="369"/>
      <c r="R33" s="183"/>
      <c r="S33" s="183"/>
      <c r="T33" s="337">
        <v>99999.0</v>
      </c>
      <c r="U33" s="29"/>
      <c r="V33" s="29"/>
      <c r="W33" s="29"/>
      <c r="X33" s="29"/>
      <c r="AA33" s="29">
        <v>9500.0</v>
      </c>
      <c r="AB33" s="368"/>
      <c r="AC33" s="369"/>
      <c r="AD33" s="183"/>
      <c r="AE33" s="183"/>
      <c r="AF33" s="337">
        <v>99999.0</v>
      </c>
      <c r="AG33" s="29"/>
      <c r="AH33" s="29"/>
      <c r="AI33" s="29"/>
      <c r="AJ33" s="29"/>
      <c r="AK33" s="29"/>
    </row>
    <row r="34" ht="15.0" customHeight="1">
      <c r="A34" s="29">
        <v>10000.0</v>
      </c>
      <c r="B34" s="356">
        <v>5.7</v>
      </c>
      <c r="C34" s="357">
        <v>6.9</v>
      </c>
      <c r="D34" s="285">
        <v>8.1</v>
      </c>
      <c r="E34" s="285">
        <v>9.4</v>
      </c>
      <c r="F34" s="285">
        <v>10.2</v>
      </c>
      <c r="G34" s="337">
        <v>0.0</v>
      </c>
      <c r="H34" s="29"/>
      <c r="I34" s="29"/>
      <c r="J34" s="29"/>
      <c r="K34" s="29"/>
      <c r="L34" s="29"/>
      <c r="M34" s="29"/>
      <c r="O34" s="29">
        <v>12000.0</v>
      </c>
      <c r="P34" s="368"/>
      <c r="Q34" s="369"/>
      <c r="R34" s="183"/>
      <c r="S34" s="183"/>
      <c r="T34" s="337">
        <v>99999.0</v>
      </c>
      <c r="U34" s="29"/>
      <c r="V34" s="29"/>
      <c r="W34" s="29"/>
      <c r="X34" s="29"/>
      <c r="AA34" s="29">
        <v>10000.0</v>
      </c>
      <c r="AB34" s="368"/>
      <c r="AC34" s="369"/>
      <c r="AD34" s="183"/>
      <c r="AE34" s="183"/>
      <c r="AF34" s="337">
        <v>99999.0</v>
      </c>
      <c r="AG34" s="29"/>
      <c r="AH34" s="29"/>
      <c r="AI34" s="29"/>
      <c r="AJ34" s="29"/>
      <c r="AK34" s="29"/>
    </row>
    <row r="35" ht="15.0" customHeight="1">
      <c r="A35" s="29">
        <v>10500.0</v>
      </c>
      <c r="B35" s="356">
        <v>4.9</v>
      </c>
      <c r="C35" s="357">
        <v>6.1</v>
      </c>
      <c r="D35" s="285">
        <v>7.2</v>
      </c>
      <c r="E35" s="285">
        <v>8.4</v>
      </c>
      <c r="F35" s="285">
        <v>9.6</v>
      </c>
      <c r="G35" s="337">
        <v>0.0</v>
      </c>
      <c r="H35" s="29"/>
      <c r="I35" s="29"/>
      <c r="J35" s="29"/>
      <c r="K35" s="29"/>
      <c r="L35" s="29"/>
      <c r="M35" s="29"/>
      <c r="O35" s="29">
        <v>13000.0</v>
      </c>
      <c r="P35" s="368"/>
      <c r="Q35" s="369"/>
      <c r="R35" s="183"/>
      <c r="S35" s="183"/>
      <c r="T35" s="337">
        <v>99999.0</v>
      </c>
      <c r="U35" s="29"/>
      <c r="V35" s="29"/>
      <c r="W35" s="29"/>
      <c r="X35" s="29"/>
      <c r="AA35" s="29">
        <v>10500.0</v>
      </c>
      <c r="AB35" s="368"/>
      <c r="AC35" s="369"/>
      <c r="AD35" s="183"/>
      <c r="AE35" s="183"/>
      <c r="AF35" s="337">
        <v>99999.0</v>
      </c>
      <c r="AG35" s="29"/>
      <c r="AH35" s="29"/>
      <c r="AI35" s="29"/>
      <c r="AJ35" s="29"/>
      <c r="AK35" s="29"/>
    </row>
    <row r="36" ht="15.0" customHeight="1">
      <c r="A36" s="29">
        <v>11000.0</v>
      </c>
      <c r="B36" s="356">
        <v>4.2</v>
      </c>
      <c r="C36" s="357">
        <v>5.3</v>
      </c>
      <c r="D36" s="285">
        <v>6.4</v>
      </c>
      <c r="E36" s="285">
        <v>7.5</v>
      </c>
      <c r="F36" s="285">
        <v>8.6</v>
      </c>
      <c r="G36" s="337">
        <v>0.0</v>
      </c>
      <c r="H36" s="29"/>
      <c r="I36" s="29"/>
      <c r="J36" s="29"/>
      <c r="K36" s="29"/>
      <c r="L36" s="29"/>
      <c r="M36" s="29"/>
      <c r="O36" s="29">
        <v>14000.0</v>
      </c>
      <c r="P36" s="368"/>
      <c r="Q36" s="369"/>
      <c r="R36" s="183"/>
      <c r="S36" s="183"/>
      <c r="T36" s="337">
        <v>99999.0</v>
      </c>
      <c r="U36" s="29"/>
      <c r="V36" s="29"/>
      <c r="W36" s="29"/>
      <c r="X36" s="29"/>
      <c r="AA36" s="29">
        <v>11000.0</v>
      </c>
      <c r="AB36" s="368"/>
      <c r="AC36" s="369"/>
      <c r="AD36" s="183"/>
      <c r="AE36" s="183"/>
      <c r="AF36" s="337">
        <v>99999.0</v>
      </c>
      <c r="AG36" s="29"/>
      <c r="AH36" s="29"/>
      <c r="AI36" s="29"/>
      <c r="AJ36" s="29"/>
      <c r="AK36" s="29"/>
    </row>
    <row r="37" ht="15.0" customHeight="1">
      <c r="A37" s="29">
        <v>11500.0</v>
      </c>
      <c r="B37" s="356">
        <v>3.4</v>
      </c>
      <c r="C37" s="357">
        <v>4.5</v>
      </c>
      <c r="D37" s="285">
        <v>5.6</v>
      </c>
      <c r="E37" s="285">
        <v>6.6</v>
      </c>
      <c r="F37" s="285">
        <v>7.7</v>
      </c>
      <c r="G37" s="337">
        <v>0.0</v>
      </c>
      <c r="H37" s="29"/>
      <c r="I37" s="29"/>
      <c r="J37" s="29"/>
      <c r="K37" s="29"/>
      <c r="L37" s="29"/>
      <c r="M37" s="29"/>
      <c r="O37" s="29">
        <v>15000.0</v>
      </c>
      <c r="P37" s="368"/>
      <c r="Q37" s="369"/>
      <c r="R37" s="183"/>
      <c r="S37" s="183"/>
      <c r="T37" s="337">
        <v>99999.0</v>
      </c>
      <c r="U37" s="29"/>
      <c r="V37" s="29"/>
      <c r="W37" s="29"/>
      <c r="X37" s="29"/>
      <c r="AA37" s="29">
        <v>11500.0</v>
      </c>
      <c r="AB37" s="368"/>
      <c r="AC37" s="369"/>
      <c r="AD37" s="183"/>
      <c r="AE37" s="183"/>
      <c r="AF37" s="337">
        <v>99999.0</v>
      </c>
      <c r="AG37" s="29"/>
      <c r="AH37" s="29"/>
      <c r="AI37" s="29"/>
      <c r="AJ37" s="29"/>
      <c r="AK37" s="29"/>
    </row>
    <row r="38" ht="15.0" customHeight="1">
      <c r="A38" s="29">
        <v>12000.0</v>
      </c>
      <c r="B38" s="356">
        <v>2.8</v>
      </c>
      <c r="C38" s="357">
        <v>3.75</v>
      </c>
      <c r="D38" s="285">
        <v>4.8</v>
      </c>
      <c r="E38" s="285">
        <v>5.8</v>
      </c>
      <c r="F38" s="285">
        <v>6.8</v>
      </c>
      <c r="G38" s="337">
        <v>0.0</v>
      </c>
      <c r="H38" s="29"/>
      <c r="I38" s="29"/>
      <c r="J38" s="29"/>
      <c r="K38" s="29"/>
      <c r="L38" s="29"/>
      <c r="M38" s="29"/>
      <c r="O38" s="29">
        <v>16000.0</v>
      </c>
      <c r="P38" s="368"/>
      <c r="Q38" s="369"/>
      <c r="R38" s="183"/>
      <c r="S38" s="183"/>
      <c r="T38" s="337">
        <v>99999.0</v>
      </c>
      <c r="U38" s="29"/>
      <c r="V38" s="29"/>
      <c r="W38" s="29"/>
      <c r="X38" s="29"/>
      <c r="AA38" s="29">
        <v>12000.0</v>
      </c>
      <c r="AB38" s="368"/>
      <c r="AC38" s="369"/>
      <c r="AD38" s="183"/>
      <c r="AE38" s="183"/>
      <c r="AF38" s="337">
        <v>99999.0</v>
      </c>
      <c r="AG38" s="29"/>
      <c r="AH38" s="29"/>
      <c r="AI38" s="29"/>
      <c r="AJ38" s="29"/>
      <c r="AK38" s="29"/>
    </row>
    <row r="39" ht="15.0" customHeight="1">
      <c r="A39" s="29">
        <v>12500.0</v>
      </c>
      <c r="B39" s="363">
        <v>2.0</v>
      </c>
      <c r="C39" s="364">
        <v>3.0</v>
      </c>
      <c r="D39" s="371">
        <v>4.0</v>
      </c>
      <c r="E39" s="371">
        <v>5.0</v>
      </c>
      <c r="F39" s="371">
        <v>6.0</v>
      </c>
      <c r="G39" s="337">
        <v>0.0</v>
      </c>
      <c r="H39" s="29"/>
      <c r="I39" s="29"/>
      <c r="J39" s="29"/>
      <c r="K39" s="29"/>
      <c r="L39" s="29"/>
      <c r="M39" s="29"/>
      <c r="O39" s="29">
        <v>16600.0</v>
      </c>
      <c r="P39" s="372"/>
      <c r="Q39" s="373"/>
      <c r="R39" s="374"/>
      <c r="S39" s="374"/>
      <c r="T39" s="337">
        <v>99999.0</v>
      </c>
      <c r="U39" s="29"/>
      <c r="V39" s="29"/>
      <c r="W39" s="29"/>
      <c r="X39" s="29"/>
      <c r="AA39" s="29">
        <v>12500.0</v>
      </c>
      <c r="AB39" s="372"/>
      <c r="AC39" s="373"/>
      <c r="AD39" s="374"/>
      <c r="AE39" s="374"/>
      <c r="AF39" s="337">
        <v>99999.0</v>
      </c>
      <c r="AG39" s="29"/>
      <c r="AH39" s="29"/>
      <c r="AI39" s="29"/>
      <c r="AJ39" s="29"/>
      <c r="AK39" s="29"/>
    </row>
    <row r="40" ht="15.0" customHeight="1">
      <c r="A40" s="29">
        <v>12600.0</v>
      </c>
      <c r="B40" s="340">
        <v>0.0</v>
      </c>
      <c r="C40" s="341">
        <v>0.0</v>
      </c>
      <c r="D40" s="341">
        <v>0.0</v>
      </c>
      <c r="E40" s="341">
        <v>0.0</v>
      </c>
      <c r="F40" s="341">
        <v>0.0</v>
      </c>
      <c r="G40" s="358">
        <v>0.0</v>
      </c>
      <c r="H40" s="320"/>
      <c r="I40" s="320"/>
      <c r="J40" s="320"/>
      <c r="K40" s="320"/>
      <c r="L40" s="320"/>
      <c r="M40" s="143"/>
      <c r="O40" s="29">
        <v>16700.0</v>
      </c>
      <c r="P40" s="340">
        <v>99999.0</v>
      </c>
      <c r="Q40" s="341">
        <v>99999.0</v>
      </c>
      <c r="R40" s="341">
        <v>99999.0</v>
      </c>
      <c r="S40" s="341">
        <v>99999.0</v>
      </c>
      <c r="T40" s="358">
        <v>99999.0</v>
      </c>
      <c r="U40" s="320"/>
      <c r="V40" s="320"/>
      <c r="W40" s="320"/>
      <c r="X40" s="320"/>
      <c r="AA40" s="29">
        <v>12600.0</v>
      </c>
      <c r="AB40" s="340">
        <v>99999.0</v>
      </c>
      <c r="AC40" s="341">
        <v>99999.0</v>
      </c>
      <c r="AD40" s="341">
        <v>99999.0</v>
      </c>
      <c r="AE40" s="341">
        <v>99999.0</v>
      </c>
      <c r="AF40" s="358">
        <v>99999.0</v>
      </c>
      <c r="AG40" s="320"/>
      <c r="AH40" s="320"/>
      <c r="AI40" s="320"/>
      <c r="AJ40" s="320"/>
      <c r="AK40" s="320"/>
    </row>
    <row r="41" ht="15.0" customHeight="1">
      <c r="B41" s="178"/>
      <c r="C41" s="177"/>
      <c r="D41" s="29"/>
      <c r="E41" s="29"/>
      <c r="F41" s="29"/>
      <c r="G41" s="3"/>
      <c r="H41" s="3"/>
      <c r="I41" s="3"/>
      <c r="J41" s="178"/>
      <c r="K41" s="177"/>
      <c r="L41" s="29"/>
      <c r="M41" s="29"/>
      <c r="O41" s="178"/>
      <c r="P41" s="177"/>
      <c r="Q41" s="29"/>
      <c r="R41" s="29"/>
      <c r="S41" s="29"/>
      <c r="T41" s="3"/>
      <c r="U41" s="3"/>
      <c r="V41" s="3"/>
      <c r="W41" s="178"/>
      <c r="X41" s="177"/>
      <c r="Y41" s="29"/>
      <c r="AB41" s="178"/>
      <c r="AC41" s="177"/>
      <c r="AD41" s="29"/>
      <c r="AE41" s="29"/>
      <c r="AF41" s="29"/>
      <c r="AG41" s="3"/>
      <c r="AH41" s="3"/>
      <c r="AI41" s="3"/>
      <c r="AJ41" s="178"/>
      <c r="AK41" s="177"/>
      <c r="AL41" s="29"/>
    </row>
    <row r="42" ht="15.0" customHeight="1">
      <c r="B42" s="178" t="s">
        <v>134</v>
      </c>
      <c r="C42" s="177">
        <f>C28</f>
        <v>5.53985</v>
      </c>
      <c r="D42" s="167" t="s">
        <v>239</v>
      </c>
      <c r="G42" s="3"/>
      <c r="H42" s="3"/>
      <c r="I42" s="3"/>
      <c r="J42" s="178"/>
      <c r="K42" s="177"/>
      <c r="L42" s="141"/>
      <c r="O42" s="178" t="s">
        <v>134</v>
      </c>
      <c r="P42" s="177">
        <f>P28</f>
        <v>0</v>
      </c>
      <c r="Q42" s="167" t="s">
        <v>239</v>
      </c>
      <c r="T42" s="3"/>
      <c r="U42" s="3"/>
      <c r="V42" s="3"/>
      <c r="W42" s="178"/>
      <c r="X42" s="177"/>
      <c r="Y42" s="141"/>
      <c r="AB42" s="178" t="s">
        <v>134</v>
      </c>
      <c r="AC42" s="177">
        <f>AC28</f>
        <v>0</v>
      </c>
      <c r="AD42" s="167" t="s">
        <v>239</v>
      </c>
      <c r="AG42" s="3"/>
      <c r="AH42" s="3"/>
      <c r="AI42" s="3"/>
      <c r="AJ42" s="178"/>
      <c r="AK42" s="177"/>
      <c r="AL42" s="141"/>
    </row>
    <row r="43" ht="15.0" customHeight="1">
      <c r="B43" s="129" t="s">
        <v>240</v>
      </c>
      <c r="C43" s="182">
        <f t="array" ref="C43">INDEX(B31:G31,MATCH(C42,B31:G31,1))</f>
        <v>5</v>
      </c>
      <c r="D43" s="129" t="s">
        <v>131</v>
      </c>
      <c r="E43" s="155">
        <f>MATCH(MAX(A32:A40),A32:A40,1)</f>
        <v>9</v>
      </c>
      <c r="G43" s="3"/>
      <c r="H43" s="3"/>
      <c r="I43" s="3"/>
      <c r="J43" s="129"/>
      <c r="K43" s="182"/>
      <c r="L43" s="129"/>
      <c r="M43" s="155"/>
      <c r="O43" s="129" t="s">
        <v>240</v>
      </c>
      <c r="P43" s="182" t="str">
        <f t="array" ref="P43">INDEX(P31:T31,MATCH(P42,P31:T31,1))</f>
        <v>#N/A</v>
      </c>
      <c r="Q43" s="129" t="s">
        <v>131</v>
      </c>
      <c r="R43" s="155">
        <f>MATCH(MAX(O32:O40),O32:O40,1)</f>
        <v>9</v>
      </c>
      <c r="T43" s="3"/>
      <c r="U43" s="3"/>
      <c r="V43" s="3"/>
      <c r="W43" s="129"/>
      <c r="X43" s="182"/>
      <c r="Y43" s="129"/>
      <c r="AB43" s="129" t="s">
        <v>240</v>
      </c>
      <c r="AC43" s="182" t="str">
        <f t="array" ref="AC43">INDEX(AB31:AF31,MATCH(AC42,AB31:AF31,1))</f>
        <v>#N/A</v>
      </c>
      <c r="AD43" s="129" t="s">
        <v>131</v>
      </c>
      <c r="AE43" s="155">
        <f>MATCH(MAX(AA32:AA40),AA32:AA40,1)</f>
        <v>9</v>
      </c>
      <c r="AG43" s="3"/>
      <c r="AH43" s="3"/>
      <c r="AI43" s="3"/>
      <c r="AJ43" s="129"/>
      <c r="AK43" s="182"/>
      <c r="AL43" s="129"/>
    </row>
    <row r="44" ht="15.0" customHeight="1">
      <c r="B44" s="129" t="s">
        <v>241</v>
      </c>
      <c r="C44" s="182">
        <f t="array" ref="C44">INDEX(B31:G31,IF(MATCH(C42,B31:G31,1)&lt;E44,MATCH(C42,B31:G31,1)+1,MATCH(C42,B31:G31,1)))</f>
        <v>6</v>
      </c>
      <c r="D44" s="129" t="s">
        <v>132</v>
      </c>
      <c r="E44" s="155">
        <f>MATCH(MAX(B31:G31),B31:G31,0)</f>
        <v>6</v>
      </c>
      <c r="G44" s="3"/>
      <c r="H44" s="3"/>
      <c r="I44" s="3"/>
      <c r="J44" s="129"/>
      <c r="K44" s="182"/>
      <c r="L44" s="129"/>
      <c r="M44" s="155"/>
      <c r="O44" s="129" t="s">
        <v>241</v>
      </c>
      <c r="P44" s="182" t="str">
        <f t="array" ref="P44">INDEX(P31:T31,IF(MATCH(P42,P31:T31,1)&lt;R44,MATCH(P42,P31:T31,1)+1,MATCH(P42,P31:T31,1)))</f>
        <v>#N/A</v>
      </c>
      <c r="Q44" s="129" t="s">
        <v>132</v>
      </c>
      <c r="R44" s="155">
        <f>MATCH(MAX(P31:T31),P31:T31,0)</f>
        <v>5</v>
      </c>
      <c r="T44" s="3"/>
      <c r="U44" s="3"/>
      <c r="V44" s="3"/>
      <c r="W44" s="129"/>
      <c r="X44" s="182"/>
      <c r="Y44" s="129"/>
      <c r="AB44" s="129" t="s">
        <v>241</v>
      </c>
      <c r="AC44" s="182" t="str">
        <f t="array" ref="AC44">INDEX(AB31:AF31,IF(MATCH(AC42,AB31:AF31,1)&lt;AE44,MATCH(AC42,AB31:AF31,1)+1,MATCH(AC42,AB31:AF31,1)))</f>
        <v>#N/A</v>
      </c>
      <c r="AD44" s="129" t="s">
        <v>132</v>
      </c>
      <c r="AE44" s="155">
        <f>MATCH(MAX(AB31:AF31),AB31:AF31,0)</f>
        <v>5</v>
      </c>
      <c r="AG44" s="3"/>
      <c r="AH44" s="3"/>
      <c r="AI44" s="3"/>
      <c r="AJ44" s="129"/>
      <c r="AK44" s="182"/>
      <c r="AL44" s="129"/>
    </row>
    <row r="45" ht="15.0" customHeight="1">
      <c r="B45" s="176" t="s">
        <v>136</v>
      </c>
      <c r="C45" s="274">
        <f>'Take-off'!$C$14</f>
        <v>12500</v>
      </c>
      <c r="D45" s="3"/>
      <c r="E45" s="3"/>
      <c r="G45" s="3"/>
      <c r="H45" s="3"/>
      <c r="I45" s="3"/>
      <c r="J45" s="178"/>
      <c r="K45" s="274"/>
      <c r="L45" s="3"/>
      <c r="M45" s="3"/>
      <c r="O45" s="176" t="s">
        <v>136</v>
      </c>
      <c r="P45" s="274">
        <f>'Take-off'!$C$14</f>
        <v>12500</v>
      </c>
      <c r="Q45" s="3"/>
      <c r="R45" s="3"/>
      <c r="T45" s="3"/>
      <c r="U45" s="3"/>
      <c r="V45" s="3"/>
      <c r="W45" s="178"/>
      <c r="X45" s="274"/>
      <c r="Y45" s="3"/>
      <c r="AB45" s="176" t="s">
        <v>136</v>
      </c>
      <c r="AC45" s="274">
        <f>'Take-off'!$C$14</f>
        <v>12500</v>
      </c>
      <c r="AD45" s="3"/>
      <c r="AE45" s="3"/>
      <c r="AG45" s="3"/>
      <c r="AH45" s="3"/>
      <c r="AI45" s="3"/>
      <c r="AJ45" s="178"/>
      <c r="AK45" s="274"/>
      <c r="AL45" s="3"/>
    </row>
    <row r="46" ht="15.0" customHeight="1">
      <c r="B46" s="129" t="s">
        <v>139</v>
      </c>
      <c r="C46" s="182">
        <f t="array" ref="C46">INDEX(A32:A40,MATCH(C45,A32:A40,1))</f>
        <v>12500</v>
      </c>
      <c r="D46" s="3"/>
      <c r="E46" s="161"/>
      <c r="G46" s="3"/>
      <c r="H46" s="3"/>
      <c r="I46" s="3"/>
      <c r="J46" s="129"/>
      <c r="K46" s="182"/>
      <c r="L46" s="3"/>
      <c r="M46" s="161"/>
      <c r="O46" s="129" t="s">
        <v>139</v>
      </c>
      <c r="P46" s="182">
        <f t="array" ref="P46">INDEX(O32:O40,MATCH(P45,O32:O40,1))</f>
        <v>12000</v>
      </c>
      <c r="Q46" s="3"/>
      <c r="R46" s="161"/>
      <c r="T46" s="3"/>
      <c r="U46" s="3"/>
      <c r="V46" s="3"/>
      <c r="W46" s="129"/>
      <c r="X46" s="182"/>
      <c r="Y46" s="3"/>
      <c r="AB46" s="129" t="s">
        <v>139</v>
      </c>
      <c r="AC46" s="182">
        <f t="array" ref="AC46">INDEX(AA32:AA40,MATCH(AC45,AA32:AA40,1))</f>
        <v>12500</v>
      </c>
      <c r="AD46" s="3"/>
      <c r="AE46" s="161"/>
      <c r="AG46" s="3"/>
      <c r="AH46" s="3"/>
      <c r="AI46" s="3"/>
      <c r="AJ46" s="129"/>
      <c r="AK46" s="182"/>
      <c r="AL46" s="3"/>
    </row>
    <row r="47" ht="15.0" customHeight="1">
      <c r="B47" s="129" t="s">
        <v>145</v>
      </c>
      <c r="C47" s="182">
        <f t="array" ref="C47">INDEX(A32:A40,IF(MATCH(C45,A32:A40,1)&lt;E43,MATCH(C45,A32:A40,1)+1,MATCH(C45,A32:A40,1)))</f>
        <v>12600</v>
      </c>
      <c r="D47" s="3"/>
      <c r="E47" s="161"/>
      <c r="G47" s="3"/>
      <c r="H47" s="3"/>
      <c r="I47" s="3"/>
      <c r="J47" s="129"/>
      <c r="K47" s="182"/>
      <c r="L47" s="3"/>
      <c r="M47" s="161"/>
      <c r="O47" s="129" t="s">
        <v>145</v>
      </c>
      <c r="P47" s="182">
        <f t="array" ref="P47">INDEX(O32:O40,IF(MATCH(P45,O32:O40,1)&lt;R43,MATCH(P45,O32:O40,1)+1,MATCH(P45,O32:O40,1)))</f>
        <v>13000</v>
      </c>
      <c r="Q47" s="3"/>
      <c r="R47" s="161"/>
      <c r="T47" s="3"/>
      <c r="U47" s="3"/>
      <c r="V47" s="3"/>
      <c r="W47" s="129"/>
      <c r="X47" s="182"/>
      <c r="Y47" s="3"/>
      <c r="AB47" s="129" t="s">
        <v>145</v>
      </c>
      <c r="AC47" s="182">
        <f t="array" ref="AC47">INDEX(AA32:AA40,IF(MATCH(AC45,AA32:AA40,1)&lt;AE43,MATCH(AC45,AA32:AA40,1)+1,MATCH(AC45,AA32:AA40,1)))</f>
        <v>12600</v>
      </c>
      <c r="AD47" s="3"/>
      <c r="AE47" s="161"/>
      <c r="AG47" s="3"/>
      <c r="AH47" s="3"/>
      <c r="AI47" s="3"/>
      <c r="AJ47" s="129"/>
      <c r="AK47" s="182"/>
      <c r="AL47" s="3"/>
    </row>
    <row r="48" ht="15.0" customHeight="1">
      <c r="B48" s="178" t="s">
        <v>165</v>
      </c>
      <c r="C48" s="177">
        <f t="array" ref="C48">INDEX(B32:G40,MATCH(C45,A32:A40,1),MATCH(C42,B31:G31,1))</f>
        <v>5</v>
      </c>
      <c r="D48" s="3"/>
      <c r="E48" s="161"/>
      <c r="G48" s="3"/>
      <c r="H48" s="3"/>
      <c r="I48" s="3"/>
      <c r="J48" s="178"/>
      <c r="K48" s="177"/>
      <c r="L48" s="3"/>
      <c r="M48" s="161"/>
      <c r="O48" s="178" t="s">
        <v>165</v>
      </c>
      <c r="P48" s="177" t="str">
        <f t="array" ref="P48">INDEX(P32:T40,MATCH(P45,O32:O40,1),MATCH(P42,P31:T31,1))</f>
        <v>#N/A</v>
      </c>
      <c r="Q48" s="3"/>
      <c r="R48" s="161"/>
      <c r="T48" s="3"/>
      <c r="U48" s="3"/>
      <c r="V48" s="3"/>
      <c r="W48" s="178"/>
      <c r="X48" s="177"/>
      <c r="Y48" s="3"/>
      <c r="AB48" s="178" t="s">
        <v>165</v>
      </c>
      <c r="AC48" s="177" t="str">
        <f t="array" ref="AC48">INDEX(AB32:AF40,MATCH(AC45,AA32:AA40,1),MATCH(AC42,AB31:AF31,1))</f>
        <v>#N/A</v>
      </c>
      <c r="AD48" s="3"/>
      <c r="AE48" s="161"/>
      <c r="AG48" s="3"/>
      <c r="AH48" s="3"/>
      <c r="AI48" s="3"/>
      <c r="AJ48" s="178"/>
      <c r="AK48" s="177"/>
      <c r="AL48" s="3"/>
    </row>
    <row r="49" ht="15.0" customHeight="1">
      <c r="B49" s="178" t="s">
        <v>249</v>
      </c>
      <c r="C49" s="177">
        <f t="array" ref="C49">INDEX(B32:G40,MATCH(C45,A32:A40,1),IF(MATCH(C42,B31:G31,1)&lt;E44,MATCH(C42,B31:G31,1)+1,MATCH(C45,A32:A40,1)))</f>
        <v>6</v>
      </c>
      <c r="E49" s="161"/>
      <c r="G49" s="3"/>
      <c r="H49" s="3"/>
      <c r="I49" s="3"/>
      <c r="J49" s="178"/>
      <c r="K49" s="177"/>
      <c r="M49" s="161"/>
      <c r="O49" s="178" t="s">
        <v>249</v>
      </c>
      <c r="P49" s="177" t="str">
        <f t="array" ref="P49">INDEX(P32:T40,MATCH(P45,O32:O40,1),IF(MATCH(P42,P31:T31,1)&lt;R44,MATCH(P42,P31:T31,1)+1,MATCH(P45,O32:O40,1)))</f>
        <v>#N/A</v>
      </c>
      <c r="R49" s="161"/>
      <c r="T49" s="3"/>
      <c r="U49" s="3"/>
      <c r="V49" s="3"/>
      <c r="W49" s="178"/>
      <c r="X49" s="177"/>
      <c r="AB49" s="178" t="s">
        <v>249</v>
      </c>
      <c r="AC49" s="177" t="str">
        <f t="array" ref="AC49">INDEX(AB32:AF40,MATCH(AC45,AA32:AA40,1),IF(MATCH(AC42,AB31:AF31,1)&lt;AE44,MATCH(AC42,AB31:AF31,1)+1,MATCH(AC45,AA32:AA40,1)))</f>
        <v>#N/A</v>
      </c>
      <c r="AE49" s="161"/>
      <c r="AG49" s="3"/>
      <c r="AH49" s="3"/>
      <c r="AI49" s="3"/>
      <c r="AJ49" s="178"/>
      <c r="AK49" s="177"/>
    </row>
    <row r="50" ht="15.0" customHeight="1">
      <c r="B50" s="178" t="s">
        <v>177</v>
      </c>
      <c r="C50" s="177">
        <f t="array" ref="C50">INDEX(B32:G40,IF(MATCH(C45,A32:A40,1)&lt;E43,MATCH(C45,A32:A40,1)+1,MATCH(C45,A32:A40,1)),MATCH(C42,B31:G31,1))</f>
        <v>0</v>
      </c>
      <c r="E50" s="161"/>
      <c r="G50" s="3"/>
      <c r="H50" s="3"/>
      <c r="I50" s="3"/>
      <c r="J50" s="178"/>
      <c r="K50" s="177"/>
      <c r="M50" s="161"/>
      <c r="O50" s="178" t="s">
        <v>177</v>
      </c>
      <c r="P50" s="177" t="str">
        <f t="array" ref="P50">INDEX(P32:T40,IF(MATCH(P45,O32:O40,1)&lt;R43,MATCH(P45,O32:O40,1)+1,MATCH(P45,O32:O40,1)),MATCH(P42,P31:T31,1))</f>
        <v>#N/A</v>
      </c>
      <c r="R50" s="161"/>
      <c r="T50" s="3"/>
      <c r="U50" s="3"/>
      <c r="V50" s="3"/>
      <c r="W50" s="178"/>
      <c r="X50" s="177"/>
      <c r="AB50" s="178" t="s">
        <v>177</v>
      </c>
      <c r="AC50" s="177" t="str">
        <f t="array" ref="AC50">INDEX(AB32:AF40,IF(MATCH(AC45,AA32:AA40,1)&lt;AE43,MATCH(AC45,AA32:AA40,1)+1,MATCH(AC45,AA32:AA40,1)),MATCH(AC42,AB31:AF31,1))</f>
        <v>#N/A</v>
      </c>
      <c r="AE50" s="161"/>
      <c r="AG50" s="3"/>
      <c r="AH50" s="3"/>
      <c r="AI50" s="3"/>
      <c r="AJ50" s="178"/>
      <c r="AK50" s="177"/>
    </row>
    <row r="51" ht="15.0" customHeight="1">
      <c r="B51" s="178" t="s">
        <v>250</v>
      </c>
      <c r="C51" s="177">
        <f t="array" ref="C51">INDEX(B32:G40,IF(MATCH(C45,A32:A40,1)&lt;E43,MATCH(C45,A32:A40,1)+1,MATCH(C45,A32:A40,1)),IF(MATCH(C42,B31:G31,1)&lt;E44,MATCH(C42,B31:G31,1)+1,MATCH(C42,B31:G31,1)))</f>
        <v>0</v>
      </c>
      <c r="G51" s="3"/>
      <c r="H51" s="3"/>
      <c r="I51" s="3"/>
      <c r="J51" s="178"/>
      <c r="K51" s="177"/>
      <c r="O51" s="178" t="s">
        <v>250</v>
      </c>
      <c r="P51" s="177" t="str">
        <f t="array" ref="P51">INDEX(P32:T40,IF(MATCH(P45,O32:O40,1)&lt;R43,MATCH(P45,O32:O40,1)+1,MATCH(P45,O32:O40,1)),IF(MATCH(P42,P31:T31,1)&lt;R44,MATCH(P42,P31:T31,1)+1,MATCH(P42,P31:T31,1)))</f>
        <v>#N/A</v>
      </c>
      <c r="T51" s="3"/>
      <c r="U51" s="3"/>
      <c r="V51" s="3"/>
      <c r="W51" s="178"/>
      <c r="X51" s="177"/>
      <c r="AB51" s="178" t="s">
        <v>250</v>
      </c>
      <c r="AC51" s="177" t="str">
        <f t="array" ref="AC51">INDEX(AB32:AF40,IF(MATCH(AC45,AA32:AA40,1)&lt;AE43,MATCH(AC45,AA32:AA40,1)+1,MATCH(AC45,AA32:AA40,1)),IF(MATCH(AC42,AB31:AF31,1)&lt;AE44,MATCH(AC42,AB31:AF31,1)+1,MATCH(AC42,AB31:AF31,1)))</f>
        <v>#N/A</v>
      </c>
      <c r="AG51" s="3"/>
      <c r="AH51" s="3"/>
      <c r="AI51" s="3"/>
      <c r="AJ51" s="178"/>
      <c r="AK51" s="177"/>
    </row>
    <row r="52" ht="15.0" customHeight="1">
      <c r="B52" s="129" t="s">
        <v>252</v>
      </c>
      <c r="C52" s="182">
        <f>IFERROR(C48+(C42-C43)*(C49-C48)/(C44-C43),C48)</f>
        <v>5.53985</v>
      </c>
      <c r="G52" s="3"/>
      <c r="H52" s="3"/>
      <c r="I52" s="3"/>
      <c r="J52" s="129"/>
      <c r="K52" s="182"/>
      <c r="O52" s="129" t="s">
        <v>252</v>
      </c>
      <c r="P52" s="182" t="str">
        <f>IFERROR(P48+(P42-P43)*(P49-P48)/(P44-P43),P48)</f>
        <v>#N/A</v>
      </c>
      <c r="T52" s="3"/>
      <c r="U52" s="3"/>
      <c r="V52" s="3"/>
      <c r="W52" s="129"/>
      <c r="X52" s="182"/>
      <c r="AB52" s="129" t="s">
        <v>252</v>
      </c>
      <c r="AC52" s="182" t="str">
        <f>IFERROR(AC48+(AC42-AC43)*(AC49-AC48)/(AC44-AC43),AC48)</f>
        <v>#N/A</v>
      </c>
      <c r="AG52" s="3"/>
      <c r="AH52" s="3"/>
      <c r="AI52" s="3"/>
      <c r="AJ52" s="129"/>
      <c r="AK52" s="182"/>
    </row>
    <row r="53" ht="15.0" customHeight="1">
      <c r="B53" s="129" t="s">
        <v>253</v>
      </c>
      <c r="C53" s="182">
        <f>IFERROR(C50+(C42-C43)*(C51-C50)/(C44-C43),C50)</f>
        <v>0</v>
      </c>
      <c r="G53" s="3"/>
      <c r="H53" s="3"/>
      <c r="I53" s="3"/>
      <c r="J53" s="129"/>
      <c r="K53" s="182"/>
      <c r="O53" s="129" t="s">
        <v>253</v>
      </c>
      <c r="P53" s="182" t="str">
        <f>IFERROR(P50+(P42-P43)*(P51-P50)/(P44-P43),P50)</f>
        <v>#N/A</v>
      </c>
      <c r="T53" s="3"/>
      <c r="U53" s="3"/>
      <c r="V53" s="3"/>
      <c r="W53" s="129"/>
      <c r="X53" s="182"/>
      <c r="AB53" s="129" t="s">
        <v>253</v>
      </c>
      <c r="AC53" s="182" t="str">
        <f>IFERROR(AC50+(AC42-AC43)*(AC51-AC50)/(AC44-AC43),AC50)</f>
        <v>#N/A</v>
      </c>
      <c r="AG53" s="3"/>
      <c r="AH53" s="3"/>
      <c r="AI53" s="3"/>
      <c r="AJ53" s="129"/>
      <c r="AK53" s="182"/>
    </row>
    <row r="54" ht="15.0" customHeight="1">
      <c r="B54" s="178" t="s">
        <v>254</v>
      </c>
      <c r="C54" s="367">
        <f>IFERROR(C52+(C45-C46)*(C53-C52)/(C47-C46),C52)</f>
        <v>5.53985</v>
      </c>
      <c r="G54" s="3"/>
      <c r="H54" s="3"/>
      <c r="I54" s="3"/>
      <c r="J54" s="178"/>
      <c r="K54" s="177"/>
      <c r="O54" s="178" t="s">
        <v>254</v>
      </c>
      <c r="P54" s="177" t="str">
        <f>IFERROR(P52+(P45-P46)*(P53-P52)/(P47-P46),P52)</f>
        <v>#N/A</v>
      </c>
      <c r="T54" s="3"/>
      <c r="U54" s="3"/>
      <c r="V54" s="3"/>
      <c r="W54" s="178"/>
      <c r="X54" s="177"/>
      <c r="AB54" s="178" t="s">
        <v>254</v>
      </c>
      <c r="AC54" s="177" t="str">
        <f>IFERROR(AC52+(AC45-AC46)*(AC53-AC52)/(AC47-AC46),AC52)</f>
        <v>#N/A</v>
      </c>
      <c r="AG54" s="3"/>
      <c r="AH54" s="3"/>
      <c r="AI54" s="3"/>
      <c r="AJ54" s="178"/>
      <c r="AK54" s="177"/>
    </row>
    <row r="55" ht="15.0" customHeight="1">
      <c r="B55" s="23" t="s">
        <v>262</v>
      </c>
      <c r="C55" s="375">
        <f>IF('Take-off'!$C$13='Dropdown lists'!$B$30,C54 -0.8, C54)</f>
        <v>5.53985</v>
      </c>
      <c r="J55" s="29"/>
      <c r="K55" s="29"/>
      <c r="L55" s="29"/>
      <c r="M55" s="29"/>
      <c r="O55" s="23" t="s">
        <v>262</v>
      </c>
      <c r="P55" s="198" t="str">
        <f>IF('Take-off'!$C$13='Dropdown lists'!$B$30,P54 -0.8, P54)</f>
        <v>#N/A</v>
      </c>
      <c r="W55" s="29"/>
      <c r="X55" s="29"/>
      <c r="Y55" s="29"/>
      <c r="AJ55" s="29"/>
      <c r="AK55" s="29"/>
      <c r="AL55" s="29"/>
    </row>
    <row r="56" ht="15.75" customHeight="1"/>
    <row r="57" ht="15.75" customHeight="1"/>
    <row r="58" ht="15.75" customHeight="1"/>
    <row r="59" ht="15.0" customHeight="1">
      <c r="C59" s="18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Q16:R16"/>
    <mergeCell ref="AD16:AE16"/>
    <mergeCell ref="AR16:AS16"/>
    <mergeCell ref="B30:G30"/>
    <mergeCell ref="O30:T30"/>
    <mergeCell ref="AB30:AG30"/>
    <mergeCell ref="D42:E42"/>
    <mergeCell ref="Q42:R42"/>
    <mergeCell ref="AD42:AE42"/>
    <mergeCell ref="B3:L3"/>
    <mergeCell ref="O3:Y3"/>
    <mergeCell ref="AB3:AL3"/>
    <mergeCell ref="B4:F4"/>
    <mergeCell ref="O4:S4"/>
    <mergeCell ref="AB4:AF4"/>
    <mergeCell ref="D16:E16"/>
  </mergeCells>
  <conditionalFormatting sqref="B6:E13">
    <cfRule type="colorScale" priority="1">
      <colorScale>
        <cfvo type="min"/>
        <cfvo type="max"/>
        <color rgb="FFFCFCFF"/>
        <color rgb="FFF8696B"/>
      </colorScale>
    </cfRule>
  </conditionalFormatting>
  <conditionalFormatting sqref="B32:F39">
    <cfRule type="colorScale" priority="2">
      <colorScale>
        <cfvo type="min"/>
        <cfvo type="max"/>
        <color rgb="FFFCFCFF"/>
        <color rgb="FFF8696B"/>
      </colorScale>
    </cfRule>
  </conditionalFormatting>
  <conditionalFormatting sqref="J6:M14">
    <cfRule type="colorScale" priority="3">
      <colorScale>
        <cfvo type="min"/>
        <cfvo type="max"/>
        <color rgb="FFFCFCFF"/>
        <color rgb="FFF8696B"/>
      </colorScale>
    </cfRule>
  </conditionalFormatting>
  <conditionalFormatting sqref="O6:R13">
    <cfRule type="colorScale" priority="4">
      <colorScale>
        <cfvo type="min"/>
        <cfvo type="max"/>
        <color rgb="FFFCFCFF"/>
        <color rgb="FFF8696B"/>
      </colorScale>
    </cfRule>
  </conditionalFormatting>
  <conditionalFormatting sqref="P32:S39">
    <cfRule type="colorScale" priority="5">
      <colorScale>
        <cfvo type="min"/>
        <cfvo type="max"/>
        <color rgb="FFFCFCFF"/>
        <color rgb="FFF8696B"/>
      </colorScale>
    </cfRule>
  </conditionalFormatting>
  <conditionalFormatting sqref="W6:Y14">
    <cfRule type="colorScale" priority="6">
      <colorScale>
        <cfvo type="min"/>
        <cfvo type="max"/>
        <color rgb="FFFCFCFF"/>
        <color rgb="FFF8696B"/>
      </colorScale>
    </cfRule>
  </conditionalFormatting>
  <conditionalFormatting sqref="AB6:AE13">
    <cfRule type="colorScale" priority="7">
      <colorScale>
        <cfvo type="min"/>
        <cfvo type="max"/>
        <color rgb="FFFCFCFF"/>
        <color rgb="FFF8696B"/>
      </colorScale>
    </cfRule>
  </conditionalFormatting>
  <conditionalFormatting sqref="AB32:AE39">
    <cfRule type="colorScale" priority="8">
      <colorScale>
        <cfvo type="min"/>
        <cfvo type="max"/>
        <color rgb="FFFCFCFF"/>
        <color rgb="FFF8696B"/>
      </colorScale>
    </cfRule>
  </conditionalFormatting>
  <conditionalFormatting sqref="AJ6:AL14">
    <cfRule type="colorScale" priority="9">
      <colorScale>
        <cfvo type="min"/>
        <cfvo type="max"/>
        <color rgb="FFFCFCFF"/>
        <color rgb="FFF8696B"/>
      </colorScale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2" width="9.14"/>
    <col customWidth="1" min="13" max="13" width="5.0"/>
    <col customWidth="1" min="14" max="55" width="9.14"/>
  </cols>
  <sheetData>
    <row r="1" ht="14.25" customHeight="1">
      <c r="A1" s="136"/>
      <c r="B1" s="129" t="s">
        <v>233</v>
      </c>
      <c r="C1" s="178" t="s">
        <v>134</v>
      </c>
      <c r="D1" s="324">
        <f>IF('Take-off'!$C$9="",'Take-off'!$C$16,MAX(0,'Take-off'!$C$16+30*(1013-'Take-off'!$C$9)))</f>
        <v>0</v>
      </c>
      <c r="E1" s="325"/>
      <c r="F1" s="325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342"/>
      <c r="AW1" s="136"/>
      <c r="AX1" s="136"/>
      <c r="AY1" s="136"/>
      <c r="AZ1" s="136"/>
      <c r="BA1" s="136"/>
      <c r="BB1" s="136"/>
      <c r="BC1" s="136"/>
    </row>
    <row r="2" ht="14.25" customHeight="1">
      <c r="A2" s="136"/>
      <c r="B2" s="129" t="s">
        <v>235</v>
      </c>
      <c r="C2" s="176" t="s">
        <v>136</v>
      </c>
      <c r="D2" s="324">
        <f>IF('Take-off'!$C$13='Dropdown lists'!$B$30, 'Take-off'!$C$8+10, 'Take-off'!$C$8)</f>
        <v>-2</v>
      </c>
      <c r="E2" s="326" t="s">
        <v>243</v>
      </c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342"/>
      <c r="AW2" s="136"/>
      <c r="AX2" s="136"/>
      <c r="AY2" s="136"/>
      <c r="AZ2" s="136"/>
      <c r="BA2" s="136"/>
      <c r="BB2" s="136"/>
      <c r="BC2" s="136"/>
    </row>
    <row r="3" ht="14.25" customHeight="1">
      <c r="A3" s="136"/>
      <c r="B3" s="136" t="s">
        <v>266</v>
      </c>
      <c r="M3" s="136"/>
      <c r="N3" s="136"/>
      <c r="O3" s="136" t="s">
        <v>267</v>
      </c>
      <c r="Z3" s="136"/>
      <c r="AA3" s="136"/>
      <c r="AB3" s="136" t="s">
        <v>268</v>
      </c>
      <c r="AM3" s="136"/>
      <c r="AN3" s="136"/>
      <c r="AO3" s="136"/>
      <c r="AP3" s="136"/>
      <c r="AQ3" s="136"/>
      <c r="AR3" s="136"/>
      <c r="AS3" s="136"/>
      <c r="AT3" s="136"/>
      <c r="AU3" s="136"/>
      <c r="AV3" s="342"/>
      <c r="AW3" s="136"/>
      <c r="AX3" s="136"/>
      <c r="AY3" s="136"/>
      <c r="AZ3" s="136"/>
      <c r="BA3" s="136"/>
      <c r="BB3" s="136"/>
      <c r="BC3" s="136"/>
    </row>
    <row r="4" ht="15.0" customHeight="1">
      <c r="A4" s="29"/>
      <c r="B4" s="330" t="s">
        <v>246</v>
      </c>
      <c r="C4" s="259"/>
      <c r="D4" s="259"/>
      <c r="E4" s="259"/>
      <c r="F4" s="259"/>
      <c r="G4" s="141"/>
      <c r="H4" s="141"/>
      <c r="I4" s="141"/>
      <c r="J4" s="141"/>
      <c r="K4" s="141"/>
      <c r="L4" s="141"/>
      <c r="M4" s="141"/>
      <c r="N4" s="29"/>
      <c r="O4" s="330" t="s">
        <v>246</v>
      </c>
      <c r="P4" s="259"/>
      <c r="Q4" s="259"/>
      <c r="R4" s="259"/>
      <c r="S4" s="259"/>
      <c r="T4" s="141"/>
      <c r="U4" s="141"/>
      <c r="V4" s="141"/>
      <c r="W4" s="141"/>
      <c r="X4" s="141"/>
      <c r="Y4" s="141"/>
      <c r="Z4" s="178"/>
      <c r="AA4" s="29"/>
      <c r="AB4" s="330" t="s">
        <v>246</v>
      </c>
      <c r="AC4" s="259"/>
      <c r="AD4" s="259"/>
      <c r="AE4" s="259"/>
      <c r="AF4" s="259"/>
      <c r="AG4" s="141"/>
      <c r="AH4" s="141"/>
      <c r="AI4" s="141"/>
      <c r="AJ4" s="141"/>
      <c r="AK4" s="141"/>
      <c r="AL4" s="141"/>
      <c r="AM4" s="3"/>
      <c r="AN4" s="3"/>
      <c r="AO4" s="3"/>
      <c r="AP4" s="178"/>
      <c r="AQ4" s="177"/>
      <c r="AU4" s="3"/>
      <c r="AV4" s="3"/>
      <c r="AW4" s="3"/>
      <c r="AX4" s="178"/>
      <c r="AY4" s="177"/>
    </row>
    <row r="5" ht="15.0" customHeight="1">
      <c r="A5" s="29" t="s">
        <v>247</v>
      </c>
      <c r="B5" s="331">
        <v>0.0</v>
      </c>
      <c r="C5" s="332">
        <v>1000.0</v>
      </c>
      <c r="D5" s="333">
        <v>2000.0</v>
      </c>
      <c r="E5" s="333">
        <v>3000.0</v>
      </c>
      <c r="F5" s="334">
        <v>4000.0</v>
      </c>
      <c r="G5" s="178"/>
      <c r="H5" s="177"/>
      <c r="I5" s="29"/>
      <c r="J5" s="178"/>
      <c r="K5" s="177"/>
      <c r="L5" s="29"/>
      <c r="M5" s="29"/>
      <c r="N5" s="29" t="s">
        <v>247</v>
      </c>
      <c r="O5" s="331">
        <v>0.0</v>
      </c>
      <c r="P5" s="332">
        <v>1000.0</v>
      </c>
      <c r="Q5" s="333">
        <v>2000.0</v>
      </c>
      <c r="R5" s="333">
        <v>3000.0</v>
      </c>
      <c r="S5" s="334">
        <v>4000.0</v>
      </c>
      <c r="T5" s="178"/>
      <c r="U5" s="177"/>
      <c r="V5" s="29"/>
      <c r="W5" s="178"/>
      <c r="X5" s="177"/>
      <c r="Y5" s="29"/>
      <c r="AA5" s="29" t="s">
        <v>247</v>
      </c>
      <c r="AB5" s="331">
        <v>0.0</v>
      </c>
      <c r="AC5" s="332">
        <v>1000.0</v>
      </c>
      <c r="AD5" s="333">
        <v>2000.0</v>
      </c>
      <c r="AE5" s="333">
        <v>3000.0</v>
      </c>
      <c r="AF5" s="334">
        <v>4000.0</v>
      </c>
      <c r="AG5" s="178"/>
      <c r="AH5" s="177"/>
      <c r="AI5" s="29"/>
      <c r="AJ5" s="178"/>
      <c r="AK5" s="177"/>
      <c r="AL5" s="29"/>
      <c r="AM5" s="178"/>
      <c r="AN5" s="177"/>
      <c r="AR5" s="3"/>
      <c r="AS5" s="3"/>
      <c r="AT5" s="3"/>
      <c r="AU5" s="178"/>
      <c r="AV5" s="177"/>
    </row>
    <row r="6" ht="15.0" customHeight="1">
      <c r="A6" s="29">
        <v>-30.0</v>
      </c>
      <c r="B6" s="331">
        <v>1400.0</v>
      </c>
      <c r="C6" s="332">
        <v>1490.0</v>
      </c>
      <c r="D6" s="333">
        <v>1550.0</v>
      </c>
      <c r="E6" s="333">
        <v>1600.0</v>
      </c>
      <c r="F6" s="334">
        <v>99999.0</v>
      </c>
      <c r="G6" s="178"/>
      <c r="H6" s="177"/>
      <c r="I6" s="29"/>
      <c r="J6" s="178"/>
      <c r="K6" s="177"/>
      <c r="L6" s="29"/>
      <c r="M6" s="29"/>
      <c r="N6" s="29">
        <v>-30.0</v>
      </c>
      <c r="O6" s="331"/>
      <c r="P6" s="332"/>
      <c r="Q6" s="333"/>
      <c r="R6" s="333"/>
      <c r="S6" s="334">
        <v>99999.0</v>
      </c>
      <c r="T6" s="178"/>
      <c r="U6" s="177"/>
      <c r="V6" s="29"/>
      <c r="W6" s="178"/>
      <c r="X6" s="177"/>
      <c r="Y6" s="29"/>
      <c r="AA6" s="29">
        <v>-30.0</v>
      </c>
      <c r="AB6" s="331"/>
      <c r="AC6" s="332"/>
      <c r="AD6" s="333"/>
      <c r="AE6" s="333"/>
      <c r="AF6" s="334">
        <v>99999.0</v>
      </c>
      <c r="AG6" s="178"/>
      <c r="AH6" s="177"/>
      <c r="AI6" s="29"/>
      <c r="AJ6" s="178"/>
      <c r="AK6" s="177"/>
      <c r="AL6" s="29"/>
      <c r="AM6" s="178"/>
      <c r="AN6" s="177"/>
      <c r="AR6" s="3"/>
      <c r="AS6" s="3"/>
      <c r="AT6" s="3"/>
      <c r="AU6" s="178"/>
      <c r="AV6" s="177"/>
    </row>
    <row r="7" ht="15.0" customHeight="1">
      <c r="A7" s="29">
        <v>-20.0</v>
      </c>
      <c r="B7" s="343">
        <v>1450.0</v>
      </c>
      <c r="C7" s="320">
        <v>1550.0</v>
      </c>
      <c r="D7" s="29">
        <v>1600.0</v>
      </c>
      <c r="E7" s="29">
        <v>1700.0</v>
      </c>
      <c r="F7" s="337">
        <v>99999.0</v>
      </c>
      <c r="G7" s="178"/>
      <c r="H7" s="177"/>
      <c r="J7" s="178"/>
      <c r="K7" s="177"/>
      <c r="N7" s="29">
        <v>-20.0</v>
      </c>
      <c r="O7" s="343"/>
      <c r="P7" s="320"/>
      <c r="Q7" s="29"/>
      <c r="R7" s="29"/>
      <c r="S7" s="337">
        <v>99999.0</v>
      </c>
      <c r="T7" s="178"/>
      <c r="U7" s="177"/>
      <c r="W7" s="178"/>
      <c r="X7" s="177"/>
      <c r="AA7" s="29">
        <v>-20.0</v>
      </c>
      <c r="AB7" s="343"/>
      <c r="AC7" s="320"/>
      <c r="AD7" s="29"/>
      <c r="AE7" s="29"/>
      <c r="AF7" s="337">
        <v>99999.0</v>
      </c>
      <c r="AG7" s="178"/>
      <c r="AH7" s="177"/>
      <c r="AJ7" s="178"/>
      <c r="AK7" s="177"/>
      <c r="AM7" s="178"/>
      <c r="AN7" s="177"/>
      <c r="AR7" s="3"/>
      <c r="AS7" s="3"/>
      <c r="AT7" s="3"/>
      <c r="AU7" s="178"/>
      <c r="AV7" s="177"/>
    </row>
    <row r="8" ht="15.0" customHeight="1">
      <c r="A8" s="29">
        <v>-10.0</v>
      </c>
      <c r="B8" s="343">
        <v>1550.0</v>
      </c>
      <c r="C8" s="320">
        <v>1600.0</v>
      </c>
      <c r="D8" s="29">
        <v>1700.0</v>
      </c>
      <c r="E8" s="29">
        <v>1800.0</v>
      </c>
      <c r="F8" s="337">
        <v>99999.0</v>
      </c>
      <c r="G8" s="178"/>
      <c r="H8" s="177"/>
      <c r="J8" s="178"/>
      <c r="K8" s="177"/>
      <c r="N8" s="29">
        <v>-10.0</v>
      </c>
      <c r="O8" s="343"/>
      <c r="P8" s="320"/>
      <c r="Q8" s="29"/>
      <c r="R8" s="29"/>
      <c r="S8" s="337">
        <v>99999.0</v>
      </c>
      <c r="T8" s="178"/>
      <c r="U8" s="177"/>
      <c r="W8" s="178"/>
      <c r="X8" s="177"/>
      <c r="AA8" s="29">
        <v>-10.0</v>
      </c>
      <c r="AB8" s="343"/>
      <c r="AC8" s="320"/>
      <c r="AD8" s="29"/>
      <c r="AE8" s="29"/>
      <c r="AF8" s="337">
        <v>99999.0</v>
      </c>
      <c r="AG8" s="178"/>
      <c r="AH8" s="177"/>
      <c r="AJ8" s="178"/>
      <c r="AK8" s="177"/>
      <c r="AM8" s="178"/>
      <c r="AN8" s="177"/>
      <c r="AR8" s="3"/>
      <c r="AS8" s="3"/>
      <c r="AT8" s="3"/>
      <c r="AU8" s="178"/>
      <c r="AV8" s="177"/>
    </row>
    <row r="9" ht="15.0" customHeight="1">
      <c r="A9" s="29">
        <v>0.0</v>
      </c>
      <c r="B9" s="343">
        <v>1610.0</v>
      </c>
      <c r="C9" s="320">
        <v>1700.0</v>
      </c>
      <c r="D9" s="29">
        <v>1800.0</v>
      </c>
      <c r="E9" s="29">
        <v>1900.0</v>
      </c>
      <c r="F9" s="337">
        <v>99999.0</v>
      </c>
      <c r="G9" s="178"/>
      <c r="H9" s="177"/>
      <c r="J9" s="178"/>
      <c r="K9" s="177"/>
      <c r="N9" s="29">
        <v>0.0</v>
      </c>
      <c r="O9" s="343"/>
      <c r="P9" s="320"/>
      <c r="Q9" s="29"/>
      <c r="R9" s="29"/>
      <c r="S9" s="337">
        <v>99999.0</v>
      </c>
      <c r="T9" s="178"/>
      <c r="U9" s="177"/>
      <c r="W9" s="178"/>
      <c r="X9" s="177"/>
      <c r="AA9" s="29">
        <v>0.0</v>
      </c>
      <c r="AB9" s="343"/>
      <c r="AC9" s="320"/>
      <c r="AD9" s="29"/>
      <c r="AE9" s="29"/>
      <c r="AF9" s="337">
        <v>99999.0</v>
      </c>
      <c r="AG9" s="178"/>
      <c r="AH9" s="177"/>
      <c r="AJ9" s="178"/>
      <c r="AK9" s="177"/>
      <c r="AM9" s="178"/>
      <c r="AN9" s="177"/>
      <c r="AR9" s="3"/>
      <c r="AS9" s="3"/>
      <c r="AT9" s="3"/>
      <c r="AU9" s="178"/>
      <c r="AV9" s="177"/>
    </row>
    <row r="10" ht="15.0" customHeight="1">
      <c r="A10" s="29">
        <v>10.0</v>
      </c>
      <c r="B10" s="343">
        <v>1700.0</v>
      </c>
      <c r="C10" s="320">
        <v>1800.0</v>
      </c>
      <c r="D10" s="29">
        <v>1900.0</v>
      </c>
      <c r="E10" s="29">
        <v>2015.0</v>
      </c>
      <c r="F10" s="337">
        <v>99999.0</v>
      </c>
      <c r="G10" s="178"/>
      <c r="H10" s="177"/>
      <c r="J10" s="178"/>
      <c r="K10" s="177"/>
      <c r="N10" s="29">
        <v>10.0</v>
      </c>
      <c r="O10" s="343"/>
      <c r="P10" s="320"/>
      <c r="Q10" s="29"/>
      <c r="R10" s="29"/>
      <c r="S10" s="337">
        <v>99999.0</v>
      </c>
      <c r="T10" s="178"/>
      <c r="U10" s="177"/>
      <c r="W10" s="178"/>
      <c r="X10" s="177"/>
      <c r="AA10" s="29">
        <v>10.0</v>
      </c>
      <c r="AB10" s="343"/>
      <c r="AC10" s="320"/>
      <c r="AD10" s="29"/>
      <c r="AE10" s="29"/>
      <c r="AF10" s="337">
        <v>99999.0</v>
      </c>
      <c r="AG10" s="178"/>
      <c r="AH10" s="177"/>
      <c r="AJ10" s="178"/>
      <c r="AK10" s="177"/>
      <c r="AM10" s="178"/>
      <c r="AN10" s="177"/>
      <c r="AR10" s="3"/>
      <c r="AS10" s="3"/>
      <c r="AT10" s="3"/>
      <c r="AU10" s="178"/>
      <c r="AV10" s="177"/>
    </row>
    <row r="11" ht="15.0" customHeight="1">
      <c r="A11" s="29">
        <v>20.0</v>
      </c>
      <c r="B11" s="343">
        <v>1780.0</v>
      </c>
      <c r="C11" s="320">
        <v>1900.0</v>
      </c>
      <c r="D11" s="29">
        <v>2000.0</v>
      </c>
      <c r="E11" s="29">
        <v>2150.0</v>
      </c>
      <c r="F11" s="337">
        <v>99999.0</v>
      </c>
      <c r="G11" s="178"/>
      <c r="H11" s="177"/>
      <c r="J11" s="178"/>
      <c r="K11" s="177"/>
      <c r="N11" s="29">
        <v>20.0</v>
      </c>
      <c r="O11" s="343"/>
      <c r="P11" s="320"/>
      <c r="Q11" s="29"/>
      <c r="R11" s="29"/>
      <c r="S11" s="337">
        <v>99999.0</v>
      </c>
      <c r="T11" s="178"/>
      <c r="U11" s="177"/>
      <c r="W11" s="178"/>
      <c r="X11" s="177"/>
      <c r="AA11" s="29">
        <v>20.0</v>
      </c>
      <c r="AB11" s="343"/>
      <c r="AC11" s="320"/>
      <c r="AD11" s="29"/>
      <c r="AE11" s="29"/>
      <c r="AF11" s="337">
        <v>99999.0</v>
      </c>
      <c r="AG11" s="178"/>
      <c r="AH11" s="177"/>
      <c r="AJ11" s="178"/>
      <c r="AK11" s="177"/>
      <c r="AM11" s="178"/>
      <c r="AN11" s="177"/>
      <c r="AR11" s="3"/>
      <c r="AS11" s="3"/>
      <c r="AT11" s="3"/>
      <c r="AU11" s="178"/>
      <c r="AV11" s="177"/>
    </row>
    <row r="12" ht="15.0" customHeight="1">
      <c r="A12" s="29">
        <v>30.0</v>
      </c>
      <c r="B12" s="343">
        <v>1880.0</v>
      </c>
      <c r="C12" s="320">
        <v>2000.0</v>
      </c>
      <c r="D12" s="29">
        <v>2130.0</v>
      </c>
      <c r="E12" s="29">
        <v>2320.0</v>
      </c>
      <c r="F12" s="337">
        <v>99999.0</v>
      </c>
      <c r="G12" s="178"/>
      <c r="H12" s="177"/>
      <c r="J12" s="178"/>
      <c r="K12" s="177"/>
      <c r="N12" s="29"/>
      <c r="O12" s="343"/>
      <c r="P12" s="320"/>
      <c r="Q12" s="29"/>
      <c r="R12" s="29"/>
      <c r="S12" s="337"/>
      <c r="T12" s="178"/>
      <c r="U12" s="177"/>
      <c r="W12" s="178"/>
      <c r="X12" s="177"/>
      <c r="AA12" s="29">
        <v>30.0</v>
      </c>
      <c r="AB12" s="343"/>
      <c r="AC12" s="320"/>
      <c r="AD12" s="29"/>
      <c r="AE12" s="29"/>
      <c r="AF12" s="337">
        <v>99999.0</v>
      </c>
      <c r="AG12" s="178"/>
      <c r="AH12" s="177"/>
      <c r="AJ12" s="178"/>
      <c r="AK12" s="177"/>
      <c r="AM12" s="178"/>
      <c r="AN12" s="177"/>
      <c r="AR12" s="3"/>
      <c r="AS12" s="3"/>
      <c r="AT12" s="3"/>
      <c r="AU12" s="178"/>
      <c r="AV12" s="177"/>
    </row>
    <row r="13" ht="15.0" customHeight="1">
      <c r="A13" s="29">
        <v>40.0</v>
      </c>
      <c r="B13" s="343">
        <v>2075.0</v>
      </c>
      <c r="C13" s="320">
        <v>2200.0</v>
      </c>
      <c r="D13" s="29">
        <v>2380.0</v>
      </c>
      <c r="E13" s="29">
        <v>2600.0</v>
      </c>
      <c r="F13" s="337">
        <v>99999.0</v>
      </c>
      <c r="G13" s="178"/>
      <c r="H13" s="177"/>
      <c r="J13" s="178"/>
      <c r="K13" s="177"/>
      <c r="N13" s="29">
        <v>30.0</v>
      </c>
      <c r="O13" s="343"/>
      <c r="P13" s="320"/>
      <c r="Q13" s="29"/>
      <c r="R13" s="29"/>
      <c r="S13" s="337">
        <v>99999.0</v>
      </c>
      <c r="T13" s="178"/>
      <c r="U13" s="177"/>
      <c r="W13" s="178"/>
      <c r="X13" s="177"/>
      <c r="AA13" s="29">
        <v>40.0</v>
      </c>
      <c r="AB13" s="343"/>
      <c r="AC13" s="320"/>
      <c r="AD13" s="29"/>
      <c r="AE13" s="29"/>
      <c r="AF13" s="337">
        <v>99999.0</v>
      </c>
      <c r="AG13" s="178"/>
      <c r="AH13" s="177"/>
      <c r="AJ13" s="178"/>
      <c r="AK13" s="177"/>
      <c r="AM13" s="178"/>
      <c r="AN13" s="177"/>
      <c r="AR13" s="3"/>
      <c r="AS13" s="3"/>
      <c r="AT13" s="3"/>
      <c r="AU13" s="178"/>
      <c r="AV13" s="177"/>
    </row>
    <row r="14" ht="15.0" customHeight="1">
      <c r="A14" s="29">
        <v>45.0</v>
      </c>
      <c r="B14" s="340">
        <v>99999.0</v>
      </c>
      <c r="C14" s="341">
        <v>99999.0</v>
      </c>
      <c r="D14" s="341">
        <v>99999.0</v>
      </c>
      <c r="E14" s="341">
        <v>99999.0</v>
      </c>
      <c r="F14" s="344">
        <v>99999.0</v>
      </c>
      <c r="G14" s="178"/>
      <c r="H14" s="177"/>
      <c r="J14" s="178"/>
      <c r="K14" s="177"/>
      <c r="N14" s="29">
        <v>35.0</v>
      </c>
      <c r="O14" s="340">
        <v>99999.0</v>
      </c>
      <c r="P14" s="341">
        <v>99999.0</v>
      </c>
      <c r="Q14" s="341">
        <v>99999.0</v>
      </c>
      <c r="R14" s="341">
        <v>99999.0</v>
      </c>
      <c r="S14" s="344">
        <v>99999.0</v>
      </c>
      <c r="T14" s="178"/>
      <c r="U14" s="177"/>
      <c r="W14" s="178"/>
      <c r="X14" s="177"/>
      <c r="AA14" s="29">
        <v>45.0</v>
      </c>
      <c r="AB14" s="340">
        <v>99999.0</v>
      </c>
      <c r="AC14" s="341">
        <v>99999.0</v>
      </c>
      <c r="AD14" s="341">
        <v>99999.0</v>
      </c>
      <c r="AE14" s="341">
        <v>99999.0</v>
      </c>
      <c r="AF14" s="344">
        <v>99999.0</v>
      </c>
      <c r="AG14" s="178"/>
      <c r="AH14" s="177"/>
      <c r="AJ14" s="178"/>
      <c r="AK14" s="177"/>
      <c r="AM14" s="178"/>
      <c r="AN14" s="177"/>
      <c r="AR14" s="3"/>
      <c r="AS14" s="3"/>
      <c r="AT14" s="3"/>
      <c r="AU14" s="178"/>
      <c r="AV14" s="177"/>
    </row>
    <row r="15" ht="15.0" customHeight="1">
      <c r="B15" s="178"/>
      <c r="C15" s="177"/>
      <c r="D15" s="29"/>
      <c r="E15" s="29"/>
      <c r="F15" s="29"/>
      <c r="G15" s="3"/>
      <c r="H15" s="3"/>
      <c r="I15" s="3"/>
      <c r="J15" s="178"/>
      <c r="K15" s="177"/>
      <c r="O15" s="178"/>
      <c r="P15" s="177"/>
      <c r="Q15" s="29"/>
      <c r="R15" s="29"/>
      <c r="S15" s="29"/>
      <c r="T15" s="3"/>
      <c r="U15" s="3"/>
      <c r="V15" s="3"/>
      <c r="W15" s="178"/>
      <c r="X15" s="177"/>
      <c r="Z15" s="178"/>
      <c r="AB15" s="178"/>
      <c r="AC15" s="177"/>
      <c r="AD15" s="29"/>
      <c r="AE15" s="29"/>
      <c r="AF15" s="29"/>
      <c r="AG15" s="3"/>
      <c r="AH15" s="3"/>
      <c r="AI15" s="3"/>
      <c r="AJ15" s="178"/>
      <c r="AK15" s="177"/>
      <c r="AM15" s="3"/>
      <c r="AN15" s="3"/>
      <c r="AO15" s="3"/>
      <c r="AP15" s="178"/>
      <c r="AQ15" s="177"/>
      <c r="AU15" s="3"/>
      <c r="AV15" s="3"/>
      <c r="AW15" s="3"/>
      <c r="AX15" s="178"/>
      <c r="AY15" s="177"/>
    </row>
    <row r="16" ht="15.0" customHeight="1">
      <c r="B16" s="178" t="s">
        <v>134</v>
      </c>
      <c r="C16" s="177">
        <f>D1</f>
        <v>0</v>
      </c>
      <c r="D16" s="167" t="s">
        <v>239</v>
      </c>
      <c r="G16" s="3"/>
      <c r="H16" s="3"/>
      <c r="I16" s="3"/>
      <c r="J16" s="178"/>
      <c r="K16" s="177"/>
      <c r="L16" s="141"/>
      <c r="O16" s="178" t="s">
        <v>134</v>
      </c>
      <c r="P16" s="177">
        <f>D1</f>
        <v>0</v>
      </c>
      <c r="Q16" s="167" t="s">
        <v>239</v>
      </c>
      <c r="T16" s="3"/>
      <c r="U16" s="3"/>
      <c r="V16" s="3"/>
      <c r="W16" s="178"/>
      <c r="X16" s="177"/>
      <c r="Y16" s="141"/>
      <c r="Z16" s="178"/>
      <c r="AB16" s="178" t="s">
        <v>134</v>
      </c>
      <c r="AC16" s="177">
        <f>D1</f>
        <v>0</v>
      </c>
      <c r="AD16" s="167" t="s">
        <v>239</v>
      </c>
      <c r="AG16" s="3"/>
      <c r="AH16" s="3"/>
      <c r="AI16" s="3"/>
      <c r="AJ16" s="178"/>
      <c r="AK16" s="177"/>
      <c r="AL16" s="141"/>
      <c r="AM16" s="3"/>
      <c r="AN16" s="3"/>
      <c r="AO16" s="3"/>
      <c r="AP16" s="178"/>
      <c r="AQ16" s="177"/>
      <c r="AR16" s="167"/>
      <c r="AU16" s="3"/>
      <c r="AV16" s="3"/>
      <c r="AW16" s="3"/>
      <c r="AX16" s="178"/>
      <c r="AY16" s="177"/>
      <c r="AZ16" s="167"/>
    </row>
    <row r="17" ht="15.0" customHeight="1">
      <c r="B17" s="129" t="s">
        <v>240</v>
      </c>
      <c r="C17" s="182">
        <f t="array" ref="C17">INDEX(B5:F5,MATCH(C16,B5:F5,1))</f>
        <v>0</v>
      </c>
      <c r="D17" s="129" t="s">
        <v>131</v>
      </c>
      <c r="E17" s="155">
        <f>MATCH(MAX(A6:A14),A6:A14,1)</f>
        <v>9</v>
      </c>
      <c r="G17" s="3"/>
      <c r="H17" s="3"/>
      <c r="I17" s="3"/>
      <c r="J17" s="129"/>
      <c r="K17" s="182"/>
      <c r="L17" s="129"/>
      <c r="M17" s="155"/>
      <c r="O17" s="129" t="s">
        <v>240</v>
      </c>
      <c r="P17" s="182">
        <f t="array" ref="P17">INDEX(O5:S5,MATCH(P16,O5:S5,1))</f>
        <v>0</v>
      </c>
      <c r="Q17" s="129" t="s">
        <v>131</v>
      </c>
      <c r="R17" s="155">
        <f>MATCH(MAX(N6:N14),N6:N14,1)</f>
        <v>9</v>
      </c>
      <c r="T17" s="3"/>
      <c r="U17" s="3"/>
      <c r="V17" s="3"/>
      <c r="W17" s="129"/>
      <c r="X17" s="182"/>
      <c r="Y17" s="129"/>
      <c r="Z17" s="129"/>
      <c r="AB17" s="129" t="s">
        <v>240</v>
      </c>
      <c r="AC17" s="182">
        <f t="array" ref="AC17">INDEX(AB5:AF5,MATCH(AC16,AB5:AF5,1))</f>
        <v>0</v>
      </c>
      <c r="AD17" s="129" t="s">
        <v>131</v>
      </c>
      <c r="AE17" s="155">
        <f>MATCH(MAX(AA6:AA14),AA6:AA14,1)</f>
        <v>9</v>
      </c>
      <c r="AG17" s="3"/>
      <c r="AH17" s="3"/>
      <c r="AI17" s="3"/>
      <c r="AJ17" s="129"/>
      <c r="AK17" s="182"/>
      <c r="AL17" s="129"/>
      <c r="AM17" s="3"/>
      <c r="AN17" s="3"/>
      <c r="AO17" s="3"/>
      <c r="AP17" s="129"/>
      <c r="AQ17" s="182"/>
      <c r="AR17" s="129"/>
      <c r="AS17" s="155"/>
      <c r="AU17" s="3"/>
      <c r="AV17" s="3"/>
      <c r="AW17" s="3"/>
      <c r="AX17" s="129"/>
      <c r="AY17" s="182"/>
      <c r="AZ17" s="129"/>
      <c r="BA17" s="155"/>
    </row>
    <row r="18" ht="15.0" customHeight="1">
      <c r="B18" s="129" t="s">
        <v>241</v>
      </c>
      <c r="C18" s="182">
        <f t="array" ref="C18">INDEX(B5:F5,IF(MATCH(C16,B5:F5,1)&lt;E18,MATCH(C16,B5:F5,1)+1,MATCH(C16,B5:F5,1)))</f>
        <v>1000</v>
      </c>
      <c r="D18" s="129" t="s">
        <v>132</v>
      </c>
      <c r="E18" s="155">
        <f>MATCH(MAX(B5:F5),B5:F5,0)</f>
        <v>5</v>
      </c>
      <c r="G18" s="3"/>
      <c r="H18" s="3"/>
      <c r="I18" s="3"/>
      <c r="J18" s="129"/>
      <c r="K18" s="182"/>
      <c r="L18" s="129"/>
      <c r="M18" s="155"/>
      <c r="O18" s="129" t="s">
        <v>241</v>
      </c>
      <c r="P18" s="182">
        <f t="array" ref="P18">INDEX(O5:S5,IF(MATCH(P16,O5:S5,1)&lt;R18,MATCH(P16,O5:S5,1)+1,MATCH(P16,O5:S5,1)))</f>
        <v>1000</v>
      </c>
      <c r="Q18" s="129" t="s">
        <v>132</v>
      </c>
      <c r="R18" s="155">
        <f>MATCH(MAX(O5:S5),O5:S5,0)</f>
        <v>5</v>
      </c>
      <c r="T18" s="3"/>
      <c r="U18" s="3"/>
      <c r="V18" s="3"/>
      <c r="W18" s="129"/>
      <c r="X18" s="182"/>
      <c r="Y18" s="129"/>
      <c r="Z18" s="129"/>
      <c r="AB18" s="129" t="s">
        <v>241</v>
      </c>
      <c r="AC18" s="182">
        <f t="array" ref="AC18">INDEX(AB5:AF5,IF(MATCH(AC16,AB5:AF5,1)&lt;AE18,MATCH(AC16,AB5:AF5,1)+1,MATCH(AC16,AB5:AF5,1)))</f>
        <v>1000</v>
      </c>
      <c r="AD18" s="129" t="s">
        <v>132</v>
      </c>
      <c r="AE18" s="155">
        <f>MATCH(MAX(AB5:AF5),AB5:AF5,0)</f>
        <v>5</v>
      </c>
      <c r="AG18" s="3"/>
      <c r="AH18" s="3"/>
      <c r="AI18" s="3"/>
      <c r="AJ18" s="129"/>
      <c r="AK18" s="182"/>
      <c r="AL18" s="129"/>
      <c r="AM18" s="3"/>
      <c r="AN18" s="3"/>
      <c r="AO18" s="3"/>
      <c r="AP18" s="129"/>
      <c r="AQ18" s="182"/>
      <c r="AR18" s="129"/>
      <c r="AS18" s="155"/>
      <c r="AU18" s="3"/>
      <c r="AV18" s="3"/>
      <c r="AW18" s="3"/>
      <c r="AX18" s="129"/>
      <c r="AY18" s="182"/>
      <c r="AZ18" s="129"/>
      <c r="BA18" s="155"/>
    </row>
    <row r="19" ht="15.0" customHeight="1">
      <c r="B19" s="176" t="s">
        <v>136</v>
      </c>
      <c r="C19" s="274">
        <f>D2</f>
        <v>-2</v>
      </c>
      <c r="D19" s="3"/>
      <c r="E19" s="3"/>
      <c r="G19" s="3"/>
      <c r="H19" s="3"/>
      <c r="I19" s="3"/>
      <c r="J19" s="178"/>
      <c r="K19" s="274"/>
      <c r="L19" s="3"/>
      <c r="M19" s="3"/>
      <c r="O19" s="176" t="s">
        <v>136</v>
      </c>
      <c r="P19" s="274">
        <f>D2</f>
        <v>-2</v>
      </c>
      <c r="Q19" s="3"/>
      <c r="R19" s="3"/>
      <c r="T19" s="3"/>
      <c r="U19" s="3"/>
      <c r="V19" s="3"/>
      <c r="W19" s="178"/>
      <c r="X19" s="274"/>
      <c r="Y19" s="3"/>
      <c r="Z19" s="178"/>
      <c r="AB19" s="176" t="s">
        <v>136</v>
      </c>
      <c r="AC19" s="274">
        <f>D2</f>
        <v>-2</v>
      </c>
      <c r="AD19" s="3"/>
      <c r="AE19" s="3"/>
      <c r="AG19" s="3"/>
      <c r="AH19" s="3"/>
      <c r="AI19" s="3"/>
      <c r="AJ19" s="178"/>
      <c r="AK19" s="274"/>
      <c r="AL19" s="3"/>
      <c r="AM19" s="3"/>
      <c r="AN19" s="3"/>
      <c r="AO19" s="3"/>
      <c r="AP19" s="178"/>
      <c r="AQ19" s="274"/>
      <c r="AR19" s="3"/>
      <c r="AS19" s="3"/>
      <c r="AU19" s="3"/>
      <c r="AV19" s="3"/>
      <c r="AW19" s="3"/>
      <c r="AX19" s="178"/>
      <c r="AY19" s="274"/>
      <c r="AZ19" s="3"/>
      <c r="BA19" s="3"/>
    </row>
    <row r="20" ht="15.0" customHeight="1">
      <c r="B20" s="129" t="s">
        <v>139</v>
      </c>
      <c r="C20" s="182">
        <f t="array" ref="C20">INDEX(A6:A14,MATCH(C19,A6:A14,1))</f>
        <v>-10</v>
      </c>
      <c r="D20" s="3"/>
      <c r="E20" s="161"/>
      <c r="G20" s="3"/>
      <c r="H20" s="3"/>
      <c r="I20" s="3"/>
      <c r="J20" s="129"/>
      <c r="K20" s="182"/>
      <c r="L20" s="3"/>
      <c r="M20" s="161"/>
      <c r="O20" s="129" t="s">
        <v>139</v>
      </c>
      <c r="P20" s="182">
        <f t="array" ref="P20">INDEX(N6:N14,MATCH(P19,N6:N14,1))</f>
        <v>-10</v>
      </c>
      <c r="Q20" s="3"/>
      <c r="R20" s="161"/>
      <c r="T20" s="3"/>
      <c r="U20" s="3"/>
      <c r="V20" s="3"/>
      <c r="W20" s="129"/>
      <c r="X20" s="182"/>
      <c r="Y20" s="3"/>
      <c r="Z20" s="129"/>
      <c r="AB20" s="129" t="s">
        <v>139</v>
      </c>
      <c r="AC20" s="182">
        <f t="array" ref="AC20">INDEX(AA6:AA14,MATCH(AC19,AA6:AA14,1))</f>
        <v>-10</v>
      </c>
      <c r="AD20" s="3"/>
      <c r="AE20" s="161"/>
      <c r="AG20" s="3"/>
      <c r="AH20" s="3"/>
      <c r="AI20" s="3"/>
      <c r="AJ20" s="129"/>
      <c r="AK20" s="182"/>
      <c r="AL20" s="3"/>
      <c r="AM20" s="3"/>
      <c r="AN20" s="3"/>
      <c r="AO20" s="3"/>
      <c r="AP20" s="129"/>
      <c r="AQ20" s="182"/>
      <c r="AR20" s="3"/>
      <c r="AS20" s="161"/>
      <c r="AU20" s="3"/>
      <c r="AV20" s="3"/>
      <c r="AW20" s="3"/>
      <c r="AX20" s="129"/>
      <c r="AY20" s="182"/>
      <c r="AZ20" s="3"/>
      <c r="BA20" s="161"/>
    </row>
    <row r="21" ht="15.0" customHeight="1">
      <c r="B21" s="129" t="s">
        <v>145</v>
      </c>
      <c r="C21" s="182">
        <f t="array" ref="C21">INDEX(A6:A14,IF(MATCH(C19,A6:A14,1)&lt;E17,MATCH(C19,A6:A14,1)+1,MATCH(C19,A6:A14,1)))</f>
        <v>0</v>
      </c>
      <c r="D21" s="3"/>
      <c r="E21" s="161"/>
      <c r="G21" s="3"/>
      <c r="H21" s="3"/>
      <c r="I21" s="3"/>
      <c r="J21" s="129"/>
      <c r="K21" s="182"/>
      <c r="L21" s="3"/>
      <c r="M21" s="161"/>
      <c r="O21" s="129" t="s">
        <v>145</v>
      </c>
      <c r="P21" s="182">
        <f t="array" ref="P21">INDEX(N6:N14,IF(MATCH(P19,N6:N14,1)&lt;R17,MATCH(P19,N6:N14,1)+1,MATCH(P19,N6:N14,1)))</f>
        <v>0</v>
      </c>
      <c r="Q21" s="3"/>
      <c r="R21" s="161"/>
      <c r="T21" s="3"/>
      <c r="U21" s="3"/>
      <c r="V21" s="3"/>
      <c r="W21" s="129"/>
      <c r="X21" s="182"/>
      <c r="Y21" s="3"/>
      <c r="Z21" s="129"/>
      <c r="AB21" s="129" t="s">
        <v>145</v>
      </c>
      <c r="AC21" s="182">
        <f t="array" ref="AC21">INDEX(AA6:AA14,IF(MATCH(AC19,AA6:AA14,1)&lt;AE17,MATCH(AC19,AA6:AA14,1)+1,MATCH(AC19,AA6:AA14,1)))</f>
        <v>0</v>
      </c>
      <c r="AD21" s="3"/>
      <c r="AE21" s="161"/>
      <c r="AG21" s="3"/>
      <c r="AH21" s="3"/>
      <c r="AI21" s="3"/>
      <c r="AJ21" s="129"/>
      <c r="AK21" s="182"/>
      <c r="AL21" s="3"/>
      <c r="AM21" s="3"/>
      <c r="AN21" s="3"/>
      <c r="AO21" s="3"/>
      <c r="AP21" s="129"/>
      <c r="AQ21" s="182"/>
      <c r="AR21" s="3"/>
      <c r="AS21" s="161"/>
      <c r="AU21" s="3"/>
      <c r="AV21" s="3"/>
      <c r="AW21" s="3"/>
      <c r="AX21" s="129"/>
      <c r="AY21" s="182"/>
      <c r="AZ21" s="3"/>
      <c r="BA21" s="161"/>
    </row>
    <row r="22" ht="15.0" customHeight="1">
      <c r="B22" s="178" t="s">
        <v>165</v>
      </c>
      <c r="C22" s="177">
        <f t="array" ref="C22">INDEX(B6:F14,MATCH(C19,A6:A14,1),MATCH(C16,B5:F5,1))</f>
        <v>1550</v>
      </c>
      <c r="D22" s="3"/>
      <c r="E22" s="161"/>
      <c r="G22" s="3"/>
      <c r="H22" s="3"/>
      <c r="I22" s="3"/>
      <c r="J22" s="178"/>
      <c r="K22" s="177"/>
      <c r="L22" s="3"/>
      <c r="M22" s="161"/>
      <c r="O22" s="178" t="s">
        <v>165</v>
      </c>
      <c r="P22" s="177" t="str">
        <f t="array" ref="P22">INDEX(O6:S14,MATCH(P19,N6:N14,1),MATCH(P16,O5:S5,1))</f>
        <v/>
      </c>
      <c r="Q22" s="3"/>
      <c r="R22" s="161"/>
      <c r="T22" s="3"/>
      <c r="U22" s="3"/>
      <c r="V22" s="3"/>
      <c r="W22" s="178"/>
      <c r="X22" s="177"/>
      <c r="Y22" s="3"/>
      <c r="Z22" s="178"/>
      <c r="AB22" s="178" t="s">
        <v>165</v>
      </c>
      <c r="AC22" s="177" t="str">
        <f t="array" ref="AC22">INDEX(AB6:AF14,MATCH(AC19,AA6:AA14,1),MATCH(AC16,AB5:AF5,1))</f>
        <v/>
      </c>
      <c r="AD22" s="3"/>
      <c r="AE22" s="161"/>
      <c r="AG22" s="3"/>
      <c r="AH22" s="3"/>
      <c r="AI22" s="3"/>
      <c r="AJ22" s="178"/>
      <c r="AK22" s="177"/>
      <c r="AL22" s="3"/>
      <c r="AM22" s="3"/>
      <c r="AN22" s="3"/>
      <c r="AO22" s="3"/>
      <c r="AP22" s="178"/>
      <c r="AQ22" s="177"/>
      <c r="AR22" s="3"/>
      <c r="AS22" s="161"/>
      <c r="AU22" s="3"/>
      <c r="AV22" s="3"/>
      <c r="AW22" s="3"/>
      <c r="AX22" s="178"/>
      <c r="AY22" s="177"/>
      <c r="AZ22" s="3"/>
      <c r="BA22" s="161"/>
    </row>
    <row r="23" ht="15.0" customHeight="1">
      <c r="B23" s="178" t="s">
        <v>249</v>
      </c>
      <c r="C23" s="177">
        <f t="array" ref="C23">INDEX(B6:F14,MATCH(C19,A6:A14,1),IF(MATCH(C16,B5:F5,1)&lt;E18,MATCH(C16,B5:F5,1)+1,MATCH(C19,A6:A14,1)))</f>
        <v>1600</v>
      </c>
      <c r="E23" s="161"/>
      <c r="G23" s="3"/>
      <c r="H23" s="3"/>
      <c r="I23" s="3"/>
      <c r="J23" s="178"/>
      <c r="K23" s="177"/>
      <c r="M23" s="161"/>
      <c r="O23" s="178" t="s">
        <v>249</v>
      </c>
      <c r="P23" s="177" t="str">
        <f t="array" ref="P23">INDEX(O6:S14,MATCH(P19,N6:N14,1),IF(MATCH(P16,O5:S5,1)&lt;R18,MATCH(P16,O5:S5,1)+1,MATCH(P19,N6:N14,1)))</f>
        <v/>
      </c>
      <c r="R23" s="161"/>
      <c r="T23" s="3"/>
      <c r="U23" s="3"/>
      <c r="V23" s="3"/>
      <c r="W23" s="178"/>
      <c r="X23" s="177"/>
      <c r="Z23" s="178"/>
      <c r="AB23" s="178" t="s">
        <v>249</v>
      </c>
      <c r="AC23" s="177" t="str">
        <f t="array" ref="AC23">INDEX(AB6:AF14,MATCH(AC19,AA6:AA14,1),IF(MATCH(AC16,AB5:AF5,1)&lt;AE18,MATCH(AC16,AB5:AF5,1)+1,MATCH(AC19,AA6:AA14,1)))</f>
        <v/>
      </c>
      <c r="AE23" s="161"/>
      <c r="AG23" s="3"/>
      <c r="AH23" s="3"/>
      <c r="AI23" s="3"/>
      <c r="AJ23" s="178"/>
      <c r="AK23" s="177"/>
      <c r="AM23" s="3"/>
      <c r="AN23" s="3"/>
      <c r="AO23" s="3"/>
      <c r="AP23" s="178"/>
      <c r="AQ23" s="177"/>
      <c r="AS23" s="161"/>
      <c r="AU23" s="3"/>
      <c r="AV23" s="3"/>
      <c r="AW23" s="3"/>
      <c r="AX23" s="178"/>
      <c r="AY23" s="177"/>
      <c r="BA23" s="161"/>
    </row>
    <row r="24" ht="15.0" customHeight="1">
      <c r="B24" s="178" t="s">
        <v>177</v>
      </c>
      <c r="C24" s="177">
        <f t="array" ref="C24">INDEX(B6:F14,IF(MATCH(C19,A6:A14,1)&lt;E17,MATCH(C19,A6:A14,1)+1,MATCH(C19,A6:A14,1)),MATCH(C16,B5:F5,1))</f>
        <v>1610</v>
      </c>
      <c r="E24" s="161"/>
      <c r="G24" s="3"/>
      <c r="H24" s="3"/>
      <c r="I24" s="3"/>
      <c r="J24" s="178"/>
      <c r="K24" s="177"/>
      <c r="M24" s="161"/>
      <c r="O24" s="178" t="s">
        <v>177</v>
      </c>
      <c r="P24" s="177" t="str">
        <f t="array" ref="P24">INDEX(O6:S14,IF(MATCH(P19,N6:N14,1)&lt;R17,MATCH(P19,N6:N14,1)+1,MATCH(P19,N6:N14,1)),MATCH(P16,O5:S5,1))</f>
        <v/>
      </c>
      <c r="R24" s="161"/>
      <c r="T24" s="3"/>
      <c r="U24" s="3"/>
      <c r="V24" s="3"/>
      <c r="W24" s="178"/>
      <c r="X24" s="177"/>
      <c r="Z24" s="178"/>
      <c r="AB24" s="178" t="s">
        <v>177</v>
      </c>
      <c r="AC24" s="177" t="str">
        <f t="array" ref="AC24">INDEX(AB6:AF14,IF(MATCH(AC19,AA6:AA14,1)&lt;AE17,MATCH(AC19,AA6:AA14,1)+1,MATCH(AC19,AA6:AA14,1)),MATCH(AC16,AB5:AF5,1))</f>
        <v/>
      </c>
      <c r="AE24" s="161"/>
      <c r="AG24" s="3"/>
      <c r="AH24" s="3"/>
      <c r="AI24" s="3"/>
      <c r="AJ24" s="178"/>
      <c r="AK24" s="177"/>
      <c r="AM24" s="3"/>
      <c r="AN24" s="3"/>
      <c r="AO24" s="3"/>
      <c r="AP24" s="178"/>
      <c r="AQ24" s="177"/>
      <c r="AS24" s="161"/>
      <c r="AU24" s="3"/>
      <c r="AV24" s="3"/>
      <c r="AW24" s="3"/>
      <c r="AX24" s="178"/>
      <c r="AY24" s="177"/>
      <c r="BA24" s="161"/>
    </row>
    <row r="25" ht="15.0" customHeight="1">
      <c r="B25" s="178" t="s">
        <v>250</v>
      </c>
      <c r="C25" s="177">
        <f t="array" ref="C25">INDEX(B6:F14,IF(MATCH(C19,A6:A14,1)&lt;E17,MATCH(C19,A6:A14,1)+1,MATCH(C19,A6:A14,1)),IF(MATCH(C16,B5:F5,1)&lt;E18,MATCH(C16,B5:F5,1)+1,MATCH(C16,B5:F5,1)))</f>
        <v>1700</v>
      </c>
      <c r="G25" s="3"/>
      <c r="H25" s="3"/>
      <c r="I25" s="3"/>
      <c r="J25" s="178"/>
      <c r="K25" s="177"/>
      <c r="O25" s="178" t="s">
        <v>250</v>
      </c>
      <c r="P25" s="177" t="str">
        <f t="array" ref="P25">INDEX(O6:S14,IF(MATCH(P19,N6:N14,1)&lt;R17,MATCH(P19,N6:N14,1)+1,MATCH(P19,N6:N14,1)),IF(MATCH(P16,O5:S5,1)&lt;R18,MATCH(P16,O5:S5,1)+1,MATCH(P16,O5:S5,1)))</f>
        <v/>
      </c>
      <c r="T25" s="3"/>
      <c r="U25" s="3"/>
      <c r="V25" s="3"/>
      <c r="W25" s="178"/>
      <c r="X25" s="177"/>
      <c r="Z25" s="178"/>
      <c r="AB25" s="178" t="s">
        <v>250</v>
      </c>
      <c r="AC25" s="177" t="str">
        <f t="array" ref="AC25">INDEX(AB6:AF14,IF(MATCH(AC19,AA6:AA14,1)&lt;AE17,MATCH(AC19,AA6:AA14,1)+1,MATCH(AC19,AA6:AA14,1)),IF(MATCH(AC16,AB5:AF5,1)&lt;AE18,MATCH(AC16,AB5:AF5,1)+1,MATCH(AC16,AB5:AF5,1)))</f>
        <v/>
      </c>
      <c r="AG25" s="3"/>
      <c r="AH25" s="3"/>
      <c r="AI25" s="3"/>
      <c r="AJ25" s="178"/>
      <c r="AK25" s="177"/>
      <c r="AM25" s="3"/>
      <c r="AN25" s="3"/>
      <c r="AO25" s="3"/>
      <c r="AP25" s="178"/>
      <c r="AQ25" s="177"/>
      <c r="AU25" s="3"/>
      <c r="AV25" s="3"/>
      <c r="AW25" s="3"/>
      <c r="AX25" s="178"/>
      <c r="AY25" s="177"/>
    </row>
    <row r="26" ht="15.0" customHeight="1">
      <c r="B26" s="129" t="s">
        <v>252</v>
      </c>
      <c r="C26" s="182">
        <f>IFERROR(C22+(C16-C17)*(C23-C22)/(C18-C17),C22)</f>
        <v>1550</v>
      </c>
      <c r="G26" s="3"/>
      <c r="H26" s="3"/>
      <c r="I26" s="3"/>
      <c r="J26" s="129"/>
      <c r="K26" s="182"/>
      <c r="O26" s="129" t="s">
        <v>252</v>
      </c>
      <c r="P26" s="182">
        <f>IFERROR(P22+(P16-P17)*(P23-P22)/(P18-P17),P22)</f>
        <v>0</v>
      </c>
      <c r="T26" s="3"/>
      <c r="U26" s="3"/>
      <c r="V26" s="3"/>
      <c r="W26" s="129"/>
      <c r="X26" s="182"/>
      <c r="Z26" s="129"/>
      <c r="AB26" s="129" t="s">
        <v>252</v>
      </c>
      <c r="AC26" s="182">
        <f>IFERROR(AC22+(AC16-AC17)*(AC23-AC22)/(AC18-AC17),AC22)</f>
        <v>0</v>
      </c>
      <c r="AG26" s="3"/>
      <c r="AH26" s="3"/>
      <c r="AI26" s="3"/>
      <c r="AJ26" s="129"/>
      <c r="AK26" s="182"/>
      <c r="AM26" s="3"/>
      <c r="AN26" s="3"/>
      <c r="AO26" s="3"/>
      <c r="AP26" s="129"/>
      <c r="AQ26" s="182"/>
      <c r="AU26" s="3"/>
      <c r="AV26" s="3"/>
      <c r="AW26" s="3"/>
      <c r="AX26" s="129"/>
      <c r="AY26" s="182"/>
    </row>
    <row r="27" ht="15.0" customHeight="1">
      <c r="B27" s="129" t="s">
        <v>253</v>
      </c>
      <c r="C27" s="182">
        <f>IFERROR(C24+(C16-C17)*(C25-C24)/(C18-C17),C24)</f>
        <v>1610</v>
      </c>
      <c r="G27" s="3"/>
      <c r="H27" s="3"/>
      <c r="I27" s="3"/>
      <c r="J27" s="129"/>
      <c r="K27" s="182"/>
      <c r="O27" s="129" t="s">
        <v>253</v>
      </c>
      <c r="P27" s="182">
        <f>IFERROR(P24+(P16-P17)*(P25-P24)/(P18-P17),P24)</f>
        <v>0</v>
      </c>
      <c r="T27" s="3"/>
      <c r="U27" s="3"/>
      <c r="V27" s="3"/>
      <c r="W27" s="129"/>
      <c r="X27" s="182"/>
      <c r="Z27" s="129"/>
      <c r="AB27" s="129" t="s">
        <v>253</v>
      </c>
      <c r="AC27" s="182">
        <f>IFERROR(AC24+(AC16-AC17)*(AC25-AC24)/(AC18-AC17),AC24)</f>
        <v>0</v>
      </c>
      <c r="AG27" s="3"/>
      <c r="AH27" s="3"/>
      <c r="AI27" s="3"/>
      <c r="AJ27" s="129"/>
      <c r="AK27" s="182"/>
      <c r="AM27" s="3"/>
      <c r="AN27" s="3"/>
      <c r="AO27" s="3"/>
      <c r="AP27" s="129"/>
      <c r="AQ27" s="182"/>
      <c r="AU27" s="3"/>
      <c r="AV27" s="3"/>
      <c r="AW27" s="3"/>
      <c r="AX27" s="129"/>
      <c r="AY27" s="182"/>
    </row>
    <row r="28" ht="15.0" customHeight="1">
      <c r="B28" s="178" t="s">
        <v>254</v>
      </c>
      <c r="C28" s="177">
        <f>IFERROR(C26+(C19-C20)*(C27-C26)/(C21-C20),C26)</f>
        <v>1598</v>
      </c>
      <c r="G28" s="3"/>
      <c r="H28" s="3"/>
      <c r="I28" s="3"/>
      <c r="J28" s="178"/>
      <c r="K28" s="177"/>
      <c r="O28" s="178" t="s">
        <v>254</v>
      </c>
      <c r="P28" s="177">
        <f>IFERROR(P26+(P19-P20)*(P27-P26)/(P21-P20),P26)</f>
        <v>0</v>
      </c>
      <c r="T28" s="3"/>
      <c r="U28" s="3"/>
      <c r="V28" s="3"/>
      <c r="W28" s="178"/>
      <c r="X28" s="177"/>
      <c r="Z28" s="178"/>
      <c r="AB28" s="178" t="s">
        <v>254</v>
      </c>
      <c r="AC28" s="177">
        <f>IFERROR(AC26+(AC19-AC20)*(AC27-AC26)/(AC21-AC20),AC26)</f>
        <v>0</v>
      </c>
      <c r="AG28" s="3"/>
      <c r="AH28" s="3"/>
      <c r="AI28" s="3"/>
      <c r="AJ28" s="178"/>
      <c r="AK28" s="177"/>
      <c r="AM28" s="3"/>
      <c r="AN28" s="3"/>
      <c r="AO28" s="3"/>
      <c r="AP28" s="178"/>
      <c r="AQ28" s="177"/>
      <c r="AU28" s="3"/>
      <c r="AV28" s="3"/>
      <c r="AW28" s="3"/>
      <c r="AX28" s="178"/>
      <c r="AY28" s="177"/>
    </row>
    <row r="29" ht="15.75" customHeight="1"/>
    <row r="30" ht="15.0" customHeight="1">
      <c r="A30" s="29"/>
      <c r="B30" s="167" t="s">
        <v>255</v>
      </c>
      <c r="H30" s="141"/>
      <c r="I30" s="141"/>
      <c r="J30" s="141"/>
      <c r="K30" s="141"/>
      <c r="L30" s="141"/>
      <c r="M30" s="141"/>
      <c r="N30" s="29"/>
      <c r="O30" s="167" t="s">
        <v>255</v>
      </c>
      <c r="U30" s="141"/>
      <c r="V30" s="141"/>
      <c r="W30" s="141"/>
      <c r="X30" s="141"/>
      <c r="Y30" s="141"/>
      <c r="AA30" s="29"/>
      <c r="AB30" s="167" t="s">
        <v>255</v>
      </c>
      <c r="AH30" s="141"/>
      <c r="AI30" s="141"/>
      <c r="AJ30" s="141"/>
      <c r="AK30" s="141"/>
      <c r="AL30" s="141"/>
    </row>
    <row r="31" ht="15.0" customHeight="1">
      <c r="A31" s="29" t="s">
        <v>142</v>
      </c>
      <c r="B31" s="349">
        <v>1000.0</v>
      </c>
      <c r="C31" s="353">
        <v>1500.0</v>
      </c>
      <c r="D31" s="353">
        <v>2000.0</v>
      </c>
      <c r="E31" s="355">
        <v>2500.0</v>
      </c>
      <c r="F31" s="355">
        <v>3000.0</v>
      </c>
      <c r="G31" s="334">
        <v>3500.0</v>
      </c>
      <c r="H31" s="29"/>
      <c r="I31" s="29"/>
      <c r="J31" s="29"/>
      <c r="K31" s="29"/>
      <c r="L31" s="29"/>
      <c r="M31" s="29"/>
      <c r="N31" s="29"/>
      <c r="O31" s="29" t="s">
        <v>142</v>
      </c>
      <c r="P31" s="349">
        <v>1900.0</v>
      </c>
      <c r="Q31" s="353">
        <v>2350.0</v>
      </c>
      <c r="R31" s="355">
        <v>2850.0</v>
      </c>
      <c r="S31" s="355">
        <v>3350.0</v>
      </c>
      <c r="T31" s="334">
        <v>4500.0</v>
      </c>
      <c r="U31" s="29"/>
      <c r="V31" s="29"/>
      <c r="W31" s="29"/>
      <c r="X31" s="29"/>
      <c r="Y31" s="29"/>
      <c r="AB31" s="29" t="s">
        <v>142</v>
      </c>
      <c r="AC31" s="349">
        <v>1550.0</v>
      </c>
      <c r="AD31" s="353">
        <v>2000.0</v>
      </c>
      <c r="AE31" s="355">
        <v>2500.0</v>
      </c>
      <c r="AF31" s="355">
        <v>3050.0</v>
      </c>
      <c r="AG31" s="334">
        <v>4500.0</v>
      </c>
      <c r="AH31" s="29"/>
      <c r="AI31" s="29"/>
      <c r="AJ31" s="29"/>
      <c r="AK31" s="29"/>
      <c r="AL31" s="29"/>
    </row>
    <row r="32" ht="15.0" customHeight="1">
      <c r="A32" s="29">
        <v>9000.0</v>
      </c>
      <c r="B32" s="331">
        <v>875.0</v>
      </c>
      <c r="C32" s="332">
        <v>1250.0</v>
      </c>
      <c r="D32" s="332">
        <v>1600.0</v>
      </c>
      <c r="E32" s="333">
        <v>1890.0</v>
      </c>
      <c r="F32" s="333">
        <v>2150.0</v>
      </c>
      <c r="G32" s="334">
        <v>99999.0</v>
      </c>
      <c r="H32" s="29"/>
      <c r="I32" s="29"/>
      <c r="J32" s="29"/>
      <c r="K32" s="29"/>
      <c r="L32" s="29"/>
      <c r="M32" s="29"/>
      <c r="N32" s="29"/>
      <c r="O32" s="29">
        <v>10000.0</v>
      </c>
      <c r="P32" s="331"/>
      <c r="Q32" s="332"/>
      <c r="R32" s="333"/>
      <c r="S32" s="333"/>
      <c r="T32" s="334">
        <v>99999.0</v>
      </c>
      <c r="U32" s="29"/>
      <c r="V32" s="29"/>
      <c r="W32" s="29"/>
      <c r="X32" s="29"/>
      <c r="Y32" s="29"/>
      <c r="AB32" s="29">
        <v>9000.0</v>
      </c>
      <c r="AC32" s="331"/>
      <c r="AD32" s="332"/>
      <c r="AE32" s="333"/>
      <c r="AF32" s="333"/>
      <c r="AG32" s="334">
        <v>99999.0</v>
      </c>
      <c r="AH32" s="29"/>
      <c r="AI32" s="29"/>
      <c r="AJ32" s="29"/>
      <c r="AK32" s="29"/>
      <c r="AL32" s="29"/>
    </row>
    <row r="33" ht="15.0" customHeight="1">
      <c r="A33" s="29">
        <v>9500.0</v>
      </c>
      <c r="B33" s="343">
        <v>890.0</v>
      </c>
      <c r="C33" s="320">
        <v>1300.0</v>
      </c>
      <c r="D33" s="320">
        <v>1650.0</v>
      </c>
      <c r="E33" s="29">
        <v>1950.0</v>
      </c>
      <c r="F33" s="29">
        <v>2250.0</v>
      </c>
      <c r="G33" s="337">
        <v>99999.0</v>
      </c>
      <c r="H33" s="29"/>
      <c r="I33" s="29"/>
      <c r="J33" s="29"/>
      <c r="K33" s="29"/>
      <c r="L33" s="29"/>
      <c r="M33" s="29"/>
      <c r="N33" s="29"/>
      <c r="O33" s="29">
        <v>11000.0</v>
      </c>
      <c r="P33" s="343"/>
      <c r="Q33" s="320"/>
      <c r="R33" s="29"/>
      <c r="S33" s="29"/>
      <c r="T33" s="337">
        <v>99999.0</v>
      </c>
      <c r="U33" s="29"/>
      <c r="V33" s="29"/>
      <c r="W33" s="29"/>
      <c r="X33" s="29"/>
      <c r="Y33" s="29"/>
      <c r="AB33" s="29">
        <v>9500.0</v>
      </c>
      <c r="AC33" s="343"/>
      <c r="AD33" s="320"/>
      <c r="AE33" s="29"/>
      <c r="AF33" s="29"/>
      <c r="AG33" s="337">
        <v>99999.0</v>
      </c>
      <c r="AH33" s="29"/>
      <c r="AI33" s="29"/>
      <c r="AJ33" s="29"/>
      <c r="AK33" s="29"/>
      <c r="AL33" s="29"/>
    </row>
    <row r="34" ht="15.0" customHeight="1">
      <c r="A34" s="29">
        <v>10000.0</v>
      </c>
      <c r="B34" s="343">
        <v>900.0</v>
      </c>
      <c r="C34" s="320">
        <v>1330.0</v>
      </c>
      <c r="D34" s="320">
        <v>1700.0</v>
      </c>
      <c r="E34" s="29">
        <v>2050.0</v>
      </c>
      <c r="F34" s="29">
        <v>2350.0</v>
      </c>
      <c r="G34" s="337">
        <v>99999.0</v>
      </c>
      <c r="H34" s="29"/>
      <c r="I34" s="29"/>
      <c r="J34" s="29"/>
      <c r="K34" s="29"/>
      <c r="L34" s="29"/>
      <c r="M34" s="29"/>
      <c r="N34" s="29"/>
      <c r="O34" s="29">
        <v>12000.0</v>
      </c>
      <c r="P34" s="343"/>
      <c r="Q34" s="320"/>
      <c r="R34" s="29"/>
      <c r="S34" s="29"/>
      <c r="T34" s="337">
        <v>99999.0</v>
      </c>
      <c r="U34" s="29"/>
      <c r="V34" s="29"/>
      <c r="W34" s="29"/>
      <c r="X34" s="29"/>
      <c r="Y34" s="29"/>
      <c r="AB34" s="29">
        <v>10000.0</v>
      </c>
      <c r="AC34" s="343"/>
      <c r="AD34" s="320"/>
      <c r="AE34" s="29"/>
      <c r="AF34" s="29"/>
      <c r="AG34" s="337">
        <v>99999.0</v>
      </c>
      <c r="AH34" s="29"/>
      <c r="AI34" s="29"/>
      <c r="AJ34" s="29"/>
      <c r="AK34" s="29"/>
      <c r="AL34" s="29"/>
    </row>
    <row r="35" ht="15.0" customHeight="1">
      <c r="A35" s="29">
        <v>10500.0</v>
      </c>
      <c r="B35" s="343">
        <v>910.0</v>
      </c>
      <c r="C35" s="320">
        <v>1360.0</v>
      </c>
      <c r="D35" s="320">
        <v>1775.0</v>
      </c>
      <c r="E35" s="29">
        <v>2150.0</v>
      </c>
      <c r="F35" s="29">
        <v>2450.0</v>
      </c>
      <c r="G35" s="337">
        <v>99999.0</v>
      </c>
      <c r="H35" s="29"/>
      <c r="I35" s="29"/>
      <c r="J35" s="29"/>
      <c r="K35" s="29"/>
      <c r="L35" s="29"/>
      <c r="M35" s="29"/>
      <c r="N35" s="29"/>
      <c r="O35" s="29">
        <v>13000.0</v>
      </c>
      <c r="P35" s="343"/>
      <c r="Q35" s="320"/>
      <c r="R35" s="29"/>
      <c r="S35" s="29"/>
      <c r="T35" s="337">
        <v>99999.0</v>
      </c>
      <c r="U35" s="29"/>
      <c r="V35" s="29"/>
      <c r="W35" s="29"/>
      <c r="X35" s="29"/>
      <c r="Y35" s="29"/>
      <c r="AB35" s="29">
        <v>10500.0</v>
      </c>
      <c r="AC35" s="343"/>
      <c r="AD35" s="320"/>
      <c r="AE35" s="29"/>
      <c r="AF35" s="29"/>
      <c r="AG35" s="337">
        <v>99999.0</v>
      </c>
      <c r="AH35" s="29"/>
      <c r="AI35" s="29"/>
      <c r="AJ35" s="29"/>
      <c r="AK35" s="29"/>
      <c r="AL35" s="29"/>
    </row>
    <row r="36" ht="15.0" customHeight="1">
      <c r="A36" s="29">
        <v>11000.0</v>
      </c>
      <c r="B36" s="343">
        <v>940.0</v>
      </c>
      <c r="C36" s="320">
        <v>1400.0</v>
      </c>
      <c r="D36" s="320">
        <v>1820.0</v>
      </c>
      <c r="E36" s="29">
        <v>2250.0</v>
      </c>
      <c r="F36" s="29">
        <v>2600.0</v>
      </c>
      <c r="G36" s="337">
        <v>99999.0</v>
      </c>
      <c r="H36" s="29"/>
      <c r="I36" s="29"/>
      <c r="J36" s="29"/>
      <c r="K36" s="29"/>
      <c r="L36" s="29"/>
      <c r="M36" s="29"/>
      <c r="N36" s="29"/>
      <c r="O36" s="29">
        <v>14000.0</v>
      </c>
      <c r="P36" s="343"/>
      <c r="Q36" s="320"/>
      <c r="R36" s="29"/>
      <c r="S36" s="29"/>
      <c r="T36" s="337">
        <v>99999.0</v>
      </c>
      <c r="U36" s="29"/>
      <c r="V36" s="29"/>
      <c r="W36" s="29"/>
      <c r="X36" s="29"/>
      <c r="Y36" s="29"/>
      <c r="AB36" s="29">
        <v>11000.0</v>
      </c>
      <c r="AC36" s="343"/>
      <c r="AD36" s="320"/>
      <c r="AE36" s="29"/>
      <c r="AF36" s="29"/>
      <c r="AG36" s="337">
        <v>99999.0</v>
      </c>
      <c r="AH36" s="29"/>
      <c r="AI36" s="29"/>
      <c r="AJ36" s="29"/>
      <c r="AK36" s="29"/>
      <c r="AL36" s="29"/>
    </row>
    <row r="37" ht="15.0" customHeight="1">
      <c r="A37" s="29">
        <v>11500.0</v>
      </c>
      <c r="B37" s="343">
        <v>960.0</v>
      </c>
      <c r="C37" s="320">
        <v>1440.0</v>
      </c>
      <c r="D37" s="320">
        <v>1900.0</v>
      </c>
      <c r="E37" s="29">
        <v>2320.0</v>
      </c>
      <c r="F37" s="29">
        <v>2700.0</v>
      </c>
      <c r="G37" s="337">
        <v>99999.0</v>
      </c>
      <c r="H37" s="29"/>
      <c r="I37" s="29"/>
      <c r="J37" s="29"/>
      <c r="K37" s="29"/>
      <c r="L37" s="29"/>
      <c r="M37" s="29"/>
      <c r="N37" s="29"/>
      <c r="O37" s="29">
        <v>15000.0</v>
      </c>
      <c r="P37" s="343"/>
      <c r="Q37" s="320"/>
      <c r="R37" s="29"/>
      <c r="S37" s="29"/>
      <c r="T37" s="337">
        <v>99999.0</v>
      </c>
      <c r="U37" s="29"/>
      <c r="V37" s="29"/>
      <c r="W37" s="29"/>
      <c r="X37" s="29"/>
      <c r="Y37" s="29"/>
      <c r="AB37" s="29">
        <v>11500.0</v>
      </c>
      <c r="AC37" s="343"/>
      <c r="AD37" s="320"/>
      <c r="AE37" s="29"/>
      <c r="AF37" s="29"/>
      <c r="AG37" s="337">
        <v>99999.0</v>
      </c>
      <c r="AH37" s="29"/>
      <c r="AI37" s="29"/>
      <c r="AJ37" s="29"/>
      <c r="AK37" s="29"/>
      <c r="AL37" s="29"/>
    </row>
    <row r="38" ht="15.0" customHeight="1">
      <c r="A38" s="29">
        <v>12000.0</v>
      </c>
      <c r="B38" s="343">
        <v>990.0</v>
      </c>
      <c r="C38" s="320">
        <v>1460.0</v>
      </c>
      <c r="D38" s="320">
        <v>1950.0</v>
      </c>
      <c r="E38" s="29">
        <v>2400.0</v>
      </c>
      <c r="F38" s="29">
        <v>2850.0</v>
      </c>
      <c r="G38" s="337">
        <v>99999.0</v>
      </c>
      <c r="H38" s="29"/>
      <c r="I38" s="29"/>
      <c r="J38" s="29"/>
      <c r="K38" s="29"/>
      <c r="L38" s="29"/>
      <c r="M38" s="29"/>
      <c r="N38" s="29"/>
      <c r="O38" s="29">
        <v>16000.0</v>
      </c>
      <c r="P38" s="343"/>
      <c r="Q38" s="320"/>
      <c r="R38" s="29"/>
      <c r="S38" s="29"/>
      <c r="T38" s="337">
        <v>99999.0</v>
      </c>
      <c r="U38" s="29"/>
      <c r="V38" s="29"/>
      <c r="W38" s="29"/>
      <c r="X38" s="29"/>
      <c r="Y38" s="29"/>
      <c r="AB38" s="29">
        <v>12000.0</v>
      </c>
      <c r="AC38" s="343"/>
      <c r="AD38" s="320"/>
      <c r="AE38" s="29"/>
      <c r="AF38" s="29"/>
      <c r="AG38" s="337">
        <v>99999.0</v>
      </c>
      <c r="AH38" s="29"/>
      <c r="AI38" s="29"/>
      <c r="AJ38" s="29"/>
      <c r="AK38" s="29"/>
      <c r="AL38" s="29"/>
    </row>
    <row r="39" ht="15.0" customHeight="1">
      <c r="A39" s="29">
        <v>12500.0</v>
      </c>
      <c r="B39" s="340">
        <v>1000.0</v>
      </c>
      <c r="C39" s="341">
        <v>1500.0</v>
      </c>
      <c r="D39" s="341">
        <v>2000.0</v>
      </c>
      <c r="E39" s="281">
        <v>2500.0</v>
      </c>
      <c r="F39" s="281">
        <v>3000.0</v>
      </c>
      <c r="G39" s="337">
        <v>99999.0</v>
      </c>
      <c r="H39" s="29"/>
      <c r="I39" s="29"/>
      <c r="J39" s="29"/>
      <c r="K39" s="29"/>
      <c r="L39" s="29"/>
      <c r="M39" s="29"/>
      <c r="N39" s="29"/>
      <c r="O39" s="29">
        <v>16600.0</v>
      </c>
      <c r="P39" s="340"/>
      <c r="Q39" s="341"/>
      <c r="R39" s="281"/>
      <c r="S39" s="281"/>
      <c r="T39" s="337">
        <v>99999.0</v>
      </c>
      <c r="U39" s="29"/>
      <c r="V39" s="29"/>
      <c r="W39" s="29"/>
      <c r="X39" s="29"/>
      <c r="Y39" s="29"/>
      <c r="AB39" s="29">
        <v>12500.0</v>
      </c>
      <c r="AC39" s="340"/>
      <c r="AD39" s="341"/>
      <c r="AE39" s="281"/>
      <c r="AF39" s="281"/>
      <c r="AG39" s="337">
        <v>99999.0</v>
      </c>
      <c r="AH39" s="29"/>
      <c r="AI39" s="29"/>
      <c r="AJ39" s="29"/>
      <c r="AK39" s="29"/>
      <c r="AL39" s="29"/>
    </row>
    <row r="40" ht="15.0" customHeight="1">
      <c r="A40" s="29">
        <v>12600.0</v>
      </c>
      <c r="B40" s="340">
        <v>99999.0</v>
      </c>
      <c r="C40" s="341">
        <v>99999.0</v>
      </c>
      <c r="D40" s="341">
        <v>99999.0</v>
      </c>
      <c r="E40" s="341">
        <v>99999.0</v>
      </c>
      <c r="F40" s="341">
        <v>99999.0</v>
      </c>
      <c r="G40" s="358">
        <v>99999.0</v>
      </c>
      <c r="H40" s="320"/>
      <c r="I40" s="320"/>
      <c r="J40" s="320"/>
      <c r="K40" s="320"/>
      <c r="L40" s="320"/>
      <c r="M40" s="320"/>
      <c r="N40" s="143"/>
      <c r="O40" s="29">
        <v>16700.0</v>
      </c>
      <c r="P40" s="340">
        <v>99999.0</v>
      </c>
      <c r="Q40" s="341">
        <v>99999.0</v>
      </c>
      <c r="R40" s="341">
        <v>99999.0</v>
      </c>
      <c r="S40" s="341">
        <v>99999.0</v>
      </c>
      <c r="T40" s="358">
        <v>99999.0</v>
      </c>
      <c r="U40" s="320"/>
      <c r="V40" s="320"/>
      <c r="W40" s="320"/>
      <c r="X40" s="320"/>
      <c r="Y40" s="320"/>
      <c r="AB40" s="29">
        <v>12600.0</v>
      </c>
      <c r="AC40" s="340">
        <v>99999.0</v>
      </c>
      <c r="AD40" s="341">
        <v>99999.0</v>
      </c>
      <c r="AE40" s="341">
        <v>99999.0</v>
      </c>
      <c r="AF40" s="341">
        <v>99999.0</v>
      </c>
      <c r="AG40" s="358">
        <v>99999.0</v>
      </c>
      <c r="AH40" s="320"/>
      <c r="AI40" s="320"/>
      <c r="AJ40" s="320"/>
      <c r="AK40" s="320"/>
      <c r="AL40" s="320"/>
    </row>
    <row r="41" ht="15.0" customHeight="1">
      <c r="B41" s="178"/>
      <c r="C41" s="177"/>
      <c r="D41" s="29"/>
      <c r="E41" s="29"/>
      <c r="F41" s="29"/>
      <c r="G41" s="3"/>
      <c r="H41" s="3"/>
      <c r="I41" s="3"/>
      <c r="J41" s="178"/>
      <c r="K41" s="177"/>
      <c r="L41" s="29"/>
      <c r="M41" s="29"/>
      <c r="O41" s="178"/>
      <c r="P41" s="177"/>
      <c r="Q41" s="29"/>
      <c r="R41" s="29"/>
      <c r="S41" s="29"/>
      <c r="T41" s="3"/>
      <c r="U41" s="3"/>
      <c r="V41" s="3"/>
      <c r="W41" s="178"/>
      <c r="X41" s="177"/>
      <c r="Y41" s="29"/>
      <c r="AB41" s="178"/>
      <c r="AC41" s="177"/>
      <c r="AD41" s="29"/>
      <c r="AE41" s="29"/>
      <c r="AF41" s="29"/>
      <c r="AG41" s="3"/>
      <c r="AH41" s="3"/>
      <c r="AI41" s="3"/>
      <c r="AJ41" s="178"/>
      <c r="AK41" s="177"/>
      <c r="AL41" s="29"/>
    </row>
    <row r="42" ht="15.0" customHeight="1">
      <c r="B42" s="178" t="s">
        <v>134</v>
      </c>
      <c r="C42" s="177">
        <f>C28</f>
        <v>1598</v>
      </c>
      <c r="D42" s="167" t="s">
        <v>239</v>
      </c>
      <c r="G42" s="3"/>
      <c r="H42" s="3"/>
      <c r="I42" s="3"/>
      <c r="J42" s="178"/>
      <c r="K42" s="177"/>
      <c r="L42" s="141"/>
      <c r="O42" s="178" t="s">
        <v>134</v>
      </c>
      <c r="P42" s="177">
        <f>P28</f>
        <v>0</v>
      </c>
      <c r="Q42" s="167" t="s">
        <v>239</v>
      </c>
      <c r="T42" s="3"/>
      <c r="U42" s="3"/>
      <c r="V42" s="3"/>
      <c r="W42" s="178"/>
      <c r="X42" s="177"/>
      <c r="Y42" s="141"/>
      <c r="AB42" s="178" t="s">
        <v>134</v>
      </c>
      <c r="AC42" s="177">
        <f>AC28</f>
        <v>0</v>
      </c>
      <c r="AD42" s="167" t="s">
        <v>239</v>
      </c>
      <c r="AG42" s="3"/>
      <c r="AH42" s="3"/>
      <c r="AI42" s="3"/>
      <c r="AJ42" s="178"/>
      <c r="AK42" s="177"/>
      <c r="AL42" s="141"/>
    </row>
    <row r="43" ht="15.0" customHeight="1">
      <c r="B43" s="129" t="s">
        <v>240</v>
      </c>
      <c r="C43" s="182">
        <f t="array" ref="C43">INDEX(B31:G31,MATCH(C42,B31:G31,1))</f>
        <v>1500</v>
      </c>
      <c r="D43" s="129" t="s">
        <v>131</v>
      </c>
      <c r="E43" s="155">
        <f>MATCH(MAX(A32:A40),A32:A40,1)</f>
        <v>9</v>
      </c>
      <c r="G43" s="3"/>
      <c r="H43" s="3"/>
      <c r="I43" s="3"/>
      <c r="J43" s="129"/>
      <c r="K43" s="182"/>
      <c r="L43" s="129"/>
      <c r="M43" s="155"/>
      <c r="O43" s="129" t="s">
        <v>240</v>
      </c>
      <c r="P43" s="182" t="str">
        <f t="array" ref="P43">INDEX(P31:T31,MATCH(P42,P31:T31,1))</f>
        <v>#N/A</v>
      </c>
      <c r="Q43" s="129" t="s">
        <v>131</v>
      </c>
      <c r="R43" s="155">
        <f>MATCH(MAX(O32:O40),O32:O40,1)</f>
        <v>9</v>
      </c>
      <c r="T43" s="3"/>
      <c r="U43" s="3"/>
      <c r="V43" s="3"/>
      <c r="W43" s="129"/>
      <c r="X43" s="182"/>
      <c r="Y43" s="129"/>
      <c r="AB43" s="129" t="s">
        <v>240</v>
      </c>
      <c r="AC43" s="182" t="str">
        <f t="array" ref="AC43">INDEX(AC31:AG31,MATCH(AC42,AC31:AG31,1))</f>
        <v>#N/A</v>
      </c>
      <c r="AD43" s="129" t="s">
        <v>131</v>
      </c>
      <c r="AE43" s="155">
        <f>MATCH(MAX(AB32:AB40),AB32:AB40,1)</f>
        <v>9</v>
      </c>
      <c r="AG43" s="3"/>
      <c r="AH43" s="3"/>
      <c r="AI43" s="3"/>
      <c r="AJ43" s="129"/>
      <c r="AK43" s="182"/>
      <c r="AL43" s="129"/>
    </row>
    <row r="44" ht="15.0" customHeight="1">
      <c r="B44" s="129" t="s">
        <v>241</v>
      </c>
      <c r="C44" s="182">
        <f t="array" ref="C44">INDEX(B31:G31,IF(MATCH(C42,B31:G31,1)&lt;E44,MATCH(C42,B31:G31,1)+1,MATCH(C42,B31:G31,1)))</f>
        <v>2000</v>
      </c>
      <c r="D44" s="129" t="s">
        <v>132</v>
      </c>
      <c r="E44" s="155">
        <f>MATCH(MAX(B31:G31),B31:G31,0)</f>
        <v>6</v>
      </c>
      <c r="G44" s="3"/>
      <c r="H44" s="3"/>
      <c r="I44" s="3"/>
      <c r="J44" s="129"/>
      <c r="K44" s="182"/>
      <c r="L44" s="129"/>
      <c r="M44" s="155"/>
      <c r="O44" s="129" t="s">
        <v>241</v>
      </c>
      <c r="P44" s="182" t="str">
        <f t="array" ref="P44">INDEX(P31:T31,IF(MATCH(P42,P31:T31,1)&lt;R44,MATCH(P42,P31:T31,1)+1,MATCH(P42,P31:T31,1)))</f>
        <v>#N/A</v>
      </c>
      <c r="Q44" s="129" t="s">
        <v>132</v>
      </c>
      <c r="R44" s="155">
        <f>MATCH(MAX(P31:T31),P31:T31,0)</f>
        <v>5</v>
      </c>
      <c r="T44" s="3"/>
      <c r="U44" s="3"/>
      <c r="V44" s="3"/>
      <c r="W44" s="129"/>
      <c r="X44" s="182"/>
      <c r="Y44" s="129"/>
      <c r="AB44" s="129" t="s">
        <v>241</v>
      </c>
      <c r="AC44" s="182" t="str">
        <f t="array" ref="AC44">INDEX(AC31:AG31,IF(MATCH(AC42,AC31:AG31,1)&lt;AE44,MATCH(AC42,AC31:AG31,1)+1,MATCH(AC42,AC31:AG31,1)))</f>
        <v>#N/A</v>
      </c>
      <c r="AD44" s="129" t="s">
        <v>132</v>
      </c>
      <c r="AE44" s="155">
        <f>MATCH(MAX(AC31:AG31),AC31:AG31,0)</f>
        <v>5</v>
      </c>
      <c r="AG44" s="3"/>
      <c r="AH44" s="3"/>
      <c r="AI44" s="3"/>
      <c r="AJ44" s="129"/>
      <c r="AK44" s="182"/>
      <c r="AL44" s="129"/>
    </row>
    <row r="45" ht="15.0" customHeight="1">
      <c r="B45" s="176" t="s">
        <v>136</v>
      </c>
      <c r="C45" s="274">
        <f>'Take-off'!$C$14</f>
        <v>12500</v>
      </c>
      <c r="D45" s="3"/>
      <c r="E45" s="3"/>
      <c r="G45" s="3"/>
      <c r="H45" s="3"/>
      <c r="I45" s="3"/>
      <c r="J45" s="178"/>
      <c r="K45" s="274"/>
      <c r="L45" s="3"/>
      <c r="M45" s="3"/>
      <c r="O45" s="176" t="s">
        <v>136</v>
      </c>
      <c r="P45" s="274">
        <f>'Take-off'!$C$14</f>
        <v>12500</v>
      </c>
      <c r="Q45" s="3"/>
      <c r="R45" s="3"/>
      <c r="T45" s="3"/>
      <c r="U45" s="3"/>
      <c r="V45" s="3"/>
      <c r="W45" s="178"/>
      <c r="X45" s="274"/>
      <c r="Y45" s="3"/>
      <c r="AB45" s="176" t="s">
        <v>136</v>
      </c>
      <c r="AC45" s="274">
        <f>'Take-off'!$C$14</f>
        <v>12500</v>
      </c>
      <c r="AD45" s="3"/>
      <c r="AE45" s="3"/>
      <c r="AG45" s="3"/>
      <c r="AH45" s="3"/>
      <c r="AI45" s="3"/>
      <c r="AJ45" s="178"/>
      <c r="AK45" s="274"/>
      <c r="AL45" s="3"/>
    </row>
    <row r="46" ht="15.0" customHeight="1">
      <c r="B46" s="129" t="s">
        <v>139</v>
      </c>
      <c r="C46" s="182">
        <f t="array" ref="C46">INDEX(A32:A40,MATCH(C45,A32:A40,1))</f>
        <v>12500</v>
      </c>
      <c r="D46" s="3"/>
      <c r="E46" s="161"/>
      <c r="G46" s="3"/>
      <c r="H46" s="3"/>
      <c r="I46" s="3"/>
      <c r="J46" s="129"/>
      <c r="K46" s="182"/>
      <c r="L46" s="3"/>
      <c r="M46" s="161"/>
      <c r="O46" s="129" t="s">
        <v>139</v>
      </c>
      <c r="P46" s="182">
        <f t="array" ref="P46">INDEX(O32:O40,MATCH(P45,O32:O40,1))</f>
        <v>12000</v>
      </c>
      <c r="Q46" s="3"/>
      <c r="R46" s="161"/>
      <c r="T46" s="3"/>
      <c r="U46" s="3"/>
      <c r="V46" s="3"/>
      <c r="W46" s="129"/>
      <c r="X46" s="182"/>
      <c r="Y46" s="3"/>
      <c r="AB46" s="129" t="s">
        <v>139</v>
      </c>
      <c r="AC46" s="182">
        <f t="array" ref="AC46">INDEX(AB32:AB40,MATCH(AC45,AB32:AB40,1))</f>
        <v>12500</v>
      </c>
      <c r="AD46" s="3"/>
      <c r="AE46" s="161"/>
      <c r="AG46" s="3"/>
      <c r="AH46" s="3"/>
      <c r="AI46" s="3"/>
      <c r="AJ46" s="129"/>
      <c r="AK46" s="182"/>
      <c r="AL46" s="3"/>
    </row>
    <row r="47" ht="15.0" customHeight="1">
      <c r="B47" s="129" t="s">
        <v>145</v>
      </c>
      <c r="C47" s="182">
        <f t="array" ref="C47">INDEX(A32:A40,IF(MATCH(C45,A32:A40,1)&lt;E43,MATCH(C45,A32:A40,1)+1,MATCH(C45,A32:A40,1)))</f>
        <v>12600</v>
      </c>
      <c r="D47" s="3"/>
      <c r="E47" s="161"/>
      <c r="G47" s="3"/>
      <c r="H47" s="3"/>
      <c r="I47" s="3"/>
      <c r="J47" s="129"/>
      <c r="K47" s="182"/>
      <c r="L47" s="3"/>
      <c r="M47" s="161"/>
      <c r="O47" s="129" t="s">
        <v>145</v>
      </c>
      <c r="P47" s="182">
        <f t="array" ref="P47">INDEX(O32:O40,IF(MATCH(P45,O32:O40,1)&lt;R43,MATCH(P45,O32:O40,1)+1,MATCH(P45,O32:O40,1)))</f>
        <v>13000</v>
      </c>
      <c r="Q47" s="3"/>
      <c r="R47" s="161"/>
      <c r="T47" s="3"/>
      <c r="U47" s="3"/>
      <c r="V47" s="3"/>
      <c r="W47" s="129"/>
      <c r="X47" s="182"/>
      <c r="Y47" s="3"/>
      <c r="AB47" s="129" t="s">
        <v>145</v>
      </c>
      <c r="AC47" s="182">
        <f t="array" ref="AC47">INDEX(AB32:AB40,IF(MATCH(AC45,AB32:AB40,1)&lt;AE43,MATCH(AC45,AB32:AB40,1)+1,MATCH(AC45,AB32:AB40,1)))</f>
        <v>12600</v>
      </c>
      <c r="AD47" s="3"/>
      <c r="AE47" s="161"/>
      <c r="AG47" s="3"/>
      <c r="AH47" s="3"/>
      <c r="AI47" s="3"/>
      <c r="AJ47" s="129"/>
      <c r="AK47" s="182"/>
      <c r="AL47" s="3"/>
    </row>
    <row r="48" ht="15.0" customHeight="1">
      <c r="B48" s="178" t="s">
        <v>165</v>
      </c>
      <c r="C48" s="177">
        <f t="array" ref="C48">INDEX(B32:G40,MATCH(C45,A32:A40,1),MATCH(C42,B31:G31,1))</f>
        <v>1500</v>
      </c>
      <c r="D48" s="3"/>
      <c r="E48" s="161"/>
      <c r="G48" s="3"/>
      <c r="H48" s="3"/>
      <c r="I48" s="3"/>
      <c r="J48" s="178"/>
      <c r="K48" s="177"/>
      <c r="L48" s="3"/>
      <c r="M48" s="161"/>
      <c r="O48" s="178" t="s">
        <v>165</v>
      </c>
      <c r="P48" s="177" t="str">
        <f t="array" ref="P48">INDEX(P32:T40,MATCH(P45,O32:O40,1),MATCH(P42,P31:T31,1))</f>
        <v>#N/A</v>
      </c>
      <c r="Q48" s="3"/>
      <c r="R48" s="161"/>
      <c r="T48" s="3"/>
      <c r="U48" s="3"/>
      <c r="V48" s="3"/>
      <c r="W48" s="178"/>
      <c r="X48" s="177"/>
      <c r="Y48" s="3"/>
      <c r="AB48" s="178" t="s">
        <v>165</v>
      </c>
      <c r="AC48" s="177" t="str">
        <f t="array" ref="AC48">INDEX(AC32:AG40,MATCH(AC45,AB32:AB40,1),MATCH(AC42,AC31:AG31,1))</f>
        <v>#N/A</v>
      </c>
      <c r="AD48" s="3"/>
      <c r="AE48" s="161"/>
      <c r="AG48" s="3"/>
      <c r="AH48" s="3"/>
      <c r="AI48" s="3"/>
      <c r="AJ48" s="178"/>
      <c r="AK48" s="177"/>
      <c r="AL48" s="3"/>
    </row>
    <row r="49" ht="15.0" customHeight="1">
      <c r="B49" s="178" t="s">
        <v>249</v>
      </c>
      <c r="C49" s="177">
        <f t="array" ref="C49">INDEX(B32:G40,MATCH(C45,A32:A40,1),IF(MATCH(C42,B31:G31,1)&lt;E44,MATCH(C42,B31:G31,1)+1,MATCH(C45,A32:A40,1)))</f>
        <v>2000</v>
      </c>
      <c r="E49" s="161"/>
      <c r="G49" s="3"/>
      <c r="H49" s="3"/>
      <c r="I49" s="3"/>
      <c r="J49" s="178"/>
      <c r="K49" s="177"/>
      <c r="M49" s="161"/>
      <c r="O49" s="178" t="s">
        <v>249</v>
      </c>
      <c r="P49" s="177" t="str">
        <f t="array" ref="P49">INDEX(P32:T40,MATCH(P45,O32:O40,1),IF(MATCH(P42,P31:T31,1)&lt;R44,MATCH(P42,P31:T31,1)+1,MATCH(P45,O32:O40,1)))</f>
        <v>#N/A</v>
      </c>
      <c r="R49" s="161"/>
      <c r="T49" s="3"/>
      <c r="U49" s="3"/>
      <c r="V49" s="3"/>
      <c r="W49" s="178"/>
      <c r="X49" s="177"/>
      <c r="AB49" s="178" t="s">
        <v>249</v>
      </c>
      <c r="AC49" s="177" t="str">
        <f t="array" ref="AC49">INDEX(AC32:AG40,MATCH(AC45,AB32:AB40,1),IF(MATCH(AC42,AC31:AG31,1)&lt;AE44,MATCH(AC42,AC31:AG31,1)+1,MATCH(AC45,AB32:AB40,1)))</f>
        <v>#N/A</v>
      </c>
      <c r="AE49" s="161"/>
      <c r="AG49" s="3"/>
      <c r="AH49" s="3"/>
      <c r="AI49" s="3"/>
      <c r="AJ49" s="178"/>
      <c r="AK49" s="177"/>
    </row>
    <row r="50" ht="15.0" customHeight="1">
      <c r="B50" s="178" t="s">
        <v>177</v>
      </c>
      <c r="C50" s="177">
        <f t="array" ref="C50">INDEX(B32:G40,IF(MATCH(C45,A32:A40,1)&lt;E43,MATCH(C45,A32:A40,1)+1,MATCH(C45,A32:A40,1)),MATCH(C42,B31:G31,1))</f>
        <v>99999</v>
      </c>
      <c r="E50" s="161"/>
      <c r="G50" s="3"/>
      <c r="H50" s="3"/>
      <c r="I50" s="3"/>
      <c r="J50" s="178"/>
      <c r="K50" s="177"/>
      <c r="M50" s="161"/>
      <c r="O50" s="178" t="s">
        <v>177</v>
      </c>
      <c r="P50" s="177" t="str">
        <f t="array" ref="P50">INDEX(P32:T40,IF(MATCH(P45,O32:O40,1)&lt;R43,MATCH(P45,O32:O40,1)+1,MATCH(P45,O32:O40,1)),MATCH(P42,P31:T31,1))</f>
        <v>#N/A</v>
      </c>
      <c r="R50" s="161"/>
      <c r="T50" s="3"/>
      <c r="U50" s="3"/>
      <c r="V50" s="3"/>
      <c r="W50" s="178"/>
      <c r="X50" s="177"/>
      <c r="AB50" s="178" t="s">
        <v>177</v>
      </c>
      <c r="AC50" s="177" t="str">
        <f t="array" ref="AC50">INDEX(AC32:AG40,IF(MATCH(AC45,AB32:AB40,1)&lt;AE43,MATCH(AC45,AB32:AB40,1)+1,MATCH(AC45,AB32:AB40,1)),MATCH(AC42,AC31:AG31,1))</f>
        <v>#N/A</v>
      </c>
      <c r="AE50" s="161"/>
      <c r="AG50" s="3"/>
      <c r="AH50" s="3"/>
      <c r="AI50" s="3"/>
      <c r="AJ50" s="178"/>
      <c r="AK50" s="177"/>
    </row>
    <row r="51" ht="15.0" customHeight="1">
      <c r="B51" s="178" t="s">
        <v>250</v>
      </c>
      <c r="C51" s="177">
        <f t="array" ref="C51">INDEX(B32:G40,IF(MATCH(C45,A32:A40,1)&lt;E43,MATCH(C45,A32:A40,1)+1,MATCH(C45,A32:A40,1)),IF(MATCH(C42,B31:G31,1)&lt;E44,MATCH(C42,B31:G31,1)+1,MATCH(C42,B31:G31,1)))</f>
        <v>99999</v>
      </c>
      <c r="G51" s="3"/>
      <c r="H51" s="3"/>
      <c r="I51" s="3"/>
      <c r="J51" s="178"/>
      <c r="K51" s="177"/>
      <c r="O51" s="178" t="s">
        <v>250</v>
      </c>
      <c r="P51" s="177" t="str">
        <f t="array" ref="P51">INDEX(P32:T40,IF(MATCH(P45,O32:O40,1)&lt;R43,MATCH(P45,O32:O40,1)+1,MATCH(P45,O32:O40,1)),IF(MATCH(P42,P31:T31,1)&lt;R44,MATCH(P42,P31:T31,1)+1,MATCH(P42,P31:T31,1)))</f>
        <v>#N/A</v>
      </c>
      <c r="T51" s="3"/>
      <c r="U51" s="3"/>
      <c r="V51" s="3"/>
      <c r="W51" s="178"/>
      <c r="X51" s="177"/>
      <c r="AB51" s="178" t="s">
        <v>250</v>
      </c>
      <c r="AC51" s="177" t="str">
        <f t="array" ref="AC51">INDEX(AC32:AG40,IF(MATCH(AC45,AB32:AB40,1)&lt;AE43,MATCH(AC45,AB32:AB40,1)+1,MATCH(AC45,AB32:AB40,1)),IF(MATCH(AC42,AC31:AG31,1)&lt;AE44,MATCH(AC42,AC31:AG31,1)+1,MATCH(AC42,AC31:AG31,1)))</f>
        <v>#N/A</v>
      </c>
      <c r="AG51" s="3"/>
      <c r="AH51" s="3"/>
      <c r="AI51" s="3"/>
      <c r="AJ51" s="178"/>
      <c r="AK51" s="177"/>
    </row>
    <row r="52" ht="15.0" customHeight="1">
      <c r="B52" s="129" t="s">
        <v>252</v>
      </c>
      <c r="C52" s="182">
        <f>IFERROR(C48+(C42-C43)*(C49-C48)/(C44-C43),C48)</f>
        <v>1598</v>
      </c>
      <c r="G52" s="3"/>
      <c r="H52" s="3"/>
      <c r="I52" s="3"/>
      <c r="J52" s="129"/>
      <c r="K52" s="182"/>
      <c r="O52" s="129" t="s">
        <v>252</v>
      </c>
      <c r="P52" s="182" t="str">
        <f>IFERROR(P48+(P42-P43)*(P49-P48)/(P44-P43),P48)</f>
        <v>#N/A</v>
      </c>
      <c r="T52" s="3"/>
      <c r="U52" s="3"/>
      <c r="V52" s="3"/>
      <c r="W52" s="129"/>
      <c r="X52" s="182"/>
      <c r="AB52" s="129" t="s">
        <v>252</v>
      </c>
      <c r="AC52" s="182" t="str">
        <f>IFERROR(AC48+(AC42-AC43)*(AC49-AC48)/(AC44-AC43),AC48)</f>
        <v>#N/A</v>
      </c>
      <c r="AG52" s="3"/>
      <c r="AH52" s="3"/>
      <c r="AI52" s="3"/>
      <c r="AJ52" s="129"/>
      <c r="AK52" s="182"/>
    </row>
    <row r="53" ht="15.0" customHeight="1">
      <c r="B53" s="129" t="s">
        <v>253</v>
      </c>
      <c r="C53" s="182">
        <f>IFERROR(C50+(C42-C43)*(C51-C50)/(C44-C43),C50)</f>
        <v>99999</v>
      </c>
      <c r="G53" s="3"/>
      <c r="H53" s="3"/>
      <c r="I53" s="3"/>
      <c r="J53" s="129"/>
      <c r="K53" s="182"/>
      <c r="O53" s="129" t="s">
        <v>253</v>
      </c>
      <c r="P53" s="182" t="str">
        <f>IFERROR(P50+(P42-P43)*(P51-P50)/(P44-P43),P50)</f>
        <v>#N/A</v>
      </c>
      <c r="T53" s="3"/>
      <c r="U53" s="3"/>
      <c r="V53" s="3"/>
      <c r="W53" s="129"/>
      <c r="X53" s="182"/>
      <c r="AB53" s="129" t="s">
        <v>253</v>
      </c>
      <c r="AC53" s="182" t="str">
        <f>IFERROR(AC50+(AC42-AC43)*(AC51-AC50)/(AC44-AC43),AC50)</f>
        <v>#N/A</v>
      </c>
      <c r="AG53" s="3"/>
      <c r="AH53" s="3"/>
      <c r="AI53" s="3"/>
      <c r="AJ53" s="129"/>
      <c r="AK53" s="182"/>
    </row>
    <row r="54" ht="15.0" customHeight="1">
      <c r="B54" s="178" t="s">
        <v>254</v>
      </c>
      <c r="C54" s="177">
        <f>IFERROR(C52+(C45-C46)*(C53-C52)/(C47-C46),C52)</f>
        <v>1598</v>
      </c>
      <c r="G54" s="3"/>
      <c r="H54" s="3"/>
      <c r="I54" s="3"/>
      <c r="J54" s="178"/>
      <c r="K54" s="177"/>
      <c r="O54" s="178" t="s">
        <v>254</v>
      </c>
      <c r="P54" s="177" t="str">
        <f>IFERROR(P52+(P45-P46)*(P53-P52)/(P47-P46),P52)</f>
        <v>#N/A</v>
      </c>
      <c r="T54" s="3"/>
      <c r="U54" s="3"/>
      <c r="V54" s="3"/>
      <c r="W54" s="178"/>
      <c r="X54" s="177"/>
      <c r="AB54" s="178" t="s">
        <v>254</v>
      </c>
      <c r="AC54" s="177" t="str">
        <f>IFERROR(AC52+(AC45-AC46)*(AC53-AC52)/(AC47-AC46),AC52)</f>
        <v>#N/A</v>
      </c>
      <c r="AG54" s="3"/>
      <c r="AH54" s="3"/>
      <c r="AI54" s="3"/>
      <c r="AJ54" s="178"/>
      <c r="AK54" s="177"/>
    </row>
    <row r="55" ht="15.0" customHeight="1">
      <c r="J55" s="29"/>
      <c r="K55" s="29"/>
      <c r="L55" s="29"/>
      <c r="M55" s="29"/>
      <c r="W55" s="29"/>
      <c r="X55" s="29"/>
      <c r="Y55" s="29"/>
      <c r="AJ55" s="29"/>
      <c r="AK55" s="29"/>
      <c r="AL55" s="29"/>
    </row>
    <row r="56" ht="15.0" customHeight="1">
      <c r="A56" s="29"/>
      <c r="B56" s="167" t="s">
        <v>257</v>
      </c>
      <c r="J56" s="141"/>
      <c r="K56" s="141"/>
      <c r="L56" s="141"/>
      <c r="M56" s="141"/>
      <c r="N56" s="29"/>
      <c r="O56" s="167" t="s">
        <v>257</v>
      </c>
      <c r="W56" s="141"/>
      <c r="X56" s="141"/>
      <c r="Y56" s="141"/>
      <c r="AA56" s="29"/>
      <c r="AB56" s="167" t="s">
        <v>257</v>
      </c>
      <c r="AJ56" s="141"/>
      <c r="AK56" s="141"/>
      <c r="AL56" s="141"/>
    </row>
    <row r="57" ht="15.0" customHeight="1">
      <c r="A57" s="29" t="s">
        <v>152</v>
      </c>
      <c r="B57" s="331">
        <v>1000.0</v>
      </c>
      <c r="C57" s="345">
        <v>1500.0</v>
      </c>
      <c r="D57" s="331">
        <v>2000.0</v>
      </c>
      <c r="E57" s="345">
        <v>2500.0</v>
      </c>
      <c r="F57" s="345">
        <v>3000.0</v>
      </c>
      <c r="G57" s="345">
        <v>3500.0</v>
      </c>
      <c r="H57" s="334">
        <v>4000.0</v>
      </c>
      <c r="I57" s="143"/>
      <c r="J57" s="143"/>
      <c r="K57" s="143"/>
      <c r="L57" s="29"/>
      <c r="M57" s="29"/>
      <c r="N57" s="29" t="s">
        <v>152</v>
      </c>
      <c r="O57" s="331">
        <v>1000.0</v>
      </c>
      <c r="P57" s="345">
        <v>1200.0</v>
      </c>
      <c r="Q57" s="345">
        <v>1500.0</v>
      </c>
      <c r="R57" s="345">
        <v>2000.0</v>
      </c>
      <c r="S57" s="345">
        <v>2500.0</v>
      </c>
      <c r="T57" s="345">
        <v>3000.0</v>
      </c>
      <c r="U57" s="345">
        <v>3500.0</v>
      </c>
      <c r="V57" s="334">
        <v>5000.0</v>
      </c>
      <c r="Y57" s="29"/>
      <c r="Z57" s="29"/>
      <c r="AA57" s="29" t="s">
        <v>152</v>
      </c>
      <c r="AB57" s="331">
        <v>950.0</v>
      </c>
      <c r="AC57" s="345">
        <v>1400.0</v>
      </c>
      <c r="AD57" s="345">
        <v>1900.0</v>
      </c>
      <c r="AE57" s="345">
        <v>2400.0</v>
      </c>
      <c r="AF57" s="345">
        <v>2900.0</v>
      </c>
      <c r="AG57" s="345">
        <v>3300.0</v>
      </c>
      <c r="AH57" s="334">
        <v>3500.0</v>
      </c>
      <c r="AM57" s="29"/>
      <c r="AN57" s="29"/>
      <c r="AO57" s="29"/>
    </row>
    <row r="58" ht="15.0" customHeight="1">
      <c r="A58" s="29">
        <v>-10.0</v>
      </c>
      <c r="B58" s="331">
        <v>1130.0</v>
      </c>
      <c r="C58" s="345">
        <v>1700.0</v>
      </c>
      <c r="D58" s="331">
        <v>2250.0</v>
      </c>
      <c r="E58" s="345">
        <v>2800.0</v>
      </c>
      <c r="F58" s="345">
        <v>3350.0</v>
      </c>
      <c r="G58" s="345">
        <v>3900.0</v>
      </c>
      <c r="H58" s="347">
        <v>99999.0</v>
      </c>
      <c r="I58" s="141"/>
      <c r="J58" s="141"/>
      <c r="K58" s="141"/>
      <c r="L58" s="29"/>
      <c r="N58" s="29">
        <v>-10.0</v>
      </c>
      <c r="O58" s="331"/>
      <c r="P58" s="345"/>
      <c r="Q58" s="345"/>
      <c r="R58" s="345"/>
      <c r="S58" s="345"/>
      <c r="T58" s="345"/>
      <c r="U58" s="345"/>
      <c r="V58" s="347">
        <v>99999.0</v>
      </c>
      <c r="Y58" s="29"/>
      <c r="AA58" s="29">
        <v>-10.0</v>
      </c>
      <c r="AB58" s="331"/>
      <c r="AC58" s="345"/>
      <c r="AD58" s="345"/>
      <c r="AE58" s="345"/>
      <c r="AF58" s="345"/>
      <c r="AG58" s="345"/>
      <c r="AH58" s="347">
        <v>99999.0</v>
      </c>
      <c r="AM58" s="29"/>
    </row>
    <row r="59" ht="15.0" customHeight="1">
      <c r="A59" s="29">
        <v>0.0</v>
      </c>
      <c r="B59" s="343">
        <v>1000.0</v>
      </c>
      <c r="C59" s="141">
        <v>1500.0</v>
      </c>
      <c r="D59" s="343">
        <v>2000.0</v>
      </c>
      <c r="E59" s="141">
        <v>2500.0</v>
      </c>
      <c r="F59" s="141">
        <v>3000.0</v>
      </c>
      <c r="G59" s="141">
        <v>3500.0</v>
      </c>
      <c r="H59" s="347">
        <v>99999.0</v>
      </c>
      <c r="I59" s="141"/>
      <c r="J59" s="141"/>
      <c r="K59" s="141"/>
      <c r="L59" s="29"/>
      <c r="N59" s="29">
        <v>0.0</v>
      </c>
      <c r="O59" s="343"/>
      <c r="P59" s="141"/>
      <c r="Q59" s="141"/>
      <c r="R59" s="141"/>
      <c r="S59" s="141"/>
      <c r="T59" s="141"/>
      <c r="U59" s="141"/>
      <c r="V59" s="347">
        <v>99999.0</v>
      </c>
      <c r="Y59" s="29"/>
      <c r="AA59" s="29">
        <v>0.0</v>
      </c>
      <c r="AB59" s="343"/>
      <c r="AC59" s="141"/>
      <c r="AD59" s="141"/>
      <c r="AE59" s="141"/>
      <c r="AF59" s="141"/>
      <c r="AG59" s="141"/>
      <c r="AH59" s="347">
        <v>99999.0</v>
      </c>
      <c r="AM59" s="29"/>
    </row>
    <row r="60" ht="15.0" customHeight="1">
      <c r="A60" s="29">
        <v>30.0</v>
      </c>
      <c r="B60" s="340">
        <v>1000.0</v>
      </c>
      <c r="C60" s="348">
        <v>1300.0</v>
      </c>
      <c r="D60" s="340">
        <v>1800.0</v>
      </c>
      <c r="E60" s="348">
        <v>2250.0</v>
      </c>
      <c r="F60" s="348">
        <v>2730.0</v>
      </c>
      <c r="G60" s="348">
        <v>3130.0</v>
      </c>
      <c r="H60" s="366">
        <v>99999.0</v>
      </c>
      <c r="I60" s="141"/>
      <c r="J60" s="141"/>
      <c r="K60" s="141"/>
      <c r="L60" s="29"/>
      <c r="N60" s="29">
        <v>30.0</v>
      </c>
      <c r="O60" s="340"/>
      <c r="P60" s="348"/>
      <c r="Q60" s="348"/>
      <c r="R60" s="348"/>
      <c r="S60" s="348"/>
      <c r="T60" s="348"/>
      <c r="U60" s="348"/>
      <c r="V60" s="366">
        <v>99999.0</v>
      </c>
      <c r="Y60" s="29"/>
      <c r="AA60" s="29">
        <v>30.0</v>
      </c>
      <c r="AB60" s="340"/>
      <c r="AC60" s="348"/>
      <c r="AD60" s="348"/>
      <c r="AE60" s="348"/>
      <c r="AF60" s="348"/>
      <c r="AG60" s="348"/>
      <c r="AH60" s="366">
        <v>99999.0</v>
      </c>
      <c r="AM60" s="29"/>
    </row>
    <row r="61" ht="15.0" customHeight="1">
      <c r="B61" s="178"/>
      <c r="C61" s="177"/>
      <c r="D61" s="29"/>
      <c r="E61" s="29"/>
      <c r="F61" s="29"/>
      <c r="G61" s="3"/>
      <c r="H61" s="3"/>
      <c r="I61" s="3"/>
      <c r="J61" s="178"/>
      <c r="K61" s="177"/>
      <c r="O61" s="178"/>
      <c r="P61" s="177"/>
      <c r="Q61" s="29"/>
      <c r="R61" s="29"/>
      <c r="S61" s="29"/>
      <c r="T61" s="3"/>
      <c r="U61" s="3"/>
      <c r="V61" s="3"/>
      <c r="W61" s="178"/>
      <c r="X61" s="177"/>
      <c r="AB61" s="178"/>
      <c r="AC61" s="177"/>
      <c r="AD61" s="29"/>
      <c r="AE61" s="29"/>
      <c r="AF61" s="29"/>
      <c r="AG61" s="3"/>
      <c r="AH61" s="3"/>
      <c r="AI61" s="3"/>
      <c r="AJ61" s="178"/>
      <c r="AK61" s="177"/>
    </row>
    <row r="62" ht="15.0" customHeight="1">
      <c r="B62" s="178" t="s">
        <v>134</v>
      </c>
      <c r="C62" s="177">
        <f>C54</f>
        <v>1598</v>
      </c>
      <c r="D62" s="167" t="s">
        <v>239</v>
      </c>
      <c r="G62" s="3"/>
      <c r="H62" s="3"/>
      <c r="I62" s="3"/>
      <c r="J62" s="178"/>
      <c r="K62" s="177"/>
      <c r="L62" s="141"/>
      <c r="O62" s="178" t="s">
        <v>134</v>
      </c>
      <c r="P62" s="177" t="str">
        <f>P54</f>
        <v>#N/A</v>
      </c>
      <c r="Q62" s="167" t="s">
        <v>239</v>
      </c>
      <c r="T62" s="3"/>
      <c r="U62" s="3"/>
      <c r="V62" s="3"/>
      <c r="W62" s="178"/>
      <c r="X62" s="177"/>
      <c r="Y62" s="141"/>
      <c r="AB62" s="178" t="s">
        <v>134</v>
      </c>
      <c r="AC62" s="177" t="str">
        <f>AC54</f>
        <v>#N/A</v>
      </c>
      <c r="AD62" s="167" t="s">
        <v>239</v>
      </c>
      <c r="AG62" s="3"/>
      <c r="AH62" s="3"/>
      <c r="AI62" s="3"/>
      <c r="AJ62" s="178"/>
      <c r="AK62" s="177"/>
      <c r="AL62" s="141"/>
    </row>
    <row r="63" ht="15.0" customHeight="1">
      <c r="B63" s="129" t="s">
        <v>240</v>
      </c>
      <c r="C63" s="182">
        <f t="array" ref="C63">INDEX($B57:$H57,MATCH(C62,$B57:$H57,1))</f>
        <v>1500</v>
      </c>
      <c r="D63" s="129" t="s">
        <v>131</v>
      </c>
      <c r="E63" s="155">
        <f>MATCH(MAX($A58:$A60),$A58:$A60,1)</f>
        <v>3</v>
      </c>
      <c r="G63" s="3"/>
      <c r="H63" s="3"/>
      <c r="I63" s="3"/>
      <c r="J63" s="129"/>
      <c r="K63" s="182"/>
      <c r="L63" s="129"/>
      <c r="M63" s="155"/>
      <c r="O63" s="129" t="s">
        <v>240</v>
      </c>
      <c r="P63" s="182" t="str">
        <f t="array" ref="P63">INDEX($O57:$V57,MATCH(P62,$O57:$V57,1))</f>
        <v>#N/A</v>
      </c>
      <c r="Q63" s="129" t="s">
        <v>131</v>
      </c>
      <c r="R63" s="155">
        <f>MATCH(MAX($N58:$N60),$N58:$N60,1)</f>
        <v>3</v>
      </c>
      <c r="T63" s="3"/>
      <c r="U63" s="3"/>
      <c r="V63" s="3"/>
      <c r="W63" s="129"/>
      <c r="X63" s="182"/>
      <c r="Y63" s="129"/>
      <c r="AB63" s="129" t="s">
        <v>240</v>
      </c>
      <c r="AC63" s="182" t="str">
        <f t="array" ref="AC63">INDEX($AB57:$AH57,MATCH(AC62,$AB57:$AH57,1))</f>
        <v>#N/A</v>
      </c>
      <c r="AD63" s="129" t="s">
        <v>131</v>
      </c>
      <c r="AE63" s="155">
        <f>MATCH(MAX($AA58:$AA60),$AA58:$AA60,1)</f>
        <v>3</v>
      </c>
      <c r="AG63" s="3"/>
      <c r="AH63" s="3"/>
      <c r="AI63" s="3"/>
      <c r="AJ63" s="129"/>
      <c r="AK63" s="182"/>
      <c r="AL63" s="129"/>
    </row>
    <row r="64" ht="15.0" customHeight="1">
      <c r="B64" s="129" t="s">
        <v>241</v>
      </c>
      <c r="C64" s="182">
        <f t="array" ref="C64">INDEX($B57:$H57,IF(MATCH(C62,$B57:$H57,1)&lt;E64,MATCH(C62,$B57:$H57,1)+1,MATCH(C62,$B57:$H57,1)))</f>
        <v>2000</v>
      </c>
      <c r="D64" s="129" t="s">
        <v>132</v>
      </c>
      <c r="E64" s="155">
        <f>MATCH(MAX($B57:$H57),$B57:$H57,0)</f>
        <v>7</v>
      </c>
      <c r="G64" s="3"/>
      <c r="H64" s="3"/>
      <c r="I64" s="3"/>
      <c r="J64" s="129"/>
      <c r="K64" s="182"/>
      <c r="L64" s="129"/>
      <c r="M64" s="155"/>
      <c r="O64" s="129" t="s">
        <v>241</v>
      </c>
      <c r="P64" s="182" t="str">
        <f t="array" ref="P64">INDEX($O57:$V57,IF(MATCH(P62,$O57:$V57,1)&lt;R64,MATCH(P62,$O57:$V57,1)+1,MATCH(P62,$O57:$V57,1)))</f>
        <v>#N/A</v>
      </c>
      <c r="Q64" s="129" t="s">
        <v>132</v>
      </c>
      <c r="R64" s="155">
        <f>MATCH(MAX($O57:$V57),$O57:$V57,0)</f>
        <v>8</v>
      </c>
      <c r="T64" s="3"/>
      <c r="U64" s="3"/>
      <c r="V64" s="3"/>
      <c r="W64" s="129"/>
      <c r="X64" s="182"/>
      <c r="Y64" s="129"/>
      <c r="AB64" s="129" t="s">
        <v>241</v>
      </c>
      <c r="AC64" s="182" t="str">
        <f t="array" ref="AC64">INDEX($AB57:$AH57,IF(MATCH(AC62,$AB57:$AH57,1)&lt;AE64,MATCH(AC62,$AB57:$AH57,1)+1,MATCH(AC62,$AB57:$AH57,1)))</f>
        <v>#N/A</v>
      </c>
      <c r="AD64" s="129" t="s">
        <v>132</v>
      </c>
      <c r="AE64" s="155">
        <f>MATCH(MAX($AB57:$AH57),$AB57:$AH57,0)</f>
        <v>7</v>
      </c>
      <c r="AG64" s="3"/>
      <c r="AH64" s="3"/>
      <c r="AI64" s="3"/>
      <c r="AJ64" s="129"/>
      <c r="AK64" s="182"/>
      <c r="AL64" s="129"/>
    </row>
    <row r="65" ht="15.0" customHeight="1">
      <c r="B65" s="176" t="s">
        <v>136</v>
      </c>
      <c r="C65" s="274">
        <f>'Take-off'!$C$24</f>
        <v>0</v>
      </c>
      <c r="D65" s="3"/>
      <c r="E65" s="3"/>
      <c r="G65" s="3"/>
      <c r="H65" s="3"/>
      <c r="I65" s="3"/>
      <c r="J65" s="178"/>
      <c r="K65" s="274"/>
      <c r="L65" s="3"/>
      <c r="M65" s="3"/>
      <c r="O65" s="176" t="s">
        <v>136</v>
      </c>
      <c r="P65" s="274">
        <f>'Take-off'!$C$24</f>
        <v>0</v>
      </c>
      <c r="Q65" s="3"/>
      <c r="R65" s="3"/>
      <c r="T65" s="3"/>
      <c r="U65" s="3"/>
      <c r="V65" s="3"/>
      <c r="W65" s="178"/>
      <c r="X65" s="274"/>
      <c r="Y65" s="3"/>
      <c r="AB65" s="176" t="s">
        <v>136</v>
      </c>
      <c r="AC65" s="274">
        <f>'Take-off'!$C$24</f>
        <v>0</v>
      </c>
      <c r="AD65" s="3"/>
      <c r="AE65" s="3"/>
      <c r="AG65" s="3"/>
      <c r="AH65" s="3"/>
      <c r="AI65" s="3"/>
      <c r="AJ65" s="178"/>
      <c r="AK65" s="274"/>
      <c r="AL65" s="3"/>
    </row>
    <row r="66" ht="15.0" customHeight="1">
      <c r="B66" s="129" t="s">
        <v>139</v>
      </c>
      <c r="C66" s="182">
        <f t="array" ref="C66">INDEX($A58:$A60,MATCH(C65,$A58:$A60,1))</f>
        <v>0</v>
      </c>
      <c r="D66" s="3"/>
      <c r="E66" s="161"/>
      <c r="G66" s="3"/>
      <c r="H66" s="3"/>
      <c r="I66" s="3"/>
      <c r="J66" s="129"/>
      <c r="K66" s="182"/>
      <c r="L66" s="3"/>
      <c r="M66" s="161"/>
      <c r="O66" s="129" t="s">
        <v>139</v>
      </c>
      <c r="P66" s="182">
        <f t="array" ref="P66">INDEX($N58:$N60,MATCH(P65,$N58:$N60,1))</f>
        <v>0</v>
      </c>
      <c r="Q66" s="3"/>
      <c r="R66" s="161"/>
      <c r="T66" s="3"/>
      <c r="U66" s="3"/>
      <c r="V66" s="3"/>
      <c r="W66" s="129"/>
      <c r="X66" s="182"/>
      <c r="Y66" s="3"/>
      <c r="AB66" s="129" t="s">
        <v>139</v>
      </c>
      <c r="AC66" s="182">
        <f t="array" ref="AC66">INDEX($AA58:$AA60,MATCH(AC65,$AA58:$AA60,1))</f>
        <v>0</v>
      </c>
      <c r="AD66" s="3"/>
      <c r="AE66" s="161"/>
      <c r="AG66" s="3"/>
      <c r="AH66" s="3"/>
      <c r="AI66" s="3"/>
      <c r="AJ66" s="129"/>
      <c r="AK66" s="182"/>
      <c r="AL66" s="3"/>
    </row>
    <row r="67" ht="15.0" customHeight="1">
      <c r="B67" s="129" t="s">
        <v>145</v>
      </c>
      <c r="C67" s="182">
        <f t="array" ref="C67">INDEX($A58:$A60,IF(MATCH(C65,$A58:$A60,1)&lt;E63,MATCH(C65,$A58:$A60,1)+1,MATCH(C65,$A58:$A60,1)))</f>
        <v>30</v>
      </c>
      <c r="D67" s="3"/>
      <c r="E67" s="161"/>
      <c r="G67" s="3"/>
      <c r="H67" s="3"/>
      <c r="I67" s="3"/>
      <c r="J67" s="129"/>
      <c r="K67" s="182"/>
      <c r="L67" s="3"/>
      <c r="M67" s="161"/>
      <c r="O67" s="129" t="s">
        <v>145</v>
      </c>
      <c r="P67" s="182">
        <f t="array" ref="P67">INDEX($N58:$N60,IF(MATCH(P65,$N58:$N60,1)&lt;R63,MATCH(P65,$N58:$N60,1)+1,MATCH(P65,$N58:$N60,1)))</f>
        <v>30</v>
      </c>
      <c r="Q67" s="3"/>
      <c r="R67" s="161"/>
      <c r="T67" s="3"/>
      <c r="U67" s="3"/>
      <c r="V67" s="3"/>
      <c r="W67" s="129"/>
      <c r="X67" s="182"/>
      <c r="Y67" s="3"/>
      <c r="AB67" s="129" t="s">
        <v>145</v>
      </c>
      <c r="AC67" s="182">
        <f t="array" ref="AC67">INDEX($AA58:$AA60,IF(MATCH(AC65,$AA58:$AA60,1)&lt;AE63,MATCH(AC65,$AA58:$AA60,1)+1,MATCH(AC65,$AA58:$AA60,1)))</f>
        <v>30</v>
      </c>
      <c r="AD67" s="3"/>
      <c r="AE67" s="161"/>
      <c r="AG67" s="3"/>
      <c r="AH67" s="3"/>
      <c r="AI67" s="3"/>
      <c r="AJ67" s="129"/>
      <c r="AK67" s="182"/>
      <c r="AL67" s="3"/>
    </row>
    <row r="68" ht="15.0" customHeight="1">
      <c r="B68" s="178" t="s">
        <v>165</v>
      </c>
      <c r="C68" s="177">
        <f t="array" ref="C68">INDEX($B58:$H60,MATCH(C65,$A58:$A60,1),MATCH(C62,$B57:$H57,1))</f>
        <v>1500</v>
      </c>
      <c r="D68" s="3"/>
      <c r="E68" s="161"/>
      <c r="G68" s="3"/>
      <c r="H68" s="3"/>
      <c r="I68" s="3"/>
      <c r="J68" s="178"/>
      <c r="K68" s="177"/>
      <c r="L68" s="3"/>
      <c r="M68" s="161"/>
      <c r="O68" s="178" t="s">
        <v>165</v>
      </c>
      <c r="P68" s="177" t="str">
        <f t="array" ref="P68">INDEX($O58:$V60,MATCH(P65,$N58:$N60,1),MATCH(P62,$O57:$V57,1))</f>
        <v>#N/A</v>
      </c>
      <c r="Q68" s="3"/>
      <c r="R68" s="161"/>
      <c r="T68" s="3"/>
      <c r="U68" s="3"/>
      <c r="V68" s="3"/>
      <c r="W68" s="178"/>
      <c r="X68" s="177"/>
      <c r="Y68" s="3"/>
      <c r="AB68" s="178" t="s">
        <v>165</v>
      </c>
      <c r="AC68" s="177" t="str">
        <f t="array" ref="AC68">INDEX($AB58:$AH60,MATCH(AC65,$AA58:$AA60,1),MATCH(AC62,$AB57:$AH57,1))</f>
        <v>#N/A</v>
      </c>
      <c r="AD68" s="3"/>
      <c r="AE68" s="161"/>
      <c r="AG68" s="3"/>
      <c r="AH68" s="3"/>
      <c r="AI68" s="3"/>
      <c r="AJ68" s="178"/>
      <c r="AK68" s="177"/>
      <c r="AL68" s="3"/>
    </row>
    <row r="69" ht="15.0" customHeight="1">
      <c r="B69" s="178" t="s">
        <v>249</v>
      </c>
      <c r="C69" s="177">
        <f t="array" ref="C69">INDEX($B58:$H60,MATCH(C65,$A58:$A60,1),IF(MATCH(C62,$B57:$H57,1)&lt;E64,MATCH(C62,$B57:$H57,1)+1,MATCH(C65,$A58:$A60,1)))</f>
        <v>2000</v>
      </c>
      <c r="E69" s="161"/>
      <c r="G69" s="3"/>
      <c r="H69" s="3"/>
      <c r="I69" s="3"/>
      <c r="J69" s="178"/>
      <c r="K69" s="177"/>
      <c r="M69" s="161"/>
      <c r="O69" s="178" t="s">
        <v>249</v>
      </c>
      <c r="P69" s="177" t="str">
        <f t="array" ref="P69">INDEX($O58:$V60,MATCH(P65,$N58:$N60,1),IF(MATCH(P62,$O57:$V57,1)&lt;R64,MATCH(P62,$O57:$V57,1)+1,MATCH(P65,$N58:$N60,1)))</f>
        <v>#N/A</v>
      </c>
      <c r="R69" s="161"/>
      <c r="T69" s="3"/>
      <c r="U69" s="3"/>
      <c r="V69" s="3"/>
      <c r="W69" s="178"/>
      <c r="X69" s="177"/>
      <c r="AB69" s="178" t="s">
        <v>249</v>
      </c>
      <c r="AC69" s="177" t="str">
        <f t="array" ref="AC69">INDEX($AB58:$AH60,MATCH(AC65,$AA58:$AA60,1),IF(MATCH(AC62,$AB57:$AH57,1)&lt;AE64,MATCH(AC62,$AB57:$AH57,1)+1,MATCH(AC65,$AB58:$AH60,1)))</f>
        <v>#N/A</v>
      </c>
      <c r="AE69" s="161"/>
      <c r="AG69" s="3"/>
      <c r="AH69" s="3"/>
      <c r="AI69" s="3"/>
      <c r="AJ69" s="178"/>
      <c r="AK69" s="177"/>
    </row>
    <row r="70" ht="15.0" customHeight="1">
      <c r="B70" s="178" t="s">
        <v>177</v>
      </c>
      <c r="C70" s="177">
        <f t="array" ref="C70">INDEX($B58:$H60,IF(MATCH(C65,$A58:$A60,1)&lt;E63,MATCH(C65,$A58:$A60,1)+1,MATCH(C65,$A58:$A60,1)),MATCH(C62,$B57:$H57,1))</f>
        <v>1300</v>
      </c>
      <c r="E70" s="161"/>
      <c r="G70" s="3"/>
      <c r="H70" s="3"/>
      <c r="I70" s="3"/>
      <c r="J70" s="178"/>
      <c r="K70" s="177"/>
      <c r="M70" s="161"/>
      <c r="O70" s="178" t="s">
        <v>177</v>
      </c>
      <c r="P70" s="177" t="str">
        <f t="array" ref="P70">INDEX($O58:$V60,IF(MATCH(P65,$N58:$N60,1)&lt;R63,MATCH(P65,$N58:$N60,1)+1,MATCH(P65,$N58:$N60,1)),MATCH(P62,$O57:$V57,1))</f>
        <v>#N/A</v>
      </c>
      <c r="R70" s="161"/>
      <c r="T70" s="3"/>
      <c r="U70" s="3"/>
      <c r="V70" s="3"/>
      <c r="W70" s="178"/>
      <c r="X70" s="177"/>
      <c r="AB70" s="178" t="s">
        <v>177</v>
      </c>
      <c r="AC70" s="177" t="str">
        <f t="array" ref="AC70">INDEX($AB58:$AH60,IF(MATCH(AC65,$AA58:$AA60,1)&lt;AE63,MATCH(AC65,$AA58:$AA60,1)+1,MATCH(AC65,$AA58:$AA60,1)),MATCH(AC62,$AB57:$AH57,1))</f>
        <v>#N/A</v>
      </c>
      <c r="AE70" s="161"/>
      <c r="AG70" s="3"/>
      <c r="AH70" s="3"/>
      <c r="AI70" s="3"/>
      <c r="AJ70" s="178"/>
      <c r="AK70" s="177"/>
    </row>
    <row r="71" ht="15.0" customHeight="1">
      <c r="B71" s="178" t="s">
        <v>250</v>
      </c>
      <c r="C71" s="177">
        <f t="array" ref="C71">INDEX($B58:$H60,IF(MATCH(C65,$A58:$A60,1)&lt;E63,MATCH(C65,$A58:$A60,1)+1,MATCH(C65,$A58:$A60,1)),IF(MATCH(C62,$B57:$H57,1)&lt;E64,MATCH(C62,$B57:$H57,1)+1,MATCH(C62,$B57:$H57,1)))</f>
        <v>1800</v>
      </c>
      <c r="G71" s="3"/>
      <c r="H71" s="3"/>
      <c r="I71" s="3"/>
      <c r="J71" s="178"/>
      <c r="K71" s="177"/>
      <c r="O71" s="178" t="s">
        <v>250</v>
      </c>
      <c r="P71" s="177" t="str">
        <f t="array" ref="P71">INDEX($O58:$V60,IF(MATCH(P65,$N58:$N60,1)&lt;R63,MATCH(P65,$N58:$N60,1)+1,MATCH(P65,$N58:$N60,1)),IF(MATCH(P62,$O57:$V57,1)&lt;R64,MATCH(P62,$O57:$V57,1)+1,MATCH(P62,$O57:$V57,1)))</f>
        <v>#N/A</v>
      </c>
      <c r="T71" s="3"/>
      <c r="U71" s="3"/>
      <c r="V71" s="3"/>
      <c r="W71" s="178"/>
      <c r="X71" s="177"/>
      <c r="AB71" s="178" t="s">
        <v>250</v>
      </c>
      <c r="AC71" s="177" t="str">
        <f t="array" ref="AC71">INDEX($AB58:$AH60,IF(MATCH(AC65,$AA58:$AA60,1)&lt;AE63,MATCH(AC65,$AA58:$AA60,1)+1,MATCH(AC65,$AA58:$AA60,1)),IF(MATCH(AC62,$AB57:$AH57,1)&lt;AE64,MATCH(AC62,$AB57:$AH57,1)+1,MATCH(AC62,$AB57:$AH57,1)))</f>
        <v>#N/A</v>
      </c>
      <c r="AG71" s="3"/>
      <c r="AH71" s="3"/>
      <c r="AI71" s="3"/>
      <c r="AJ71" s="178"/>
      <c r="AK71" s="177"/>
    </row>
    <row r="72" ht="15.0" customHeight="1">
      <c r="B72" s="129" t="s">
        <v>252</v>
      </c>
      <c r="C72" s="182">
        <f>IFERROR(C68+(C62-C63)*(C69-C68)/(C64-C63),C68)</f>
        <v>1598</v>
      </c>
      <c r="G72" s="3"/>
      <c r="H72" s="3"/>
      <c r="I72" s="3"/>
      <c r="J72" s="129"/>
      <c r="K72" s="182"/>
      <c r="O72" s="129" t="s">
        <v>252</v>
      </c>
      <c r="P72" s="182" t="str">
        <f>IFERROR(P68+(P62-P63)*(P69-P68)/(P64-P63),P68)</f>
        <v>#N/A</v>
      </c>
      <c r="T72" s="3"/>
      <c r="U72" s="3"/>
      <c r="V72" s="3"/>
      <c r="W72" s="129"/>
      <c r="X72" s="182"/>
      <c r="AB72" s="129" t="s">
        <v>252</v>
      </c>
      <c r="AC72" s="182" t="str">
        <f>IFERROR(AC68+(AC62-AC63)*(AC69-AC68)/(AC64-AC63),AC68)</f>
        <v>#N/A</v>
      </c>
      <c r="AG72" s="3"/>
      <c r="AH72" s="3"/>
      <c r="AI72" s="3"/>
      <c r="AJ72" s="129"/>
      <c r="AK72" s="182"/>
    </row>
    <row r="73" ht="15.0" customHeight="1">
      <c r="B73" s="129" t="s">
        <v>253</v>
      </c>
      <c r="C73" s="182">
        <f>IFERROR(C70+(C62-C63)*(C71-C70)/(C64-C63),C70)</f>
        <v>1398</v>
      </c>
      <c r="G73" s="3"/>
      <c r="H73" s="3"/>
      <c r="I73" s="3"/>
      <c r="J73" s="129"/>
      <c r="K73" s="182"/>
      <c r="O73" s="129" t="s">
        <v>253</v>
      </c>
      <c r="P73" s="182" t="str">
        <f>IFERROR(P70+(P62-P63)*(P71-P70)/(P64-P63),P70)</f>
        <v>#N/A</v>
      </c>
      <c r="T73" s="3"/>
      <c r="U73" s="3"/>
      <c r="V73" s="3"/>
      <c r="W73" s="129"/>
      <c r="X73" s="182"/>
      <c r="AB73" s="129" t="s">
        <v>253</v>
      </c>
      <c r="AC73" s="182" t="str">
        <f>IFERROR(AC70+(AC62-AC63)*(AC71-AC70)/(AC64-AC63),AC70)</f>
        <v>#N/A</v>
      </c>
      <c r="AG73" s="3"/>
      <c r="AH73" s="3"/>
      <c r="AI73" s="3"/>
      <c r="AJ73" s="129"/>
      <c r="AK73" s="182"/>
    </row>
    <row r="74" ht="15.0" customHeight="1">
      <c r="B74" s="178" t="s">
        <v>254</v>
      </c>
      <c r="C74" s="177">
        <f>IFERROR(C72+(C65-C66)*(C73-C72)/(C67-C66),C72)</f>
        <v>1598</v>
      </c>
      <c r="G74" s="3"/>
      <c r="H74" s="3"/>
      <c r="I74" s="3"/>
      <c r="J74" s="178"/>
      <c r="K74" s="177"/>
      <c r="O74" s="178" t="s">
        <v>254</v>
      </c>
      <c r="P74" s="177" t="str">
        <f>IFERROR(P72+(P65-P66)*(P73-P72)/(P67-P66),P72)</f>
        <v>#N/A</v>
      </c>
      <c r="T74" s="3"/>
      <c r="U74" s="3"/>
      <c r="V74" s="3"/>
      <c r="W74" s="178"/>
      <c r="X74" s="177"/>
      <c r="AB74" s="178" t="s">
        <v>254</v>
      </c>
      <c r="AC74" s="177" t="str">
        <f>IFERROR(AC72+(AC65-AC66)*(AC73-AC72)/(AC67-AC66),AC72)</f>
        <v>#N/A</v>
      </c>
      <c r="AG74" s="3"/>
      <c r="AH74" s="3"/>
      <c r="AI74" s="3"/>
      <c r="AJ74" s="178"/>
      <c r="AK74" s="177"/>
    </row>
    <row r="75" ht="15.75" customHeight="1"/>
    <row r="76" ht="15.0" customHeight="1">
      <c r="A76" s="29"/>
      <c r="B76" s="330" t="s">
        <v>260</v>
      </c>
      <c r="C76" s="259"/>
      <c r="D76" s="259"/>
      <c r="E76" s="259"/>
      <c r="F76" s="259"/>
      <c r="G76" s="259"/>
      <c r="H76" s="259"/>
      <c r="I76" s="259"/>
      <c r="N76" s="29"/>
      <c r="O76" s="330" t="s">
        <v>260</v>
      </c>
      <c r="P76" s="259"/>
      <c r="Q76" s="259"/>
      <c r="R76" s="259"/>
      <c r="S76" s="259"/>
      <c r="T76" s="259"/>
      <c r="U76" s="259"/>
      <c r="V76" s="259"/>
      <c r="AA76" s="29"/>
      <c r="AB76" s="330" t="s">
        <v>260</v>
      </c>
      <c r="AC76" s="259"/>
      <c r="AD76" s="259"/>
      <c r="AE76" s="259"/>
      <c r="AF76" s="259"/>
      <c r="AG76" s="259"/>
      <c r="AH76" s="259"/>
      <c r="AI76" s="259"/>
    </row>
    <row r="77" ht="15.0" customHeight="1">
      <c r="A77" s="29" t="s">
        <v>140</v>
      </c>
      <c r="B77" s="331">
        <v>1000.0</v>
      </c>
      <c r="C77" s="345">
        <v>1500.0</v>
      </c>
      <c r="D77" s="345">
        <v>2000.0</v>
      </c>
      <c r="E77" s="345">
        <v>2500.0</v>
      </c>
      <c r="F77" s="345">
        <v>3000.0</v>
      </c>
      <c r="G77" s="345">
        <v>3500.0</v>
      </c>
      <c r="H77" s="334">
        <v>4000.0</v>
      </c>
      <c r="I77" s="143"/>
      <c r="J77" s="143"/>
      <c r="K77" s="143"/>
      <c r="L77" s="143"/>
      <c r="N77" s="29" t="s">
        <v>140</v>
      </c>
      <c r="O77" s="331">
        <v>1000.0</v>
      </c>
      <c r="P77" s="345">
        <v>1600.0</v>
      </c>
      <c r="Q77" s="345">
        <v>2200.0</v>
      </c>
      <c r="R77" s="345">
        <v>2800.0</v>
      </c>
      <c r="S77" s="345">
        <v>3400.0</v>
      </c>
      <c r="T77" s="345">
        <v>4000.0</v>
      </c>
      <c r="U77" s="345">
        <v>4600.0</v>
      </c>
      <c r="V77" s="334">
        <v>5000.0</v>
      </c>
      <c r="AA77" s="29" t="s">
        <v>140</v>
      </c>
      <c r="AB77" s="331">
        <v>750.0</v>
      </c>
      <c r="AC77" s="345">
        <v>1100.0</v>
      </c>
      <c r="AD77" s="345">
        <v>1500.0</v>
      </c>
      <c r="AE77" s="345">
        <v>1850.0</v>
      </c>
      <c r="AF77" s="345">
        <v>2200.0</v>
      </c>
      <c r="AG77" s="345">
        <v>2600.0</v>
      </c>
      <c r="AH77" s="345">
        <v>2950.0</v>
      </c>
      <c r="AI77" s="345">
        <v>3350.0</v>
      </c>
      <c r="AJ77" s="345">
        <v>3700.0</v>
      </c>
      <c r="AK77" s="345">
        <v>4100.0</v>
      </c>
      <c r="AL77" s="334">
        <v>4500.0</v>
      </c>
    </row>
    <row r="78" ht="15.0" customHeight="1">
      <c r="A78" s="29">
        <v>0.0</v>
      </c>
      <c r="B78" s="331">
        <v>1000.0</v>
      </c>
      <c r="C78" s="345">
        <v>1500.0</v>
      </c>
      <c r="D78" s="345">
        <v>2000.0</v>
      </c>
      <c r="E78" s="345">
        <v>2500.0</v>
      </c>
      <c r="F78" s="345">
        <v>3000.0</v>
      </c>
      <c r="G78" s="345">
        <v>3500.0</v>
      </c>
      <c r="H78" s="347">
        <v>99999.0</v>
      </c>
      <c r="I78" s="141"/>
      <c r="J78" s="141"/>
      <c r="K78" s="141"/>
      <c r="L78" s="141"/>
      <c r="N78" s="29">
        <v>0.0</v>
      </c>
      <c r="O78" s="331"/>
      <c r="P78" s="345"/>
      <c r="Q78" s="345"/>
      <c r="R78" s="345"/>
      <c r="S78" s="345"/>
      <c r="T78" s="345"/>
      <c r="U78" s="345"/>
      <c r="V78" s="347">
        <v>99999.0</v>
      </c>
      <c r="AA78" s="29">
        <v>0.0</v>
      </c>
      <c r="AB78" s="331"/>
      <c r="AC78" s="345"/>
      <c r="AD78" s="345"/>
      <c r="AE78" s="345"/>
      <c r="AF78" s="345"/>
      <c r="AG78" s="345"/>
      <c r="AH78" s="345"/>
      <c r="AI78" s="345"/>
      <c r="AJ78" s="345"/>
      <c r="AK78" s="345"/>
      <c r="AL78" s="347">
        <v>99999.0</v>
      </c>
    </row>
    <row r="79" ht="15.0" customHeight="1">
      <c r="A79" s="29">
        <v>50.0</v>
      </c>
      <c r="B79" s="340">
        <v>1200.0</v>
      </c>
      <c r="C79" s="348">
        <v>1900.0</v>
      </c>
      <c r="D79" s="348">
        <v>2550.0</v>
      </c>
      <c r="E79" s="348">
        <v>3230.0</v>
      </c>
      <c r="F79" s="348">
        <v>3900.0</v>
      </c>
      <c r="G79" s="348">
        <v>4650.0</v>
      </c>
      <c r="H79" s="347">
        <v>99999.0</v>
      </c>
      <c r="I79" s="141"/>
      <c r="J79" s="141"/>
      <c r="K79" s="141"/>
      <c r="L79" s="141"/>
      <c r="N79" s="29">
        <v>50.0</v>
      </c>
      <c r="O79" s="340"/>
      <c r="P79" s="348"/>
      <c r="Q79" s="348"/>
      <c r="R79" s="348"/>
      <c r="S79" s="348"/>
      <c r="T79" s="348"/>
      <c r="U79" s="348"/>
      <c r="V79" s="347">
        <v>99999.0</v>
      </c>
      <c r="AA79" s="29">
        <v>50.0</v>
      </c>
      <c r="AB79" s="340"/>
      <c r="AC79" s="348"/>
      <c r="AD79" s="348"/>
      <c r="AE79" s="348"/>
      <c r="AF79" s="348"/>
      <c r="AG79" s="348"/>
      <c r="AH79" s="348"/>
      <c r="AI79" s="348"/>
      <c r="AJ79" s="348"/>
      <c r="AK79" s="348"/>
      <c r="AL79" s="347">
        <v>99999.0</v>
      </c>
    </row>
    <row r="80" ht="15.0" customHeight="1">
      <c r="B80" s="178"/>
      <c r="C80" s="177"/>
      <c r="D80" s="29"/>
      <c r="E80" s="29"/>
      <c r="F80" s="29"/>
      <c r="G80" s="3"/>
      <c r="H80" s="3"/>
      <c r="I80" s="3"/>
      <c r="O80" s="178"/>
      <c r="P80" s="177"/>
      <c r="Q80" s="29"/>
      <c r="R80" s="29"/>
      <c r="S80" s="29"/>
      <c r="T80" s="3"/>
      <c r="U80" s="3"/>
      <c r="V80" s="3"/>
      <c r="AB80" s="178"/>
      <c r="AC80" s="177"/>
      <c r="AD80" s="29"/>
      <c r="AE80" s="29"/>
      <c r="AF80" s="29"/>
      <c r="AG80" s="3"/>
      <c r="AH80" s="3"/>
      <c r="AI80" s="3"/>
    </row>
    <row r="81" ht="15.0" customHeight="1">
      <c r="B81" s="178" t="s">
        <v>134</v>
      </c>
      <c r="C81" s="177">
        <f>C74</f>
        <v>1598</v>
      </c>
      <c r="D81" s="167" t="s">
        <v>239</v>
      </c>
      <c r="G81" s="3"/>
      <c r="H81" s="3"/>
      <c r="I81" s="3"/>
      <c r="O81" s="178" t="s">
        <v>134</v>
      </c>
      <c r="P81" s="177" t="str">
        <f>P74</f>
        <v>#N/A</v>
      </c>
      <c r="Q81" s="167" t="s">
        <v>239</v>
      </c>
      <c r="T81" s="3"/>
      <c r="U81" s="3"/>
      <c r="V81" s="3"/>
      <c r="AB81" s="178" t="s">
        <v>134</v>
      </c>
      <c r="AC81" s="177" t="str">
        <f>AC74</f>
        <v>#N/A</v>
      </c>
      <c r="AD81" s="167" t="s">
        <v>239</v>
      </c>
      <c r="AG81" s="3"/>
      <c r="AH81" s="3"/>
      <c r="AI81" s="3"/>
    </row>
    <row r="82" ht="15.0" customHeight="1">
      <c r="B82" s="129" t="s">
        <v>240</v>
      </c>
      <c r="C82" s="182">
        <f t="array" ref="C82">INDEX($B77:$H77,MATCH(C81,$B77:$H77,1))</f>
        <v>1500</v>
      </c>
      <c r="D82" s="129" t="s">
        <v>131</v>
      </c>
      <c r="E82" s="155">
        <f>MATCH(MAX($A78:$A79),$A78:$A79,1)</f>
        <v>2</v>
      </c>
      <c r="G82" s="3"/>
      <c r="H82" s="3"/>
      <c r="I82" s="3"/>
      <c r="O82" s="129" t="s">
        <v>240</v>
      </c>
      <c r="P82" s="182" t="str">
        <f t="array" ref="P82">INDEX($O77:$V77,MATCH(P81,$O77:$V77,1))</f>
        <v>#N/A</v>
      </c>
      <c r="Q82" s="129" t="s">
        <v>131</v>
      </c>
      <c r="R82" s="155">
        <f>MATCH(MAX($N78:$N79),$N78:$N79,1)</f>
        <v>2</v>
      </c>
      <c r="T82" s="3"/>
      <c r="U82" s="3"/>
      <c r="V82" s="3"/>
      <c r="AB82" s="129" t="s">
        <v>240</v>
      </c>
      <c r="AC82" s="182" t="str">
        <f t="array" ref="AC82">INDEX($AB77:$AL77,MATCH(AC81,$AB77:$AL77,1))</f>
        <v>#N/A</v>
      </c>
      <c r="AD82" s="129" t="s">
        <v>131</v>
      </c>
      <c r="AE82" s="155">
        <f>MATCH(MAX($AA78:$AA79),$AA78:$AA79,1)</f>
        <v>2</v>
      </c>
      <c r="AG82" s="3"/>
      <c r="AH82" s="3"/>
      <c r="AI82" s="3"/>
    </row>
    <row r="83" ht="15.0" customHeight="1">
      <c r="B83" s="129" t="s">
        <v>241</v>
      </c>
      <c r="C83" s="182">
        <f t="array" ref="C83">INDEX($B77:$H77,IF(MATCH(C81,$B77:$H77,1)&lt;E83,MATCH(C81,$B77:$H77,1)+1,MATCH(C81,$B77:$H77,1)))</f>
        <v>2000</v>
      </c>
      <c r="D83" s="129" t="s">
        <v>132</v>
      </c>
      <c r="E83" s="155">
        <f>MATCH(MAX($B77:$H77),$B77:$H77,0)</f>
        <v>7</v>
      </c>
      <c r="G83" s="3"/>
      <c r="H83" s="3"/>
      <c r="I83" s="3"/>
      <c r="O83" s="129" t="s">
        <v>241</v>
      </c>
      <c r="P83" s="182" t="str">
        <f t="array" ref="P83">INDEX($O77:$V77,IF(MATCH(P81,$O77:$V77,1)&lt;R83,MATCH(P81,$O77:$V77,1)+1,MATCH(P81,$O77:$V77,1)))</f>
        <v>#N/A</v>
      </c>
      <c r="Q83" s="129" t="s">
        <v>132</v>
      </c>
      <c r="R83" s="155">
        <f>MATCH(MAX($O77:$V77),$O77:$V77,0)</f>
        <v>8</v>
      </c>
      <c r="T83" s="3"/>
      <c r="U83" s="3"/>
      <c r="V83" s="3"/>
      <c r="AB83" s="129" t="s">
        <v>241</v>
      </c>
      <c r="AC83" s="182" t="str">
        <f t="array" ref="AC83">INDEX($AB77:$AL77,IF(MATCH(AC81,$AB77:$AL77,1)&lt;AE83,MATCH(AC81,$AB77:$AL77,1)+1,MATCH(AC81,$AB77:$AL77,1)))</f>
        <v>#N/A</v>
      </c>
      <c r="AD83" s="129" t="s">
        <v>132</v>
      </c>
      <c r="AE83" s="155">
        <f>MATCH(MAX($AB77:$AL77),$AB77:$AL77,0)</f>
        <v>11</v>
      </c>
      <c r="AG83" s="3"/>
      <c r="AH83" s="3"/>
      <c r="AI83" s="3"/>
    </row>
    <row r="84" ht="15.0" customHeight="1">
      <c r="B84" s="176" t="s">
        <v>136</v>
      </c>
      <c r="C84" s="274">
        <v>50.0</v>
      </c>
      <c r="D84" s="3"/>
      <c r="E84" s="3"/>
      <c r="G84" s="3"/>
      <c r="H84" s="3"/>
      <c r="I84" s="3"/>
      <c r="O84" s="176" t="s">
        <v>136</v>
      </c>
      <c r="P84" s="274">
        <v>50.0</v>
      </c>
      <c r="Q84" s="3"/>
      <c r="R84" s="3"/>
      <c r="T84" s="3"/>
      <c r="U84" s="3"/>
      <c r="V84" s="3"/>
      <c r="AB84" s="176" t="s">
        <v>136</v>
      </c>
      <c r="AC84" s="274">
        <v>50.0</v>
      </c>
      <c r="AD84" s="3"/>
      <c r="AE84" s="3"/>
      <c r="AG84" s="3"/>
      <c r="AH84" s="3"/>
      <c r="AI84" s="3"/>
    </row>
    <row r="85" ht="15.0" customHeight="1">
      <c r="B85" s="129" t="s">
        <v>139</v>
      </c>
      <c r="C85" s="182">
        <f t="array" ref="C85">INDEX($A78:$A79,MATCH(C84,$A78:$A79,1))</f>
        <v>50</v>
      </c>
      <c r="D85" s="3"/>
      <c r="E85" s="161"/>
      <c r="G85" s="3"/>
      <c r="H85" s="3"/>
      <c r="I85" s="3"/>
      <c r="O85" s="129" t="s">
        <v>139</v>
      </c>
      <c r="P85" s="182">
        <f t="array" ref="P85">INDEX($N78:$N79,MATCH(P84,$N78:$N79,1))</f>
        <v>50</v>
      </c>
      <c r="Q85" s="3"/>
      <c r="R85" s="161"/>
      <c r="T85" s="3"/>
      <c r="U85" s="3"/>
      <c r="V85" s="3"/>
      <c r="AB85" s="129" t="s">
        <v>139</v>
      </c>
      <c r="AC85" s="182">
        <f t="array" ref="AC85">INDEX($AA78:$AA79,MATCH(AC84,$AA78:$AA79,1))</f>
        <v>50</v>
      </c>
      <c r="AD85" s="3"/>
      <c r="AE85" s="161"/>
      <c r="AG85" s="3"/>
      <c r="AH85" s="3"/>
      <c r="AI85" s="3"/>
    </row>
    <row r="86" ht="15.0" customHeight="1">
      <c r="B86" s="129" t="s">
        <v>145</v>
      </c>
      <c r="C86" s="182">
        <f t="array" ref="C86">INDEX($A78:$A79,IF(MATCH(C84,$A78:$A79,1)&lt;E82,MATCH(C84,$A78:$A79,1)+1,MATCH(C84,$A78:$A79,1)))</f>
        <v>50</v>
      </c>
      <c r="D86" s="3"/>
      <c r="E86" s="161"/>
      <c r="G86" s="3"/>
      <c r="H86" s="3"/>
      <c r="I86" s="3"/>
      <c r="O86" s="129" t="s">
        <v>145</v>
      </c>
      <c r="P86" s="182">
        <f t="array" ref="P86">INDEX($N78:$N79,IF(MATCH(P84,$N78:$N79,1)&lt;R82,MATCH(P84,$N78:$N79,1)+1,MATCH(P84,$N78:$N79,1)))</f>
        <v>50</v>
      </c>
      <c r="Q86" s="3"/>
      <c r="R86" s="161"/>
      <c r="T86" s="3"/>
      <c r="U86" s="3"/>
      <c r="V86" s="3"/>
      <c r="AB86" s="129" t="s">
        <v>145</v>
      </c>
      <c r="AC86" s="182">
        <f t="array" ref="AC86">INDEX($AA78:$AA79,IF(MATCH(AC84,$AA78:$AA79,1)&lt;AE82,MATCH(AC84,$AA78:$AA79,1)+1,MATCH(AC84,$AA78:$AA79,1)))</f>
        <v>50</v>
      </c>
      <c r="AD86" s="3"/>
      <c r="AE86" s="161"/>
      <c r="AG86" s="3"/>
      <c r="AH86" s="3"/>
      <c r="AI86" s="3"/>
    </row>
    <row r="87" ht="15.0" customHeight="1">
      <c r="B87" s="178" t="s">
        <v>165</v>
      </c>
      <c r="C87" s="177">
        <f t="array" ref="C87">INDEX($B78:$H79,MATCH(C84,$A78:$A79,1),MATCH(C81,$B77:$H77,1))</f>
        <v>1900</v>
      </c>
      <c r="D87" s="3"/>
      <c r="E87" s="161"/>
      <c r="G87" s="3"/>
      <c r="H87" s="3"/>
      <c r="I87" s="3"/>
      <c r="O87" s="178" t="s">
        <v>165</v>
      </c>
      <c r="P87" s="177" t="str">
        <f t="array" ref="P87">INDEX($O78:$V79,MATCH(P84,$N78:$N79,1),MATCH(P81,$O77:$V77,1))</f>
        <v>#N/A</v>
      </c>
      <c r="Q87" s="3"/>
      <c r="R87" s="161"/>
      <c r="T87" s="3"/>
      <c r="U87" s="3"/>
      <c r="V87" s="3"/>
      <c r="AB87" s="178" t="s">
        <v>165</v>
      </c>
      <c r="AC87" s="177" t="str">
        <f t="array" ref="AC87">INDEX($AB78:$AL79,MATCH(AC84,$AA78:$AA79,1),MATCH(AC81,$AB77:$AL77,1))</f>
        <v>#N/A</v>
      </c>
      <c r="AD87" s="3"/>
      <c r="AE87" s="161"/>
      <c r="AG87" s="3"/>
      <c r="AH87" s="3"/>
      <c r="AI87" s="3"/>
    </row>
    <row r="88" ht="15.0" customHeight="1">
      <c r="B88" s="178" t="s">
        <v>249</v>
      </c>
      <c r="C88" s="177">
        <f t="array" ref="C88">INDEX($B78:$H79,MATCH(C84,$A78:$A79,1),IF(MATCH(C81,$B77:$H77,1)&lt;E83,MATCH(C81,$B77:$H77,1)+1,MATCH(C84,$A78:$A79,1)))</f>
        <v>2550</v>
      </c>
      <c r="E88" s="161"/>
      <c r="G88" s="3"/>
      <c r="H88" s="3"/>
      <c r="I88" s="3"/>
      <c r="O88" s="178" t="s">
        <v>249</v>
      </c>
      <c r="P88" s="177" t="str">
        <f t="array" ref="P88">INDEX($O78:$V79,MATCH(P84,$N78:$N79,1),IF(MATCH(P81,$O77:$V77,1)&lt;R83,MATCH(P81,$O77:$V77,1)+1,MATCH(P84,$N78:$N79,1)))</f>
        <v>#N/A</v>
      </c>
      <c r="R88" s="161"/>
      <c r="T88" s="3"/>
      <c r="U88" s="3"/>
      <c r="V88" s="3"/>
      <c r="AB88" s="178" t="s">
        <v>249</v>
      </c>
      <c r="AC88" s="177" t="str">
        <f t="array" ref="AC88">INDEX($AB78:$AL79,MATCH(AC84,$AA78:$AA79,1),IF(MATCH(AC81,$AB77:$AL77,1)&lt;AE83,MATCH(AC81,$AB77:$AL77,1)+1,MATCH(AC84,$AA78:$AA79,1)))</f>
        <v>#N/A</v>
      </c>
      <c r="AE88" s="161"/>
      <c r="AG88" s="3"/>
      <c r="AH88" s="3"/>
      <c r="AI88" s="3"/>
    </row>
    <row r="89" ht="15.0" customHeight="1">
      <c r="B89" s="178" t="s">
        <v>177</v>
      </c>
      <c r="C89" s="177">
        <f t="array" ref="C89">INDEX($B78:$H79,IF(MATCH(C84,$A78:$A79,1)&lt;E82,MATCH(C84,$A78:$A79,1)+1,MATCH(C84,$A78:$A79,1)),MATCH(C81,$B77:$H77,1))</f>
        <v>1900</v>
      </c>
      <c r="E89" s="161"/>
      <c r="G89" s="3"/>
      <c r="H89" s="3"/>
      <c r="I89" s="3"/>
      <c r="O89" s="178" t="s">
        <v>177</v>
      </c>
      <c r="P89" s="177" t="str">
        <f t="array" ref="P89">INDEX($O78:$V79,IF(MATCH(P84,$N78:$N79,1)&lt;R82,MATCH(P84,$N78:$N79,1)+1,MATCH(P84,$N78:$N79,1)),MATCH(P81,$O77:$V77,1))</f>
        <v>#N/A</v>
      </c>
      <c r="R89" s="161"/>
      <c r="T89" s="3"/>
      <c r="U89" s="3"/>
      <c r="V89" s="3"/>
      <c r="AB89" s="178" t="s">
        <v>177</v>
      </c>
      <c r="AC89" s="177" t="str">
        <f t="array" ref="AC89">INDEX($AB78:$AL79,IF(MATCH(AC84,$AA78:$AA79,1)&lt;AE82,MATCH(AC84,$AA78:$AA79,1)+1,MATCH(AC84,$AA78:$AA79,1)),MATCH(AC81,$AB77:$AL77,1))</f>
        <v>#N/A</v>
      </c>
      <c r="AE89" s="161"/>
      <c r="AG89" s="3"/>
      <c r="AH89" s="3"/>
      <c r="AI89" s="3"/>
    </row>
    <row r="90" ht="15.0" customHeight="1">
      <c r="B90" s="178" t="s">
        <v>250</v>
      </c>
      <c r="C90" s="177">
        <f t="array" ref="C90">INDEX($B78:$H79,IF(MATCH(C84,$A78:$A79,1)&lt;E82,MATCH(C84,$A78:$A79,1)+1,MATCH(C84,$A78:$A79,1)),IF(MATCH(C81,$B77:$H77,1)&lt;E83,MATCH(C81,$B77:$H77,1)+1,MATCH(C81,$B77:$H77,1)))</f>
        <v>2550</v>
      </c>
      <c r="G90" s="3"/>
      <c r="H90" s="3"/>
      <c r="I90" s="3"/>
      <c r="O90" s="178" t="s">
        <v>250</v>
      </c>
      <c r="P90" s="177" t="str">
        <f t="array" ref="P90">INDEX($O78:$V79,IF(MATCH(P84,$N78:$N79,1)&lt;R82,MATCH(P84,$N78:$N79,1)+1,MATCH(P84,$N78:$N79,1)),IF(MATCH(P81,$O77:$V77,1)&lt;R83,MATCH(P81,$O77:$V77,1)+1,MATCH(P81,$O77:$V77,1)))</f>
        <v>#N/A</v>
      </c>
      <c r="T90" s="3"/>
      <c r="U90" s="3"/>
      <c r="V90" s="3"/>
      <c r="AB90" s="178" t="s">
        <v>250</v>
      </c>
      <c r="AC90" s="177" t="str">
        <f t="array" ref="AC90">INDEX($AB78:$AL79,IF(MATCH(AC84,$AA78:$AA79,1)&lt;AE82,MATCH(AC84,$AA78:$AA79,1)+1,MATCH(AC84,$AA78:$AA79,1)),IF(MATCH(AC81,$AB77:$AL77,1)&lt;AE83,MATCH(AC81,$AB77:$AL77,1)+1,MATCH(AC81,$AB77:$AL77,1)))</f>
        <v>#N/A</v>
      </c>
      <c r="AG90" s="3"/>
      <c r="AH90" s="3"/>
      <c r="AI90" s="3"/>
    </row>
    <row r="91" ht="15.0" customHeight="1">
      <c r="B91" s="129" t="s">
        <v>252</v>
      </c>
      <c r="C91" s="182">
        <f>IFERROR(C87+(C81-C82)*(C88-C87)/(C83-C82),C87)</f>
        <v>2027.4</v>
      </c>
      <c r="G91" s="3"/>
      <c r="H91" s="3"/>
      <c r="I91" s="3"/>
      <c r="O91" s="129" t="s">
        <v>252</v>
      </c>
      <c r="P91" s="182" t="str">
        <f>IFERROR(P87+(P81-P82)*(P88-P87)/(P83-P82),P87)</f>
        <v>#N/A</v>
      </c>
      <c r="T91" s="3"/>
      <c r="U91" s="3"/>
      <c r="V91" s="3"/>
      <c r="AB91" s="129" t="s">
        <v>252</v>
      </c>
      <c r="AC91" s="182" t="str">
        <f>IFERROR(AC87+(AC81-AC82)*(AC88-AC87)/(AC83-AC82),AC87)</f>
        <v>#N/A</v>
      </c>
      <c r="AG91" s="3"/>
      <c r="AH91" s="3"/>
      <c r="AI91" s="3"/>
    </row>
    <row r="92" ht="15.0" customHeight="1">
      <c r="B92" s="129" t="s">
        <v>253</v>
      </c>
      <c r="C92" s="182">
        <f>IFERROR(C89+(C81-C82)*(C90-C89)/(C83-C82),C89)</f>
        <v>2027.4</v>
      </c>
      <c r="G92" s="3"/>
      <c r="H92" s="3"/>
      <c r="I92" s="3"/>
      <c r="O92" s="129" t="s">
        <v>253</v>
      </c>
      <c r="P92" s="182" t="str">
        <f>IFERROR(P89+(P81-P82)*(P90-P89)/(P83-P82),P89)</f>
        <v>#N/A</v>
      </c>
      <c r="T92" s="3"/>
      <c r="U92" s="3"/>
      <c r="V92" s="3"/>
      <c r="AB92" s="129" t="s">
        <v>253</v>
      </c>
      <c r="AC92" s="182" t="str">
        <f>IFERROR(AC89+(AC81-AC82)*(AC90-AC89)/(AC83-AC82),AC89)</f>
        <v>#N/A</v>
      </c>
      <c r="AG92" s="3"/>
      <c r="AH92" s="3"/>
      <c r="AI92" s="3"/>
    </row>
    <row r="93" ht="15.0" customHeight="1">
      <c r="B93" s="178" t="s">
        <v>254</v>
      </c>
      <c r="C93" s="177">
        <f>IFERROR(C91+(C84-C85)*(C92-C91)/(C86-C85),C91)</f>
        <v>2027.4</v>
      </c>
      <c r="G93" s="3"/>
      <c r="H93" s="3"/>
      <c r="I93" s="3"/>
      <c r="O93" s="178" t="s">
        <v>254</v>
      </c>
      <c r="P93" s="177" t="str">
        <f>IFERROR(P91+(P84-P85)*(P92-P91)/(P86-P85),P91)</f>
        <v>#N/A</v>
      </c>
      <c r="T93" s="3"/>
      <c r="U93" s="3"/>
      <c r="V93" s="3"/>
      <c r="AB93" s="178" t="s">
        <v>254</v>
      </c>
      <c r="AC93" s="177" t="str">
        <f>IFERROR(AC91+(AC84-AC85)*(AC92-AC91)/(AC86-AC85),AC91)</f>
        <v>#N/A</v>
      </c>
      <c r="AG93" s="3"/>
      <c r="AH93" s="3"/>
      <c r="AI93" s="3"/>
    </row>
    <row r="94" ht="15.0" customHeight="1">
      <c r="C94" s="314"/>
      <c r="P94" s="314"/>
      <c r="AC94" s="314"/>
    </row>
    <row r="95" ht="15.0" customHeight="1">
      <c r="C95" s="181"/>
      <c r="P95" s="181"/>
      <c r="AC95" s="181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Q16:R16"/>
    <mergeCell ref="AD16:AE16"/>
    <mergeCell ref="AR16:AS16"/>
    <mergeCell ref="AZ16:BA16"/>
    <mergeCell ref="B3:L3"/>
    <mergeCell ref="O3:Y3"/>
    <mergeCell ref="AB3:AL3"/>
    <mergeCell ref="B4:F4"/>
    <mergeCell ref="O4:S4"/>
    <mergeCell ref="AB4:AF4"/>
    <mergeCell ref="D16:E16"/>
    <mergeCell ref="O56:V56"/>
    <mergeCell ref="AB56:AI56"/>
    <mergeCell ref="B30:G30"/>
    <mergeCell ref="O30:T30"/>
    <mergeCell ref="AB30:AG30"/>
    <mergeCell ref="D42:E42"/>
    <mergeCell ref="Q42:R42"/>
    <mergeCell ref="AD42:AE42"/>
    <mergeCell ref="B56:I56"/>
    <mergeCell ref="Q81:R81"/>
    <mergeCell ref="AD81:AE81"/>
    <mergeCell ref="D62:E62"/>
    <mergeCell ref="Q62:R62"/>
    <mergeCell ref="AD62:AE62"/>
    <mergeCell ref="B76:I76"/>
    <mergeCell ref="O76:V76"/>
    <mergeCell ref="AB76:AI76"/>
    <mergeCell ref="D81:E81"/>
  </mergeCells>
  <conditionalFormatting sqref="B6:E13">
    <cfRule type="colorScale" priority="1">
      <colorScale>
        <cfvo type="min"/>
        <cfvo type="max"/>
        <color rgb="FFFCFCFF"/>
        <color rgb="FFF8696B"/>
      </colorScale>
    </cfRule>
  </conditionalFormatting>
  <conditionalFormatting sqref="B32:F39">
    <cfRule type="colorScale" priority="2">
      <colorScale>
        <cfvo type="min"/>
        <cfvo type="max"/>
        <color rgb="FFFCFCFF"/>
        <color rgb="FFF8696B"/>
      </colorScale>
    </cfRule>
  </conditionalFormatting>
  <conditionalFormatting sqref="B58:G60">
    <cfRule type="colorScale" priority="3">
      <colorScale>
        <cfvo type="min"/>
        <cfvo type="max"/>
        <color rgb="FFFCFCFF"/>
        <color rgb="FFF8696B"/>
      </colorScale>
    </cfRule>
  </conditionalFormatting>
  <conditionalFormatting sqref="B78:G79">
    <cfRule type="colorScale" priority="4">
      <colorScale>
        <cfvo type="min"/>
        <cfvo type="max"/>
        <color rgb="FFFCFCFF"/>
        <color rgb="FFF8696B"/>
      </colorScale>
    </cfRule>
  </conditionalFormatting>
  <conditionalFormatting sqref="J6:M14">
    <cfRule type="colorScale" priority="5">
      <colorScale>
        <cfvo type="min"/>
        <cfvo type="max"/>
        <color rgb="FFFCFCFF"/>
        <color rgb="FFF8696B"/>
      </colorScale>
    </cfRule>
  </conditionalFormatting>
  <conditionalFormatting sqref="O6:R13">
    <cfRule type="colorScale" priority="6">
      <colorScale>
        <cfvo type="min"/>
        <cfvo type="max"/>
        <color rgb="FFFCFCFF"/>
        <color rgb="FFF8696B"/>
      </colorScale>
    </cfRule>
  </conditionalFormatting>
  <conditionalFormatting sqref="O58:U60">
    <cfRule type="colorScale" priority="7">
      <colorScale>
        <cfvo type="min"/>
        <cfvo type="max"/>
        <color rgb="FFFCFCFF"/>
        <color rgb="FFF8696B"/>
      </colorScale>
    </cfRule>
  </conditionalFormatting>
  <conditionalFormatting sqref="O78:U79">
    <cfRule type="colorScale" priority="8">
      <colorScale>
        <cfvo type="min"/>
        <cfvo type="max"/>
        <color rgb="FFFCFCFF"/>
        <color rgb="FFF8696B"/>
      </colorScale>
    </cfRule>
  </conditionalFormatting>
  <conditionalFormatting sqref="P32:S39">
    <cfRule type="colorScale" priority="9">
      <colorScale>
        <cfvo type="min"/>
        <cfvo type="max"/>
        <color rgb="FFFCFCFF"/>
        <color rgb="FFF8696B"/>
      </colorScale>
    </cfRule>
  </conditionalFormatting>
  <conditionalFormatting sqref="W6:Y14">
    <cfRule type="colorScale" priority="10">
      <colorScale>
        <cfvo type="min"/>
        <cfvo type="max"/>
        <color rgb="FFFCFCFF"/>
        <color rgb="FFF8696B"/>
      </colorScale>
    </cfRule>
  </conditionalFormatting>
  <conditionalFormatting sqref="AB6:AE13">
    <cfRule type="colorScale" priority="11">
      <colorScale>
        <cfvo type="min"/>
        <cfvo type="max"/>
        <color rgb="FFFCFCFF"/>
        <color rgb="FFF8696B"/>
      </colorScale>
    </cfRule>
  </conditionalFormatting>
  <conditionalFormatting sqref="AB58:AG60">
    <cfRule type="colorScale" priority="12">
      <colorScale>
        <cfvo type="min"/>
        <cfvo type="max"/>
        <color rgb="FFFCFCFF"/>
        <color rgb="FFF8696B"/>
      </colorScale>
    </cfRule>
  </conditionalFormatting>
  <conditionalFormatting sqref="AB78:AK79">
    <cfRule type="colorScale" priority="13">
      <colorScale>
        <cfvo type="min"/>
        <cfvo type="max"/>
        <color rgb="FFFCFCFF"/>
        <color rgb="FFF8696B"/>
      </colorScale>
    </cfRule>
  </conditionalFormatting>
  <conditionalFormatting sqref="AC32:AF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AJ6:AL14">
    <cfRule type="colorScale" priority="15">
      <colorScale>
        <cfvo type="min"/>
        <cfvo type="max"/>
        <color rgb="FFFCFCFF"/>
        <color rgb="FFF8696B"/>
      </colorScale>
    </cfRule>
  </conditionalFormatting>
  <printOptions/>
  <pageMargins bottom="0.75" footer="0.0" header="0.0" left="0.25" right="0.25" top="0.75"/>
  <pageSetup paperSize="9" orientation="landscape"/>
  <drawing r:id="rId1"/>
</worksheet>
</file>