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jonairse.sharepoint.com/sites/JonairOperation/Delade dokument/Funktionstest excel/"/>
    </mc:Choice>
  </mc:AlternateContent>
  <xr:revisionPtr revIDLastSave="297" documentId="11_2012C30F02F578E42C47E786E4E779EFECD43901" xr6:coauthVersionLast="47" xr6:coauthVersionMax="47" xr10:uidLastSave="{C7C4A742-2D9F-43EF-AC07-BA10DE01E8E4}"/>
  <bookViews>
    <workbookView xWindow="-108" yWindow="-108" windowWidth="23256" windowHeight="12456" tabRatio="500" firstSheet="5" activeTab="5" xr2:uid="{00000000-000D-0000-FFFF-FFFF00000000}"/>
  </bookViews>
  <sheets>
    <sheet name="Take-off" sheetId="1" r:id="rId1"/>
    <sheet name="Landing" sheetId="2" r:id="rId2"/>
    <sheet name="Airport data" sheetId="3" r:id="rId3"/>
    <sheet name="Dropdown lists" sheetId="4" r:id="rId4"/>
    <sheet name="LDG Performance" sheetId="5" r:id="rId5"/>
    <sheet name="TAKE OFF Performance FLAPS UP" sheetId="6" r:id="rId6"/>
    <sheet name="TAKE OFF Performance FLAPS TAKE" sheetId="7" r:id="rId7"/>
    <sheet name="TAKE OFF Performance FLAPS APPR" sheetId="8" r:id="rId8"/>
    <sheet name="Landing distance data" sheetId="9" r:id="rId9"/>
    <sheet name="Takeoff distance  contamined 2" sheetId="10" state="hidden" r:id="rId10"/>
    <sheet name="Takeoff distance  contaminated" sheetId="11" state="hidden" r:id="rId11"/>
    <sheet name="Accelerate and GO (2)" sheetId="12" r:id="rId12"/>
    <sheet name="OEI CLIMB GRADIENT" sheetId="14" r:id="rId13"/>
    <sheet name="NET GRADIENT OF CLIMB" sheetId="15" r:id="rId14"/>
    <sheet name="Takeoff distance (2)" sheetId="16" r:id="rId15"/>
    <sheet name="Accelerate and stop2" sheetId="13" r:id="rId16"/>
    <sheet name="Checklista" sheetId="17" state="hidden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C86" i="16" l="1" a="1"/>
  <c r="AC86" i="16" s="1"/>
  <c r="P86" i="16" a="1"/>
  <c r="P86" i="16" s="1"/>
  <c r="C86" i="16" a="1"/>
  <c r="C86" i="16" s="1"/>
  <c r="AE84" i="16"/>
  <c r="R84" i="16"/>
  <c r="E84" i="16"/>
  <c r="AE83" i="16"/>
  <c r="R83" i="16"/>
  <c r="E83" i="16"/>
  <c r="C87" i="16" s="1" a="1"/>
  <c r="C87" i="16" s="1"/>
  <c r="AE65" i="16"/>
  <c r="R65" i="16"/>
  <c r="E65" i="16"/>
  <c r="AE64" i="16"/>
  <c r="R64" i="16"/>
  <c r="E64" i="16"/>
  <c r="AC46" i="16"/>
  <c r="AC47" i="16" s="1" a="1"/>
  <c r="AC47" i="16" s="1"/>
  <c r="P46" i="16"/>
  <c r="C46" i="16"/>
  <c r="AE45" i="16"/>
  <c r="R45" i="16"/>
  <c r="E45" i="16"/>
  <c r="AE44" i="16"/>
  <c r="R44" i="16"/>
  <c r="E44" i="16"/>
  <c r="AE19" i="16"/>
  <c r="R19" i="16"/>
  <c r="E19" i="16"/>
  <c r="AE18" i="16"/>
  <c r="R18" i="16"/>
  <c r="E18" i="16"/>
  <c r="AC46" i="15"/>
  <c r="AC47" i="15" s="1" a="1"/>
  <c r="AC47" i="15" s="1"/>
  <c r="P46" i="15"/>
  <c r="P47" i="15" s="1" a="1"/>
  <c r="P47" i="15" s="1"/>
  <c r="C46" i="15"/>
  <c r="C47" i="15" s="1" a="1"/>
  <c r="C47" i="15" s="1"/>
  <c r="AE45" i="15"/>
  <c r="R45" i="15"/>
  <c r="E45" i="15"/>
  <c r="AE44" i="15"/>
  <c r="R44" i="15"/>
  <c r="E44" i="15"/>
  <c r="AE19" i="15"/>
  <c r="R19" i="15"/>
  <c r="E19" i="15"/>
  <c r="AE18" i="15"/>
  <c r="R18" i="15"/>
  <c r="E18" i="15"/>
  <c r="C46" i="14"/>
  <c r="E45" i="14"/>
  <c r="E44" i="14"/>
  <c r="P39" i="14" a="1"/>
  <c r="P39" i="14" s="1"/>
  <c r="R37" i="14"/>
  <c r="R36" i="14"/>
  <c r="P40" i="14" s="1" a="1"/>
  <c r="P40" i="14" s="1"/>
  <c r="E19" i="14"/>
  <c r="E18" i="14"/>
  <c r="AE66" i="13"/>
  <c r="R66" i="13"/>
  <c r="E66" i="13"/>
  <c r="AE65" i="13"/>
  <c r="R65" i="13"/>
  <c r="E65" i="13"/>
  <c r="AC47" i="13"/>
  <c r="P47" i="13"/>
  <c r="P48" i="13" s="1" a="1"/>
  <c r="P48" i="13" s="1"/>
  <c r="C47" i="13"/>
  <c r="C48" i="13" s="1" a="1"/>
  <c r="C48" i="13" s="1"/>
  <c r="AE46" i="13"/>
  <c r="R46" i="13"/>
  <c r="E46" i="13"/>
  <c r="AE45" i="13"/>
  <c r="R45" i="13"/>
  <c r="E45" i="13"/>
  <c r="AE19" i="13"/>
  <c r="R19" i="13"/>
  <c r="E19" i="13"/>
  <c r="AE18" i="13"/>
  <c r="R18" i="13"/>
  <c r="E18" i="13"/>
  <c r="AF65" i="12"/>
  <c r="R65" i="12"/>
  <c r="E65" i="12"/>
  <c r="AF64" i="12"/>
  <c r="R64" i="12"/>
  <c r="E64" i="12"/>
  <c r="AC46" i="12"/>
  <c r="P46" i="12"/>
  <c r="P48" i="12" s="1" a="1"/>
  <c r="P48" i="12" s="1"/>
  <c r="C46" i="12"/>
  <c r="AE45" i="12"/>
  <c r="R45" i="12"/>
  <c r="E45" i="12"/>
  <c r="AE44" i="12"/>
  <c r="R44" i="12"/>
  <c r="E44" i="12"/>
  <c r="AE19" i="12"/>
  <c r="R19" i="12"/>
  <c r="E19" i="12"/>
  <c r="AE18" i="12"/>
  <c r="R18" i="12"/>
  <c r="E18" i="12"/>
  <c r="BA464" i="11"/>
  <c r="AS464" i="11"/>
  <c r="AK464" i="11"/>
  <c r="AC464" i="11"/>
  <c r="U464" i="11"/>
  <c r="M464" i="11"/>
  <c r="E464" i="11"/>
  <c r="BA463" i="11"/>
  <c r="AS463" i="11"/>
  <c r="AK463" i="11"/>
  <c r="AC463" i="11"/>
  <c r="U463" i="11"/>
  <c r="M463" i="11"/>
  <c r="E463" i="11"/>
  <c r="BA428" i="11"/>
  <c r="AS428" i="11"/>
  <c r="AK428" i="11"/>
  <c r="AC428" i="11"/>
  <c r="U428" i="11"/>
  <c r="M428" i="11"/>
  <c r="E428" i="11"/>
  <c r="BA427" i="11"/>
  <c r="AS427" i="11"/>
  <c r="AK427" i="11"/>
  <c r="AC427" i="11"/>
  <c r="U427" i="11"/>
  <c r="M427" i="11"/>
  <c r="E427" i="11"/>
  <c r="BA389" i="11"/>
  <c r="AS389" i="11"/>
  <c r="AK389" i="11"/>
  <c r="AC389" i="11"/>
  <c r="U389" i="11"/>
  <c r="M389" i="11"/>
  <c r="E389" i="11"/>
  <c r="BA388" i="11"/>
  <c r="AS388" i="11"/>
  <c r="AK388" i="11"/>
  <c r="AC388" i="11"/>
  <c r="U388" i="11"/>
  <c r="M388" i="11"/>
  <c r="E388" i="11"/>
  <c r="BA367" i="11"/>
  <c r="AS367" i="11"/>
  <c r="AK367" i="11"/>
  <c r="AC367" i="11"/>
  <c r="U367" i="11"/>
  <c r="M367" i="11"/>
  <c r="E367" i="11"/>
  <c r="BA366" i="11"/>
  <c r="AS366" i="11"/>
  <c r="AK366" i="11"/>
  <c r="AC366" i="11"/>
  <c r="U366" i="11"/>
  <c r="M366" i="11"/>
  <c r="E366" i="11"/>
  <c r="BA343" i="11"/>
  <c r="AS343" i="11"/>
  <c r="AK343" i="11"/>
  <c r="AC343" i="11"/>
  <c r="U343" i="11"/>
  <c r="M343" i="11"/>
  <c r="E343" i="11"/>
  <c r="BA342" i="11"/>
  <c r="AS342" i="11"/>
  <c r="AK342" i="11"/>
  <c r="AC342" i="11"/>
  <c r="U342" i="11"/>
  <c r="M342" i="11"/>
  <c r="E342" i="11"/>
  <c r="BA305" i="11"/>
  <c r="AS305" i="11"/>
  <c r="AK305" i="11"/>
  <c r="AC305" i="11"/>
  <c r="U305" i="11"/>
  <c r="M305" i="11"/>
  <c r="E305" i="11"/>
  <c r="BA304" i="11"/>
  <c r="AS304" i="11"/>
  <c r="AK304" i="11"/>
  <c r="AC304" i="11"/>
  <c r="U304" i="11"/>
  <c r="M304" i="11"/>
  <c r="E304" i="11"/>
  <c r="BA287" i="11"/>
  <c r="AS287" i="11"/>
  <c r="AK287" i="11"/>
  <c r="AC287" i="11"/>
  <c r="U287" i="11"/>
  <c r="M287" i="11"/>
  <c r="E287" i="11"/>
  <c r="BA286" i="11"/>
  <c r="AS286" i="11"/>
  <c r="AK286" i="11"/>
  <c r="AC286" i="11"/>
  <c r="U286" i="11"/>
  <c r="M286" i="11"/>
  <c r="E286" i="11"/>
  <c r="BA265" i="11"/>
  <c r="AS265" i="11"/>
  <c r="AK265" i="11"/>
  <c r="AC265" i="11"/>
  <c r="U265" i="11"/>
  <c r="M265" i="11"/>
  <c r="E265" i="11"/>
  <c r="BA264" i="11"/>
  <c r="AS264" i="11"/>
  <c r="AK264" i="11"/>
  <c r="AC264" i="11"/>
  <c r="U264" i="11"/>
  <c r="M264" i="11"/>
  <c r="E264" i="11"/>
  <c r="BA242" i="11"/>
  <c r="AS242" i="11"/>
  <c r="AK242" i="11"/>
  <c r="AC242" i="11"/>
  <c r="U242" i="11"/>
  <c r="M242" i="11"/>
  <c r="E242" i="11"/>
  <c r="BA241" i="11"/>
  <c r="AS241" i="11"/>
  <c r="AK241" i="11"/>
  <c r="AC241" i="11"/>
  <c r="U241" i="11"/>
  <c r="M241" i="11"/>
  <c r="E241" i="11"/>
  <c r="BA203" i="11"/>
  <c r="AS203" i="11"/>
  <c r="AK203" i="11"/>
  <c r="AC203" i="11"/>
  <c r="U203" i="11"/>
  <c r="M203" i="11"/>
  <c r="E203" i="11"/>
  <c r="BA202" i="11"/>
  <c r="AS202" i="11"/>
  <c r="AK202" i="11"/>
  <c r="AC202" i="11"/>
  <c r="U202" i="11"/>
  <c r="M202" i="11"/>
  <c r="E202" i="11"/>
  <c r="BA167" i="11"/>
  <c r="AS167" i="11"/>
  <c r="AK167" i="11"/>
  <c r="AC167" i="11"/>
  <c r="U167" i="11"/>
  <c r="M167" i="11"/>
  <c r="E167" i="11"/>
  <c r="BA166" i="11"/>
  <c r="AS166" i="11"/>
  <c r="AK166" i="11"/>
  <c r="AC166" i="11"/>
  <c r="U166" i="11"/>
  <c r="M166" i="11"/>
  <c r="E166" i="11"/>
  <c r="BA131" i="11"/>
  <c r="AS131" i="11"/>
  <c r="AK131" i="11"/>
  <c r="AC131" i="11"/>
  <c r="U131" i="11"/>
  <c r="M131" i="11"/>
  <c r="E131" i="11"/>
  <c r="BA130" i="11"/>
  <c r="AS130" i="11"/>
  <c r="AK130" i="11"/>
  <c r="AC130" i="11"/>
  <c r="U130" i="11"/>
  <c r="M130" i="11"/>
  <c r="E130" i="11"/>
  <c r="AY96" i="11" a="1"/>
  <c r="AY96" i="11" s="1"/>
  <c r="AQ96" i="11" a="1"/>
  <c r="AQ96" i="11" s="1"/>
  <c r="S96" i="11" a="1"/>
  <c r="S96" i="11" s="1"/>
  <c r="AY95" i="11" a="1"/>
  <c r="AY95" i="11" s="1"/>
  <c r="AQ95" i="11" a="1"/>
  <c r="AQ95" i="11" s="1"/>
  <c r="AI95" i="11" a="1"/>
  <c r="AI95" i="11" s="1"/>
  <c r="AA95" i="11" a="1"/>
  <c r="AA95" i="11" s="1"/>
  <c r="S95" i="11" a="1"/>
  <c r="S95" i="11" s="1"/>
  <c r="K95" i="11" a="1"/>
  <c r="K95" i="11" s="1"/>
  <c r="C95" i="11" a="1"/>
  <c r="C95" i="11" s="1"/>
  <c r="BA93" i="11"/>
  <c r="AS93" i="11"/>
  <c r="AK93" i="11"/>
  <c r="AC93" i="11"/>
  <c r="U93" i="11"/>
  <c r="M93" i="11"/>
  <c r="E93" i="11"/>
  <c r="BA92" i="11"/>
  <c r="AS92" i="11"/>
  <c r="AK92" i="11"/>
  <c r="AC92" i="11"/>
  <c r="U92" i="11"/>
  <c r="M92" i="11"/>
  <c r="K96" i="11" s="1" a="1"/>
  <c r="K96" i="11" s="1"/>
  <c r="E92" i="11"/>
  <c r="C96" i="11" s="1" a="1"/>
  <c r="C96" i="11" s="1"/>
  <c r="BA75" i="11"/>
  <c r="AS75" i="11"/>
  <c r="AK75" i="11"/>
  <c r="AC75" i="11"/>
  <c r="U75" i="11"/>
  <c r="M75" i="11"/>
  <c r="E75" i="11"/>
  <c r="BA74" i="11"/>
  <c r="AS74" i="11"/>
  <c r="AK74" i="11"/>
  <c r="AC74" i="11"/>
  <c r="U74" i="11"/>
  <c r="M74" i="11"/>
  <c r="E74" i="11"/>
  <c r="I65" i="11"/>
  <c r="H65" i="11"/>
  <c r="G65" i="11"/>
  <c r="F65" i="11"/>
  <c r="E65" i="11"/>
  <c r="D65" i="11"/>
  <c r="C65" i="11"/>
  <c r="B65" i="11"/>
  <c r="BA51" i="11"/>
  <c r="AS51" i="11"/>
  <c r="AK51" i="11"/>
  <c r="AC51" i="11"/>
  <c r="U51" i="11"/>
  <c r="M51" i="11"/>
  <c r="E51" i="11"/>
  <c r="BA50" i="11"/>
  <c r="AS50" i="11"/>
  <c r="AK50" i="11"/>
  <c r="AC50" i="11"/>
  <c r="U50" i="11"/>
  <c r="M50" i="11"/>
  <c r="E50" i="11"/>
  <c r="BA28" i="11"/>
  <c r="AS28" i="11"/>
  <c r="AK28" i="11"/>
  <c r="AC28" i="11"/>
  <c r="U28" i="11"/>
  <c r="M28" i="11"/>
  <c r="E28" i="11"/>
  <c r="BA27" i="11"/>
  <c r="AS27" i="11"/>
  <c r="AK27" i="11"/>
  <c r="AC27" i="11"/>
  <c r="U27" i="11"/>
  <c r="M27" i="11"/>
  <c r="E27" i="11"/>
  <c r="BA434" i="10"/>
  <c r="AS434" i="10"/>
  <c r="AK434" i="10"/>
  <c r="AC434" i="10"/>
  <c r="U434" i="10"/>
  <c r="M434" i="10"/>
  <c r="E434" i="10"/>
  <c r="BA433" i="10"/>
  <c r="AS433" i="10"/>
  <c r="AK433" i="10"/>
  <c r="AC433" i="10"/>
  <c r="U433" i="10"/>
  <c r="M433" i="10"/>
  <c r="E433" i="10"/>
  <c r="BA399" i="10"/>
  <c r="AS399" i="10"/>
  <c r="AK399" i="10"/>
  <c r="AC399" i="10"/>
  <c r="U399" i="10"/>
  <c r="M399" i="10"/>
  <c r="E399" i="10"/>
  <c r="BA398" i="10"/>
  <c r="AS398" i="10"/>
  <c r="AK398" i="10"/>
  <c r="AC398" i="10"/>
  <c r="U398" i="10"/>
  <c r="M398" i="10"/>
  <c r="E398" i="10"/>
  <c r="AY365" i="10"/>
  <c r="AQ365" i="10"/>
  <c r="AI365" i="10"/>
  <c r="AA365" i="10"/>
  <c r="S365" i="10"/>
  <c r="K365" i="10"/>
  <c r="C365" i="10"/>
  <c r="BA364" i="10"/>
  <c r="AS364" i="10"/>
  <c r="AK364" i="10"/>
  <c r="AC364" i="10"/>
  <c r="U364" i="10"/>
  <c r="M364" i="10"/>
  <c r="E364" i="10"/>
  <c r="U363" i="10"/>
  <c r="A359" i="10"/>
  <c r="A358" i="10"/>
  <c r="A357" i="10"/>
  <c r="A356" i="10"/>
  <c r="A355" i="10"/>
  <c r="BA363" i="10" s="1"/>
  <c r="BA340" i="10"/>
  <c r="AS340" i="10"/>
  <c r="AK340" i="10"/>
  <c r="AC340" i="10"/>
  <c r="U340" i="10"/>
  <c r="M340" i="10"/>
  <c r="E340" i="10"/>
  <c r="BA339" i="10"/>
  <c r="AS339" i="10"/>
  <c r="AK339" i="10"/>
  <c r="AC339" i="10"/>
  <c r="U339" i="10"/>
  <c r="M339" i="10"/>
  <c r="E339" i="10"/>
  <c r="BA320" i="10"/>
  <c r="AS320" i="10"/>
  <c r="AK320" i="10"/>
  <c r="AC320" i="10"/>
  <c r="U320" i="10"/>
  <c r="M320" i="10"/>
  <c r="E320" i="10"/>
  <c r="BA319" i="10"/>
  <c r="AS319" i="10"/>
  <c r="AK319" i="10"/>
  <c r="AC319" i="10"/>
  <c r="U319" i="10"/>
  <c r="M319" i="10"/>
  <c r="E319" i="10"/>
  <c r="AY295" i="10"/>
  <c r="AQ295" i="10"/>
  <c r="AI295" i="10"/>
  <c r="AA295" i="10"/>
  <c r="S295" i="10"/>
  <c r="K295" i="10"/>
  <c r="C295" i="10"/>
  <c r="BA294" i="10"/>
  <c r="AS294" i="10"/>
  <c r="AK294" i="10"/>
  <c r="AC294" i="10"/>
  <c r="U294" i="10"/>
  <c r="M294" i="10"/>
  <c r="E294" i="10"/>
  <c r="A289" i="10"/>
  <c r="A288" i="10"/>
  <c r="A287" i="10"/>
  <c r="A286" i="10"/>
  <c r="A285" i="10"/>
  <c r="A284" i="10"/>
  <c r="AQ272" i="10" a="1"/>
  <c r="AQ272" i="10" s="1"/>
  <c r="S272" i="10" a="1"/>
  <c r="S272" i="10"/>
  <c r="K272" i="10" a="1"/>
  <c r="K272" i="10" s="1"/>
  <c r="AY271" i="10" a="1"/>
  <c r="AY271" i="10"/>
  <c r="AQ271" i="10" a="1"/>
  <c r="AQ271" i="10"/>
  <c r="AI271" i="10" a="1"/>
  <c r="AI271" i="10" s="1"/>
  <c r="AA271" i="10" a="1"/>
  <c r="AA271" i="10" s="1"/>
  <c r="S271" i="10" a="1"/>
  <c r="S271" i="10"/>
  <c r="K271" i="10" a="1"/>
  <c r="K271" i="10"/>
  <c r="C271" i="10" a="1"/>
  <c r="C271" i="10" s="1"/>
  <c r="BA269" i="10"/>
  <c r="AS269" i="10"/>
  <c r="AK269" i="10"/>
  <c r="AC269" i="10"/>
  <c r="U269" i="10"/>
  <c r="M269" i="10"/>
  <c r="E269" i="10"/>
  <c r="BA268" i="10"/>
  <c r="AS268" i="10"/>
  <c r="AK268" i="10"/>
  <c r="AC268" i="10"/>
  <c r="U268" i="10"/>
  <c r="M268" i="10"/>
  <c r="E268" i="10"/>
  <c r="BA251" i="10"/>
  <c r="AS251" i="10"/>
  <c r="AK251" i="10"/>
  <c r="AC251" i="10"/>
  <c r="U251" i="10"/>
  <c r="M251" i="10"/>
  <c r="E251" i="10"/>
  <c r="BA250" i="10"/>
  <c r="AS250" i="10"/>
  <c r="AK250" i="10"/>
  <c r="AC250" i="10"/>
  <c r="U250" i="10"/>
  <c r="M250" i="10"/>
  <c r="E250" i="10"/>
  <c r="BA231" i="10"/>
  <c r="AS231" i="10"/>
  <c r="AK231" i="10"/>
  <c r="AC231" i="10"/>
  <c r="U231" i="10"/>
  <c r="M231" i="10"/>
  <c r="E231" i="10"/>
  <c r="BA230" i="10"/>
  <c r="AS230" i="10"/>
  <c r="AK230" i="10"/>
  <c r="AC230" i="10"/>
  <c r="U230" i="10"/>
  <c r="M230" i="10"/>
  <c r="E230" i="10"/>
  <c r="AY206" i="10"/>
  <c r="AQ206" i="10"/>
  <c r="AI206" i="10"/>
  <c r="AA206" i="10"/>
  <c r="S206" i="10"/>
  <c r="K206" i="10"/>
  <c r="C206" i="10"/>
  <c r="BA205" i="10"/>
  <c r="AS205" i="10"/>
  <c r="AK205" i="10"/>
  <c r="AC205" i="10"/>
  <c r="U205" i="10"/>
  <c r="M205" i="10"/>
  <c r="E205" i="10"/>
  <c r="A200" i="10"/>
  <c r="A199" i="10"/>
  <c r="AS204" i="10" s="1"/>
  <c r="A198" i="10"/>
  <c r="A197" i="10"/>
  <c r="AY185" i="10" a="1"/>
  <c r="AY185" i="10" s="1"/>
  <c r="AI185" i="10" a="1"/>
  <c r="AI185" i="10" s="1"/>
  <c r="AA185" i="10" a="1"/>
  <c r="AA185" i="10" s="1"/>
  <c r="S185" i="10" a="1"/>
  <c r="S185" i="10" s="1"/>
  <c r="C185" i="10" a="1"/>
  <c r="C185" i="10" s="1"/>
  <c r="AY184" i="10" a="1"/>
  <c r="AY184" i="10" s="1"/>
  <c r="AQ184" i="10" a="1"/>
  <c r="AQ184" i="10" s="1"/>
  <c r="AI184" i="10" a="1"/>
  <c r="AI184" i="10" s="1"/>
  <c r="AA184" i="10" a="1"/>
  <c r="AA184" i="10" s="1"/>
  <c r="S184" i="10" a="1"/>
  <c r="S184" i="10" s="1"/>
  <c r="K184" i="10" a="1"/>
  <c r="K184" i="10" s="1"/>
  <c r="C184" i="10" a="1"/>
  <c r="C184" i="10" s="1"/>
  <c r="BA182" i="10"/>
  <c r="AS182" i="10"/>
  <c r="AK182" i="10"/>
  <c r="AC182" i="10"/>
  <c r="U182" i="10"/>
  <c r="M182" i="10"/>
  <c r="E182" i="10"/>
  <c r="BA181" i="10"/>
  <c r="AS181" i="10"/>
  <c r="AK181" i="10"/>
  <c r="AC181" i="10"/>
  <c r="U181" i="10"/>
  <c r="M181" i="10"/>
  <c r="E181" i="10"/>
  <c r="BA164" i="10"/>
  <c r="AS164" i="10"/>
  <c r="AK164" i="10"/>
  <c r="AC164" i="10"/>
  <c r="U164" i="10"/>
  <c r="M164" i="10"/>
  <c r="E164" i="10"/>
  <c r="BA163" i="10"/>
  <c r="AS163" i="10"/>
  <c r="AK163" i="10"/>
  <c r="AC163" i="10"/>
  <c r="U163" i="10"/>
  <c r="M163" i="10"/>
  <c r="E163" i="10"/>
  <c r="BA144" i="10"/>
  <c r="AS144" i="10"/>
  <c r="AK144" i="10"/>
  <c r="AC144" i="10"/>
  <c r="U144" i="10"/>
  <c r="M144" i="10"/>
  <c r="E144" i="10"/>
  <c r="BA143" i="10"/>
  <c r="AS143" i="10"/>
  <c r="AK143" i="10"/>
  <c r="AC143" i="10"/>
  <c r="U143" i="10"/>
  <c r="M143" i="10"/>
  <c r="E143" i="10"/>
  <c r="AI119" i="10" a="1"/>
  <c r="AI119" i="10" s="1"/>
  <c r="AA119" i="10" a="1"/>
  <c r="AA119" i="10" s="1"/>
  <c r="C119" i="10" a="1"/>
  <c r="C119" i="10" s="1"/>
  <c r="AY118" i="10"/>
  <c r="AQ118" i="10"/>
  <c r="AI118" i="10"/>
  <c r="AA118" i="10"/>
  <c r="S118" i="10"/>
  <c r="K118" i="10"/>
  <c r="C118" i="10"/>
  <c r="BA117" i="10"/>
  <c r="AS117" i="10"/>
  <c r="AK117" i="10"/>
  <c r="AC117" i="10"/>
  <c r="U117" i="10"/>
  <c r="M117" i="10"/>
  <c r="E117" i="10"/>
  <c r="U116" i="10"/>
  <c r="A112" i="10"/>
  <c r="E116" i="10" s="1"/>
  <c r="A111" i="10"/>
  <c r="A110" i="10"/>
  <c r="A109" i="10"/>
  <c r="A108" i="10"/>
  <c r="AK116" i="10" s="1"/>
  <c r="AI120" i="10" s="1" a="1"/>
  <c r="AI120" i="10" s="1"/>
  <c r="AY96" i="10" a="1"/>
  <c r="AY96" i="10" s="1"/>
  <c r="S96" i="10" a="1"/>
  <c r="S96" i="10" s="1"/>
  <c r="C96" i="10" a="1"/>
  <c r="C96" i="10" s="1"/>
  <c r="AY95" i="10" a="1"/>
  <c r="AY95" i="10"/>
  <c r="AQ95" i="10" a="1"/>
  <c r="AQ95" i="10" s="1"/>
  <c r="AI95" i="10" a="1"/>
  <c r="AI95" i="10" s="1"/>
  <c r="AA95" i="10" a="1"/>
  <c r="AA95" i="10" s="1"/>
  <c r="S95" i="10" a="1"/>
  <c r="S95" i="10"/>
  <c r="K95" i="10" a="1"/>
  <c r="K95" i="10" s="1"/>
  <c r="C95" i="10" a="1"/>
  <c r="C95" i="10" s="1"/>
  <c r="BA93" i="10"/>
  <c r="AS93" i="10"/>
  <c r="AK93" i="10"/>
  <c r="AC93" i="10"/>
  <c r="U93" i="10"/>
  <c r="M93" i="10"/>
  <c r="E93" i="10"/>
  <c r="BA92" i="10"/>
  <c r="AS92" i="10"/>
  <c r="AK92" i="10"/>
  <c r="AC92" i="10"/>
  <c r="U92" i="10"/>
  <c r="M92" i="10"/>
  <c r="E92" i="10"/>
  <c r="BA75" i="10"/>
  <c r="AS75" i="10"/>
  <c r="AK75" i="10"/>
  <c r="AC75" i="10"/>
  <c r="U75" i="10"/>
  <c r="M75" i="10"/>
  <c r="E75" i="10"/>
  <c r="BA74" i="10"/>
  <c r="AS74" i="10"/>
  <c r="AK74" i="10"/>
  <c r="AC74" i="10"/>
  <c r="U74" i="10"/>
  <c r="M74" i="10"/>
  <c r="E74" i="10"/>
  <c r="BA54" i="10"/>
  <c r="AS54" i="10"/>
  <c r="AK54" i="10"/>
  <c r="AC54" i="10"/>
  <c r="U54" i="10"/>
  <c r="M54" i="10"/>
  <c r="E54" i="10"/>
  <c r="BA53" i="10"/>
  <c r="AS53" i="10"/>
  <c r="AK53" i="10"/>
  <c r="AC53" i="10"/>
  <c r="U53" i="10"/>
  <c r="M53" i="10"/>
  <c r="E53" i="10"/>
  <c r="BA28" i="10"/>
  <c r="AS28" i="10"/>
  <c r="AK28" i="10"/>
  <c r="AC28" i="10"/>
  <c r="U28" i="10"/>
  <c r="M28" i="10"/>
  <c r="E28" i="10"/>
  <c r="BA27" i="10"/>
  <c r="AS27" i="10"/>
  <c r="AK27" i="10"/>
  <c r="AC27" i="10"/>
  <c r="U27" i="10"/>
  <c r="M27" i="10"/>
  <c r="E27" i="10"/>
  <c r="K92" i="9" a="1"/>
  <c r="K92" i="9" s="1"/>
  <c r="C92" i="9" a="1"/>
  <c r="C92" i="9" s="1"/>
  <c r="M90" i="9"/>
  <c r="E90" i="9"/>
  <c r="M89" i="9"/>
  <c r="E89" i="9"/>
  <c r="C93" i="9" s="1" a="1"/>
  <c r="C93" i="9" s="1"/>
  <c r="M71" i="9"/>
  <c r="E71" i="9"/>
  <c r="M70" i="9"/>
  <c r="E70" i="9"/>
  <c r="K51" i="9"/>
  <c r="C51" i="9"/>
  <c r="C53" i="9" s="1" a="1"/>
  <c r="C53" i="9" s="1"/>
  <c r="M50" i="9"/>
  <c r="E50" i="9"/>
  <c r="M49" i="9"/>
  <c r="E49" i="9"/>
  <c r="M25" i="9"/>
  <c r="E25" i="9"/>
  <c r="M24" i="9"/>
  <c r="E24" i="9"/>
  <c r="C33" i="8"/>
  <c r="C32" i="8"/>
  <c r="C31" i="8"/>
  <c r="C30" i="8"/>
  <c r="C29" i="8"/>
  <c r="I20" i="8" a="1"/>
  <c r="I20" i="8" s="1"/>
  <c r="E20" i="8" a="1"/>
  <c r="E20" i="8" s="1"/>
  <c r="E19" i="8" a="1"/>
  <c r="E19" i="8" s="1"/>
  <c r="I18" i="8" a="1"/>
  <c r="I18" i="8"/>
  <c r="E18" i="8" a="1"/>
  <c r="E18" i="8" s="1"/>
  <c r="I17" i="8"/>
  <c r="I19" i="8" s="1" a="1"/>
  <c r="I19" i="8" s="1"/>
  <c r="E17" i="8"/>
  <c r="I16" i="8"/>
  <c r="E16" i="8"/>
  <c r="E21" i="8" s="1" a="1"/>
  <c r="E21" i="8" s="1"/>
  <c r="I14" i="8"/>
  <c r="E14" i="8"/>
  <c r="I13" i="8"/>
  <c r="E13" i="8"/>
  <c r="H8" i="8"/>
  <c r="D8" i="8"/>
  <c r="H6" i="8"/>
  <c r="D6" i="8"/>
  <c r="C33" i="7"/>
  <c r="C32" i="7"/>
  <c r="C31" i="7"/>
  <c r="C30" i="7"/>
  <c r="C29" i="7"/>
  <c r="AD19" i="7"/>
  <c r="AB19" i="7"/>
  <c r="S19" i="7"/>
  <c r="O19" i="7"/>
  <c r="AB18" i="7"/>
  <c r="AA18" i="7"/>
  <c r="Z18" i="7"/>
  <c r="Y18" i="7"/>
  <c r="S18" i="7"/>
  <c r="Q18" i="7"/>
  <c r="O18" i="7"/>
  <c r="I18" i="7" a="1"/>
  <c r="I18" i="7" s="1"/>
  <c r="E18" i="7" a="1"/>
  <c r="E18" i="7" s="1"/>
  <c r="AD17" i="7"/>
  <c r="AD18" i="7" s="1"/>
  <c r="AC17" i="7"/>
  <c r="AC18" i="7" s="1"/>
  <c r="AB17" i="7"/>
  <c r="AA17" i="7"/>
  <c r="AA19" i="7" s="1"/>
  <c r="Z17" i="7"/>
  <c r="Y17" i="7"/>
  <c r="X17" i="7"/>
  <c r="X19" i="7" s="1"/>
  <c r="V17" i="7"/>
  <c r="V19" i="7" s="1"/>
  <c r="U17" i="7"/>
  <c r="U18" i="7" s="1"/>
  <c r="T17" i="7"/>
  <c r="S17" i="7"/>
  <c r="Q17" i="7"/>
  <c r="Q19" i="7" s="1"/>
  <c r="P17" i="7"/>
  <c r="O17" i="7"/>
  <c r="N17" i="7"/>
  <c r="I17" i="7"/>
  <c r="I20" i="7" s="1" a="1"/>
  <c r="I20" i="7" s="1"/>
  <c r="E17" i="7"/>
  <c r="E20" i="7" s="1" a="1"/>
  <c r="E20" i="7" s="1"/>
  <c r="AD16" i="7"/>
  <c r="AC16" i="7"/>
  <c r="AB16" i="7"/>
  <c r="AA16" i="7"/>
  <c r="Z16" i="7"/>
  <c r="Y16" i="7"/>
  <c r="X16" i="7"/>
  <c r="V16" i="7"/>
  <c r="U16" i="7"/>
  <c r="T16" i="7"/>
  <c r="S16" i="7"/>
  <c r="Q16" i="7"/>
  <c r="P16" i="7"/>
  <c r="O16" i="7"/>
  <c r="N16" i="7"/>
  <c r="I16" i="7"/>
  <c r="E16" i="7"/>
  <c r="I14" i="7"/>
  <c r="E14" i="7"/>
  <c r="AD13" i="7"/>
  <c r="AC13" i="7"/>
  <c r="AB13" i="7"/>
  <c r="AA13" i="7"/>
  <c r="Z13" i="7"/>
  <c r="Y13" i="7"/>
  <c r="Y19" i="7" s="1"/>
  <c r="X13" i="7"/>
  <c r="V13" i="7"/>
  <c r="U13" i="7"/>
  <c r="T13" i="7"/>
  <c r="S13" i="7"/>
  <c r="Q13" i="7"/>
  <c r="P13" i="7"/>
  <c r="O13" i="7"/>
  <c r="N13" i="7"/>
  <c r="I13" i="7"/>
  <c r="E13" i="7"/>
  <c r="H8" i="7"/>
  <c r="D8" i="7"/>
  <c r="H6" i="7"/>
  <c r="D6" i="7"/>
  <c r="C33" i="6"/>
  <c r="C32" i="6"/>
  <c r="C31" i="6"/>
  <c r="C30" i="6"/>
  <c r="C29" i="6"/>
  <c r="I17" i="6"/>
  <c r="E17" i="6"/>
  <c r="I16" i="6"/>
  <c r="E16" i="6"/>
  <c r="I14" i="6"/>
  <c r="E14" i="6"/>
  <c r="I13" i="6"/>
  <c r="E13" i="6"/>
  <c r="H8" i="6"/>
  <c r="D8" i="6"/>
  <c r="H6" i="6"/>
  <c r="D6" i="6"/>
  <c r="D84" i="5"/>
  <c r="B84" i="5"/>
  <c r="C82" i="5"/>
  <c r="C81" i="5"/>
  <c r="C55" i="5"/>
  <c r="E19" i="5" a="1"/>
  <c r="E19" i="5" s="1"/>
  <c r="E21" i="5" s="1"/>
  <c r="G26" i="2" s="1"/>
  <c r="I18" i="5" a="1"/>
  <c r="I18" i="5"/>
  <c r="E18" i="5" a="1"/>
  <c r="E18" i="5" s="1"/>
  <c r="I17" i="5" a="1"/>
  <c r="I17" i="5"/>
  <c r="E17" i="5" a="1"/>
  <c r="E17" i="5" s="1"/>
  <c r="M16" i="5"/>
  <c r="M20" i="5" s="1" a="1"/>
  <c r="M20" i="5" s="1"/>
  <c r="K16" i="5"/>
  <c r="K20" i="5" s="1" a="1"/>
  <c r="K20" i="5" s="1"/>
  <c r="I16" i="5"/>
  <c r="E16" i="5"/>
  <c r="E20" i="5" s="1" a="1"/>
  <c r="E20" i="5" s="1"/>
  <c r="M15" i="5"/>
  <c r="K15" i="5"/>
  <c r="I15" i="5"/>
  <c r="I20" i="5" s="1" a="1"/>
  <c r="I20" i="5" s="1"/>
  <c r="E15" i="5"/>
  <c r="C13" i="5"/>
  <c r="C12" i="5"/>
  <c r="D36" i="2"/>
  <c r="C36" i="2"/>
  <c r="C29" i="2"/>
  <c r="G22" i="2" a="1"/>
  <c r="G22" i="2"/>
  <c r="C20" i="2" a="1"/>
  <c r="C20" i="2"/>
  <c r="C18" i="2" a="1"/>
  <c r="C18" i="2"/>
  <c r="C17" i="2" a="1"/>
  <c r="C17" i="2" s="1"/>
  <c r="C16" i="2" a="1"/>
  <c r="C16" i="2" s="1"/>
  <c r="C103" i="9" s="1"/>
  <c r="C15" i="2" a="1"/>
  <c r="C15" i="2" s="1"/>
  <c r="C14" i="2"/>
  <c r="G10" i="2"/>
  <c r="C9" i="2"/>
  <c r="G8" i="2"/>
  <c r="C8" i="2"/>
  <c r="C7" i="2"/>
  <c r="C6" i="2"/>
  <c r="C5" i="2"/>
  <c r="C70" i="1"/>
  <c r="C69" i="1"/>
  <c r="B58" i="1"/>
  <c r="E57" i="1"/>
  <c r="D57" i="1"/>
  <c r="C57" i="1"/>
  <c r="F25" i="1" a="1"/>
  <c r="F25" i="1" s="1"/>
  <c r="F24" i="1" a="1"/>
  <c r="F24" i="1" s="1"/>
  <c r="C22" i="1" a="1"/>
  <c r="C22" i="1"/>
  <c r="C21" i="1" a="1"/>
  <c r="C21" i="1" s="1"/>
  <c r="C20" i="1" a="1"/>
  <c r="C20" i="1" s="1"/>
  <c r="G19" i="1" a="1"/>
  <c r="G19" i="1" s="1"/>
  <c r="C19" i="1" a="1"/>
  <c r="C19" i="1" s="1"/>
  <c r="C18" i="1" a="1"/>
  <c r="C18" i="1" s="1"/>
  <c r="C17" i="1" a="1"/>
  <c r="C17" i="1" s="1"/>
  <c r="C16" i="1" a="1"/>
  <c r="C16" i="1" s="1"/>
  <c r="F12" i="1"/>
  <c r="G10" i="1"/>
  <c r="C9" i="1"/>
  <c r="D1" i="10" s="1"/>
  <c r="G8" i="1"/>
  <c r="C8" i="1"/>
  <c r="C7" i="1"/>
  <c r="C6" i="1"/>
  <c r="C5" i="1"/>
  <c r="E20" i="6" l="1" a="1"/>
  <c r="E20" i="6" s="1"/>
  <c r="I19" i="6" a="1"/>
  <c r="I19" i="6" s="1"/>
  <c r="C48" i="14" a="1"/>
  <c r="C48" i="14" s="1"/>
  <c r="C47" i="14" a="1"/>
  <c r="C47" i="14" s="1"/>
  <c r="AC48" i="15" a="1"/>
  <c r="AC48" i="15" s="1"/>
  <c r="C48" i="12" a="1"/>
  <c r="C48" i="12" s="1"/>
  <c r="C47" i="12" a="1"/>
  <c r="C47" i="12" s="1"/>
  <c r="AC49" i="13" a="1"/>
  <c r="AC49" i="13" s="1"/>
  <c r="AC48" i="13" a="1"/>
  <c r="AC48" i="13" s="1"/>
  <c r="B32" i="5"/>
  <c r="C37" i="5" s="1"/>
  <c r="C22" i="2" s="1"/>
  <c r="B36" i="8"/>
  <c r="B35" i="7"/>
  <c r="B36" i="6"/>
  <c r="P8" i="17"/>
  <c r="AQ368" i="11"/>
  <c r="AI368" i="11"/>
  <c r="AA368" i="11"/>
  <c r="K368" i="11"/>
  <c r="C368" i="11"/>
  <c r="C266" i="11"/>
  <c r="AY266" i="11"/>
  <c r="AQ266" i="11"/>
  <c r="AI266" i="11"/>
  <c r="AY368" i="11"/>
  <c r="AA266" i="11"/>
  <c r="K266" i="11"/>
  <c r="S368" i="11"/>
  <c r="S266" i="11"/>
  <c r="AA52" i="11"/>
  <c r="S52" i="11"/>
  <c r="K52" i="11"/>
  <c r="AY52" i="11"/>
  <c r="AQ52" i="11"/>
  <c r="AI52" i="11"/>
  <c r="K321" i="10"/>
  <c r="C52" i="11"/>
  <c r="AY321" i="10"/>
  <c r="AI321" i="10"/>
  <c r="S321" i="10"/>
  <c r="AA321" i="10"/>
  <c r="AA232" i="10"/>
  <c r="AI145" i="10"/>
  <c r="S232" i="10"/>
  <c r="AA145" i="10"/>
  <c r="K232" i="10"/>
  <c r="S145" i="10"/>
  <c r="C232" i="10"/>
  <c r="K145" i="10"/>
  <c r="AQ321" i="10"/>
  <c r="C145" i="10"/>
  <c r="AQ232" i="10"/>
  <c r="AY145" i="10"/>
  <c r="C55" i="10"/>
  <c r="AY232" i="10"/>
  <c r="AY55" i="10"/>
  <c r="K103" i="9"/>
  <c r="AI232" i="10"/>
  <c r="AQ55" i="10"/>
  <c r="D31" i="8"/>
  <c r="D31" i="7"/>
  <c r="D30" i="6"/>
  <c r="C321" i="10"/>
  <c r="AI55" i="10"/>
  <c r="AQ145" i="10"/>
  <c r="AA55" i="10"/>
  <c r="D32" i="8"/>
  <c r="D32" i="7"/>
  <c r="D31" i="6"/>
  <c r="D29" i="8"/>
  <c r="D29" i="6"/>
  <c r="S55" i="10"/>
  <c r="D33" i="7"/>
  <c r="K55" i="10"/>
  <c r="D32" i="6"/>
  <c r="D29" i="7"/>
  <c r="D30" i="8"/>
  <c r="D33" i="6"/>
  <c r="D33" i="8"/>
  <c r="D30" i="7"/>
  <c r="AY432" i="10"/>
  <c r="S397" i="10"/>
  <c r="AI432" i="10"/>
  <c r="C397" i="10"/>
  <c r="AA432" i="10"/>
  <c r="K432" i="10"/>
  <c r="AQ397" i="10"/>
  <c r="AA397" i="10"/>
  <c r="AQ432" i="10"/>
  <c r="S432" i="10"/>
  <c r="C432" i="10"/>
  <c r="AY397" i="10"/>
  <c r="K397" i="10"/>
  <c r="AI397" i="10"/>
  <c r="AQ26" i="10"/>
  <c r="AI26" i="10"/>
  <c r="AA26" i="10"/>
  <c r="S26" i="10"/>
  <c r="K26" i="10"/>
  <c r="C26" i="10"/>
  <c r="AY26" i="10"/>
  <c r="I20" i="6" a="1"/>
  <c r="I20" i="6" s="1"/>
  <c r="D1" i="14"/>
  <c r="C17" i="14" s="1"/>
  <c r="I19" i="5" a="1"/>
  <c r="I19" i="5" s="1"/>
  <c r="I21" i="5" s="1"/>
  <c r="G45" i="1" s="1"/>
  <c r="E18" i="6" a="1"/>
  <c r="E18" i="6" s="1"/>
  <c r="P19" i="7"/>
  <c r="I18" i="6" a="1"/>
  <c r="I18" i="6" s="1"/>
  <c r="E21" i="6" a="1"/>
  <c r="E21" i="6" s="1"/>
  <c r="P18" i="7"/>
  <c r="D2" i="15"/>
  <c r="D2" i="13"/>
  <c r="D2" i="12"/>
  <c r="D2" i="16"/>
  <c r="D2" i="11"/>
  <c r="G2" i="9"/>
  <c r="K26" i="9" s="1"/>
  <c r="K17" i="5" a="1"/>
  <c r="K17" i="5" s="1"/>
  <c r="K18" i="5" a="1"/>
  <c r="K18" i="5" s="1"/>
  <c r="K19" i="5" a="1"/>
  <c r="K19" i="5" s="1"/>
  <c r="K21" i="5" s="1"/>
  <c r="C45" i="1" s="1"/>
  <c r="U19" i="7"/>
  <c r="I21" i="8" a="1"/>
  <c r="I21" i="8" s="1"/>
  <c r="I22" i="8" s="1"/>
  <c r="K53" i="9" a="1"/>
  <c r="K53" i="9" s="1"/>
  <c r="E19" i="6" a="1"/>
  <c r="E19" i="6" s="1"/>
  <c r="I21" i="6" a="1"/>
  <c r="I21" i="6" s="1"/>
  <c r="T19" i="7"/>
  <c r="AC19" i="7"/>
  <c r="D1" i="9"/>
  <c r="C23" i="9" s="1"/>
  <c r="D2" i="10"/>
  <c r="D1" i="16"/>
  <c r="D1" i="13"/>
  <c r="D1" i="15"/>
  <c r="D1" i="12"/>
  <c r="D1" i="11"/>
  <c r="M17" i="5" a="1"/>
  <c r="M17" i="5" s="1"/>
  <c r="M18" i="5" a="1"/>
  <c r="M18" i="5" s="1"/>
  <c r="M19" i="5" a="1"/>
  <c r="M19" i="5" s="1"/>
  <c r="M21" i="5" s="1"/>
  <c r="C26" i="2" s="1"/>
  <c r="E19" i="7" a="1"/>
  <c r="E19" i="7" s="1"/>
  <c r="E21" i="7" a="1"/>
  <c r="E21" i="7" s="1"/>
  <c r="E22" i="7" s="1"/>
  <c r="T18" i="7"/>
  <c r="G1" i="9"/>
  <c r="K23" i="9" s="1"/>
  <c r="I21" i="7" a="1"/>
  <c r="I21" i="7" s="1"/>
  <c r="I22" i="7" s="1"/>
  <c r="V18" i="7"/>
  <c r="I19" i="7" a="1"/>
  <c r="I19" i="7" s="1"/>
  <c r="E22" i="8"/>
  <c r="C52" i="9" a="1"/>
  <c r="C52" i="9" s="1"/>
  <c r="D2" i="14"/>
  <c r="C20" i="14" s="1"/>
  <c r="D2" i="9"/>
  <c r="C26" i="9" s="1"/>
  <c r="N18" i="7"/>
  <c r="X18" i="7"/>
  <c r="N19" i="7"/>
  <c r="Z19" i="7"/>
  <c r="K52" i="9" a="1"/>
  <c r="K52" i="9" s="1"/>
  <c r="AQ207" i="10" a="1"/>
  <c r="AQ207" i="10" s="1"/>
  <c r="AQ208" i="10" a="1"/>
  <c r="AQ208" i="10" s="1"/>
  <c r="K93" i="9" a="1"/>
  <c r="K93" i="9" s="1"/>
  <c r="C120" i="10" a="1"/>
  <c r="C120" i="10" s="1"/>
  <c r="K185" i="10" a="1"/>
  <c r="K185" i="10" s="1"/>
  <c r="E293" i="10"/>
  <c r="C297" i="10" s="1" a="1"/>
  <c r="C297" i="10" s="1"/>
  <c r="AS293" i="10"/>
  <c r="U293" i="10"/>
  <c r="M293" i="10"/>
  <c r="AY297" i="10" a="1"/>
  <c r="AY297" i="10" s="1"/>
  <c r="AK293" i="10"/>
  <c r="K296" i="10" a="1"/>
  <c r="K296" i="10" s="1"/>
  <c r="AC293" i="10"/>
  <c r="AA297" i="10" s="1" a="1"/>
  <c r="AA297" i="10" s="1"/>
  <c r="AY296" i="10" a="1"/>
  <c r="AY296" i="10" s="1"/>
  <c r="BA293" i="10"/>
  <c r="AQ296" i="10" a="1"/>
  <c r="AQ296" i="10" s="1"/>
  <c r="K96" i="10" a="1"/>
  <c r="K96" i="10" s="1"/>
  <c r="AA96" i="10" a="1"/>
  <c r="AA96" i="10" s="1"/>
  <c r="M204" i="10"/>
  <c r="S296" i="10" a="1"/>
  <c r="S296" i="10" s="1"/>
  <c r="AQ96" i="10" a="1"/>
  <c r="AQ96" i="10" s="1"/>
  <c r="AI96" i="10" a="1"/>
  <c r="AI96" i="10" s="1"/>
  <c r="AY119" i="10" a="1"/>
  <c r="AY119" i="10" s="1"/>
  <c r="AS116" i="10"/>
  <c r="U204" i="10"/>
  <c r="S208" i="10" s="1" a="1"/>
  <c r="S208" i="10" s="1"/>
  <c r="AA207" i="10" a="1"/>
  <c r="AA207" i="10" s="1"/>
  <c r="AI208" i="10" a="1"/>
  <c r="AI208" i="10" s="1"/>
  <c r="AA272" i="10" a="1"/>
  <c r="AA272" i="10" s="1"/>
  <c r="AI296" i="10" a="1"/>
  <c r="AI296" i="10" s="1"/>
  <c r="AI297" i="10" a="1"/>
  <c r="AI297" i="10" s="1"/>
  <c r="AC116" i="10"/>
  <c r="E204" i="10"/>
  <c r="C207" i="10" a="1"/>
  <c r="C207" i="10" s="1"/>
  <c r="AI207" i="10" a="1"/>
  <c r="AI207" i="10" s="1"/>
  <c r="AI272" i="10" a="1"/>
  <c r="AI272" i="10" s="1"/>
  <c r="S297" i="10" a="1"/>
  <c r="S297" i="10" s="1"/>
  <c r="BA116" i="10"/>
  <c r="K119" i="10" a="1"/>
  <c r="K119" i="10" s="1"/>
  <c r="AQ119" i="10" a="1"/>
  <c r="AQ119" i="10" s="1"/>
  <c r="S120" i="10" a="1"/>
  <c r="S120" i="10" s="1"/>
  <c r="AC204" i="10"/>
  <c r="M116" i="10"/>
  <c r="BA204" i="10"/>
  <c r="K207" i="10" a="1"/>
  <c r="K207" i="10" s="1"/>
  <c r="AY208" i="10" a="1"/>
  <c r="AY208" i="10" s="1"/>
  <c r="AA366" i="10" a="1"/>
  <c r="AA366" i="10" s="1"/>
  <c r="AK363" i="10"/>
  <c r="S366" i="10" a="1"/>
  <c r="S366" i="10" s="1"/>
  <c r="AC363" i="10"/>
  <c r="AI367" i="10" a="1"/>
  <c r="AI367" i="10" s="1"/>
  <c r="S119" i="10" a="1"/>
  <c r="S119" i="10" s="1"/>
  <c r="AQ185" i="10" a="1"/>
  <c r="AQ185" i="10" s="1"/>
  <c r="AY272" i="10" a="1"/>
  <c r="AY272" i="10" s="1"/>
  <c r="K297" i="10" a="1"/>
  <c r="K297" i="10" s="1"/>
  <c r="AK204" i="10"/>
  <c r="S207" i="10" a="1"/>
  <c r="S207" i="10" s="1"/>
  <c r="AY207" i="10" a="1"/>
  <c r="AY207" i="10" s="1"/>
  <c r="AA208" i="10" a="1"/>
  <c r="AA208" i="10" s="1"/>
  <c r="AI366" i="10" a="1"/>
  <c r="AI366" i="10" s="1"/>
  <c r="M363" i="10"/>
  <c r="K367" i="10" s="1" a="1"/>
  <c r="K367" i="10" s="1"/>
  <c r="AY367" i="10" a="1"/>
  <c r="AY367" i="10" s="1"/>
  <c r="AA296" i="10" a="1"/>
  <c r="AA296" i="10" s="1"/>
  <c r="K366" i="10" a="1"/>
  <c r="K366" i="10" s="1"/>
  <c r="C272" i="10" a="1"/>
  <c r="C272" i="10" s="1"/>
  <c r="C296" i="10" a="1"/>
  <c r="C296" i="10" s="1"/>
  <c r="AQ297" i="10" a="1"/>
  <c r="AQ297" i="10" s="1"/>
  <c r="AY366" i="10" a="1"/>
  <c r="AY366" i="10" s="1"/>
  <c r="AS363" i="10"/>
  <c r="E363" i="10"/>
  <c r="C367" i="10" s="1" a="1"/>
  <c r="C367" i="10" s="1"/>
  <c r="C366" i="10" a="1"/>
  <c r="C366" i="10" s="1"/>
  <c r="AQ366" i="10" a="1"/>
  <c r="AQ366" i="10" s="1"/>
  <c r="S367" i="10" a="1"/>
  <c r="S367" i="10" s="1"/>
  <c r="AA96" i="11" a="1"/>
  <c r="AA96" i="11" s="1"/>
  <c r="AI96" i="11" a="1"/>
  <c r="AI96" i="11" s="1"/>
  <c r="P47" i="12" a="1"/>
  <c r="P47" i="12" s="1"/>
  <c r="AC47" i="12" a="1"/>
  <c r="AC47" i="12" s="1"/>
  <c r="AC48" i="12" a="1"/>
  <c r="AC48" i="12" s="1"/>
  <c r="C48" i="15" a="1"/>
  <c r="C48" i="15" s="1"/>
  <c r="C49" i="13" a="1"/>
  <c r="C49" i="13" s="1"/>
  <c r="P48" i="15" a="1"/>
  <c r="P48" i="15" s="1"/>
  <c r="P87" i="16" a="1"/>
  <c r="P87" i="16" s="1"/>
  <c r="P49" i="13" a="1"/>
  <c r="P49" i="13" s="1"/>
  <c r="C48" i="16" a="1"/>
  <c r="C48" i="16" s="1"/>
  <c r="C47" i="16" a="1"/>
  <c r="C47" i="16" s="1"/>
  <c r="P47" i="16" a="1"/>
  <c r="P47" i="16" s="1"/>
  <c r="P48" i="16" a="1"/>
  <c r="P48" i="16" s="1"/>
  <c r="AC87" i="16" a="1"/>
  <c r="AC87" i="16" s="1"/>
  <c r="AC48" i="16" a="1"/>
  <c r="AC48" i="16" s="1"/>
  <c r="E22" i="6" l="1"/>
  <c r="C32" i="1" s="1"/>
  <c r="C32" i="5"/>
  <c r="D32" i="5" s="1"/>
  <c r="C21" i="2" s="1"/>
  <c r="C72" i="9" s="1"/>
  <c r="C31" i="1"/>
  <c r="D33" i="1"/>
  <c r="D40" i="1"/>
  <c r="D39" i="1"/>
  <c r="D32" i="1"/>
  <c r="D38" i="1"/>
  <c r="D31" i="1"/>
  <c r="E40" i="1"/>
  <c r="E33" i="1"/>
  <c r="AA27" i="10" a="1"/>
  <c r="AA27" i="10" s="1"/>
  <c r="AA28" i="10" a="1"/>
  <c r="AA28" i="10" s="1"/>
  <c r="AQ434" i="10" a="1"/>
  <c r="AQ434" i="10" s="1"/>
  <c r="AQ433" i="10" a="1"/>
  <c r="AQ433" i="10" s="1"/>
  <c r="AY434" i="10" a="1"/>
  <c r="AY434" i="10" s="1"/>
  <c r="AY433" i="10" a="1"/>
  <c r="AY433" i="10" s="1"/>
  <c r="C323" i="10" a="1"/>
  <c r="C323" i="10" s="1"/>
  <c r="C322" i="10" a="1"/>
  <c r="C322" i="10" s="1"/>
  <c r="AY234" i="10" a="1"/>
  <c r="AY234" i="10" s="1"/>
  <c r="AY233" i="10" a="1"/>
  <c r="AY233" i="10" s="1"/>
  <c r="S146" i="10" a="1"/>
  <c r="S146" i="10" s="1"/>
  <c r="S147" i="10" a="1"/>
  <c r="S147" i="10" s="1"/>
  <c r="AI323" i="10" a="1"/>
  <c r="AI323" i="10" s="1"/>
  <c r="AI322" i="10" a="1"/>
  <c r="AI322" i="10" s="1"/>
  <c r="S54" i="11" a="1"/>
  <c r="S54" i="11" s="1"/>
  <c r="S53" i="11" a="1"/>
  <c r="S53" i="11" s="1"/>
  <c r="AQ268" i="11" a="1"/>
  <c r="AQ268" i="11" s="1"/>
  <c r="AQ267" i="11" a="1"/>
  <c r="AQ267" i="11" s="1"/>
  <c r="AC20" i="15"/>
  <c r="C20" i="15"/>
  <c r="P20" i="15"/>
  <c r="AQ146" i="10" a="1"/>
  <c r="AQ146" i="10" s="1"/>
  <c r="AQ147" i="10" a="1"/>
  <c r="AQ147" i="10" s="1"/>
  <c r="AY369" i="11" a="1"/>
  <c r="AY369" i="11" s="1"/>
  <c r="AY370" i="11" a="1"/>
  <c r="AY370" i="11" s="1"/>
  <c r="AQ367" i="10" a="1"/>
  <c r="AQ367" i="10" s="1"/>
  <c r="AQ435" i="10"/>
  <c r="K400" i="10"/>
  <c r="AA435" i="10"/>
  <c r="S435" i="10"/>
  <c r="AY400" i="10"/>
  <c r="C435" i="10"/>
  <c r="AI400" i="10"/>
  <c r="AY435" i="10"/>
  <c r="S400" i="10"/>
  <c r="AQ400" i="10"/>
  <c r="AA400" i="10"/>
  <c r="C400" i="10"/>
  <c r="AI435" i="10"/>
  <c r="K435" i="10"/>
  <c r="AI29" i="10"/>
  <c r="AA29" i="10"/>
  <c r="S29" i="10"/>
  <c r="K29" i="10"/>
  <c r="C29" i="10"/>
  <c r="AY29" i="10"/>
  <c r="AQ29" i="10"/>
  <c r="S28" i="10" a="1"/>
  <c r="S28" i="10" s="1"/>
  <c r="S27" i="10" a="1"/>
  <c r="S27" i="10" s="1"/>
  <c r="S56" i="10" a="1"/>
  <c r="S56" i="10" s="1"/>
  <c r="S57" i="10" a="1"/>
  <c r="S57" i="10" s="1"/>
  <c r="AY56" i="10" a="1"/>
  <c r="AY56" i="10" s="1"/>
  <c r="AY57" i="10" a="1"/>
  <c r="AY57" i="10" s="1"/>
  <c r="S322" i="10" a="1"/>
  <c r="S322" i="10" s="1"/>
  <c r="S323" i="10" a="1"/>
  <c r="S323" i="10" s="1"/>
  <c r="K53" i="11" a="1"/>
  <c r="K53" i="11" s="1"/>
  <c r="K54" i="11" a="1"/>
  <c r="K54" i="11" s="1"/>
  <c r="AI267" i="11" a="1"/>
  <c r="AI267" i="11" s="1"/>
  <c r="AI268" i="11" a="1"/>
  <c r="AI268" i="11" s="1"/>
  <c r="E39" i="1"/>
  <c r="E32" i="1"/>
  <c r="E38" i="1"/>
  <c r="E31" i="1"/>
  <c r="K208" i="10" a="1"/>
  <c r="K208" i="10" s="1"/>
  <c r="K24" i="9" a="1"/>
  <c r="K24" i="9" s="1"/>
  <c r="K25" i="9" a="1"/>
  <c r="K25" i="9" s="1"/>
  <c r="K462" i="11"/>
  <c r="AQ426" i="11"/>
  <c r="C462" i="11"/>
  <c r="AI426" i="11"/>
  <c r="AA426" i="11"/>
  <c r="AY462" i="11"/>
  <c r="S426" i="11"/>
  <c r="AI462" i="11"/>
  <c r="C426" i="11"/>
  <c r="AA462" i="11"/>
  <c r="S462" i="11"/>
  <c r="AY426" i="11"/>
  <c r="AY341" i="11"/>
  <c r="AQ341" i="11"/>
  <c r="AI341" i="11"/>
  <c r="AA341" i="11"/>
  <c r="S341" i="11"/>
  <c r="K341" i="11"/>
  <c r="C341" i="11"/>
  <c r="S240" i="11"/>
  <c r="AY201" i="11"/>
  <c r="S165" i="11"/>
  <c r="AY129" i="11"/>
  <c r="K240" i="11"/>
  <c r="AQ201" i="11"/>
  <c r="K165" i="11"/>
  <c r="AQ129" i="11"/>
  <c r="C240" i="11"/>
  <c r="AI201" i="11"/>
  <c r="C165" i="11"/>
  <c r="AI129" i="11"/>
  <c r="AA201" i="11"/>
  <c r="AA129" i="11"/>
  <c r="AY240" i="11"/>
  <c r="S201" i="11"/>
  <c r="AY165" i="11"/>
  <c r="S129" i="11"/>
  <c r="AQ462" i="11"/>
  <c r="AQ240" i="11"/>
  <c r="K201" i="11"/>
  <c r="AQ165" i="11"/>
  <c r="K129" i="11"/>
  <c r="AA240" i="11"/>
  <c r="AA165" i="11"/>
  <c r="C26" i="11"/>
  <c r="AI165" i="11"/>
  <c r="C129" i="11"/>
  <c r="AY26" i="11"/>
  <c r="AI240" i="11"/>
  <c r="C201" i="11"/>
  <c r="K426" i="11"/>
  <c r="AI26" i="11"/>
  <c r="AA26" i="11"/>
  <c r="S26" i="11"/>
  <c r="K26" i="11"/>
  <c r="AQ26" i="11"/>
  <c r="C25" i="9" a="1"/>
  <c r="C25" i="9" s="1"/>
  <c r="C24" i="9" a="1"/>
  <c r="C24" i="9" s="1"/>
  <c r="K32" i="9" a="1"/>
  <c r="K32" i="9" s="1"/>
  <c r="K30" i="9" a="1"/>
  <c r="K30" i="9" s="1"/>
  <c r="K28" i="9" a="1"/>
  <c r="K28" i="9" s="1"/>
  <c r="K29" i="9" a="1"/>
  <c r="K29" i="9" s="1"/>
  <c r="K31" i="9" a="1"/>
  <c r="K31" i="9" s="1"/>
  <c r="K27" i="9" a="1"/>
  <c r="K27" i="9" s="1"/>
  <c r="AI27" i="10" a="1"/>
  <c r="AI27" i="10" s="1"/>
  <c r="AI28" i="10" a="1"/>
  <c r="AI28" i="10" s="1"/>
  <c r="AA399" i="10" a="1"/>
  <c r="AA399" i="10" s="1"/>
  <c r="AA398" i="10" a="1"/>
  <c r="AA398" i="10" s="1"/>
  <c r="C56" i="10" a="1"/>
  <c r="C56" i="10" s="1"/>
  <c r="C57" i="10" a="1"/>
  <c r="C57" i="10" s="1"/>
  <c r="K233" i="10" a="1"/>
  <c r="K233" i="10" s="1"/>
  <c r="K234" i="10" a="1"/>
  <c r="K234" i="10" s="1"/>
  <c r="AY322" i="10" a="1"/>
  <c r="AY322" i="10" s="1"/>
  <c r="AY323" i="10" a="1"/>
  <c r="AY323" i="10" s="1"/>
  <c r="AA53" i="11" a="1"/>
  <c r="AA53" i="11" s="1"/>
  <c r="AA54" i="11" a="1"/>
  <c r="AA54" i="11" s="1"/>
  <c r="AY267" i="11" a="1"/>
  <c r="AY267" i="11" s="1"/>
  <c r="AY268" i="11" a="1"/>
  <c r="AY268" i="11" s="1"/>
  <c r="K120" i="10" a="1"/>
  <c r="K120" i="10" s="1"/>
  <c r="I22" i="6"/>
  <c r="K27" i="10" a="1"/>
  <c r="K27" i="10" s="1"/>
  <c r="K28" i="10" a="1"/>
  <c r="K28" i="10" s="1"/>
  <c r="AI370" i="11" a="1"/>
  <c r="AI370" i="11" s="1"/>
  <c r="AI369" i="11" a="1"/>
  <c r="AI369" i="11" s="1"/>
  <c r="AQ120" i="10" a="1"/>
  <c r="AQ120" i="10" s="1"/>
  <c r="S433" i="10" a="1"/>
  <c r="S433" i="10" s="1"/>
  <c r="S434" i="10" a="1"/>
  <c r="S434" i="10" s="1"/>
  <c r="S399" i="10" a="1"/>
  <c r="S399" i="10" s="1"/>
  <c r="S398" i="10" a="1"/>
  <c r="S398" i="10" s="1"/>
  <c r="AI56" i="10" a="1"/>
  <c r="AI56" i="10" s="1"/>
  <c r="AI57" i="10" a="1"/>
  <c r="AI57" i="10" s="1"/>
  <c r="C233" i="10" a="1"/>
  <c r="C233" i="10" s="1"/>
  <c r="C234" i="10" a="1"/>
  <c r="C234" i="10" s="1"/>
  <c r="AQ370" i="11" a="1"/>
  <c r="AQ370" i="11" s="1"/>
  <c r="AQ369" i="11" a="1"/>
  <c r="AQ369" i="11" s="1"/>
  <c r="AC17" i="12"/>
  <c r="P17" i="12"/>
  <c r="C17" i="12"/>
  <c r="C465" i="11"/>
  <c r="AI429" i="11"/>
  <c r="AA429" i="11"/>
  <c r="AY465" i="11"/>
  <c r="S429" i="11"/>
  <c r="AQ465" i="11"/>
  <c r="K429" i="11"/>
  <c r="AI465" i="11"/>
  <c r="AA465" i="11"/>
  <c r="S465" i="11"/>
  <c r="AY429" i="11"/>
  <c r="K465" i="11"/>
  <c r="AQ429" i="11"/>
  <c r="AQ344" i="11"/>
  <c r="AI344" i="11"/>
  <c r="AA344" i="11"/>
  <c r="S344" i="11"/>
  <c r="C429" i="11"/>
  <c r="K344" i="11"/>
  <c r="C344" i="11"/>
  <c r="AY344" i="11"/>
  <c r="K243" i="11"/>
  <c r="AQ204" i="11"/>
  <c r="K168" i="11"/>
  <c r="AQ132" i="11"/>
  <c r="C243" i="11"/>
  <c r="AI204" i="11"/>
  <c r="C168" i="11"/>
  <c r="AI132" i="11"/>
  <c r="AA204" i="11"/>
  <c r="AA132" i="11"/>
  <c r="AY243" i="11"/>
  <c r="S204" i="11"/>
  <c r="AY168" i="11"/>
  <c r="S132" i="11"/>
  <c r="AQ243" i="11"/>
  <c r="K204" i="11"/>
  <c r="AQ168" i="11"/>
  <c r="K132" i="11"/>
  <c r="AI243" i="11"/>
  <c r="C204" i="11"/>
  <c r="AI168" i="11"/>
  <c r="C132" i="11"/>
  <c r="S243" i="11"/>
  <c r="AY204" i="11"/>
  <c r="S168" i="11"/>
  <c r="AY132" i="11"/>
  <c r="AA168" i="11"/>
  <c r="AA243" i="11"/>
  <c r="AY29" i="11"/>
  <c r="AQ29" i="11"/>
  <c r="AA29" i="11"/>
  <c r="S29" i="11"/>
  <c r="K29" i="11"/>
  <c r="C29" i="11"/>
  <c r="AI29" i="11"/>
  <c r="AQ28" i="10" a="1"/>
  <c r="AQ28" i="10" s="1"/>
  <c r="AQ27" i="10" a="1"/>
  <c r="AQ27" i="10" s="1"/>
  <c r="AQ398" i="10" a="1"/>
  <c r="AQ398" i="10" s="1"/>
  <c r="AQ399" i="10" a="1"/>
  <c r="AQ399" i="10" s="1"/>
  <c r="AY146" i="10" a="1"/>
  <c r="AY146" i="10" s="1"/>
  <c r="AY147" i="10" a="1"/>
  <c r="AY147" i="10" s="1"/>
  <c r="AA147" i="10" a="1"/>
  <c r="AA147" i="10" s="1"/>
  <c r="AA146" i="10" a="1"/>
  <c r="AA146" i="10" s="1"/>
  <c r="C54" i="11" a="1"/>
  <c r="C54" i="11" s="1"/>
  <c r="C53" i="11" a="1"/>
  <c r="C53" i="11" s="1"/>
  <c r="S267" i="11" a="1"/>
  <c r="S267" i="11" s="1"/>
  <c r="S268" i="11" a="1"/>
  <c r="S268" i="11" s="1"/>
  <c r="C267" i="11" a="1"/>
  <c r="C267" i="11" s="1"/>
  <c r="C268" i="11" a="1"/>
  <c r="C268" i="11" s="1"/>
  <c r="AI433" i="10" a="1"/>
  <c r="AI433" i="10" s="1"/>
  <c r="AI434" i="10" a="1"/>
  <c r="AI434" i="10" s="1"/>
  <c r="AA322" i="10" a="1"/>
  <c r="AA322" i="10" s="1"/>
  <c r="AA323" i="10" a="1"/>
  <c r="AA323" i="10" s="1"/>
  <c r="C31" i="9" a="1"/>
  <c r="C31" i="9" s="1"/>
  <c r="C29" i="9" a="1"/>
  <c r="C29" i="9" s="1"/>
  <c r="C27" i="9" a="1"/>
  <c r="C27" i="9" s="1"/>
  <c r="C30" i="9" a="1"/>
  <c r="C30" i="9" s="1"/>
  <c r="C32" i="9" a="1"/>
  <c r="C32" i="9" s="1"/>
  <c r="C28" i="9" a="1"/>
  <c r="C28" i="9" s="1"/>
  <c r="AC17" i="15"/>
  <c r="P17" i="15"/>
  <c r="C17" i="15"/>
  <c r="P20" i="16"/>
  <c r="AC20" i="16"/>
  <c r="C20" i="16"/>
  <c r="AI399" i="10" a="1"/>
  <c r="AI399" i="10" s="1"/>
  <c r="AI398" i="10" a="1"/>
  <c r="AI398" i="10" s="1"/>
  <c r="K433" i="10" a="1"/>
  <c r="K433" i="10" s="1"/>
  <c r="K434" i="10" a="1"/>
  <c r="K434" i="10" s="1"/>
  <c r="AQ233" i="10" a="1"/>
  <c r="AQ233" i="10" s="1"/>
  <c r="AQ234" i="10" a="1"/>
  <c r="AQ234" i="10" s="1"/>
  <c r="S234" i="10" a="1"/>
  <c r="S234" i="10" s="1"/>
  <c r="S233" i="10" a="1"/>
  <c r="S233" i="10" s="1"/>
  <c r="K322" i="10" a="1"/>
  <c r="K322" i="10" s="1"/>
  <c r="K323" i="10" a="1"/>
  <c r="K323" i="10" s="1"/>
  <c r="S369" i="11" a="1"/>
  <c r="S369" i="11" s="1"/>
  <c r="S370" i="11" a="1"/>
  <c r="S370" i="11" s="1"/>
  <c r="C370" i="11" a="1"/>
  <c r="C370" i="11" s="1"/>
  <c r="C369" i="11" a="1"/>
  <c r="C369" i="11" s="1"/>
  <c r="C41" i="6"/>
  <c r="C25" i="1" s="1"/>
  <c r="C36" i="6"/>
  <c r="D36" i="6" s="1"/>
  <c r="C24" i="1" s="1"/>
  <c r="C434" i="10" a="1"/>
  <c r="C434" i="10" s="1"/>
  <c r="C433" i="10" a="1"/>
  <c r="C433" i="10" s="1"/>
  <c r="AY54" i="11" a="1"/>
  <c r="AY54" i="11" s="1"/>
  <c r="AY53" i="11" a="1"/>
  <c r="AY53" i="11" s="1"/>
  <c r="AY27" i="10" a="1"/>
  <c r="AY27" i="10" s="1"/>
  <c r="AY28" i="10" a="1"/>
  <c r="AY28" i="10" s="1"/>
  <c r="K399" i="10" a="1"/>
  <c r="K399" i="10" s="1"/>
  <c r="K398" i="10" a="1"/>
  <c r="K398" i="10" s="1"/>
  <c r="AA434" i="10" a="1"/>
  <c r="AA434" i="10" s="1"/>
  <c r="AA433" i="10" a="1"/>
  <c r="AA433" i="10" s="1"/>
  <c r="AQ57" i="10" a="1"/>
  <c r="AQ57" i="10" s="1"/>
  <c r="AQ56" i="10" a="1"/>
  <c r="AQ56" i="10" s="1"/>
  <c r="C146" i="10" a="1"/>
  <c r="C146" i="10" s="1"/>
  <c r="C147" i="10" a="1"/>
  <c r="C147" i="10" s="1"/>
  <c r="AI146" i="10" a="1"/>
  <c r="AI146" i="10" s="1"/>
  <c r="AI147" i="10" a="1"/>
  <c r="AI147" i="10" s="1"/>
  <c r="AI54" i="11" a="1"/>
  <c r="AI54" i="11" s="1"/>
  <c r="AI53" i="11" a="1"/>
  <c r="AI53" i="11" s="1"/>
  <c r="K268" i="11" a="1"/>
  <c r="K268" i="11" s="1"/>
  <c r="K267" i="11" a="1"/>
  <c r="K267" i="11" s="1"/>
  <c r="K370" i="11" a="1"/>
  <c r="K370" i="11" s="1"/>
  <c r="K369" i="11" a="1"/>
  <c r="K369" i="11" s="1"/>
  <c r="C40" i="7"/>
  <c r="C35" i="7"/>
  <c r="D35" i="7" s="1"/>
  <c r="K146" i="10" a="1"/>
  <c r="K146" i="10" s="1"/>
  <c r="K147" i="10" a="1"/>
  <c r="K147" i="10" s="1"/>
  <c r="AA367" i="10" a="1"/>
  <c r="AA367" i="10" s="1"/>
  <c r="C208" i="10" a="1"/>
  <c r="C208" i="10" s="1"/>
  <c r="AY120" i="10" a="1"/>
  <c r="AY120" i="10" s="1"/>
  <c r="C26" i="14" a="1"/>
  <c r="C26" i="14" s="1"/>
  <c r="C21" i="14" a="1"/>
  <c r="C21" i="14" s="1"/>
  <c r="C25" i="14" a="1"/>
  <c r="C25" i="14" s="1"/>
  <c r="C24" i="14" a="1"/>
  <c r="C24" i="14" s="1"/>
  <c r="C22" i="14" a="1"/>
  <c r="C22" i="14" s="1"/>
  <c r="C23" i="14" a="1"/>
  <c r="C23" i="14" s="1"/>
  <c r="AC17" i="13"/>
  <c r="C17" i="13"/>
  <c r="P17" i="13"/>
  <c r="AC20" i="12"/>
  <c r="P20" i="12"/>
  <c r="C20" i="12"/>
  <c r="AA120" i="10" a="1"/>
  <c r="AA120" i="10" s="1"/>
  <c r="C17" i="16"/>
  <c r="AC17" i="16"/>
  <c r="P17" i="16"/>
  <c r="AC20" i="13"/>
  <c r="C20" i="13"/>
  <c r="P20" i="13"/>
  <c r="C19" i="14" a="1"/>
  <c r="C19" i="14" s="1"/>
  <c r="C18" i="14" a="1"/>
  <c r="C18" i="14" s="1"/>
  <c r="C28" i="10" a="1"/>
  <c r="C28" i="10" s="1"/>
  <c r="C27" i="10" a="1"/>
  <c r="C27" i="10" s="1"/>
  <c r="AY398" i="10" a="1"/>
  <c r="AY398" i="10" s="1"/>
  <c r="AY399" i="10" a="1"/>
  <c r="AY399" i="10" s="1"/>
  <c r="C398" i="10" a="1"/>
  <c r="C398" i="10" s="1"/>
  <c r="C399" i="10" a="1"/>
  <c r="C399" i="10" s="1"/>
  <c r="K57" i="10" a="1"/>
  <c r="K57" i="10" s="1"/>
  <c r="K56" i="10" a="1"/>
  <c r="K56" i="10" s="1"/>
  <c r="AA56" i="10" a="1"/>
  <c r="AA56" i="10" s="1"/>
  <c r="AA57" i="10" a="1"/>
  <c r="AA57" i="10" s="1"/>
  <c r="AI233" i="10" a="1"/>
  <c r="AI233" i="10" s="1"/>
  <c r="AI234" i="10" a="1"/>
  <c r="AI234" i="10" s="1"/>
  <c r="AQ322" i="10" a="1"/>
  <c r="AQ322" i="10" s="1"/>
  <c r="AQ323" i="10" a="1"/>
  <c r="AQ323" i="10" s="1"/>
  <c r="AA233" i="10" a="1"/>
  <c r="AA233" i="10" s="1"/>
  <c r="AA234" i="10" a="1"/>
  <c r="AA234" i="10" s="1"/>
  <c r="AQ53" i="11" a="1"/>
  <c r="AQ53" i="11" s="1"/>
  <c r="AQ54" i="11" a="1"/>
  <c r="AQ54" i="11" s="1"/>
  <c r="AA267" i="11" a="1"/>
  <c r="AA267" i="11" s="1"/>
  <c r="AA268" i="11" a="1"/>
  <c r="AA268" i="11" s="1"/>
  <c r="AA370" i="11" a="1"/>
  <c r="AA370" i="11" s="1"/>
  <c r="AA369" i="11" a="1"/>
  <c r="AA369" i="11" s="1"/>
  <c r="C36" i="8"/>
  <c r="D36" i="8" s="1"/>
  <c r="C41" i="8"/>
  <c r="C38" i="1" l="1"/>
  <c r="C39" i="1"/>
  <c r="F6" i="2"/>
  <c r="K34" i="9"/>
  <c r="C33" i="9"/>
  <c r="C34" i="9"/>
  <c r="C35" i="9" s="1"/>
  <c r="C48" i="9" s="1"/>
  <c r="P18" i="13" a="1"/>
  <c r="P18" i="13" s="1"/>
  <c r="P19" i="13" a="1"/>
  <c r="P19" i="13" s="1"/>
  <c r="AY210" i="11"/>
  <c r="AY205" i="11" a="1"/>
  <c r="AY205" i="11" s="1"/>
  <c r="AY208" i="11"/>
  <c r="AY206" i="11"/>
  <c r="AY209" i="11"/>
  <c r="AY207" i="11"/>
  <c r="AY350" i="11"/>
  <c r="AY345" i="11" a="1"/>
  <c r="AY345" i="11" s="1"/>
  <c r="AY348" i="11"/>
  <c r="AY346" i="11"/>
  <c r="AY349" i="11"/>
  <c r="AY347" i="11"/>
  <c r="AQ435" i="11" a="1"/>
  <c r="AQ435" i="11" s="1"/>
  <c r="AQ433" i="11" a="1"/>
  <c r="AQ433" i="11" s="1"/>
  <c r="AQ430" i="11" a="1"/>
  <c r="AQ430" i="11" s="1"/>
  <c r="AQ434" i="11" a="1"/>
  <c r="AQ434" i="11" s="1"/>
  <c r="AQ432" i="11" a="1"/>
  <c r="AQ432" i="11" s="1"/>
  <c r="AQ431" i="11" a="1"/>
  <c r="AQ431" i="11" s="1"/>
  <c r="K28" i="11" a="1"/>
  <c r="K28" i="11" s="1"/>
  <c r="K27" i="11" a="1"/>
  <c r="K27" i="11" s="1"/>
  <c r="AY130" i="11" a="1"/>
  <c r="AY130" i="11" s="1"/>
  <c r="AY131" i="11" a="1"/>
  <c r="AY131" i="11" s="1"/>
  <c r="S248" i="11" a="1"/>
  <c r="S248" i="11" s="1"/>
  <c r="S249" i="11" a="1"/>
  <c r="S249" i="11" s="1"/>
  <c r="S246" i="11" a="1"/>
  <c r="S246" i="11" s="1"/>
  <c r="S247" i="11" a="1"/>
  <c r="S247" i="11" s="1"/>
  <c r="S244" i="11" a="1"/>
  <c r="S244" i="11" s="1"/>
  <c r="S245" i="11" a="1"/>
  <c r="S245" i="11" s="1"/>
  <c r="K470" i="11" a="1"/>
  <c r="K470" i="11" s="1"/>
  <c r="K471" i="11" a="1"/>
  <c r="K471" i="11" s="1"/>
  <c r="K467" i="11" a="1"/>
  <c r="K467" i="11" s="1"/>
  <c r="K469" i="11" a="1"/>
  <c r="K469" i="11" s="1"/>
  <c r="K468" i="11" a="1"/>
  <c r="K468" i="11" s="1"/>
  <c r="K466" i="11" a="1"/>
  <c r="K466" i="11" s="1"/>
  <c r="K33" i="9"/>
  <c r="AQ463" i="11" a="1"/>
  <c r="AQ463" i="11" s="1"/>
  <c r="AQ464" i="11" a="1"/>
  <c r="AQ464" i="11" s="1"/>
  <c r="C166" i="11" a="1"/>
  <c r="C166" i="11" s="1"/>
  <c r="C167" i="11" a="1"/>
  <c r="C167" i="11" s="1"/>
  <c r="AY464" i="11" a="1"/>
  <c r="AY464" i="11" s="1"/>
  <c r="AY463" i="11" a="1"/>
  <c r="AY463" i="11" s="1"/>
  <c r="AQ35" i="10" a="1"/>
  <c r="AQ35" i="10" s="1"/>
  <c r="AQ33" i="10" a="1"/>
  <c r="AQ33" i="10" s="1"/>
  <c r="AQ30" i="10" a="1"/>
  <c r="AQ30" i="10" s="1"/>
  <c r="AQ31" i="10" a="1"/>
  <c r="AQ31" i="10" s="1"/>
  <c r="AQ34" i="10" a="1"/>
  <c r="AQ34" i="10" s="1"/>
  <c r="AQ32" i="10" a="1"/>
  <c r="AQ32" i="10" s="1"/>
  <c r="C33" i="1"/>
  <c r="C40" i="1"/>
  <c r="AY30" i="10" a="1"/>
  <c r="AY30" i="10" s="1"/>
  <c r="AY33" i="10"/>
  <c r="AY31" i="10"/>
  <c r="AY34" i="10"/>
  <c r="AY32" i="10"/>
  <c r="AY35" i="10"/>
  <c r="S440" i="10" a="1"/>
  <c r="S440" i="10" s="1"/>
  <c r="S441" i="10" a="1"/>
  <c r="S441" i="10" s="1"/>
  <c r="S437" i="10" a="1"/>
  <c r="S437" i="10" s="1"/>
  <c r="S439" i="10" a="1"/>
  <c r="S439" i="10" s="1"/>
  <c r="S438" i="10" a="1"/>
  <c r="S438" i="10" s="1"/>
  <c r="S436" i="10" a="1"/>
  <c r="S436" i="10" s="1"/>
  <c r="P23" i="13" a="1"/>
  <c r="P23" i="13" s="1"/>
  <c r="P24" i="13" a="1"/>
  <c r="P24" i="13" s="1"/>
  <c r="P22" i="13" a="1"/>
  <c r="P22" i="13" s="1"/>
  <c r="P25" i="13" a="1"/>
  <c r="P25" i="13" s="1"/>
  <c r="P21" i="13" a="1"/>
  <c r="P21" i="13" s="1"/>
  <c r="P26" i="13" a="1"/>
  <c r="P26" i="13" s="1"/>
  <c r="AA166" i="11" a="1"/>
  <c r="AA166" i="11" s="1"/>
  <c r="AA167" i="11" a="1"/>
  <c r="AA167" i="11" s="1"/>
  <c r="S241" i="11" a="1"/>
  <c r="S241" i="11" s="1"/>
  <c r="S242" i="11" a="1"/>
  <c r="S242" i="11" s="1"/>
  <c r="AY427" i="11" a="1"/>
  <c r="AY427" i="11" s="1"/>
  <c r="AY428" i="11" a="1"/>
  <c r="AY428" i="11" s="1"/>
  <c r="P23" i="15" a="1"/>
  <c r="P23" i="15" s="1"/>
  <c r="P24" i="15" a="1"/>
  <c r="P24" i="15" s="1"/>
  <c r="P22" i="15" a="1"/>
  <c r="P22" i="15" s="1"/>
  <c r="P25" i="15" a="1"/>
  <c r="P25" i="15" s="1"/>
  <c r="P21" i="15" a="1"/>
  <c r="P21" i="15" s="1"/>
  <c r="P26" i="15" a="1"/>
  <c r="P26" i="15" s="1"/>
  <c r="C26" i="13" a="1"/>
  <c r="C26" i="13" s="1"/>
  <c r="C22" i="13" a="1"/>
  <c r="C22" i="13" s="1"/>
  <c r="C23" i="13" a="1"/>
  <c r="C23" i="13" s="1"/>
  <c r="C24" i="13" a="1"/>
  <c r="C24" i="13" s="1"/>
  <c r="C25" i="13" a="1"/>
  <c r="C25" i="13" s="1"/>
  <c r="C21" i="13" a="1"/>
  <c r="C21" i="13" s="1"/>
  <c r="AA248" i="11" a="1"/>
  <c r="AA248" i="11" s="1"/>
  <c r="AA249" i="11" a="1"/>
  <c r="AA249" i="11" s="1"/>
  <c r="AA246" i="11" a="1"/>
  <c r="AA246" i="11" s="1"/>
  <c r="AA247" i="11" a="1"/>
  <c r="AA247" i="11" s="1"/>
  <c r="AA244" i="11" a="1"/>
  <c r="AA244" i="11" s="1"/>
  <c r="AA245" i="11" a="1"/>
  <c r="AA245" i="11" s="1"/>
  <c r="C209" i="11" a="1"/>
  <c r="C209" i="11" s="1"/>
  <c r="C207" i="11" a="1"/>
  <c r="C207" i="11" s="1"/>
  <c r="C210" i="11" a="1"/>
  <c r="C210" i="11" s="1"/>
  <c r="C208" i="11" a="1"/>
  <c r="C208" i="11" s="1"/>
  <c r="C205" i="11" a="1"/>
  <c r="C205" i="11" s="1"/>
  <c r="C206" i="11" a="1"/>
  <c r="C206" i="11" s="1"/>
  <c r="S208" i="11" a="1"/>
  <c r="S208" i="11" s="1"/>
  <c r="S205" i="11" a="1"/>
  <c r="S205" i="11" s="1"/>
  <c r="S206" i="11" a="1"/>
  <c r="S206" i="11" s="1"/>
  <c r="S209" i="11" a="1"/>
  <c r="S209" i="11" s="1"/>
  <c r="S210" i="11" a="1"/>
  <c r="S210" i="11" s="1"/>
  <c r="S207" i="11" a="1"/>
  <c r="S207" i="11" s="1"/>
  <c r="AQ135" i="11" a="1"/>
  <c r="AQ135" i="11" s="1"/>
  <c r="AQ138" i="11" a="1"/>
  <c r="AQ138" i="11" s="1"/>
  <c r="AQ136" i="11" a="1"/>
  <c r="AQ136" i="11" s="1"/>
  <c r="AQ133" i="11" a="1"/>
  <c r="AQ133" i="11" s="1"/>
  <c r="AQ134" i="11" a="1"/>
  <c r="AQ134" i="11" s="1"/>
  <c r="AQ137" i="11" a="1"/>
  <c r="AQ137" i="11" s="1"/>
  <c r="S348" i="11" a="1"/>
  <c r="S348" i="11" s="1"/>
  <c r="S345" i="11" a="1"/>
  <c r="S345" i="11" s="1"/>
  <c r="S346" i="11" a="1"/>
  <c r="S346" i="11" s="1"/>
  <c r="S349" i="11" a="1"/>
  <c r="S349" i="11" s="1"/>
  <c r="S350" i="11" a="1"/>
  <c r="S350" i="11" s="1"/>
  <c r="S347" i="11" a="1"/>
  <c r="S347" i="11" s="1"/>
  <c r="AA469" i="11" a="1"/>
  <c r="AA469" i="11" s="1"/>
  <c r="AA468" i="11" a="1"/>
  <c r="AA468" i="11" s="1"/>
  <c r="AA466" i="11" a="1"/>
  <c r="AA466" i="11" s="1"/>
  <c r="AA470" i="11" a="1"/>
  <c r="AA470" i="11" s="1"/>
  <c r="AA467" i="11" a="1"/>
  <c r="AA467" i="11" s="1"/>
  <c r="AA471" i="11" a="1"/>
  <c r="AA471" i="11" s="1"/>
  <c r="C470" i="11" a="1"/>
  <c r="C470" i="11" s="1"/>
  <c r="C471" i="11" a="1"/>
  <c r="C471" i="11" s="1"/>
  <c r="C466" i="11" a="1"/>
  <c r="C466" i="11" s="1"/>
  <c r="C467" i="11" a="1"/>
  <c r="C467" i="11" s="1"/>
  <c r="C469" i="11" a="1"/>
  <c r="C469" i="11" s="1"/>
  <c r="C468" i="11" a="1"/>
  <c r="C468" i="11" s="1"/>
  <c r="K427" i="11" a="1"/>
  <c r="K427" i="11" s="1"/>
  <c r="K428" i="11" a="1"/>
  <c r="K428" i="11" s="1"/>
  <c r="AA241" i="11" a="1"/>
  <c r="AA241" i="11" s="1"/>
  <c r="AA242" i="11" a="1"/>
  <c r="AA242" i="11" s="1"/>
  <c r="S202" i="11" a="1"/>
  <c r="S202" i="11" s="1"/>
  <c r="S203" i="11" a="1"/>
  <c r="S203" i="11" s="1"/>
  <c r="AQ131" i="11" a="1"/>
  <c r="AQ131" i="11" s="1"/>
  <c r="AQ130" i="11" a="1"/>
  <c r="AQ130" i="11" s="1"/>
  <c r="C343" i="11" a="1"/>
  <c r="C343" i="11" s="1"/>
  <c r="C342" i="11" a="1"/>
  <c r="C342" i="11" s="1"/>
  <c r="S463" i="11" a="1"/>
  <c r="S463" i="11" s="1"/>
  <c r="S464" i="11" a="1"/>
  <c r="S464" i="11" s="1"/>
  <c r="C463" i="11" a="1"/>
  <c r="C463" i="11" s="1"/>
  <c r="C464" i="11" a="1"/>
  <c r="C464" i="11" s="1"/>
  <c r="K35" i="10" a="1"/>
  <c r="K35" i="10" s="1"/>
  <c r="K33" i="10" a="1"/>
  <c r="K33" i="10" s="1"/>
  <c r="K30" i="10" a="1"/>
  <c r="K30" i="10" s="1"/>
  <c r="K31" i="10" a="1"/>
  <c r="K31" i="10" s="1"/>
  <c r="K34" i="10" a="1"/>
  <c r="K34" i="10" s="1"/>
  <c r="K32" i="10" a="1"/>
  <c r="K32" i="10" s="1"/>
  <c r="AQ405" i="10" a="1"/>
  <c r="AQ405" i="10" s="1"/>
  <c r="AQ406" i="10" a="1"/>
  <c r="AQ406" i="10" s="1"/>
  <c r="AQ404" i="10" a="1"/>
  <c r="AQ404" i="10" s="1"/>
  <c r="AQ401" i="10" a="1"/>
  <c r="AQ401" i="10" s="1"/>
  <c r="AQ403" i="10" a="1"/>
  <c r="AQ403" i="10" s="1"/>
  <c r="AQ402" i="10" a="1"/>
  <c r="AQ402" i="10" s="1"/>
  <c r="K405" i="10" a="1"/>
  <c r="K405" i="10" s="1"/>
  <c r="K406" i="10" a="1"/>
  <c r="K406" i="10" s="1"/>
  <c r="K404" i="10" a="1"/>
  <c r="K404" i="10" s="1"/>
  <c r="K401" i="10" a="1"/>
  <c r="K401" i="10" s="1"/>
  <c r="K402" i="10" a="1"/>
  <c r="K402" i="10" s="1"/>
  <c r="K403" i="10" a="1"/>
  <c r="K403" i="10" s="1"/>
  <c r="C26" i="15" a="1"/>
  <c r="C26" i="15" s="1"/>
  <c r="C22" i="15" a="1"/>
  <c r="C22" i="15" s="1"/>
  <c r="C23" i="15" a="1"/>
  <c r="C23" i="15" s="1"/>
  <c r="C24" i="15" a="1"/>
  <c r="C24" i="15" s="1"/>
  <c r="C25" i="15" a="1"/>
  <c r="C25" i="15" s="1"/>
  <c r="C21" i="15" a="1"/>
  <c r="C21" i="15" s="1"/>
  <c r="C18" i="16" a="1"/>
  <c r="C18" i="16" s="1"/>
  <c r="C19" i="16" a="1"/>
  <c r="C19" i="16" s="1"/>
  <c r="AQ241" i="11" a="1"/>
  <c r="AQ241" i="11" s="1"/>
  <c r="AQ242" i="11" a="1"/>
  <c r="AQ242" i="11" s="1"/>
  <c r="C440" i="10" a="1"/>
  <c r="C440" i="10" s="1"/>
  <c r="C438" i="10" a="1"/>
  <c r="C438" i="10" s="1"/>
  <c r="C439" i="10" a="1"/>
  <c r="C439" i="10" s="1"/>
  <c r="C441" i="10" a="1"/>
  <c r="C441" i="10" s="1"/>
  <c r="C436" i="10" a="1"/>
  <c r="C436" i="10" s="1"/>
  <c r="C437" i="10" a="1"/>
  <c r="C437" i="10" s="1"/>
  <c r="P18" i="15" a="1"/>
  <c r="P18" i="15" s="1"/>
  <c r="P19" i="15" a="1"/>
  <c r="P19" i="15" s="1"/>
  <c r="AY402" i="10"/>
  <c r="AY403" i="10"/>
  <c r="AY401" i="10" a="1"/>
  <c r="AY401" i="10" s="1"/>
  <c r="AY406" i="10"/>
  <c r="AY405" i="10"/>
  <c r="AY404" i="10"/>
  <c r="AC19" i="13" a="1"/>
  <c r="AC19" i="13" s="1"/>
  <c r="AC18" i="13" a="1"/>
  <c r="AC18" i="13" s="1"/>
  <c r="AQ34" i="11" a="1"/>
  <c r="AQ34" i="11" s="1"/>
  <c r="AQ32" i="11" a="1"/>
  <c r="AQ32" i="11" s="1"/>
  <c r="AQ33" i="11" a="1"/>
  <c r="AQ33" i="11" s="1"/>
  <c r="AQ30" i="11" a="1"/>
  <c r="AQ30" i="11" s="1"/>
  <c r="AQ31" i="11" a="1"/>
  <c r="AQ31" i="11" s="1"/>
  <c r="AQ35" i="11" a="1"/>
  <c r="AQ35" i="11" s="1"/>
  <c r="K347" i="11" a="1"/>
  <c r="K347" i="11" s="1"/>
  <c r="K350" i="11" a="1"/>
  <c r="K350" i="11" s="1"/>
  <c r="K348" i="11" a="1"/>
  <c r="K348" i="11" s="1"/>
  <c r="K345" i="11" a="1"/>
  <c r="K345" i="11" s="1"/>
  <c r="K346" i="11" a="1"/>
  <c r="K346" i="11" s="1"/>
  <c r="K349" i="11" a="1"/>
  <c r="K349" i="11" s="1"/>
  <c r="C27" i="11" a="1"/>
  <c r="C27" i="11" s="1"/>
  <c r="C28" i="11" a="1"/>
  <c r="C28" i="11" s="1"/>
  <c r="AI202" i="11" a="1"/>
  <c r="AI202" i="11" s="1"/>
  <c r="AI203" i="11" a="1"/>
  <c r="AI203" i="11" s="1"/>
  <c r="AA428" i="11" a="1"/>
  <c r="AA428" i="11" s="1"/>
  <c r="AA427" i="11" a="1"/>
  <c r="AA427" i="11" s="1"/>
  <c r="AY32" i="11"/>
  <c r="AY35" i="11"/>
  <c r="AY33" i="11"/>
  <c r="AY31" i="11"/>
  <c r="AY34" i="11"/>
  <c r="AY30" i="11" a="1"/>
  <c r="AY30" i="11" s="1"/>
  <c r="C247" i="11" a="1"/>
  <c r="C247" i="11" s="1"/>
  <c r="C244" i="11" a="1"/>
  <c r="C244" i="11" s="1"/>
  <c r="C249" i="11" a="1"/>
  <c r="C249" i="11" s="1"/>
  <c r="C245" i="11" a="1"/>
  <c r="C245" i="11" s="1"/>
  <c r="C248" i="11" a="1"/>
  <c r="C248" i="11" s="1"/>
  <c r="C246" i="11" a="1"/>
  <c r="C246" i="11" s="1"/>
  <c r="AI432" i="11" a="1"/>
  <c r="AI432" i="11" s="1"/>
  <c r="AI435" i="11" a="1"/>
  <c r="AI435" i="11" s="1"/>
  <c r="AI431" i="11" a="1"/>
  <c r="AI431" i="11" s="1"/>
  <c r="AI434" i="11" a="1"/>
  <c r="AI434" i="11" s="1"/>
  <c r="AI430" i="11" a="1"/>
  <c r="AI430" i="11" s="1"/>
  <c r="AI433" i="11" a="1"/>
  <c r="AI433" i="11" s="1"/>
  <c r="AI27" i="11" a="1"/>
  <c r="AI27" i="11" s="1"/>
  <c r="AI28" i="11" a="1"/>
  <c r="AI28" i="11" s="1"/>
  <c r="C241" i="11" a="1"/>
  <c r="C241" i="11" s="1"/>
  <c r="C242" i="11" a="1"/>
  <c r="C242" i="11" s="1"/>
  <c r="AI427" i="11" a="1"/>
  <c r="AI427" i="11" s="1"/>
  <c r="AI428" i="11" a="1"/>
  <c r="AI428" i="11" s="1"/>
  <c r="AA440" i="10" a="1"/>
  <c r="AA440" i="10" s="1"/>
  <c r="AA438" i="10" a="1"/>
  <c r="AA438" i="10" s="1"/>
  <c r="AA441" i="10" a="1"/>
  <c r="AA441" i="10" s="1"/>
  <c r="AA439" i="10" a="1"/>
  <c r="AA439" i="10" s="1"/>
  <c r="AA436" i="10" a="1"/>
  <c r="AA436" i="10" s="1"/>
  <c r="AA437" i="10" a="1"/>
  <c r="AA437" i="10" s="1"/>
  <c r="AC24" i="13" a="1"/>
  <c r="AC24" i="13" s="1"/>
  <c r="AC25" i="13" a="1"/>
  <c r="AC25" i="13" s="1"/>
  <c r="AC21" i="13" a="1"/>
  <c r="AC21" i="13" s="1"/>
  <c r="AC23" i="13" a="1"/>
  <c r="AC23" i="13" s="1"/>
  <c r="AC26" i="13" a="1"/>
  <c r="AC26" i="13" s="1"/>
  <c r="AC22" i="13" a="1"/>
  <c r="AC22" i="13" s="1"/>
  <c r="C25" i="12" a="1"/>
  <c r="C25" i="12" s="1"/>
  <c r="C21" i="12" a="1"/>
  <c r="C21" i="12" s="1"/>
  <c r="C26" i="12" a="1"/>
  <c r="C26" i="12" s="1"/>
  <c r="C22" i="12" a="1"/>
  <c r="C22" i="12" s="1"/>
  <c r="C24" i="12" a="1"/>
  <c r="C24" i="12" s="1"/>
  <c r="C23" i="12" a="1"/>
  <c r="C23" i="12" s="1"/>
  <c r="C24" i="16" a="1"/>
  <c r="C24" i="16" s="1"/>
  <c r="C22" i="16" a="1"/>
  <c r="C22" i="16" s="1"/>
  <c r="C26" i="16" a="1"/>
  <c r="C26" i="16" s="1"/>
  <c r="C23" i="16" a="1"/>
  <c r="C23" i="16" s="1"/>
  <c r="C21" i="16" a="1"/>
  <c r="C21" i="16" s="1"/>
  <c r="C25" i="16" a="1"/>
  <c r="C25" i="16" s="1"/>
  <c r="AI31" i="11" a="1"/>
  <c r="AI31" i="11" s="1"/>
  <c r="AI34" i="11" a="1"/>
  <c r="AI34" i="11" s="1"/>
  <c r="AI32" i="11" a="1"/>
  <c r="AI32" i="11" s="1"/>
  <c r="AI35" i="11" a="1"/>
  <c r="AI35" i="11" s="1"/>
  <c r="AI33" i="11" a="1"/>
  <c r="AI33" i="11" s="1"/>
  <c r="AI30" i="11" a="1"/>
  <c r="AI30" i="11" s="1"/>
  <c r="AA171" i="11" a="1"/>
  <c r="AA171" i="11" s="1"/>
  <c r="AA174" i="11" a="1"/>
  <c r="AA174" i="11" s="1"/>
  <c r="AA172" i="11" a="1"/>
  <c r="AA172" i="11" s="1"/>
  <c r="AA169" i="11" a="1"/>
  <c r="AA169" i="11" s="1"/>
  <c r="AA170" i="11" a="1"/>
  <c r="AA170" i="11" s="1"/>
  <c r="AA173" i="11" a="1"/>
  <c r="AA173" i="11" s="1"/>
  <c r="AI249" i="11" a="1"/>
  <c r="AI249" i="11" s="1"/>
  <c r="AI248" i="11" a="1"/>
  <c r="AI248" i="11" s="1"/>
  <c r="AI247" i="11" a="1"/>
  <c r="AI247" i="11" s="1"/>
  <c r="AI244" i="11" a="1"/>
  <c r="AI244" i="11" s="1"/>
  <c r="AI245" i="11" a="1"/>
  <c r="AI245" i="11" s="1"/>
  <c r="AI246" i="11" a="1"/>
  <c r="AI246" i="11" s="1"/>
  <c r="AY249" i="11"/>
  <c r="AY245" i="11"/>
  <c r="AY246" i="11"/>
  <c r="AY248" i="11"/>
  <c r="AY244" i="11" a="1"/>
  <c r="AY244" i="11" s="1"/>
  <c r="AY247" i="11"/>
  <c r="K170" i="11" a="1"/>
  <c r="K170" i="11" s="1"/>
  <c r="K173" i="11" a="1"/>
  <c r="K173" i="11" s="1"/>
  <c r="K171" i="11" a="1"/>
  <c r="K171" i="11" s="1"/>
  <c r="K174" i="11" a="1"/>
  <c r="K174" i="11" s="1"/>
  <c r="K172" i="11" a="1"/>
  <c r="K172" i="11" s="1"/>
  <c r="K169" i="11" a="1"/>
  <c r="K169" i="11" s="1"/>
  <c r="AA346" i="11" a="1"/>
  <c r="AA346" i="11" s="1"/>
  <c r="AA349" i="11" a="1"/>
  <c r="AA349" i="11" s="1"/>
  <c r="AA347" i="11" a="1"/>
  <c r="AA347" i="11" s="1"/>
  <c r="AA350" i="11" a="1"/>
  <c r="AA350" i="11" s="1"/>
  <c r="AA348" i="11" a="1"/>
  <c r="AA348" i="11" s="1"/>
  <c r="AA345" i="11" a="1"/>
  <c r="AA345" i="11" s="1"/>
  <c r="AI470" i="11" a="1"/>
  <c r="AI470" i="11" s="1"/>
  <c r="AI466" i="11" a="1"/>
  <c r="AI466" i="11" s="1"/>
  <c r="AI469" i="11" a="1"/>
  <c r="AI469" i="11" s="1"/>
  <c r="AI467" i="11" a="1"/>
  <c r="AI467" i="11" s="1"/>
  <c r="AI471" i="11" a="1"/>
  <c r="AI471" i="11" s="1"/>
  <c r="AI468" i="11" a="1"/>
  <c r="AI468" i="11" s="1"/>
  <c r="C18" i="12" a="1"/>
  <c r="C18" i="12" s="1"/>
  <c r="C19" i="12" a="1"/>
  <c r="C19" i="12" s="1"/>
  <c r="C203" i="11" a="1"/>
  <c r="C203" i="11" s="1"/>
  <c r="C202" i="11" a="1"/>
  <c r="C202" i="11" s="1"/>
  <c r="K130" i="11" a="1"/>
  <c r="K130" i="11" s="1"/>
  <c r="K131" i="11" a="1"/>
  <c r="K131" i="11" s="1"/>
  <c r="AY241" i="11" a="1"/>
  <c r="AY241" i="11" s="1"/>
  <c r="AY242" i="11" a="1"/>
  <c r="AY242" i="11" s="1"/>
  <c r="K167" i="11" a="1"/>
  <c r="K167" i="11" s="1"/>
  <c r="K166" i="11" a="1"/>
  <c r="K166" i="11" s="1"/>
  <c r="K342" i="11" a="1"/>
  <c r="K342" i="11" s="1"/>
  <c r="K343" i="11" a="1"/>
  <c r="K343" i="11" s="1"/>
  <c r="AA463" i="11" a="1"/>
  <c r="AA463" i="11" s="1"/>
  <c r="AA464" i="11" a="1"/>
  <c r="AA464" i="11" s="1"/>
  <c r="AQ428" i="11" a="1"/>
  <c r="AQ428" i="11" s="1"/>
  <c r="AQ427" i="11" a="1"/>
  <c r="AQ427" i="11" s="1"/>
  <c r="S33" i="10" a="1"/>
  <c r="S33" i="10" s="1"/>
  <c r="S30" i="10" a="1"/>
  <c r="S30" i="10" s="1"/>
  <c r="S31" i="10" a="1"/>
  <c r="S31" i="10" s="1"/>
  <c r="S34" i="10" a="1"/>
  <c r="S34" i="10" s="1"/>
  <c r="S32" i="10" a="1"/>
  <c r="S32" i="10" s="1"/>
  <c r="S35" i="10" a="1"/>
  <c r="S35" i="10" s="1"/>
  <c r="S405" i="10" a="1"/>
  <c r="S405" i="10" s="1"/>
  <c r="S403" i="10" a="1"/>
  <c r="S403" i="10" s="1"/>
  <c r="S406" i="10" a="1"/>
  <c r="S406" i="10" s="1"/>
  <c r="S404" i="10" a="1"/>
  <c r="S404" i="10" s="1"/>
  <c r="S401" i="10" a="1"/>
  <c r="S401" i="10" s="1"/>
  <c r="S402" i="10" a="1"/>
  <c r="S402" i="10" s="1"/>
  <c r="AQ438" i="10" a="1"/>
  <c r="AQ438" i="10" s="1"/>
  <c r="AQ441" i="10" a="1"/>
  <c r="AQ441" i="10" s="1"/>
  <c r="AQ437" i="10" a="1"/>
  <c r="AQ437" i="10" s="1"/>
  <c r="AQ440" i="10" a="1"/>
  <c r="AQ440" i="10" s="1"/>
  <c r="AQ436" i="10" a="1"/>
  <c r="AQ436" i="10" s="1"/>
  <c r="AQ439" i="10" a="1"/>
  <c r="AQ439" i="10" s="1"/>
  <c r="AC24" i="15" a="1"/>
  <c r="AC24" i="15" s="1"/>
  <c r="AC25" i="15" a="1"/>
  <c r="AC25" i="15" s="1"/>
  <c r="AC21" i="15" a="1"/>
  <c r="AC21" i="15" s="1"/>
  <c r="AC23" i="15" a="1"/>
  <c r="AC23" i="15" s="1"/>
  <c r="AC26" i="15" a="1"/>
  <c r="AC26" i="15" s="1"/>
  <c r="AC22" i="15" a="1"/>
  <c r="AC22" i="15" s="1"/>
  <c r="S32" i="11" a="1"/>
  <c r="S32" i="11" s="1"/>
  <c r="S35" i="11" a="1"/>
  <c r="S35" i="11" s="1"/>
  <c r="S31" i="11" a="1"/>
  <c r="S31" i="11" s="1"/>
  <c r="S34" i="11" a="1"/>
  <c r="S34" i="11" s="1"/>
  <c r="S30" i="11" a="1"/>
  <c r="S30" i="11" s="1"/>
  <c r="S33" i="11" a="1"/>
  <c r="S33" i="11" s="1"/>
  <c r="AI137" i="11" a="1"/>
  <c r="AI137" i="11" s="1"/>
  <c r="AI135" i="11" a="1"/>
  <c r="AI135" i="11" s="1"/>
  <c r="AI138" i="11" a="1"/>
  <c r="AI138" i="11" s="1"/>
  <c r="AI136" i="11" a="1"/>
  <c r="AI136" i="11" s="1"/>
  <c r="AI133" i="11" a="1"/>
  <c r="AI133" i="11" s="1"/>
  <c r="AI134" i="11" a="1"/>
  <c r="AI134" i="11" s="1"/>
  <c r="S433" i="11" a="1"/>
  <c r="S433" i="11" s="1"/>
  <c r="S430" i="11" a="1"/>
  <c r="S430" i="11" s="1"/>
  <c r="S431" i="11" a="1"/>
  <c r="S431" i="11" s="1"/>
  <c r="S434" i="11" a="1"/>
  <c r="S434" i="11" s="1"/>
  <c r="S432" i="11" a="1"/>
  <c r="S432" i="11" s="1"/>
  <c r="S435" i="11" a="1"/>
  <c r="S435" i="11" s="1"/>
  <c r="AI130" i="11" a="1"/>
  <c r="AI130" i="11" s="1"/>
  <c r="AI131" i="11" a="1"/>
  <c r="AI131" i="11" s="1"/>
  <c r="S428" i="11" a="1"/>
  <c r="S428" i="11" s="1"/>
  <c r="S427" i="11" a="1"/>
  <c r="S427" i="11" s="1"/>
  <c r="P66" i="16"/>
  <c r="C67" i="13"/>
  <c r="AC66" i="16"/>
  <c r="C66" i="16"/>
  <c r="AD66" i="12"/>
  <c r="P66" i="12"/>
  <c r="AC67" i="13"/>
  <c r="C66" i="12"/>
  <c r="P67" i="13"/>
  <c r="AQ390" i="11"/>
  <c r="AI390" i="11"/>
  <c r="AA390" i="11"/>
  <c r="S390" i="11"/>
  <c r="C390" i="11"/>
  <c r="AY390" i="11"/>
  <c r="AY306" i="11"/>
  <c r="AQ306" i="11"/>
  <c r="AY288" i="11"/>
  <c r="AI306" i="11"/>
  <c r="AQ288" i="11"/>
  <c r="AA306" i="11"/>
  <c r="AI288" i="11"/>
  <c r="K390" i="11"/>
  <c r="S306" i="11"/>
  <c r="AA288" i="11"/>
  <c r="K306" i="11"/>
  <c r="S288" i="11"/>
  <c r="C288" i="11"/>
  <c r="C306" i="11"/>
  <c r="K288" i="11"/>
  <c r="S76" i="11"/>
  <c r="K76" i="11"/>
  <c r="C76" i="11"/>
  <c r="AY76" i="11"/>
  <c r="AQ76" i="11"/>
  <c r="AI76" i="11"/>
  <c r="AA76" i="11"/>
  <c r="C341" i="10"/>
  <c r="AY341" i="10"/>
  <c r="AQ341" i="10"/>
  <c r="AA341" i="10"/>
  <c r="K341" i="10"/>
  <c r="S341" i="10"/>
  <c r="K252" i="10"/>
  <c r="AY252" i="10"/>
  <c r="AI252" i="10"/>
  <c r="AA165" i="10"/>
  <c r="AA252" i="10"/>
  <c r="S165" i="10"/>
  <c r="S252" i="10"/>
  <c r="K165" i="10"/>
  <c r="C252" i="10"/>
  <c r="C165" i="10"/>
  <c r="AI341" i="10"/>
  <c r="AQ165" i="10"/>
  <c r="AQ252" i="10"/>
  <c r="AY76" i="10"/>
  <c r="AY165" i="10"/>
  <c r="AQ76" i="10"/>
  <c r="AI165" i="10"/>
  <c r="AI76" i="10"/>
  <c r="AA76" i="10"/>
  <c r="S76" i="10"/>
  <c r="C76" i="10"/>
  <c r="F6" i="1"/>
  <c r="K76" i="10"/>
  <c r="K72" i="9"/>
  <c r="C172" i="11" a="1"/>
  <c r="C172" i="11" s="1"/>
  <c r="C169" i="11" a="1"/>
  <c r="C169" i="11" s="1"/>
  <c r="C170" i="11" a="1"/>
  <c r="C170" i="11" s="1"/>
  <c r="C173" i="11" a="1"/>
  <c r="C173" i="11" s="1"/>
  <c r="C174" i="11" a="1"/>
  <c r="C174" i="11" s="1"/>
  <c r="C171" i="11" a="1"/>
  <c r="C171" i="11" s="1"/>
  <c r="S27" i="11" a="1"/>
  <c r="S27" i="11" s="1"/>
  <c r="S28" i="11" a="1"/>
  <c r="S28" i="11" s="1"/>
  <c r="AQ343" i="11" a="1"/>
  <c r="AQ343" i="11" s="1"/>
  <c r="AQ342" i="11" a="1"/>
  <c r="AQ342" i="11" s="1"/>
  <c r="S136" i="11" a="1"/>
  <c r="S136" i="11" s="1"/>
  <c r="S133" i="11" a="1"/>
  <c r="S133" i="11" s="1"/>
  <c r="S134" i="11" a="1"/>
  <c r="S134" i="11" s="1"/>
  <c r="S137" i="11" a="1"/>
  <c r="S137" i="11" s="1"/>
  <c r="S138" i="11" a="1"/>
  <c r="S138" i="11" s="1"/>
  <c r="S135" i="11" a="1"/>
  <c r="S135" i="11" s="1"/>
  <c r="AA431" i="11" a="1"/>
  <c r="AA431" i="11" s="1"/>
  <c r="AA434" i="11" a="1"/>
  <c r="AA434" i="11" s="1"/>
  <c r="AA432" i="11" a="1"/>
  <c r="AA432" i="11" s="1"/>
  <c r="AA433" i="11" a="1"/>
  <c r="AA433" i="11" s="1"/>
  <c r="AA430" i="11" a="1"/>
  <c r="AA430" i="11" s="1"/>
  <c r="AA435" i="11" a="1"/>
  <c r="AA435" i="11" s="1"/>
  <c r="S130" i="11" a="1"/>
  <c r="S130" i="11" s="1"/>
  <c r="S131" i="11" a="1"/>
  <c r="S131" i="11" s="1"/>
  <c r="AY342" i="11" a="1"/>
  <c r="AY342" i="11" s="1"/>
  <c r="AY343" i="11" a="1"/>
  <c r="AY343" i="11" s="1"/>
  <c r="C27" i="14"/>
  <c r="AY170" i="11"/>
  <c r="AY173" i="11"/>
  <c r="AY171" i="11"/>
  <c r="AY174" i="11"/>
  <c r="AY169" i="11" a="1"/>
  <c r="AY169" i="11" s="1"/>
  <c r="AY172" i="11"/>
  <c r="S468" i="11" a="1"/>
  <c r="S468" i="11" s="1"/>
  <c r="S471" i="11" a="1"/>
  <c r="S471" i="11" s="1"/>
  <c r="S469" i="11" a="1"/>
  <c r="S469" i="11" s="1"/>
  <c r="S466" i="11" a="1"/>
  <c r="S466" i="11" s="1"/>
  <c r="S470" i="11" a="1"/>
  <c r="S470" i="11" s="1"/>
  <c r="S467" i="11" a="1"/>
  <c r="S467" i="11" s="1"/>
  <c r="AA403" i="10" a="1"/>
  <c r="AA403" i="10" s="1"/>
  <c r="AA404" i="10" a="1"/>
  <c r="AA404" i="10" s="1"/>
  <c r="AA401" i="10" a="1"/>
  <c r="AA401" i="10" s="1"/>
  <c r="AA402" i="10" a="1"/>
  <c r="AA402" i="10" s="1"/>
  <c r="AA405" i="10" a="1"/>
  <c r="AA405" i="10" s="1"/>
  <c r="AA406" i="10" a="1"/>
  <c r="AA406" i="10" s="1"/>
  <c r="P19" i="16" a="1"/>
  <c r="P19" i="16" s="1"/>
  <c r="P18" i="16" a="1"/>
  <c r="P18" i="16" s="1"/>
  <c r="P26" i="12" a="1"/>
  <c r="P26" i="12" s="1"/>
  <c r="P22" i="12" a="1"/>
  <c r="P22" i="12" s="1"/>
  <c r="P23" i="12" a="1"/>
  <c r="P23" i="12" s="1"/>
  <c r="P21" i="12" a="1"/>
  <c r="P21" i="12" s="1"/>
  <c r="P25" i="12" a="1"/>
  <c r="P25" i="12" s="1"/>
  <c r="P24" i="12" a="1"/>
  <c r="P24" i="12" s="1"/>
  <c r="C28" i="14"/>
  <c r="AC21" i="16" a="1"/>
  <c r="AC21" i="16" s="1"/>
  <c r="AC25" i="16" a="1"/>
  <c r="AC25" i="16" s="1"/>
  <c r="AC23" i="16" a="1"/>
  <c r="AC23" i="16" s="1"/>
  <c r="AC22" i="16" a="1"/>
  <c r="AC22" i="16" s="1"/>
  <c r="AC26" i="16" a="1"/>
  <c r="AC26" i="16" s="1"/>
  <c r="AC24" i="16" a="1"/>
  <c r="AC24" i="16" s="1"/>
  <c r="C31" i="11" a="1"/>
  <c r="C31" i="11" s="1"/>
  <c r="C34" i="11" a="1"/>
  <c r="C34" i="11" s="1"/>
  <c r="C32" i="11" a="1"/>
  <c r="C32" i="11" s="1"/>
  <c r="C35" i="11" a="1"/>
  <c r="C35" i="11" s="1"/>
  <c r="C33" i="11" a="1"/>
  <c r="C33" i="11" s="1"/>
  <c r="C30" i="11" a="1"/>
  <c r="C30" i="11" s="1"/>
  <c r="AY138" i="11"/>
  <c r="AY133" i="11" a="1"/>
  <c r="AY133" i="11" s="1"/>
  <c r="AY136" i="11"/>
  <c r="AY134" i="11"/>
  <c r="AY137" i="11"/>
  <c r="AY135" i="11"/>
  <c r="K135" i="11" a="1"/>
  <c r="K135" i="11" s="1"/>
  <c r="K138" i="11" a="1"/>
  <c r="K138" i="11" s="1"/>
  <c r="K136" i="11" a="1"/>
  <c r="K136" i="11" s="1"/>
  <c r="K133" i="11" a="1"/>
  <c r="K133" i="11" s="1"/>
  <c r="K134" i="11" a="1"/>
  <c r="K134" i="11" s="1"/>
  <c r="K137" i="11" a="1"/>
  <c r="K137" i="11" s="1"/>
  <c r="AA134" i="11" a="1"/>
  <c r="AA134" i="11" s="1"/>
  <c r="AA137" i="11" a="1"/>
  <c r="AA137" i="11" s="1"/>
  <c r="AA135" i="11" a="1"/>
  <c r="AA135" i="11" s="1"/>
  <c r="AA138" i="11" a="1"/>
  <c r="AA138" i="11" s="1"/>
  <c r="AA136" i="11" a="1"/>
  <c r="AA136" i="11" s="1"/>
  <c r="AA133" i="11" a="1"/>
  <c r="AA133" i="11" s="1"/>
  <c r="AQ207" i="11" a="1"/>
  <c r="AQ207" i="11" s="1"/>
  <c r="AQ210" i="11" a="1"/>
  <c r="AQ210" i="11" s="1"/>
  <c r="AQ208" i="11" a="1"/>
  <c r="AQ208" i="11" s="1"/>
  <c r="AQ205" i="11" a="1"/>
  <c r="AQ205" i="11" s="1"/>
  <c r="AQ206" i="11" a="1"/>
  <c r="AQ206" i="11" s="1"/>
  <c r="AQ209" i="11" a="1"/>
  <c r="AQ209" i="11" s="1"/>
  <c r="AI349" i="11" a="1"/>
  <c r="AI349" i="11" s="1"/>
  <c r="AI347" i="11" a="1"/>
  <c r="AI347" i="11" s="1"/>
  <c r="AI350" i="11" a="1"/>
  <c r="AI350" i="11" s="1"/>
  <c r="AI348" i="11" a="1"/>
  <c r="AI348" i="11" s="1"/>
  <c r="AI345" i="11" a="1"/>
  <c r="AI345" i="11" s="1"/>
  <c r="AI346" i="11" a="1"/>
  <c r="AI346" i="11" s="1"/>
  <c r="K435" i="11" a="1"/>
  <c r="K435" i="11" s="1"/>
  <c r="K433" i="11" a="1"/>
  <c r="K433" i="11" s="1"/>
  <c r="K430" i="11" a="1"/>
  <c r="K430" i="11" s="1"/>
  <c r="K434" i="11" a="1"/>
  <c r="K434" i="11" s="1"/>
  <c r="K432" i="11" a="1"/>
  <c r="K432" i="11" s="1"/>
  <c r="K431" i="11" a="1"/>
  <c r="K431" i="11" s="1"/>
  <c r="P19" i="12" a="1"/>
  <c r="P19" i="12" s="1"/>
  <c r="P18" i="12" a="1"/>
  <c r="P18" i="12" s="1"/>
  <c r="AI242" i="11" a="1"/>
  <c r="AI242" i="11" s="1"/>
  <c r="AI241" i="11" a="1"/>
  <c r="AI241" i="11" s="1"/>
  <c r="AQ166" i="11" a="1"/>
  <c r="AQ166" i="11" s="1"/>
  <c r="AQ167" i="11" a="1"/>
  <c r="AQ167" i="11" s="1"/>
  <c r="AA131" i="11" a="1"/>
  <c r="AA131" i="11" s="1"/>
  <c r="AA130" i="11" a="1"/>
  <c r="AA130" i="11" s="1"/>
  <c r="AQ203" i="11" a="1"/>
  <c r="AQ203" i="11" s="1"/>
  <c r="AQ202" i="11" a="1"/>
  <c r="AQ202" i="11" s="1"/>
  <c r="S342" i="11" a="1"/>
  <c r="S342" i="11" s="1"/>
  <c r="S343" i="11" a="1"/>
  <c r="S343" i="11" s="1"/>
  <c r="C428" i="11" a="1"/>
  <c r="C428" i="11" s="1"/>
  <c r="C427" i="11" a="1"/>
  <c r="C427" i="11" s="1"/>
  <c r="K464" i="11" a="1"/>
  <c r="K464" i="11" s="1"/>
  <c r="K463" i="11" a="1"/>
  <c r="K463" i="11" s="1"/>
  <c r="AA31" i="10" a="1"/>
  <c r="AA31" i="10" s="1"/>
  <c r="AA34" i="10" a="1"/>
  <c r="AA34" i="10" s="1"/>
  <c r="AA32" i="10" a="1"/>
  <c r="AA32" i="10" s="1"/>
  <c r="AA35" i="10" a="1"/>
  <c r="AA35" i="10" s="1"/>
  <c r="AA30" i="10" a="1"/>
  <c r="AA30" i="10" s="1"/>
  <c r="AA33" i="10" a="1"/>
  <c r="AA33" i="10" s="1"/>
  <c r="AY441" i="10"/>
  <c r="AY439" i="10"/>
  <c r="AY437" i="10"/>
  <c r="AY440" i="10"/>
  <c r="AY438" i="10"/>
  <c r="AY436" i="10" a="1"/>
  <c r="AY436" i="10" s="1"/>
  <c r="C74" i="9" a="1"/>
  <c r="C74" i="9" s="1"/>
  <c r="C73" i="9" a="1"/>
  <c r="C73" i="9" s="1"/>
  <c r="C19" i="15" a="1"/>
  <c r="C19" i="15" s="1"/>
  <c r="C18" i="15" a="1"/>
  <c r="C18" i="15" s="1"/>
  <c r="K207" i="11" a="1"/>
  <c r="K207" i="11" s="1"/>
  <c r="K210" i="11" a="1"/>
  <c r="K210" i="11" s="1"/>
  <c r="K208" i="11" a="1"/>
  <c r="K208" i="11" s="1"/>
  <c r="K205" i="11" a="1"/>
  <c r="K205" i="11" s="1"/>
  <c r="K206" i="11" a="1"/>
  <c r="K206" i="11" s="1"/>
  <c r="K209" i="11" a="1"/>
  <c r="K209" i="11" s="1"/>
  <c r="C131" i="11" a="1"/>
  <c r="C131" i="11" s="1"/>
  <c r="C130" i="11" a="1"/>
  <c r="C130" i="11" s="1"/>
  <c r="AI342" i="11" a="1"/>
  <c r="AI342" i="11" s="1"/>
  <c r="AI343" i="11" a="1"/>
  <c r="AI343" i="11" s="1"/>
  <c r="K438" i="10" a="1"/>
  <c r="K438" i="10" s="1"/>
  <c r="K441" i="10" a="1"/>
  <c r="K441" i="10" s="1"/>
  <c r="K439" i="10" a="1"/>
  <c r="K439" i="10" s="1"/>
  <c r="K440" i="10" a="1"/>
  <c r="K440" i="10" s="1"/>
  <c r="K436" i="10" a="1"/>
  <c r="K436" i="10" s="1"/>
  <c r="K437" i="10" a="1"/>
  <c r="K437" i="10" s="1"/>
  <c r="C19" i="13" a="1"/>
  <c r="C19" i="13" s="1"/>
  <c r="C18" i="13" a="1"/>
  <c r="C18" i="13" s="1"/>
  <c r="AA33" i="11" a="1"/>
  <c r="AA33" i="11" s="1"/>
  <c r="AA30" i="11" a="1"/>
  <c r="AA30" i="11" s="1"/>
  <c r="AA34" i="11" a="1"/>
  <c r="AA34" i="11" s="1"/>
  <c r="AA32" i="11" a="1"/>
  <c r="AA32" i="11" s="1"/>
  <c r="AA35" i="11" a="1"/>
  <c r="AA35" i="11" s="1"/>
  <c r="AA31" i="11" a="1"/>
  <c r="AA31" i="11" s="1"/>
  <c r="AQ249" i="11" a="1"/>
  <c r="AQ249" i="11" s="1"/>
  <c r="AQ248" i="11" a="1"/>
  <c r="AQ248" i="11" s="1"/>
  <c r="AQ245" i="11" a="1"/>
  <c r="AQ245" i="11" s="1"/>
  <c r="AQ246" i="11" a="1"/>
  <c r="AQ246" i="11" s="1"/>
  <c r="AQ247" i="11" a="1"/>
  <c r="AQ247" i="11" s="1"/>
  <c r="AQ244" i="11" a="1"/>
  <c r="AQ244" i="11" s="1"/>
  <c r="C349" i="11" a="1"/>
  <c r="C349" i="11" s="1"/>
  <c r="C347" i="11" a="1"/>
  <c r="C347" i="11" s="1"/>
  <c r="C350" i="11" a="1"/>
  <c r="C350" i="11" s="1"/>
  <c r="C348" i="11" a="1"/>
  <c r="C348" i="11" s="1"/>
  <c r="C345" i="11" a="1"/>
  <c r="C345" i="11" s="1"/>
  <c r="C346" i="11" a="1"/>
  <c r="C346" i="11" s="1"/>
  <c r="AY468" i="11"/>
  <c r="AY471" i="11"/>
  <c r="AY467" i="11"/>
  <c r="AY470" i="11"/>
  <c r="AY466" i="11" a="1"/>
  <c r="AY466" i="11" s="1"/>
  <c r="AY469" i="11"/>
  <c r="AI167" i="11" a="1"/>
  <c r="AI167" i="11" s="1"/>
  <c r="AI166" i="11" a="1"/>
  <c r="AI166" i="11" s="1"/>
  <c r="S166" i="11" a="1"/>
  <c r="S166" i="11" s="1"/>
  <c r="S167" i="11" a="1"/>
  <c r="S167" i="11" s="1"/>
  <c r="AI440" i="10" a="1"/>
  <c r="AI440" i="10" s="1"/>
  <c r="AI438" i="10" a="1"/>
  <c r="AI438" i="10" s="1"/>
  <c r="AI439" i="10" a="1"/>
  <c r="AI439" i="10" s="1"/>
  <c r="AI437" i="10" a="1"/>
  <c r="AI437" i="10" s="1"/>
  <c r="AI436" i="10" a="1"/>
  <c r="AI436" i="10" s="1"/>
  <c r="AI441" i="10" a="1"/>
  <c r="AI441" i="10" s="1"/>
  <c r="AC18" i="15" a="1"/>
  <c r="AC18" i="15" s="1"/>
  <c r="AC19" i="15" a="1"/>
  <c r="AC19" i="15" s="1"/>
  <c r="C137" i="11" a="1"/>
  <c r="C137" i="11" s="1"/>
  <c r="C135" i="11" a="1"/>
  <c r="C135" i="11" s="1"/>
  <c r="C138" i="11" a="1"/>
  <c r="C138" i="11" s="1"/>
  <c r="C136" i="11" a="1"/>
  <c r="C136" i="11" s="1"/>
  <c r="C133" i="11" a="1"/>
  <c r="C133" i="11" s="1"/>
  <c r="C134" i="11" a="1"/>
  <c r="C134" i="11" s="1"/>
  <c r="AI209" i="11" a="1"/>
  <c r="AI209" i="11" s="1"/>
  <c r="AI207" i="11" a="1"/>
  <c r="AI207" i="11" s="1"/>
  <c r="AI210" i="11" a="1"/>
  <c r="AI210" i="11" s="1"/>
  <c r="AI208" i="11" a="1"/>
  <c r="AI208" i="11" s="1"/>
  <c r="AI205" i="11" a="1"/>
  <c r="AI205" i="11" s="1"/>
  <c r="AI206" i="11" a="1"/>
  <c r="AI206" i="11" s="1"/>
  <c r="AY430" i="11" a="1"/>
  <c r="AY430" i="11" s="1"/>
  <c r="AY433" i="11"/>
  <c r="AY431" i="11"/>
  <c r="AY432" i="11"/>
  <c r="AY435" i="11"/>
  <c r="AY434" i="11"/>
  <c r="AA28" i="11" a="1"/>
  <c r="AA28" i="11" s="1"/>
  <c r="AA27" i="11" a="1"/>
  <c r="AA27" i="11" s="1"/>
  <c r="AY202" i="11" a="1"/>
  <c r="AY202" i="11" s="1"/>
  <c r="AY203" i="11" a="1"/>
  <c r="AY203" i="11" s="1"/>
  <c r="C402" i="10" a="1"/>
  <c r="C402" i="10" s="1"/>
  <c r="C406" i="10" a="1"/>
  <c r="C406" i="10" s="1"/>
  <c r="C404" i="10" a="1"/>
  <c r="C404" i="10" s="1"/>
  <c r="C405" i="10" a="1"/>
  <c r="C405" i="10" s="1"/>
  <c r="C403" i="10" a="1"/>
  <c r="C403" i="10" s="1"/>
  <c r="C401" i="10" a="1"/>
  <c r="C401" i="10" s="1"/>
  <c r="AI172" i="11" a="1"/>
  <c r="AI172" i="11" s="1"/>
  <c r="AI169" i="11" a="1"/>
  <c r="AI169" i="11" s="1"/>
  <c r="AI170" i="11" a="1"/>
  <c r="AI170" i="11" s="1"/>
  <c r="AI173" i="11" a="1"/>
  <c r="AI173" i="11" s="1"/>
  <c r="AI174" i="11" a="1"/>
  <c r="AI174" i="11" s="1"/>
  <c r="AI171" i="11" a="1"/>
  <c r="AI171" i="11" s="1"/>
  <c r="C432" i="11" a="1"/>
  <c r="C432" i="11" s="1"/>
  <c r="C435" i="11" a="1"/>
  <c r="C435" i="11" s="1"/>
  <c r="C431" i="11" a="1"/>
  <c r="C431" i="11" s="1"/>
  <c r="C434" i="11" a="1"/>
  <c r="C434" i="11" s="1"/>
  <c r="C430" i="11" a="1"/>
  <c r="C430" i="11" s="1"/>
  <c r="C433" i="11" a="1"/>
  <c r="C433" i="11" s="1"/>
  <c r="AY166" i="11" a="1"/>
  <c r="AY166" i="11" s="1"/>
  <c r="AY167" i="11" a="1"/>
  <c r="AY167" i="11" s="1"/>
  <c r="C32" i="10" a="1"/>
  <c r="C32" i="10" s="1"/>
  <c r="C35" i="10" a="1"/>
  <c r="C35" i="10" s="1"/>
  <c r="C33" i="10" a="1"/>
  <c r="C33" i="10" s="1"/>
  <c r="C30" i="10" a="1"/>
  <c r="C30" i="10" s="1"/>
  <c r="C34" i="10" a="1"/>
  <c r="C34" i="10" s="1"/>
  <c r="C31" i="10" a="1"/>
  <c r="C31" i="10" s="1"/>
  <c r="AC19" i="16" a="1"/>
  <c r="AC19" i="16" s="1"/>
  <c r="AC18" i="16" a="1"/>
  <c r="AC18" i="16" s="1"/>
  <c r="AC23" i="12" a="1"/>
  <c r="AC23" i="12" s="1"/>
  <c r="AC24" i="12" a="1"/>
  <c r="AC24" i="12" s="1"/>
  <c r="AC26" i="12" a="1"/>
  <c r="AC26" i="12" s="1"/>
  <c r="AC25" i="12" a="1"/>
  <c r="AC25" i="12" s="1"/>
  <c r="AC22" i="12" a="1"/>
  <c r="AC22" i="12" s="1"/>
  <c r="AC21" i="12" a="1"/>
  <c r="AC21" i="12" s="1"/>
  <c r="P26" i="16" a="1"/>
  <c r="P26" i="16" s="1"/>
  <c r="P21" i="16" a="1"/>
  <c r="P21" i="16" s="1"/>
  <c r="P25" i="16" a="1"/>
  <c r="P25" i="16" s="1"/>
  <c r="P23" i="16" a="1"/>
  <c r="P23" i="16" s="1"/>
  <c r="P24" i="16" a="1"/>
  <c r="P24" i="16" s="1"/>
  <c r="P22" i="16" a="1"/>
  <c r="P22" i="16" s="1"/>
  <c r="K34" i="11" a="1"/>
  <c r="K34" i="11" s="1"/>
  <c r="K32" i="11" a="1"/>
  <c r="K32" i="11" s="1"/>
  <c r="K33" i="11" a="1"/>
  <c r="K33" i="11" s="1"/>
  <c r="K30" i="11" a="1"/>
  <c r="K30" i="11" s="1"/>
  <c r="K31" i="11" a="1"/>
  <c r="K31" i="11" s="1"/>
  <c r="K35" i="11" a="1"/>
  <c r="K35" i="11" s="1"/>
  <c r="S173" i="11" a="1"/>
  <c r="S173" i="11" s="1"/>
  <c r="S171" i="11" a="1"/>
  <c r="S171" i="11" s="1"/>
  <c r="S174" i="11" a="1"/>
  <c r="S174" i="11" s="1"/>
  <c r="S172" i="11" a="1"/>
  <c r="S172" i="11" s="1"/>
  <c r="S169" i="11" a="1"/>
  <c r="S169" i="11" s="1"/>
  <c r="S170" i="11" a="1"/>
  <c r="S170" i="11" s="1"/>
  <c r="AQ170" i="11" a="1"/>
  <c r="AQ170" i="11" s="1"/>
  <c r="AQ173" i="11" a="1"/>
  <c r="AQ173" i="11" s="1"/>
  <c r="AQ171" i="11" a="1"/>
  <c r="AQ171" i="11" s="1"/>
  <c r="AQ174" i="11" a="1"/>
  <c r="AQ174" i="11" s="1"/>
  <c r="AQ172" i="11" a="1"/>
  <c r="AQ172" i="11" s="1"/>
  <c r="AQ169" i="11" a="1"/>
  <c r="AQ169" i="11" s="1"/>
  <c r="AA206" i="11" a="1"/>
  <c r="AA206" i="11" s="1"/>
  <c r="AA209" i="11" a="1"/>
  <c r="AA209" i="11" s="1"/>
  <c r="AA207" i="11" a="1"/>
  <c r="AA207" i="11" s="1"/>
  <c r="AA210" i="11" a="1"/>
  <c r="AA210" i="11" s="1"/>
  <c r="AA208" i="11" a="1"/>
  <c r="AA208" i="11" s="1"/>
  <c r="AA205" i="11" a="1"/>
  <c r="AA205" i="11" s="1"/>
  <c r="K249" i="11" a="1"/>
  <c r="K249" i="11" s="1"/>
  <c r="K245" i="11" a="1"/>
  <c r="K245" i="11" s="1"/>
  <c r="K248" i="11" a="1"/>
  <c r="K248" i="11" s="1"/>
  <c r="K246" i="11" a="1"/>
  <c r="K246" i="11" s="1"/>
  <c r="K247" i="11" a="1"/>
  <c r="K247" i="11" s="1"/>
  <c r="K244" i="11" a="1"/>
  <c r="K244" i="11" s="1"/>
  <c r="AQ347" i="11" a="1"/>
  <c r="AQ347" i="11" s="1"/>
  <c r="AQ350" i="11" a="1"/>
  <c r="AQ350" i="11" s="1"/>
  <c r="AQ348" i="11" a="1"/>
  <c r="AQ348" i="11" s="1"/>
  <c r="AQ345" i="11" a="1"/>
  <c r="AQ345" i="11" s="1"/>
  <c r="AQ346" i="11" a="1"/>
  <c r="AQ346" i="11" s="1"/>
  <c r="AQ349" i="11" a="1"/>
  <c r="AQ349" i="11" s="1"/>
  <c r="AQ470" i="11" a="1"/>
  <c r="AQ470" i="11" s="1"/>
  <c r="AQ468" i="11" a="1"/>
  <c r="AQ468" i="11" s="1"/>
  <c r="AQ471" i="11" a="1"/>
  <c r="AQ471" i="11" s="1"/>
  <c r="AQ469" i="11" a="1"/>
  <c r="AQ469" i="11" s="1"/>
  <c r="AQ467" i="11" a="1"/>
  <c r="AQ467" i="11" s="1"/>
  <c r="AQ466" i="11" a="1"/>
  <c r="AQ466" i="11" s="1"/>
  <c r="AC18" i="12" a="1"/>
  <c r="AC18" i="12" s="1"/>
  <c r="AC19" i="12" a="1"/>
  <c r="AC19" i="12" s="1"/>
  <c r="AQ27" i="11" a="1"/>
  <c r="AQ27" i="11" s="1"/>
  <c r="AQ28" i="11" a="1"/>
  <c r="AQ28" i="11" s="1"/>
  <c r="AY28" i="11" a="1"/>
  <c r="AY28" i="11" s="1"/>
  <c r="AY27" i="11" a="1"/>
  <c r="AY27" i="11" s="1"/>
  <c r="K202" i="11" a="1"/>
  <c r="K202" i="11" s="1"/>
  <c r="K203" i="11" a="1"/>
  <c r="K203" i="11" s="1"/>
  <c r="AA203" i="11" a="1"/>
  <c r="AA203" i="11" s="1"/>
  <c r="AA202" i="11" a="1"/>
  <c r="AA202" i="11" s="1"/>
  <c r="K242" i="11" a="1"/>
  <c r="K242" i="11" s="1"/>
  <c r="K241" i="11" a="1"/>
  <c r="K241" i="11" s="1"/>
  <c r="AA343" i="11" a="1"/>
  <c r="AA343" i="11" s="1"/>
  <c r="AA342" i="11" a="1"/>
  <c r="AA342" i="11" s="1"/>
  <c r="AI464" i="11" a="1"/>
  <c r="AI464" i="11" s="1"/>
  <c r="AI463" i="11" a="1"/>
  <c r="AI463" i="11" s="1"/>
  <c r="AI32" i="10" a="1"/>
  <c r="AI32" i="10" s="1"/>
  <c r="AI35" i="10" a="1"/>
  <c r="AI35" i="10" s="1"/>
  <c r="AI33" i="10" a="1"/>
  <c r="AI33" i="10" s="1"/>
  <c r="AI30" i="10" a="1"/>
  <c r="AI30" i="10" s="1"/>
  <c r="AI34" i="10" a="1"/>
  <c r="AI34" i="10" s="1"/>
  <c r="AI31" i="10" a="1"/>
  <c r="AI31" i="10" s="1"/>
  <c r="AI402" i="10" a="1"/>
  <c r="AI402" i="10" s="1"/>
  <c r="AI406" i="10" a="1"/>
  <c r="AI406" i="10" s="1"/>
  <c r="AI405" i="10" a="1"/>
  <c r="AI405" i="10" s="1"/>
  <c r="AI403" i="10" a="1"/>
  <c r="AI403" i="10" s="1"/>
  <c r="AI404" i="10" a="1"/>
  <c r="AI404" i="10" s="1"/>
  <c r="AI401" i="10" a="1"/>
  <c r="AI401" i="10" s="1"/>
  <c r="AA442" i="10" l="1"/>
  <c r="AI442" i="10"/>
  <c r="AY407" i="10"/>
  <c r="K36" i="10"/>
  <c r="K437" i="11"/>
  <c r="AQ250" i="11"/>
  <c r="AQ251" i="11"/>
  <c r="AY408" i="10"/>
  <c r="AQ37" i="10"/>
  <c r="S407" i="10"/>
  <c r="C408" i="10"/>
  <c r="AY473" i="11"/>
  <c r="S140" i="11"/>
  <c r="S436" i="11"/>
  <c r="AY36" i="10"/>
  <c r="S437" i="11"/>
  <c r="AQ443" i="10"/>
  <c r="AI408" i="10"/>
  <c r="AY437" i="11"/>
  <c r="K436" i="11"/>
  <c r="AQ211" i="11"/>
  <c r="AY176" i="11"/>
  <c r="AC27" i="15"/>
  <c r="AI437" i="11"/>
  <c r="C442" i="10"/>
  <c r="K35" i="9"/>
  <c r="K48" i="9" s="1"/>
  <c r="K56" i="9" s="1" a="1"/>
  <c r="K56" i="9" s="1"/>
  <c r="P28" i="12"/>
  <c r="C29" i="14"/>
  <c r="C43" i="14" s="1"/>
  <c r="C52" i="14" s="1" a="1"/>
  <c r="C52" i="14" s="1"/>
  <c r="AQ212" i="11"/>
  <c r="AA437" i="11"/>
  <c r="AQ472" i="11"/>
  <c r="AQ176" i="11"/>
  <c r="K442" i="10"/>
  <c r="AQ473" i="11"/>
  <c r="AA211" i="11"/>
  <c r="S36" i="11"/>
  <c r="AI36" i="11"/>
  <c r="C251" i="11"/>
  <c r="AA251" i="11"/>
  <c r="P27" i="13"/>
  <c r="P28" i="16"/>
  <c r="C407" i="10"/>
  <c r="AI139" i="11"/>
  <c r="AI472" i="11"/>
  <c r="AI250" i="11"/>
  <c r="AC27" i="13"/>
  <c r="K352" i="11"/>
  <c r="AA472" i="11"/>
  <c r="C211" i="11"/>
  <c r="P28" i="15"/>
  <c r="AY37" i="10"/>
  <c r="AI391" i="11" a="1"/>
  <c r="AI391" i="11" s="1"/>
  <c r="AI392" i="11" a="1"/>
  <c r="AI392" i="11" s="1"/>
  <c r="P27" i="16"/>
  <c r="AQ140" i="11"/>
  <c r="S212" i="11"/>
  <c r="K473" i="11"/>
  <c r="AY212" i="11"/>
  <c r="AI407" i="10"/>
  <c r="AQ352" i="11"/>
  <c r="K250" i="11"/>
  <c r="AA212" i="11"/>
  <c r="AC27" i="12"/>
  <c r="C36" i="10"/>
  <c r="C436" i="11"/>
  <c r="K211" i="11"/>
  <c r="AI352" i="11"/>
  <c r="AA436" i="11"/>
  <c r="AY77" i="10" a="1"/>
  <c r="AY77" i="10" s="1"/>
  <c r="AY78" i="10" a="1"/>
  <c r="AY78" i="10" s="1"/>
  <c r="S167" i="10" a="1"/>
  <c r="S167" i="10" s="1"/>
  <c r="S166" i="10" a="1"/>
  <c r="S166" i="10" s="1"/>
  <c r="AA342" i="10" a="1"/>
  <c r="AA342" i="10" s="1"/>
  <c r="AA343" i="10" a="1"/>
  <c r="AA343" i="10" s="1"/>
  <c r="C77" i="11" a="1"/>
  <c r="C77" i="11" s="1"/>
  <c r="C78" i="11" a="1"/>
  <c r="C78" i="11" s="1"/>
  <c r="AA289" i="11" a="1"/>
  <c r="AA289" i="11" s="1"/>
  <c r="AA290" i="11" a="1"/>
  <c r="AA290" i="11" s="1"/>
  <c r="AQ307" i="11" a="1"/>
  <c r="AQ307" i="11" s="1"/>
  <c r="AQ308" i="11" a="1"/>
  <c r="AQ308" i="11" s="1"/>
  <c r="P68" i="13" a="1"/>
  <c r="P68" i="13" s="1"/>
  <c r="P69" i="13" a="1"/>
  <c r="P69" i="13" s="1"/>
  <c r="P68" i="16" a="1"/>
  <c r="P68" i="16" s="1"/>
  <c r="P67" i="16" a="1"/>
  <c r="P67" i="16" s="1"/>
  <c r="AI140" i="11"/>
  <c r="S408" i="10"/>
  <c r="AA351" i="11"/>
  <c r="AA443" i="10"/>
  <c r="AY36" i="11"/>
  <c r="C28" i="15"/>
  <c r="AQ408" i="10"/>
  <c r="C212" i="11"/>
  <c r="C28" i="13"/>
  <c r="S442" i="10"/>
  <c r="AY351" i="11"/>
  <c r="AY211" i="11"/>
  <c r="S254" i="10" a="1"/>
  <c r="S254" i="10" s="1"/>
  <c r="S253" i="10" a="1"/>
  <c r="S253" i="10" s="1"/>
  <c r="K307" i="11" a="1"/>
  <c r="K307" i="11" s="1"/>
  <c r="K308" i="11" a="1"/>
  <c r="K308" i="11" s="1"/>
  <c r="C68" i="13" a="1"/>
  <c r="C68" i="13" s="1"/>
  <c r="C69" i="13" a="1"/>
  <c r="C69" i="13" s="1"/>
  <c r="C27" i="12"/>
  <c r="C139" i="11"/>
  <c r="AQ253" i="10" a="1"/>
  <c r="AQ253" i="10" s="1"/>
  <c r="AQ254" i="10" a="1"/>
  <c r="AQ254" i="10" s="1"/>
  <c r="K77" i="11" a="1"/>
  <c r="K77" i="11" s="1"/>
  <c r="K78" i="11" a="1"/>
  <c r="K78" i="11" s="1"/>
  <c r="AA352" i="11"/>
  <c r="AQ36" i="11"/>
  <c r="K36" i="11"/>
  <c r="C140" i="11"/>
  <c r="AI443" i="10"/>
  <c r="C352" i="11"/>
  <c r="AY442" i="10"/>
  <c r="AA36" i="10"/>
  <c r="AA139" i="11"/>
  <c r="K139" i="11"/>
  <c r="AC27" i="16"/>
  <c r="S77" i="10" a="1"/>
  <c r="S77" i="10" s="1"/>
  <c r="S78" i="10" a="1"/>
  <c r="S78" i="10" s="1"/>
  <c r="AQ166" i="10" a="1"/>
  <c r="AQ166" i="10" s="1"/>
  <c r="AQ167" i="10" a="1"/>
  <c r="AQ167" i="10" s="1"/>
  <c r="AA166" i="10" a="1"/>
  <c r="AA166" i="10" s="1"/>
  <c r="AA167" i="10" a="1"/>
  <c r="AA167" i="10" s="1"/>
  <c r="AY342" i="10" a="1"/>
  <c r="AY342" i="10" s="1"/>
  <c r="AY343" i="10" a="1"/>
  <c r="AY343" i="10" s="1"/>
  <c r="S78" i="11" a="1"/>
  <c r="S78" i="11" s="1"/>
  <c r="S77" i="11" a="1"/>
  <c r="S77" i="11" s="1"/>
  <c r="K391" i="11" a="1"/>
  <c r="K391" i="11" s="1"/>
  <c r="K392" i="11" a="1"/>
  <c r="K392" i="11" s="1"/>
  <c r="AY391" i="11" a="1"/>
  <c r="AY391" i="11" s="1"/>
  <c r="AY392" i="11" a="1"/>
  <c r="AY392" i="11" s="1"/>
  <c r="AC68" i="13" a="1"/>
  <c r="AC68" i="13" s="1"/>
  <c r="AC69" i="13" a="1"/>
  <c r="AC69" i="13" s="1"/>
  <c r="AQ442" i="10"/>
  <c r="S36" i="10"/>
  <c r="AA175" i="11"/>
  <c r="AQ37" i="11"/>
  <c r="C443" i="10"/>
  <c r="C27" i="15"/>
  <c r="K408" i="10"/>
  <c r="K37" i="10"/>
  <c r="C473" i="11"/>
  <c r="C27" i="13"/>
  <c r="P27" i="15"/>
  <c r="K166" i="10" a="1"/>
  <c r="K166" i="10" s="1"/>
  <c r="K167" i="10" a="1"/>
  <c r="K167" i="10" s="1"/>
  <c r="C176" i="11"/>
  <c r="K343" i="10" a="1"/>
  <c r="K343" i="10" s="1"/>
  <c r="K342" i="10" a="1"/>
  <c r="K342" i="10" s="1"/>
  <c r="K251" i="11"/>
  <c r="AA253" i="10" a="1"/>
  <c r="AA253" i="10" s="1"/>
  <c r="AA254" i="10" a="1"/>
  <c r="AA254" i="10" s="1"/>
  <c r="S307" i="11" a="1"/>
  <c r="S307" i="11" s="1"/>
  <c r="S308" i="11" a="1"/>
  <c r="S308" i="11" s="1"/>
  <c r="C28" i="16"/>
  <c r="K37" i="11"/>
  <c r="AI176" i="11"/>
  <c r="AY436" i="11"/>
  <c r="AI211" i="11"/>
  <c r="AA36" i="11"/>
  <c r="K443" i="10"/>
  <c r="K212" i="11"/>
  <c r="AY443" i="10"/>
  <c r="AA37" i="10"/>
  <c r="AA140" i="11"/>
  <c r="AY139" i="11"/>
  <c r="AC28" i="16"/>
  <c r="AA407" i="10"/>
  <c r="S139" i="11"/>
  <c r="K73" i="9" a="1"/>
  <c r="K73" i="9" s="1"/>
  <c r="K74" i="9" a="1"/>
  <c r="K74" i="9" s="1"/>
  <c r="AA77" i="10" a="1"/>
  <c r="AA77" i="10" s="1"/>
  <c r="AA78" i="10" a="1"/>
  <c r="AA78" i="10" s="1"/>
  <c r="AI342" i="10" a="1"/>
  <c r="AI342" i="10" s="1"/>
  <c r="AI343" i="10" a="1"/>
  <c r="AI343" i="10" s="1"/>
  <c r="AI254" i="10" a="1"/>
  <c r="AI254" i="10" s="1"/>
  <c r="AI253" i="10" a="1"/>
  <c r="AI253" i="10" s="1"/>
  <c r="C342" i="10" a="1"/>
  <c r="C342" i="10" s="1"/>
  <c r="C343" i="10" a="1"/>
  <c r="C343" i="10" s="1"/>
  <c r="K289" i="11" a="1"/>
  <c r="K289" i="11" s="1"/>
  <c r="K290" i="11" a="1"/>
  <c r="K290" i="11" s="1"/>
  <c r="AI290" i="11" a="1"/>
  <c r="AI290" i="11" s="1"/>
  <c r="AI289" i="11" a="1"/>
  <c r="AI289" i="11" s="1"/>
  <c r="C391" i="11" a="1"/>
  <c r="C391" i="11" s="1"/>
  <c r="C392" i="11" a="1"/>
  <c r="C392" i="11" s="1"/>
  <c r="P68" i="12" a="1"/>
  <c r="P68" i="12" s="1"/>
  <c r="P67" i="12" a="1"/>
  <c r="P67" i="12" s="1"/>
  <c r="S37" i="11"/>
  <c r="AC28" i="15"/>
  <c r="S37" i="10"/>
  <c r="AY251" i="11"/>
  <c r="AI251" i="11"/>
  <c r="C27" i="16"/>
  <c r="S352" i="11"/>
  <c r="P28" i="13"/>
  <c r="K472" i="11"/>
  <c r="S250" i="11"/>
  <c r="AQ436" i="11"/>
  <c r="AQ77" i="11" a="1"/>
  <c r="AQ77" i="11" s="1"/>
  <c r="AQ78" i="11" a="1"/>
  <c r="AQ78" i="11" s="1"/>
  <c r="AI351" i="11"/>
  <c r="AY289" i="11" a="1"/>
  <c r="AY289" i="11" s="1"/>
  <c r="AY290" i="11" a="1"/>
  <c r="AY290" i="11" s="1"/>
  <c r="K176" i="11"/>
  <c r="S472" i="11"/>
  <c r="C78" i="10" a="1"/>
  <c r="C78" i="10" s="1"/>
  <c r="C77" i="10" a="1"/>
  <c r="C77" i="10" s="1"/>
  <c r="S175" i="11"/>
  <c r="C49" i="9" a="1"/>
  <c r="C49" i="9" s="1"/>
  <c r="C50" i="9" a="1"/>
  <c r="C50" i="9" s="1"/>
  <c r="C57" i="9" a="1"/>
  <c r="C57" i="9" s="1"/>
  <c r="C55" i="9" a="1"/>
  <c r="C55" i="9" s="1"/>
  <c r="C56" i="9" a="1"/>
  <c r="C56" i="9" s="1"/>
  <c r="C54" i="9" a="1"/>
  <c r="C54" i="9" s="1"/>
  <c r="C37" i="10"/>
  <c r="AI212" i="11"/>
  <c r="AY472" i="11"/>
  <c r="AA37" i="11"/>
  <c r="AY140" i="11"/>
  <c r="C36" i="11"/>
  <c r="K77" i="10" a="1"/>
  <c r="K77" i="10" s="1"/>
  <c r="K78" i="10" a="1"/>
  <c r="K78" i="10" s="1"/>
  <c r="AI78" i="10" a="1"/>
  <c r="AI78" i="10" s="1"/>
  <c r="AI77" i="10" a="1"/>
  <c r="AI77" i="10" s="1"/>
  <c r="C166" i="10" a="1"/>
  <c r="C166" i="10" s="1"/>
  <c r="C167" i="10" a="1"/>
  <c r="C167" i="10" s="1"/>
  <c r="AY254" i="10" a="1"/>
  <c r="AY254" i="10" s="1"/>
  <c r="AY253" i="10" a="1"/>
  <c r="AY253" i="10" s="1"/>
  <c r="AA77" i="11" a="1"/>
  <c r="AA77" i="11" s="1"/>
  <c r="AA78" i="11" a="1"/>
  <c r="AA78" i="11" s="1"/>
  <c r="C308" i="11" a="1"/>
  <c r="C308" i="11" s="1"/>
  <c r="C307" i="11" a="1"/>
  <c r="C307" i="11" s="1"/>
  <c r="AA307" i="11" a="1"/>
  <c r="AA307" i="11" s="1"/>
  <c r="AA308" i="11" a="1"/>
  <c r="AA308" i="11" s="1"/>
  <c r="S391" i="11" a="1"/>
  <c r="S391" i="11" s="1"/>
  <c r="S392" i="11" a="1"/>
  <c r="S392" i="11" s="1"/>
  <c r="AD68" i="12" a="1"/>
  <c r="AD68" i="12" s="1"/>
  <c r="AD67" i="12" a="1"/>
  <c r="AD67" i="12" s="1"/>
  <c r="AI473" i="11"/>
  <c r="AY250" i="11"/>
  <c r="C28" i="12"/>
  <c r="AI436" i="11"/>
  <c r="AY37" i="11"/>
  <c r="K351" i="11"/>
  <c r="AQ407" i="10"/>
  <c r="AQ139" i="11"/>
  <c r="AA250" i="11"/>
  <c r="S443" i="10"/>
  <c r="AQ437" i="11"/>
  <c r="AQ77" i="10" a="1"/>
  <c r="AQ77" i="10" s="1"/>
  <c r="AQ78" i="10" a="1"/>
  <c r="AQ78" i="10" s="1"/>
  <c r="S343" i="10" a="1"/>
  <c r="S343" i="10" s="1"/>
  <c r="S342" i="10" a="1"/>
  <c r="S342" i="10" s="1"/>
  <c r="S289" i="11" a="1"/>
  <c r="S289" i="11" s="1"/>
  <c r="S290" i="11" a="1"/>
  <c r="S290" i="11" s="1"/>
  <c r="AI308" i="11" a="1"/>
  <c r="AI308" i="11" s="1"/>
  <c r="AI307" i="11" a="1"/>
  <c r="AI307" i="11" s="1"/>
  <c r="AC68" i="16" a="1"/>
  <c r="AC68" i="16" s="1"/>
  <c r="AC67" i="16" a="1"/>
  <c r="AC67" i="16" s="1"/>
  <c r="K175" i="11"/>
  <c r="AA408" i="10"/>
  <c r="AY167" i="10" a="1"/>
  <c r="AY167" i="10" s="1"/>
  <c r="AY166" i="10" a="1"/>
  <c r="AY166" i="10" s="1"/>
  <c r="AY78" i="11" a="1"/>
  <c r="AY78" i="11" s="1"/>
  <c r="AY77" i="11" a="1"/>
  <c r="AY77" i="11" s="1"/>
  <c r="AQ391" i="11" a="1"/>
  <c r="AQ391" i="11" s="1"/>
  <c r="AQ392" i="11" a="1"/>
  <c r="AQ392" i="11" s="1"/>
  <c r="AI37" i="11"/>
  <c r="AI36" i="10"/>
  <c r="AI175" i="11"/>
  <c r="C351" i="11"/>
  <c r="P27" i="12"/>
  <c r="AQ343" i="10" a="1"/>
  <c r="AQ343" i="10" s="1"/>
  <c r="AQ342" i="10" a="1"/>
  <c r="AQ342" i="10" s="1"/>
  <c r="AY307" i="11" a="1"/>
  <c r="AY307" i="11" s="1"/>
  <c r="AY308" i="11" a="1"/>
  <c r="AY308" i="11" s="1"/>
  <c r="C68" i="12" a="1"/>
  <c r="C68" i="12" s="1"/>
  <c r="C67" i="12" a="1"/>
  <c r="C67" i="12" s="1"/>
  <c r="AC28" i="13"/>
  <c r="S351" i="11"/>
  <c r="AY352" i="11"/>
  <c r="AI37" i="10"/>
  <c r="AQ351" i="11"/>
  <c r="AQ175" i="11"/>
  <c r="S176" i="11"/>
  <c r="AC28" i="12"/>
  <c r="C437" i="11"/>
  <c r="K140" i="11"/>
  <c r="C37" i="11"/>
  <c r="S473" i="11"/>
  <c r="AY175" i="11"/>
  <c r="C175" i="11"/>
  <c r="AI166" i="10" a="1"/>
  <c r="AI166" i="10" s="1"/>
  <c r="AI167" i="10" a="1"/>
  <c r="AI167" i="10" s="1"/>
  <c r="C254" i="10" a="1"/>
  <c r="C254" i="10" s="1"/>
  <c r="C253" i="10" a="1"/>
  <c r="C253" i="10" s="1"/>
  <c r="K254" i="10" a="1"/>
  <c r="K254" i="10" s="1"/>
  <c r="K253" i="10" a="1"/>
  <c r="K253" i="10" s="1"/>
  <c r="AI77" i="11" a="1"/>
  <c r="AI77" i="11" s="1"/>
  <c r="AI78" i="11" a="1"/>
  <c r="AI78" i="11" s="1"/>
  <c r="C290" i="11" a="1"/>
  <c r="C290" i="11" s="1"/>
  <c r="C289" i="11" a="1"/>
  <c r="C289" i="11" s="1"/>
  <c r="AQ289" i="11" a="1"/>
  <c r="AQ289" i="11" s="1"/>
  <c r="AQ290" i="11" a="1"/>
  <c r="AQ290" i="11" s="1"/>
  <c r="AA392" i="11" a="1"/>
  <c r="AA392" i="11" s="1"/>
  <c r="AA391" i="11" a="1"/>
  <c r="AA391" i="11" s="1"/>
  <c r="C68" i="16" a="1"/>
  <c r="C68" i="16" s="1"/>
  <c r="C67" i="16" a="1"/>
  <c r="C67" i="16" s="1"/>
  <c r="AA176" i="11"/>
  <c r="C250" i="11"/>
  <c r="K407" i="10"/>
  <c r="C472" i="11"/>
  <c r="AA473" i="11"/>
  <c r="S211" i="11"/>
  <c r="AQ36" i="10"/>
  <c r="S251" i="11"/>
  <c r="AQ38" i="10" l="1"/>
  <c r="AQ52" i="10" s="1"/>
  <c r="AQ444" i="10"/>
  <c r="AD5" i="7" s="1"/>
  <c r="AD14" i="7" s="1"/>
  <c r="AA444" i="10"/>
  <c r="AD7" i="7" s="1"/>
  <c r="K474" i="11"/>
  <c r="V9" i="7" s="1"/>
  <c r="V21" i="7" s="1"/>
  <c r="C444" i="10"/>
  <c r="AD10" i="7" s="1"/>
  <c r="C213" i="11"/>
  <c r="Q10" i="7" s="1"/>
  <c r="K444" i="10"/>
  <c r="AD9" i="7" s="1"/>
  <c r="AD21" i="7" s="1"/>
  <c r="C29" i="16"/>
  <c r="C43" i="16" s="1"/>
  <c r="C45" i="16" s="1" a="1"/>
  <c r="C45" i="16" s="1"/>
  <c r="S141" i="11"/>
  <c r="O8" i="7" s="1"/>
  <c r="O20" i="7" s="1"/>
  <c r="K50" i="9" a="1"/>
  <c r="K50" i="9" s="1"/>
  <c r="S409" i="10"/>
  <c r="AC8" i="7" s="1"/>
  <c r="AC20" i="7" s="1"/>
  <c r="K54" i="9" a="1"/>
  <c r="K54" i="9" s="1"/>
  <c r="K57" i="9" a="1"/>
  <c r="K57" i="9" s="1"/>
  <c r="AI444" i="10"/>
  <c r="AD6" i="7" s="1"/>
  <c r="AI409" i="10"/>
  <c r="AB6" i="7" s="1"/>
  <c r="P29" i="16"/>
  <c r="P43" i="16" s="1"/>
  <c r="P44" i="16" s="1" a="1"/>
  <c r="P44" i="16" s="1"/>
  <c r="C409" i="10"/>
  <c r="AC10" i="7" s="1"/>
  <c r="S213" i="11"/>
  <c r="Q8" i="7" s="1"/>
  <c r="Q20" i="7" s="1"/>
  <c r="P29" i="12"/>
  <c r="P43" i="12" s="1"/>
  <c r="P45" i="12" s="1" a="1"/>
  <c r="P45" i="12" s="1"/>
  <c r="AI353" i="11"/>
  <c r="AI365" i="11" s="1"/>
  <c r="AI367" i="11" s="1" a="1"/>
  <c r="AI367" i="11" s="1"/>
  <c r="AQ353" i="11"/>
  <c r="AQ365" i="11" s="1"/>
  <c r="AQ373" i="11" s="1" a="1"/>
  <c r="AQ373" i="11" s="1"/>
  <c r="AY252" i="11"/>
  <c r="AY263" i="11" s="1"/>
  <c r="AY269" i="11" s="1" a="1"/>
  <c r="AY269" i="11" s="1"/>
  <c r="C252" i="11"/>
  <c r="C263" i="11" s="1"/>
  <c r="C264" i="11" s="1" a="1"/>
  <c r="C264" i="11" s="1"/>
  <c r="AY38" i="10"/>
  <c r="AY318" i="10" s="1"/>
  <c r="AI38" i="11"/>
  <c r="AI49" i="11" s="1"/>
  <c r="AI50" i="11" s="1" a="1"/>
  <c r="AI50" i="11" s="1"/>
  <c r="C29" i="13"/>
  <c r="C44" i="13" s="1"/>
  <c r="C45" i="13" s="1" a="1"/>
  <c r="C45" i="13" s="1"/>
  <c r="AA474" i="11"/>
  <c r="V7" i="7" s="1"/>
  <c r="AY177" i="11"/>
  <c r="P29" i="13"/>
  <c r="P44" i="13" s="1"/>
  <c r="P45" i="13" s="1" a="1"/>
  <c r="P45" i="13" s="1"/>
  <c r="AQ474" i="11"/>
  <c r="V5" i="7" s="1"/>
  <c r="V14" i="7" s="1"/>
  <c r="K438" i="11"/>
  <c r="U9" i="7" s="1"/>
  <c r="U21" i="7" s="1"/>
  <c r="K49" i="9" a="1"/>
  <c r="K49" i="9" s="1"/>
  <c r="S438" i="11"/>
  <c r="U8" i="7" s="1"/>
  <c r="U20" i="7" s="1"/>
  <c r="AY409" i="10"/>
  <c r="AA438" i="11"/>
  <c r="U7" i="7" s="1"/>
  <c r="K55" i="9" a="1"/>
  <c r="K55" i="9" s="1"/>
  <c r="K409" i="10"/>
  <c r="AB9" i="7" s="1"/>
  <c r="AB21" i="7" s="1"/>
  <c r="AQ177" i="11"/>
  <c r="P5" i="7" s="1"/>
  <c r="P14" i="7" s="1"/>
  <c r="K353" i="11"/>
  <c r="K365" i="11" s="1"/>
  <c r="K366" i="11" s="1" a="1"/>
  <c r="K366" i="11" s="1"/>
  <c r="AI474" i="11"/>
  <c r="V6" i="7" s="1"/>
  <c r="AI438" i="11"/>
  <c r="U6" i="7" s="1"/>
  <c r="AI141" i="11"/>
  <c r="O6" i="7" s="1"/>
  <c r="K213" i="11"/>
  <c r="Q9" i="7" s="1"/>
  <c r="Q21" i="7" s="1"/>
  <c r="K38" i="10"/>
  <c r="K229" i="10" s="1"/>
  <c r="S38" i="11"/>
  <c r="S49" i="11" s="1"/>
  <c r="S50" i="11" s="1" a="1"/>
  <c r="S50" i="11" s="1"/>
  <c r="AC29" i="15"/>
  <c r="AC43" i="15" s="1"/>
  <c r="AC49" i="15" s="1" a="1"/>
  <c r="AC49" i="15" s="1"/>
  <c r="AQ252" i="11"/>
  <c r="AQ263" i="11" s="1"/>
  <c r="AQ272" i="11" s="1" a="1"/>
  <c r="AQ272" i="11" s="1"/>
  <c r="AA252" i="11"/>
  <c r="AA263" i="11" s="1"/>
  <c r="AA264" i="11" s="1" a="1"/>
  <c r="AA264" i="11" s="1"/>
  <c r="AA213" i="11"/>
  <c r="Q7" i="7" s="1"/>
  <c r="P29" i="15"/>
  <c r="P43" i="15" s="1"/>
  <c r="P50" i="15" s="1" a="1"/>
  <c r="P50" i="15" s="1"/>
  <c r="AY141" i="11"/>
  <c r="AY438" i="11"/>
  <c r="AY474" i="11"/>
  <c r="AC29" i="13"/>
  <c r="AC44" i="13" s="1"/>
  <c r="AC52" i="13" s="1" a="1"/>
  <c r="AC52" i="13" s="1"/>
  <c r="C51" i="14" a="1"/>
  <c r="C51" i="14" s="1"/>
  <c r="C177" i="11"/>
  <c r="P10" i="7" s="1"/>
  <c r="AQ141" i="11"/>
  <c r="O5" i="7" s="1"/>
  <c r="O14" i="7" s="1"/>
  <c r="C58" i="9"/>
  <c r="K177" i="11"/>
  <c r="P9" i="7" s="1"/>
  <c r="P21" i="7" s="1"/>
  <c r="C49" i="14" a="1"/>
  <c r="C49" i="14" s="1"/>
  <c r="C50" i="14" a="1"/>
  <c r="C50" i="14" s="1"/>
  <c r="C45" i="14" a="1"/>
  <c r="C45" i="14" s="1"/>
  <c r="C44" i="14" a="1"/>
  <c r="C44" i="14" s="1"/>
  <c r="C438" i="11"/>
  <c r="U10" i="7" s="1"/>
  <c r="S474" i="11"/>
  <c r="V8" i="7" s="1"/>
  <c r="V20" i="7" s="1"/>
  <c r="AI252" i="11"/>
  <c r="AI263" i="11" s="1"/>
  <c r="AI265" i="11" s="1" a="1"/>
  <c r="AI265" i="11" s="1"/>
  <c r="AI213" i="11"/>
  <c r="Q6" i="7" s="1"/>
  <c r="AA177" i="11"/>
  <c r="P7" i="7" s="1"/>
  <c r="S38" i="10"/>
  <c r="S318" i="10" s="1"/>
  <c r="AQ213" i="11"/>
  <c r="Q5" i="7" s="1"/>
  <c r="Q14" i="7" s="1"/>
  <c r="C59" i="9"/>
  <c r="AQ38" i="11"/>
  <c r="AQ49" i="11" s="1"/>
  <c r="AQ51" i="11" s="1" a="1"/>
  <c r="AQ51" i="11" s="1"/>
  <c r="C141" i="11"/>
  <c r="O10" i="7" s="1"/>
  <c r="C38" i="10"/>
  <c r="C474" i="11"/>
  <c r="V10" i="7" s="1"/>
  <c r="C353" i="11"/>
  <c r="C365" i="11" s="1"/>
  <c r="K141" i="11"/>
  <c r="O9" i="7" s="1"/>
  <c r="O21" i="7" s="1"/>
  <c r="AC29" i="12"/>
  <c r="AC43" i="12" s="1"/>
  <c r="AC49" i="12" s="1"/>
  <c r="AC29" i="16"/>
  <c r="AC43" i="16" s="1"/>
  <c r="C29" i="12"/>
  <c r="C43" i="12" s="1"/>
  <c r="S353" i="11"/>
  <c r="S365" i="11" s="1"/>
  <c r="AI177" i="11"/>
  <c r="P6" i="7" s="1"/>
  <c r="AQ438" i="11"/>
  <c r="U5" i="7" s="1"/>
  <c r="U14" i="7" s="1"/>
  <c r="C29" i="15"/>
  <c r="C43" i="15" s="1"/>
  <c r="AA141" i="11"/>
  <c r="O7" i="7" s="1"/>
  <c r="AY353" i="11"/>
  <c r="AY365" i="11" s="1"/>
  <c r="AA353" i="11"/>
  <c r="AA365" i="11" s="1"/>
  <c r="C38" i="11"/>
  <c r="C49" i="11" s="1"/>
  <c r="K38" i="11"/>
  <c r="K49" i="11" s="1"/>
  <c r="AY38" i="11"/>
  <c r="AY49" i="11" s="1"/>
  <c r="AI38" i="10"/>
  <c r="AQ409" i="10"/>
  <c r="S252" i="11"/>
  <c r="S263" i="11" s="1"/>
  <c r="AA38" i="10"/>
  <c r="S444" i="10"/>
  <c r="AD8" i="7" s="1"/>
  <c r="AD20" i="7" s="1"/>
  <c r="K252" i="11"/>
  <c r="K263" i="11" s="1"/>
  <c r="S177" i="11"/>
  <c r="P8" i="7" s="1"/>
  <c r="P20" i="7" s="1"/>
  <c r="AA409" i="10"/>
  <c r="AA38" i="11"/>
  <c r="AA49" i="11" s="1"/>
  <c r="AY444" i="10"/>
  <c r="AY213" i="11"/>
  <c r="AQ229" i="10" l="1"/>
  <c r="AQ142" i="10"/>
  <c r="AQ150" i="10" s="1" a="1"/>
  <c r="AQ150" i="10" s="1"/>
  <c r="AQ318" i="10"/>
  <c r="AQ319" i="10" s="1" a="1"/>
  <c r="AQ319" i="10" s="1"/>
  <c r="AD22" i="7"/>
  <c r="V22" i="7"/>
  <c r="AB8" i="7"/>
  <c r="AB20" i="7" s="1"/>
  <c r="AB22" i="7" s="1"/>
  <c r="O22" i="7"/>
  <c r="C52" i="16" a="1"/>
  <c r="C52" i="16" s="1"/>
  <c r="C49" i="16" a="1"/>
  <c r="C49" i="16" s="1"/>
  <c r="C50" i="16" a="1"/>
  <c r="C50" i="16" s="1"/>
  <c r="C51" i="16" a="1"/>
  <c r="C51" i="16" s="1"/>
  <c r="C44" i="16" a="1"/>
  <c r="C44" i="16" s="1"/>
  <c r="AC6" i="7"/>
  <c r="K59" i="9"/>
  <c r="P52" i="16" a="1"/>
  <c r="P52" i="16" s="1"/>
  <c r="P50" i="16" a="1"/>
  <c r="P50" i="16" s="1"/>
  <c r="P52" i="12" a="1"/>
  <c r="P52" i="12" s="1"/>
  <c r="P50" i="12" a="1"/>
  <c r="P50" i="12" s="1"/>
  <c r="P52" i="15" a="1"/>
  <c r="P52" i="15" s="1"/>
  <c r="P51" i="12" a="1"/>
  <c r="P51" i="12" s="1"/>
  <c r="P44" i="12" a="1"/>
  <c r="P44" i="12" s="1"/>
  <c r="P49" i="12" a="1"/>
  <c r="P49" i="12" s="1"/>
  <c r="P51" i="16" a="1"/>
  <c r="P51" i="16" s="1"/>
  <c r="P45" i="16" a="1"/>
  <c r="P45" i="16" s="1"/>
  <c r="P49" i="16" a="1"/>
  <c r="P49" i="16" s="1"/>
  <c r="AQ371" i="11" a="1"/>
  <c r="AQ371" i="11" s="1"/>
  <c r="AI366" i="11" a="1"/>
  <c r="AI366" i="11" s="1"/>
  <c r="AI373" i="11" a="1"/>
  <c r="AI373" i="11" s="1"/>
  <c r="AI371" i="11" a="1"/>
  <c r="AI371" i="11" s="1"/>
  <c r="AI372" i="11" a="1"/>
  <c r="AI372" i="11" s="1"/>
  <c r="AY272" i="11" a="1"/>
  <c r="AY272" i="11" s="1"/>
  <c r="AY270" i="11" a="1"/>
  <c r="AY270" i="11" s="1"/>
  <c r="AQ372" i="11" a="1"/>
  <c r="AQ372" i="11" s="1"/>
  <c r="AQ366" i="11" a="1"/>
  <c r="AQ366" i="11" s="1"/>
  <c r="AB10" i="7"/>
  <c r="AQ367" i="11" a="1"/>
  <c r="AQ367" i="11" s="1"/>
  <c r="AI374" i="11" a="1"/>
  <c r="AI374" i="11" s="1"/>
  <c r="C60" i="9"/>
  <c r="C69" i="9" s="1"/>
  <c r="C70" i="9" s="1" a="1"/>
  <c r="C70" i="9" s="1"/>
  <c r="C46" i="13" a="1"/>
  <c r="C46" i="13" s="1"/>
  <c r="AQ265" i="11" a="1"/>
  <c r="AQ265" i="11" s="1"/>
  <c r="K318" i="10"/>
  <c r="K320" i="10" s="1" a="1"/>
  <c r="K320" i="10" s="1"/>
  <c r="AY264" i="11" a="1"/>
  <c r="AY264" i="11" s="1"/>
  <c r="AQ374" i="11" a="1"/>
  <c r="AQ374" i="11" s="1"/>
  <c r="K367" i="11" a="1"/>
  <c r="K367" i="11" s="1"/>
  <c r="C269" i="11" a="1"/>
  <c r="C269" i="11" s="1"/>
  <c r="C272" i="11" a="1"/>
  <c r="C272" i="11" s="1"/>
  <c r="AY265" i="11" a="1"/>
  <c r="AY265" i="11" s="1"/>
  <c r="AY271" i="11" a="1"/>
  <c r="AY271" i="11" s="1"/>
  <c r="AC46" i="13" a="1"/>
  <c r="AC46" i="13" s="1"/>
  <c r="AA269" i="11" a="1"/>
  <c r="AA269" i="11" s="1"/>
  <c r="AY52" i="10"/>
  <c r="AY53" i="10" s="1" a="1"/>
  <c r="AY53" i="10" s="1"/>
  <c r="AA271" i="11" a="1"/>
  <c r="AA271" i="11" s="1"/>
  <c r="Q22" i="7"/>
  <c r="AA272" i="11" a="1"/>
  <c r="AA272" i="11" s="1"/>
  <c r="AY229" i="10"/>
  <c r="AY237" i="10" s="1" a="1"/>
  <c r="AY237" i="10" s="1"/>
  <c r="AC45" i="15" a="1"/>
  <c r="AC45" i="15" s="1"/>
  <c r="AA265" i="11" a="1"/>
  <c r="AA265" i="11" s="1"/>
  <c r="AY142" i="10"/>
  <c r="AY149" i="10" s="1" a="1"/>
  <c r="AY149" i="10" s="1"/>
  <c r="C270" i="11" a="1"/>
  <c r="C270" i="11" s="1"/>
  <c r="AQ264" i="11" a="1"/>
  <c r="AQ264" i="11" s="1"/>
  <c r="C271" i="11" a="1"/>
  <c r="C271" i="11" s="1"/>
  <c r="K374" i="11" a="1"/>
  <c r="K374" i="11" s="1"/>
  <c r="AQ270" i="11" a="1"/>
  <c r="AQ270" i="11" s="1"/>
  <c r="C265" i="11" a="1"/>
  <c r="C265" i="11" s="1"/>
  <c r="K371" i="11" a="1"/>
  <c r="K371" i="11" s="1"/>
  <c r="AQ271" i="11" a="1"/>
  <c r="AQ271" i="11" s="1"/>
  <c r="K372" i="11" a="1"/>
  <c r="K372" i="11" s="1"/>
  <c r="K373" i="11" a="1"/>
  <c r="K373" i="11" s="1"/>
  <c r="AQ269" i="11" a="1"/>
  <c r="AQ269" i="11" s="1"/>
  <c r="P51" i="15" a="1"/>
  <c r="P51" i="15" s="1"/>
  <c r="P44" i="15" a="1"/>
  <c r="P44" i="15" s="1"/>
  <c r="P45" i="15" a="1"/>
  <c r="P45" i="15" s="1"/>
  <c r="C51" i="13" a="1"/>
  <c r="C51" i="13" s="1"/>
  <c r="P49" i="15" a="1"/>
  <c r="P49" i="15" s="1"/>
  <c r="C50" i="13" a="1"/>
  <c r="C50" i="13" s="1"/>
  <c r="C53" i="13" a="1"/>
  <c r="C53" i="13" s="1"/>
  <c r="AI58" i="11" a="1"/>
  <c r="AI58" i="11" s="1"/>
  <c r="C52" i="13" a="1"/>
  <c r="C52" i="13" s="1"/>
  <c r="K58" i="9"/>
  <c r="P53" i="13" a="1"/>
  <c r="P53" i="13" s="1"/>
  <c r="AI55" i="11" a="1"/>
  <c r="AI55" i="11" s="1"/>
  <c r="AY320" i="10" a="1"/>
  <c r="AY320" i="10" s="1"/>
  <c r="AY319" i="10" a="1"/>
  <c r="AY319" i="10" s="1"/>
  <c r="AY326" i="10" a="1"/>
  <c r="AY326" i="10" s="1"/>
  <c r="AY327" i="10" a="1"/>
  <c r="AY327" i="10" s="1"/>
  <c r="P46" i="13" a="1"/>
  <c r="P46" i="13" s="1"/>
  <c r="AA270" i="11" a="1"/>
  <c r="AA270" i="11" s="1"/>
  <c r="AI57" i="11" a="1"/>
  <c r="AI57" i="11" s="1"/>
  <c r="AI56" i="11" a="1"/>
  <c r="AI56" i="11" s="1"/>
  <c r="AI51" i="11" a="1"/>
  <c r="AI51" i="11" s="1"/>
  <c r="AC45" i="13" a="1"/>
  <c r="AC45" i="13" s="1"/>
  <c r="S58" i="11" a="1"/>
  <c r="S58" i="11" s="1"/>
  <c r="P51" i="13" a="1"/>
  <c r="P51" i="13" s="1"/>
  <c r="AI272" i="11" a="1"/>
  <c r="AI272" i="11" s="1"/>
  <c r="AC44" i="15" a="1"/>
  <c r="AC44" i="15" s="1"/>
  <c r="S57" i="11" a="1"/>
  <c r="S57" i="11" s="1"/>
  <c r="P50" i="13" a="1"/>
  <c r="P50" i="13" s="1"/>
  <c r="AC50" i="15" a="1"/>
  <c r="AC50" i="15" s="1"/>
  <c r="AC52" i="15" a="1"/>
  <c r="AC52" i="15" s="1"/>
  <c r="S51" i="11" a="1"/>
  <c r="S51" i="11" s="1"/>
  <c r="AC51" i="15" a="1"/>
  <c r="AC51" i="15" s="1"/>
  <c r="AC50" i="13" a="1"/>
  <c r="AC50" i="13" s="1"/>
  <c r="P52" i="13" a="1"/>
  <c r="P52" i="13" s="1"/>
  <c r="AC51" i="13" a="1"/>
  <c r="AC51" i="13" s="1"/>
  <c r="AC53" i="13" a="1"/>
  <c r="AC53" i="13" s="1"/>
  <c r="U22" i="7"/>
  <c r="AC9" i="7"/>
  <c r="AC21" i="7" s="1"/>
  <c r="AC22" i="7" s="1"/>
  <c r="S55" i="11" a="1"/>
  <c r="S55" i="11" s="1"/>
  <c r="K142" i="10"/>
  <c r="K143" i="10" s="1" a="1"/>
  <c r="K143" i="10" s="1"/>
  <c r="S52" i="10"/>
  <c r="S59" i="10" s="1" a="1"/>
  <c r="S59" i="10" s="1"/>
  <c r="S56" i="11" a="1"/>
  <c r="S56" i="11" s="1"/>
  <c r="S229" i="10"/>
  <c r="S231" i="10" s="1" a="1"/>
  <c r="S231" i="10" s="1"/>
  <c r="K52" i="10"/>
  <c r="K61" i="10" s="1" a="1"/>
  <c r="K61" i="10" s="1"/>
  <c r="AQ58" i="11" a="1"/>
  <c r="AQ58" i="11" s="1"/>
  <c r="C54" i="14"/>
  <c r="AQ55" i="11" a="1"/>
  <c r="AQ55" i="11" s="1"/>
  <c r="AQ57" i="11" a="1"/>
  <c r="AQ57" i="11" s="1"/>
  <c r="AQ56" i="11" a="1"/>
  <c r="AQ56" i="11" s="1"/>
  <c r="C53" i="14"/>
  <c r="P22" i="7"/>
  <c r="S142" i="10"/>
  <c r="S148" i="10" s="1" a="1"/>
  <c r="S148" i="10" s="1"/>
  <c r="AQ50" i="11" a="1"/>
  <c r="AQ50" i="11" s="1"/>
  <c r="AI269" i="11" a="1"/>
  <c r="AI269" i="11" s="1"/>
  <c r="AI271" i="11" a="1"/>
  <c r="AI271" i="11" s="1"/>
  <c r="AY324" i="10" a="1"/>
  <c r="AY324" i="10" s="1"/>
  <c r="AI270" i="11" a="1"/>
  <c r="AI270" i="11" s="1"/>
  <c r="AI264" i="11" a="1"/>
  <c r="AI264" i="11" s="1"/>
  <c r="AY325" i="10" a="1"/>
  <c r="AY325" i="10" s="1"/>
  <c r="K50" i="11" a="1"/>
  <c r="K50" i="11" s="1"/>
  <c r="K51" i="11" a="1"/>
  <c r="K51" i="11" s="1"/>
  <c r="K55" i="11" a="1"/>
  <c r="K55" i="11" s="1"/>
  <c r="K57" i="11" a="1"/>
  <c r="K57" i="11" s="1"/>
  <c r="K56" i="11" a="1"/>
  <c r="K56" i="11" s="1"/>
  <c r="K58" i="11" a="1"/>
  <c r="K58" i="11" s="1"/>
  <c r="AQ53" i="10" a="1"/>
  <c r="AQ53" i="10" s="1"/>
  <c r="AQ54" i="10" a="1"/>
  <c r="AQ54" i="10" s="1"/>
  <c r="AQ58" i="10" a="1"/>
  <c r="AQ58" i="10" s="1"/>
  <c r="AQ61" i="10" a="1"/>
  <c r="AQ61" i="10" s="1"/>
  <c r="AQ59" i="10" a="1"/>
  <c r="AQ59" i="10" s="1"/>
  <c r="AQ60" i="10" a="1"/>
  <c r="AQ60" i="10" s="1"/>
  <c r="C45" i="12" a="1"/>
  <c r="C45" i="12" s="1"/>
  <c r="C44" i="12" a="1"/>
  <c r="C44" i="12" s="1"/>
  <c r="C52" i="12" a="1"/>
  <c r="C52" i="12" s="1"/>
  <c r="C51" i="12" a="1"/>
  <c r="C51" i="12" s="1"/>
  <c r="C50" i="12" a="1"/>
  <c r="C50" i="12" s="1"/>
  <c r="C49" i="12" a="1"/>
  <c r="C49" i="12" s="1"/>
  <c r="S264" i="11" a="1"/>
  <c r="S264" i="11" s="1"/>
  <c r="S265" i="11" a="1"/>
  <c r="S265" i="11" s="1"/>
  <c r="S269" i="11" a="1"/>
  <c r="S269" i="11" s="1"/>
  <c r="S270" i="11" a="1"/>
  <c r="S270" i="11" s="1"/>
  <c r="S271" i="11" a="1"/>
  <c r="S271" i="11" s="1"/>
  <c r="S272" i="11" a="1"/>
  <c r="S272" i="11" s="1"/>
  <c r="C50" i="11" a="1"/>
  <c r="C50" i="11" s="1"/>
  <c r="C51" i="11" a="1"/>
  <c r="C51" i="11" s="1"/>
  <c r="C58" i="11" a="1"/>
  <c r="C58" i="11" s="1"/>
  <c r="C55" i="11" a="1"/>
  <c r="C55" i="11" s="1"/>
  <c r="C57" i="11" a="1"/>
  <c r="C57" i="11" s="1"/>
  <c r="C56" i="11" a="1"/>
  <c r="C56" i="11" s="1"/>
  <c r="S366" i="11" a="1"/>
  <c r="S366" i="11" s="1"/>
  <c r="S367" i="11" a="1"/>
  <c r="S367" i="11" s="1"/>
  <c r="S372" i="11" a="1"/>
  <c r="S372" i="11" s="1"/>
  <c r="S371" i="11" a="1"/>
  <c r="S371" i="11" s="1"/>
  <c r="S373" i="11" a="1"/>
  <c r="S373" i="11" s="1"/>
  <c r="S374" i="11" a="1"/>
  <c r="S374" i="11" s="1"/>
  <c r="AA318" i="10"/>
  <c r="AA229" i="10"/>
  <c r="AA142" i="10"/>
  <c r="AA52" i="10"/>
  <c r="AY50" i="11" a="1"/>
  <c r="AY50" i="11" s="1"/>
  <c r="AY51" i="11" a="1"/>
  <c r="AY51" i="11" s="1"/>
  <c r="AY55" i="11" a="1"/>
  <c r="AY55" i="11" s="1"/>
  <c r="AY58" i="11" a="1"/>
  <c r="AY58" i="11" s="1"/>
  <c r="AY56" i="11" a="1"/>
  <c r="AY56" i="11" s="1"/>
  <c r="AY57" i="11" a="1"/>
  <c r="AY57" i="11" s="1"/>
  <c r="AC45" i="16" a="1"/>
  <c r="AC45" i="16" s="1"/>
  <c r="AC49" i="16" a="1"/>
  <c r="AC49" i="16" s="1"/>
  <c r="AC44" i="16" a="1"/>
  <c r="AC44" i="16" s="1"/>
  <c r="AC50" i="16" a="1"/>
  <c r="AC50" i="16" s="1"/>
  <c r="AC51" i="16" a="1"/>
  <c r="AC51" i="16" s="1"/>
  <c r="AC52" i="16" a="1"/>
  <c r="AC52" i="16" s="1"/>
  <c r="AI229" i="10"/>
  <c r="AI142" i="10"/>
  <c r="AI318" i="10"/>
  <c r="AI52" i="10"/>
  <c r="AA367" i="11" a="1"/>
  <c r="AA367" i="11" s="1"/>
  <c r="AA366" i="11" a="1"/>
  <c r="AA366" i="11" s="1"/>
  <c r="AA374" i="11" a="1"/>
  <c r="AA374" i="11" s="1"/>
  <c r="AA373" i="11" a="1"/>
  <c r="AA373" i="11" s="1"/>
  <c r="AA372" i="11" a="1"/>
  <c r="AA372" i="11" s="1"/>
  <c r="AA371" i="11" a="1"/>
  <c r="AA371" i="11" s="1"/>
  <c r="S320" i="10" a="1"/>
  <c r="S320" i="10" s="1"/>
  <c r="S319" i="10" a="1"/>
  <c r="S319" i="10" s="1"/>
  <c r="S327" i="10" a="1"/>
  <c r="S327" i="10" s="1"/>
  <c r="S326" i="10" a="1"/>
  <c r="S326" i="10" s="1"/>
  <c r="S324" i="10" a="1"/>
  <c r="S324" i="10" s="1"/>
  <c r="S325" i="10" a="1"/>
  <c r="S325" i="10" s="1"/>
  <c r="C318" i="10"/>
  <c r="C229" i="10"/>
  <c r="C52" i="10"/>
  <c r="C142" i="10"/>
  <c r="AQ231" i="10" a="1"/>
  <c r="AQ231" i="10" s="1"/>
  <c r="AQ230" i="10" a="1"/>
  <c r="AQ230" i="10" s="1"/>
  <c r="AQ238" i="10" a="1"/>
  <c r="AQ238" i="10" s="1"/>
  <c r="AQ236" i="10" a="1"/>
  <c r="AQ236" i="10" s="1"/>
  <c r="AQ237" i="10" a="1"/>
  <c r="AQ237" i="10" s="1"/>
  <c r="AQ235" i="10" a="1"/>
  <c r="AQ235" i="10" s="1"/>
  <c r="AA51" i="11" a="1"/>
  <c r="AA51" i="11" s="1"/>
  <c r="AA50" i="11" a="1"/>
  <c r="AA50" i="11" s="1"/>
  <c r="AA57" i="11" a="1"/>
  <c r="AA57" i="11" s="1"/>
  <c r="AA56" i="11" a="1"/>
  <c r="AA56" i="11" s="1"/>
  <c r="AA58" i="11" a="1"/>
  <c r="AA58" i="11" s="1"/>
  <c r="AA55" i="11" a="1"/>
  <c r="AA55" i="11" s="1"/>
  <c r="AY366" i="11" a="1"/>
  <c r="AY366" i="11" s="1"/>
  <c r="AY367" i="11" a="1"/>
  <c r="AY367" i="11" s="1"/>
  <c r="AY374" i="11" a="1"/>
  <c r="AY374" i="11" s="1"/>
  <c r="AY372" i="11" a="1"/>
  <c r="AY372" i="11" s="1"/>
  <c r="AY373" i="11" a="1"/>
  <c r="AY373" i="11" s="1"/>
  <c r="AY371" i="11" a="1"/>
  <c r="AY371" i="11" s="1"/>
  <c r="AC45" i="12" a="1"/>
  <c r="AC45" i="12" s="1"/>
  <c r="AC44" i="12" a="1"/>
  <c r="AC44" i="12" s="1"/>
  <c r="AC50" i="12" a="1"/>
  <c r="AC50" i="12" s="1"/>
  <c r="AC51" i="12" a="1"/>
  <c r="AC51" i="12" s="1"/>
  <c r="AC52" i="12" a="1"/>
  <c r="AC52" i="12" s="1"/>
  <c r="AB5" i="7"/>
  <c r="AB14" i="7" s="1"/>
  <c r="AC5" i="7"/>
  <c r="AC14" i="7" s="1"/>
  <c r="AB7" i="7"/>
  <c r="AC7" i="7"/>
  <c r="K265" i="11" a="1"/>
  <c r="K265" i="11" s="1"/>
  <c r="K264" i="11" a="1"/>
  <c r="K264" i="11" s="1"/>
  <c r="K269" i="11" a="1"/>
  <c r="K269" i="11" s="1"/>
  <c r="K272" i="11" a="1"/>
  <c r="K272" i="11" s="1"/>
  <c r="K270" i="11" a="1"/>
  <c r="K270" i="11" s="1"/>
  <c r="K271" i="11" a="1"/>
  <c r="K271" i="11" s="1"/>
  <c r="C367" i="11" a="1"/>
  <c r="C367" i="11" s="1"/>
  <c r="C366" i="11" a="1"/>
  <c r="C366" i="11" s="1"/>
  <c r="C372" i="11" a="1"/>
  <c r="C372" i="11" s="1"/>
  <c r="C374" i="11" a="1"/>
  <c r="C374" i="11" s="1"/>
  <c r="C371" i="11" a="1"/>
  <c r="C371" i="11" s="1"/>
  <c r="C373" i="11" a="1"/>
  <c r="C373" i="11" s="1"/>
  <c r="C51" i="15" a="1"/>
  <c r="C51" i="15" s="1"/>
  <c r="C49" i="15" a="1"/>
  <c r="C49" i="15" s="1"/>
  <c r="C45" i="15" a="1"/>
  <c r="C45" i="15" s="1"/>
  <c r="C44" i="15" a="1"/>
  <c r="C44" i="15" s="1"/>
  <c r="C50" i="15" a="1"/>
  <c r="C50" i="15" s="1"/>
  <c r="C52" i="15" a="1"/>
  <c r="C52" i="15" s="1"/>
  <c r="K230" i="10" a="1"/>
  <c r="K230" i="10" s="1"/>
  <c r="K231" i="10" a="1"/>
  <c r="K231" i="10" s="1"/>
  <c r="K236" i="10" a="1"/>
  <c r="K236" i="10" s="1"/>
  <c r="K235" i="10" a="1"/>
  <c r="K235" i="10" s="1"/>
  <c r="K237" i="10" a="1"/>
  <c r="K237" i="10" s="1"/>
  <c r="K238" i="10" a="1"/>
  <c r="K238" i="10" s="1"/>
  <c r="AQ324" i="10" l="1" a="1"/>
  <c r="AQ324" i="10" s="1"/>
  <c r="AQ325" i="10" a="1"/>
  <c r="AQ325" i="10" s="1"/>
  <c r="AQ144" i="10" a="1"/>
  <c r="AQ144" i="10" s="1"/>
  <c r="AQ149" i="10" a="1"/>
  <c r="AQ149" i="10" s="1"/>
  <c r="AQ151" i="10" a="1"/>
  <c r="AQ151" i="10" s="1"/>
  <c r="AQ143" i="10" a="1"/>
  <c r="AQ143" i="10" s="1"/>
  <c r="AQ148" i="10" a="1"/>
  <c r="AQ148" i="10" s="1"/>
  <c r="AQ327" i="10" a="1"/>
  <c r="AQ327" i="10" s="1"/>
  <c r="AQ326" i="10" a="1"/>
  <c r="AQ326" i="10" s="1"/>
  <c r="AQ320" i="10" a="1"/>
  <c r="AQ320" i="10" s="1"/>
  <c r="O25" i="7"/>
  <c r="C54" i="16"/>
  <c r="C53" i="16"/>
  <c r="K60" i="9"/>
  <c r="K69" i="9" s="1"/>
  <c r="K75" i="9" s="1" a="1"/>
  <c r="K75" i="9" s="1"/>
  <c r="AI376" i="11"/>
  <c r="P54" i="12"/>
  <c r="P53" i="16"/>
  <c r="P53" i="12"/>
  <c r="P54" i="16"/>
  <c r="AI375" i="11"/>
  <c r="C71" i="9" a="1"/>
  <c r="C71" i="9" s="1"/>
  <c r="AY235" i="10" a="1"/>
  <c r="AY235" i="10" s="1"/>
  <c r="K326" i="10" a="1"/>
  <c r="K326" i="10" s="1"/>
  <c r="K324" i="10" a="1"/>
  <c r="K324" i="10" s="1"/>
  <c r="K325" i="10" a="1"/>
  <c r="K325" i="10" s="1"/>
  <c r="K327" i="10" a="1"/>
  <c r="K327" i="10" s="1"/>
  <c r="AQ375" i="11"/>
  <c r="K319" i="10" a="1"/>
  <c r="K319" i="10" s="1"/>
  <c r="C76" i="9" a="1"/>
  <c r="C76" i="9" s="1"/>
  <c r="C75" i="9" a="1"/>
  <c r="C75" i="9" s="1"/>
  <c r="C77" i="9" a="1"/>
  <c r="C77" i="9" s="1"/>
  <c r="C78" i="9" a="1"/>
  <c r="C78" i="9" s="1"/>
  <c r="AQ376" i="11"/>
  <c r="AY273" i="11"/>
  <c r="AY274" i="11"/>
  <c r="AY230" i="10" a="1"/>
  <c r="AY230" i="10" s="1"/>
  <c r="AY236" i="10" a="1"/>
  <c r="AY236" i="10" s="1"/>
  <c r="K376" i="11"/>
  <c r="AY231" i="10" a="1"/>
  <c r="AY231" i="10" s="1"/>
  <c r="AY238" i="10" a="1"/>
  <c r="AY238" i="10" s="1"/>
  <c r="C54" i="13"/>
  <c r="AY61" i="10" a="1"/>
  <c r="AY61" i="10" s="1"/>
  <c r="AY144" i="10" a="1"/>
  <c r="AY144" i="10" s="1"/>
  <c r="AA273" i="11"/>
  <c r="AY150" i="10" a="1"/>
  <c r="AY150" i="10" s="1"/>
  <c r="AY54" i="10" a="1"/>
  <c r="AY54" i="10" s="1"/>
  <c r="AY60" i="10" a="1"/>
  <c r="AY60" i="10" s="1"/>
  <c r="AY143" i="10" a="1"/>
  <c r="AY143" i="10" s="1"/>
  <c r="S236" i="10" a="1"/>
  <c r="S236" i="10" s="1"/>
  <c r="AY151" i="10" a="1"/>
  <c r="AY151" i="10" s="1"/>
  <c r="AY59" i="10" a="1"/>
  <c r="AY59" i="10" s="1"/>
  <c r="AY58" i="10" a="1"/>
  <c r="AY58" i="10" s="1"/>
  <c r="AY148" i="10" a="1"/>
  <c r="AY148" i="10" s="1"/>
  <c r="AQ273" i="11"/>
  <c r="AA274" i="11"/>
  <c r="P54" i="15"/>
  <c r="C273" i="11"/>
  <c r="C274" i="11"/>
  <c r="C55" i="14"/>
  <c r="C56" i="14" s="1"/>
  <c r="P35" i="14" s="1"/>
  <c r="P41" i="14" s="1" a="1"/>
  <c r="P41" i="14" s="1"/>
  <c r="P53" i="15"/>
  <c r="AQ274" i="11"/>
  <c r="K375" i="11"/>
  <c r="AC55" i="13"/>
  <c r="S53" i="10" a="1"/>
  <c r="S53" i="10" s="1"/>
  <c r="C55" i="13"/>
  <c r="AI60" i="11"/>
  <c r="K60" i="10" a="1"/>
  <c r="K60" i="10" s="1"/>
  <c r="AI59" i="11"/>
  <c r="K54" i="10" a="1"/>
  <c r="K54" i="10" s="1"/>
  <c r="S59" i="11"/>
  <c r="P54" i="13"/>
  <c r="AY329" i="10"/>
  <c r="K150" i="10" a="1"/>
  <c r="K150" i="10" s="1"/>
  <c r="K59" i="10" a="1"/>
  <c r="K59" i="10" s="1"/>
  <c r="K149" i="10" a="1"/>
  <c r="K149" i="10" s="1"/>
  <c r="K53" i="10" a="1"/>
  <c r="K53" i="10" s="1"/>
  <c r="K151" i="10" a="1"/>
  <c r="K151" i="10" s="1"/>
  <c r="K148" i="10" a="1"/>
  <c r="K148" i="10" s="1"/>
  <c r="K144" i="10" a="1"/>
  <c r="K144" i="10" s="1"/>
  <c r="AQ59" i="11"/>
  <c r="AC54" i="13"/>
  <c r="S60" i="11"/>
  <c r="P55" i="13"/>
  <c r="AC54" i="15"/>
  <c r="S58" i="10" a="1"/>
  <c r="S58" i="10" s="1"/>
  <c r="AC53" i="15"/>
  <c r="S54" i="10" a="1"/>
  <c r="S54" i="10" s="1"/>
  <c r="K58" i="10" a="1"/>
  <c r="K58" i="10" s="1"/>
  <c r="S61" i="10" a="1"/>
  <c r="S61" i="10" s="1"/>
  <c r="S60" i="10" a="1"/>
  <c r="S60" i="10" s="1"/>
  <c r="S151" i="10" a="1"/>
  <c r="S151" i="10" s="1"/>
  <c r="S150" i="10" a="1"/>
  <c r="S150" i="10" s="1"/>
  <c r="S238" i="10" a="1"/>
  <c r="S238" i="10" s="1"/>
  <c r="S235" i="10" a="1"/>
  <c r="S235" i="10" s="1"/>
  <c r="S237" i="10" a="1"/>
  <c r="S237" i="10" s="1"/>
  <c r="S230" i="10" a="1"/>
  <c r="S230" i="10" s="1"/>
  <c r="AQ60" i="11"/>
  <c r="AI274" i="11"/>
  <c r="S149" i="10" a="1"/>
  <c r="S149" i="10" s="1"/>
  <c r="S143" i="10" a="1"/>
  <c r="S143" i="10" s="1"/>
  <c r="S144" i="10" a="1"/>
  <c r="S144" i="10" s="1"/>
  <c r="AY328" i="10"/>
  <c r="S329" i="10"/>
  <c r="C54" i="15"/>
  <c r="C376" i="11"/>
  <c r="AA376" i="11"/>
  <c r="AI273" i="11"/>
  <c r="AB25" i="7"/>
  <c r="C375" i="11"/>
  <c r="AY375" i="11"/>
  <c r="AY376" i="11"/>
  <c r="K274" i="11"/>
  <c r="C54" i="12"/>
  <c r="C144" i="10" a="1"/>
  <c r="C144" i="10" s="1"/>
  <c r="C143" i="10" a="1"/>
  <c r="C143" i="10" s="1"/>
  <c r="C151" i="10" a="1"/>
  <c r="C151" i="10" s="1"/>
  <c r="C149" i="10" a="1"/>
  <c r="C149" i="10" s="1"/>
  <c r="C148" i="10" a="1"/>
  <c r="C148" i="10" s="1"/>
  <c r="C150" i="10" a="1"/>
  <c r="C150" i="10" s="1"/>
  <c r="AI230" i="10" a="1"/>
  <c r="AI230" i="10" s="1"/>
  <c r="AI231" i="10" a="1"/>
  <c r="AI231" i="10" s="1"/>
  <c r="AI236" i="10" a="1"/>
  <c r="AI236" i="10" s="1"/>
  <c r="AI237" i="10" a="1"/>
  <c r="AI237" i="10" s="1"/>
  <c r="AI235" i="10" a="1"/>
  <c r="AI235" i="10" s="1"/>
  <c r="AI238" i="10" a="1"/>
  <c r="AI238" i="10" s="1"/>
  <c r="AA319" i="10" a="1"/>
  <c r="AA319" i="10" s="1"/>
  <c r="AA320" i="10" a="1"/>
  <c r="AA320" i="10" s="1"/>
  <c r="AA326" i="10" a="1"/>
  <c r="AA326" i="10" s="1"/>
  <c r="AA327" i="10" a="1"/>
  <c r="AA327" i="10" s="1"/>
  <c r="AA324" i="10" a="1"/>
  <c r="AA324" i="10" s="1"/>
  <c r="AA325" i="10" a="1"/>
  <c r="AA325" i="10" s="1"/>
  <c r="S375" i="11"/>
  <c r="AC53" i="16"/>
  <c r="AA230" i="10" a="1"/>
  <c r="AA230" i="10" s="1"/>
  <c r="AA231" i="10" a="1"/>
  <c r="AA231" i="10" s="1"/>
  <c r="AA237" i="10" a="1"/>
  <c r="AA237" i="10" s="1"/>
  <c r="AA238" i="10" a="1"/>
  <c r="AA238" i="10" s="1"/>
  <c r="AA235" i="10" a="1"/>
  <c r="AA235" i="10" s="1"/>
  <c r="AA236" i="10" a="1"/>
  <c r="AA236" i="10" s="1"/>
  <c r="S273" i="11"/>
  <c r="C53" i="10" a="1"/>
  <c r="C53" i="10" s="1"/>
  <c r="C54" i="10" a="1"/>
  <c r="C54" i="10" s="1"/>
  <c r="C58" i="10" a="1"/>
  <c r="C58" i="10" s="1"/>
  <c r="C60" i="10" a="1"/>
  <c r="C60" i="10" s="1"/>
  <c r="C61" i="10" a="1"/>
  <c r="C61" i="10" s="1"/>
  <c r="C59" i="10" a="1"/>
  <c r="C59" i="10" s="1"/>
  <c r="AY60" i="11"/>
  <c r="K240" i="10"/>
  <c r="K239" i="10"/>
  <c r="AC54" i="12"/>
  <c r="AA59" i="11"/>
  <c r="C230" i="10" a="1"/>
  <c r="C230" i="10" s="1"/>
  <c r="C231" i="10" a="1"/>
  <c r="C231" i="10" s="1"/>
  <c r="C237" i="10" a="1"/>
  <c r="C237" i="10" s="1"/>
  <c r="C235" i="10" a="1"/>
  <c r="C235" i="10" s="1"/>
  <c r="C238" i="10" a="1"/>
  <c r="C238" i="10" s="1"/>
  <c r="C236" i="10" a="1"/>
  <c r="C236" i="10" s="1"/>
  <c r="AQ63" i="10"/>
  <c r="K60" i="11"/>
  <c r="AI319" i="10" a="1"/>
  <c r="AI319" i="10" s="1"/>
  <c r="AI320" i="10" a="1"/>
  <c r="AI320" i="10" s="1"/>
  <c r="AI327" i="10" a="1"/>
  <c r="AI327" i="10" s="1"/>
  <c r="AI326" i="10" a="1"/>
  <c r="AI326" i="10" s="1"/>
  <c r="AI324" i="10" a="1"/>
  <c r="AI324" i="10" s="1"/>
  <c r="AI325" i="10" a="1"/>
  <c r="AI325" i="10" s="1"/>
  <c r="AA143" i="10" a="1"/>
  <c r="AA143" i="10" s="1"/>
  <c r="AA144" i="10" a="1"/>
  <c r="AA144" i="10" s="1"/>
  <c r="AA149" i="10" a="1"/>
  <c r="AA149" i="10" s="1"/>
  <c r="AA151" i="10" a="1"/>
  <c r="AA151" i="10" s="1"/>
  <c r="AA150" i="10" a="1"/>
  <c r="AA150" i="10" s="1"/>
  <c r="AA148" i="10" a="1"/>
  <c r="AA148" i="10" s="1"/>
  <c r="S376" i="11"/>
  <c r="K273" i="11"/>
  <c r="AC53" i="12"/>
  <c r="C320" i="10" a="1"/>
  <c r="C320" i="10" s="1"/>
  <c r="C319" i="10" a="1"/>
  <c r="C319" i="10" s="1"/>
  <c r="C324" i="10" a="1"/>
  <c r="C324" i="10" s="1"/>
  <c r="C325" i="10" a="1"/>
  <c r="C325" i="10" s="1"/>
  <c r="C327" i="10" a="1"/>
  <c r="C327" i="10" s="1"/>
  <c r="C326" i="10" a="1"/>
  <c r="C326" i="10" s="1"/>
  <c r="C60" i="11"/>
  <c r="K59" i="11"/>
  <c r="AQ239" i="10"/>
  <c r="AA375" i="11"/>
  <c r="AC54" i="16"/>
  <c r="AY59" i="11"/>
  <c r="C59" i="11"/>
  <c r="C53" i="12"/>
  <c r="AI143" i="10" a="1"/>
  <c r="AI143" i="10" s="1"/>
  <c r="AI144" i="10" a="1"/>
  <c r="AI144" i="10" s="1"/>
  <c r="AI150" i="10" a="1"/>
  <c r="AI150" i="10" s="1"/>
  <c r="AI148" i="10" a="1"/>
  <c r="AI148" i="10" s="1"/>
  <c r="AI151" i="10" a="1"/>
  <c r="AI151" i="10" s="1"/>
  <c r="AI149" i="10" a="1"/>
  <c r="AI149" i="10" s="1"/>
  <c r="C53" i="15"/>
  <c r="AA60" i="11"/>
  <c r="AQ240" i="10"/>
  <c r="S328" i="10"/>
  <c r="AI54" i="10" a="1"/>
  <c r="AI54" i="10" s="1"/>
  <c r="AI53" i="10" a="1"/>
  <c r="AI53" i="10" s="1"/>
  <c r="AI58" i="10" a="1"/>
  <c r="AI58" i="10" s="1"/>
  <c r="AI60" i="10" a="1"/>
  <c r="AI60" i="10" s="1"/>
  <c r="AI59" i="10" a="1"/>
  <c r="AI59" i="10" s="1"/>
  <c r="AI61" i="10" a="1"/>
  <c r="AI61" i="10" s="1"/>
  <c r="AA53" i="10" a="1"/>
  <c r="AA53" i="10" s="1"/>
  <c r="AA54" i="10" a="1"/>
  <c r="AA54" i="10" s="1"/>
  <c r="AA58" i="10" a="1"/>
  <c r="AA58" i="10" s="1"/>
  <c r="AA60" i="10" a="1"/>
  <c r="AA60" i="10" s="1"/>
  <c r="AA61" i="10" a="1"/>
  <c r="AA61" i="10" s="1"/>
  <c r="AA59" i="10" a="1"/>
  <c r="AA59" i="10" s="1"/>
  <c r="S274" i="11"/>
  <c r="AQ62" i="10"/>
  <c r="AQ328" i="10" l="1"/>
  <c r="AQ329" i="10"/>
  <c r="AQ330" i="10" s="1"/>
  <c r="AQ338" i="10" s="1"/>
  <c r="AQ346" i="10" s="1" a="1"/>
  <c r="AQ346" i="10" s="1"/>
  <c r="AQ152" i="10"/>
  <c r="AQ153" i="10"/>
  <c r="C55" i="16"/>
  <c r="C63" i="16" s="1"/>
  <c r="C71" i="16" s="1" a="1"/>
  <c r="C71" i="16" s="1"/>
  <c r="K78" i="9" a="1"/>
  <c r="K78" i="9" s="1"/>
  <c r="K70" i="9" a="1"/>
  <c r="K70" i="9" s="1"/>
  <c r="K71" i="9" a="1"/>
  <c r="K71" i="9" s="1"/>
  <c r="K77" i="9" a="1"/>
  <c r="K77" i="9" s="1"/>
  <c r="K76" i="9" a="1"/>
  <c r="K76" i="9" s="1"/>
  <c r="P55" i="16"/>
  <c r="P63" i="16" s="1"/>
  <c r="P65" i="16" s="1" a="1"/>
  <c r="P65" i="16" s="1"/>
  <c r="P55" i="12"/>
  <c r="P63" i="12" s="1"/>
  <c r="P69" i="12" s="1" a="1"/>
  <c r="P69" i="12" s="1"/>
  <c r="AI377" i="11"/>
  <c r="AI387" i="11" s="1"/>
  <c r="AI396" i="11" s="1" a="1"/>
  <c r="AI396" i="11" s="1"/>
  <c r="K377" i="11"/>
  <c r="K387" i="11" s="1"/>
  <c r="K393" i="11" s="1" a="1"/>
  <c r="K393" i="11" s="1"/>
  <c r="K329" i="10"/>
  <c r="AQ377" i="11"/>
  <c r="AQ387" i="11" s="1"/>
  <c r="AQ389" i="11" s="1" a="1"/>
  <c r="AQ389" i="11" s="1"/>
  <c r="K328" i="10"/>
  <c r="C80" i="9"/>
  <c r="C79" i="9"/>
  <c r="AY275" i="11"/>
  <c r="AY285" i="11" s="1"/>
  <c r="AY292" i="11" s="1" a="1"/>
  <c r="AY292" i="11" s="1"/>
  <c r="P36" i="14" a="1"/>
  <c r="P36" i="14" s="1"/>
  <c r="P55" i="15"/>
  <c r="P56" i="15" s="1"/>
  <c r="D42" i="1" s="1"/>
  <c r="AA275" i="11"/>
  <c r="AA285" i="11" s="1"/>
  <c r="AA286" i="11" s="1" a="1"/>
  <c r="AA286" i="11" s="1"/>
  <c r="AY62" i="10"/>
  <c r="C56" i="13"/>
  <c r="C64" i="13" s="1"/>
  <c r="C66" i="13" s="1" a="1"/>
  <c r="C66" i="13" s="1"/>
  <c r="AY240" i="10"/>
  <c r="AY239" i="10"/>
  <c r="AY63" i="10"/>
  <c r="P44" i="14" a="1"/>
  <c r="P44" i="14" s="1"/>
  <c r="AY152" i="10"/>
  <c r="P42" i="14" a="1"/>
  <c r="P42" i="14" s="1"/>
  <c r="P37" i="14" a="1"/>
  <c r="P37" i="14" s="1"/>
  <c r="P43" i="14" a="1"/>
  <c r="P43" i="14" s="1"/>
  <c r="K62" i="10"/>
  <c r="AQ275" i="11"/>
  <c r="AQ285" i="11" s="1"/>
  <c r="AQ287" i="11" s="1" a="1"/>
  <c r="AQ287" i="11" s="1"/>
  <c r="AY330" i="10"/>
  <c r="AY338" i="10" s="1"/>
  <c r="AY339" i="10" s="1" a="1"/>
  <c r="AY339" i="10" s="1"/>
  <c r="P56" i="13"/>
  <c r="P64" i="13" s="1"/>
  <c r="P73" i="13" s="1" a="1"/>
  <c r="P73" i="13" s="1"/>
  <c r="C275" i="11"/>
  <c r="C285" i="11" s="1"/>
  <c r="C291" i="11" s="1" a="1"/>
  <c r="C291" i="11" s="1"/>
  <c r="AY153" i="10"/>
  <c r="S61" i="11"/>
  <c r="S73" i="11" s="1"/>
  <c r="S74" i="11" s="1" a="1"/>
  <c r="S74" i="11" s="1"/>
  <c r="AC56" i="13"/>
  <c r="AC64" i="13" s="1"/>
  <c r="AC71" i="13" s="1" a="1"/>
  <c r="AC71" i="13" s="1"/>
  <c r="AI61" i="11"/>
  <c r="AI73" i="11" s="1"/>
  <c r="AI81" i="11" s="1" a="1"/>
  <c r="AI81" i="11" s="1"/>
  <c r="K63" i="10"/>
  <c r="C55" i="15"/>
  <c r="C56" i="15" s="1"/>
  <c r="C42" i="1" s="1"/>
  <c r="AC55" i="15"/>
  <c r="AC56" i="15" s="1"/>
  <c r="E42" i="1" s="1"/>
  <c r="K275" i="11"/>
  <c r="K285" i="11" s="1"/>
  <c r="K292" i="11" s="1" a="1"/>
  <c r="K292" i="11" s="1"/>
  <c r="S330" i="10"/>
  <c r="S338" i="10" s="1"/>
  <c r="S340" i="10" s="1" a="1"/>
  <c r="S340" i="10" s="1"/>
  <c r="S239" i="10"/>
  <c r="S62" i="10"/>
  <c r="K152" i="10"/>
  <c r="K153" i="10"/>
  <c r="AQ61" i="11"/>
  <c r="AQ73" i="11" s="1"/>
  <c r="AQ75" i="11" s="1" a="1"/>
  <c r="AQ75" i="11" s="1"/>
  <c r="S63" i="10"/>
  <c r="C377" i="11"/>
  <c r="C387" i="11" s="1"/>
  <c r="C388" i="11" s="1" a="1"/>
  <c r="C388" i="11" s="1"/>
  <c r="AQ64" i="10"/>
  <c r="AQ73" i="10" s="1"/>
  <c r="AQ81" i="10" s="1" a="1"/>
  <c r="AQ81" i="10" s="1"/>
  <c r="S153" i="10"/>
  <c r="C55" i="12"/>
  <c r="C63" i="12" s="1"/>
  <c r="C65" i="12" s="1" a="1"/>
  <c r="C65" i="12" s="1"/>
  <c r="AI275" i="11"/>
  <c r="AI285" i="11" s="1"/>
  <c r="AI293" i="11" s="1" a="1"/>
  <c r="AI293" i="11" s="1"/>
  <c r="S240" i="10"/>
  <c r="AY61" i="11"/>
  <c r="AY73" i="11" s="1"/>
  <c r="AY74" i="11" s="1" a="1"/>
  <c r="AY74" i="11" s="1"/>
  <c r="AY377" i="11"/>
  <c r="AY387" i="11" s="1"/>
  <c r="AY388" i="11" s="1" a="1"/>
  <c r="AY388" i="11" s="1"/>
  <c r="S152" i="10"/>
  <c r="AA377" i="11"/>
  <c r="AA387" i="11" s="1"/>
  <c r="AA389" i="11" s="1" a="1"/>
  <c r="AA389" i="11" s="1"/>
  <c r="K241" i="10"/>
  <c r="K249" i="10" s="1"/>
  <c r="K258" i="10" s="1" a="1"/>
  <c r="K258" i="10" s="1"/>
  <c r="AC55" i="12"/>
  <c r="AD63" i="12" s="1"/>
  <c r="AD71" i="12" s="1" a="1"/>
  <c r="AD71" i="12" s="1"/>
  <c r="C61" i="11"/>
  <c r="C73" i="11" s="1"/>
  <c r="C79" i="11" s="1" a="1"/>
  <c r="C79" i="11" s="1"/>
  <c r="C239" i="10"/>
  <c r="AI240" i="10"/>
  <c r="AI239" i="10"/>
  <c r="C240" i="10"/>
  <c r="S377" i="11"/>
  <c r="S387" i="11" s="1"/>
  <c r="S394" i="11" s="1" a="1"/>
  <c r="S394" i="11" s="1"/>
  <c r="K61" i="11"/>
  <c r="K73" i="11" s="1"/>
  <c r="C328" i="10"/>
  <c r="AA61" i="11"/>
  <c r="AA73" i="11" s="1"/>
  <c r="AA328" i="10"/>
  <c r="AA239" i="10"/>
  <c r="AI152" i="10"/>
  <c r="AA240" i="10"/>
  <c r="AI63" i="10"/>
  <c r="AI153" i="10"/>
  <c r="AI328" i="10"/>
  <c r="AA329" i="10"/>
  <c r="AI62" i="10"/>
  <c r="AA152" i="10"/>
  <c r="AI329" i="10"/>
  <c r="C63" i="10"/>
  <c r="C153" i="10"/>
  <c r="AA63" i="10"/>
  <c r="AA153" i="10"/>
  <c r="C62" i="10"/>
  <c r="AC55" i="16"/>
  <c r="AC63" i="16" s="1"/>
  <c r="C152" i="10"/>
  <c r="AA62" i="10"/>
  <c r="AQ241" i="10"/>
  <c r="AQ249" i="10" s="1"/>
  <c r="C329" i="10"/>
  <c r="S275" i="11"/>
  <c r="S285" i="11" s="1"/>
  <c r="AQ154" i="10" l="1"/>
  <c r="AQ162" i="10" s="1"/>
  <c r="AQ171" i="10" s="1" a="1"/>
  <c r="AQ171" i="10" s="1"/>
  <c r="C64" i="16" a="1"/>
  <c r="C64" i="16" s="1"/>
  <c r="C69" i="16" a="1"/>
  <c r="C69" i="16" s="1"/>
  <c r="C70" i="16" a="1"/>
  <c r="C70" i="16" s="1"/>
  <c r="C65" i="16" a="1"/>
  <c r="C65" i="16" s="1"/>
  <c r="C72" i="16" a="1"/>
  <c r="C72" i="16" s="1"/>
  <c r="K80" i="9"/>
  <c r="K79" i="9"/>
  <c r="P69" i="16" a="1"/>
  <c r="P69" i="16" s="1"/>
  <c r="P71" i="16" a="1"/>
  <c r="P71" i="16" s="1"/>
  <c r="P70" i="16" a="1"/>
  <c r="P70" i="16" s="1"/>
  <c r="P64" i="16" a="1"/>
  <c r="P64" i="16" s="1"/>
  <c r="P72" i="16" a="1"/>
  <c r="P72" i="16" s="1"/>
  <c r="P70" i="12" a="1"/>
  <c r="P70" i="12" s="1"/>
  <c r="P65" i="12" a="1"/>
  <c r="P65" i="12" s="1"/>
  <c r="AQ395" i="11" a="1"/>
  <c r="AQ395" i="11" s="1"/>
  <c r="AQ393" i="11" a="1"/>
  <c r="AQ393" i="11" s="1"/>
  <c r="AQ396" i="11" a="1"/>
  <c r="AQ396" i="11" s="1"/>
  <c r="AQ394" i="11" a="1"/>
  <c r="AQ394" i="11" s="1"/>
  <c r="AQ388" i="11" a="1"/>
  <c r="AQ388" i="11" s="1"/>
  <c r="P64" i="12" a="1"/>
  <c r="P64" i="12" s="1"/>
  <c r="AI388" i="11" a="1"/>
  <c r="AI388" i="11" s="1"/>
  <c r="P72" i="12" a="1"/>
  <c r="P72" i="12" s="1"/>
  <c r="P71" i="12" a="1"/>
  <c r="P71" i="12" s="1"/>
  <c r="AI395" i="11" a="1"/>
  <c r="AI395" i="11" s="1"/>
  <c r="AI389" i="11" a="1"/>
  <c r="AI389" i="11" s="1"/>
  <c r="AI394" i="11" a="1"/>
  <c r="AI394" i="11" s="1"/>
  <c r="K389" i="11" a="1"/>
  <c r="K389" i="11" s="1"/>
  <c r="K395" i="11" a="1"/>
  <c r="K395" i="11" s="1"/>
  <c r="AI393" i="11" a="1"/>
  <c r="AI393" i="11" s="1"/>
  <c r="K396" i="11" a="1"/>
  <c r="K396" i="11" s="1"/>
  <c r="AA292" i="11" a="1"/>
  <c r="AA292" i="11" s="1"/>
  <c r="C81" i="9"/>
  <c r="C88" i="9" s="1"/>
  <c r="C94" i="9" s="1" a="1"/>
  <c r="C94" i="9" s="1"/>
  <c r="K330" i="10"/>
  <c r="K338" i="10" s="1"/>
  <c r="K347" i="10" s="1" a="1"/>
  <c r="K347" i="10" s="1"/>
  <c r="K388" i="11" a="1"/>
  <c r="K388" i="11" s="1"/>
  <c r="K394" i="11" a="1"/>
  <c r="K394" i="11" s="1"/>
  <c r="AY286" i="11" a="1"/>
  <c r="AY286" i="11" s="1"/>
  <c r="AY293" i="11" a="1"/>
  <c r="AY293" i="11" s="1"/>
  <c r="AY294" i="11" a="1"/>
  <c r="AY294" i="11" s="1"/>
  <c r="S241" i="10"/>
  <c r="S249" i="10" s="1"/>
  <c r="S257" i="10" s="1" a="1"/>
  <c r="S257" i="10" s="1"/>
  <c r="AY291" i="11" a="1"/>
  <c r="AY291" i="11" s="1"/>
  <c r="AY287" i="11" a="1"/>
  <c r="AY287" i="11" s="1"/>
  <c r="AA294" i="11" a="1"/>
  <c r="AA294" i="11" s="1"/>
  <c r="AA291" i="11" a="1"/>
  <c r="AA291" i="11" s="1"/>
  <c r="AA287" i="11" a="1"/>
  <c r="AA287" i="11" s="1"/>
  <c r="AA293" i="11" a="1"/>
  <c r="AA293" i="11" s="1"/>
  <c r="P65" i="13" a="1"/>
  <c r="P65" i="13" s="1"/>
  <c r="AY64" i="10"/>
  <c r="AY73" i="10" s="1"/>
  <c r="AY79" i="10" s="1" a="1"/>
  <c r="AY79" i="10" s="1"/>
  <c r="C71" i="13" a="1"/>
  <c r="C71" i="13" s="1"/>
  <c r="C73" i="13" a="1"/>
  <c r="C73" i="13" s="1"/>
  <c r="C72" i="13" a="1"/>
  <c r="C72" i="13" s="1"/>
  <c r="C70" i="13" a="1"/>
  <c r="C70" i="13" s="1"/>
  <c r="C65" i="13" a="1"/>
  <c r="C65" i="13" s="1"/>
  <c r="AC72" i="13" a="1"/>
  <c r="AC72" i="13" s="1"/>
  <c r="AQ294" i="11" a="1"/>
  <c r="AQ294" i="11" s="1"/>
  <c r="P66" i="13" a="1"/>
  <c r="P66" i="13" s="1"/>
  <c r="P71" i="13" a="1"/>
  <c r="P71" i="13" s="1"/>
  <c r="P72" i="13" a="1"/>
  <c r="P72" i="13" s="1"/>
  <c r="P70" i="13" a="1"/>
  <c r="P70" i="13" s="1"/>
  <c r="C293" i="11" a="1"/>
  <c r="C293" i="11" s="1"/>
  <c r="C294" i="11" a="1"/>
  <c r="C294" i="11" s="1"/>
  <c r="AY241" i="10"/>
  <c r="AY249" i="10" s="1"/>
  <c r="AY250" i="10" s="1" a="1"/>
  <c r="AY250" i="10" s="1"/>
  <c r="C287" i="11" a="1"/>
  <c r="C287" i="11" s="1"/>
  <c r="C286" i="11" a="1"/>
  <c r="C286" i="11" s="1"/>
  <c r="C292" i="11" a="1"/>
  <c r="C292" i="11" s="1"/>
  <c r="K291" i="11" a="1"/>
  <c r="K291" i="11" s="1"/>
  <c r="K286" i="11" a="1"/>
  <c r="K286" i="11" s="1"/>
  <c r="K287" i="11" a="1"/>
  <c r="K287" i="11" s="1"/>
  <c r="S75" i="11" a="1"/>
  <c r="S75" i="11" s="1"/>
  <c r="AC73" i="13" a="1"/>
  <c r="AC73" i="13" s="1"/>
  <c r="AC66" i="13" a="1"/>
  <c r="AC66" i="13" s="1"/>
  <c r="AC65" i="13" a="1"/>
  <c r="AC65" i="13" s="1"/>
  <c r="K294" i="11" a="1"/>
  <c r="K294" i="11" s="1"/>
  <c r="K293" i="11" a="1"/>
  <c r="K293" i="11" s="1"/>
  <c r="AC70" i="13" a="1"/>
  <c r="AC70" i="13" s="1"/>
  <c r="S82" i="11" a="1"/>
  <c r="S82" i="11" s="1"/>
  <c r="K154" i="10"/>
  <c r="K162" i="10" s="1"/>
  <c r="K169" i="10" s="1" a="1"/>
  <c r="K169" i="10" s="1"/>
  <c r="K64" i="10"/>
  <c r="K73" i="10" s="1"/>
  <c r="K82" i="10" s="1" a="1"/>
  <c r="K82" i="10" s="1"/>
  <c r="S79" i="11" a="1"/>
  <c r="S79" i="11" s="1"/>
  <c r="AY154" i="10"/>
  <c r="AY162" i="10" s="1"/>
  <c r="AY171" i="10" s="1" a="1"/>
  <c r="AY171" i="10" s="1"/>
  <c r="S81" i="11" a="1"/>
  <c r="S81" i="11" s="1"/>
  <c r="AY79" i="11" a="1"/>
  <c r="AY79" i="11" s="1"/>
  <c r="S80" i="11" a="1"/>
  <c r="S80" i="11" s="1"/>
  <c r="P45" i="14"/>
  <c r="AQ292" i="11" a="1"/>
  <c r="AQ292" i="11" s="1"/>
  <c r="AI82" i="11" a="1"/>
  <c r="AI82" i="11" s="1"/>
  <c r="AQ291" i="11" a="1"/>
  <c r="AQ291" i="11" s="1"/>
  <c r="AQ293" i="11" a="1"/>
  <c r="AQ293" i="11" s="1"/>
  <c r="AD72" i="12" a="1"/>
  <c r="AD72" i="12" s="1"/>
  <c r="AQ286" i="11" a="1"/>
  <c r="AQ286" i="11" s="1"/>
  <c r="AY346" i="10" a="1"/>
  <c r="AY346" i="10" s="1"/>
  <c r="P46" i="14"/>
  <c r="AD65" i="12" a="1"/>
  <c r="AD65" i="12" s="1"/>
  <c r="AY344" i="10" a="1"/>
  <c r="AY344" i="10" s="1"/>
  <c r="AY340" i="10" a="1"/>
  <c r="AY340" i="10" s="1"/>
  <c r="S339" i="10" a="1"/>
  <c r="S339" i="10" s="1"/>
  <c r="AY345" i="10" a="1"/>
  <c r="AY345" i="10" s="1"/>
  <c r="AQ79" i="10" a="1"/>
  <c r="AQ79" i="10" s="1"/>
  <c r="AY347" i="10" a="1"/>
  <c r="AY347" i="10" s="1"/>
  <c r="AI79" i="11" a="1"/>
  <c r="AI79" i="11" s="1"/>
  <c r="AI74" i="11" a="1"/>
  <c r="AI74" i="11" s="1"/>
  <c r="AI75" i="11" a="1"/>
  <c r="AI75" i="11" s="1"/>
  <c r="AI80" i="11" a="1"/>
  <c r="AI80" i="11" s="1"/>
  <c r="AY389" i="11" a="1"/>
  <c r="AY389" i="11" s="1"/>
  <c r="AD64" i="12" a="1"/>
  <c r="AD64" i="12" s="1"/>
  <c r="AQ82" i="10" a="1"/>
  <c r="AQ82" i="10" s="1"/>
  <c r="AQ80" i="10" a="1"/>
  <c r="AQ80" i="10" s="1"/>
  <c r="S345" i="10" a="1"/>
  <c r="S345" i="10" s="1"/>
  <c r="C395" i="11" a="1"/>
  <c r="C395" i="11" s="1"/>
  <c r="AQ75" i="10" a="1"/>
  <c r="AQ75" i="10" s="1"/>
  <c r="S346" i="10" a="1"/>
  <c r="S346" i="10" s="1"/>
  <c r="AD69" i="12" a="1"/>
  <c r="AD69" i="12" s="1"/>
  <c r="C393" i="11" a="1"/>
  <c r="C393" i="11" s="1"/>
  <c r="AQ74" i="10" a="1"/>
  <c r="AQ74" i="10" s="1"/>
  <c r="S347" i="10" a="1"/>
  <c r="S347" i="10" s="1"/>
  <c r="AD70" i="12" a="1"/>
  <c r="AD70" i="12" s="1"/>
  <c r="C389" i="11" a="1"/>
  <c r="C389" i="11" s="1"/>
  <c r="S344" i="10" a="1"/>
  <c r="S344" i="10" s="1"/>
  <c r="S64" i="10"/>
  <c r="S73" i="10" s="1"/>
  <c r="S79" i="10" s="1" a="1"/>
  <c r="S79" i="10" s="1"/>
  <c r="C72" i="12" a="1"/>
  <c r="C72" i="12" s="1"/>
  <c r="AQ80" i="11" a="1"/>
  <c r="AQ80" i="11" s="1"/>
  <c r="C394" i="11" a="1"/>
  <c r="C394" i="11" s="1"/>
  <c r="C396" i="11" a="1"/>
  <c r="C396" i="11" s="1"/>
  <c r="AQ81" i="11" a="1"/>
  <c r="AQ81" i="11" s="1"/>
  <c r="AQ79" i="11" a="1"/>
  <c r="AQ79" i="11" s="1"/>
  <c r="AQ74" i="11" a="1"/>
  <c r="AQ74" i="11" s="1"/>
  <c r="AQ82" i="11" a="1"/>
  <c r="AQ82" i="11" s="1"/>
  <c r="K250" i="10" a="1"/>
  <c r="K250" i="10" s="1"/>
  <c r="AI294" i="11" a="1"/>
  <c r="AI294" i="11" s="1"/>
  <c r="C71" i="12" a="1"/>
  <c r="C71" i="12" s="1"/>
  <c r="AY80" i="11" a="1"/>
  <c r="AY80" i="11" s="1"/>
  <c r="C70" i="12" a="1"/>
  <c r="C70" i="12" s="1"/>
  <c r="AY82" i="11" a="1"/>
  <c r="AY82" i="11" s="1"/>
  <c r="C69" i="12" a="1"/>
  <c r="C69" i="12" s="1"/>
  <c r="AY81" i="11" a="1"/>
  <c r="AY81" i="11" s="1"/>
  <c r="AY75" i="11" a="1"/>
  <c r="AY75" i="11" s="1"/>
  <c r="C64" i="12" a="1"/>
  <c r="C64" i="12" s="1"/>
  <c r="S154" i="10"/>
  <c r="S162" i="10" s="1"/>
  <c r="S171" i="10" s="1" a="1"/>
  <c r="S171" i="10" s="1"/>
  <c r="AI292" i="11" a="1"/>
  <c r="AI292" i="11" s="1"/>
  <c r="AQ344" i="10" a="1"/>
  <c r="AQ344" i="10" s="1"/>
  <c r="AA394" i="11" a="1"/>
  <c r="AA394" i="11" s="1"/>
  <c r="AY393" i="11" a="1"/>
  <c r="AY393" i="11" s="1"/>
  <c r="AI291" i="11" a="1"/>
  <c r="AI291" i="11" s="1"/>
  <c r="AY396" i="11" a="1"/>
  <c r="AY396" i="11" s="1"/>
  <c r="AI286" i="11" a="1"/>
  <c r="AI286" i="11" s="1"/>
  <c r="AY394" i="11" a="1"/>
  <c r="AY394" i="11" s="1"/>
  <c r="AI287" i="11" a="1"/>
  <c r="AI287" i="11" s="1"/>
  <c r="AY395" i="11" a="1"/>
  <c r="AY395" i="11" s="1"/>
  <c r="AA64" i="10"/>
  <c r="AA73" i="10" s="1"/>
  <c r="AA80" i="10" s="1" a="1"/>
  <c r="AA80" i="10" s="1"/>
  <c r="K255" i="10" a="1"/>
  <c r="K255" i="10" s="1"/>
  <c r="S389" i="11" a="1"/>
  <c r="S389" i="11" s="1"/>
  <c r="AA393" i="11" a="1"/>
  <c r="AA393" i="11" s="1"/>
  <c r="AA396" i="11" a="1"/>
  <c r="AA396" i="11" s="1"/>
  <c r="AA395" i="11" a="1"/>
  <c r="AA395" i="11" s="1"/>
  <c r="AA388" i="11" a="1"/>
  <c r="AA388" i="11" s="1"/>
  <c r="AQ340" i="10" a="1"/>
  <c r="AQ340" i="10" s="1"/>
  <c r="C154" i="10"/>
  <c r="C162" i="10" s="1"/>
  <c r="C163" i="10" s="1" a="1"/>
  <c r="C163" i="10" s="1"/>
  <c r="AQ339" i="10" a="1"/>
  <c r="AQ339" i="10" s="1"/>
  <c r="AQ345" i="10" a="1"/>
  <c r="AQ345" i="10" s="1"/>
  <c r="C82" i="11" a="1"/>
  <c r="C82" i="11" s="1"/>
  <c r="C75" i="11" a="1"/>
  <c r="C75" i="11" s="1"/>
  <c r="AQ347" i="10" a="1"/>
  <c r="AQ347" i="10" s="1"/>
  <c r="C74" i="11" a="1"/>
  <c r="C74" i="11" s="1"/>
  <c r="AI64" i="10"/>
  <c r="AI73" i="10" s="1"/>
  <c r="AI82" i="10" s="1" a="1"/>
  <c r="AI82" i="10" s="1"/>
  <c r="K251" i="10" a="1"/>
  <c r="K251" i="10" s="1"/>
  <c r="C241" i="10"/>
  <c r="C249" i="10" s="1"/>
  <c r="S388" i="11" a="1"/>
  <c r="S388" i="11" s="1"/>
  <c r="S395" i="11" a="1"/>
  <c r="S395" i="11" s="1"/>
  <c r="C81" i="11" a="1"/>
  <c r="C81" i="11" s="1"/>
  <c r="K256" i="10" a="1"/>
  <c r="K256" i="10" s="1"/>
  <c r="S393" i="11" a="1"/>
  <c r="S393" i="11" s="1"/>
  <c r="C64" i="10"/>
  <c r="C73" i="10" s="1"/>
  <c r="C82" i="10" s="1" a="1"/>
  <c r="C82" i="10" s="1"/>
  <c r="C80" i="11" a="1"/>
  <c r="C80" i="11" s="1"/>
  <c r="K257" i="10" a="1"/>
  <c r="K257" i="10" s="1"/>
  <c r="S396" i="11" a="1"/>
  <c r="S396" i="11" s="1"/>
  <c r="AI241" i="10"/>
  <c r="AI249" i="10" s="1"/>
  <c r="AA241" i="10"/>
  <c r="AA249" i="10" s="1"/>
  <c r="AA250" i="10" s="1" a="1"/>
  <c r="AA250" i="10" s="1"/>
  <c r="AA154" i="10"/>
  <c r="AA162" i="10" s="1"/>
  <c r="S286" i="11" a="1"/>
  <c r="S286" i="11" s="1"/>
  <c r="S287" i="11" a="1"/>
  <c r="S287" i="11" s="1"/>
  <c r="S291" i="11" a="1"/>
  <c r="S291" i="11" s="1"/>
  <c r="S292" i="11" a="1"/>
  <c r="S292" i="11" s="1"/>
  <c r="S293" i="11" a="1"/>
  <c r="S293" i="11" s="1"/>
  <c r="S294" i="11" a="1"/>
  <c r="S294" i="11" s="1"/>
  <c r="AI154" i="10"/>
  <c r="AI162" i="10" s="1"/>
  <c r="K74" i="11" a="1"/>
  <c r="K74" i="11" s="1"/>
  <c r="K75" i="11" a="1"/>
  <c r="K75" i="11" s="1"/>
  <c r="K79" i="11" a="1"/>
  <c r="K79" i="11" s="1"/>
  <c r="K82" i="11" a="1"/>
  <c r="K82" i="11" s="1"/>
  <c r="K80" i="11" a="1"/>
  <c r="K80" i="11" s="1"/>
  <c r="K81" i="11" a="1"/>
  <c r="K81" i="11" s="1"/>
  <c r="AA330" i="10"/>
  <c r="AA338" i="10" s="1"/>
  <c r="AA74" i="11" a="1"/>
  <c r="AA74" i="11" s="1"/>
  <c r="AA75" i="11" a="1"/>
  <c r="AA75" i="11" s="1"/>
  <c r="AA79" i="11" a="1"/>
  <c r="AA79" i="11" s="1"/>
  <c r="AA80" i="11" a="1"/>
  <c r="AA80" i="11" s="1"/>
  <c r="AA81" i="11" a="1"/>
  <c r="AA81" i="11" s="1"/>
  <c r="AA82" i="11" a="1"/>
  <c r="AA82" i="11" s="1"/>
  <c r="AC64" i="16" a="1"/>
  <c r="AC64" i="16" s="1"/>
  <c r="AC65" i="16" a="1"/>
  <c r="AC65" i="16" s="1"/>
  <c r="AC70" i="16" a="1"/>
  <c r="AC70" i="16" s="1"/>
  <c r="AC69" i="16" a="1"/>
  <c r="AC69" i="16" s="1"/>
  <c r="AC72" i="16" a="1"/>
  <c r="AC72" i="16" s="1"/>
  <c r="AC71" i="16" a="1"/>
  <c r="AC71" i="16" s="1"/>
  <c r="AQ250" i="10" a="1"/>
  <c r="AQ250" i="10" s="1"/>
  <c r="AQ251" i="10" a="1"/>
  <c r="AQ251" i="10" s="1"/>
  <c r="AQ256" i="10" a="1"/>
  <c r="AQ256" i="10" s="1"/>
  <c r="AQ257" i="10" a="1"/>
  <c r="AQ257" i="10" s="1"/>
  <c r="AQ258" i="10" a="1"/>
  <c r="AQ258" i="10" s="1"/>
  <c r="AQ255" i="10" a="1"/>
  <c r="AQ255" i="10" s="1"/>
  <c r="AQ164" i="10" a="1"/>
  <c r="AQ164" i="10" s="1"/>
  <c r="AQ163" i="10" a="1"/>
  <c r="AQ163" i="10" s="1"/>
  <c r="AQ169" i="10" a="1"/>
  <c r="AQ169" i="10" s="1"/>
  <c r="AQ168" i="10" a="1"/>
  <c r="AQ168" i="10" s="1"/>
  <c r="AQ170" i="10" a="1"/>
  <c r="AQ170" i="10" s="1"/>
  <c r="AI330" i="10"/>
  <c r="AI338" i="10" s="1"/>
  <c r="C330" i="10"/>
  <c r="C338" i="10" s="1"/>
  <c r="C74" i="16" l="1"/>
  <c r="K81" i="9"/>
  <c r="K88" i="9" s="1"/>
  <c r="K96" i="9" s="1" a="1"/>
  <c r="K96" i="9" s="1"/>
  <c r="C73" i="16"/>
  <c r="P74" i="16"/>
  <c r="P73" i="16"/>
  <c r="C97" i="9" a="1"/>
  <c r="C97" i="9" s="1"/>
  <c r="AQ397" i="11"/>
  <c r="AQ398" i="11"/>
  <c r="P73" i="12"/>
  <c r="C90" i="9" a="1"/>
  <c r="C90" i="9" s="1"/>
  <c r="AI397" i="11"/>
  <c r="P74" i="12"/>
  <c r="AI398" i="11"/>
  <c r="K397" i="11"/>
  <c r="K344" i="10" a="1"/>
  <c r="K344" i="10" s="1"/>
  <c r="C96" i="9" a="1"/>
  <c r="C96" i="9" s="1"/>
  <c r="C89" i="9" a="1"/>
  <c r="C89" i="9" s="1"/>
  <c r="C95" i="9" a="1"/>
  <c r="C95" i="9" s="1"/>
  <c r="K346" i="10" a="1"/>
  <c r="K346" i="10" s="1"/>
  <c r="K340" i="10" a="1"/>
  <c r="K340" i="10" s="1"/>
  <c r="S255" i="10" a="1"/>
  <c r="S255" i="10" s="1"/>
  <c r="K398" i="11"/>
  <c r="K339" i="10" a="1"/>
  <c r="K339" i="10" s="1"/>
  <c r="K345" i="10" a="1"/>
  <c r="K345" i="10" s="1"/>
  <c r="AA296" i="11"/>
  <c r="S256" i="10" a="1"/>
  <c r="S256" i="10" s="1"/>
  <c r="AA295" i="11"/>
  <c r="AY81" i="10" a="1"/>
  <c r="AY81" i="10" s="1"/>
  <c r="S251" i="10" a="1"/>
  <c r="S251" i="10" s="1"/>
  <c r="S258" i="10" a="1"/>
  <c r="S258" i="10" s="1"/>
  <c r="AY82" i="10" a="1"/>
  <c r="AY82" i="10" s="1"/>
  <c r="S250" i="10" a="1"/>
  <c r="S250" i="10" s="1"/>
  <c r="P47" i="14"/>
  <c r="C31" i="2" s="1"/>
  <c r="AY295" i="11"/>
  <c r="AY296" i="11"/>
  <c r="P75" i="13"/>
  <c r="AY80" i="10" a="1"/>
  <c r="AY80" i="10" s="1"/>
  <c r="AY74" i="10" a="1"/>
  <c r="AY74" i="10" s="1"/>
  <c r="AY75" i="10" a="1"/>
  <c r="AY75" i="10" s="1"/>
  <c r="AY258" i="10" a="1"/>
  <c r="AY258" i="10" s="1"/>
  <c r="P74" i="13"/>
  <c r="C75" i="13"/>
  <c r="K170" i="10" a="1"/>
  <c r="K170" i="10" s="1"/>
  <c r="K163" i="10" a="1"/>
  <c r="K163" i="10" s="1"/>
  <c r="K164" i="10" a="1"/>
  <c r="K164" i="10" s="1"/>
  <c r="C74" i="13"/>
  <c r="K168" i="10" a="1"/>
  <c r="K168" i="10" s="1"/>
  <c r="K171" i="10" a="1"/>
  <c r="K171" i="10" s="1"/>
  <c r="C295" i="11"/>
  <c r="C296" i="11"/>
  <c r="AY257" i="10" a="1"/>
  <c r="AY257" i="10" s="1"/>
  <c r="AY255" i="10" a="1"/>
  <c r="AY255" i="10" s="1"/>
  <c r="AY256" i="10" a="1"/>
  <c r="AY256" i="10" s="1"/>
  <c r="AY251" i="10" a="1"/>
  <c r="AY251" i="10" s="1"/>
  <c r="AD74" i="12"/>
  <c r="K295" i="11"/>
  <c r="K74" i="10" a="1"/>
  <c r="K74" i="10" s="1"/>
  <c r="K81" i="10" a="1"/>
  <c r="K81" i="10" s="1"/>
  <c r="K75" i="10" a="1"/>
  <c r="K75" i="10" s="1"/>
  <c r="K79" i="10" a="1"/>
  <c r="K79" i="10" s="1"/>
  <c r="K80" i="10" a="1"/>
  <c r="K80" i="10" s="1"/>
  <c r="K296" i="11"/>
  <c r="AC75" i="13"/>
  <c r="AY163" i="10" a="1"/>
  <c r="AY163" i="10" s="1"/>
  <c r="AY169" i="10" a="1"/>
  <c r="AY169" i="10" s="1"/>
  <c r="S84" i="11"/>
  <c r="AY170" i="10" a="1"/>
  <c r="AY170" i="10" s="1"/>
  <c r="AY164" i="10" a="1"/>
  <c r="AY164" i="10" s="1"/>
  <c r="AY349" i="10"/>
  <c r="S83" i="11"/>
  <c r="AC74" i="13"/>
  <c r="AY168" i="10" a="1"/>
  <c r="AY168" i="10" s="1"/>
  <c r="AY348" i="10"/>
  <c r="AQ296" i="11"/>
  <c r="AQ295" i="11"/>
  <c r="AQ84" i="10"/>
  <c r="AY83" i="11"/>
  <c r="AI83" i="11"/>
  <c r="S348" i="10"/>
  <c r="AI84" i="11"/>
  <c r="S349" i="10"/>
  <c r="S80" i="10" a="1"/>
  <c r="S80" i="10" s="1"/>
  <c r="C397" i="11"/>
  <c r="AD73" i="12"/>
  <c r="S74" i="10" a="1"/>
  <c r="S74" i="10" s="1"/>
  <c r="AA75" i="10" a="1"/>
  <c r="AA75" i="10" s="1"/>
  <c r="S81" i="10" a="1"/>
  <c r="S81" i="10" s="1"/>
  <c r="AA81" i="10" a="1"/>
  <c r="AA81" i="10" s="1"/>
  <c r="AQ83" i="10"/>
  <c r="S82" i="10" a="1"/>
  <c r="S82" i="10" s="1"/>
  <c r="AA74" i="10" a="1"/>
  <c r="AA74" i="10" s="1"/>
  <c r="S75" i="10" a="1"/>
  <c r="S75" i="10" s="1"/>
  <c r="AA82" i="10" a="1"/>
  <c r="AA82" i="10" s="1"/>
  <c r="AY398" i="11"/>
  <c r="AA79" i="10" a="1"/>
  <c r="AA79" i="10" s="1"/>
  <c r="C398" i="11"/>
  <c r="S169" i="10" a="1"/>
  <c r="S169" i="10" s="1"/>
  <c r="AQ83" i="11"/>
  <c r="S164" i="10" a="1"/>
  <c r="S164" i="10" s="1"/>
  <c r="AI296" i="11"/>
  <c r="S168" i="10" a="1"/>
  <c r="S168" i="10" s="1"/>
  <c r="S170" i="10" a="1"/>
  <c r="S170" i="10" s="1"/>
  <c r="AQ84" i="11"/>
  <c r="AI295" i="11"/>
  <c r="C74" i="12"/>
  <c r="AY84" i="11"/>
  <c r="AY397" i="11"/>
  <c r="C73" i="12"/>
  <c r="S397" i="11"/>
  <c r="S163" i="10" a="1"/>
  <c r="S163" i="10" s="1"/>
  <c r="AA397" i="11"/>
  <c r="C80" i="10" a="1"/>
  <c r="C80" i="10" s="1"/>
  <c r="C79" i="10" a="1"/>
  <c r="C79" i="10" s="1"/>
  <c r="C75" i="10" a="1"/>
  <c r="C75" i="10" s="1"/>
  <c r="C74" i="10" a="1"/>
  <c r="C74" i="10" s="1"/>
  <c r="AQ349" i="10"/>
  <c r="C81" i="10" a="1"/>
  <c r="C81" i="10" s="1"/>
  <c r="AA258" i="10" a="1"/>
  <c r="AA258" i="10" s="1"/>
  <c r="AI79" i="10" a="1"/>
  <c r="AI79" i="10" s="1"/>
  <c r="AA257" i="10" a="1"/>
  <c r="AA257" i="10" s="1"/>
  <c r="AA251" i="10" a="1"/>
  <c r="AA251" i="10" s="1"/>
  <c r="S398" i="11"/>
  <c r="AA398" i="11"/>
  <c r="AQ348" i="10"/>
  <c r="AI81" i="10" a="1"/>
  <c r="AI81" i="10" s="1"/>
  <c r="AI75" i="10" a="1"/>
  <c r="AI75" i="10" s="1"/>
  <c r="AI74" i="10" a="1"/>
  <c r="AI74" i="10" s="1"/>
  <c r="AI80" i="10" a="1"/>
  <c r="AI80" i="10" s="1"/>
  <c r="K259" i="10"/>
  <c r="C171" i="10" a="1"/>
  <c r="C171" i="10" s="1"/>
  <c r="C170" i="10" a="1"/>
  <c r="C170" i="10" s="1"/>
  <c r="K260" i="10"/>
  <c r="C169" i="10" a="1"/>
  <c r="C169" i="10" s="1"/>
  <c r="C83" i="11"/>
  <c r="C168" i="10" a="1"/>
  <c r="C168" i="10" s="1"/>
  <c r="C84" i="11"/>
  <c r="C164" i="10" a="1"/>
  <c r="C164" i="10" s="1"/>
  <c r="AA255" i="10" a="1"/>
  <c r="AA255" i="10" s="1"/>
  <c r="AA256" i="10" a="1"/>
  <c r="AA256" i="10" s="1"/>
  <c r="AQ260" i="10"/>
  <c r="C256" i="10" a="1"/>
  <c r="C256" i="10" s="1"/>
  <c r="C257" i="10" a="1"/>
  <c r="C257" i="10" s="1"/>
  <c r="C258" i="10" a="1"/>
  <c r="C258" i="10" s="1"/>
  <c r="C251" i="10" a="1"/>
  <c r="C251" i="10" s="1"/>
  <c r="C250" i="10" a="1"/>
  <c r="C250" i="10" s="1"/>
  <c r="C255" i="10" a="1"/>
  <c r="C255" i="10" s="1"/>
  <c r="AA84" i="11"/>
  <c r="AI255" i="10" a="1"/>
  <c r="AI255" i="10" s="1"/>
  <c r="AI258" i="10" a="1"/>
  <c r="AI258" i="10" s="1"/>
  <c r="AI256" i="10" a="1"/>
  <c r="AI256" i="10" s="1"/>
  <c r="AI251" i="10" a="1"/>
  <c r="AI251" i="10" s="1"/>
  <c r="AI257" i="10" a="1"/>
  <c r="AI257" i="10" s="1"/>
  <c r="AI250" i="10" a="1"/>
  <c r="AI250" i="10" s="1"/>
  <c r="C339" i="10" a="1"/>
  <c r="C339" i="10" s="1"/>
  <c r="C340" i="10" a="1"/>
  <c r="C340" i="10" s="1"/>
  <c r="C346" i="10" a="1"/>
  <c r="C346" i="10" s="1"/>
  <c r="C347" i="10" a="1"/>
  <c r="C347" i="10" s="1"/>
  <c r="C344" i="10" a="1"/>
  <c r="C344" i="10" s="1"/>
  <c r="C345" i="10" a="1"/>
  <c r="C345" i="10" s="1"/>
  <c r="K83" i="11"/>
  <c r="AQ173" i="10"/>
  <c r="AC74" i="16"/>
  <c r="S296" i="11"/>
  <c r="AA339" i="10" a="1"/>
  <c r="AA339" i="10" s="1"/>
  <c r="AA340" i="10" a="1"/>
  <c r="AA340" i="10" s="1"/>
  <c r="AA344" i="10" a="1"/>
  <c r="AA344" i="10" s="1"/>
  <c r="AA345" i="10" a="1"/>
  <c r="AA345" i="10" s="1"/>
  <c r="AA346" i="10" a="1"/>
  <c r="AA346" i="10" s="1"/>
  <c r="AA347" i="10" a="1"/>
  <c r="AA347" i="10" s="1"/>
  <c r="AQ172" i="10"/>
  <c r="AA83" i="11"/>
  <c r="AI163" i="10" a="1"/>
  <c r="AI163" i="10" s="1"/>
  <c r="AI164" i="10" a="1"/>
  <c r="AI164" i="10" s="1"/>
  <c r="AI169" i="10" a="1"/>
  <c r="AI169" i="10" s="1"/>
  <c r="AI170" i="10" a="1"/>
  <c r="AI170" i="10" s="1"/>
  <c r="AI171" i="10" a="1"/>
  <c r="AI171" i="10" s="1"/>
  <c r="AI168" i="10" a="1"/>
  <c r="AI168" i="10" s="1"/>
  <c r="AI340" i="10" a="1"/>
  <c r="AI340" i="10" s="1"/>
  <c r="AI339" i="10" a="1"/>
  <c r="AI339" i="10" s="1"/>
  <c r="AI347" i="10" a="1"/>
  <c r="AI347" i="10" s="1"/>
  <c r="AI346" i="10" a="1"/>
  <c r="AI346" i="10" s="1"/>
  <c r="AI344" i="10" a="1"/>
  <c r="AI344" i="10" s="1"/>
  <c r="AI345" i="10" a="1"/>
  <c r="AI345" i="10" s="1"/>
  <c r="AQ259" i="10"/>
  <c r="AC73" i="16"/>
  <c r="S295" i="11"/>
  <c r="K84" i="11"/>
  <c r="AA163" i="10" a="1"/>
  <c r="AA163" i="10" s="1"/>
  <c r="AA164" i="10" a="1"/>
  <c r="AA164" i="10" s="1"/>
  <c r="AA168" i="10" a="1"/>
  <c r="AA168" i="10" s="1"/>
  <c r="AA171" i="10" a="1"/>
  <c r="AA171" i="10" s="1"/>
  <c r="AA169" i="10" a="1"/>
  <c r="AA169" i="10" s="1"/>
  <c r="AA170" i="10" a="1"/>
  <c r="AA170" i="10" s="1"/>
  <c r="C75" i="16" l="1"/>
  <c r="C82" i="16" s="1"/>
  <c r="C88" i="16" s="1" a="1"/>
  <c r="C88" i="16" s="1"/>
  <c r="K94" i="9" a="1"/>
  <c r="K94" i="9" s="1"/>
  <c r="K97" i="9" a="1"/>
  <c r="K97" i="9" s="1"/>
  <c r="K89" i="9" a="1"/>
  <c r="K89" i="9" s="1"/>
  <c r="K95" i="9" a="1"/>
  <c r="K95" i="9" s="1"/>
  <c r="K90" i="9" a="1"/>
  <c r="K90" i="9" s="1"/>
  <c r="K399" i="11"/>
  <c r="T9" i="7" s="1"/>
  <c r="T21" i="7" s="1"/>
  <c r="P75" i="16"/>
  <c r="P82" i="16" s="1"/>
  <c r="P88" i="16" s="1" a="1"/>
  <c r="P88" i="16" s="1"/>
  <c r="AQ399" i="11"/>
  <c r="T5" i="7" s="1"/>
  <c r="T14" i="7" s="1"/>
  <c r="P75" i="12"/>
  <c r="B31" i="7" s="1"/>
  <c r="E31" i="7" s="1"/>
  <c r="F31" i="7" s="1" a="1"/>
  <c r="F31" i="7" s="1"/>
  <c r="AI399" i="11"/>
  <c r="T6" i="7" s="1"/>
  <c r="C99" i="9"/>
  <c r="C98" i="9"/>
  <c r="K348" i="10"/>
  <c r="K349" i="10"/>
  <c r="AA297" i="11"/>
  <c r="AA303" i="11" s="1"/>
  <c r="AA305" i="11" s="1" a="1"/>
  <c r="AA305" i="11" s="1"/>
  <c r="S259" i="10"/>
  <c r="S260" i="10"/>
  <c r="AY297" i="11"/>
  <c r="AY303" i="11" s="1"/>
  <c r="AY305" i="11" s="1" a="1"/>
  <c r="AY305" i="11" s="1"/>
  <c r="K84" i="10"/>
  <c r="P76" i="13"/>
  <c r="B33" i="7" s="1"/>
  <c r="E33" i="7" s="1"/>
  <c r="D37" i="1" s="1"/>
  <c r="AC76" i="13"/>
  <c r="B33" i="8" s="1"/>
  <c r="E33" i="8" s="1"/>
  <c r="E37" i="1" s="1"/>
  <c r="AY84" i="10"/>
  <c r="K172" i="10"/>
  <c r="K173" i="10"/>
  <c r="AY83" i="10"/>
  <c r="C76" i="13"/>
  <c r="B33" i="6" s="1"/>
  <c r="E33" i="6" s="1"/>
  <c r="C30" i="1" s="1"/>
  <c r="C297" i="11"/>
  <c r="C303" i="11" s="1"/>
  <c r="C305" i="11" s="1" a="1"/>
  <c r="C305" i="11" s="1"/>
  <c r="AY350" i="10"/>
  <c r="AY362" i="10" s="1"/>
  <c r="AY370" i="10" s="1" a="1"/>
  <c r="AY370" i="10" s="1"/>
  <c r="AY260" i="10"/>
  <c r="AQ297" i="11"/>
  <c r="S5" i="7" s="1"/>
  <c r="S14" i="7" s="1"/>
  <c r="AY259" i="10"/>
  <c r="K83" i="10"/>
  <c r="AD75" i="12"/>
  <c r="B31" i="8" s="1"/>
  <c r="B32" i="8" s="1"/>
  <c r="E32" i="8" s="1"/>
  <c r="F32" i="8" s="1" a="1"/>
  <c r="F32" i="8" s="1"/>
  <c r="AQ85" i="10"/>
  <c r="AQ91" i="10" s="1"/>
  <c r="AQ92" i="10" s="1" a="1"/>
  <c r="AQ92" i="10" s="1"/>
  <c r="K297" i="11"/>
  <c r="S9" i="7" s="1"/>
  <c r="S21" i="7" s="1"/>
  <c r="AY172" i="10"/>
  <c r="AY173" i="10"/>
  <c r="S85" i="11"/>
  <c r="S91" i="11" s="1"/>
  <c r="S99" i="11" s="1" a="1"/>
  <c r="S99" i="11" s="1"/>
  <c r="AY85" i="11"/>
  <c r="AY91" i="11" s="1"/>
  <c r="AY93" i="11" s="1" a="1"/>
  <c r="AY93" i="11" s="1"/>
  <c r="S350" i="10"/>
  <c r="S362" i="10" s="1"/>
  <c r="S364" i="10" s="1" a="1"/>
  <c r="S364" i="10" s="1"/>
  <c r="AA84" i="10"/>
  <c r="AA83" i="10"/>
  <c r="AI85" i="11"/>
  <c r="AI91" i="11" s="1"/>
  <c r="AI99" i="11" s="1" a="1"/>
  <c r="AI99" i="11" s="1"/>
  <c r="AY399" i="11"/>
  <c r="AQ85" i="11"/>
  <c r="AQ91" i="11" s="1"/>
  <c r="AQ92" i="11" s="1" a="1"/>
  <c r="AQ92" i="11" s="1"/>
  <c r="S83" i="10"/>
  <c r="S172" i="10"/>
  <c r="S84" i="10"/>
  <c r="C399" i="11"/>
  <c r="T10" i="7" s="1"/>
  <c r="AI297" i="11"/>
  <c r="S6" i="7" s="1"/>
  <c r="S173" i="10"/>
  <c r="C75" i="12"/>
  <c r="B31" i="6" s="1"/>
  <c r="B32" i="6" s="1"/>
  <c r="E32" i="6" s="1"/>
  <c r="F32" i="6" s="1" a="1"/>
  <c r="F32" i="6" s="1"/>
  <c r="AA399" i="11"/>
  <c r="T7" i="7" s="1"/>
  <c r="C85" i="11"/>
  <c r="C91" i="11" s="1"/>
  <c r="C93" i="11" s="1" a="1"/>
  <c r="C93" i="11" s="1"/>
  <c r="C83" i="10"/>
  <c r="S399" i="11"/>
  <c r="T8" i="7" s="1"/>
  <c r="T20" i="7" s="1"/>
  <c r="C84" i="10"/>
  <c r="AA260" i="10"/>
  <c r="AQ350" i="10"/>
  <c r="AQ362" i="10" s="1"/>
  <c r="AQ363" i="10" s="1" a="1"/>
  <c r="AQ363" i="10" s="1"/>
  <c r="AA85" i="11"/>
  <c r="AA91" i="11" s="1"/>
  <c r="AA92" i="11" s="1" a="1"/>
  <c r="AA92" i="11" s="1"/>
  <c r="AI83" i="10"/>
  <c r="AI84" i="10"/>
  <c r="AA259" i="10"/>
  <c r="K261" i="10"/>
  <c r="K267" i="10" s="1"/>
  <c r="K273" i="10" s="1" a="1"/>
  <c r="K273" i="10" s="1"/>
  <c r="C173" i="10"/>
  <c r="S297" i="11"/>
  <c r="S303" i="11" s="1"/>
  <c r="C172" i="10"/>
  <c r="AQ261" i="10"/>
  <c r="AQ267" i="10" s="1"/>
  <c r="AQ274" i="10" s="1" a="1"/>
  <c r="AQ274" i="10" s="1"/>
  <c r="AI259" i="10"/>
  <c r="C260" i="10"/>
  <c r="C348" i="10"/>
  <c r="AA173" i="10"/>
  <c r="AI260" i="10"/>
  <c r="C259" i="10"/>
  <c r="AQ174" i="10"/>
  <c r="AQ180" i="10" s="1"/>
  <c r="AQ186" i="10" s="1" a="1"/>
  <c r="AQ186" i="10" s="1"/>
  <c r="AC75" i="16"/>
  <c r="AA349" i="10"/>
  <c r="C349" i="10"/>
  <c r="AA172" i="10"/>
  <c r="AA348" i="10"/>
  <c r="AI348" i="10"/>
  <c r="AI172" i="10"/>
  <c r="AI349" i="10"/>
  <c r="AI173" i="10"/>
  <c r="K85" i="11"/>
  <c r="K91" i="11" s="1"/>
  <c r="C91" i="16" l="1" a="1"/>
  <c r="C91" i="16" s="1"/>
  <c r="C83" i="16" a="1"/>
  <c r="C83" i="16" s="1"/>
  <c r="C90" i="16" a="1"/>
  <c r="C90" i="16" s="1"/>
  <c r="B29" i="6"/>
  <c r="E29" i="6" s="1"/>
  <c r="C28" i="1" s="1"/>
  <c r="C84" i="16" a="1"/>
  <c r="C84" i="16" s="1"/>
  <c r="C89" i="16" a="1"/>
  <c r="C89" i="16" s="1"/>
  <c r="K98" i="9"/>
  <c r="K99" i="9"/>
  <c r="P83" i="16" a="1"/>
  <c r="P83" i="16" s="1"/>
  <c r="P84" i="16" a="1"/>
  <c r="P84" i="16" s="1"/>
  <c r="T22" i="7"/>
  <c r="T25" i="7" s="1"/>
  <c r="P90" i="16" a="1"/>
  <c r="P90" i="16" s="1"/>
  <c r="B29" i="7"/>
  <c r="E29" i="7" s="1"/>
  <c r="F29" i="7" s="1" a="1"/>
  <c r="F29" i="7" s="1"/>
  <c r="P89" i="16" a="1"/>
  <c r="P89" i="16" s="1"/>
  <c r="P91" i="16" a="1"/>
  <c r="P91" i="16" s="1"/>
  <c r="AA312" i="11"/>
  <c r="B32" i="7"/>
  <c r="E32" i="7" s="1"/>
  <c r="F32" i="7" s="1" a="1"/>
  <c r="F32" i="7" s="1"/>
  <c r="K350" i="10"/>
  <c r="K362" i="10" s="1"/>
  <c r="K369" i="10" s="1" a="1"/>
  <c r="K369" i="10" s="1"/>
  <c r="C100" i="9"/>
  <c r="C102" i="9" s="1"/>
  <c r="C104" i="9" s="1"/>
  <c r="B85" i="5" s="1"/>
  <c r="B89" i="5" s="1" a="1"/>
  <c r="B89" i="5" s="1"/>
  <c r="AY309" i="11" a="1"/>
  <c r="AY309" i="11" s="1"/>
  <c r="K85" i="10"/>
  <c r="K91" i="10" s="1"/>
  <c r="K93" i="10" s="1" a="1"/>
  <c r="K93" i="10" s="1"/>
  <c r="AA311" i="11"/>
  <c r="AA309" i="11"/>
  <c r="AA304" i="11" a="1"/>
  <c r="AA304" i="11" s="1"/>
  <c r="S7" i="7"/>
  <c r="AA310" i="11"/>
  <c r="S261" i="10"/>
  <c r="S267" i="10" s="1"/>
  <c r="S274" i="10" s="1" a="1"/>
  <c r="S274" i="10" s="1"/>
  <c r="AY311" i="11" a="1"/>
  <c r="AY311" i="11" s="1"/>
  <c r="AY310" i="11" a="1"/>
  <c r="AY310" i="11" s="1"/>
  <c r="F33" i="7" a="1"/>
  <c r="F33" i="7" s="1"/>
  <c r="E30" i="1"/>
  <c r="F33" i="8" a="1"/>
  <c r="F33" i="8" s="1"/>
  <c r="D30" i="1"/>
  <c r="AY312" i="11" a="1"/>
  <c r="AY312" i="11" s="1"/>
  <c r="AY304" i="11" a="1"/>
  <c r="AY304" i="11" s="1"/>
  <c r="C311" i="11"/>
  <c r="E31" i="8"/>
  <c r="F31" i="8" s="1" a="1"/>
  <c r="F31" i="8" s="1"/>
  <c r="AY363" i="10" a="1"/>
  <c r="AY363" i="10" s="1"/>
  <c r="AY85" i="10"/>
  <c r="AY91" i="10" s="1"/>
  <c r="AY92" i="10" s="1" a="1"/>
  <c r="AY92" i="10" s="1"/>
  <c r="K174" i="10"/>
  <c r="K180" i="10" s="1"/>
  <c r="K186" i="10" s="1" a="1"/>
  <c r="K186" i="10" s="1"/>
  <c r="F33" i="6" a="1"/>
  <c r="F33" i="6" s="1"/>
  <c r="C37" i="1"/>
  <c r="S370" i="10" a="1"/>
  <c r="S370" i="10" s="1"/>
  <c r="AY371" i="10" a="1"/>
  <c r="AY371" i="10" s="1"/>
  <c r="K303" i="11"/>
  <c r="K309" i="11" s="1"/>
  <c r="AY369" i="10" a="1"/>
  <c r="AY369" i="10" s="1"/>
  <c r="AY364" i="10" a="1"/>
  <c r="AY364" i="10" s="1"/>
  <c r="C310" i="11"/>
  <c r="C312" i="11"/>
  <c r="C309" i="11"/>
  <c r="S363" i="10" a="1"/>
  <c r="S363" i="10" s="1"/>
  <c r="C304" i="11" a="1"/>
  <c r="C304" i="11" s="1"/>
  <c r="S10" i="7"/>
  <c r="AY368" i="10" a="1"/>
  <c r="AY368" i="10" s="1"/>
  <c r="AQ303" i="11"/>
  <c r="AQ305" i="11" s="1" a="1"/>
  <c r="AQ305" i="11" s="1"/>
  <c r="AY261" i="10"/>
  <c r="AY267" i="10" s="1"/>
  <c r="AY274" i="10" s="1" a="1"/>
  <c r="AY274" i="10" s="1"/>
  <c r="AQ97" i="11" a="1"/>
  <c r="AQ97" i="11" s="1"/>
  <c r="AQ93" i="10" a="1"/>
  <c r="AQ93" i="10" s="1"/>
  <c r="AQ100" i="10" a="1"/>
  <c r="AQ100" i="10" s="1"/>
  <c r="AQ99" i="10" a="1"/>
  <c r="AQ99" i="10" s="1"/>
  <c r="AQ98" i="10" a="1"/>
  <c r="AQ98" i="10" s="1"/>
  <c r="AQ97" i="10" a="1"/>
  <c r="AQ97" i="10" s="1"/>
  <c r="AY99" i="11" a="1"/>
  <c r="AY99" i="11" s="1"/>
  <c r="AA85" i="10"/>
  <c r="AA91" i="10" s="1"/>
  <c r="AA97" i="10" s="1" a="1"/>
  <c r="AA97" i="10" s="1"/>
  <c r="AY174" i="10"/>
  <c r="AY180" i="10" s="1"/>
  <c r="AY189" i="10" s="1" a="1"/>
  <c r="AY189" i="10" s="1"/>
  <c r="AY98" i="11" a="1"/>
  <c r="AY98" i="11" s="1"/>
  <c r="AY100" i="11" a="1"/>
  <c r="AY100" i="11" s="1"/>
  <c r="AY97" i="11" a="1"/>
  <c r="AY97" i="11" s="1"/>
  <c r="AY92" i="11" a="1"/>
  <c r="AY92" i="11" s="1"/>
  <c r="S371" i="10" a="1"/>
  <c r="S371" i="10" s="1"/>
  <c r="AQ98" i="11" a="1"/>
  <c r="AQ98" i="11" s="1"/>
  <c r="S369" i="10" a="1"/>
  <c r="S369" i="10" s="1"/>
  <c r="AQ100" i="11" a="1"/>
  <c r="AQ100" i="11" s="1"/>
  <c r="S368" i="10" a="1"/>
  <c r="S368" i="10" s="1"/>
  <c r="S93" i="11" a="1"/>
  <c r="S93" i="11" s="1"/>
  <c r="S98" i="11" a="1"/>
  <c r="S98" i="11" s="1"/>
  <c r="S100" i="11" a="1"/>
  <c r="S100" i="11" s="1"/>
  <c r="S92" i="11" a="1"/>
  <c r="S92" i="11" s="1"/>
  <c r="C97" i="11" a="1"/>
  <c r="C97" i="11" s="1"/>
  <c r="AQ93" i="11" a="1"/>
  <c r="AQ93" i="11" s="1"/>
  <c r="AQ99" i="11" a="1"/>
  <c r="AQ99" i="11" s="1"/>
  <c r="S97" i="11" a="1"/>
  <c r="S97" i="11" s="1"/>
  <c r="AI93" i="11" a="1"/>
  <c r="AI93" i="11" s="1"/>
  <c r="AI97" i="11" a="1"/>
  <c r="AI97" i="11" s="1"/>
  <c r="AI98" i="11" a="1"/>
  <c r="AI98" i="11" s="1"/>
  <c r="AI92" i="11" a="1"/>
  <c r="AI92" i="11" s="1"/>
  <c r="S85" i="10"/>
  <c r="S91" i="10" s="1"/>
  <c r="S93" i="10" s="1" a="1"/>
  <c r="S93" i="10" s="1"/>
  <c r="AI85" i="10"/>
  <c r="AI91" i="10" s="1"/>
  <c r="AI100" i="10" s="1" a="1"/>
  <c r="AI100" i="10" s="1"/>
  <c r="AI100" i="11" a="1"/>
  <c r="AI100" i="11" s="1"/>
  <c r="AQ364" i="10" a="1"/>
  <c r="AQ364" i="10" s="1"/>
  <c r="AQ370" i="10" a="1"/>
  <c r="AQ370" i="10" s="1"/>
  <c r="AQ371" i="10" a="1"/>
  <c r="AQ371" i="10" s="1"/>
  <c r="AQ368" i="10" a="1"/>
  <c r="AQ368" i="10" s="1"/>
  <c r="C85" i="10"/>
  <c r="C91" i="10" s="1"/>
  <c r="C98" i="10" s="1" a="1"/>
  <c r="C98" i="10" s="1"/>
  <c r="S174" i="10"/>
  <c r="S180" i="10" s="1"/>
  <c r="S186" i="10" s="1" a="1"/>
  <c r="S186" i="10" s="1"/>
  <c r="E31" i="6"/>
  <c r="F31" i="6" s="1" a="1"/>
  <c r="F31" i="6" s="1"/>
  <c r="AI303" i="11"/>
  <c r="AI304" i="11" s="1" a="1"/>
  <c r="AI304" i="11" s="1"/>
  <c r="C92" i="11" a="1"/>
  <c r="C92" i="11" s="1"/>
  <c r="AQ369" i="10" a="1"/>
  <c r="AQ369" i="10" s="1"/>
  <c r="K276" i="10" a="1"/>
  <c r="K276" i="10" s="1"/>
  <c r="C100" i="11" a="1"/>
  <c r="C100" i="11" s="1"/>
  <c r="C99" i="11" a="1"/>
  <c r="C99" i="11" s="1"/>
  <c r="C98" i="11" a="1"/>
  <c r="C98" i="11" s="1"/>
  <c r="AA261" i="10"/>
  <c r="AA267" i="10" s="1"/>
  <c r="AA268" i="10" s="1" a="1"/>
  <c r="AA268" i="10" s="1"/>
  <c r="K274" i="10" a="1"/>
  <c r="K274" i="10" s="1"/>
  <c r="K275" i="10" a="1"/>
  <c r="K275" i="10" s="1"/>
  <c r="AA99" i="11" a="1"/>
  <c r="AA99" i="11" s="1"/>
  <c r="AA97" i="11" a="1"/>
  <c r="AA97" i="11" s="1"/>
  <c r="AA93" i="11" a="1"/>
  <c r="AA93" i="11" s="1"/>
  <c r="AA100" i="11" a="1"/>
  <c r="AA100" i="11" s="1"/>
  <c r="AA98" i="11" a="1"/>
  <c r="AA98" i="11" s="1"/>
  <c r="K269" i="10" a="1"/>
  <c r="K269" i="10" s="1"/>
  <c r="K268" i="10" a="1"/>
  <c r="K268" i="10" s="1"/>
  <c r="S8" i="7"/>
  <c r="S20" i="7" s="1"/>
  <c r="S22" i="7" s="1"/>
  <c r="S23" i="7" s="1"/>
  <c r="C174" i="10"/>
  <c r="C180" i="10" s="1"/>
  <c r="C186" i="10" s="1" a="1"/>
  <c r="C186" i="10" s="1"/>
  <c r="AI261" i="10"/>
  <c r="AI267" i="10" s="1"/>
  <c r="AI276" i="10" s="1" a="1"/>
  <c r="AI276" i="10" s="1"/>
  <c r="AQ189" i="10" a="1"/>
  <c r="AQ189" i="10" s="1"/>
  <c r="AQ187" i="10" a="1"/>
  <c r="AQ187" i="10" s="1"/>
  <c r="AQ182" i="10" a="1"/>
  <c r="AQ182" i="10" s="1"/>
  <c r="AA174" i="10"/>
  <c r="AA180" i="10" s="1"/>
  <c r="AA187" i="10" s="1" a="1"/>
  <c r="AA187" i="10" s="1"/>
  <c r="AQ188" i="10" a="1"/>
  <c r="AQ188" i="10" s="1"/>
  <c r="AQ181" i="10" a="1"/>
  <c r="AQ181" i="10" s="1"/>
  <c r="C261" i="10"/>
  <c r="C267" i="10" s="1"/>
  <c r="C275" i="10" s="1" a="1"/>
  <c r="C275" i="10" s="1"/>
  <c r="AQ268" i="10" a="1"/>
  <c r="AQ268" i="10" s="1"/>
  <c r="AQ273" i="10" a="1"/>
  <c r="AQ273" i="10" s="1"/>
  <c r="AQ275" i="10" a="1"/>
  <c r="AQ275" i="10" s="1"/>
  <c r="AQ276" i="10" a="1"/>
  <c r="AQ276" i="10" s="1"/>
  <c r="AQ269" i="10" a="1"/>
  <c r="AQ269" i="10" s="1"/>
  <c r="C350" i="10"/>
  <c r="C362" i="10" s="1"/>
  <c r="C369" i="10" s="1" a="1"/>
  <c r="C369" i="10" s="1"/>
  <c r="K97" i="11" a="1"/>
  <c r="K97" i="11" s="1"/>
  <c r="K93" i="11" a="1"/>
  <c r="K93" i="11" s="1"/>
  <c r="K98" i="11" a="1"/>
  <c r="K98" i="11" s="1"/>
  <c r="K92" i="11" a="1"/>
  <c r="K92" i="11" s="1"/>
  <c r="K99" i="11" a="1"/>
  <c r="K99" i="11" s="1"/>
  <c r="K100" i="11" a="1"/>
  <c r="K100" i="11" s="1"/>
  <c r="AI174" i="10"/>
  <c r="AI180" i="10" s="1"/>
  <c r="AC82" i="16"/>
  <c r="B29" i="8"/>
  <c r="E29" i="8" s="1"/>
  <c r="AA350" i="10"/>
  <c r="AA362" i="10" s="1"/>
  <c r="S304" i="11" a="1"/>
  <c r="S304" i="11" s="1"/>
  <c r="S305" i="11" a="1"/>
  <c r="S305" i="11" s="1"/>
  <c r="S311" i="11"/>
  <c r="S310" i="11"/>
  <c r="S309" i="11"/>
  <c r="S312" i="11"/>
  <c r="AI350" i="10"/>
  <c r="AI362" i="10" s="1"/>
  <c r="C93" i="16" l="1"/>
  <c r="C92" i="16"/>
  <c r="C35" i="1"/>
  <c r="F21" i="1" s="1"/>
  <c r="F29" i="6" a="1"/>
  <c r="F29" i="6" s="1"/>
  <c r="K100" i="9"/>
  <c r="K102" i="9" s="1"/>
  <c r="K104" i="9" s="1"/>
  <c r="D85" i="5" s="1"/>
  <c r="D86" i="5" s="1" a="1"/>
  <c r="D86" i="5" s="1"/>
  <c r="P92" i="16"/>
  <c r="D35" i="1"/>
  <c r="P93" i="16"/>
  <c r="K368" i="10" a="1"/>
  <c r="K368" i="10" s="1"/>
  <c r="K363" i="10" a="1"/>
  <c r="K363" i="10" s="1"/>
  <c r="G27" i="2"/>
  <c r="D37" i="2" s="1"/>
  <c r="D28" i="1"/>
  <c r="B86" i="5" a="1"/>
  <c r="B86" i="5" s="1"/>
  <c r="K98" i="10" a="1"/>
  <c r="K98" i="10" s="1"/>
  <c r="K100" i="10" a="1"/>
  <c r="K100" i="10" s="1"/>
  <c r="B88" i="5" a="1"/>
  <c r="B88" i="5" s="1"/>
  <c r="B87" i="5" a="1"/>
  <c r="B87" i="5" s="1"/>
  <c r="K370" i="10" a="1"/>
  <c r="K370" i="10" s="1"/>
  <c r="K371" i="10" a="1"/>
  <c r="K371" i="10" s="1"/>
  <c r="K364" i="10" a="1"/>
  <c r="K364" i="10" s="1"/>
  <c r="K97" i="10" a="1"/>
  <c r="K97" i="10" s="1"/>
  <c r="K92" i="10" a="1"/>
  <c r="K92" i="10" s="1"/>
  <c r="K99" i="10" a="1"/>
  <c r="K99" i="10" s="1"/>
  <c r="AA314" i="11"/>
  <c r="AA313" i="11"/>
  <c r="S269" i="10" a="1"/>
  <c r="S269" i="10" s="1"/>
  <c r="S268" i="10" a="1"/>
  <c r="S268" i="10" s="1"/>
  <c r="S275" i="10" a="1"/>
  <c r="S275" i="10" s="1"/>
  <c r="S273" i="10" a="1"/>
  <c r="S273" i="10" s="1"/>
  <c r="S276" i="10" a="1"/>
  <c r="S276" i="10" s="1"/>
  <c r="AY314" i="11"/>
  <c r="AA98" i="10" a="1"/>
  <c r="AA98" i="10" s="1"/>
  <c r="AY313" i="11"/>
  <c r="K188" i="10" a="1"/>
  <c r="K188" i="10" s="1"/>
  <c r="K181" i="10" a="1"/>
  <c r="K181" i="10" s="1"/>
  <c r="AY98" i="10" a="1"/>
  <c r="AY98" i="10" s="1"/>
  <c r="AY97" i="10" a="1"/>
  <c r="AY97" i="10" s="1"/>
  <c r="AY269" i="10" a="1"/>
  <c r="AY269" i="10" s="1"/>
  <c r="AY99" i="10" a="1"/>
  <c r="AY99" i="10" s="1"/>
  <c r="AY100" i="10" a="1"/>
  <c r="AY100" i="10" s="1"/>
  <c r="AY93" i="10" a="1"/>
  <c r="AY93" i="10" s="1"/>
  <c r="AA100" i="10" a="1"/>
  <c r="AA100" i="10" s="1"/>
  <c r="AA99" i="10" a="1"/>
  <c r="AA99" i="10" s="1"/>
  <c r="AQ309" i="11"/>
  <c r="AY373" i="10"/>
  <c r="K187" i="10" a="1"/>
  <c r="K187" i="10" s="1"/>
  <c r="S373" i="10"/>
  <c r="AA93" i="10" a="1"/>
  <c r="AA93" i="10" s="1"/>
  <c r="AA92" i="10" a="1"/>
  <c r="AA92" i="10" s="1"/>
  <c r="K182" i="10" a="1"/>
  <c r="K182" i="10" s="1"/>
  <c r="K189" i="10" a="1"/>
  <c r="K189" i="10" s="1"/>
  <c r="C314" i="11"/>
  <c r="K310" i="11"/>
  <c r="K311" i="11"/>
  <c r="K312" i="11"/>
  <c r="K305" i="11" a="1"/>
  <c r="K305" i="11" s="1"/>
  <c r="AY181" i="10" a="1"/>
  <c r="AY181" i="10" s="1"/>
  <c r="AI99" i="10" a="1"/>
  <c r="AI99" i="10" s="1"/>
  <c r="AY188" i="10" a="1"/>
  <c r="AY188" i="10" s="1"/>
  <c r="AY372" i="10"/>
  <c r="K304" i="11" a="1"/>
  <c r="K304" i="11" s="1"/>
  <c r="C313" i="11"/>
  <c r="AQ312" i="11"/>
  <c r="AQ102" i="10"/>
  <c r="AQ304" i="11" a="1"/>
  <c r="AQ304" i="11" s="1"/>
  <c r="AY268" i="10" a="1"/>
  <c r="AY268" i="10" s="1"/>
  <c r="AY276" i="10" a="1"/>
  <c r="AY276" i="10" s="1"/>
  <c r="AQ310" i="11"/>
  <c r="AY275" i="10" a="1"/>
  <c r="AY275" i="10" s="1"/>
  <c r="AY273" i="10" a="1"/>
  <c r="AY273" i="10" s="1"/>
  <c r="AQ311" i="11"/>
  <c r="AY186" i="10" a="1"/>
  <c r="AY186" i="10" s="1"/>
  <c r="AQ101" i="11"/>
  <c r="AQ101" i="10"/>
  <c r="AY182" i="10" a="1"/>
  <c r="AY182" i="10" s="1"/>
  <c r="AY102" i="11"/>
  <c r="S372" i="10"/>
  <c r="AY101" i="11"/>
  <c r="S97" i="10" a="1"/>
  <c r="S97" i="10" s="1"/>
  <c r="S101" i="11"/>
  <c r="AY187" i="10" a="1"/>
  <c r="AY187" i="10" s="1"/>
  <c r="C99" i="10" a="1"/>
  <c r="C99" i="10" s="1"/>
  <c r="S102" i="11"/>
  <c r="C97" i="10" a="1"/>
  <c r="C97" i="10" s="1"/>
  <c r="S99" i="10" a="1"/>
  <c r="S99" i="10" s="1"/>
  <c r="S187" i="10" a="1"/>
  <c r="S187" i="10" s="1"/>
  <c r="S182" i="10" a="1"/>
  <c r="S182" i="10" s="1"/>
  <c r="AI102" i="11"/>
  <c r="AI101" i="11"/>
  <c r="AQ102" i="11"/>
  <c r="AI97" i="10" a="1"/>
  <c r="AI97" i="10" s="1"/>
  <c r="C100" i="10" a="1"/>
  <c r="C100" i="10" s="1"/>
  <c r="C92" i="10" a="1"/>
  <c r="C92" i="10" s="1"/>
  <c r="C93" i="10" a="1"/>
  <c r="C93" i="10" s="1"/>
  <c r="S98" i="10" a="1"/>
  <c r="S98" i="10" s="1"/>
  <c r="S92" i="10" a="1"/>
  <c r="S92" i="10" s="1"/>
  <c r="AI92" i="10" a="1"/>
  <c r="AI92" i="10" s="1"/>
  <c r="AI310" i="11"/>
  <c r="AI98" i="10" a="1"/>
  <c r="AI98" i="10" s="1"/>
  <c r="AQ373" i="10"/>
  <c r="AI93" i="10" a="1"/>
  <c r="AI93" i="10" s="1"/>
  <c r="AQ372" i="10"/>
  <c r="S100" i="10" a="1"/>
  <c r="S100" i="10" s="1"/>
  <c r="S188" i="10" a="1"/>
  <c r="S188" i="10" s="1"/>
  <c r="S189" i="10" a="1"/>
  <c r="S189" i="10" s="1"/>
  <c r="AA276" i="10" a="1"/>
  <c r="AA276" i="10" s="1"/>
  <c r="C101" i="11"/>
  <c r="AA275" i="10" a="1"/>
  <c r="AA275" i="10" s="1"/>
  <c r="AA274" i="10" a="1"/>
  <c r="AA274" i="10" s="1"/>
  <c r="AA273" i="10" a="1"/>
  <c r="AA273" i="10" s="1"/>
  <c r="AA269" i="10" a="1"/>
  <c r="AA269" i="10" s="1"/>
  <c r="S181" i="10" a="1"/>
  <c r="S181" i="10" s="1"/>
  <c r="AI311" i="11"/>
  <c r="AI305" i="11" a="1"/>
  <c r="AI305" i="11" s="1"/>
  <c r="AI309" i="11"/>
  <c r="AI312" i="11"/>
  <c r="C102" i="11"/>
  <c r="AA181" i="10" a="1"/>
  <c r="AA181" i="10" s="1"/>
  <c r="AI275" i="10" a="1"/>
  <c r="AI275" i="10" s="1"/>
  <c r="C371" i="10" a="1"/>
  <c r="C371" i="10" s="1"/>
  <c r="AI268" i="10" a="1"/>
  <c r="AI268" i="10" s="1"/>
  <c r="AI274" i="10" a="1"/>
  <c r="AI274" i="10" s="1"/>
  <c r="AI273" i="10" a="1"/>
  <c r="AI273" i="10" s="1"/>
  <c r="AQ190" i="10"/>
  <c r="AI269" i="10" a="1"/>
  <c r="AI269" i="10" s="1"/>
  <c r="AA186" i="10" a="1"/>
  <c r="AA186" i="10" s="1"/>
  <c r="AA101" i="11"/>
  <c r="K277" i="10"/>
  <c r="AA102" i="11"/>
  <c r="K278" i="10"/>
  <c r="C187" i="10" a="1"/>
  <c r="C187" i="10" s="1"/>
  <c r="C188" i="10" a="1"/>
  <c r="C188" i="10" s="1"/>
  <c r="C364" i="10" a="1"/>
  <c r="C364" i="10" s="1"/>
  <c r="AQ191" i="10"/>
  <c r="AA188" i="10" a="1"/>
  <c r="AA188" i="10" s="1"/>
  <c r="C273" i="10" a="1"/>
  <c r="C273" i="10" s="1"/>
  <c r="AA182" i="10" a="1"/>
  <c r="AA182" i="10" s="1"/>
  <c r="C269" i="10" a="1"/>
  <c r="C269" i="10" s="1"/>
  <c r="C274" i="10" a="1"/>
  <c r="C274" i="10" s="1"/>
  <c r="AA189" i="10" a="1"/>
  <c r="AA189" i="10" s="1"/>
  <c r="C268" i="10" a="1"/>
  <c r="C268" i="10" s="1"/>
  <c r="C182" i="10" a="1"/>
  <c r="C182" i="10" s="1"/>
  <c r="C181" i="10" a="1"/>
  <c r="C181" i="10" s="1"/>
  <c r="C189" i="10" a="1"/>
  <c r="C189" i="10" s="1"/>
  <c r="C276" i="10" a="1"/>
  <c r="C276" i="10" s="1"/>
  <c r="AQ277" i="10"/>
  <c r="C368" i="10" a="1"/>
  <c r="C368" i="10" s="1"/>
  <c r="AQ278" i="10"/>
  <c r="C370" i="10" a="1"/>
  <c r="C370" i="10" s="1"/>
  <c r="C363" i="10" a="1"/>
  <c r="C363" i="10" s="1"/>
  <c r="K102" i="11"/>
  <c r="AI364" i="10" a="1"/>
  <c r="AI364" i="10" s="1"/>
  <c r="AI363" i="10" a="1"/>
  <c r="AI363" i="10" s="1"/>
  <c r="AI368" i="10" a="1"/>
  <c r="AI368" i="10" s="1"/>
  <c r="AI371" i="10" a="1"/>
  <c r="AI371" i="10" s="1"/>
  <c r="AI369" i="10" a="1"/>
  <c r="AI369" i="10" s="1"/>
  <c r="AI370" i="10" a="1"/>
  <c r="AI370" i="10" s="1"/>
  <c r="S314" i="11"/>
  <c r="AA363" i="10" a="1"/>
  <c r="AA363" i="10" s="1"/>
  <c r="AA364" i="10" a="1"/>
  <c r="AA364" i="10" s="1"/>
  <c r="AA369" i="10" a="1"/>
  <c r="AA369" i="10" s="1"/>
  <c r="AA368" i="10" a="1"/>
  <c r="AA368" i="10" s="1"/>
  <c r="AA370" i="10" a="1"/>
  <c r="AA370" i="10" s="1"/>
  <c r="AA371" i="10" a="1"/>
  <c r="AA371" i="10" s="1"/>
  <c r="E35" i="1"/>
  <c r="F29" i="8" a="1"/>
  <c r="F29" i="8" s="1"/>
  <c r="E28" i="1"/>
  <c r="AI182" i="10" a="1"/>
  <c r="AI182" i="10" s="1"/>
  <c r="AI181" i="10" a="1"/>
  <c r="AI181" i="10" s="1"/>
  <c r="AI186" i="10" a="1"/>
  <c r="AI186" i="10" s="1"/>
  <c r="AI187" i="10" a="1"/>
  <c r="AI187" i="10" s="1"/>
  <c r="AI189" i="10" a="1"/>
  <c r="AI189" i="10" s="1"/>
  <c r="AI188" i="10" a="1"/>
  <c r="AI188" i="10" s="1"/>
  <c r="S313" i="11"/>
  <c r="AC89" i="16" a="1"/>
  <c r="AC89" i="16" s="1"/>
  <c r="AC84" i="16" a="1"/>
  <c r="AC84" i="16" s="1"/>
  <c r="AC88" i="16" a="1"/>
  <c r="AC88" i="16" s="1"/>
  <c r="AC83" i="16" a="1"/>
  <c r="AC83" i="16" s="1"/>
  <c r="AC91" i="16" a="1"/>
  <c r="AC91" i="16" s="1"/>
  <c r="AC90" i="16" a="1"/>
  <c r="AC90" i="16" s="1"/>
  <c r="K101" i="11"/>
  <c r="C94" i="16" l="1"/>
  <c r="B30" i="6" s="1"/>
  <c r="E30" i="6" s="1"/>
  <c r="F30" i="6" s="1" a="1"/>
  <c r="F30" i="6" s="1"/>
  <c r="D87" i="5" a="1"/>
  <c r="D87" i="5" s="1"/>
  <c r="D88" i="5" a="1"/>
  <c r="D88" i="5" s="1"/>
  <c r="D89" i="5" a="1"/>
  <c r="D89" i="5" s="1"/>
  <c r="B54" i="5"/>
  <c r="C54" i="5" s="1"/>
  <c r="G46" i="1" s="1"/>
  <c r="P94" i="16"/>
  <c r="B30" i="7" s="1"/>
  <c r="E30" i="7" s="1"/>
  <c r="F30" i="7" s="1" a="1"/>
  <c r="F30" i="7" s="1"/>
  <c r="K372" i="10"/>
  <c r="B90" i="5"/>
  <c r="C27" i="2" s="1"/>
  <c r="C37" i="2" s="1"/>
  <c r="K373" i="10"/>
  <c r="K101" i="10"/>
  <c r="K102" i="10"/>
  <c r="AA315" i="11"/>
  <c r="S277" i="10"/>
  <c r="S278" i="10"/>
  <c r="K190" i="10"/>
  <c r="AY315" i="11"/>
  <c r="K313" i="11"/>
  <c r="AY101" i="10"/>
  <c r="AY374" i="10"/>
  <c r="K191" i="10"/>
  <c r="K314" i="11"/>
  <c r="AY102" i="10"/>
  <c r="S374" i="10"/>
  <c r="AA8" i="7" s="1"/>
  <c r="AA20" i="7" s="1"/>
  <c r="AA101" i="10"/>
  <c r="AA102" i="10"/>
  <c r="C315" i="11"/>
  <c r="AY191" i="10"/>
  <c r="AY190" i="10"/>
  <c r="AQ313" i="11"/>
  <c r="AY103" i="11"/>
  <c r="AQ103" i="10"/>
  <c r="AQ115" i="10" s="1"/>
  <c r="AQ116" i="10" s="1" a="1"/>
  <c r="AQ116" i="10" s="1"/>
  <c r="AY277" i="10"/>
  <c r="AQ314" i="11"/>
  <c r="AQ103" i="11"/>
  <c r="N5" i="7" s="1"/>
  <c r="N14" i="7" s="1"/>
  <c r="AY278" i="10"/>
  <c r="AQ374" i="10"/>
  <c r="AA5" i="7" s="1"/>
  <c r="AA14" i="7" s="1"/>
  <c r="C102" i="10"/>
  <c r="S103" i="11"/>
  <c r="N8" i="7" s="1"/>
  <c r="N20" i="7" s="1"/>
  <c r="AI103" i="11"/>
  <c r="N6" i="7" s="1"/>
  <c r="C101" i="10"/>
  <c r="AI102" i="10"/>
  <c r="S102" i="10"/>
  <c r="AI101" i="10"/>
  <c r="S101" i="10"/>
  <c r="AA277" i="10"/>
  <c r="AA278" i="10"/>
  <c r="S191" i="10"/>
  <c r="C103" i="11"/>
  <c r="N10" i="7" s="1"/>
  <c r="C96" i="16"/>
  <c r="AA103" i="11"/>
  <c r="N7" i="7" s="1"/>
  <c r="AI314" i="11"/>
  <c r="S190" i="10"/>
  <c r="AI313" i="11"/>
  <c r="K103" i="11"/>
  <c r="N9" i="7" s="1"/>
  <c r="N21" i="7" s="1"/>
  <c r="K279" i="10"/>
  <c r="K292" i="10" s="1"/>
  <c r="K293" i="10" s="1" a="1"/>
  <c r="K293" i="10" s="1"/>
  <c r="AI278" i="10"/>
  <c r="AQ192" i="10"/>
  <c r="AQ203" i="10" s="1"/>
  <c r="AQ210" i="10" s="1" a="1"/>
  <c r="AQ210" i="10" s="1"/>
  <c r="AI277" i="10"/>
  <c r="AA191" i="10"/>
  <c r="C190" i="10"/>
  <c r="AQ279" i="10"/>
  <c r="AQ292" i="10" s="1"/>
  <c r="AQ300" i="10" s="1" a="1"/>
  <c r="AQ300" i="10" s="1"/>
  <c r="AA190" i="10"/>
  <c r="C277" i="10"/>
  <c r="C278" i="10"/>
  <c r="C372" i="10"/>
  <c r="C191" i="10"/>
  <c r="C373" i="10"/>
  <c r="AC93" i="16"/>
  <c r="AI190" i="10"/>
  <c r="AI373" i="10"/>
  <c r="AA373" i="10"/>
  <c r="AC92" i="16"/>
  <c r="S315" i="11"/>
  <c r="AI191" i="10"/>
  <c r="AA372" i="10"/>
  <c r="AI372" i="10"/>
  <c r="C29" i="1" l="1"/>
  <c r="C36" i="1"/>
  <c r="C58" i="1" s="1"/>
  <c r="D90" i="5"/>
  <c r="C46" i="1" s="1"/>
  <c r="K374" i="10"/>
  <c r="AA9" i="7" s="1"/>
  <c r="AA21" i="7" s="1"/>
  <c r="AA22" i="7" s="1"/>
  <c r="AA23" i="7" s="1"/>
  <c r="D29" i="1"/>
  <c r="P96" i="16"/>
  <c r="D36" i="1"/>
  <c r="D58" i="1" s="1"/>
  <c r="K103" i="10"/>
  <c r="K115" i="10" s="1"/>
  <c r="K117" i="10" s="1" a="1"/>
  <c r="K117" i="10" s="1"/>
  <c r="S279" i="10"/>
  <c r="S292" i="10" s="1"/>
  <c r="S294" i="10" s="1" a="1"/>
  <c r="S294" i="10" s="1"/>
  <c r="AY103" i="10"/>
  <c r="AY115" i="10" s="1"/>
  <c r="AY122" i="10" s="1" a="1"/>
  <c r="AY122" i="10" s="1"/>
  <c r="K315" i="11"/>
  <c r="K192" i="10"/>
  <c r="K203" i="10" s="1"/>
  <c r="K212" i="10" s="1" a="1"/>
  <c r="K212" i="10" s="1"/>
  <c r="AA103" i="10"/>
  <c r="AA115" i="10" s="1"/>
  <c r="AA116" i="10" s="1" a="1"/>
  <c r="AA116" i="10" s="1"/>
  <c r="AY192" i="10"/>
  <c r="AY203" i="10" s="1"/>
  <c r="AY210" i="10" s="1" a="1"/>
  <c r="AY210" i="10" s="1"/>
  <c r="AQ123" i="10" a="1"/>
  <c r="AQ123" i="10" s="1"/>
  <c r="AY279" i="10"/>
  <c r="AY292" i="10" s="1"/>
  <c r="AY301" i="10" s="1" a="1"/>
  <c r="AY301" i="10" s="1"/>
  <c r="AQ121" i="10" a="1"/>
  <c r="AQ121" i="10" s="1"/>
  <c r="AQ122" i="10" a="1"/>
  <c r="AQ122" i="10" s="1"/>
  <c r="AQ124" i="10" a="1"/>
  <c r="AQ124" i="10" s="1"/>
  <c r="AQ315" i="11"/>
  <c r="AQ117" i="10" a="1"/>
  <c r="AQ117" i="10" s="1"/>
  <c r="C103" i="10"/>
  <c r="C115" i="10" s="1"/>
  <c r="C124" i="10" s="1" a="1"/>
  <c r="C124" i="10" s="1"/>
  <c r="N22" i="7"/>
  <c r="N23" i="7" s="1"/>
  <c r="AA279" i="10"/>
  <c r="AA292" i="10" s="1"/>
  <c r="AA298" i="10" s="1" a="1"/>
  <c r="AA298" i="10" s="1"/>
  <c r="AI103" i="10"/>
  <c r="AI115" i="10" s="1"/>
  <c r="AI116" i="10" s="1" a="1"/>
  <c r="AI116" i="10" s="1"/>
  <c r="S103" i="10"/>
  <c r="S115" i="10" s="1"/>
  <c r="S124" i="10" s="1" a="1"/>
  <c r="S124" i="10" s="1"/>
  <c r="S192" i="10"/>
  <c r="S203" i="10" s="1"/>
  <c r="S209" i="10" s="1" a="1"/>
  <c r="S209" i="10" s="1"/>
  <c r="AI315" i="11"/>
  <c r="AQ212" i="10" a="1"/>
  <c r="AQ212" i="10" s="1"/>
  <c r="C279" i="10"/>
  <c r="C292" i="10" s="1"/>
  <c r="C298" i="10" s="1" a="1"/>
  <c r="C298" i="10" s="1"/>
  <c r="AQ205" i="10" a="1"/>
  <c r="AQ205" i="10" s="1"/>
  <c r="AQ209" i="10" a="1"/>
  <c r="AQ209" i="10" s="1"/>
  <c r="AQ204" i="10" a="1"/>
  <c r="AQ204" i="10" s="1"/>
  <c r="C374" i="10"/>
  <c r="AA10" i="7" s="1"/>
  <c r="K300" i="10" a="1"/>
  <c r="K300" i="10" s="1"/>
  <c r="K301" i="10" a="1"/>
  <c r="K301" i="10" s="1"/>
  <c r="K299" i="10" a="1"/>
  <c r="K299" i="10" s="1"/>
  <c r="AI279" i="10"/>
  <c r="AI292" i="10" s="1"/>
  <c r="AI293" i="10" s="1" a="1"/>
  <c r="AI293" i="10" s="1"/>
  <c r="AA192" i="10"/>
  <c r="AA203" i="10" s="1"/>
  <c r="AA212" i="10" s="1" a="1"/>
  <c r="AA212" i="10" s="1"/>
  <c r="AQ211" i="10" a="1"/>
  <c r="AQ211" i="10" s="1"/>
  <c r="K294" i="10" a="1"/>
  <c r="K294" i="10" s="1"/>
  <c r="C192" i="10"/>
  <c r="C203" i="10" s="1"/>
  <c r="C212" i="10" s="1" a="1"/>
  <c r="C212" i="10" s="1"/>
  <c r="K298" i="10" a="1"/>
  <c r="K298" i="10" s="1"/>
  <c r="AQ298" i="10" a="1"/>
  <c r="AQ298" i="10" s="1"/>
  <c r="AQ301" i="10" a="1"/>
  <c r="AQ301" i="10" s="1"/>
  <c r="AQ294" i="10" a="1"/>
  <c r="AQ294" i="10" s="1"/>
  <c r="AQ299" i="10" a="1"/>
  <c r="AQ299" i="10" s="1"/>
  <c r="AQ293" i="10" a="1"/>
  <c r="AQ293" i="10" s="1"/>
  <c r="AA374" i="10"/>
  <c r="AA7" i="7" s="1"/>
  <c r="AC94" i="16"/>
  <c r="B30" i="8" s="1"/>
  <c r="E30" i="8" s="1"/>
  <c r="AI374" i="10"/>
  <c r="AA6" i="7" s="1"/>
  <c r="AI192" i="10"/>
  <c r="AI203" i="10" s="1"/>
  <c r="K124" i="10" l="1" a="1"/>
  <c r="K124" i="10" s="1"/>
  <c r="K123" i="10" a="1"/>
  <c r="K123" i="10" s="1"/>
  <c r="K209" i="10" a="1"/>
  <c r="K209" i="10" s="1"/>
  <c r="K121" i="10" a="1"/>
  <c r="K121" i="10" s="1"/>
  <c r="K122" i="10" a="1"/>
  <c r="K122" i="10" s="1"/>
  <c r="K116" i="10" a="1"/>
  <c r="K116" i="10" s="1"/>
  <c r="S293" i="10" a="1"/>
  <c r="S293" i="10" s="1"/>
  <c r="S299" i="10" a="1"/>
  <c r="S299" i="10" s="1"/>
  <c r="S300" i="10" a="1"/>
  <c r="S300" i="10" s="1"/>
  <c r="S301" i="10" a="1"/>
  <c r="S301" i="10" s="1"/>
  <c r="S298" i="10" a="1"/>
  <c r="S298" i="10" s="1"/>
  <c r="K210" i="10" a="1"/>
  <c r="K210" i="10" s="1"/>
  <c r="K205" i="10" a="1"/>
  <c r="K205" i="10" s="1"/>
  <c r="K204" i="10" a="1"/>
  <c r="K204" i="10" s="1"/>
  <c r="K211" i="10" a="1"/>
  <c r="K211" i="10" s="1"/>
  <c r="AY117" i="10" a="1"/>
  <c r="AY117" i="10" s="1"/>
  <c r="AY124" i="10" a="1"/>
  <c r="AY124" i="10" s="1"/>
  <c r="AA293" i="10" a="1"/>
  <c r="AA293" i="10" s="1"/>
  <c r="AY123" i="10" a="1"/>
  <c r="AY123" i="10" s="1"/>
  <c r="AA121" i="10" a="1"/>
  <c r="AA121" i="10" s="1"/>
  <c r="AA122" i="10" a="1"/>
  <c r="AA122" i="10" s="1"/>
  <c r="AA124" i="10" a="1"/>
  <c r="AA124" i="10" s="1"/>
  <c r="AA117" i="10" a="1"/>
  <c r="AA117" i="10" s="1"/>
  <c r="AA123" i="10" a="1"/>
  <c r="AA123" i="10" s="1"/>
  <c r="AY116" i="10" a="1"/>
  <c r="AY116" i="10" s="1"/>
  <c r="AY121" i="10" a="1"/>
  <c r="AY121" i="10" s="1"/>
  <c r="AY299" i="10" a="1"/>
  <c r="AY299" i="10" s="1"/>
  <c r="AY204" i="10" a="1"/>
  <c r="AY204" i="10" s="1"/>
  <c r="AY211" i="10" a="1"/>
  <c r="AY211" i="10" s="1"/>
  <c r="AQ125" i="10"/>
  <c r="AY205" i="10" a="1"/>
  <c r="AY205" i="10" s="1"/>
  <c r="AY209" i="10" a="1"/>
  <c r="AY209" i="10" s="1"/>
  <c r="AY212" i="10" a="1"/>
  <c r="AY212" i="10" s="1"/>
  <c r="AY294" i="10" a="1"/>
  <c r="AY294" i="10" s="1"/>
  <c r="AY298" i="10" a="1"/>
  <c r="AY298" i="10" s="1"/>
  <c r="AY300" i="10" a="1"/>
  <c r="AY300" i="10" s="1"/>
  <c r="AY293" i="10" a="1"/>
  <c r="AY293" i="10" s="1"/>
  <c r="AQ126" i="10"/>
  <c r="AI122" i="10" a="1"/>
  <c r="AI122" i="10" s="1"/>
  <c r="AA300" i="10" a="1"/>
  <c r="AA300" i="10" s="1"/>
  <c r="AI123" i="10" a="1"/>
  <c r="AI123" i="10" s="1"/>
  <c r="AI124" i="10" a="1"/>
  <c r="AI124" i="10" s="1"/>
  <c r="AI121" i="10" a="1"/>
  <c r="AI121" i="10" s="1"/>
  <c r="AA294" i="10" a="1"/>
  <c r="AA294" i="10" s="1"/>
  <c r="S210" i="10" a="1"/>
  <c r="S210" i="10" s="1"/>
  <c r="AA301" i="10" a="1"/>
  <c r="AA301" i="10" s="1"/>
  <c r="AA299" i="10" a="1"/>
  <c r="AA299" i="10" s="1"/>
  <c r="AI117" i="10" a="1"/>
  <c r="AI117" i="10" s="1"/>
  <c r="C116" i="10" a="1"/>
  <c r="C116" i="10" s="1"/>
  <c r="C121" i="10" a="1"/>
  <c r="C121" i="10" s="1"/>
  <c r="C122" i="10" a="1"/>
  <c r="C122" i="10" s="1"/>
  <c r="C117" i="10" a="1"/>
  <c r="C117" i="10" s="1"/>
  <c r="C123" i="10" a="1"/>
  <c r="C123" i="10" s="1"/>
  <c r="S122" i="10" a="1"/>
  <c r="S122" i="10" s="1"/>
  <c r="S117" i="10" a="1"/>
  <c r="S117" i="10" s="1"/>
  <c r="S121" i="10" a="1"/>
  <c r="S121" i="10" s="1"/>
  <c r="S116" i="10" a="1"/>
  <c r="S116" i="10" s="1"/>
  <c r="S123" i="10" a="1"/>
  <c r="S123" i="10" s="1"/>
  <c r="S204" i="10" a="1"/>
  <c r="S204" i="10" s="1"/>
  <c r="S205" i="10" a="1"/>
  <c r="S205" i="10" s="1"/>
  <c r="S212" i="10" a="1"/>
  <c r="S212" i="10" s="1"/>
  <c r="S211" i="10" a="1"/>
  <c r="S211" i="10" s="1"/>
  <c r="C293" i="10" a="1"/>
  <c r="C293" i="10" s="1"/>
  <c r="C299" i="10" a="1"/>
  <c r="C299" i="10" s="1"/>
  <c r="C294" i="10" a="1"/>
  <c r="C294" i="10" s="1"/>
  <c r="C301" i="10" a="1"/>
  <c r="C301" i="10" s="1"/>
  <c r="C300" i="10" a="1"/>
  <c r="C300" i="10" s="1"/>
  <c r="AI300" i="10" a="1"/>
  <c r="AI300" i="10" s="1"/>
  <c r="AI294" i="10" a="1"/>
  <c r="AI294" i="10" s="1"/>
  <c r="AQ214" i="10"/>
  <c r="AI301" i="10" a="1"/>
  <c r="AI301" i="10" s="1"/>
  <c r="AQ213" i="10"/>
  <c r="AA211" i="10" a="1"/>
  <c r="AA211" i="10" s="1"/>
  <c r="AA205" i="10" a="1"/>
  <c r="AA205" i="10" s="1"/>
  <c r="AA209" i="10" a="1"/>
  <c r="AA209" i="10" s="1"/>
  <c r="AI299" i="10" a="1"/>
  <c r="AI299" i="10" s="1"/>
  <c r="AA210" i="10" a="1"/>
  <c r="AA210" i="10" s="1"/>
  <c r="AI298" i="10" a="1"/>
  <c r="AI298" i="10" s="1"/>
  <c r="C211" i="10" a="1"/>
  <c r="C211" i="10" s="1"/>
  <c r="K303" i="10"/>
  <c r="C205" i="10" a="1"/>
  <c r="C205" i="10" s="1"/>
  <c r="C204" i="10" a="1"/>
  <c r="C204" i="10" s="1"/>
  <c r="C210" i="10" a="1"/>
  <c r="C210" i="10" s="1"/>
  <c r="C209" i="10" a="1"/>
  <c r="C209" i="10" s="1"/>
  <c r="AA204" i="10" a="1"/>
  <c r="AA204" i="10" s="1"/>
  <c r="K302" i="10"/>
  <c r="AQ302" i="10"/>
  <c r="AQ303" i="10"/>
  <c r="AC96" i="16"/>
  <c r="AI204" i="10" a="1"/>
  <c r="AI204" i="10" s="1"/>
  <c r="AI205" i="10" a="1"/>
  <c r="AI205" i="10" s="1"/>
  <c r="AI211" i="10" a="1"/>
  <c r="AI211" i="10" s="1"/>
  <c r="AI210" i="10" a="1"/>
  <c r="AI210" i="10" s="1"/>
  <c r="AI209" i="10" a="1"/>
  <c r="AI209" i="10" s="1"/>
  <c r="AI212" i="10" a="1"/>
  <c r="AI212" i="10" s="1"/>
  <c r="F30" i="8" a="1"/>
  <c r="F30" i="8" s="1"/>
  <c r="E29" i="1"/>
  <c r="E36" i="1"/>
  <c r="E58" i="1" s="1"/>
  <c r="K126" i="10" l="1"/>
  <c r="K125" i="10"/>
  <c r="S302" i="10"/>
  <c r="S303" i="10"/>
  <c r="K213" i="10"/>
  <c r="K214" i="10"/>
  <c r="AA125" i="10"/>
  <c r="AA126" i="10"/>
  <c r="AY126" i="10"/>
  <c r="AY125" i="10"/>
  <c r="AQ127" i="10"/>
  <c r="X5" i="7" s="1"/>
  <c r="X14" i="7" s="1"/>
  <c r="AY214" i="10"/>
  <c r="AY213" i="10"/>
  <c r="AY303" i="10"/>
  <c r="AY302" i="10"/>
  <c r="AI126" i="10"/>
  <c r="AA302" i="10"/>
  <c r="AA303" i="10"/>
  <c r="AI125" i="10"/>
  <c r="C126" i="10"/>
  <c r="C125" i="10"/>
  <c r="S125" i="10"/>
  <c r="S213" i="10"/>
  <c r="S126" i="10"/>
  <c r="S214" i="10"/>
  <c r="C302" i="10"/>
  <c r="AQ215" i="10"/>
  <c r="Y5" i="7" s="1"/>
  <c r="Y14" i="7" s="1"/>
  <c r="C303" i="10"/>
  <c r="AI303" i="10"/>
  <c r="K304" i="10"/>
  <c r="Z9" i="7" s="1"/>
  <c r="Z21" i="7" s="1"/>
  <c r="AA213" i="10"/>
  <c r="AI302" i="10"/>
  <c r="AA214" i="10"/>
  <c r="C214" i="10"/>
  <c r="C213" i="10"/>
  <c r="AQ304" i="10"/>
  <c r="Z5" i="7" s="1"/>
  <c r="Z14" i="7" s="1"/>
  <c r="AI213" i="10"/>
  <c r="AI214" i="10"/>
  <c r="K127" i="10" l="1"/>
  <c r="X9" i="7" s="1"/>
  <c r="X21" i="7" s="1"/>
  <c r="S304" i="10"/>
  <c r="Z8" i="7" s="1"/>
  <c r="Z20" i="7" s="1"/>
  <c r="Z22" i="7" s="1"/>
  <c r="Z23" i="7" s="1"/>
  <c r="K215" i="10"/>
  <c r="Y9" i="7" s="1"/>
  <c r="Y21" i="7" s="1"/>
  <c r="AA127" i="10"/>
  <c r="X7" i="7" s="1"/>
  <c r="AY127" i="10"/>
  <c r="AY304" i="10"/>
  <c r="AY215" i="10"/>
  <c r="AI127" i="10"/>
  <c r="X6" i="7" s="1"/>
  <c r="AA304" i="10"/>
  <c r="Z7" i="7" s="1"/>
  <c r="C127" i="10"/>
  <c r="X10" i="7" s="1"/>
  <c r="S215" i="10"/>
  <c r="Y8" i="7" s="1"/>
  <c r="Y20" i="7" s="1"/>
  <c r="S127" i="10"/>
  <c r="X8" i="7" s="1"/>
  <c r="X20" i="7" s="1"/>
  <c r="C304" i="10"/>
  <c r="Z10" i="7" s="1"/>
  <c r="AA215" i="10"/>
  <c r="Y7" i="7" s="1"/>
  <c r="AI304" i="10"/>
  <c r="Z6" i="7" s="1"/>
  <c r="C215" i="10"/>
  <c r="Y10" i="7" s="1"/>
  <c r="AI215" i="10"/>
  <c r="Y6" i="7" s="1"/>
  <c r="X22" i="7" l="1"/>
  <c r="X23" i="7" s="1"/>
  <c r="Y22" i="7"/>
  <c r="Y23" i="7" s="1"/>
</calcChain>
</file>

<file path=xl/sharedStrings.xml><?xml version="1.0" encoding="utf-8"?>
<sst xmlns="http://schemas.openxmlformats.org/spreadsheetml/2006/main" count="6116" uniqueCount="333">
  <si>
    <t>Take-off distance Beech 1900C</t>
  </si>
  <si>
    <t>Version</t>
  </si>
  <si>
    <t xml:space="preserve">Interpoleringsverktyg för startsträcka från OM-B. </t>
  </si>
  <si>
    <t>RWY:</t>
  </si>
  <si>
    <t>Custom airport</t>
  </si>
  <si>
    <t>Wind:</t>
  </si>
  <si>
    <t>°</t>
  </si>
  <si>
    <t>Windspeed</t>
  </si>
  <si>
    <t>kt</t>
  </si>
  <si>
    <t>Outside air temperature:</t>
  </si>
  <si>
    <t>°C</t>
  </si>
  <si>
    <t>Remove manual MET</t>
  </si>
  <si>
    <t>QNH</t>
  </si>
  <si>
    <t>Hpa</t>
  </si>
  <si>
    <t>Runway Condition Code</t>
  </si>
  <si>
    <t>MANUAL MET -&gt;</t>
  </si>
  <si>
    <t>REFRESH METAR</t>
  </si>
  <si>
    <t>Runway contaminant</t>
  </si>
  <si>
    <t>Dry snow</t>
  </si>
  <si>
    <t>BORT</t>
  </si>
  <si>
    <t>Contaminant depth</t>
  </si>
  <si>
    <t>mm</t>
  </si>
  <si>
    <t>Max:</t>
  </si>
  <si>
    <t>Engine Anti-ice</t>
  </si>
  <si>
    <t>OFF</t>
  </si>
  <si>
    <t>Technique</t>
  </si>
  <si>
    <t>Rolling take off</t>
  </si>
  <si>
    <t>Engine anti-ice can be disregarded (OFF in calculation) whenever 3300 lbs/ft take-off power can be obtained</t>
  </si>
  <si>
    <t>Take off mass:</t>
  </si>
  <si>
    <t>Lbs</t>
  </si>
  <si>
    <t>MTOW=16600 lbs</t>
  </si>
  <si>
    <t>Airport data (Exapandable)</t>
  </si>
  <si>
    <t>Treshold elevation:</t>
  </si>
  <si>
    <t>ft</t>
  </si>
  <si>
    <t>Runway Slope:</t>
  </si>
  <si>
    <t>%</t>
  </si>
  <si>
    <t>+ = upphill</t>
  </si>
  <si>
    <t>RWY Heading:</t>
  </si>
  <si>
    <t>ASDA:</t>
  </si>
  <si>
    <t>m</t>
  </si>
  <si>
    <t>Req gradient:</t>
  </si>
  <si>
    <t>TORA:</t>
  </si>
  <si>
    <t>TODA:</t>
  </si>
  <si>
    <t>TOR</t>
  </si>
  <si>
    <t>LDA:</t>
  </si>
  <si>
    <t>Calculated data</t>
  </si>
  <si>
    <t>Head/Tail wind</t>
  </si>
  <si>
    <t>Kt</t>
  </si>
  <si>
    <t>Take-off Distance Factor</t>
  </si>
  <si>
    <t>Crosswind</t>
  </si>
  <si>
    <t>Limit</t>
  </si>
  <si>
    <t>FLAPS:</t>
  </si>
  <si>
    <t>UP</t>
  </si>
  <si>
    <t>TAKE-OFF</t>
  </si>
  <si>
    <t>APP</t>
  </si>
  <si>
    <t>FULL</t>
  </si>
  <si>
    <t>Dry Runway (Expandable)</t>
  </si>
  <si>
    <t>Kommer inte att användas med take-off faktorer - Då är RWYCC 6 samma sak</t>
  </si>
  <si>
    <t>Ground Roll [m]</t>
  </si>
  <si>
    <t>Take off distance [m]</t>
  </si>
  <si>
    <t>Accelerade &amp; STOP [m]</t>
  </si>
  <si>
    <t>V1 [kts]</t>
  </si>
  <si>
    <t>VR [kts]</t>
  </si>
  <si>
    <t>V2 [kts]</t>
  </si>
  <si>
    <t>Selected contaminant</t>
  </si>
  <si>
    <t>Climb</t>
  </si>
  <si>
    <t>Net Gradient OEI wings level [%]</t>
  </si>
  <si>
    <t>Standard Procedure Design Gradient (PDG): 3,3%</t>
  </si>
  <si>
    <t>Gradient includes wind, 150% &amp; 50%</t>
  </si>
  <si>
    <t>Emergency Return</t>
  </si>
  <si>
    <t>VREF [kts]</t>
  </si>
  <si>
    <t>Landing Distance [m]</t>
  </si>
  <si>
    <t>Flaps UP</t>
  </si>
  <si>
    <t>Flaps TAKE-OFF</t>
  </si>
  <si>
    <t>Flaps APPROACH</t>
  </si>
  <si>
    <t>Limiting runway</t>
  </si>
  <si>
    <t>Escape Route planning</t>
  </si>
  <si>
    <t>Minimum cloud base:</t>
  </si>
  <si>
    <t>Escape Route:</t>
  </si>
  <si>
    <t>Landning distance Beech 1900C</t>
  </si>
  <si>
    <t>Interpoleringsverktyg för landningsträcka</t>
  </si>
  <si>
    <t>RWY</t>
  </si>
  <si>
    <t>Landing mass:</t>
  </si>
  <si>
    <t>Max landing weight</t>
  </si>
  <si>
    <t>Elevation:</t>
  </si>
  <si>
    <t>Landing Distance Factor</t>
  </si>
  <si>
    <t>Landing Distance</t>
  </si>
  <si>
    <t>Landing Distance factored [m]</t>
  </si>
  <si>
    <t>Flap Up based on AFM graph</t>
  </si>
  <si>
    <t>Missed approach</t>
  </si>
  <si>
    <t>OEI Climb Gradient [%]</t>
  </si>
  <si>
    <t>Flaps FULL</t>
  </si>
  <si>
    <t>LDA</t>
  </si>
  <si>
    <t>Landing distance</t>
  </si>
  <si>
    <t>Airport</t>
  </si>
  <si>
    <t>Runway Threshold Elevation:</t>
  </si>
  <si>
    <t>TORA</t>
  </si>
  <si>
    <t>TODA</t>
  </si>
  <si>
    <t>ASDA</t>
  </si>
  <si>
    <t>RWY Slope:</t>
  </si>
  <si>
    <t>RWY
HDG</t>
  </si>
  <si>
    <t>Minimum departure climb gradient, obstacles</t>
  </si>
  <si>
    <t>Uppdaterad</t>
  </si>
  <si>
    <t>ESCAPE ROUTE INFO</t>
  </si>
  <si>
    <t>Min cloud base</t>
  </si>
  <si>
    <t>Routing</t>
  </si>
  <si>
    <t>[ft]</t>
  </si>
  <si>
    <t>[m]</t>
  </si>
  <si>
    <t>[%]</t>
  </si>
  <si>
    <t>[°]</t>
  </si>
  <si>
    <t>[Date]</t>
  </si>
  <si>
    <t>[Text]</t>
  </si>
  <si>
    <t>No airport selected</t>
  </si>
  <si>
    <t>-</t>
  </si>
  <si>
    <t>Kör mot OY gör en racetrack entry och stig på QDR 090 till MSA.</t>
  </si>
  <si>
    <t>ÄNDRA ljusgröna RADER VID BEHOV</t>
  </si>
  <si>
    <t>Factors</t>
  </si>
  <si>
    <t>X-wind</t>
  </si>
  <si>
    <t>LDF</t>
  </si>
  <si>
    <t>Takeoff Faktor</t>
  </si>
  <si>
    <t>RWCC</t>
  </si>
  <si>
    <t>Faktor</t>
  </si>
  <si>
    <t>FLAPS</t>
  </si>
  <si>
    <t>Runway take off</t>
  </si>
  <si>
    <t>Engine anti-ice</t>
  </si>
  <si>
    <t>ON</t>
  </si>
  <si>
    <t>Måttenhet</t>
  </si>
  <si>
    <t>Max</t>
  </si>
  <si>
    <t>Wet Runway</t>
  </si>
  <si>
    <t>N/A</t>
  </si>
  <si>
    <t>Compacted snow</t>
  </si>
  <si>
    <t>Wet snow</t>
  </si>
  <si>
    <t>Slush</t>
  </si>
  <si>
    <t>Standing water</t>
  </si>
  <si>
    <t>No contaminant</t>
  </si>
  <si>
    <t>Static T/O power</t>
  </si>
  <si>
    <t>LANDING PERFORMANCE (Normal)</t>
  </si>
  <si>
    <t>EMG RETURN</t>
  </si>
  <si>
    <t>FLAPS UP</t>
  </si>
  <si>
    <t>Normal</t>
  </si>
  <si>
    <t>Landing Mass</t>
  </si>
  <si>
    <t>Speeds</t>
  </si>
  <si>
    <t>Vref</t>
  </si>
  <si>
    <t>Table size Landing distance</t>
  </si>
  <si>
    <t>Rows:</t>
  </si>
  <si>
    <t>Columns:</t>
  </si>
  <si>
    <t>x_n:</t>
  </si>
  <si>
    <t>y_n:</t>
  </si>
  <si>
    <t>n1:</t>
  </si>
  <si>
    <t>n2:</t>
  </si>
  <si>
    <t>y1_n1:</t>
  </si>
  <si>
    <t>y1_n2:</t>
  </si>
  <si>
    <t>Vref:</t>
  </si>
  <si>
    <t>Windcalc</t>
  </si>
  <si>
    <t>WCA</t>
  </si>
  <si>
    <t>Factor</t>
  </si>
  <si>
    <t>H/T wind</t>
  </si>
  <si>
    <t>Crosswind factor</t>
  </si>
  <si>
    <t>Unfactorised</t>
  </si>
  <si>
    <t>Factorised</t>
  </si>
  <si>
    <t>Landing Distance Factor:</t>
  </si>
  <si>
    <t>LANDING PERFORMANCE (UP)</t>
  </si>
  <si>
    <t>Landing Distance Flaps LAND [feet]</t>
  </si>
  <si>
    <t>T/O Distance:</t>
  </si>
  <si>
    <t>Take off PERFORMANCE (FLAPS UP)</t>
  </si>
  <si>
    <t>V1/R</t>
  </si>
  <si>
    <t>V2</t>
  </si>
  <si>
    <t>Table size Vref</t>
  </si>
  <si>
    <t>Landing distance required calculations</t>
  </si>
  <si>
    <t>Flat</t>
  </si>
  <si>
    <t>Teknik</t>
  </si>
  <si>
    <t>Slope</t>
  </si>
  <si>
    <t>Unfactored</t>
  </si>
  <si>
    <t>Factored</t>
  </si>
  <si>
    <t>Ground Roll</t>
  </si>
  <si>
    <t>Take off distance</t>
  </si>
  <si>
    <t>Accelerate GO DRY</t>
  </si>
  <si>
    <t>Accelerate GO WET/CONT</t>
  </si>
  <si>
    <t>Accelerate stop</t>
  </si>
  <si>
    <t>TDR</t>
  </si>
  <si>
    <t>TAKE OFF PERFORMANCE (FLAPS TAKE-OFF)</t>
  </si>
  <si>
    <t>Contaminated runway</t>
  </si>
  <si>
    <t>Contaminated forts</t>
  </si>
  <si>
    <t xml:space="preserve"> Mass</t>
  </si>
  <si>
    <t>Wet runway</t>
  </si>
  <si>
    <t>TOFL</t>
  </si>
  <si>
    <t>V1</t>
  </si>
  <si>
    <t>VR</t>
  </si>
  <si>
    <t>Fot-&gt;Meter</t>
  </si>
  <si>
    <t>Fot-&gt;Meter+corr för anti-skid</t>
  </si>
  <si>
    <t>Korr för V1&lt;=VR</t>
  </si>
  <si>
    <t>Accelerate stop distance</t>
  </si>
  <si>
    <t>TAKE OFF PERFORMANCE (FLAPS APPROACH)</t>
  </si>
  <si>
    <t>Accelerate STOP distance</t>
  </si>
  <si>
    <t>GRadient adjustments</t>
  </si>
  <si>
    <t>Pressure Alt</t>
  </si>
  <si>
    <t>EMG Return</t>
  </si>
  <si>
    <t>Temp in calc</t>
  </si>
  <si>
    <t>NORMAL</t>
  </si>
  <si>
    <t>Landing</t>
  </si>
  <si>
    <t>Density Altitude</t>
  </si>
  <si>
    <t>Table size</t>
  </si>
  <si>
    <t>x1_n:</t>
  </si>
  <si>
    <t>x2_n:</t>
  </si>
  <si>
    <t>y2_n1:</t>
  </si>
  <si>
    <t>y2_n2:</t>
  </si>
  <si>
    <t>y_n1:</t>
  </si>
  <si>
    <t>y_n2:</t>
  </si>
  <si>
    <t>Distance</t>
  </si>
  <si>
    <t>Vikt</t>
  </si>
  <si>
    <t>Vind</t>
  </si>
  <si>
    <t>Obstacle height</t>
  </si>
  <si>
    <t>Meter</t>
  </si>
  <si>
    <t>Totalt</t>
  </si>
  <si>
    <t>Contaminated Runway - flaps take off</t>
  </si>
  <si>
    <t>Wet Runway - flaps take off</t>
  </si>
  <si>
    <t>Aircraft WEIGHT:</t>
  </si>
  <si>
    <t>Ambient
Temperature</t>
  </si>
  <si>
    <t>Field Elevation (ft.)</t>
  </si>
  <si>
    <t>--</t>
  </si>
  <si>
    <t>Dry SNOW</t>
  </si>
  <si>
    <t>Gradient</t>
  </si>
  <si>
    <t>TOFL ( ft) - Varje brytpunkt i grafen</t>
  </si>
  <si>
    <t>SG- Dry snow</t>
  </si>
  <si>
    <t>AV/PÅ</t>
  </si>
  <si>
    <t>Depth</t>
  </si>
  <si>
    <t>Wet Snow</t>
  </si>
  <si>
    <t>V1/VR</t>
  </si>
  <si>
    <t>Result</t>
  </si>
  <si>
    <t>Sida 18 saknas</t>
  </si>
  <si>
    <t>Tailwind=4% extra per kt tailwind</t>
  </si>
  <si>
    <t>Anti-skid off</t>
  </si>
  <si>
    <t>There is no correction to V1 with anti-skid off</t>
  </si>
  <si>
    <t>TOFL compacted snow - flaps take off</t>
  </si>
  <si>
    <t>Compacted snow - flaps take off</t>
  </si>
  <si>
    <t>V1 - Varje brytpunkt i grafen</t>
  </si>
  <si>
    <t>V1  - Varje brytpunkt i grafen</t>
  </si>
  <si>
    <t>Answer</t>
  </si>
  <si>
    <t>Includes ICE-Vane. Could be disregarded for us</t>
  </si>
  <si>
    <t>FLAPS TAKEOFF</t>
  </si>
  <si>
    <t>FLAPS APPROACH</t>
  </si>
  <si>
    <t>Density altitude</t>
  </si>
  <si>
    <t>Temp/PA</t>
  </si>
  <si>
    <t>NET GRADIENT OF CLIMB - FLAPS UP</t>
  </si>
  <si>
    <t>ICE VANE CORR</t>
  </si>
  <si>
    <t>35 fot extra</t>
  </si>
  <si>
    <t>NET GRADIENT OF CLIMB - FLAPS TAKEOFF</t>
  </si>
  <si>
    <t>NET GRADIENT OF CLIMB - FLAPS APPROACH</t>
  </si>
  <si>
    <t>TAKE OFF DISTANCE - FLAPS UP</t>
  </si>
  <si>
    <t>TAKE OFF DISTANCE - FLAPS TAKEOFF</t>
  </si>
  <si>
    <t>TAKE OFF DISTANCE - FLAPS APPROACH</t>
  </si>
  <si>
    <t>Punkter</t>
  </si>
  <si>
    <t>Vad är gjort?</t>
  </si>
  <si>
    <t>Färgkodning</t>
  </si>
  <si>
    <t>Höjd</t>
  </si>
  <si>
    <t>Att göra</t>
  </si>
  <si>
    <t>Data</t>
  </si>
  <si>
    <t>Tagit data med samma intervall som i OM-B 12 000,14 000, 16 000 och 16 600 lbs och från sea level upp till 2000 fot med 1000 fot steg samt 10 grader från 0 till 30 grader. Där det funnits så har jag tagit tabellerna från OM-B För bättre data krävs mer intervaller. Mellan varje punkt är sen linjär interpolering gjorda.</t>
  </si>
  <si>
    <t>Saknar data för minusgrader i start</t>
  </si>
  <si>
    <t>Som skydd mot om man hamnar utanför tabellerna är extremvärden (99999) inlagt på höjd och temperatur som skulle hamna på den "farliga sidan" av density altitude</t>
  </si>
  <si>
    <t>Beräkningsprocess</t>
  </si>
  <si>
    <t>Beräkningar</t>
  </si>
  <si>
    <t>Förklaring till höger--&gt;</t>
  </si>
  <si>
    <t>Flat och korrigerat för vind</t>
  </si>
  <si>
    <t>Runwayfactor POOR</t>
  </si>
  <si>
    <t>Runwayfactor Medium</t>
  </si>
  <si>
    <t>Condition</t>
  </si>
  <si>
    <t>Interpolerat från tabeller skapta från AFM eller OM-B tabeller.</t>
  </si>
  <si>
    <t>50% av CALM &amp; FLAT enligt OM-B</t>
  </si>
  <si>
    <t>30% av CALM &amp; FLAT enligt OM-B</t>
  </si>
  <si>
    <t>korrigering för lutning enligt OM-B av allt till vänster -&gt; Add 5% per 1% upslope</t>
  </si>
  <si>
    <t>korrigering för snö, slush, gräs etc enligt OM-B av allt till vänster - se bild nedan</t>
  </si>
  <si>
    <t>Summeringar av allt till vänster *115%</t>
  </si>
  <si>
    <t>Samma som TOD</t>
  </si>
  <si>
    <t>Summeringar av allt till vänster</t>
  </si>
  <si>
    <t>Lagt in samma som för DRY</t>
  </si>
  <si>
    <t>samma som TOD</t>
  </si>
  <si>
    <t>Felkällor</t>
  </si>
  <si>
    <t>Hur jag tagit ut datan ur graferna</t>
  </si>
  <si>
    <t>Färgkodat tabellerna för att se när jag skriver fel</t>
  </si>
  <si>
    <t>Nån annan borde kolla igenom tabellerna, mot slarvigt uttagen data ur graferna</t>
  </si>
  <si>
    <t>Skydd mot ändringar</t>
  </si>
  <si>
    <t>I google spreadsheet är det inlagt så att gemene man bara kan ändra i gula fält och jag kan ändra i alla.</t>
  </si>
  <si>
    <t>Vind och banlutning</t>
  </si>
  <si>
    <t>Vinden korrigeras från AFM. banlutning enligt OM-B</t>
  </si>
  <si>
    <t>Airportdata</t>
  </si>
  <si>
    <t>Dragit av 10m på ASDA och TODA för "aircraft alignment"</t>
  </si>
  <si>
    <t xml:space="preserve">Lagt in flygplatser vi använder i linjetrafik, data från AIP AD </t>
  </si>
  <si>
    <t>Finns 2 ändringsbara rader som ska vara olåst för alla.</t>
  </si>
  <si>
    <t>Den får man bortse ifrån om man får max-power ändå enligt AFM</t>
  </si>
  <si>
    <t>Ta bort det valet?</t>
  </si>
  <si>
    <t>Take-off</t>
  </si>
  <si>
    <t>Reglerna för take off obstacle clearance börjar med TODA som ska vara den längsta av:</t>
  </si>
  <si>
    <t>- 115% av TOD (35ft)</t>
  </si>
  <si>
    <t>Finns beräkningar på respektive klafflik:TAKE OFF Performance FLAPS APPROACH. Korrigeringar finns för:</t>
  </si>
  <si>
    <t>Grönt om mindre än TODA, Rött om högre än TODA</t>
  </si>
  <si>
    <t>Upp till 3000 fot</t>
  </si>
  <si>
    <t>Less than 3 +30% och Less than 5 +20% more</t>
  </si>
  <si>
    <t>Datan är upp till 50 fot då det är vad som finns i AFM och man får inte ta ett mellanvärde</t>
  </si>
  <si>
    <t>- TOD till 35ft vid engine failure V1 dry rwy</t>
  </si>
  <si>
    <t>Finns beräkningar på respektive klafflik:TAKE OFF Performance FLAPS APPROACH. Har använt 50 fot då det är vad som finns i AFM.</t>
  </si>
  <si>
    <t>- TOD till 15ft vid engine failure V1 wet/contaminated rwy</t>
  </si>
  <si>
    <t>Saknas - Väntar på AFMS med scanningar på alla sidor</t>
  </si>
  <si>
    <t>Finns endast varannan sida i .PDF</t>
  </si>
  <si>
    <t>SAKNAR DATA</t>
  </si>
  <si>
    <t>Har räknat "bakåt" från dry. Alltså tagit airborne distansen och antagit den som linjär. Och räknat från 35 fot till 15 fot.</t>
  </si>
  <si>
    <t>Ihopslagning av de 3 punkterna ovan</t>
  </si>
  <si>
    <t>Förberett på flikarna take off performance</t>
  </si>
  <si>
    <t>Eller ska det lämnas så piloten ser vad som är begränsande?</t>
  </si>
  <si>
    <t>Accelerate and stop distance</t>
  </si>
  <si>
    <t>Tabeller från OM-B inlagt med samma korrigeringar som för take off distance</t>
  </si>
  <si>
    <t>Grönt om mindre än ASDA, Rött om högre än ASDA</t>
  </si>
  <si>
    <t>Take-off climb limit för CS25 är 2.4% upp till 400ft.</t>
  </si>
  <si>
    <t>Behövs EJ</t>
  </si>
  <si>
    <t>Precis, min climb gradient för SID är 3.3% (200’/NM) om inte högre föreskrivs på aktuell flygplats. Så klarar man det är dom regelmässiga kraven ok.</t>
  </si>
  <si>
    <t xml:space="preserve">Data från net gradient of climb på flygplatsens höjd +35 fot. Korrigerat med 50% motvind och 150% medvind. </t>
  </si>
  <si>
    <t>Lagt in en varning och färgkodning om värdet går under 3,3</t>
  </si>
  <si>
    <t>Upp till 4000 fot</t>
  </si>
  <si>
    <t>Ska vindkorrigeringen vara kvar?</t>
  </si>
  <si>
    <t>Finns förberett att använda två höjder. Tanken är att ta ett medel mellan de två för att ha en gradient upp till 1500 fot</t>
  </si>
  <si>
    <t>Ange en minimum climb gradient till minimum 3,3% eller enligt jeppesen i OM</t>
  </si>
  <si>
    <t>Missed approach climb gradient 2.5%.</t>
  </si>
  <si>
    <t xml:space="preserve">Beräkningar från AFM OEI Climb gradient sida 5-50, färgvarning vid 2,5% </t>
  </si>
  <si>
    <t>Även 2 höjder här?</t>
  </si>
  <si>
    <t>Interpolerar datan från OM-B</t>
  </si>
  <si>
    <t>FULL flap grönt om Landing distance är mindre än LDA. Annars rött.</t>
  </si>
  <si>
    <t>Faktorerar enligt OM-B, om fältet är blankt faktorerar filen med 1,43</t>
  </si>
  <si>
    <t>FLAP UP grönt om Landing distance är mindre än LDA. Annars gul markering.</t>
  </si>
  <si>
    <t>Filen</t>
  </si>
  <si>
    <t>Efter ändringar</t>
  </si>
  <si>
    <t>Spara namngiven version</t>
  </si>
  <si>
    <t>Då kan man återställa till den versionen om nån ändrar något. I alla fall i google spreadsheet</t>
  </si>
  <si>
    <t>Omvandling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</si>
</sst>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\ %"/>
    <numFmt numFmtId="167" formatCode="0.00\ %"/>
  </numFmts>
  <fonts count="21" x14ac:knownFonts="1">
    <font>
      <sz val="11"/>
      <color theme="1"/>
      <name val="Calibri"/>
      <charset val="1"/>
    </font>
    <font>
      <b/>
      <sz val="25"/>
      <color theme="1"/>
      <name val="Calibri"/>
      <charset val="1"/>
    </font>
    <font>
      <sz val="10"/>
      <color theme="1"/>
      <name val="Calibri"/>
      <charset val="1"/>
    </font>
    <font>
      <sz val="9"/>
      <color theme="1"/>
      <name val="Calibri"/>
      <charset val="1"/>
    </font>
    <font>
      <b/>
      <sz val="20"/>
      <color theme="1"/>
      <name val="Calibri"/>
      <charset val="1"/>
    </font>
    <font>
      <b/>
      <sz val="20"/>
      <color rgb="FF000000"/>
      <name val="Calibri"/>
      <charset val="1"/>
    </font>
    <font>
      <sz val="11"/>
      <color rgb="FF000000"/>
      <name val="Calibri"/>
      <charset val="1"/>
    </font>
    <font>
      <sz val="24"/>
      <color theme="1"/>
      <name val="Calibri"/>
      <charset val="1"/>
    </font>
    <font>
      <sz val="25"/>
      <color theme="1"/>
      <name val="Calibri"/>
      <charset val="1"/>
    </font>
    <font>
      <b/>
      <sz val="11"/>
      <color theme="1"/>
      <name val="Calibri"/>
      <charset val="1"/>
    </font>
    <font>
      <sz val="8"/>
      <color theme="1"/>
      <name val="Calibri"/>
      <charset val="1"/>
    </font>
    <font>
      <sz val="20"/>
      <color theme="1"/>
      <name val="Calibri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sz val="8"/>
      <color rgb="FF000000"/>
      <name val="Arial"/>
      <charset val="1"/>
    </font>
    <font>
      <sz val="9"/>
      <color rgb="FF000000"/>
      <name val="Arial"/>
      <charset val="1"/>
    </font>
    <font>
      <sz val="11"/>
      <color theme="0"/>
      <name val="Calibri"/>
      <charset val="1"/>
    </font>
    <font>
      <sz val="12"/>
      <color theme="1"/>
      <name val="Calibri"/>
      <charset val="1"/>
    </font>
    <font>
      <sz val="11"/>
      <color rgb="FF333333"/>
      <name val="Arial"/>
      <charset val="1"/>
    </font>
    <font>
      <b/>
      <sz val="11"/>
      <color rgb="FF242424"/>
      <name val="Calibri"/>
      <charset val="1"/>
    </font>
    <font>
      <sz val="11"/>
      <color rgb="FF242424"/>
      <name val="Calibri"/>
      <charset val="1"/>
    </font>
  </fonts>
  <fills count="32">
    <fill>
      <patternFill patternType="none"/>
    </fill>
    <fill>
      <patternFill patternType="gray125"/>
    </fill>
    <fill>
      <patternFill patternType="solid">
        <fgColor rgb="FFD5A6BD"/>
        <bgColor rgb="FFB7B7B7"/>
      </patternFill>
    </fill>
    <fill>
      <patternFill patternType="solid">
        <fgColor rgb="FFC9DAF8"/>
        <bgColor rgb="FFCFE2F3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FF0000"/>
        <bgColor rgb="FF800000"/>
      </patternFill>
    </fill>
    <fill>
      <patternFill patternType="solid">
        <fgColor rgb="FFD9D9D9"/>
        <bgColor rgb="FFCFE2F3"/>
      </patternFill>
    </fill>
    <fill>
      <patternFill patternType="solid">
        <fgColor rgb="FFB7B7B7"/>
        <bgColor rgb="FFBDBDBD"/>
      </patternFill>
    </fill>
    <fill>
      <patternFill patternType="solid">
        <fgColor rgb="FFE2EFD9"/>
        <bgColor rgb="FFEFEFEF"/>
      </patternFill>
    </fill>
    <fill>
      <patternFill patternType="solid">
        <fgColor rgb="FFBDBDBD"/>
        <bgColor rgb="FFB7B7B7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B6D7A8"/>
        <bgColor rgb="FFC5E0B3"/>
      </patternFill>
    </fill>
    <fill>
      <patternFill patternType="solid">
        <fgColor rgb="FFCFE2F3"/>
        <bgColor rgb="FFC9DAF8"/>
      </patternFill>
    </fill>
    <fill>
      <patternFill patternType="solid">
        <fgColor rgb="FFFFFF00"/>
        <bgColor rgb="FFFFC000"/>
      </patternFill>
    </fill>
    <fill>
      <patternFill patternType="solid">
        <fgColor rgb="FFBDD6EE"/>
        <bgColor rgb="FFC9DAF8"/>
      </patternFill>
    </fill>
    <fill>
      <patternFill patternType="solid">
        <fgColor rgb="FFC5E0B3"/>
        <bgColor rgb="FFB6D7A8"/>
      </patternFill>
    </fill>
    <fill>
      <patternFill patternType="solid">
        <fgColor rgb="FFF4B083"/>
        <bgColor rgb="FFF7CAAC"/>
      </patternFill>
    </fill>
    <fill>
      <patternFill patternType="solid">
        <fgColor rgb="FFFBE4D5"/>
        <bgColor rgb="FFFCE8B2"/>
      </patternFill>
    </fill>
    <fill>
      <patternFill patternType="solid">
        <fgColor rgb="FFF7CAAC"/>
        <bgColor rgb="FFF4C7C3"/>
      </patternFill>
    </fill>
    <fill>
      <patternFill patternType="solid">
        <fgColor rgb="FFC55A11"/>
        <bgColor rgb="FFED7D31"/>
      </patternFill>
    </fill>
    <fill>
      <patternFill patternType="solid">
        <fgColor theme="4"/>
        <bgColor rgb="FF0070C0"/>
      </patternFill>
    </fill>
    <fill>
      <patternFill patternType="solid">
        <fgColor rgb="FF7030A0"/>
        <bgColor rgb="FF80008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4DD0E1"/>
      </patternFill>
    </fill>
    <fill>
      <patternFill patternType="solid">
        <fgColor rgb="FFFFC000"/>
        <bgColor rgb="FFFF9900"/>
      </patternFill>
    </fill>
    <fill>
      <patternFill patternType="solid">
        <fgColor rgb="FFBF9000"/>
        <bgColor rgb="FFED7D31"/>
      </patternFill>
    </fill>
    <fill>
      <patternFill patternType="solid">
        <fgColor rgb="FFA8D08D"/>
        <bgColor rgb="FFB6D7A8"/>
      </patternFill>
    </fill>
    <fill>
      <patternFill patternType="solid">
        <fgColor rgb="FF4DD0E1"/>
        <bgColor rgb="FF6D9EEB"/>
      </patternFill>
    </fill>
    <fill>
      <patternFill patternType="solid">
        <fgColor rgb="FFE0F7FA"/>
        <bgColor rgb="FFEFEFEF"/>
      </patternFill>
    </fill>
    <fill>
      <patternFill patternType="solid">
        <fgColor rgb="FFFF9900"/>
        <bgColor rgb="FFED7D31"/>
      </patternFill>
    </fill>
  </fills>
  <borders count="1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double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medium">
        <color auto="1"/>
      </right>
      <top/>
      <bottom style="dotted">
        <color auto="1"/>
      </bottom>
      <diagonal/>
    </border>
    <border>
      <left style="double">
        <color auto="1"/>
      </left>
      <right style="medium">
        <color auto="1"/>
      </right>
      <top style="dotted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double">
        <color auto="1"/>
      </right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medium">
        <color auto="1"/>
      </right>
      <top style="dotted">
        <color auto="1"/>
      </top>
      <bottom style="double">
        <color auto="1"/>
      </bottom>
      <diagonal/>
    </border>
    <border>
      <left style="medium">
        <color auto="1"/>
      </left>
      <right/>
      <top style="dotted">
        <color auto="1"/>
      </top>
      <bottom style="double">
        <color auto="1"/>
      </bottom>
      <diagonal/>
    </border>
    <border>
      <left/>
      <right style="medium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4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0" xfId="0" applyFill="1"/>
    <xf numFmtId="0" fontId="2" fillId="0" borderId="2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7" xfId="0" applyBorder="1"/>
    <xf numFmtId="0" fontId="6" fillId="5" borderId="7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6" borderId="3" xfId="0" applyFill="1" applyBorder="1" applyAlignment="1">
      <alignment horizontal="right" vertical="center"/>
    </xf>
    <xf numFmtId="0" fontId="6" fillId="6" borderId="7" xfId="0" applyFont="1" applyFill="1" applyBorder="1" applyAlignment="1">
      <alignment horizontal="right" vertical="center"/>
    </xf>
    <xf numFmtId="0" fontId="0" fillId="6" borderId="0" xfId="0" applyFill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8" xfId="0" applyBorder="1"/>
    <xf numFmtId="0" fontId="0" fillId="3" borderId="3" xfId="0" applyFill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8" xfId="0" applyBorder="1" applyAlignment="1">
      <alignment vertical="center"/>
    </xf>
    <xf numFmtId="1" fontId="0" fillId="0" borderId="0" xfId="0" applyNumberFormat="1" applyAlignment="1">
      <alignment horizontal="right"/>
    </xf>
    <xf numFmtId="0" fontId="0" fillId="3" borderId="3" xfId="0" applyFill="1" applyBorder="1" applyAlignment="1">
      <alignment horizontal="center"/>
    </xf>
    <xf numFmtId="1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0" fontId="9" fillId="7" borderId="9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0" fillId="6" borderId="0" xfId="0" applyFill="1"/>
    <xf numFmtId="0" fontId="0" fillId="0" borderId="12" xfId="0" applyBorder="1" applyAlignment="1">
      <alignment horizontal="right"/>
    </xf>
    <xf numFmtId="1" fontId="0" fillId="0" borderId="1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 vertical="center"/>
    </xf>
    <xf numFmtId="1" fontId="0" fillId="0" borderId="7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1" fontId="0" fillId="0" borderId="22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10" fillId="0" borderId="3" xfId="0" applyFont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1" fontId="0" fillId="0" borderId="24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" fontId="0" fillId="0" borderId="2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26" xfId="0" applyNumberFormat="1" applyBorder="1" applyAlignment="1">
      <alignment horizontal="center" vertical="center"/>
    </xf>
    <xf numFmtId="0" fontId="0" fillId="0" borderId="10" xfId="0" applyBorder="1"/>
    <xf numFmtId="1" fontId="0" fillId="0" borderId="10" xfId="0" applyNumberFormat="1" applyBorder="1"/>
    <xf numFmtId="0" fontId="0" fillId="0" borderId="3" xfId="0" applyBorder="1" applyAlignment="1">
      <alignment horizontal="right"/>
    </xf>
    <xf numFmtId="1" fontId="0" fillId="0" borderId="27" xfId="0" applyNumberFormat="1" applyBorder="1" applyAlignment="1">
      <alignment horizontal="center" vertical="center" wrapText="1"/>
    </xf>
    <xf numFmtId="1" fontId="0" fillId="0" borderId="28" xfId="0" applyNumberFormat="1" applyBorder="1" applyAlignment="1">
      <alignment horizontal="center" vertical="center" wrapText="1"/>
    </xf>
    <xf numFmtId="0" fontId="0" fillId="0" borderId="3" xfId="0" applyBorder="1"/>
    <xf numFmtId="1" fontId="0" fillId="0" borderId="20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0" fillId="0" borderId="29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0" xfId="0" applyNumberForma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1" fillId="0" borderId="0" xfId="0" applyFont="1"/>
    <xf numFmtId="0" fontId="0" fillId="0" borderId="0" xfId="0" applyAlignment="1">
      <alignment horizontal="center" vertical="center" wrapText="1"/>
    </xf>
    <xf numFmtId="0" fontId="9" fillId="0" borderId="0" xfId="0" applyFont="1"/>
    <xf numFmtId="0" fontId="0" fillId="8" borderId="7" xfId="0" applyFill="1" applyBorder="1"/>
    <xf numFmtId="0" fontId="0" fillId="3" borderId="0" xfId="0" applyFill="1" applyAlignment="1">
      <alignment horizontal="center"/>
    </xf>
    <xf numFmtId="0" fontId="0" fillId="3" borderId="8" xfId="0" applyFill="1" applyBorder="1" applyAlignment="1">
      <alignment horizontal="center"/>
    </xf>
    <xf numFmtId="1" fontId="0" fillId="0" borderId="0" xfId="0" applyNumberFormat="1" applyAlignment="1">
      <alignment vertical="center"/>
    </xf>
    <xf numFmtId="1" fontId="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right" vertical="center"/>
    </xf>
    <xf numFmtId="1" fontId="0" fillId="0" borderId="3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" fontId="9" fillId="0" borderId="8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right" vertical="center"/>
    </xf>
    <xf numFmtId="164" fontId="0" fillId="0" borderId="38" xfId="0" applyNumberFormat="1" applyBorder="1" applyAlignment="1">
      <alignment horizontal="center" vertical="center"/>
    </xf>
    <xf numFmtId="0" fontId="0" fillId="0" borderId="33" xfId="0" applyBorder="1" applyAlignment="1">
      <alignment horizontal="right" vertical="center"/>
    </xf>
    <xf numFmtId="0" fontId="9" fillId="7" borderId="0" xfId="0" applyFont="1" applyFill="1" applyAlignment="1">
      <alignment horizontal="center" vertical="center"/>
    </xf>
    <xf numFmtId="0" fontId="0" fillId="7" borderId="0" xfId="0" applyFill="1"/>
    <xf numFmtId="0" fontId="0" fillId="7" borderId="43" xfId="0" applyFill="1" applyBorder="1" applyAlignment="1">
      <alignment horizontal="center" wrapText="1"/>
    </xf>
    <xf numFmtId="0" fontId="0" fillId="7" borderId="44" xfId="0" applyFill="1" applyBorder="1" applyAlignment="1">
      <alignment horizontal="center" wrapText="1"/>
    </xf>
    <xf numFmtId="0" fontId="0" fillId="7" borderId="45" xfId="0" applyFill="1" applyBorder="1" applyAlignment="1">
      <alignment horizontal="center" wrapText="1"/>
    </xf>
    <xf numFmtId="0" fontId="0" fillId="7" borderId="46" xfId="0" applyFill="1" applyBorder="1" applyAlignment="1">
      <alignment horizontal="center"/>
    </xf>
    <xf numFmtId="0" fontId="0" fillId="7" borderId="21" xfId="0" applyFill="1" applyBorder="1" applyAlignment="1">
      <alignment horizontal="center" wrapText="1"/>
    </xf>
    <xf numFmtId="1" fontId="0" fillId="7" borderId="21" xfId="0" applyNumberFormat="1" applyFill="1" applyBorder="1"/>
    <xf numFmtId="1" fontId="0" fillId="7" borderId="21" xfId="0" applyNumberFormat="1" applyFill="1" applyBorder="1" applyAlignment="1">
      <alignment horizontal="center" wrapText="1"/>
    </xf>
    <xf numFmtId="0" fontId="0" fillId="9" borderId="47" xfId="0" applyFill="1" applyBorder="1"/>
    <xf numFmtId="1" fontId="0" fillId="9" borderId="48" xfId="0" applyNumberFormat="1" applyFill="1" applyBorder="1"/>
    <xf numFmtId="164" fontId="0" fillId="9" borderId="49" xfId="0" applyNumberFormat="1" applyFill="1" applyBorder="1"/>
    <xf numFmtId="1" fontId="0" fillId="9" borderId="21" xfId="0" applyNumberFormat="1" applyFill="1" applyBorder="1"/>
    <xf numFmtId="1" fontId="0" fillId="9" borderId="50" xfId="0" applyNumberFormat="1" applyFill="1" applyBorder="1"/>
    <xf numFmtId="2" fontId="0" fillId="9" borderId="51" xfId="0" applyNumberFormat="1" applyFill="1" applyBorder="1"/>
    <xf numFmtId="1" fontId="0" fillId="9" borderId="52" xfId="0" applyNumberFormat="1" applyFill="1" applyBorder="1"/>
    <xf numFmtId="1" fontId="0" fillId="9" borderId="0" xfId="0" applyNumberFormat="1" applyFill="1" applyAlignment="1">
      <alignment horizontal="center"/>
    </xf>
    <xf numFmtId="1" fontId="0" fillId="9" borderId="0" xfId="0" applyNumberFormat="1" applyFill="1"/>
    <xf numFmtId="1" fontId="0" fillId="9" borderId="53" xfId="0" applyNumberFormat="1" applyFill="1" applyBorder="1"/>
    <xf numFmtId="164" fontId="0" fillId="9" borderId="54" xfId="0" applyNumberFormat="1" applyFill="1" applyBorder="1"/>
    <xf numFmtId="2" fontId="0" fillId="9" borderId="53" xfId="0" applyNumberFormat="1" applyFill="1" applyBorder="1"/>
    <xf numFmtId="1" fontId="0" fillId="9" borderId="55" xfId="0" applyNumberFormat="1" applyFill="1" applyBorder="1"/>
    <xf numFmtId="1" fontId="0" fillId="7" borderId="56" xfId="0" applyNumberFormat="1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2" fontId="0" fillId="7" borderId="56" xfId="0" applyNumberFormat="1" applyFill="1" applyBorder="1" applyAlignment="1">
      <alignment horizontal="center"/>
    </xf>
    <xf numFmtId="14" fontId="0" fillId="7" borderId="57" xfId="0" applyNumberFormat="1" applyFill="1" applyBorder="1" applyAlignment="1">
      <alignment horizontal="center"/>
    </xf>
    <xf numFmtId="14" fontId="0" fillId="7" borderId="0" xfId="0" applyNumberFormat="1" applyFill="1" applyAlignment="1">
      <alignment horizontal="center"/>
    </xf>
    <xf numFmtId="1" fontId="0" fillId="7" borderId="58" xfId="0" applyNumberFormat="1" applyFill="1" applyBorder="1" applyAlignment="1">
      <alignment horizontal="center"/>
    </xf>
    <xf numFmtId="14" fontId="0" fillId="7" borderId="58" xfId="0" applyNumberFormat="1" applyFill="1" applyBorder="1" applyAlignment="1">
      <alignment horizontal="center"/>
    </xf>
    <xf numFmtId="1" fontId="0" fillId="7" borderId="59" xfId="0" applyNumberFormat="1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1" fontId="0" fillId="7" borderId="47" xfId="0" applyNumberFormat="1" applyFill="1" applyBorder="1" applyAlignment="1">
      <alignment horizontal="center"/>
    </xf>
    <xf numFmtId="0" fontId="0" fillId="7" borderId="59" xfId="0" applyFill="1" applyBorder="1" applyAlignment="1">
      <alignment horizontal="center"/>
    </xf>
    <xf numFmtId="1" fontId="0" fillId="7" borderId="60" xfId="0" applyNumberFormat="1" applyFill="1" applyBorder="1" applyAlignment="1">
      <alignment horizontal="center"/>
    </xf>
    <xf numFmtId="1" fontId="0" fillId="7" borderId="47" xfId="0" applyNumberFormat="1" applyFill="1" applyBorder="1"/>
    <xf numFmtId="14" fontId="0" fillId="0" borderId="0" xfId="0" applyNumberFormat="1"/>
    <xf numFmtId="0" fontId="9" fillId="0" borderId="0" xfId="0" applyFont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5" xfId="0" applyBorder="1"/>
    <xf numFmtId="165" fontId="0" fillId="0" borderId="0" xfId="0" applyNumberFormat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" fontId="9" fillId="12" borderId="7" xfId="0" applyNumberFormat="1" applyFont="1" applyFill="1" applyBorder="1" applyAlignment="1">
      <alignment horizontal="center" vertical="center"/>
    </xf>
    <xf numFmtId="1" fontId="0" fillId="12" borderId="7" xfId="0" applyNumberFormat="1" applyFill="1" applyBorder="1" applyAlignment="1">
      <alignment horizontal="center" vertical="center"/>
    </xf>
    <xf numFmtId="1" fontId="9" fillId="11" borderId="7" xfId="0" applyNumberFormat="1" applyFont="1" applyFill="1" applyBorder="1" applyAlignment="1">
      <alignment horizontal="center" vertical="center"/>
    </xf>
    <xf numFmtId="1" fontId="0" fillId="11" borderId="7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4" fillId="0" borderId="0" xfId="0" applyFont="1"/>
    <xf numFmtId="0" fontId="9" fillId="0" borderId="0" xfId="0" applyFont="1" applyAlignment="1">
      <alignment horizontal="right"/>
    </xf>
    <xf numFmtId="1" fontId="9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15" fillId="0" borderId="0" xfId="0" applyNumberFormat="1" applyFont="1"/>
    <xf numFmtId="0" fontId="16" fillId="8" borderId="0" xfId="0" applyFont="1" applyFill="1" applyAlignment="1">
      <alignment horizontal="center" vertical="center"/>
    </xf>
    <xf numFmtId="1" fontId="16" fillId="8" borderId="0" xfId="0" applyNumberFormat="1" applyFont="1" applyFill="1" applyAlignment="1">
      <alignment horizontal="center" vertical="center"/>
    </xf>
    <xf numFmtId="2" fontId="16" fillId="8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13" borderId="0" xfId="0" applyFill="1"/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right"/>
    </xf>
    <xf numFmtId="0" fontId="0" fillId="13" borderId="0" xfId="0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66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 wrapText="1"/>
    </xf>
    <xf numFmtId="0" fontId="13" fillId="0" borderId="72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 wrapText="1"/>
    </xf>
    <xf numFmtId="1" fontId="9" fillId="0" borderId="47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74" xfId="0" applyNumberFormat="1" applyBorder="1" applyAlignment="1">
      <alignment horizontal="center" vertical="center"/>
    </xf>
    <xf numFmtId="1" fontId="0" fillId="0" borderId="75" xfId="0" applyNumberFormat="1" applyBorder="1" applyAlignment="1">
      <alignment horizontal="center" vertical="center"/>
    </xf>
    <xf numFmtId="1" fontId="0" fillId="0" borderId="76" xfId="0" applyNumberFormat="1" applyBorder="1" applyAlignment="1">
      <alignment horizontal="center" vertical="center"/>
    </xf>
    <xf numFmtId="164" fontId="0" fillId="0" borderId="76" xfId="0" applyNumberFormat="1" applyBorder="1" applyAlignment="1">
      <alignment horizontal="center" vertical="center"/>
    </xf>
    <xf numFmtId="164" fontId="0" fillId="0" borderId="74" xfId="0" applyNumberFormat="1" applyBorder="1" applyAlignment="1">
      <alignment horizontal="center" vertical="center"/>
    </xf>
    <xf numFmtId="1" fontId="0" fillId="0" borderId="77" xfId="0" applyNumberFormat="1" applyBorder="1" applyAlignment="1">
      <alignment horizontal="center" vertical="center"/>
    </xf>
    <xf numFmtId="1" fontId="0" fillId="0" borderId="78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64" fontId="0" fillId="0" borderId="80" xfId="0" applyNumberFormat="1" applyBorder="1" applyAlignment="1">
      <alignment horizontal="center" vertical="center"/>
    </xf>
    <xf numFmtId="164" fontId="0" fillId="0" borderId="78" xfId="0" applyNumberFormat="1" applyBorder="1" applyAlignment="1">
      <alignment horizontal="center" vertical="center"/>
    </xf>
    <xf numFmtId="1" fontId="0" fillId="0" borderId="80" xfId="0" applyNumberFormat="1" applyBorder="1" applyAlignment="1">
      <alignment horizontal="center" vertical="center"/>
    </xf>
    <xf numFmtId="1" fontId="9" fillId="0" borderId="60" xfId="0" applyNumberFormat="1" applyFont="1" applyBorder="1" applyAlignment="1">
      <alignment horizontal="center" vertical="center"/>
    </xf>
    <xf numFmtId="1" fontId="9" fillId="0" borderId="81" xfId="0" applyNumberFormat="1" applyFont="1" applyBorder="1" applyAlignment="1">
      <alignment horizontal="center" vertical="center"/>
    </xf>
    <xf numFmtId="1" fontId="0" fillId="0" borderId="82" xfId="0" applyNumberFormat="1" applyBorder="1" applyAlignment="1">
      <alignment horizontal="center" vertical="center"/>
    </xf>
    <xf numFmtId="1" fontId="0" fillId="0" borderId="83" xfId="0" applyNumberFormat="1" applyBorder="1" applyAlignment="1">
      <alignment horizontal="center" vertical="center"/>
    </xf>
    <xf numFmtId="1" fontId="0" fillId="0" borderId="84" xfId="0" applyNumberFormat="1" applyBorder="1" applyAlignment="1">
      <alignment horizontal="center" vertical="center"/>
    </xf>
    <xf numFmtId="1" fontId="0" fillId="0" borderId="85" xfId="0" applyNumberFormat="1" applyBorder="1" applyAlignment="1">
      <alignment horizontal="center" vertical="center"/>
    </xf>
    <xf numFmtId="164" fontId="0" fillId="0" borderId="85" xfId="0" applyNumberFormat="1" applyBorder="1" applyAlignment="1">
      <alignment horizontal="center" vertical="center"/>
    </xf>
    <xf numFmtId="164" fontId="0" fillId="0" borderId="83" xfId="0" applyNumberFormat="1" applyBorder="1" applyAlignment="1">
      <alignment horizontal="center" vertical="center"/>
    </xf>
    <xf numFmtId="164" fontId="9" fillId="0" borderId="0" xfId="0" applyNumberFormat="1" applyFont="1" applyAlignment="1">
      <alignment horizontal="left"/>
    </xf>
    <xf numFmtId="0" fontId="0" fillId="14" borderId="0" xfId="0" applyFill="1"/>
    <xf numFmtId="0" fontId="0" fillId="14" borderId="0" xfId="0" applyFill="1" applyAlignment="1">
      <alignment horizontal="center" vertical="center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horizontal="left"/>
    </xf>
    <xf numFmtId="164" fontId="0" fillId="15" borderId="0" xfId="0" applyNumberFormat="1" applyFill="1"/>
    <xf numFmtId="1" fontId="0" fillId="15" borderId="0" xfId="0" applyNumberFormat="1" applyFill="1"/>
    <xf numFmtId="1" fontId="0" fillId="15" borderId="0" xfId="0" applyNumberFormat="1" applyFill="1" applyAlignment="1">
      <alignment horizontal="right"/>
    </xf>
    <xf numFmtId="1" fontId="0" fillId="15" borderId="0" xfId="0" applyNumberFormat="1" applyFill="1" applyAlignment="1">
      <alignment horizontal="right" vertical="center"/>
    </xf>
    <xf numFmtId="2" fontId="0" fillId="15" borderId="0" xfId="0" applyNumberFormat="1" applyFill="1" applyAlignment="1">
      <alignment horizontal="left"/>
    </xf>
    <xf numFmtId="0" fontId="0" fillId="15" borderId="0" xfId="0" applyFill="1"/>
    <xf numFmtId="166" fontId="0" fillId="0" borderId="0" xfId="0" applyNumberFormat="1"/>
    <xf numFmtId="167" fontId="0" fillId="0" borderId="0" xfId="0" applyNumberFormat="1"/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1" fontId="9" fillId="0" borderId="0" xfId="0" applyNumberFormat="1" applyFont="1"/>
    <xf numFmtId="0" fontId="13" fillId="0" borderId="0" xfId="0" applyFont="1" applyAlignment="1">
      <alignment wrapText="1"/>
    </xf>
    <xf numFmtId="0" fontId="13" fillId="0" borderId="0" xfId="0" applyFont="1"/>
    <xf numFmtId="0" fontId="0" fillId="19" borderId="0" xfId="0" applyFill="1"/>
    <xf numFmtId="0" fontId="0" fillId="20" borderId="0" xfId="0" applyFill="1"/>
    <xf numFmtId="0" fontId="0" fillId="18" borderId="0" xfId="0" applyFill="1"/>
    <xf numFmtId="0" fontId="0" fillId="21" borderId="0" xfId="0" applyFill="1"/>
    <xf numFmtId="0" fontId="13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9" fillId="0" borderId="59" xfId="0" applyNumberFormat="1" applyFont="1" applyBorder="1" applyAlignment="1">
      <alignment horizontal="center" vertical="center"/>
    </xf>
    <xf numFmtId="1" fontId="0" fillId="0" borderId="89" xfId="0" applyNumberFormat="1" applyBorder="1" applyAlignment="1">
      <alignment horizontal="center" vertical="center"/>
    </xf>
    <xf numFmtId="1" fontId="0" fillId="0" borderId="90" xfId="0" applyNumberFormat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1" fontId="0" fillId="0" borderId="92" xfId="0" applyNumberFormat="1" applyBorder="1" applyAlignment="1">
      <alignment horizontal="center" vertical="center"/>
    </xf>
    <xf numFmtId="1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7" xfId="0" applyNumberFormat="1" applyBorder="1"/>
    <xf numFmtId="3" fontId="9" fillId="0" borderId="0" xfId="0" applyNumberFormat="1" applyFont="1" applyAlignment="1">
      <alignment horizontal="right"/>
    </xf>
    <xf numFmtId="0" fontId="15" fillId="11" borderId="0" xfId="0" applyFont="1" applyFill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9" xfId="0" applyFont="1" applyBorder="1"/>
    <xf numFmtId="1" fontId="9" fillId="0" borderId="10" xfId="0" applyNumberFormat="1" applyFont="1" applyBorder="1"/>
    <xf numFmtId="0" fontId="0" fillId="0" borderId="6" xfId="0" applyBorder="1" applyAlignment="1">
      <alignment vertical="center"/>
    </xf>
    <xf numFmtId="0" fontId="9" fillId="0" borderId="10" xfId="0" applyFont="1" applyBorder="1"/>
    <xf numFmtId="0" fontId="9" fillId="0" borderId="3" xfId="0" applyFont="1" applyBorder="1"/>
    <xf numFmtId="0" fontId="9" fillId="0" borderId="31" xfId="0" applyFont="1" applyBorder="1"/>
    <xf numFmtId="1" fontId="9" fillId="0" borderId="32" xfId="0" applyNumberFormat="1" applyFont="1" applyBorder="1"/>
    <xf numFmtId="0" fontId="9" fillId="0" borderId="0" xfId="0" applyFont="1" applyAlignment="1">
      <alignment horizontal="left"/>
    </xf>
    <xf numFmtId="0" fontId="9" fillId="0" borderId="6" xfId="0" applyFont="1" applyBorder="1"/>
    <xf numFmtId="0" fontId="9" fillId="0" borderId="32" xfId="0" applyFont="1" applyBorder="1"/>
    <xf numFmtId="0" fontId="9" fillId="0" borderId="33" xfId="0" applyFont="1" applyBorder="1"/>
    <xf numFmtId="0" fontId="12" fillId="15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0" fontId="18" fillId="11" borderId="7" xfId="0" applyFont="1" applyFill="1" applyBorder="1" applyAlignment="1">
      <alignment horizontal="center" vertical="top"/>
    </xf>
    <xf numFmtId="1" fontId="0" fillId="15" borderId="0" xfId="0" applyNumberFormat="1" applyFill="1" applyAlignment="1">
      <alignment horizontal="center" vertical="center"/>
    </xf>
    <xf numFmtId="1" fontId="0" fillId="0" borderId="99" xfId="0" applyNumberFormat="1" applyBorder="1" applyAlignment="1">
      <alignment horizontal="center" vertical="center"/>
    </xf>
    <xf numFmtId="0" fontId="0" fillId="0" borderId="78" xfId="0" applyBorder="1"/>
    <xf numFmtId="1" fontId="0" fillId="0" borderId="58" xfId="0" applyNumberFormat="1" applyBorder="1" applyAlignment="1">
      <alignment horizontal="center" vertical="center"/>
    </xf>
    <xf numFmtId="1" fontId="0" fillId="0" borderId="100" xfId="0" applyNumberFormat="1" applyBorder="1" applyAlignment="1">
      <alignment horizontal="center" vertical="center"/>
    </xf>
    <xf numFmtId="1" fontId="0" fillId="0" borderId="53" xfId="0" applyNumberFormat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9" fillId="0" borderId="8" xfId="0" applyFont="1" applyBorder="1"/>
    <xf numFmtId="0" fontId="9" fillId="0" borderId="5" xfId="0" applyFont="1" applyBorder="1"/>
    <xf numFmtId="0" fontId="9" fillId="0" borderId="101" xfId="0" applyFont="1" applyBorder="1"/>
    <xf numFmtId="0" fontId="9" fillId="0" borderId="88" xfId="0" applyFont="1" applyBorder="1"/>
    <xf numFmtId="0" fontId="0" fillId="26" borderId="0" xfId="0" applyFill="1"/>
    <xf numFmtId="0" fontId="0" fillId="27" borderId="0" xfId="0" applyFill="1"/>
    <xf numFmtId="1" fontId="0" fillId="6" borderId="0" xfId="0" applyNumberFormat="1" applyFill="1" applyAlignment="1">
      <alignment horizontal="center" vertical="center"/>
    </xf>
    <xf numFmtId="1" fontId="9" fillId="0" borderId="101" xfId="0" applyNumberFormat="1" applyFont="1" applyBorder="1"/>
    <xf numFmtId="0" fontId="0" fillId="0" borderId="101" xfId="0" applyBorder="1"/>
    <xf numFmtId="0" fontId="0" fillId="0" borderId="101" xfId="0" applyBorder="1" applyAlignment="1">
      <alignment vertical="center"/>
    </xf>
    <xf numFmtId="0" fontId="0" fillId="0" borderId="88" xfId="0" applyBorder="1" applyAlignment="1">
      <alignment vertical="center"/>
    </xf>
    <xf numFmtId="0" fontId="9" fillId="26" borderId="0" xfId="0" applyFont="1" applyFill="1" applyAlignment="1">
      <alignment horizontal="left"/>
    </xf>
    <xf numFmtId="0" fontId="9" fillId="0" borderId="102" xfId="0" applyFont="1" applyBorder="1"/>
    <xf numFmtId="1" fontId="9" fillId="0" borderId="103" xfId="0" applyNumberFormat="1" applyFont="1" applyBorder="1"/>
    <xf numFmtId="0" fontId="0" fillId="0" borderId="103" xfId="0" applyBorder="1"/>
    <xf numFmtId="0" fontId="0" fillId="0" borderId="103" xfId="0" applyBorder="1" applyAlignment="1">
      <alignment vertical="center"/>
    </xf>
    <xf numFmtId="0" fontId="0" fillId="0" borderId="104" xfId="0" applyBorder="1" applyAlignment="1">
      <alignment vertical="center"/>
    </xf>
    <xf numFmtId="0" fontId="9" fillId="0" borderId="105" xfId="0" applyFont="1" applyBorder="1"/>
    <xf numFmtId="0" fontId="0" fillId="0" borderId="106" xfId="0" applyBorder="1" applyAlignment="1">
      <alignment vertical="center"/>
    </xf>
    <xf numFmtId="0" fontId="0" fillId="0" borderId="106" xfId="0" applyBorder="1"/>
    <xf numFmtId="0" fontId="9" fillId="0" borderId="107" xfId="0" applyFont="1" applyBorder="1"/>
    <xf numFmtId="1" fontId="9" fillId="0" borderId="90" xfId="0" applyNumberFormat="1" applyFont="1" applyBorder="1"/>
    <xf numFmtId="0" fontId="0" fillId="0" borderId="90" xfId="0" applyBorder="1"/>
    <xf numFmtId="0" fontId="0" fillId="0" borderId="90" xfId="0" applyBorder="1" applyAlignment="1">
      <alignment vertical="center"/>
    </xf>
    <xf numFmtId="0" fontId="0" fillId="0" borderId="108" xfId="0" applyBorder="1" applyAlignment="1">
      <alignment vertical="center"/>
    </xf>
    <xf numFmtId="0" fontId="9" fillId="0" borderId="103" xfId="0" applyFont="1" applyBorder="1"/>
    <xf numFmtId="0" fontId="9" fillId="0" borderId="104" xfId="0" applyFont="1" applyBorder="1"/>
    <xf numFmtId="0" fontId="9" fillId="0" borderId="109" xfId="0" applyFont="1" applyBorder="1"/>
    <xf numFmtId="0" fontId="9" fillId="0" borderId="80" xfId="0" applyFont="1" applyBorder="1"/>
    <xf numFmtId="0" fontId="9" fillId="0" borderId="110" xfId="0" applyFont="1" applyBorder="1"/>
    <xf numFmtId="1" fontId="9" fillId="0" borderId="33" xfId="0" applyNumberFormat="1" applyFont="1" applyBorder="1"/>
    <xf numFmtId="164" fontId="9" fillId="0" borderId="9" xfId="0" applyNumberFormat="1" applyFont="1" applyBorder="1"/>
    <xf numFmtId="164" fontId="9" fillId="0" borderId="10" xfId="0" applyNumberFormat="1" applyFont="1" applyBorder="1"/>
    <xf numFmtId="164" fontId="0" fillId="0" borderId="10" xfId="0" applyNumberFormat="1" applyBorder="1"/>
    <xf numFmtId="164" fontId="9" fillId="0" borderId="3" xfId="0" applyNumberFormat="1" applyFont="1" applyBorder="1"/>
    <xf numFmtId="164" fontId="9" fillId="0" borderId="0" xfId="0" applyNumberFormat="1" applyFont="1"/>
    <xf numFmtId="2" fontId="9" fillId="0" borderId="9" xfId="0" applyNumberFormat="1" applyFont="1" applyBorder="1"/>
    <xf numFmtId="2" fontId="9" fillId="0" borderId="10" xfId="0" applyNumberFormat="1" applyFont="1" applyBorder="1"/>
    <xf numFmtId="2" fontId="0" fillId="0" borderId="10" xfId="0" applyNumberFormat="1" applyBorder="1"/>
    <xf numFmtId="164" fontId="9" fillId="0" borderId="31" xfId="0" applyNumberFormat="1" applyFont="1" applyBorder="1"/>
    <xf numFmtId="164" fontId="9" fillId="0" borderId="32" xfId="0" applyNumberFormat="1" applyFont="1" applyBorder="1"/>
    <xf numFmtId="164" fontId="0" fillId="0" borderId="32" xfId="0" applyNumberFormat="1" applyBorder="1"/>
    <xf numFmtId="2" fontId="9" fillId="0" borderId="0" xfId="0" applyNumberFormat="1" applyFont="1" applyAlignment="1">
      <alignment horizontal="left"/>
    </xf>
    <xf numFmtId="2" fontId="9" fillId="0" borderId="3" xfId="0" applyNumberFormat="1" applyFont="1" applyBorder="1"/>
    <xf numFmtId="2" fontId="9" fillId="0" borderId="0" xfId="0" applyNumberFormat="1" applyFont="1"/>
    <xf numFmtId="2" fontId="9" fillId="0" borderId="31" xfId="0" applyNumberFormat="1" applyFont="1" applyBorder="1"/>
    <xf numFmtId="2" fontId="9" fillId="0" borderId="32" xfId="0" applyNumberFormat="1" applyFont="1" applyBorder="1"/>
    <xf numFmtId="2" fontId="0" fillId="0" borderId="32" xfId="0" applyNumberFormat="1" applyBorder="1"/>
    <xf numFmtId="0" fontId="9" fillId="29" borderId="0" xfId="0" applyFont="1" applyFill="1" applyAlignment="1">
      <alignment horizontal="center"/>
    </xf>
    <xf numFmtId="0" fontId="9" fillId="29" borderId="21" xfId="0" applyFont="1" applyFill="1" applyBorder="1" applyAlignment="1">
      <alignment horizontal="center"/>
    </xf>
    <xf numFmtId="0" fontId="9" fillId="29" borderId="19" xfId="0" applyFont="1" applyFill="1" applyBorder="1" applyAlignment="1">
      <alignment horizontal="left"/>
    </xf>
    <xf numFmtId="0" fontId="9" fillId="29" borderId="19" xfId="0" applyFont="1" applyFill="1" applyBorder="1" applyAlignment="1">
      <alignment horizontal="center"/>
    </xf>
    <xf numFmtId="0" fontId="9" fillId="29" borderId="20" xfId="0" applyFont="1" applyFill="1" applyBorder="1" applyAlignment="1">
      <alignment horizontal="center"/>
    </xf>
    <xf numFmtId="0" fontId="9" fillId="11" borderId="0" xfId="0" applyFont="1" applyFill="1"/>
    <xf numFmtId="0" fontId="0" fillId="11" borderId="21" xfId="0" applyFill="1" applyBorder="1"/>
    <xf numFmtId="0" fontId="0" fillId="11" borderId="19" xfId="0" applyFill="1" applyBorder="1" applyAlignment="1">
      <alignment horizontal="left" wrapText="1"/>
    </xf>
    <xf numFmtId="0" fontId="0" fillId="11" borderId="19" xfId="0" applyFill="1" applyBorder="1" applyAlignment="1">
      <alignment wrapText="1"/>
    </xf>
    <xf numFmtId="0" fontId="0" fillId="11" borderId="20" xfId="0" applyFill="1" applyBorder="1" applyAlignment="1">
      <alignment wrapText="1"/>
    </xf>
    <xf numFmtId="0" fontId="0" fillId="11" borderId="0" xfId="0" applyFill="1" applyAlignment="1">
      <alignment wrapText="1"/>
    </xf>
    <xf numFmtId="0" fontId="0" fillId="30" borderId="0" xfId="0" applyFill="1"/>
    <xf numFmtId="0" fontId="0" fillId="30" borderId="21" xfId="0" applyFill="1" applyBorder="1"/>
    <xf numFmtId="0" fontId="0" fillId="30" borderId="19" xfId="0" applyFill="1" applyBorder="1" applyAlignment="1">
      <alignment horizontal="left" wrapText="1"/>
    </xf>
    <xf numFmtId="0" fontId="0" fillId="30" borderId="19" xfId="0" applyFill="1" applyBorder="1" applyAlignment="1">
      <alignment wrapText="1"/>
    </xf>
    <xf numFmtId="0" fontId="0" fillId="30" borderId="20" xfId="0" applyFill="1" applyBorder="1" applyAlignment="1">
      <alignment wrapText="1"/>
    </xf>
    <xf numFmtId="0" fontId="0" fillId="30" borderId="0" xfId="0" applyFill="1" applyAlignment="1">
      <alignment wrapText="1"/>
    </xf>
    <xf numFmtId="0" fontId="0" fillId="11" borderId="0" xfId="0" applyFill="1"/>
    <xf numFmtId="0" fontId="0" fillId="11" borderId="7" xfId="0" applyFill="1" applyBorder="1"/>
    <xf numFmtId="0" fontId="0" fillId="11" borderId="7" xfId="0" applyFill="1" applyBorder="1" applyAlignment="1">
      <alignment horizontal="center" vertical="center"/>
    </xf>
    <xf numFmtId="164" fontId="0" fillId="30" borderId="7" xfId="0" applyNumberFormat="1" applyFill="1" applyBorder="1"/>
    <xf numFmtId="1" fontId="0" fillId="30" borderId="7" xfId="0" applyNumberFormat="1" applyFill="1" applyBorder="1" applyAlignment="1">
      <alignment horizontal="right" vertical="center" wrapText="1"/>
    </xf>
    <xf numFmtId="1" fontId="0" fillId="30" borderId="7" xfId="0" applyNumberFormat="1" applyFill="1" applyBorder="1" applyAlignment="1">
      <alignment wrapText="1"/>
    </xf>
    <xf numFmtId="164" fontId="0" fillId="11" borderId="7" xfId="0" applyNumberFormat="1" applyFill="1" applyBorder="1"/>
    <xf numFmtId="0" fontId="0" fillId="11" borderId="7" xfId="0" applyFill="1" applyBorder="1" applyAlignment="1">
      <alignment horizontal="right" wrapText="1"/>
    </xf>
    <xf numFmtId="1" fontId="0" fillId="11" borderId="7" xfId="0" applyNumberFormat="1" applyFill="1" applyBorder="1" applyAlignment="1">
      <alignment horizontal="right" vertical="center" wrapText="1"/>
    </xf>
    <xf numFmtId="0" fontId="0" fillId="30" borderId="7" xfId="0" applyFill="1" applyBorder="1" applyAlignment="1">
      <alignment horizontal="right" wrapText="1"/>
    </xf>
    <xf numFmtId="0" fontId="0" fillId="30" borderId="7" xfId="0" applyFill="1" applyBorder="1" applyAlignment="1">
      <alignment wrapText="1"/>
    </xf>
    <xf numFmtId="0" fontId="9" fillId="6" borderId="7" xfId="0" applyFont="1" applyFill="1" applyBorder="1" applyAlignment="1">
      <alignment wrapText="1"/>
    </xf>
    <xf numFmtId="0" fontId="0" fillId="11" borderId="7" xfId="0" applyFill="1" applyBorder="1" applyAlignment="1">
      <alignment wrapText="1"/>
    </xf>
    <xf numFmtId="0" fontId="19" fillId="30" borderId="0" xfId="0" applyFont="1" applyFill="1"/>
    <xf numFmtId="0" fontId="19" fillId="30" borderId="21" xfId="0" applyFont="1" applyFill="1" applyBorder="1"/>
    <xf numFmtId="0" fontId="0" fillId="30" borderId="19" xfId="0" applyFill="1" applyBorder="1" applyAlignment="1">
      <alignment horizontal="left"/>
    </xf>
    <xf numFmtId="0" fontId="0" fillId="30" borderId="19" xfId="0" applyFill="1" applyBorder="1"/>
    <xf numFmtId="0" fontId="0" fillId="30" borderId="20" xfId="0" applyFill="1" applyBorder="1"/>
    <xf numFmtId="0" fontId="20" fillId="30" borderId="0" xfId="0" applyFont="1" applyFill="1" applyAlignment="1">
      <alignment wrapText="1"/>
    </xf>
    <xf numFmtId="0" fontId="20" fillId="30" borderId="21" xfId="0" applyFont="1" applyFill="1" applyBorder="1" applyAlignment="1">
      <alignment wrapText="1"/>
    </xf>
    <xf numFmtId="0" fontId="20" fillId="11" borderId="0" xfId="0" applyFont="1" applyFill="1" applyAlignment="1">
      <alignment wrapText="1"/>
    </xf>
    <xf numFmtId="0" fontId="20" fillId="11" borderId="21" xfId="0" applyFont="1" applyFill="1" applyBorder="1" applyAlignment="1">
      <alignment wrapText="1"/>
    </xf>
    <xf numFmtId="0" fontId="0" fillId="6" borderId="19" xfId="0" applyFill="1" applyBorder="1" applyAlignment="1">
      <alignment horizontal="left" wrapText="1"/>
    </xf>
    <xf numFmtId="0" fontId="0" fillId="11" borderId="21" xfId="0" applyFill="1" applyBorder="1" applyAlignment="1">
      <alignment wrapText="1"/>
    </xf>
    <xf numFmtId="0" fontId="0" fillId="31" borderId="19" xfId="0" applyFill="1" applyBorder="1" applyAlignment="1">
      <alignment horizontal="left" wrapText="1"/>
    </xf>
    <xf numFmtId="0" fontId="0" fillId="30" borderId="21" xfId="0" applyFill="1" applyBorder="1" applyAlignment="1">
      <alignment wrapText="1"/>
    </xf>
    <xf numFmtId="0" fontId="19" fillId="30" borderId="0" xfId="0" applyFont="1" applyFill="1" applyAlignment="1">
      <alignment wrapText="1"/>
    </xf>
    <xf numFmtId="0" fontId="19" fillId="11" borderId="0" xfId="0" applyFont="1" applyFill="1" applyAlignment="1">
      <alignment wrapText="1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9" fillId="0" borderId="32" xfId="0" applyFont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6" borderId="0" xfId="0" applyFill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 wrapText="1"/>
    </xf>
    <xf numFmtId="0" fontId="7" fillId="0" borderId="8" xfId="0" applyFont="1" applyBorder="1" applyAlignment="1">
      <alignment horizontal="center"/>
    </xf>
    <xf numFmtId="0" fontId="0" fillId="0" borderId="0" xfId="0" applyAlignment="1">
      <alignment horizontal="center" textRotation="90" wrapText="1"/>
    </xf>
    <xf numFmtId="0" fontId="0" fillId="0" borderId="0" xfId="0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10" fillId="0" borderId="3" xfId="0" applyFont="1" applyBorder="1" applyAlignment="1">
      <alignment horizontal="right" vertic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textRotation="90" wrapText="1"/>
    </xf>
    <xf numFmtId="0" fontId="5" fillId="4" borderId="34" xfId="0" applyFont="1" applyFill="1" applyBorder="1" applyAlignment="1">
      <alignment horizontal="left" vertical="center"/>
    </xf>
    <xf numFmtId="0" fontId="0" fillId="4" borderId="7" xfId="0" applyFill="1" applyBorder="1" applyAlignment="1">
      <alignment wrapText="1"/>
    </xf>
    <xf numFmtId="0" fontId="0" fillId="0" borderId="3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9" fillId="7" borderId="0" xfId="0" applyFont="1" applyFill="1" applyAlignment="1">
      <alignment horizontal="center" wrapText="1"/>
    </xf>
    <xf numFmtId="0" fontId="9" fillId="6" borderId="0" xfId="0" applyFont="1" applyFill="1" applyAlignment="1">
      <alignment horizontal="center" vertical="center"/>
    </xf>
    <xf numFmtId="0" fontId="9" fillId="7" borderId="41" xfId="0" applyFont="1" applyFill="1" applyBorder="1" applyAlignment="1">
      <alignment horizontal="center"/>
    </xf>
    <xf numFmtId="0" fontId="9" fillId="7" borderId="41" xfId="0" applyFont="1" applyFill="1" applyBorder="1" applyAlignment="1">
      <alignment horizontal="center" wrapText="1"/>
    </xf>
    <xf numFmtId="0" fontId="9" fillId="7" borderId="42" xfId="0" applyFont="1" applyFill="1" applyBorder="1" applyAlignment="1">
      <alignment horizontal="center"/>
    </xf>
    <xf numFmtId="0" fontId="9" fillId="7" borderId="39" xfId="0" applyFont="1" applyFill="1" applyBorder="1" applyAlignment="1">
      <alignment horizontal="center"/>
    </xf>
    <xf numFmtId="0" fontId="9" fillId="7" borderId="40" xfId="0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0" fillId="16" borderId="0" xfId="0" applyFill="1" applyAlignment="1">
      <alignment horizontal="center"/>
    </xf>
    <xf numFmtId="0" fontId="13" fillId="0" borderId="86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17" borderId="87" xfId="0" applyFont="1" applyFill="1" applyBorder="1" applyAlignment="1">
      <alignment horizontal="center" vertical="center"/>
    </xf>
    <xf numFmtId="0" fontId="13" fillId="18" borderId="8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22" borderId="0" xfId="0" applyFont="1" applyFill="1" applyAlignment="1">
      <alignment horizontal="center"/>
    </xf>
    <xf numFmtId="1" fontId="0" fillId="0" borderId="47" xfId="0" applyNumberFormat="1" applyBorder="1" applyAlignment="1">
      <alignment horizontal="center" vertical="center"/>
    </xf>
    <xf numFmtId="1" fontId="0" fillId="0" borderId="81" xfId="0" applyNumberForma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1" fontId="0" fillId="0" borderId="98" xfId="0" applyNumberFormat="1" applyBorder="1" applyAlignment="1">
      <alignment horizontal="center" vertical="center"/>
    </xf>
    <xf numFmtId="0" fontId="13" fillId="0" borderId="95" xfId="0" applyFont="1" applyBorder="1" applyAlignment="1">
      <alignment horizontal="center" vertical="center" wrapText="1"/>
    </xf>
    <xf numFmtId="0" fontId="13" fillId="0" borderId="96" xfId="0" applyFont="1" applyBorder="1" applyAlignment="1">
      <alignment horizontal="center" vertical="center"/>
    </xf>
    <xf numFmtId="0" fontId="9" fillId="25" borderId="0" xfId="0" applyFont="1" applyFill="1" applyAlignment="1">
      <alignment horizontal="center"/>
    </xf>
    <xf numFmtId="0" fontId="9" fillId="24" borderId="0" xfId="0" applyFont="1" applyFill="1" applyAlignment="1">
      <alignment horizontal="center"/>
    </xf>
    <xf numFmtId="0" fontId="9" fillId="23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9" fillId="29" borderId="19" xfId="0" applyFont="1" applyFill="1" applyBorder="1" applyAlignment="1">
      <alignment horizontal="left"/>
    </xf>
    <xf numFmtId="0" fontId="9" fillId="30" borderId="0" xfId="0" applyFont="1" applyFill="1" applyAlignment="1">
      <alignment horizontal="center" vertical="center" wrapText="1"/>
    </xf>
  </cellXfs>
  <cellStyles count="1">
    <cellStyle name="Normal" xfId="0" builtinId="0"/>
  </cellStyles>
  <dxfs count="39"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F9900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FEFEF"/>
      <rgbColor rgb="FF0000FF"/>
      <rgbColor rgb="FFFFFF00"/>
      <rgbColor rgb="FFFF00FF"/>
      <rgbColor rgb="FFB7E1CD"/>
      <rgbColor rgb="FF800000"/>
      <rgbColor rgb="FF008000"/>
      <rgbColor rgb="FF000080"/>
      <rgbColor rgb="FFBF9000"/>
      <rgbColor rgb="FF800080"/>
      <rgbColor rgb="FF008080"/>
      <rgbColor rgb="FFBDBDBD"/>
      <rgbColor rgb="FFB7B7B7"/>
      <rgbColor rgb="FF6D9EEB"/>
      <rgbColor rgb="FF7030A0"/>
      <rgbColor rgb="FFF3F3F3"/>
      <rgbColor rgb="FFE0F7FA"/>
      <rgbColor rgb="FF660066"/>
      <rgbColor rgb="FFF4C7C3"/>
      <rgbColor rgb="FF0070C0"/>
      <rgbColor rgb="FFC9DAF8"/>
      <rgbColor rgb="FF000080"/>
      <rgbColor rgb="FFFF00FF"/>
      <rgbColor rgb="FFC5E0B3"/>
      <rgbColor rgb="FFD9D9D9"/>
      <rgbColor rgb="FF800080"/>
      <rgbColor rgb="FF800000"/>
      <rgbColor rgb="FF008080"/>
      <rgbColor rgb="FF0000FF"/>
      <rgbColor rgb="FF00B0F0"/>
      <rgbColor rgb="FFCFE2F3"/>
      <rgbColor rgb="FFE2EFD9"/>
      <rgbColor rgb="FFFCE8B2"/>
      <rgbColor rgb="FFBDD6EE"/>
      <rgbColor rgb="FFF4B083"/>
      <rgbColor rgb="FFD5A6BD"/>
      <rgbColor rgb="FFF7CAAC"/>
      <rgbColor rgb="FF4472C4"/>
      <rgbColor rgb="FF4DD0E1"/>
      <rgbColor rgb="FFA8D08D"/>
      <rgbColor rgb="FFFFC000"/>
      <rgbColor rgb="FFFF9900"/>
      <rgbColor rgb="FFED7D31"/>
      <rgbColor rgb="FF666666"/>
      <rgbColor rgb="FF999999"/>
      <rgbColor rgb="FF003366"/>
      <rgbColor rgb="FFB6D7A8"/>
      <rgbColor rgb="FF1A1A1A"/>
      <rgbColor rgb="FF242424"/>
      <rgbColor rgb="FFC55A11"/>
      <rgbColor rgb="FFFBE4D5"/>
      <rgbColor rgb="FF43434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'Take-off'!$B$57</c:f>
              <c:strCache>
                <c:ptCount val="1"/>
                <c:pt idx="0">
                  <c:v>Limiting runway</c:v>
                </c:pt>
              </c:strCache>
            </c:strRef>
          </c:tx>
          <c:spPr>
            <a:solidFill>
              <a:srgbClr val="43434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'Take-off'!$C$56:$E$56</c:f>
              <c:strCache>
                <c:ptCount val="3"/>
                <c:pt idx="0">
                  <c:v>Flaps UP</c:v>
                </c:pt>
                <c:pt idx="1">
                  <c:v>Flaps TAKE-OFF</c:v>
                </c:pt>
                <c:pt idx="2">
                  <c:v>Flaps APPROACH</c:v>
                </c:pt>
              </c:strCache>
            </c:strRef>
          </c:cat>
          <c:val>
            <c:numRef>
              <c:f>'Take-off'!$C$57:$E$57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7-4CD9-B1EB-80BF42DD2865}"/>
            </c:ext>
          </c:extLst>
        </c:ser>
        <c:ser>
          <c:idx val="1"/>
          <c:order val="1"/>
          <c:tx>
            <c:strRef>
              <c:f>'Take-off'!$B$58</c:f>
              <c:strCache>
                <c:ptCount val="1"/>
                <c:pt idx="0">
                  <c:v>#NAMN?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'Take-off'!$C$56:$E$56</c:f>
              <c:strCache>
                <c:ptCount val="3"/>
                <c:pt idx="0">
                  <c:v>Flaps UP</c:v>
                </c:pt>
                <c:pt idx="1">
                  <c:v>Flaps TAKE-OFF</c:v>
                </c:pt>
                <c:pt idx="2">
                  <c:v>Flaps APPROACH</c:v>
                </c:pt>
              </c:strCache>
            </c:strRef>
          </c:cat>
          <c:val>
            <c:numRef>
              <c:f>'Take-off'!$C$58:$E$58</c:f>
              <c:numCache>
                <c:formatCode>0</c:formatCode>
                <c:ptCount val="3"/>
                <c:pt idx="0">
                  <c:v>1971.07582362122</c:v>
                </c:pt>
                <c:pt idx="1">
                  <c:v>1831.0623432961743</c:v>
                </c:pt>
                <c:pt idx="2">
                  <c:v>1904.729246121917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7-4CD9-B1EB-80BF42DD2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36038"/>
        <c:axId val="37298011"/>
      </c:barChart>
      <c:catAx>
        <c:axId val="2063603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37298011"/>
        <c:crosses val="autoZero"/>
        <c:auto val="1"/>
        <c:lblAlgn val="ctr"/>
        <c:lblOffset val="100"/>
        <c:noMultiLvlLbl val="0"/>
      </c:catAx>
      <c:valAx>
        <c:axId val="3729801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20636038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sv-S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LDA</c:v>
          </c:tx>
          <c:spPr>
            <a:solidFill>
              <a:srgbClr val="6666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Landing!$C$35:$D$35</c:f>
              <c:strCache>
                <c:ptCount val="2"/>
                <c:pt idx="0">
                  <c:v>Flaps UP</c:v>
                </c:pt>
                <c:pt idx="1">
                  <c:v>Flaps FULL</c:v>
                </c:pt>
              </c:strCache>
            </c:strRef>
          </c:cat>
          <c:val>
            <c:numRef>
              <c:f>Landing!$C$36:$D$36</c:f>
              <c:numCache>
                <c:formatCode>0</c:formatCode>
                <c:ptCount val="2"/>
                <c:pt idx="0">
                  <c:v>2000</c:v>
                </c:pt>
                <c:pt idx="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4-4525-A387-7B1539839DDE}"/>
            </c:ext>
          </c:extLst>
        </c:ser>
        <c:ser>
          <c:idx val="1"/>
          <c:order val="1"/>
          <c:tx>
            <c:v>Landing distance</c:v>
          </c:tx>
          <c:spPr>
            <a:solidFill>
              <a:srgbClr val="6D9EE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Landing!$C$35:$D$35</c:f>
              <c:strCache>
                <c:ptCount val="2"/>
                <c:pt idx="0">
                  <c:v>Flaps UP</c:v>
                </c:pt>
                <c:pt idx="1">
                  <c:v>Flaps FULL</c:v>
                </c:pt>
              </c:strCache>
            </c:strRef>
          </c:cat>
          <c:val>
            <c:numRef>
              <c:f>Landing!$C$37:$D$37</c:f>
              <c:numCache>
                <c:formatCode>0</c:formatCode>
                <c:ptCount val="2"/>
                <c:pt idx="0">
                  <c:v>2331.5263942966048</c:v>
                </c:pt>
                <c:pt idx="1">
                  <c:v>1537.3842807910091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54-4525-A387-7B1539839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78924"/>
        <c:axId val="71545161"/>
      </c:barChart>
      <c:catAx>
        <c:axId val="8887892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71545161"/>
        <c:crosses val="autoZero"/>
        <c:auto val="1"/>
        <c:lblAlgn val="ctr"/>
        <c:lblOffset val="100"/>
        <c:noMultiLvlLbl val="0"/>
      </c:catAx>
      <c:valAx>
        <c:axId val="7154516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Banlängder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88878924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sv-S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257040</xdr:colOff>
      <xdr:row>45</xdr:row>
      <xdr:rowOff>100440</xdr:rowOff>
    </xdr:from>
    <xdr:to>
      <xdr:col>6</xdr:col>
      <xdr:colOff>559800</xdr:colOff>
      <xdr:row>63</xdr:row>
      <xdr:rowOff>42120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30</xdr:row>
      <xdr:rowOff>18360</xdr:rowOff>
    </xdr:from>
    <xdr:to>
      <xdr:col>6</xdr:col>
      <xdr:colOff>173520</xdr:colOff>
      <xdr:row>43</xdr:row>
      <xdr:rowOff>112320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1676520</xdr:colOff>
      <xdr:row>5</xdr:row>
      <xdr:rowOff>846360</xdr:rowOff>
    </xdr:from>
    <xdr:to>
      <xdr:col>10</xdr:col>
      <xdr:colOff>465840</xdr:colOff>
      <xdr:row>9</xdr:row>
      <xdr:rowOff>388800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489560" y="3019320"/>
          <a:ext cx="4417920" cy="132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438120</xdr:colOff>
      <xdr:row>4</xdr:row>
      <xdr:rowOff>56160</xdr:rowOff>
    </xdr:from>
    <xdr:to>
      <xdr:col>20</xdr:col>
      <xdr:colOff>623880</xdr:colOff>
      <xdr:row>15</xdr:row>
      <xdr:rowOff>230760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1585600" y="2038680"/>
          <a:ext cx="7990560" cy="4389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6"/>
  <sheetViews>
    <sheetView showGridLines="0" topLeftCell="A17" zoomScaleNormal="100" workbookViewId="0">
      <selection activeCell="F13" sqref="F13"/>
    </sheetView>
  </sheetViews>
  <sheetFormatPr defaultColWidth="14.44140625" defaultRowHeight="15" customHeight="1" outlineLevelRow="1" x14ac:dyDescent="0.3"/>
  <cols>
    <col min="1" max="1" width="4" customWidth="1"/>
    <col min="2" max="2" width="28.5546875" customWidth="1"/>
    <col min="3" max="3" width="19.88671875" customWidth="1"/>
    <col min="4" max="4" width="8.6640625" customWidth="1"/>
    <col min="5" max="5" width="11.33203125" customWidth="1"/>
    <col min="6" max="6" width="15.44140625" customWidth="1"/>
    <col min="7" max="7" width="12.109375" customWidth="1"/>
    <col min="8" max="8" width="2.6640625" customWidth="1"/>
    <col min="9" max="9" width="16.33203125" customWidth="1"/>
    <col min="10" max="13" width="12.109375" customWidth="1"/>
    <col min="14" max="14" width="10" customWidth="1"/>
  </cols>
  <sheetData>
    <row r="1" spans="1:12" ht="14.4" x14ac:dyDescent="0.3">
      <c r="B1" s="372">
        <v>1900</v>
      </c>
      <c r="C1" s="372"/>
      <c r="D1" s="372"/>
      <c r="E1" s="372"/>
      <c r="F1" s="372"/>
      <c r="G1" s="372"/>
    </row>
    <row r="2" spans="1:12" ht="32.4" x14ac:dyDescent="0.3">
      <c r="A2" s="4"/>
      <c r="B2" s="373" t="s">
        <v>0</v>
      </c>
      <c r="C2" s="373"/>
      <c r="D2" s="373"/>
      <c r="E2" s="373"/>
      <c r="F2" s="373"/>
      <c r="G2" s="5" t="s">
        <v>1</v>
      </c>
    </row>
    <row r="3" spans="1:12" ht="14.25" customHeight="1" x14ac:dyDescent="0.3">
      <c r="A3" s="4"/>
      <c r="B3" s="374" t="s">
        <v>2</v>
      </c>
      <c r="C3" s="374"/>
      <c r="D3" s="374"/>
      <c r="E3" s="374"/>
      <c r="F3" s="374"/>
      <c r="G3" s="6">
        <v>46290</v>
      </c>
    </row>
    <row r="4" spans="1:12" ht="22.5" customHeight="1" x14ac:dyDescent="0.3">
      <c r="A4" s="4"/>
      <c r="B4" s="7" t="s">
        <v>3</v>
      </c>
      <c r="C4" s="375" t="s">
        <v>4</v>
      </c>
      <c r="D4" s="375"/>
      <c r="E4" s="375"/>
      <c r="F4" s="375"/>
      <c r="G4" s="375"/>
    </row>
    <row r="5" spans="1:12" ht="30" customHeight="1" x14ac:dyDescent="0.3">
      <c r="A5" s="4"/>
      <c r="B5" s="8"/>
      <c r="C5" s="376" t="str">
        <f ca="1">IFERROR(__xludf.dummyfunction("SUBSTITUTE(IMPORTDATA(""https://aviationweather.gov/api/data/metar?ids="" &amp; LEFT(C4, 4) &amp; ""&amp;format=raw""), ""METAR "", """")"),"ESKM 051820Z AUTO 23007KT 110V280 9999 NCD 15/11 Q0994")</f>
        <v>ESKM 051820Z AUTO 23007KT 110V280 9999 NCD 15/11 Q0994</v>
      </c>
      <c r="D5" s="376"/>
      <c r="E5" s="376"/>
      <c r="F5" s="376"/>
      <c r="G5" s="376"/>
    </row>
    <row r="6" spans="1:12" ht="14.25" customHeight="1" x14ac:dyDescent="0.3">
      <c r="A6" s="4"/>
      <c r="B6" s="8" t="s">
        <v>5</v>
      </c>
      <c r="C6" s="9">
        <f ca="1">IFERROR(__xludf.dummyfunction("IF(E6&lt;&gt;"""", E6, IF($G$8, E6, IFERROR(IF(REGEXMATCH(C5, ""\bVRB""), ""000"", VALUE(REGEXEXTRACT(C5, ""\b(\d{3})\d{2,3}(?:G\d{2,3})?(?:KT|MPS)\b""))), ""-"")))"),230)</f>
        <v>230</v>
      </c>
      <c r="D6" s="10" t="s">
        <v>6</v>
      </c>
      <c r="E6" s="10"/>
      <c r="F6" s="366" t="str">
        <f ca="1">IF(C24&lt;0, "Tailwind", "")</f>
        <v>Tailwind</v>
      </c>
      <c r="G6" s="366"/>
    </row>
    <row r="7" spans="1:12" ht="14.25" customHeight="1" x14ac:dyDescent="0.3">
      <c r="A7" s="4"/>
      <c r="B7" s="8" t="s">
        <v>7</v>
      </c>
      <c r="C7" s="9">
        <f ca="1">IFERROR(__xludf.dummyfunction("IF(E7&lt;&gt;"""", E7, IF($G$8, E7, IFERROR(VALUE(REGEXEXTRACT(C5, ""\b(?:\d{3}|VRB)(\d{2,3})(?:G\d{2,3})?(?:KT|MPS)\b"")), ""-"")))"),7)</f>
        <v>7</v>
      </c>
      <c r="D7" s="10" t="s">
        <v>8</v>
      </c>
      <c r="E7" s="10"/>
      <c r="F7" s="366"/>
      <c r="G7" s="366"/>
    </row>
    <row r="8" spans="1:12" ht="14.25" customHeight="1" x14ac:dyDescent="0.3">
      <c r="A8" s="4"/>
      <c r="B8" s="8" t="s">
        <v>9</v>
      </c>
      <c r="C8" s="9">
        <f ca="1">IFERROR(__xludf.dummyfunction("IF(E8&lt;&gt;"""", E8, IF($G$8, E8, IFERROR(VALUE(SUBSTITUTE(REGEXEXTRACT(C5, ""\b(M?\d{2})\/(?:M?\d{2})\b""), ""M"", ""-"")), ""-"")))"),15)</f>
        <v>15</v>
      </c>
      <c r="D8" s="10" t="s">
        <v>10</v>
      </c>
      <c r="E8" s="10"/>
      <c r="F8" s="367" t="s">
        <v>11</v>
      </c>
      <c r="G8" s="368" t="b">
        <f>FALSE()</f>
        <v>0</v>
      </c>
    </row>
    <row r="9" spans="1:12" ht="14.25" customHeight="1" x14ac:dyDescent="0.3">
      <c r="A9" s="4"/>
      <c r="B9" s="8" t="s">
        <v>12</v>
      </c>
      <c r="C9" s="9">
        <f ca="1">IFERROR(__xludf.dummyfunction("IF(E9&lt;&gt;"""", E9, IF($G$8, E9, IFERROR(VALUE(REGEXEXTRACT(C5, ""\bQ(\d{4})\b"")), ""-"")))"),994)</f>
        <v>994</v>
      </c>
      <c r="D9" s="10" t="s">
        <v>13</v>
      </c>
      <c r="E9" s="10"/>
      <c r="F9" s="367"/>
      <c r="G9" s="368"/>
    </row>
    <row r="10" spans="1:12" ht="22.5" customHeight="1" x14ac:dyDescent="0.3">
      <c r="A10" s="4"/>
      <c r="B10" s="8" t="s">
        <v>14</v>
      </c>
      <c r="C10" s="11">
        <v>5</v>
      </c>
      <c r="D10" s="12"/>
      <c r="E10" s="369" t="s">
        <v>15</v>
      </c>
      <c r="F10" s="370" t="s">
        <v>16</v>
      </c>
      <c r="G10" s="371" t="b">
        <f>FALSE()</f>
        <v>0</v>
      </c>
    </row>
    <row r="11" spans="1:12" ht="22.5" customHeight="1" x14ac:dyDescent="0.3">
      <c r="A11" s="4"/>
      <c r="B11" s="13" t="s">
        <v>17</v>
      </c>
      <c r="C11" s="14" t="s">
        <v>18</v>
      </c>
      <c r="D11" s="15"/>
      <c r="E11" s="369"/>
      <c r="F11" s="369"/>
      <c r="G11" s="371"/>
      <c r="I11" s="362" t="s">
        <v>19</v>
      </c>
      <c r="J11" s="362"/>
    </row>
    <row r="12" spans="1:12" ht="22.5" customHeight="1" x14ac:dyDescent="0.3">
      <c r="A12" s="4"/>
      <c r="B12" s="13" t="s">
        <v>20</v>
      </c>
      <c r="C12" s="14">
        <v>3</v>
      </c>
      <c r="D12" s="15" t="s">
        <v>21</v>
      </c>
      <c r="E12" s="16" t="s">
        <v>22</v>
      </c>
      <c r="F12" s="17" t="str">
        <f>VLOOKUP(C11,'Dropdown lists'!B34:G40,5,FALSE())</f>
        <v>mm</v>
      </c>
      <c r="G12" s="18"/>
      <c r="I12" s="362"/>
      <c r="J12" s="362"/>
    </row>
    <row r="13" spans="1:12" ht="22.5" customHeight="1" x14ac:dyDescent="0.3">
      <c r="A13" s="4"/>
      <c r="B13" s="8" t="s">
        <v>23</v>
      </c>
      <c r="C13" s="11" t="s">
        <v>24</v>
      </c>
      <c r="D13" s="12"/>
      <c r="E13" s="8" t="s">
        <v>25</v>
      </c>
      <c r="F13" s="11" t="s">
        <v>26</v>
      </c>
      <c r="G13" s="18"/>
      <c r="I13" s="363" t="s">
        <v>27</v>
      </c>
      <c r="J13" s="363"/>
      <c r="K13" s="363"/>
      <c r="L13" s="363"/>
    </row>
    <row r="14" spans="1:12" ht="22.5" customHeight="1" x14ac:dyDescent="0.3">
      <c r="A14" s="4"/>
      <c r="B14" s="8" t="s">
        <v>28</v>
      </c>
      <c r="C14" s="11">
        <v>15800</v>
      </c>
      <c r="D14" s="12" t="s">
        <v>29</v>
      </c>
      <c r="E14" s="12" t="s">
        <v>30</v>
      </c>
      <c r="F14" s="12"/>
      <c r="G14" s="18"/>
      <c r="I14" s="363"/>
      <c r="J14" s="363"/>
      <c r="K14" s="363"/>
      <c r="L14" s="363"/>
    </row>
    <row r="15" spans="1:12" ht="14.25" customHeight="1" x14ac:dyDescent="0.3">
      <c r="A15" s="4"/>
      <c r="B15" s="19" t="s">
        <v>31</v>
      </c>
      <c r="C15" s="364"/>
      <c r="D15" s="364"/>
      <c r="E15" s="364"/>
      <c r="F15" s="364"/>
      <c r="G15" s="364"/>
      <c r="H15" s="12"/>
    </row>
    <row r="16" spans="1:12" ht="14.25" customHeight="1" outlineLevel="1" x14ac:dyDescent="0.3">
      <c r="A16" s="4"/>
      <c r="B16" s="8" t="s">
        <v>32</v>
      </c>
      <c r="C16" s="20">
        <f t="array" ref="C16">_xlfn.XLOOKUP($C$4, 'Airport data'!$A$5:$A1006, 'Airport data'!$B$5:$B1006)</f>
        <v>200</v>
      </c>
      <c r="D16" s="12" t="s">
        <v>33</v>
      </c>
      <c r="G16" s="18"/>
    </row>
    <row r="17" spans="1:13" ht="14.4" outlineLevel="1" x14ac:dyDescent="0.3">
      <c r="A17" s="4"/>
      <c r="B17" s="8" t="s">
        <v>34</v>
      </c>
      <c r="C17" s="21">
        <f t="array" ref="C17">_xlfn.XLOOKUP($C$4, 'Airport data'!$A$5:$A1006, 'Airport data'!$G$5:$G1006)</f>
        <v>0</v>
      </c>
      <c r="D17" s="12" t="s">
        <v>35</v>
      </c>
      <c r="E17" s="12"/>
      <c r="F17" s="365" t="s">
        <v>36</v>
      </c>
      <c r="G17" s="365"/>
    </row>
    <row r="18" spans="1:13" ht="14.4" outlineLevel="1" x14ac:dyDescent="0.3">
      <c r="A18" s="4"/>
      <c r="B18" s="8" t="s">
        <v>37</v>
      </c>
      <c r="C18" s="20">
        <f t="array" ref="C18">_xlfn.XLOOKUP( $C$4, 'Airport data'!$A$5:$A1006,  'Airport data'!$H$5:$H1006)</f>
        <v>120</v>
      </c>
      <c r="D18" s="12" t="s">
        <v>6</v>
      </c>
      <c r="G18" s="18"/>
    </row>
    <row r="19" spans="1:13" ht="14.4" outlineLevel="1" x14ac:dyDescent="0.3">
      <c r="A19" s="4"/>
      <c r="B19" s="8" t="s">
        <v>38</v>
      </c>
      <c r="C19" s="20">
        <f t="array" ref="C19">_xlfn.XLOOKUP( $C$4, 'Airport data'!$A$5:$A1006,  'Airport data'!$E$5:$E1006)-10</f>
        <v>1990</v>
      </c>
      <c r="D19" s="12" t="s">
        <v>39</v>
      </c>
      <c r="E19" s="1"/>
      <c r="F19" s="1" t="s">
        <v>40</v>
      </c>
      <c r="G19" s="18">
        <f t="array" ref="G19">_xlfn.XLOOKUP( $C$4, 'Airport data'!$A$5:$A1006,  'Airport data'!$I$5:$I1006)</f>
        <v>3.3</v>
      </c>
    </row>
    <row r="20" spans="1:13" ht="14.4" outlineLevel="1" x14ac:dyDescent="0.3">
      <c r="A20" s="4"/>
      <c r="B20" s="8" t="s">
        <v>41</v>
      </c>
      <c r="C20" s="20">
        <f t="array" ref="C20">_xlfn.XLOOKUP( $C$4, 'Airport data'!$A$5:$A1006,  'Airport data'!$C$5:$C1006)-10</f>
        <v>1990</v>
      </c>
      <c r="D20" s="12" t="s">
        <v>39</v>
      </c>
      <c r="E20" s="1"/>
      <c r="F20" s="1"/>
      <c r="G20" s="18"/>
    </row>
    <row r="21" spans="1:13" ht="14.4" outlineLevel="1" x14ac:dyDescent="0.3">
      <c r="A21" s="4"/>
      <c r="B21" s="8" t="s">
        <v>42</v>
      </c>
      <c r="C21" s="20">
        <f t="array" ref="C21">_xlfn.XLOOKUP( $C$4, 'Airport data'!$A$5:$A1006,  'Airport data'!$D$5:$D1006)-10</f>
        <v>1990</v>
      </c>
      <c r="D21" s="12" t="s">
        <v>39</v>
      </c>
      <c r="E21" t="s">
        <v>43</v>
      </c>
      <c r="F21" s="23">
        <f ca="1">C35*1.15</f>
        <v>1064.8359178069802</v>
      </c>
      <c r="G21" s="18"/>
    </row>
    <row r="22" spans="1:13" ht="14.4" outlineLevel="1" x14ac:dyDescent="0.3">
      <c r="A22" s="4"/>
      <c r="B22" s="8" t="s">
        <v>44</v>
      </c>
      <c r="C22" s="20">
        <f t="array" ref="C22">_xlfn.XLOOKUP( $C$4, 'Airport data'!$A$5:$A1006,  'Airport data'!$F$5:$F1006)</f>
        <v>2000</v>
      </c>
      <c r="D22" s="12" t="s">
        <v>39</v>
      </c>
      <c r="E22" s="1"/>
      <c r="F22" s="1"/>
      <c r="G22" s="18"/>
    </row>
    <row r="23" spans="1:13" ht="15.75" customHeight="1" x14ac:dyDescent="0.3">
      <c r="A23" s="4"/>
      <c r="B23" s="24" t="s">
        <v>45</v>
      </c>
      <c r="C23" s="364"/>
      <c r="D23" s="364"/>
      <c r="E23" s="364"/>
      <c r="F23" s="364"/>
      <c r="G23" s="364"/>
    </row>
    <row r="24" spans="1:13" ht="15.75" customHeight="1" x14ac:dyDescent="0.3">
      <c r="A24" s="4"/>
      <c r="B24" s="8" t="s">
        <v>46</v>
      </c>
      <c r="C24" s="25">
        <f ca="1">'TAKE OFF Performance FLAPS UP'!D36</f>
        <v>-2.3941410032796808</v>
      </c>
      <c r="D24" s="12" t="s">
        <v>47</v>
      </c>
      <c r="E24" s="8" t="s">
        <v>48</v>
      </c>
      <c r="F24" s="26">
        <f t="array" ref="F24">_xlfn.XLOOKUP('Take-off'!$C$10,'Dropdown lists'!$B$4:$B$9,'Dropdown lists'!$D$4:$D$9)</f>
        <v>1.07</v>
      </c>
      <c r="G24" s="18"/>
    </row>
    <row r="25" spans="1:13" ht="15.75" customHeight="1" x14ac:dyDescent="0.3">
      <c r="A25" s="4"/>
      <c r="B25" s="8" t="s">
        <v>49</v>
      </c>
      <c r="C25" s="25">
        <f ca="1">ABS('TAKE OFF Performance FLAPS UP'!C41*C7)</f>
        <v>6.5778483455013586</v>
      </c>
      <c r="D25" s="12" t="s">
        <v>47</v>
      </c>
      <c r="E25" s="16" t="s">
        <v>50</v>
      </c>
      <c r="F25" s="17">
        <f t="array" ref="F25">_xlfn.XLOOKUP(C10, 'Dropdown lists'!$B$4:$B$10, 'Dropdown lists'!$E$4:$E$10)</f>
        <v>25</v>
      </c>
      <c r="G25" s="18"/>
    </row>
    <row r="26" spans="1:13" ht="15.75" customHeight="1" x14ac:dyDescent="0.3">
      <c r="A26" s="4"/>
      <c r="B26" s="27" t="s">
        <v>51</v>
      </c>
      <c r="C26" s="28" t="s">
        <v>52</v>
      </c>
      <c r="D26" s="28" t="s">
        <v>53</v>
      </c>
      <c r="E26" s="29" t="s">
        <v>54</v>
      </c>
      <c r="F26" s="29"/>
      <c r="G26" s="30" t="s">
        <v>55</v>
      </c>
    </row>
    <row r="27" spans="1:13" ht="15.75" customHeight="1" x14ac:dyDescent="0.3">
      <c r="A27" s="4"/>
      <c r="B27" s="358" t="s">
        <v>56</v>
      </c>
      <c r="C27" s="358"/>
      <c r="D27" s="358"/>
      <c r="E27" s="358"/>
      <c r="F27" s="358"/>
      <c r="G27" s="358"/>
      <c r="H27" s="31"/>
      <c r="I27" s="360" t="s">
        <v>57</v>
      </c>
      <c r="J27" s="360"/>
    </row>
    <row r="28" spans="1:13" ht="15.75" hidden="1" customHeight="1" outlineLevel="1" x14ac:dyDescent="0.3">
      <c r="A28" s="4"/>
      <c r="B28" s="32" t="s">
        <v>58</v>
      </c>
      <c r="C28" s="33">
        <f ca="1">'TAKE OFF Performance FLAPS UP'!E29</f>
        <v>865.36848257373435</v>
      </c>
      <c r="D28" s="34">
        <f ca="1">'TAKE OFF Performance FLAPS TAKE'!E29</f>
        <v>843.64506283221294</v>
      </c>
      <c r="E28" s="33">
        <f ca="1">'TAKE OFF Performance FLAPS APPR'!E29</f>
        <v>824.16979335947804</v>
      </c>
      <c r="G28" s="18"/>
      <c r="H28" s="31"/>
      <c r="I28" s="360"/>
      <c r="J28" s="360"/>
    </row>
    <row r="29" spans="1:13" ht="15.75" hidden="1" customHeight="1" outlineLevel="1" x14ac:dyDescent="0.3">
      <c r="A29" s="4"/>
      <c r="B29" s="35" t="s">
        <v>59</v>
      </c>
      <c r="C29" s="33">
        <f ca="1">MAX('TAKE OFF Performance FLAPS UP'!E30:E32)</f>
        <v>1842.126937963757</v>
      </c>
      <c r="D29" s="34">
        <f ca="1">MAX('TAKE OFF Performance FLAPS TAKE'!E30:E32)</f>
        <v>1711.2732180338076</v>
      </c>
      <c r="E29" s="33">
        <f ca="1">MAX('TAKE OFF Performance FLAPS APPR'!E30:E32)</f>
        <v>1780.1207907681467</v>
      </c>
      <c r="G29" s="18"/>
      <c r="H29" s="31"/>
      <c r="I29" s="360"/>
      <c r="J29" s="360"/>
      <c r="K29" s="20"/>
      <c r="L29" s="20"/>
      <c r="M29" s="20"/>
    </row>
    <row r="30" spans="1:13" ht="15.75" hidden="1" customHeight="1" outlineLevel="1" x14ac:dyDescent="0.3">
      <c r="A30" s="4"/>
      <c r="B30" s="35" t="s">
        <v>60</v>
      </c>
      <c r="C30" s="33">
        <f ca="1">'TAKE OFF Performance FLAPS UP'!E33</f>
        <v>1580.0602769593622</v>
      </c>
      <c r="D30" s="34">
        <f ca="1">'TAKE OFF Performance FLAPS TAKE'!E33</f>
        <v>1441.3942155875056</v>
      </c>
      <c r="E30" s="33">
        <f ca="1">'TAKE OFF Performance FLAPS APPR'!E33</f>
        <v>1344.4176277971121</v>
      </c>
      <c r="G30" s="18"/>
      <c r="H30" s="31"/>
      <c r="I30" s="360"/>
      <c r="J30" s="360"/>
      <c r="K30" s="20"/>
      <c r="L30" s="20"/>
      <c r="M30" s="20"/>
    </row>
    <row r="31" spans="1:13" ht="15.75" hidden="1" customHeight="1" outlineLevel="1" x14ac:dyDescent="0.3">
      <c r="A31" s="4"/>
      <c r="B31" s="36" t="s">
        <v>61</v>
      </c>
      <c r="C31" s="37">
        <f>'TAKE OFF Performance FLAPS UP'!E$22</f>
        <v>110.6</v>
      </c>
      <c r="D31" s="38">
        <f>'TAKE OFF Performance FLAPS TAKE'!E$22</f>
        <v>106.5</v>
      </c>
      <c r="E31" s="37">
        <f>'TAKE OFF Performance FLAPS APPR'!E22</f>
        <v>103.5</v>
      </c>
      <c r="G31" s="18"/>
      <c r="H31" s="31"/>
      <c r="I31" s="360"/>
      <c r="J31" s="360"/>
      <c r="K31" s="20"/>
      <c r="L31" s="20"/>
      <c r="M31" s="20"/>
    </row>
    <row r="32" spans="1:13" ht="15.75" hidden="1" customHeight="1" outlineLevel="1" x14ac:dyDescent="0.3">
      <c r="A32" s="4"/>
      <c r="B32" s="36" t="s">
        <v>62</v>
      </c>
      <c r="C32" s="37">
        <f>'TAKE OFF Performance FLAPS UP'!E$22</f>
        <v>110.6</v>
      </c>
      <c r="D32" s="38">
        <f>'TAKE OFF Performance FLAPS TAKE'!E$22</f>
        <v>106.5</v>
      </c>
      <c r="E32" s="37">
        <f>'TAKE OFF Performance FLAPS APPR'!E22</f>
        <v>103.5</v>
      </c>
      <c r="G32" s="18"/>
      <c r="H32" s="31"/>
      <c r="I32" s="360"/>
      <c r="J32" s="360"/>
      <c r="K32" s="20"/>
      <c r="L32" s="20"/>
      <c r="M32" s="20"/>
    </row>
    <row r="33" spans="1:13" ht="15.75" hidden="1" customHeight="1" outlineLevel="1" x14ac:dyDescent="0.3">
      <c r="A33" s="4"/>
      <c r="B33" s="39" t="s">
        <v>63</v>
      </c>
      <c r="C33" s="40">
        <f>'TAKE OFF Performance FLAPS UP'!I22</f>
        <v>118</v>
      </c>
      <c r="D33" s="41">
        <f>'TAKE OFF Performance FLAPS TAKE'!I22</f>
        <v>113.8</v>
      </c>
      <c r="E33" s="40">
        <f>'TAKE OFF Performance FLAPS APPR'!I22</f>
        <v>111.6</v>
      </c>
      <c r="G33" s="18"/>
      <c r="H33" s="31"/>
      <c r="I33" s="360"/>
      <c r="J33" s="360"/>
      <c r="K33" s="20"/>
      <c r="L33" s="20"/>
      <c r="M33" s="20"/>
    </row>
    <row r="34" spans="1:13" ht="15.75" customHeight="1" collapsed="1" x14ac:dyDescent="0.3">
      <c r="A34" s="4"/>
      <c r="B34" s="358" t="s">
        <v>64</v>
      </c>
      <c r="C34" s="358"/>
      <c r="D34" s="358"/>
      <c r="E34" s="358"/>
      <c r="F34" s="358"/>
      <c r="G34" s="358"/>
      <c r="K34" s="20"/>
      <c r="L34" s="20"/>
      <c r="M34" s="20"/>
    </row>
    <row r="35" spans="1:13" ht="15.75" customHeight="1" x14ac:dyDescent="0.3">
      <c r="A35" s="4"/>
      <c r="B35" s="32" t="s">
        <v>58</v>
      </c>
      <c r="C35" s="42">
        <f ca="1">'TAKE OFF Performance FLAPS UP'!E29*F24</f>
        <v>925.94427635389582</v>
      </c>
      <c r="D35" s="37">
        <f ca="1">'TAKE OFF Performance FLAPS TAKE'!E29*F24</f>
        <v>902.70021723046796</v>
      </c>
      <c r="E35" s="43">
        <f ca="1">'TAKE OFF Performance FLAPS APPR'!E29*F24</f>
        <v>881.8616788946415</v>
      </c>
      <c r="G35" s="18"/>
    </row>
    <row r="36" spans="1:13" ht="15.75" customHeight="1" x14ac:dyDescent="0.3">
      <c r="A36" s="4"/>
      <c r="B36" s="35" t="s">
        <v>59</v>
      </c>
      <c r="C36" s="37">
        <f ca="1">MAX('TAKE OFF Performance FLAPS UP'!E30:E32)*F24</f>
        <v>1971.07582362122</v>
      </c>
      <c r="D36" s="38">
        <f ca="1">MAX('TAKE OFF Performance FLAPS TAKE'!E30:E32)*F24</f>
        <v>1831.0623432961743</v>
      </c>
      <c r="E36" s="37">
        <f ca="1">MAX('TAKE OFF Performance FLAPS APPR'!E30:E32)*F24</f>
        <v>1904.729246121917</v>
      </c>
      <c r="G36" s="18"/>
    </row>
    <row r="37" spans="1:13" ht="15.75" customHeight="1" x14ac:dyDescent="0.3">
      <c r="A37" s="4"/>
      <c r="B37" s="35" t="s">
        <v>60</v>
      </c>
      <c r="C37" s="37">
        <f ca="1">'TAKE OFF Performance FLAPS UP'!E33*F24</f>
        <v>1690.6644963465176</v>
      </c>
      <c r="D37" s="38">
        <f ca="1">'TAKE OFF Performance FLAPS TAKE'!E33*F24</f>
        <v>1542.2918106786312</v>
      </c>
      <c r="E37" s="37">
        <f ca="1">'TAKE OFF Performance FLAPS APPR'!E33*F24</f>
        <v>1438.5268617429101</v>
      </c>
      <c r="G37" s="18"/>
    </row>
    <row r="38" spans="1:13" ht="15.75" customHeight="1" x14ac:dyDescent="0.3">
      <c r="A38" s="4"/>
      <c r="B38" s="44" t="s">
        <v>61</v>
      </c>
      <c r="C38" s="37">
        <f>'TAKE OFF Performance FLAPS UP'!E$22</f>
        <v>110.6</v>
      </c>
      <c r="D38" s="45">
        <f>'TAKE OFF Performance FLAPS TAKE'!E$22</f>
        <v>106.5</v>
      </c>
      <c r="E38" s="37">
        <f>'TAKE OFF Performance FLAPS APPR'!E22</f>
        <v>103.5</v>
      </c>
      <c r="G38" s="18"/>
    </row>
    <row r="39" spans="1:13" ht="15.75" customHeight="1" x14ac:dyDescent="0.3">
      <c r="A39" s="4"/>
      <c r="B39" s="44" t="s">
        <v>62</v>
      </c>
      <c r="C39" s="37">
        <f>'TAKE OFF Performance FLAPS UP'!E$22</f>
        <v>110.6</v>
      </c>
      <c r="D39" s="45">
        <f>'TAKE OFF Performance FLAPS TAKE'!E$22</f>
        <v>106.5</v>
      </c>
      <c r="E39" s="37">
        <f>'TAKE OFF Performance FLAPS APPR'!E22</f>
        <v>103.5</v>
      </c>
      <c r="G39" s="18"/>
      <c r="I39" s="16"/>
    </row>
    <row r="40" spans="1:13" ht="15.75" customHeight="1" x14ac:dyDescent="0.3">
      <c r="A40" s="4"/>
      <c r="B40" s="36" t="s">
        <v>63</v>
      </c>
      <c r="C40" s="40">
        <f>'TAKE OFF Performance FLAPS UP'!I22</f>
        <v>118</v>
      </c>
      <c r="D40" s="45">
        <f>'TAKE OFF Performance FLAPS TAKE'!I$22</f>
        <v>113.8</v>
      </c>
      <c r="E40" s="37">
        <f>'TAKE OFF Performance FLAPS APPR'!I22</f>
        <v>111.6</v>
      </c>
      <c r="G40" s="18"/>
    </row>
    <row r="41" spans="1:13" ht="15.75" customHeight="1" x14ac:dyDescent="0.3">
      <c r="A41" s="4"/>
      <c r="B41" s="358" t="s">
        <v>65</v>
      </c>
      <c r="C41" s="358"/>
      <c r="D41" s="358"/>
      <c r="E41" s="358"/>
      <c r="F41" s="358"/>
      <c r="G41" s="358"/>
    </row>
    <row r="42" spans="1:13" ht="15.75" customHeight="1" x14ac:dyDescent="0.3">
      <c r="A42" s="4"/>
      <c r="B42" s="36" t="s">
        <v>66</v>
      </c>
      <c r="C42" s="46">
        <f ca="1">IF(  C24&gt;0, 'NET GRADIENT OF CLIMB'!C56*(125/(125-50%*ABS(C24))),  'NET GRADIENT OF CLIMB'!C56*(125/(125+150%*ABS(C24)))  )</f>
        <v>3.6328809491162457</v>
      </c>
      <c r="D42" s="47">
        <f ca="1">IF(  C24&gt;0, 'NET GRADIENT OF CLIMB'!P56*(125/(125-50%*ABS(C24))),  'NET GRADIENT OF CLIMB'!P56*(125/(125+150%* ABS(C24)))  )</f>
        <v>3.2805046127422282</v>
      </c>
      <c r="E42" s="46">
        <f ca="1">IF(  C24&gt;0, 'NET GRADIENT OF CLIMB'!AC56*(125/(125-50%* ABS(C24))),  'NET GRADIENT OF CLIMB'!AC56*(125/(125+150%* ABS(C24)))  )</f>
        <v>2.3471666256791823</v>
      </c>
      <c r="G42" s="18"/>
      <c r="I42" s="17" t="s">
        <v>67</v>
      </c>
    </row>
    <row r="43" spans="1:13" ht="15.75" customHeight="1" x14ac:dyDescent="0.3">
      <c r="A43" s="4"/>
      <c r="B43" s="48" t="s">
        <v>68</v>
      </c>
      <c r="C43" s="361"/>
      <c r="D43" s="361"/>
      <c r="E43" s="361"/>
      <c r="F43" s="361"/>
      <c r="G43" s="18"/>
    </row>
    <row r="44" spans="1:13" ht="15.75" customHeight="1" x14ac:dyDescent="0.3">
      <c r="A44" s="4"/>
      <c r="B44" s="358" t="s">
        <v>69</v>
      </c>
      <c r="C44" s="358"/>
      <c r="D44" s="358"/>
      <c r="E44" s="358"/>
      <c r="F44" s="358"/>
      <c r="G44" s="358"/>
      <c r="I44" s="20"/>
    </row>
    <row r="45" spans="1:13" ht="15.75" customHeight="1" x14ac:dyDescent="0.3">
      <c r="A45" s="4"/>
      <c r="B45" s="49" t="s">
        <v>70</v>
      </c>
      <c r="C45" s="50">
        <f>'LDG Performance'!K21</f>
        <v>128</v>
      </c>
      <c r="D45" s="51"/>
      <c r="G45" s="52">
        <f>'LDG Performance'!I21</f>
        <v>112.14285714285714</v>
      </c>
      <c r="I45" s="20"/>
    </row>
    <row r="46" spans="1:13" ht="15.75" customHeight="1" x14ac:dyDescent="0.3">
      <c r="A46" s="4"/>
      <c r="B46" s="39" t="s">
        <v>71</v>
      </c>
      <c r="C46" s="33">
        <f ca="1">('LDG Performance'!D90/3.28)*'LDG Performance'!C55</f>
        <v>2355.7682885213544</v>
      </c>
      <c r="D46" s="53"/>
      <c r="G46" s="54">
        <f ca="1">'LDG Performance'!C54</f>
        <v>1556.0318917331244</v>
      </c>
      <c r="I46" s="20"/>
    </row>
    <row r="47" spans="1:13" ht="15.75" customHeight="1" x14ac:dyDescent="0.3">
      <c r="B47" s="55"/>
      <c r="C47" s="56"/>
      <c r="D47" s="55"/>
      <c r="E47" s="55"/>
      <c r="F47" s="55"/>
      <c r="G47" s="56"/>
      <c r="I47" s="20"/>
    </row>
    <row r="48" spans="1:13" ht="15.75" customHeight="1" x14ac:dyDescent="0.3">
      <c r="C48" s="20"/>
      <c r="G48" s="20"/>
      <c r="I48" s="20"/>
    </row>
    <row r="49" spans="2:9" ht="15.75" customHeight="1" x14ac:dyDescent="0.3">
      <c r="B49" s="16"/>
      <c r="G49" s="42"/>
      <c r="I49" s="20"/>
    </row>
    <row r="50" spans="2:9" ht="15.75" customHeight="1" x14ac:dyDescent="0.3">
      <c r="B50" s="16"/>
      <c r="G50" s="42"/>
      <c r="I50" s="20"/>
    </row>
    <row r="51" spans="2:9" ht="15.75" customHeight="1" x14ac:dyDescent="0.3">
      <c r="B51" s="16"/>
      <c r="G51" s="42"/>
      <c r="I51" s="20"/>
    </row>
    <row r="52" spans="2:9" ht="15.75" customHeight="1" x14ac:dyDescent="0.3">
      <c r="B52" s="16"/>
      <c r="G52" s="42"/>
      <c r="I52" s="20"/>
    </row>
    <row r="53" spans="2:9" ht="15.75" customHeight="1" x14ac:dyDescent="0.3">
      <c r="B53" s="16"/>
      <c r="G53" s="42"/>
      <c r="I53" s="20"/>
    </row>
    <row r="54" spans="2:9" ht="15.75" customHeight="1" x14ac:dyDescent="0.3">
      <c r="B54" s="16"/>
      <c r="G54" s="42"/>
      <c r="I54" s="20"/>
    </row>
    <row r="55" spans="2:9" ht="15.75" customHeight="1" x14ac:dyDescent="0.3">
      <c r="B55" s="16"/>
      <c r="G55" s="42"/>
    </row>
    <row r="56" spans="2:9" ht="15.75" customHeight="1" x14ac:dyDescent="0.3">
      <c r="C56" t="s">
        <v>72</v>
      </c>
      <c r="D56" t="s">
        <v>73</v>
      </c>
      <c r="E56" t="s">
        <v>74</v>
      </c>
      <c r="G56" s="42"/>
    </row>
    <row r="57" spans="2:9" ht="15.75" customHeight="1" x14ac:dyDescent="0.3">
      <c r="B57" t="s">
        <v>75</v>
      </c>
      <c r="C57" s="20" t="e">
        <f>#REF!</f>
        <v>#REF!</v>
      </c>
      <c r="D57" s="20" t="e">
        <f>#REF!</f>
        <v>#REF!</v>
      </c>
      <c r="E57" s="20" t="e">
        <f>#REF!</f>
        <v>#REF!</v>
      </c>
      <c r="F57" s="20"/>
    </row>
    <row r="58" spans="2:9" ht="15" customHeight="1" x14ac:dyDescent="0.3">
      <c r="B58" t="e">
        <f ca="1">_xludf.concat("TOFL ",B34)</f>
        <v>#NAME?</v>
      </c>
      <c r="C58" s="20">
        <f ca="1">C36</f>
        <v>1971.07582362122</v>
      </c>
      <c r="D58" s="20">
        <f ca="1">D36</f>
        <v>1831.0623432961743</v>
      </c>
      <c r="E58" s="20">
        <f ca="1">E36</f>
        <v>1904.729246121917</v>
      </c>
      <c r="F58" s="20"/>
    </row>
    <row r="59" spans="2:9" ht="15.75" customHeight="1" x14ac:dyDescent="0.3"/>
    <row r="60" spans="2:9" ht="15.75" customHeight="1" x14ac:dyDescent="0.3"/>
    <row r="61" spans="2:9" ht="15.75" customHeight="1" x14ac:dyDescent="0.3"/>
    <row r="62" spans="2:9" ht="15.75" customHeight="1" x14ac:dyDescent="0.3"/>
    <row r="63" spans="2:9" ht="15.75" customHeight="1" x14ac:dyDescent="0.3"/>
    <row r="64" spans="2:9" ht="15.75" customHeight="1" x14ac:dyDescent="0.3"/>
    <row r="65" spans="2:7" ht="15.75" customHeight="1" x14ac:dyDescent="0.3"/>
    <row r="66" spans="2:7" ht="15.75" customHeight="1" x14ac:dyDescent="0.3"/>
    <row r="67" spans="2:7" ht="15.75" customHeight="1" x14ac:dyDescent="0.3"/>
    <row r="68" spans="2:7" ht="15.75" customHeight="1" x14ac:dyDescent="0.3">
      <c r="B68" s="359" t="s">
        <v>76</v>
      </c>
      <c r="C68" s="359"/>
      <c r="D68" s="359"/>
      <c r="E68" s="359"/>
      <c r="F68" s="359"/>
      <c r="G68" s="359"/>
    </row>
    <row r="69" spans="2:7" ht="15.75" customHeight="1" x14ac:dyDescent="0.3">
      <c r="B69" s="57" t="s">
        <v>77</v>
      </c>
      <c r="C69" s="20">
        <f>_xlfn.XLOOKUP( $C$4, 'Airport data'!$A$5:$A1006,  'Airport data'!$K$5:$K1006)</f>
        <v>666</v>
      </c>
      <c r="D69" t="s">
        <v>33</v>
      </c>
      <c r="G69" s="18"/>
    </row>
    <row r="70" spans="2:7" ht="15.75" customHeight="1" x14ac:dyDescent="0.3">
      <c r="B70" s="57" t="s">
        <v>78</v>
      </c>
      <c r="C70" s="20" t="str">
        <f>_xlfn.XLOOKUP( $C$4, 'Airport data'!$A$5:$A1006,  'Airport data'!$L$5:$L1006)</f>
        <v>Kör mot OY gör en racetrack entry och stig på QDR 090 till MSA.</v>
      </c>
      <c r="D70" s="58"/>
      <c r="E70" s="58"/>
      <c r="F70" s="58"/>
      <c r="G70" s="59"/>
    </row>
    <row r="71" spans="2:7" ht="15.75" customHeight="1" x14ac:dyDescent="0.3">
      <c r="B71" s="60"/>
      <c r="C71" s="61"/>
      <c r="D71" s="62"/>
      <c r="E71" s="62"/>
      <c r="F71" s="62"/>
      <c r="G71" s="63"/>
    </row>
    <row r="72" spans="2:7" ht="15.75" customHeight="1" x14ac:dyDescent="0.3">
      <c r="B72" s="60"/>
      <c r="C72" s="64"/>
      <c r="D72" s="65"/>
      <c r="E72" s="65"/>
      <c r="F72" s="65"/>
      <c r="G72" s="66"/>
    </row>
    <row r="73" spans="2:7" ht="15.75" customHeight="1" x14ac:dyDescent="0.3">
      <c r="B73" s="67"/>
      <c r="C73" s="68"/>
      <c r="D73" s="68"/>
      <c r="E73" s="68"/>
      <c r="F73" s="68"/>
      <c r="G73" s="69"/>
    </row>
    <row r="74" spans="2:7" ht="15.75" customHeight="1" x14ac:dyDescent="0.3"/>
    <row r="75" spans="2:7" ht="15.75" customHeight="1" x14ac:dyDescent="0.3"/>
    <row r="76" spans="2:7" ht="15.75" customHeight="1" x14ac:dyDescent="0.3"/>
    <row r="77" spans="2:7" ht="15.75" customHeight="1" x14ac:dyDescent="0.3"/>
    <row r="78" spans="2:7" ht="15.75" customHeight="1" x14ac:dyDescent="0.3"/>
    <row r="79" spans="2:7" ht="15.75" customHeight="1" x14ac:dyDescent="0.3"/>
    <row r="80" spans="2:7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23">
    <mergeCell ref="B1:G1"/>
    <mergeCell ref="B2:F2"/>
    <mergeCell ref="B3:F3"/>
    <mergeCell ref="C4:G4"/>
    <mergeCell ref="C5:G5"/>
    <mergeCell ref="F6:G7"/>
    <mergeCell ref="F8:F9"/>
    <mergeCell ref="G8:G9"/>
    <mergeCell ref="E10:E11"/>
    <mergeCell ref="F10:F11"/>
    <mergeCell ref="G10:G11"/>
    <mergeCell ref="I11:J12"/>
    <mergeCell ref="I13:L14"/>
    <mergeCell ref="C15:G15"/>
    <mergeCell ref="F17:G17"/>
    <mergeCell ref="C23:G23"/>
    <mergeCell ref="B44:G44"/>
    <mergeCell ref="B68:G68"/>
    <mergeCell ref="B27:G27"/>
    <mergeCell ref="I27:J33"/>
    <mergeCell ref="B34:G34"/>
    <mergeCell ref="B41:G41"/>
    <mergeCell ref="C43:F43"/>
  </mergeCells>
  <conditionalFormatting sqref="C24 F24">
    <cfRule type="cellIs" dxfId="38" priority="24" operator="lessThan">
      <formula>-10</formula>
    </cfRule>
  </conditionalFormatting>
  <conditionalFormatting sqref="C25">
    <cfRule type="cellIs" dxfId="37" priority="23" operator="greaterThan">
      <formula>F25</formula>
    </cfRule>
  </conditionalFormatting>
  <conditionalFormatting sqref="C35">
    <cfRule type="cellIs" dxfId="36" priority="9" operator="greaterThan">
      <formula>C20</formula>
    </cfRule>
  </conditionalFormatting>
  <conditionalFormatting sqref="C35:C36">
    <cfRule type="cellIs" dxfId="35" priority="12" operator="lessThanOrEqual">
      <formula>C20</formula>
    </cfRule>
  </conditionalFormatting>
  <conditionalFormatting sqref="C36">
    <cfRule type="cellIs" dxfId="34" priority="30" operator="greaterThan">
      <formula>C21</formula>
    </cfRule>
  </conditionalFormatting>
  <conditionalFormatting sqref="C37">
    <cfRule type="cellIs" dxfId="33" priority="31" operator="greaterThan">
      <formula>C19</formula>
    </cfRule>
    <cfRule type="cellIs" dxfId="32" priority="32" operator="lessThanOrEqual">
      <formula>C19</formula>
    </cfRule>
  </conditionalFormatting>
  <conditionalFormatting sqref="C43">
    <cfRule type="expression" dxfId="31" priority="2">
      <formula>LEN(TRIM(C43))&gt;0</formula>
    </cfRule>
  </conditionalFormatting>
  <conditionalFormatting sqref="C46">
    <cfRule type="cellIs" dxfId="30" priority="20" operator="lessThanOrEqual">
      <formula>C22</formula>
    </cfRule>
    <cfRule type="cellIs" dxfId="29" priority="21" operator="greaterThan">
      <formula>C22</formula>
    </cfRule>
  </conditionalFormatting>
  <conditionalFormatting sqref="C28:E28">
    <cfRule type="cellIs" dxfId="28" priority="13" operator="greaterThan">
      <formula>#REF!</formula>
    </cfRule>
    <cfRule type="cellIs" dxfId="27" priority="14" operator="lessThanOrEqual">
      <formula>#REF!</formula>
    </cfRule>
  </conditionalFormatting>
  <conditionalFormatting sqref="C42:F42">
    <cfRule type="cellIs" dxfId="26" priority="4" operator="lessThan">
      <formula>3.3</formula>
    </cfRule>
    <cfRule type="cellIs" dxfId="25" priority="5" operator="greaterThan">
      <formula>$G$19</formula>
    </cfRule>
  </conditionalFormatting>
  <conditionalFormatting sqref="D35">
    <cfRule type="cellIs" dxfId="24" priority="26" operator="greaterThan">
      <formula>C20</formula>
    </cfRule>
  </conditionalFormatting>
  <conditionalFormatting sqref="D35:D36">
    <cfRule type="cellIs" dxfId="23" priority="8" operator="lessThanOrEqual">
      <formula>C20</formula>
    </cfRule>
  </conditionalFormatting>
  <conditionalFormatting sqref="D36">
    <cfRule type="cellIs" dxfId="22" priority="3" operator="greaterThan">
      <formula>C21</formula>
    </cfRule>
  </conditionalFormatting>
  <conditionalFormatting sqref="D37">
    <cfRule type="cellIs" dxfId="21" priority="27" operator="lessThanOrEqual">
      <formula>C19</formula>
    </cfRule>
    <cfRule type="cellIs" dxfId="20" priority="28" operator="greaterThan">
      <formula>C19</formula>
    </cfRule>
  </conditionalFormatting>
  <conditionalFormatting sqref="E6:E9">
    <cfRule type="expression" dxfId="19" priority="7">
      <formula>LEN(TRIM(E6))&gt;0</formula>
    </cfRule>
  </conditionalFormatting>
  <conditionalFormatting sqref="E35:E36">
    <cfRule type="cellIs" dxfId="18" priority="10" operator="greaterThan">
      <formula>C20</formula>
    </cfRule>
    <cfRule type="cellIs" dxfId="17" priority="11" operator="lessThanOrEqual">
      <formula>C20</formula>
    </cfRule>
  </conditionalFormatting>
  <conditionalFormatting sqref="E37">
    <cfRule type="cellIs" dxfId="16" priority="35" operator="greaterThan">
      <formula>C19</formula>
    </cfRule>
    <cfRule type="cellIs" dxfId="15" priority="36" operator="lessThanOrEqual">
      <formula>C19</formula>
    </cfRule>
  </conditionalFormatting>
  <conditionalFormatting sqref="F6">
    <cfRule type="expression" dxfId="14" priority="6">
      <formula>LEN(TRIM(F6))&gt;0</formula>
    </cfRule>
  </conditionalFormatting>
  <conditionalFormatting sqref="G46">
    <cfRule type="cellIs" dxfId="13" priority="19" operator="lessThanOrEqual">
      <formula>C22</formula>
    </cfRule>
    <cfRule type="cellIs" dxfId="12" priority="22" operator="greaterThan">
      <formula>C22</formula>
    </cfRule>
  </conditionalFormatting>
  <printOptions horizontalCentered="1" verticalCentered="1"/>
  <pageMargins left="0.39374999999999999" right="0.39374999999999999" top="0.59027777777777801" bottom="0.5902777777777780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'Dropdown lists'!$B$4:$B$9</xm:f>
          </x14:formula1>
          <x14:formula2>
            <xm:f>0</xm:f>
          </x14:formula2>
          <xm:sqref>C10</xm:sqref>
        </x14:dataValidation>
        <x14:dataValidation type="list" allowBlank="1" showErrorMessage="1" xr:uid="{00000000-0002-0000-0000-000001000000}">
          <x14:formula1>
            <xm:f>'Dropdown lists'!$B$30:$B$31</xm:f>
          </x14:formula1>
          <x14:formula2>
            <xm:f>0</xm:f>
          </x14:formula2>
          <xm:sqref>C13</xm:sqref>
        </x14:dataValidation>
        <x14:dataValidation type="list" allowBlank="1" showErrorMessage="1" xr:uid="{00000000-0002-0000-0000-000002000000}">
          <x14:formula1>
            <xm:f>'Dropdown lists'!$B$47:$B$48</xm:f>
          </x14:formula1>
          <x14:formula2>
            <xm:f>0</xm:f>
          </x14:formula2>
          <xm:sqref>F13</xm:sqref>
        </x14:dataValidation>
        <x14:dataValidation type="list" allowBlank="1" showErrorMessage="1" xr:uid="{00000000-0002-0000-0000-000003000000}">
          <x14:formula1>
            <xm:f>'Airport data'!$A$5:$A$37</xm:f>
          </x14:formula1>
          <x14:formula2>
            <xm:f>0</xm:f>
          </x14:formula2>
          <xm:sqref>C4</xm:sqref>
        </x14:dataValidation>
        <x14:dataValidation type="list" allowBlank="1" showErrorMessage="1" xr:uid="{00000000-0002-0000-0000-000004000000}">
          <x14:formula1>
            <xm:f>'Dropdown lists'!$B$34:$B$40</xm:f>
          </x14:formula1>
          <x14:formula2>
            <xm:f>0</xm:f>
          </x14:formula2>
          <xm:sqref>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2:AA1003"/>
  <sheetViews>
    <sheetView showGridLines="0" zoomScaleNormal="100" workbookViewId="0">
      <selection activeCell="C4" sqref="C4"/>
    </sheetView>
  </sheetViews>
  <sheetFormatPr defaultColWidth="14.44140625" defaultRowHeight="15" customHeight="1" outlineLevelRow="1" x14ac:dyDescent="0.3"/>
  <cols>
    <col min="1" max="1" width="4.44140625" customWidth="1"/>
    <col min="2" max="2" width="27" customWidth="1"/>
    <col min="4" max="4" width="8.5546875" customWidth="1"/>
    <col min="5" max="5" width="5.109375" customWidth="1"/>
    <col min="7" max="7" width="10.109375" customWidth="1"/>
  </cols>
  <sheetData>
    <row r="2" spans="1:27" ht="32.4" x14ac:dyDescent="0.3">
      <c r="B2" s="373" t="s">
        <v>79</v>
      </c>
      <c r="C2" s="373"/>
      <c r="D2" s="373"/>
      <c r="E2" s="373"/>
      <c r="F2" s="373"/>
      <c r="G2" s="5" t="s">
        <v>1</v>
      </c>
    </row>
    <row r="3" spans="1:27" ht="14.4" x14ac:dyDescent="0.3">
      <c r="B3" s="374" t="s">
        <v>80</v>
      </c>
      <c r="C3" s="374"/>
      <c r="D3" s="374"/>
      <c r="E3" s="374"/>
      <c r="F3" s="374"/>
      <c r="G3" s="6">
        <v>46001</v>
      </c>
    </row>
    <row r="4" spans="1:27" ht="25.8" x14ac:dyDescent="0.5">
      <c r="A4" s="70"/>
      <c r="B4" s="7" t="s">
        <v>81</v>
      </c>
      <c r="C4" s="384" t="s">
        <v>4</v>
      </c>
      <c r="D4" s="384"/>
      <c r="E4" s="384"/>
      <c r="F4" s="384"/>
      <c r="G4" s="384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1:27" ht="30" customHeight="1" x14ac:dyDescent="0.3">
      <c r="B5" s="8"/>
      <c r="C5" s="385" t="str">
        <f ca="1">IFERROR(__xludf.dummyfunction("SUBSTITUTE(IMPORTDATA(""https://aviationweather.gov/api/data/metar?ids="" &amp; LEFT(C4, 4) &amp; ""&amp;format=raw""), ""METAR "", """")"),"ESKM 051820Z AUTO 23007KT 110V280 9999 NCD 15/11 Q0994")</f>
        <v>ESKM 051820Z AUTO 23007KT 110V280 9999 NCD 15/11 Q0994</v>
      </c>
      <c r="D5" s="385"/>
      <c r="E5" s="385"/>
      <c r="F5" s="385"/>
      <c r="G5" s="385"/>
    </row>
    <row r="6" spans="1:27" ht="14.4" x14ac:dyDescent="0.3">
      <c r="B6" s="386" t="s">
        <v>5</v>
      </c>
      <c r="C6" s="9">
        <f ca="1">IFERROR(__xludf.dummyfunction("IF(E6&lt;&gt;"""", E6, IF($G$8, E6, IFERROR(IF(REGEXMATCH(C5, ""\bVRB""), ""000"", VALUE(REGEXEXTRACT(C5, ""\b(\d{3})\d{2,3}(?:G\d{2,3})?(?:KT|MPS)\b""))), ""-"")))"),230)</f>
        <v>230</v>
      </c>
      <c r="D6" s="10" t="s">
        <v>6</v>
      </c>
      <c r="E6" s="10"/>
      <c r="F6" s="387" t="str">
        <f ca="1">IF(C21&lt;0, "Tailwind", "")</f>
        <v>Tailwind</v>
      </c>
      <c r="G6" s="387"/>
    </row>
    <row r="7" spans="1:27" ht="14.4" x14ac:dyDescent="0.3">
      <c r="B7" s="386"/>
      <c r="C7" s="9">
        <f ca="1">IFERROR(__xludf.dummyfunction("IF(E7&lt;&gt;"""", E7, IF($G$8, E7, IFERROR(VALUE(REGEXEXTRACT(C5, ""\b(?:\d{3}|VRB)(\d{2,3})(?:G\d{2,3})?(?:KT|MPS)\b"")), ""-"")))"),7)</f>
        <v>7</v>
      </c>
      <c r="D7" s="10" t="s">
        <v>8</v>
      </c>
      <c r="E7" s="10"/>
      <c r="F7" s="387"/>
      <c r="G7" s="387"/>
    </row>
    <row r="8" spans="1:27" ht="13.5" customHeight="1" x14ac:dyDescent="0.3">
      <c r="B8" s="8" t="s">
        <v>9</v>
      </c>
      <c r="C8" s="9">
        <f ca="1">IFERROR(__xludf.dummyfunction("IF(E8&lt;&gt;"""", E8, IF($G$8, E8, IFERROR(VALUE(SUBSTITUTE(REGEXEXTRACT(C5, ""\b(M?\d{2})\/(?:M?\d{2})\b""), ""M"", ""-"")), ""-"")))"),15)</f>
        <v>15</v>
      </c>
      <c r="D8" s="10" t="s">
        <v>10</v>
      </c>
      <c r="E8" s="10"/>
      <c r="F8" s="382" t="s">
        <v>11</v>
      </c>
      <c r="G8" s="368" t="b">
        <f>FALSE()</f>
        <v>0</v>
      </c>
    </row>
    <row r="9" spans="1:27" ht="14.4" x14ac:dyDescent="0.3">
      <c r="B9" s="8" t="s">
        <v>12</v>
      </c>
      <c r="C9" s="9">
        <f ca="1">IFERROR(__xludf.dummyfunction("IF(E9&lt;&gt;"""", E9, IF($G$8, E9, IFERROR(VALUE(REGEXEXTRACT(C5, ""\bQ(\d{4})\b"")), ""-"")))"),994)</f>
        <v>994</v>
      </c>
      <c r="D9" s="10" t="s">
        <v>13</v>
      </c>
      <c r="E9" s="10"/>
      <c r="F9" s="382"/>
      <c r="G9" s="368"/>
      <c r="I9" s="72"/>
    </row>
    <row r="10" spans="1:27" ht="15" customHeight="1" x14ac:dyDescent="0.3">
      <c r="B10" s="8" t="s">
        <v>14</v>
      </c>
      <c r="C10" s="73">
        <v>5</v>
      </c>
      <c r="D10" s="3"/>
      <c r="E10" s="383" t="s">
        <v>15</v>
      </c>
      <c r="F10" s="370" t="s">
        <v>16</v>
      </c>
      <c r="G10" s="371" t="b">
        <f>FALSE()</f>
        <v>0</v>
      </c>
    </row>
    <row r="11" spans="1:27" ht="14.4" x14ac:dyDescent="0.3">
      <c r="B11" s="8" t="s">
        <v>82</v>
      </c>
      <c r="C11" s="73">
        <v>15500</v>
      </c>
      <c r="D11" s="3" t="s">
        <v>29</v>
      </c>
      <c r="E11" s="383"/>
      <c r="F11" s="383"/>
      <c r="G11" s="371"/>
    </row>
    <row r="12" spans="1:27" ht="14.4" x14ac:dyDescent="0.3">
      <c r="B12" s="8" t="s">
        <v>83</v>
      </c>
      <c r="C12" s="10">
        <v>16100</v>
      </c>
      <c r="D12" s="3" t="s">
        <v>29</v>
      </c>
      <c r="E12" s="383"/>
      <c r="G12" s="18"/>
    </row>
    <row r="13" spans="1:27" ht="31.5" customHeight="1" x14ac:dyDescent="0.3">
      <c r="B13" s="8"/>
      <c r="D13" s="12"/>
      <c r="E13" s="383"/>
      <c r="G13" s="18"/>
    </row>
    <row r="14" spans="1:27" ht="14.4" x14ac:dyDescent="0.3">
      <c r="B14" s="19" t="s">
        <v>31</v>
      </c>
      <c r="C14" s="378" t="str">
        <f>IF(C11&gt;C12, "Overweight landning","")</f>
        <v/>
      </c>
      <c r="D14" s="378"/>
      <c r="E14" s="378"/>
      <c r="F14" s="378"/>
      <c r="G14" s="378"/>
    </row>
    <row r="15" spans="1:27" ht="14.4" outlineLevel="1" x14ac:dyDescent="0.3">
      <c r="B15" s="8" t="s">
        <v>84</v>
      </c>
      <c r="C15" s="20">
        <f t="array" ref="C15">_xlfn.XLOOKUP($C$4,'Airport data'!$A$5:$A1003,'Airport data'!$B$5:$B1003)</f>
        <v>200</v>
      </c>
      <c r="D15" s="12" t="s">
        <v>33</v>
      </c>
      <c r="G15" s="18"/>
    </row>
    <row r="16" spans="1:27" ht="14.4" outlineLevel="1" x14ac:dyDescent="0.3">
      <c r="B16" s="8" t="s">
        <v>34</v>
      </c>
      <c r="C16" s="20">
        <f t="array" ref="C16">_xlfn.XLOOKUP($C$4,'Airport data'!$A$5:$A1003,'Airport data'!$G$5:$G1003)</f>
        <v>0</v>
      </c>
      <c r="D16" s="12" t="s">
        <v>35</v>
      </c>
      <c r="E16" s="12"/>
      <c r="F16" s="365" t="s">
        <v>36</v>
      </c>
      <c r="G16" s="365"/>
    </row>
    <row r="17" spans="2:9" ht="14.4" outlineLevel="1" x14ac:dyDescent="0.3">
      <c r="B17" s="8" t="s">
        <v>37</v>
      </c>
      <c r="C17" s="20">
        <f t="array" ref="C17">_xlfn.XLOOKUP($C$4,'Airport data'!$A$5:$A1003,'Airport data'!$H$5:$H1003)</f>
        <v>120</v>
      </c>
      <c r="D17" s="12" t="s">
        <v>6</v>
      </c>
      <c r="G17" s="18"/>
    </row>
    <row r="18" spans="2:9" ht="14.4" outlineLevel="1" x14ac:dyDescent="0.3">
      <c r="B18" s="8" t="s">
        <v>44</v>
      </c>
      <c r="C18" s="20">
        <f t="array" ref="C18">_xlfn.XLOOKUP($C$4,'Airport data'!$A$5:$A1003,'Airport data'!$F$5:$F1003)</f>
        <v>2000</v>
      </c>
      <c r="D18" s="12" t="s">
        <v>39</v>
      </c>
      <c r="G18" s="18"/>
    </row>
    <row r="19" spans="2:9" ht="14.4" x14ac:dyDescent="0.3">
      <c r="B19" s="24" t="s">
        <v>45</v>
      </c>
      <c r="C19" s="74"/>
      <c r="D19" s="74"/>
      <c r="E19" s="74"/>
      <c r="F19" s="74"/>
      <c r="G19" s="75"/>
      <c r="I19" s="21"/>
    </row>
    <row r="20" spans="2:9" ht="14.4" x14ac:dyDescent="0.3">
      <c r="B20" s="8" t="s">
        <v>85</v>
      </c>
      <c r="C20" s="26">
        <f t="array" ref="C20">_xlfn.XLOOKUP(C10,'Dropdown lists'!$B$4:$B$9,'Dropdown lists'!$C$4:$C$9)</f>
        <v>1.82</v>
      </c>
      <c r="D20" s="12"/>
      <c r="G20" s="18"/>
      <c r="I20" s="20"/>
    </row>
    <row r="21" spans="2:9" ht="14.4" x14ac:dyDescent="0.3">
      <c r="B21" s="8" t="s">
        <v>46</v>
      </c>
      <c r="C21" s="76">
        <f ca="1">'LDG Performance'!D32</f>
        <v>-2.3941410032796808</v>
      </c>
      <c r="D21" s="12" t="s">
        <v>47</v>
      </c>
      <c r="E21" s="51"/>
      <c r="F21" s="51"/>
      <c r="G21" s="18"/>
      <c r="I21" s="20"/>
    </row>
    <row r="22" spans="2:9" ht="14.4" x14ac:dyDescent="0.3">
      <c r="B22" s="8" t="s">
        <v>49</v>
      </c>
      <c r="C22" s="76">
        <f ca="1">ABS('LDG Performance'!C37*C7)</f>
        <v>6.5778483455013586</v>
      </c>
      <c r="D22" s="12" t="s">
        <v>47</v>
      </c>
      <c r="E22" s="51"/>
      <c r="F22" s="51" t="s">
        <v>50</v>
      </c>
      <c r="G22" s="77">
        <f t="array" ref="G22">_xlfn.XLOOKUP(C10,'Dropdown lists'!$B$4:$B$9,'Dropdown lists'!$E$4:$E$9)</f>
        <v>25</v>
      </c>
      <c r="H22" s="60"/>
    </row>
    <row r="23" spans="2:9" ht="14.4" x14ac:dyDescent="0.3">
      <c r="B23" s="8"/>
      <c r="C23" s="76"/>
      <c r="D23" s="12"/>
      <c r="E23" s="51"/>
      <c r="F23" s="51"/>
      <c r="G23" s="77"/>
    </row>
    <row r="24" spans="2:9" ht="15.75" customHeight="1" x14ac:dyDescent="0.3">
      <c r="B24" s="27" t="s">
        <v>51</v>
      </c>
      <c r="C24" s="28" t="s">
        <v>52</v>
      </c>
      <c r="D24" s="28" t="s">
        <v>53</v>
      </c>
      <c r="E24" s="29"/>
      <c r="F24" s="29" t="s">
        <v>54</v>
      </c>
      <c r="G24" s="30" t="s">
        <v>55</v>
      </c>
    </row>
    <row r="25" spans="2:9" ht="15.75" customHeight="1" x14ac:dyDescent="0.3">
      <c r="B25" s="379" t="s">
        <v>86</v>
      </c>
      <c r="C25" s="379"/>
      <c r="D25" s="379"/>
      <c r="E25" s="379"/>
      <c r="F25" s="379"/>
      <c r="G25" s="379"/>
      <c r="I25" s="20"/>
    </row>
    <row r="26" spans="2:9" ht="15.75" customHeight="1" x14ac:dyDescent="0.3">
      <c r="B26" s="36" t="s">
        <v>70</v>
      </c>
      <c r="C26" s="38">
        <f>'LDG Performance'!M21</f>
        <v>127</v>
      </c>
      <c r="D26" s="78"/>
      <c r="G26" s="79">
        <f>'LDG Performance'!E21</f>
        <v>111.28571428571429</v>
      </c>
    </row>
    <row r="27" spans="2:9" ht="15.75" customHeight="1" x14ac:dyDescent="0.3">
      <c r="B27" s="36" t="s">
        <v>87</v>
      </c>
      <c r="C27" s="80">
        <f ca="1">('LDG Performance'!B90/3.28)*Landing!C20</f>
        <v>2331.5263942966048</v>
      </c>
      <c r="D27" s="53"/>
      <c r="G27" s="79">
        <f ca="1">'Landing distance data'!C104*C20</f>
        <v>1537.3842807910091</v>
      </c>
    </row>
    <row r="28" spans="2:9" ht="15.75" customHeight="1" x14ac:dyDescent="0.3">
      <c r="B28" s="380" t="s">
        <v>88</v>
      </c>
      <c r="C28" s="380"/>
      <c r="D28" s="53"/>
      <c r="G28" s="81"/>
    </row>
    <row r="29" spans="2:9" ht="15.75" customHeight="1" x14ac:dyDescent="0.3">
      <c r="B29" s="82"/>
      <c r="C29" s="381" t="str">
        <f>IF(ISBLANK(C10), "Dry &amp; Unfactored *1,67", "" )</f>
        <v/>
      </c>
      <c r="D29" s="381"/>
      <c r="E29" s="381"/>
      <c r="F29" s="381"/>
      <c r="G29" s="381"/>
    </row>
    <row r="30" spans="2:9" ht="15.75" customHeight="1" x14ac:dyDescent="0.3">
      <c r="B30" s="358" t="s">
        <v>89</v>
      </c>
      <c r="C30" s="358"/>
      <c r="D30" s="358"/>
      <c r="E30" s="358"/>
      <c r="F30" s="358"/>
      <c r="G30" s="358"/>
    </row>
    <row r="31" spans="2:9" ht="15.75" customHeight="1" x14ac:dyDescent="0.3">
      <c r="B31" s="83" t="s">
        <v>90</v>
      </c>
      <c r="C31" s="84">
        <f ca="1">IF( C21&gt;0, 'OEI CLIMB GRADIENT'!P47*(125/(125+50%*C21)), 'OEI CLIMB GRADIENT'!P47*(125/(125-150%*C21)) )</f>
        <v>3.3900790722647671</v>
      </c>
      <c r="D31" s="377" t="s">
        <v>68</v>
      </c>
      <c r="E31" s="377"/>
      <c r="F31" s="377"/>
      <c r="G31" s="85"/>
    </row>
    <row r="32" spans="2:9" ht="15.75" customHeight="1" x14ac:dyDescent="0.3"/>
    <row r="33" spans="2:4" ht="15.75" customHeight="1" x14ac:dyDescent="0.3"/>
    <row r="34" spans="2:4" ht="15.75" customHeight="1" x14ac:dyDescent="0.3"/>
    <row r="35" spans="2:4" ht="15" customHeight="1" x14ac:dyDescent="0.3">
      <c r="C35" t="s">
        <v>72</v>
      </c>
      <c r="D35" t="s">
        <v>91</v>
      </c>
    </row>
    <row r="36" spans="2:4" ht="15" customHeight="1" x14ac:dyDescent="0.3">
      <c r="B36" t="s">
        <v>92</v>
      </c>
      <c r="C36" s="20">
        <f>Landing!$C$18</f>
        <v>2000</v>
      </c>
      <c r="D36" s="20">
        <f>Landing!$C$18</f>
        <v>2000</v>
      </c>
    </row>
    <row r="37" spans="2:4" ht="15" customHeight="1" x14ac:dyDescent="0.3">
      <c r="B37" t="s">
        <v>93</v>
      </c>
      <c r="C37" s="20">
        <f ca="1">C27</f>
        <v>2331.5263942966048</v>
      </c>
      <c r="D37" s="20">
        <f ca="1">G27</f>
        <v>1537.3842807910091</v>
      </c>
    </row>
    <row r="38" spans="2:4" ht="15.75" customHeight="1" x14ac:dyDescent="0.3"/>
    <row r="39" spans="2:4" ht="15.75" customHeight="1" x14ac:dyDescent="0.3"/>
    <row r="40" spans="2:4" ht="15.75" customHeight="1" x14ac:dyDescent="0.3"/>
    <row r="41" spans="2:4" ht="15.75" customHeight="1" x14ac:dyDescent="0.3"/>
    <row r="42" spans="2:4" ht="15.75" customHeight="1" x14ac:dyDescent="0.3"/>
    <row r="43" spans="2:4" ht="15.75" customHeight="1" x14ac:dyDescent="0.3"/>
    <row r="44" spans="2:4" ht="15.75" customHeight="1" x14ac:dyDescent="0.3"/>
    <row r="45" spans="2:4" ht="15.75" customHeight="1" x14ac:dyDescent="0.3"/>
    <row r="46" spans="2:4" ht="15.75" customHeight="1" x14ac:dyDescent="0.3"/>
    <row r="47" spans="2:4" ht="15.75" customHeight="1" x14ac:dyDescent="0.3"/>
    <row r="48" spans="2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18">
    <mergeCell ref="B2:F2"/>
    <mergeCell ref="B3:F3"/>
    <mergeCell ref="C4:G4"/>
    <mergeCell ref="C5:G5"/>
    <mergeCell ref="B6:B7"/>
    <mergeCell ref="F6:G7"/>
    <mergeCell ref="F8:F9"/>
    <mergeCell ref="G8:G9"/>
    <mergeCell ref="E10:E13"/>
    <mergeCell ref="F10:F11"/>
    <mergeCell ref="G10:G11"/>
    <mergeCell ref="B30:G30"/>
    <mergeCell ref="D31:F31"/>
    <mergeCell ref="C14:G14"/>
    <mergeCell ref="F16:G16"/>
    <mergeCell ref="B25:G25"/>
    <mergeCell ref="B28:C28"/>
    <mergeCell ref="C29:G29"/>
  </mergeCells>
  <conditionalFormatting sqref="C19 C29">
    <cfRule type="expression" dxfId="11" priority="2">
      <formula>LEN(TRIM(C19))&gt;0</formula>
    </cfRule>
  </conditionalFormatting>
  <conditionalFormatting sqref="C20:C21 G22:G23">
    <cfRule type="cellIs" dxfId="10" priority="13" operator="lessThan">
      <formula>-10</formula>
    </cfRule>
  </conditionalFormatting>
  <conditionalFormatting sqref="C22:C23">
    <cfRule type="cellIs" dxfId="9" priority="12" operator="greaterThan">
      <formula>G22</formula>
    </cfRule>
  </conditionalFormatting>
  <conditionalFormatting sqref="C24">
    <cfRule type="cellIs" dxfId="8" priority="3" operator="lessThan">
      <formula>$C$19</formula>
    </cfRule>
  </conditionalFormatting>
  <conditionalFormatting sqref="C27 G27">
    <cfRule type="cellIs" dxfId="7" priority="4" operator="lessThanOrEqual">
      <formula>$C$18</formula>
    </cfRule>
  </conditionalFormatting>
  <conditionalFormatting sqref="C27">
    <cfRule type="cellIs" dxfId="6" priority="5" operator="greaterThan">
      <formula>$C$18</formula>
    </cfRule>
  </conditionalFormatting>
  <conditionalFormatting sqref="C31">
    <cfRule type="cellIs" dxfId="5" priority="6" operator="lessThan">
      <formula>2.5</formula>
    </cfRule>
  </conditionalFormatting>
  <conditionalFormatting sqref="C14:F14">
    <cfRule type="expression" dxfId="4" priority="7">
      <formula>LEN(TRIM(C14))&gt;0</formula>
    </cfRule>
  </conditionalFormatting>
  <conditionalFormatting sqref="E6:E9">
    <cfRule type="expression" dxfId="3" priority="11">
      <formula>LEN(TRIM(E6))&gt;0</formula>
    </cfRule>
  </conditionalFormatting>
  <conditionalFormatting sqref="F6">
    <cfRule type="expression" dxfId="2" priority="8">
      <formula>LEN(TRIM(F6))&gt;0</formula>
    </cfRule>
  </conditionalFormatting>
  <conditionalFormatting sqref="G27">
    <cfRule type="cellIs" dxfId="1" priority="9" operator="greaterThan">
      <formula>$C$18</formula>
    </cfRule>
  </conditionalFormatting>
  <conditionalFormatting sqref="J11:K13">
    <cfRule type="expression" dxfId="0" priority="10">
      <formula>LEN(TRIM(J11))&gt;0</formula>
    </cfRule>
  </conditionalFormatting>
  <pageMargins left="0" right="0" top="0" bottom="0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'Dropdown lists'!$B$4:$B$9</xm:f>
          </x14:formula1>
          <x14:formula2>
            <xm:f>0</xm:f>
          </x14:formula2>
          <xm:sqref>C10</xm:sqref>
        </x14:dataValidation>
        <x14:dataValidation type="list" allowBlank="1" showInputMessage="1" showErrorMessage="1" prompt="Ange ett värde från intervallet ='Airport data'!$A$5:$A$37" xr:uid="{00000000-0002-0000-0100-000001000000}">
          <x14:formula1>
            <xm:f>'Airport data'!$A$5:$A$37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zoomScaleNormal="100" workbookViewId="0">
      <pane ySplit="4" topLeftCell="A20" activePane="bottomLeft" state="frozen"/>
      <selection pane="bottomLeft" activeCell="A7" sqref="A7"/>
    </sheetView>
  </sheetViews>
  <sheetFormatPr defaultColWidth="14.44140625" defaultRowHeight="15" customHeight="1" x14ac:dyDescent="0.3"/>
  <cols>
    <col min="1" max="2" width="20.109375" customWidth="1"/>
    <col min="3" max="3" width="17.44140625" customWidth="1"/>
    <col min="4" max="5" width="20.109375" customWidth="1"/>
    <col min="6" max="6" width="12.109375" customWidth="1"/>
    <col min="7" max="7" width="9.109375" customWidth="1"/>
    <col min="8" max="8" width="13.44140625" customWidth="1"/>
    <col min="9" max="9" width="17.44140625" customWidth="1"/>
    <col min="10" max="13" width="11.6640625" customWidth="1"/>
    <col min="14" max="14" width="30" customWidth="1"/>
  </cols>
  <sheetData>
    <row r="1" spans="1:14" ht="14.25" customHeight="1" x14ac:dyDescent="0.3">
      <c r="A1" s="393" t="s">
        <v>94</v>
      </c>
      <c r="B1" s="394" t="s">
        <v>95</v>
      </c>
      <c r="C1" s="394" t="s">
        <v>96</v>
      </c>
      <c r="D1" s="394" t="s">
        <v>97</v>
      </c>
      <c r="E1" s="394" t="s">
        <v>98</v>
      </c>
      <c r="F1" s="390" t="s">
        <v>44</v>
      </c>
      <c r="G1" s="391" t="s">
        <v>99</v>
      </c>
      <c r="H1" s="391" t="s">
        <v>100</v>
      </c>
      <c r="I1" s="391" t="s">
        <v>101</v>
      </c>
      <c r="J1" s="392" t="s">
        <v>102</v>
      </c>
      <c r="K1" s="86" t="s">
        <v>103</v>
      </c>
    </row>
    <row r="2" spans="1:14" ht="14.25" customHeight="1" x14ac:dyDescent="0.3">
      <c r="A2" s="393"/>
      <c r="B2" s="394"/>
      <c r="C2" s="394"/>
      <c r="D2" s="394"/>
      <c r="E2" s="394"/>
      <c r="F2" s="390"/>
      <c r="G2" s="390"/>
      <c r="H2" s="390"/>
      <c r="I2" s="390"/>
      <c r="J2" s="392"/>
      <c r="K2" s="388" t="s">
        <v>104</v>
      </c>
      <c r="L2" s="388" t="s">
        <v>105</v>
      </c>
      <c r="M2" s="87"/>
    </row>
    <row r="3" spans="1:14" ht="14.4" x14ac:dyDescent="0.3">
      <c r="A3" s="393"/>
      <c r="B3" s="394"/>
      <c r="C3" s="394"/>
      <c r="D3" s="394"/>
      <c r="E3" s="394"/>
      <c r="F3" s="390"/>
      <c r="G3" s="390"/>
      <c r="H3" s="390"/>
      <c r="I3" s="390"/>
      <c r="J3" s="392"/>
      <c r="K3" s="388"/>
      <c r="L3" s="388"/>
      <c r="M3" s="87"/>
    </row>
    <row r="4" spans="1:14" ht="14.25" customHeight="1" x14ac:dyDescent="0.3">
      <c r="A4" s="393"/>
      <c r="B4" s="88" t="s">
        <v>106</v>
      </c>
      <c r="C4" s="89" t="s">
        <v>107</v>
      </c>
      <c r="D4" s="89" t="s">
        <v>107</v>
      </c>
      <c r="E4" s="89" t="s">
        <v>107</v>
      </c>
      <c r="F4" s="89" t="s">
        <v>107</v>
      </c>
      <c r="G4" s="89" t="s">
        <v>108</v>
      </c>
      <c r="H4" s="89" t="s">
        <v>109</v>
      </c>
      <c r="I4" s="89" t="s">
        <v>108</v>
      </c>
      <c r="J4" s="90" t="s">
        <v>110</v>
      </c>
      <c r="K4" s="88" t="s">
        <v>106</v>
      </c>
      <c r="L4" s="88" t="s">
        <v>111</v>
      </c>
      <c r="M4" s="87"/>
    </row>
    <row r="5" spans="1:14" ht="14.25" customHeight="1" x14ac:dyDescent="0.3">
      <c r="A5" s="91" t="s">
        <v>112</v>
      </c>
      <c r="B5" s="92" t="s">
        <v>113</v>
      </c>
      <c r="C5" s="93"/>
      <c r="D5" s="92" t="s">
        <v>113</v>
      </c>
      <c r="E5" s="92" t="s">
        <v>113</v>
      </c>
      <c r="F5" s="92" t="s">
        <v>113</v>
      </c>
      <c r="G5" s="92" t="s">
        <v>113</v>
      </c>
      <c r="H5" s="94" t="s">
        <v>113</v>
      </c>
      <c r="I5" s="93"/>
      <c r="J5" s="92" t="s">
        <v>113</v>
      </c>
      <c r="K5" s="87"/>
      <c r="L5" s="87"/>
      <c r="M5" s="87"/>
    </row>
    <row r="6" spans="1:14" ht="21" customHeight="1" x14ac:dyDescent="0.3">
      <c r="A6" s="95" t="s">
        <v>4</v>
      </c>
      <c r="B6" s="96">
        <v>200</v>
      </c>
      <c r="C6" s="97">
        <v>2000</v>
      </c>
      <c r="D6" s="98">
        <v>2000</v>
      </c>
      <c r="E6" s="98">
        <v>2000</v>
      </c>
      <c r="F6" s="99">
        <v>2000</v>
      </c>
      <c r="G6" s="100">
        <v>0</v>
      </c>
      <c r="H6" s="99">
        <v>120</v>
      </c>
      <c r="I6" s="97">
        <v>3.3</v>
      </c>
      <c r="J6" s="101"/>
      <c r="K6" s="102">
        <v>666</v>
      </c>
      <c r="L6" s="102" t="s">
        <v>114</v>
      </c>
      <c r="M6" s="103"/>
      <c r="N6" s="389" t="s">
        <v>115</v>
      </c>
    </row>
    <row r="7" spans="1:14" ht="21" customHeight="1" x14ac:dyDescent="0.3">
      <c r="A7" s="95"/>
      <c r="B7" s="104"/>
      <c r="C7" s="105"/>
      <c r="D7" s="104"/>
      <c r="E7" s="104"/>
      <c r="F7" s="104"/>
      <c r="G7" s="106"/>
      <c r="H7" s="104"/>
      <c r="I7" s="105"/>
      <c r="J7" s="107"/>
      <c r="K7" s="103"/>
      <c r="L7" s="103"/>
      <c r="M7" s="103"/>
      <c r="N7" s="389"/>
    </row>
    <row r="8" spans="1:14" ht="21" customHeight="1" x14ac:dyDescent="0.3">
      <c r="A8" s="108"/>
      <c r="B8" s="108"/>
      <c r="C8" s="109"/>
      <c r="D8" s="108"/>
      <c r="E8" s="108"/>
      <c r="F8" s="108"/>
      <c r="G8" s="110"/>
      <c r="H8" s="108"/>
      <c r="I8" s="109"/>
      <c r="J8" s="111"/>
      <c r="K8" s="112"/>
      <c r="L8" s="112"/>
      <c r="M8" s="112"/>
    </row>
    <row r="9" spans="1:14" ht="21" customHeight="1" x14ac:dyDescent="0.3">
      <c r="A9" s="108"/>
      <c r="B9" s="113"/>
      <c r="C9" s="113"/>
      <c r="D9" s="113"/>
      <c r="E9" s="113"/>
      <c r="F9" s="113"/>
      <c r="G9" s="113"/>
      <c r="H9" s="113"/>
      <c r="I9" s="113"/>
      <c r="J9" s="114"/>
      <c r="K9" s="113"/>
      <c r="L9" s="113"/>
      <c r="M9" s="113"/>
    </row>
    <row r="10" spans="1:14" ht="21" customHeight="1" x14ac:dyDescent="0.3">
      <c r="A10" s="115"/>
      <c r="B10" s="113"/>
      <c r="C10" s="113"/>
      <c r="D10" s="113"/>
      <c r="E10" s="113"/>
      <c r="F10" s="113"/>
      <c r="G10" s="113"/>
      <c r="H10" s="113"/>
      <c r="I10" s="113"/>
      <c r="J10" s="114"/>
      <c r="K10" s="113"/>
      <c r="L10" s="113"/>
      <c r="M10" s="113"/>
    </row>
    <row r="11" spans="1:14" ht="21" customHeight="1" x14ac:dyDescent="0.3">
      <c r="A11" s="115"/>
      <c r="B11" s="113"/>
      <c r="C11" s="113"/>
      <c r="D11" s="113"/>
      <c r="E11" s="113"/>
      <c r="F11" s="113"/>
      <c r="G11" s="113"/>
      <c r="H11" s="113"/>
      <c r="I11" s="113"/>
      <c r="J11" s="114"/>
      <c r="K11" s="113"/>
      <c r="L11" s="113"/>
      <c r="M11" s="113"/>
    </row>
    <row r="12" spans="1:14" ht="14.25" customHeight="1" x14ac:dyDescent="0.3">
      <c r="A12" s="116"/>
      <c r="B12" s="113"/>
      <c r="C12" s="113"/>
      <c r="D12" s="113"/>
      <c r="E12" s="113"/>
      <c r="F12" s="113"/>
      <c r="G12" s="113"/>
      <c r="H12" s="113"/>
      <c r="I12" s="113"/>
      <c r="J12" s="114"/>
      <c r="K12" s="113"/>
      <c r="L12" s="113"/>
      <c r="M12" s="113"/>
    </row>
    <row r="13" spans="1:14" ht="14.25" customHeight="1" x14ac:dyDescent="0.3">
      <c r="A13" s="116"/>
      <c r="B13" s="113"/>
      <c r="C13" s="113"/>
      <c r="D13" s="113"/>
      <c r="E13" s="113"/>
      <c r="F13" s="113"/>
      <c r="G13" s="113"/>
      <c r="H13" s="113"/>
      <c r="I13" s="113"/>
      <c r="J13" s="114"/>
      <c r="K13" s="113"/>
      <c r="L13" s="113"/>
      <c r="M13" s="113"/>
    </row>
    <row r="14" spans="1:14" ht="14.25" customHeight="1" x14ac:dyDescent="0.3">
      <c r="A14" s="116"/>
      <c r="B14" s="113"/>
      <c r="C14" s="113"/>
      <c r="D14" s="113"/>
      <c r="E14" s="113"/>
      <c r="F14" s="113"/>
      <c r="G14" s="113"/>
      <c r="H14" s="113"/>
      <c r="I14" s="113"/>
      <c r="J14" s="114"/>
      <c r="K14" s="113"/>
      <c r="L14" s="113"/>
      <c r="M14" s="113"/>
    </row>
    <row r="15" spans="1:14" ht="14.25" customHeight="1" x14ac:dyDescent="0.3">
      <c r="A15" s="116"/>
      <c r="B15" s="113"/>
      <c r="C15" s="113"/>
      <c r="D15" s="113"/>
      <c r="E15" s="113"/>
      <c r="F15" s="113"/>
      <c r="G15" s="113"/>
      <c r="H15" s="113"/>
      <c r="I15" s="113"/>
      <c r="J15" s="114"/>
      <c r="K15" s="113"/>
      <c r="L15" s="113"/>
      <c r="M15" s="113"/>
    </row>
    <row r="16" spans="1:14" ht="14.25" customHeight="1" x14ac:dyDescent="0.3">
      <c r="A16" s="117"/>
      <c r="B16" s="113"/>
      <c r="C16" s="113"/>
      <c r="D16" s="113"/>
      <c r="E16" s="113"/>
      <c r="F16" s="113"/>
      <c r="G16" s="113"/>
      <c r="H16" s="113"/>
      <c r="I16" s="113"/>
      <c r="J16" s="114"/>
      <c r="K16" s="113"/>
      <c r="L16" s="113"/>
      <c r="M16" s="113"/>
    </row>
    <row r="17" spans="1:13" ht="14.25" customHeight="1" x14ac:dyDescent="0.3">
      <c r="A17" s="117"/>
      <c r="B17" s="113"/>
      <c r="C17" s="113"/>
      <c r="D17" s="113"/>
      <c r="E17" s="113"/>
      <c r="F17" s="113"/>
      <c r="G17" s="113"/>
      <c r="H17" s="113"/>
      <c r="I17" s="113"/>
      <c r="J17" s="114"/>
      <c r="K17" s="113"/>
      <c r="L17" s="113"/>
      <c r="M17" s="113"/>
    </row>
    <row r="18" spans="1:13" ht="14.25" customHeight="1" x14ac:dyDescent="0.3">
      <c r="A18" s="115"/>
      <c r="B18" s="113"/>
      <c r="C18" s="113"/>
      <c r="D18" s="113"/>
      <c r="E18" s="113"/>
      <c r="F18" s="113"/>
      <c r="G18" s="113"/>
      <c r="H18" s="113"/>
      <c r="I18" s="113"/>
      <c r="J18" s="114"/>
      <c r="K18" s="113"/>
      <c r="L18" s="113"/>
      <c r="M18" s="113"/>
    </row>
    <row r="19" spans="1:13" ht="14.25" customHeight="1" x14ac:dyDescent="0.3">
      <c r="A19" s="115"/>
      <c r="B19" s="113"/>
      <c r="C19" s="113"/>
      <c r="D19" s="113"/>
      <c r="E19" s="113"/>
      <c r="F19" s="113"/>
      <c r="G19" s="113"/>
      <c r="H19" s="113"/>
      <c r="I19" s="113"/>
      <c r="J19" s="114"/>
      <c r="K19" s="113"/>
      <c r="L19" s="113"/>
      <c r="M19" s="113"/>
    </row>
    <row r="20" spans="1:13" ht="14.25" customHeight="1" x14ac:dyDescent="0.3">
      <c r="A20" s="115"/>
      <c r="B20" s="113"/>
      <c r="C20" s="113"/>
      <c r="D20" s="113"/>
      <c r="E20" s="113"/>
      <c r="F20" s="113"/>
      <c r="G20" s="113"/>
      <c r="H20" s="113"/>
      <c r="I20" s="113"/>
      <c r="J20" s="114"/>
      <c r="K20" s="113"/>
      <c r="L20" s="113"/>
      <c r="M20" s="113"/>
    </row>
    <row r="21" spans="1:13" ht="14.25" customHeight="1" x14ac:dyDescent="0.3">
      <c r="A21" s="115"/>
      <c r="B21" s="113"/>
      <c r="C21" s="113"/>
      <c r="D21" s="113"/>
      <c r="E21" s="113"/>
      <c r="F21" s="113"/>
      <c r="G21" s="113"/>
      <c r="H21" s="113"/>
      <c r="I21" s="113"/>
      <c r="J21" s="114"/>
      <c r="K21" s="113"/>
      <c r="L21" s="113"/>
      <c r="M21" s="113"/>
    </row>
    <row r="22" spans="1:13" ht="14.25" customHeight="1" x14ac:dyDescent="0.3">
      <c r="A22" s="117"/>
      <c r="B22" s="113"/>
      <c r="C22" s="113"/>
      <c r="D22" s="113"/>
      <c r="E22" s="113"/>
      <c r="F22" s="113"/>
      <c r="G22" s="113"/>
      <c r="H22" s="113"/>
      <c r="I22" s="113"/>
      <c r="J22" s="114"/>
      <c r="K22" s="113"/>
      <c r="L22" s="113"/>
      <c r="M22" s="113"/>
    </row>
    <row r="23" spans="1:13" ht="14.25" customHeight="1" x14ac:dyDescent="0.3">
      <c r="A23" s="117"/>
      <c r="B23" s="113"/>
      <c r="C23" s="113"/>
      <c r="D23" s="113"/>
      <c r="E23" s="113"/>
      <c r="F23" s="113"/>
      <c r="G23" s="113"/>
      <c r="H23" s="113"/>
      <c r="I23" s="113"/>
      <c r="J23" s="114"/>
      <c r="K23" s="113"/>
      <c r="L23" s="113"/>
      <c r="M23" s="113"/>
    </row>
    <row r="24" spans="1:13" ht="14.25" customHeight="1" x14ac:dyDescent="0.3">
      <c r="A24" s="117"/>
      <c r="B24" s="113"/>
      <c r="C24" s="113"/>
      <c r="D24" s="113"/>
      <c r="E24" s="113"/>
      <c r="F24" s="113"/>
      <c r="G24" s="113"/>
      <c r="H24" s="113"/>
      <c r="I24" s="113"/>
      <c r="J24" s="114"/>
      <c r="K24" s="113"/>
      <c r="L24" s="113"/>
      <c r="M24" s="113"/>
    </row>
    <row r="25" spans="1:13" ht="14.25" customHeight="1" x14ac:dyDescent="0.3">
      <c r="A25" s="117"/>
      <c r="B25" s="113"/>
      <c r="C25" s="113"/>
      <c r="D25" s="113"/>
      <c r="E25" s="113"/>
      <c r="F25" s="113"/>
      <c r="G25" s="113"/>
      <c r="H25" s="113"/>
      <c r="I25" s="113"/>
      <c r="J25" s="114"/>
      <c r="K25" s="113"/>
      <c r="L25" s="113"/>
      <c r="M25" s="113"/>
    </row>
    <row r="26" spans="1:13" ht="14.25" customHeight="1" x14ac:dyDescent="0.3">
      <c r="A26" s="117"/>
      <c r="B26" s="113"/>
      <c r="C26" s="113"/>
      <c r="D26" s="113"/>
      <c r="E26" s="113"/>
      <c r="F26" s="113"/>
      <c r="G26" s="113"/>
      <c r="H26" s="113"/>
      <c r="I26" s="113"/>
      <c r="J26" s="114"/>
      <c r="K26" s="113"/>
      <c r="L26" s="113"/>
      <c r="M26" s="113"/>
    </row>
    <row r="27" spans="1:13" ht="14.25" customHeight="1" x14ac:dyDescent="0.3">
      <c r="A27" s="117"/>
      <c r="B27" s="113"/>
      <c r="C27" s="113"/>
      <c r="D27" s="113"/>
      <c r="E27" s="113"/>
      <c r="F27" s="113"/>
      <c r="G27" s="113"/>
      <c r="H27" s="113"/>
      <c r="I27" s="113"/>
      <c r="J27" s="114"/>
      <c r="K27" s="113"/>
      <c r="L27" s="113"/>
      <c r="M27" s="113"/>
    </row>
    <row r="28" spans="1:13" ht="14.25" customHeight="1" x14ac:dyDescent="0.3">
      <c r="A28" s="117"/>
      <c r="B28" s="113"/>
      <c r="C28" s="113"/>
      <c r="D28" s="113"/>
      <c r="E28" s="113"/>
      <c r="F28" s="113"/>
      <c r="G28" s="113"/>
      <c r="H28" s="113"/>
      <c r="I28" s="113"/>
      <c r="J28" s="114"/>
      <c r="K28" s="113"/>
      <c r="L28" s="113"/>
      <c r="M28" s="113"/>
    </row>
    <row r="29" spans="1:13" ht="14.25" customHeight="1" x14ac:dyDescent="0.3">
      <c r="A29" s="117"/>
      <c r="B29" s="113"/>
      <c r="C29" s="113"/>
      <c r="D29" s="113"/>
      <c r="E29" s="113"/>
      <c r="F29" s="113"/>
      <c r="G29" s="113"/>
      <c r="H29" s="113"/>
      <c r="I29" s="113"/>
      <c r="J29" s="114"/>
      <c r="K29" s="113"/>
      <c r="L29" s="113"/>
      <c r="M29" s="113"/>
    </row>
    <row r="30" spans="1:13" ht="14.25" customHeight="1" x14ac:dyDescent="0.3">
      <c r="A30" s="115"/>
      <c r="B30" s="113"/>
      <c r="C30" s="113"/>
      <c r="D30" s="113"/>
      <c r="E30" s="113"/>
      <c r="F30" s="113"/>
      <c r="G30" s="113"/>
      <c r="H30" s="113"/>
      <c r="I30" s="113"/>
      <c r="J30" s="114"/>
      <c r="K30" s="113"/>
      <c r="L30" s="113"/>
      <c r="M30" s="113"/>
    </row>
    <row r="31" spans="1:13" ht="14.25" customHeight="1" x14ac:dyDescent="0.3">
      <c r="A31" s="115"/>
      <c r="B31" s="113"/>
      <c r="C31" s="113"/>
      <c r="D31" s="113"/>
      <c r="E31" s="113"/>
      <c r="F31" s="113"/>
      <c r="G31" s="113"/>
      <c r="H31" s="113"/>
      <c r="I31" s="113"/>
      <c r="J31" s="114"/>
      <c r="K31" s="113"/>
      <c r="L31" s="113"/>
      <c r="M31" s="113"/>
    </row>
    <row r="32" spans="1:13" ht="14.25" customHeight="1" x14ac:dyDescent="0.3">
      <c r="A32" s="115"/>
      <c r="B32" s="113"/>
      <c r="C32" s="113"/>
      <c r="D32" s="113"/>
      <c r="E32" s="113"/>
      <c r="F32" s="113"/>
      <c r="G32" s="113"/>
      <c r="H32" s="113"/>
      <c r="I32" s="113"/>
      <c r="J32" s="114"/>
      <c r="K32" s="113"/>
      <c r="L32" s="113"/>
      <c r="M32" s="113"/>
    </row>
    <row r="33" spans="1:13" ht="14.25" customHeight="1" x14ac:dyDescent="0.3">
      <c r="A33" s="115"/>
      <c r="B33" s="113"/>
      <c r="C33" s="113"/>
      <c r="D33" s="113"/>
      <c r="E33" s="113"/>
      <c r="F33" s="113"/>
      <c r="G33" s="113"/>
      <c r="H33" s="113"/>
      <c r="I33" s="113"/>
      <c r="J33" s="114"/>
      <c r="K33" s="113"/>
      <c r="L33" s="113"/>
      <c r="M33" s="113"/>
    </row>
    <row r="34" spans="1:13" ht="14.25" customHeight="1" x14ac:dyDescent="0.3">
      <c r="A34" s="91"/>
      <c r="B34" s="113"/>
      <c r="C34" s="113"/>
      <c r="D34" s="113"/>
      <c r="E34" s="113"/>
      <c r="F34" s="113"/>
      <c r="G34" s="113"/>
      <c r="H34" s="113"/>
      <c r="I34" s="113"/>
      <c r="J34" s="114"/>
      <c r="K34" s="113"/>
      <c r="L34" s="113"/>
      <c r="M34" s="113"/>
    </row>
    <row r="35" spans="1:13" ht="14.25" customHeight="1" x14ac:dyDescent="0.3">
      <c r="A35" s="118"/>
      <c r="B35" s="113"/>
      <c r="C35" s="113"/>
      <c r="D35" s="113"/>
      <c r="E35" s="113"/>
      <c r="F35" s="113"/>
      <c r="G35" s="113"/>
      <c r="H35" s="113"/>
      <c r="I35" s="113"/>
      <c r="J35" s="114"/>
      <c r="K35" s="113"/>
      <c r="L35" s="113"/>
      <c r="M35" s="113"/>
    </row>
    <row r="36" spans="1:13" ht="14.25" customHeight="1" x14ac:dyDescent="0.3">
      <c r="A36" s="91"/>
      <c r="B36" s="113"/>
      <c r="C36" s="113"/>
      <c r="D36" s="113"/>
      <c r="E36" s="113"/>
      <c r="F36" s="113"/>
      <c r="G36" s="113"/>
      <c r="H36" s="113"/>
      <c r="I36" s="113"/>
      <c r="J36" s="114"/>
      <c r="K36" s="113"/>
      <c r="L36" s="113"/>
      <c r="M36" s="113"/>
    </row>
    <row r="37" spans="1:13" ht="14.25" customHeight="1" x14ac:dyDescent="0.3">
      <c r="A37" s="91"/>
      <c r="B37" s="113"/>
      <c r="C37" s="113"/>
      <c r="D37" s="113"/>
      <c r="E37" s="113"/>
      <c r="F37" s="113"/>
      <c r="G37" s="113"/>
      <c r="H37" s="113"/>
      <c r="I37" s="113"/>
      <c r="J37" s="114"/>
      <c r="K37" s="113"/>
      <c r="L37" s="113"/>
      <c r="M37" s="113"/>
    </row>
    <row r="38" spans="1:13" ht="14.25" customHeight="1" x14ac:dyDescent="0.3">
      <c r="A38" s="91"/>
      <c r="B38" s="113"/>
      <c r="C38" s="113"/>
      <c r="D38" s="113"/>
      <c r="E38" s="113"/>
      <c r="F38" s="113"/>
      <c r="G38" s="113"/>
      <c r="H38" s="113"/>
      <c r="I38" s="113"/>
      <c r="J38" s="114"/>
      <c r="K38" s="113"/>
      <c r="L38" s="113"/>
      <c r="M38" s="113"/>
    </row>
    <row r="39" spans="1:13" ht="33.75" customHeight="1" x14ac:dyDescent="0.3">
      <c r="A39" s="91"/>
      <c r="B39" s="113"/>
      <c r="C39" s="113"/>
      <c r="D39" s="113"/>
      <c r="E39" s="113"/>
      <c r="F39" s="113"/>
      <c r="G39" s="113"/>
      <c r="H39" s="113"/>
      <c r="I39" s="113"/>
      <c r="J39" s="114"/>
      <c r="K39" s="113"/>
      <c r="L39" s="113"/>
      <c r="M39" s="113"/>
    </row>
    <row r="40" spans="1:13" ht="15.75" customHeight="1" x14ac:dyDescent="0.3">
      <c r="A40" s="91"/>
      <c r="B40" s="113"/>
      <c r="C40" s="113"/>
      <c r="D40" s="113"/>
      <c r="E40" s="113"/>
      <c r="F40" s="113"/>
      <c r="G40" s="113"/>
      <c r="H40" s="113"/>
      <c r="I40" s="113"/>
      <c r="J40" s="114"/>
      <c r="K40" s="113"/>
      <c r="L40" s="113"/>
      <c r="M40" s="113"/>
    </row>
    <row r="41" spans="1:13" ht="15.75" customHeight="1" x14ac:dyDescent="0.3">
      <c r="A41" s="91"/>
      <c r="B41" s="113"/>
      <c r="C41" s="113"/>
      <c r="D41" s="113"/>
      <c r="E41" s="113"/>
      <c r="F41" s="113"/>
      <c r="G41" s="113"/>
      <c r="H41" s="113"/>
      <c r="I41" s="113"/>
      <c r="J41" s="114"/>
      <c r="K41" s="113"/>
      <c r="L41" s="113"/>
      <c r="M41" s="113"/>
    </row>
    <row r="42" spans="1:13" ht="15.75" customHeight="1" x14ac:dyDescent="0.3">
      <c r="A42" s="119"/>
      <c r="B42" s="113"/>
      <c r="C42" s="113"/>
      <c r="D42" s="113"/>
      <c r="E42" s="113"/>
      <c r="F42" s="113"/>
      <c r="G42" s="113"/>
      <c r="H42" s="113"/>
      <c r="I42" s="113"/>
      <c r="J42" s="114"/>
      <c r="K42" s="113"/>
      <c r="L42" s="113"/>
      <c r="M42" s="113"/>
    </row>
    <row r="43" spans="1:13" ht="15.75" customHeight="1" x14ac:dyDescent="0.3">
      <c r="A43" s="119"/>
      <c r="B43" s="113"/>
      <c r="C43" s="113"/>
      <c r="D43" s="113"/>
      <c r="E43" s="113"/>
      <c r="F43" s="113"/>
      <c r="G43" s="113"/>
      <c r="H43" s="113"/>
      <c r="I43" s="113"/>
      <c r="J43" s="114"/>
      <c r="K43" s="113"/>
      <c r="L43" s="113"/>
      <c r="M43" s="113"/>
    </row>
    <row r="44" spans="1:13" ht="15.75" customHeight="1" x14ac:dyDescent="0.3">
      <c r="A44" s="120"/>
      <c r="B44" s="113"/>
      <c r="C44" s="113"/>
      <c r="D44" s="113"/>
      <c r="E44" s="113"/>
      <c r="F44" s="113"/>
      <c r="G44" s="113"/>
      <c r="H44" s="113"/>
      <c r="I44" s="113"/>
      <c r="J44" s="114"/>
      <c r="K44" s="113"/>
      <c r="L44" s="113"/>
      <c r="M44" s="113"/>
    </row>
    <row r="45" spans="1:13" ht="15.75" customHeight="1" x14ac:dyDescent="0.3">
      <c r="A45" s="120"/>
      <c r="B45" s="113"/>
      <c r="C45" s="113"/>
      <c r="D45" s="113"/>
      <c r="E45" s="113"/>
      <c r="F45" s="113"/>
      <c r="G45" s="113"/>
      <c r="H45" s="113"/>
      <c r="I45" s="113"/>
      <c r="J45" s="114"/>
      <c r="K45" s="113"/>
      <c r="L45" s="113"/>
      <c r="M45" s="113"/>
    </row>
    <row r="46" spans="1:13" ht="15.75" customHeight="1" x14ac:dyDescent="0.3">
      <c r="A46" s="120"/>
      <c r="B46" s="113"/>
      <c r="C46" s="113"/>
      <c r="D46" s="113"/>
      <c r="E46" s="113"/>
      <c r="F46" s="113"/>
      <c r="G46" s="113"/>
      <c r="H46" s="113"/>
      <c r="I46" s="113"/>
      <c r="J46" s="114"/>
      <c r="K46" s="113"/>
      <c r="L46" s="113"/>
      <c r="M46" s="113"/>
    </row>
    <row r="47" spans="1:13" ht="15.75" customHeight="1" x14ac:dyDescent="0.3">
      <c r="A47" s="120"/>
      <c r="B47" s="113"/>
      <c r="C47" s="113"/>
      <c r="D47" s="113"/>
      <c r="E47" s="113"/>
      <c r="F47" s="113"/>
      <c r="G47" s="113"/>
      <c r="H47" s="113"/>
      <c r="I47" s="113"/>
      <c r="J47" s="114"/>
      <c r="K47" s="113"/>
      <c r="L47" s="113"/>
      <c r="M47" s="113"/>
    </row>
    <row r="48" spans="1:13" ht="15.75" customHeight="1" x14ac:dyDescent="0.3">
      <c r="A48" s="120"/>
      <c r="B48" s="113"/>
      <c r="C48" s="113"/>
      <c r="D48" s="113"/>
      <c r="E48" s="113"/>
      <c r="F48" s="113"/>
      <c r="G48" s="113"/>
      <c r="H48" s="113"/>
      <c r="I48" s="113"/>
      <c r="J48" s="114"/>
      <c r="K48" s="113"/>
      <c r="L48" s="113"/>
      <c r="M48" s="113"/>
    </row>
    <row r="49" spans="1:13" ht="15.75" customHeight="1" x14ac:dyDescent="0.3">
      <c r="A49" s="120"/>
      <c r="B49" s="113"/>
      <c r="C49" s="113"/>
      <c r="D49" s="113"/>
      <c r="E49" s="113"/>
      <c r="F49" s="113"/>
      <c r="G49" s="113"/>
      <c r="H49" s="113"/>
      <c r="I49" s="113"/>
      <c r="J49" s="114"/>
      <c r="K49" s="113"/>
      <c r="L49" s="113"/>
      <c r="M49" s="113"/>
    </row>
    <row r="50" spans="1:13" ht="15.75" customHeight="1" x14ac:dyDescent="0.3">
      <c r="J50" s="121"/>
    </row>
    <row r="51" spans="1:13" ht="15.75" customHeight="1" x14ac:dyDescent="0.3">
      <c r="J51" s="121"/>
    </row>
    <row r="52" spans="1:13" ht="15.75" customHeight="1" x14ac:dyDescent="0.3">
      <c r="J52" s="121"/>
    </row>
    <row r="53" spans="1:13" ht="15.75" customHeight="1" x14ac:dyDescent="0.3">
      <c r="J53" s="121"/>
    </row>
    <row r="54" spans="1:13" ht="15.75" customHeight="1" x14ac:dyDescent="0.3">
      <c r="J54" s="121"/>
    </row>
    <row r="55" spans="1:13" ht="15.75" customHeight="1" x14ac:dyDescent="0.3">
      <c r="J55" s="121"/>
    </row>
    <row r="56" spans="1:13" ht="15.75" customHeight="1" x14ac:dyDescent="0.3">
      <c r="J56" s="121"/>
    </row>
    <row r="57" spans="1:13" ht="15.75" customHeight="1" x14ac:dyDescent="0.3">
      <c r="J57" s="121"/>
    </row>
    <row r="58" spans="1:13" ht="15.75" customHeight="1" x14ac:dyDescent="0.3">
      <c r="J58" s="121"/>
    </row>
    <row r="59" spans="1:13" ht="15.75" customHeight="1" x14ac:dyDescent="0.3">
      <c r="J59" s="121"/>
    </row>
    <row r="60" spans="1:13" ht="15.75" customHeight="1" x14ac:dyDescent="0.3">
      <c r="J60" s="121"/>
    </row>
    <row r="61" spans="1:13" ht="15.75" customHeight="1" x14ac:dyDescent="0.3">
      <c r="J61" s="121"/>
    </row>
    <row r="62" spans="1:13" ht="15.75" customHeight="1" x14ac:dyDescent="0.3">
      <c r="J62" s="121"/>
    </row>
    <row r="63" spans="1:13" ht="15.75" customHeight="1" x14ac:dyDescent="0.3">
      <c r="J63" s="121"/>
    </row>
    <row r="64" spans="1:13" ht="15.75" customHeight="1" x14ac:dyDescent="0.3">
      <c r="J64" s="121"/>
    </row>
    <row r="65" spans="10:10" ht="15.75" customHeight="1" x14ac:dyDescent="0.3">
      <c r="J65" s="121"/>
    </row>
    <row r="66" spans="10:10" ht="15.75" customHeight="1" x14ac:dyDescent="0.3">
      <c r="J66" s="121"/>
    </row>
    <row r="67" spans="10:10" ht="15.75" customHeight="1" x14ac:dyDescent="0.3">
      <c r="J67" s="121"/>
    </row>
    <row r="68" spans="10:10" ht="15.75" customHeight="1" x14ac:dyDescent="0.3">
      <c r="J68" s="121"/>
    </row>
    <row r="69" spans="10:10" ht="15.75" customHeight="1" x14ac:dyDescent="0.3">
      <c r="J69" s="121"/>
    </row>
    <row r="70" spans="10:10" ht="15.75" customHeight="1" x14ac:dyDescent="0.3">
      <c r="J70" s="121"/>
    </row>
    <row r="71" spans="10:10" ht="15.75" customHeight="1" x14ac:dyDescent="0.3">
      <c r="J71" s="121"/>
    </row>
    <row r="72" spans="10:10" ht="15.75" customHeight="1" x14ac:dyDescent="0.3">
      <c r="J72" s="121"/>
    </row>
    <row r="73" spans="10:10" ht="15.75" customHeight="1" x14ac:dyDescent="0.3">
      <c r="J73" s="121"/>
    </row>
    <row r="74" spans="10:10" ht="15.75" customHeight="1" x14ac:dyDescent="0.3">
      <c r="J74" s="121"/>
    </row>
    <row r="75" spans="10:10" ht="15.75" customHeight="1" x14ac:dyDescent="0.3">
      <c r="J75" s="121"/>
    </row>
    <row r="76" spans="10:10" ht="15.75" customHeight="1" x14ac:dyDescent="0.3">
      <c r="J76" s="121"/>
    </row>
    <row r="77" spans="10:10" ht="15.75" customHeight="1" x14ac:dyDescent="0.3">
      <c r="J77" s="121"/>
    </row>
    <row r="78" spans="10:10" ht="15.75" customHeight="1" x14ac:dyDescent="0.3">
      <c r="J78" s="121"/>
    </row>
    <row r="79" spans="10:10" ht="15.75" customHeight="1" x14ac:dyDescent="0.3">
      <c r="J79" s="121"/>
    </row>
    <row r="80" spans="10:10" ht="15.75" customHeight="1" x14ac:dyDescent="0.3">
      <c r="J80" s="121"/>
    </row>
    <row r="81" spans="10:10" ht="15.75" customHeight="1" x14ac:dyDescent="0.3">
      <c r="J81" s="121"/>
    </row>
    <row r="82" spans="10:10" ht="15.75" customHeight="1" x14ac:dyDescent="0.3">
      <c r="J82" s="121"/>
    </row>
    <row r="83" spans="10:10" ht="15.75" customHeight="1" x14ac:dyDescent="0.3">
      <c r="J83" s="121"/>
    </row>
    <row r="84" spans="10:10" ht="15.75" customHeight="1" x14ac:dyDescent="0.3">
      <c r="J84" s="121"/>
    </row>
    <row r="85" spans="10:10" ht="15.75" customHeight="1" x14ac:dyDescent="0.3">
      <c r="J85" s="121"/>
    </row>
    <row r="86" spans="10:10" ht="15.75" customHeight="1" x14ac:dyDescent="0.3">
      <c r="J86" s="121"/>
    </row>
    <row r="87" spans="10:10" ht="15.75" customHeight="1" x14ac:dyDescent="0.3">
      <c r="J87" s="121"/>
    </row>
    <row r="88" spans="10:10" ht="15.75" customHeight="1" x14ac:dyDescent="0.3">
      <c r="J88" s="121"/>
    </row>
    <row r="89" spans="10:10" ht="15.75" customHeight="1" x14ac:dyDescent="0.3">
      <c r="J89" s="121"/>
    </row>
    <row r="90" spans="10:10" ht="15.75" customHeight="1" x14ac:dyDescent="0.3">
      <c r="J90" s="121"/>
    </row>
    <row r="91" spans="10:10" ht="15.75" customHeight="1" x14ac:dyDescent="0.3">
      <c r="J91" s="121"/>
    </row>
    <row r="92" spans="10:10" ht="15.75" customHeight="1" x14ac:dyDescent="0.3">
      <c r="J92" s="121"/>
    </row>
    <row r="93" spans="10:10" ht="15.75" customHeight="1" x14ac:dyDescent="0.3">
      <c r="J93" s="121"/>
    </row>
    <row r="94" spans="10:10" ht="15.75" customHeight="1" x14ac:dyDescent="0.3">
      <c r="J94" s="121"/>
    </row>
    <row r="95" spans="10:10" ht="15.75" customHeight="1" x14ac:dyDescent="0.3">
      <c r="J95" s="121"/>
    </row>
    <row r="96" spans="10:10" ht="15.75" customHeight="1" x14ac:dyDescent="0.3">
      <c r="J96" s="121"/>
    </row>
    <row r="97" spans="10:10" ht="15.75" customHeight="1" x14ac:dyDescent="0.3">
      <c r="J97" s="121"/>
    </row>
    <row r="98" spans="10:10" ht="15.75" customHeight="1" x14ac:dyDescent="0.3">
      <c r="J98" s="121"/>
    </row>
    <row r="99" spans="10:10" ht="15.75" customHeight="1" x14ac:dyDescent="0.3">
      <c r="J99" s="121"/>
    </row>
    <row r="100" spans="10:10" ht="15.75" customHeight="1" x14ac:dyDescent="0.3">
      <c r="J100" s="121"/>
    </row>
    <row r="101" spans="10:10" ht="15.75" customHeight="1" x14ac:dyDescent="0.3">
      <c r="J101" s="121"/>
    </row>
    <row r="102" spans="10:10" ht="15.75" customHeight="1" x14ac:dyDescent="0.3">
      <c r="J102" s="121"/>
    </row>
    <row r="103" spans="10:10" ht="15.75" customHeight="1" x14ac:dyDescent="0.3">
      <c r="J103" s="121"/>
    </row>
    <row r="104" spans="10:10" ht="15.75" customHeight="1" x14ac:dyDescent="0.3">
      <c r="J104" s="121"/>
    </row>
    <row r="105" spans="10:10" ht="15.75" customHeight="1" x14ac:dyDescent="0.3">
      <c r="J105" s="121"/>
    </row>
    <row r="106" spans="10:10" ht="15.75" customHeight="1" x14ac:dyDescent="0.3">
      <c r="J106" s="121"/>
    </row>
    <row r="107" spans="10:10" ht="15.75" customHeight="1" x14ac:dyDescent="0.3">
      <c r="J107" s="121"/>
    </row>
    <row r="108" spans="10:10" ht="15.75" customHeight="1" x14ac:dyDescent="0.3">
      <c r="J108" s="121"/>
    </row>
    <row r="109" spans="10:10" ht="15.75" customHeight="1" x14ac:dyDescent="0.3">
      <c r="J109" s="121"/>
    </row>
    <row r="110" spans="10:10" ht="15.75" customHeight="1" x14ac:dyDescent="0.3">
      <c r="J110" s="121"/>
    </row>
    <row r="111" spans="10:10" ht="15.75" customHeight="1" x14ac:dyDescent="0.3">
      <c r="J111" s="121"/>
    </row>
    <row r="112" spans="10:10" ht="15.75" customHeight="1" x14ac:dyDescent="0.3">
      <c r="J112" s="121"/>
    </row>
    <row r="113" spans="10:10" ht="15.75" customHeight="1" x14ac:dyDescent="0.3">
      <c r="J113" s="121"/>
    </row>
    <row r="114" spans="10:10" ht="15.75" customHeight="1" x14ac:dyDescent="0.3">
      <c r="J114" s="121"/>
    </row>
    <row r="115" spans="10:10" ht="15.75" customHeight="1" x14ac:dyDescent="0.3">
      <c r="J115" s="121"/>
    </row>
    <row r="116" spans="10:10" ht="15.75" customHeight="1" x14ac:dyDescent="0.3">
      <c r="J116" s="121"/>
    </row>
    <row r="117" spans="10:10" ht="15.75" customHeight="1" x14ac:dyDescent="0.3">
      <c r="J117" s="121"/>
    </row>
    <row r="118" spans="10:10" ht="15.75" customHeight="1" x14ac:dyDescent="0.3">
      <c r="J118" s="121"/>
    </row>
    <row r="119" spans="10:10" ht="15.75" customHeight="1" x14ac:dyDescent="0.3">
      <c r="J119" s="121"/>
    </row>
    <row r="120" spans="10:10" ht="15.75" customHeight="1" x14ac:dyDescent="0.3">
      <c r="J120" s="121"/>
    </row>
    <row r="121" spans="10:10" ht="15.75" customHeight="1" x14ac:dyDescent="0.3">
      <c r="J121" s="121"/>
    </row>
    <row r="122" spans="10:10" ht="15.75" customHeight="1" x14ac:dyDescent="0.3">
      <c r="J122" s="121"/>
    </row>
    <row r="123" spans="10:10" ht="15.75" customHeight="1" x14ac:dyDescent="0.3">
      <c r="J123" s="121"/>
    </row>
    <row r="124" spans="10:10" ht="15.75" customHeight="1" x14ac:dyDescent="0.3">
      <c r="J124" s="121"/>
    </row>
    <row r="125" spans="10:10" ht="15.75" customHeight="1" x14ac:dyDescent="0.3">
      <c r="J125" s="121"/>
    </row>
    <row r="126" spans="10:10" ht="15.75" customHeight="1" x14ac:dyDescent="0.3">
      <c r="J126" s="121"/>
    </row>
    <row r="127" spans="10:10" ht="15.75" customHeight="1" x14ac:dyDescent="0.3">
      <c r="J127" s="121"/>
    </row>
    <row r="128" spans="10:10" ht="15.75" customHeight="1" x14ac:dyDescent="0.3">
      <c r="J128" s="121"/>
    </row>
    <row r="129" spans="10:10" ht="15.75" customHeight="1" x14ac:dyDescent="0.3">
      <c r="J129" s="121"/>
    </row>
    <row r="130" spans="10:10" ht="15.75" customHeight="1" x14ac:dyDescent="0.3">
      <c r="J130" s="121"/>
    </row>
    <row r="131" spans="10:10" ht="15.75" customHeight="1" x14ac:dyDescent="0.3">
      <c r="J131" s="121"/>
    </row>
    <row r="132" spans="10:10" ht="15.75" customHeight="1" x14ac:dyDescent="0.3">
      <c r="J132" s="121"/>
    </row>
    <row r="133" spans="10:10" ht="15.75" customHeight="1" x14ac:dyDescent="0.3">
      <c r="J133" s="121"/>
    </row>
    <row r="134" spans="10:10" ht="15.75" customHeight="1" x14ac:dyDescent="0.3">
      <c r="J134" s="121"/>
    </row>
    <row r="135" spans="10:10" ht="15.75" customHeight="1" x14ac:dyDescent="0.3">
      <c r="J135" s="121"/>
    </row>
    <row r="136" spans="10:10" ht="15.75" customHeight="1" x14ac:dyDescent="0.3">
      <c r="J136" s="121"/>
    </row>
    <row r="137" spans="10:10" ht="15.75" customHeight="1" x14ac:dyDescent="0.3">
      <c r="J137" s="121"/>
    </row>
    <row r="138" spans="10:10" ht="15.75" customHeight="1" x14ac:dyDescent="0.3">
      <c r="J138" s="121"/>
    </row>
    <row r="139" spans="10:10" ht="15.75" customHeight="1" x14ac:dyDescent="0.3">
      <c r="J139" s="121"/>
    </row>
    <row r="140" spans="10:10" ht="15.75" customHeight="1" x14ac:dyDescent="0.3">
      <c r="J140" s="121"/>
    </row>
    <row r="141" spans="10:10" ht="15.75" customHeight="1" x14ac:dyDescent="0.3">
      <c r="J141" s="121"/>
    </row>
    <row r="142" spans="10:10" ht="15.75" customHeight="1" x14ac:dyDescent="0.3">
      <c r="J142" s="121"/>
    </row>
    <row r="143" spans="10:10" ht="15.75" customHeight="1" x14ac:dyDescent="0.3">
      <c r="J143" s="121"/>
    </row>
    <row r="144" spans="10:10" ht="15.75" customHeight="1" x14ac:dyDescent="0.3">
      <c r="J144" s="121"/>
    </row>
    <row r="145" spans="10:10" ht="15.75" customHeight="1" x14ac:dyDescent="0.3">
      <c r="J145" s="121"/>
    </row>
    <row r="146" spans="10:10" ht="15.75" customHeight="1" x14ac:dyDescent="0.3">
      <c r="J146" s="121"/>
    </row>
    <row r="147" spans="10:10" ht="15.75" customHeight="1" x14ac:dyDescent="0.3">
      <c r="J147" s="121"/>
    </row>
    <row r="148" spans="10:10" ht="15.75" customHeight="1" x14ac:dyDescent="0.3">
      <c r="J148" s="121"/>
    </row>
    <row r="149" spans="10:10" ht="15.75" customHeight="1" x14ac:dyDescent="0.3">
      <c r="J149" s="121"/>
    </row>
    <row r="150" spans="10:10" ht="15.75" customHeight="1" x14ac:dyDescent="0.3">
      <c r="J150" s="121"/>
    </row>
    <row r="151" spans="10:10" ht="15.75" customHeight="1" x14ac:dyDescent="0.3">
      <c r="J151" s="121"/>
    </row>
    <row r="152" spans="10:10" ht="15.75" customHeight="1" x14ac:dyDescent="0.3">
      <c r="J152" s="121"/>
    </row>
    <row r="153" spans="10:10" ht="15.75" customHeight="1" x14ac:dyDescent="0.3">
      <c r="J153" s="121"/>
    </row>
    <row r="154" spans="10:10" ht="15.75" customHeight="1" x14ac:dyDescent="0.3">
      <c r="J154" s="121"/>
    </row>
    <row r="155" spans="10:10" ht="15.75" customHeight="1" x14ac:dyDescent="0.3">
      <c r="J155" s="121"/>
    </row>
    <row r="156" spans="10:10" ht="15.75" customHeight="1" x14ac:dyDescent="0.3">
      <c r="J156" s="121"/>
    </row>
    <row r="157" spans="10:10" ht="15.75" customHeight="1" x14ac:dyDescent="0.3">
      <c r="J157" s="121"/>
    </row>
    <row r="158" spans="10:10" ht="15.75" customHeight="1" x14ac:dyDescent="0.3">
      <c r="J158" s="121"/>
    </row>
    <row r="159" spans="10:10" ht="15.75" customHeight="1" x14ac:dyDescent="0.3">
      <c r="J159" s="121"/>
    </row>
    <row r="160" spans="10:10" ht="15.75" customHeight="1" x14ac:dyDescent="0.3">
      <c r="J160" s="121"/>
    </row>
    <row r="161" spans="10:10" ht="15.75" customHeight="1" x14ac:dyDescent="0.3">
      <c r="J161" s="121"/>
    </row>
    <row r="162" spans="10:10" ht="15.75" customHeight="1" x14ac:dyDescent="0.3">
      <c r="J162" s="121"/>
    </row>
    <row r="163" spans="10:10" ht="15.75" customHeight="1" x14ac:dyDescent="0.3">
      <c r="J163" s="121"/>
    </row>
    <row r="164" spans="10:10" ht="15.75" customHeight="1" x14ac:dyDescent="0.3">
      <c r="J164" s="121"/>
    </row>
    <row r="165" spans="10:10" ht="15.75" customHeight="1" x14ac:dyDescent="0.3">
      <c r="J165" s="121"/>
    </row>
    <row r="166" spans="10:10" ht="15.75" customHeight="1" x14ac:dyDescent="0.3">
      <c r="J166" s="121"/>
    </row>
    <row r="167" spans="10:10" ht="15.75" customHeight="1" x14ac:dyDescent="0.3">
      <c r="J167" s="121"/>
    </row>
    <row r="168" spans="10:10" ht="15.75" customHeight="1" x14ac:dyDescent="0.3">
      <c r="J168" s="121"/>
    </row>
    <row r="169" spans="10:10" ht="15.75" customHeight="1" x14ac:dyDescent="0.3">
      <c r="J169" s="121"/>
    </row>
    <row r="170" spans="10:10" ht="15.75" customHeight="1" x14ac:dyDescent="0.3">
      <c r="J170" s="121"/>
    </row>
    <row r="171" spans="10:10" ht="15.75" customHeight="1" x14ac:dyDescent="0.3">
      <c r="J171" s="121"/>
    </row>
    <row r="172" spans="10:10" ht="15.75" customHeight="1" x14ac:dyDescent="0.3">
      <c r="J172" s="121"/>
    </row>
    <row r="173" spans="10:10" ht="15.75" customHeight="1" x14ac:dyDescent="0.3">
      <c r="J173" s="121"/>
    </row>
    <row r="174" spans="10:10" ht="15.75" customHeight="1" x14ac:dyDescent="0.3">
      <c r="J174" s="121"/>
    </row>
    <row r="175" spans="10:10" ht="15.75" customHeight="1" x14ac:dyDescent="0.3">
      <c r="J175" s="121"/>
    </row>
    <row r="176" spans="10:10" ht="15.75" customHeight="1" x14ac:dyDescent="0.3">
      <c r="J176" s="121"/>
    </row>
    <row r="177" spans="10:10" ht="15.75" customHeight="1" x14ac:dyDescent="0.3">
      <c r="J177" s="121"/>
    </row>
    <row r="178" spans="10:10" ht="15.75" customHeight="1" x14ac:dyDescent="0.3">
      <c r="J178" s="121"/>
    </row>
    <row r="179" spans="10:10" ht="15.75" customHeight="1" x14ac:dyDescent="0.3">
      <c r="J179" s="121"/>
    </row>
    <row r="180" spans="10:10" ht="15.75" customHeight="1" x14ac:dyDescent="0.3">
      <c r="J180" s="121"/>
    </row>
    <row r="181" spans="10:10" ht="15.75" customHeight="1" x14ac:dyDescent="0.3">
      <c r="J181" s="121"/>
    </row>
    <row r="182" spans="10:10" ht="15.75" customHeight="1" x14ac:dyDescent="0.3">
      <c r="J182" s="121"/>
    </row>
    <row r="183" spans="10:10" ht="15.75" customHeight="1" x14ac:dyDescent="0.3">
      <c r="J183" s="121"/>
    </row>
    <row r="184" spans="10:10" ht="15.75" customHeight="1" x14ac:dyDescent="0.3">
      <c r="J184" s="121"/>
    </row>
    <row r="185" spans="10:10" ht="15.75" customHeight="1" x14ac:dyDescent="0.3">
      <c r="J185" s="121"/>
    </row>
    <row r="186" spans="10:10" ht="15.75" customHeight="1" x14ac:dyDescent="0.3">
      <c r="J186" s="121"/>
    </row>
    <row r="187" spans="10:10" ht="15.75" customHeight="1" x14ac:dyDescent="0.3">
      <c r="J187" s="121"/>
    </row>
    <row r="188" spans="10:10" ht="15.75" customHeight="1" x14ac:dyDescent="0.3">
      <c r="J188" s="121"/>
    </row>
    <row r="189" spans="10:10" ht="15.75" customHeight="1" x14ac:dyDescent="0.3">
      <c r="J189" s="121"/>
    </row>
    <row r="190" spans="10:10" ht="15.75" customHeight="1" x14ac:dyDescent="0.3">
      <c r="J190" s="121"/>
    </row>
    <row r="191" spans="10:10" ht="15.75" customHeight="1" x14ac:dyDescent="0.3">
      <c r="J191" s="121"/>
    </row>
    <row r="192" spans="10:10" ht="15.75" customHeight="1" x14ac:dyDescent="0.3">
      <c r="J192" s="121"/>
    </row>
    <row r="193" spans="10:10" ht="15.75" customHeight="1" x14ac:dyDescent="0.3">
      <c r="J193" s="121"/>
    </row>
    <row r="194" spans="10:10" ht="15.75" customHeight="1" x14ac:dyDescent="0.3">
      <c r="J194" s="121"/>
    </row>
    <row r="195" spans="10:10" ht="15.75" customHeight="1" x14ac:dyDescent="0.3">
      <c r="J195" s="121"/>
    </row>
    <row r="196" spans="10:10" ht="15.75" customHeight="1" x14ac:dyDescent="0.3">
      <c r="J196" s="121"/>
    </row>
    <row r="197" spans="10:10" ht="15.75" customHeight="1" x14ac:dyDescent="0.3">
      <c r="J197" s="121"/>
    </row>
    <row r="198" spans="10:10" ht="15.75" customHeight="1" x14ac:dyDescent="0.3">
      <c r="J198" s="121"/>
    </row>
    <row r="199" spans="10:10" ht="15.75" customHeight="1" x14ac:dyDescent="0.3">
      <c r="J199" s="121"/>
    </row>
    <row r="200" spans="10:10" ht="15.75" customHeight="1" x14ac:dyDescent="0.3">
      <c r="J200" s="121"/>
    </row>
    <row r="201" spans="10:10" ht="15.75" customHeight="1" x14ac:dyDescent="0.3">
      <c r="J201" s="121"/>
    </row>
    <row r="202" spans="10:10" ht="15.75" customHeight="1" x14ac:dyDescent="0.3">
      <c r="J202" s="121"/>
    </row>
    <row r="203" spans="10:10" ht="15.75" customHeight="1" x14ac:dyDescent="0.3">
      <c r="J203" s="121"/>
    </row>
    <row r="204" spans="10:10" ht="15.75" customHeight="1" x14ac:dyDescent="0.3">
      <c r="J204" s="121"/>
    </row>
    <row r="205" spans="10:10" ht="15.75" customHeight="1" x14ac:dyDescent="0.3">
      <c r="J205" s="121"/>
    </row>
    <row r="206" spans="10:10" ht="15.75" customHeight="1" x14ac:dyDescent="0.3">
      <c r="J206" s="121"/>
    </row>
    <row r="207" spans="10:10" ht="15.75" customHeight="1" x14ac:dyDescent="0.3">
      <c r="J207" s="121"/>
    </row>
    <row r="208" spans="10:10" ht="15.75" customHeight="1" x14ac:dyDescent="0.3">
      <c r="J208" s="121"/>
    </row>
    <row r="209" spans="10:10" ht="15.75" customHeight="1" x14ac:dyDescent="0.3">
      <c r="J209" s="121"/>
    </row>
    <row r="210" spans="10:10" ht="15.75" customHeight="1" x14ac:dyDescent="0.3">
      <c r="J210" s="121"/>
    </row>
    <row r="211" spans="10:10" ht="15.75" customHeight="1" x14ac:dyDescent="0.3">
      <c r="J211" s="121"/>
    </row>
    <row r="212" spans="10:10" ht="15.75" customHeight="1" x14ac:dyDescent="0.3">
      <c r="J212" s="121"/>
    </row>
    <row r="213" spans="10:10" ht="15.75" customHeight="1" x14ac:dyDescent="0.3">
      <c r="J213" s="121"/>
    </row>
    <row r="214" spans="10:10" ht="15.75" customHeight="1" x14ac:dyDescent="0.3">
      <c r="J214" s="121"/>
    </row>
    <row r="215" spans="10:10" ht="15.75" customHeight="1" x14ac:dyDescent="0.3">
      <c r="J215" s="121"/>
    </row>
    <row r="216" spans="10:10" ht="15.75" customHeight="1" x14ac:dyDescent="0.3">
      <c r="J216" s="121"/>
    </row>
    <row r="217" spans="10:10" ht="15.75" customHeight="1" x14ac:dyDescent="0.3">
      <c r="J217" s="121"/>
    </row>
    <row r="218" spans="10:10" ht="15.75" customHeight="1" x14ac:dyDescent="0.3">
      <c r="J218" s="121"/>
    </row>
    <row r="219" spans="10:10" ht="15.75" customHeight="1" x14ac:dyDescent="0.3">
      <c r="J219" s="121"/>
    </row>
    <row r="220" spans="10:10" ht="15.75" customHeight="1" x14ac:dyDescent="0.3">
      <c r="J220" s="121"/>
    </row>
    <row r="221" spans="10:10" ht="15.75" customHeight="1" x14ac:dyDescent="0.3">
      <c r="J221" s="121"/>
    </row>
    <row r="222" spans="10:10" ht="15.75" customHeight="1" x14ac:dyDescent="0.3">
      <c r="J222" s="121"/>
    </row>
    <row r="223" spans="10:10" ht="15.75" customHeight="1" x14ac:dyDescent="0.3">
      <c r="J223" s="121"/>
    </row>
    <row r="224" spans="10:10" ht="15.75" customHeight="1" x14ac:dyDescent="0.3">
      <c r="J224" s="121"/>
    </row>
    <row r="225" spans="10:10" ht="15.75" customHeight="1" x14ac:dyDescent="0.3">
      <c r="J225" s="121"/>
    </row>
    <row r="226" spans="10:10" ht="15.75" customHeight="1" x14ac:dyDescent="0.3">
      <c r="J226" s="121"/>
    </row>
    <row r="227" spans="10:10" ht="15.75" customHeight="1" x14ac:dyDescent="0.3">
      <c r="J227" s="121"/>
    </row>
    <row r="228" spans="10:10" ht="15.75" customHeight="1" x14ac:dyDescent="0.3">
      <c r="J228" s="121"/>
    </row>
    <row r="229" spans="10:10" ht="15.75" customHeight="1" x14ac:dyDescent="0.3">
      <c r="J229" s="121"/>
    </row>
    <row r="230" spans="10:10" ht="15.75" customHeight="1" x14ac:dyDescent="0.3">
      <c r="J230" s="121"/>
    </row>
    <row r="231" spans="10:10" ht="15.75" customHeight="1" x14ac:dyDescent="0.3">
      <c r="J231" s="121"/>
    </row>
    <row r="232" spans="10:10" ht="15.75" customHeight="1" x14ac:dyDescent="0.3">
      <c r="J232" s="121"/>
    </row>
    <row r="233" spans="10:10" ht="15.75" customHeight="1" x14ac:dyDescent="0.3">
      <c r="J233" s="121"/>
    </row>
    <row r="234" spans="10:10" ht="15.75" customHeight="1" x14ac:dyDescent="0.3">
      <c r="J234" s="121"/>
    </row>
    <row r="235" spans="10:10" ht="15.75" customHeight="1" x14ac:dyDescent="0.3">
      <c r="J235" s="121"/>
    </row>
    <row r="236" spans="10:10" ht="15.75" customHeight="1" x14ac:dyDescent="0.3">
      <c r="J236" s="121"/>
    </row>
    <row r="237" spans="10:10" ht="15.75" customHeight="1" x14ac:dyDescent="0.3">
      <c r="J237" s="121"/>
    </row>
    <row r="238" spans="10:10" ht="15.75" customHeight="1" x14ac:dyDescent="0.3">
      <c r="J238" s="121"/>
    </row>
    <row r="239" spans="10:10" ht="15.75" customHeight="1" x14ac:dyDescent="0.3">
      <c r="J239" s="121"/>
    </row>
    <row r="240" spans="10:10" ht="15.75" customHeight="1" x14ac:dyDescent="0.3">
      <c r="J240" s="121"/>
    </row>
    <row r="241" spans="10:10" ht="15.75" customHeight="1" x14ac:dyDescent="0.3">
      <c r="J241" s="121"/>
    </row>
    <row r="242" spans="10:10" ht="15.75" customHeight="1" x14ac:dyDescent="0.3">
      <c r="J242" s="121"/>
    </row>
    <row r="243" spans="10:10" ht="15.75" customHeight="1" x14ac:dyDescent="0.3">
      <c r="J243" s="121"/>
    </row>
    <row r="244" spans="10:10" ht="15.75" customHeight="1" x14ac:dyDescent="0.3">
      <c r="J244" s="121"/>
    </row>
    <row r="245" spans="10:10" ht="15.75" customHeight="1" x14ac:dyDescent="0.3">
      <c r="J245" s="121"/>
    </row>
    <row r="246" spans="10:10" ht="15.75" customHeight="1" x14ac:dyDescent="0.3">
      <c r="J246" s="121"/>
    </row>
    <row r="247" spans="10:10" ht="15.75" customHeight="1" x14ac:dyDescent="0.3">
      <c r="J247" s="121"/>
    </row>
    <row r="248" spans="10:10" ht="15.75" customHeight="1" x14ac:dyDescent="0.3">
      <c r="J248" s="121"/>
    </row>
    <row r="249" spans="10:10" ht="15.75" customHeight="1" x14ac:dyDescent="0.3">
      <c r="J249" s="121"/>
    </row>
    <row r="250" spans="10:10" ht="15.75" customHeight="1" x14ac:dyDescent="0.3">
      <c r="J250" s="121"/>
    </row>
    <row r="251" spans="10:10" ht="15.75" customHeight="1" x14ac:dyDescent="0.3">
      <c r="J251" s="121"/>
    </row>
    <row r="252" spans="10:10" ht="15.75" customHeight="1" x14ac:dyDescent="0.3">
      <c r="J252" s="121"/>
    </row>
    <row r="253" spans="10:10" ht="15.75" customHeight="1" x14ac:dyDescent="0.3">
      <c r="J253" s="121"/>
    </row>
    <row r="254" spans="10:10" ht="15.75" customHeight="1" x14ac:dyDescent="0.3">
      <c r="J254" s="121"/>
    </row>
    <row r="255" spans="10:10" ht="15.75" customHeight="1" x14ac:dyDescent="0.3">
      <c r="J255" s="121"/>
    </row>
    <row r="256" spans="10:10" ht="15.75" customHeight="1" x14ac:dyDescent="0.3">
      <c r="J256" s="121"/>
    </row>
    <row r="257" spans="10:10" ht="15.75" customHeight="1" x14ac:dyDescent="0.3">
      <c r="J257" s="121"/>
    </row>
    <row r="258" spans="10:10" ht="15.75" customHeight="1" x14ac:dyDescent="0.3">
      <c r="J258" s="121"/>
    </row>
    <row r="259" spans="10:10" ht="15.75" customHeight="1" x14ac:dyDescent="0.3">
      <c r="J259" s="121"/>
    </row>
    <row r="260" spans="10:10" ht="15.75" customHeight="1" x14ac:dyDescent="0.3">
      <c r="J260" s="121"/>
    </row>
    <row r="261" spans="10:10" ht="15.75" customHeight="1" x14ac:dyDescent="0.3">
      <c r="J261" s="121"/>
    </row>
    <row r="262" spans="10:10" ht="15.75" customHeight="1" x14ac:dyDescent="0.3">
      <c r="J262" s="121"/>
    </row>
    <row r="263" spans="10:10" ht="15.75" customHeight="1" x14ac:dyDescent="0.3">
      <c r="J263" s="121"/>
    </row>
    <row r="264" spans="10:10" ht="15.75" customHeight="1" x14ac:dyDescent="0.3">
      <c r="J264" s="121"/>
    </row>
    <row r="265" spans="10:10" ht="15.75" customHeight="1" x14ac:dyDescent="0.3">
      <c r="J265" s="121"/>
    </row>
    <row r="266" spans="10:10" ht="15.75" customHeight="1" x14ac:dyDescent="0.3">
      <c r="J266" s="121"/>
    </row>
    <row r="267" spans="10:10" ht="15.75" customHeight="1" x14ac:dyDescent="0.3">
      <c r="J267" s="121"/>
    </row>
    <row r="268" spans="10:10" ht="15.75" customHeight="1" x14ac:dyDescent="0.3">
      <c r="J268" s="121"/>
    </row>
    <row r="269" spans="10:10" ht="15.75" customHeight="1" x14ac:dyDescent="0.3">
      <c r="J269" s="121"/>
    </row>
    <row r="270" spans="10:10" ht="15.75" customHeight="1" x14ac:dyDescent="0.3">
      <c r="J270" s="121"/>
    </row>
    <row r="271" spans="10:10" ht="15.75" customHeight="1" x14ac:dyDescent="0.3">
      <c r="J271" s="121"/>
    </row>
    <row r="272" spans="10:10" ht="15.75" customHeight="1" x14ac:dyDescent="0.3">
      <c r="J272" s="121"/>
    </row>
    <row r="273" spans="10:10" ht="15.75" customHeight="1" x14ac:dyDescent="0.3">
      <c r="J273" s="121"/>
    </row>
    <row r="274" spans="10:10" ht="15.75" customHeight="1" x14ac:dyDescent="0.3">
      <c r="J274" s="121"/>
    </row>
    <row r="275" spans="10:10" ht="15.75" customHeight="1" x14ac:dyDescent="0.3">
      <c r="J275" s="121"/>
    </row>
    <row r="276" spans="10:10" ht="15.75" customHeight="1" x14ac:dyDescent="0.3">
      <c r="J276" s="121"/>
    </row>
    <row r="277" spans="10:10" ht="15.75" customHeight="1" x14ac:dyDescent="0.3">
      <c r="J277" s="121"/>
    </row>
    <row r="278" spans="10:10" ht="15.75" customHeight="1" x14ac:dyDescent="0.3">
      <c r="J278" s="121"/>
    </row>
    <row r="279" spans="10:10" ht="15.75" customHeight="1" x14ac:dyDescent="0.3">
      <c r="J279" s="121"/>
    </row>
    <row r="280" spans="10:10" ht="15.75" customHeight="1" x14ac:dyDescent="0.3">
      <c r="J280" s="121"/>
    </row>
    <row r="281" spans="10:10" ht="15.75" customHeight="1" x14ac:dyDescent="0.3">
      <c r="J281" s="121"/>
    </row>
    <row r="282" spans="10:10" ht="15.75" customHeight="1" x14ac:dyDescent="0.3">
      <c r="J282" s="121"/>
    </row>
    <row r="283" spans="10:10" ht="15.75" customHeight="1" x14ac:dyDescent="0.3">
      <c r="J283" s="121"/>
    </row>
    <row r="284" spans="10:10" ht="15.75" customHeight="1" x14ac:dyDescent="0.3">
      <c r="J284" s="121"/>
    </row>
    <row r="285" spans="10:10" ht="15.75" customHeight="1" x14ac:dyDescent="0.3">
      <c r="J285" s="121"/>
    </row>
    <row r="286" spans="10:10" ht="15.75" customHeight="1" x14ac:dyDescent="0.3">
      <c r="J286" s="121"/>
    </row>
    <row r="287" spans="10:10" ht="15.75" customHeight="1" x14ac:dyDescent="0.3">
      <c r="J287" s="121"/>
    </row>
    <row r="288" spans="10:10" ht="15.75" customHeight="1" x14ac:dyDescent="0.3">
      <c r="J288" s="121"/>
    </row>
    <row r="289" spans="10:10" ht="15.75" customHeight="1" x14ac:dyDescent="0.3">
      <c r="J289" s="121"/>
    </row>
    <row r="290" spans="10:10" ht="15.75" customHeight="1" x14ac:dyDescent="0.3">
      <c r="J290" s="121"/>
    </row>
    <row r="291" spans="10:10" ht="15.75" customHeight="1" x14ac:dyDescent="0.3">
      <c r="J291" s="121"/>
    </row>
    <row r="292" spans="10:10" ht="15.75" customHeight="1" x14ac:dyDescent="0.3">
      <c r="J292" s="121"/>
    </row>
    <row r="293" spans="10:10" ht="15.75" customHeight="1" x14ac:dyDescent="0.3">
      <c r="J293" s="121"/>
    </row>
    <row r="294" spans="10:10" ht="15.75" customHeight="1" x14ac:dyDescent="0.3">
      <c r="J294" s="121"/>
    </row>
    <row r="295" spans="10:10" ht="15.75" customHeight="1" x14ac:dyDescent="0.3">
      <c r="J295" s="121"/>
    </row>
    <row r="296" spans="10:10" ht="15.75" customHeight="1" x14ac:dyDescent="0.3">
      <c r="J296" s="121"/>
    </row>
    <row r="297" spans="10:10" ht="15.75" customHeight="1" x14ac:dyDescent="0.3">
      <c r="J297" s="121"/>
    </row>
    <row r="298" spans="10:10" ht="15.75" customHeight="1" x14ac:dyDescent="0.3">
      <c r="J298" s="121"/>
    </row>
    <row r="299" spans="10:10" ht="15.75" customHeight="1" x14ac:dyDescent="0.3">
      <c r="J299" s="121"/>
    </row>
    <row r="300" spans="10:10" ht="15.75" customHeight="1" x14ac:dyDescent="0.3">
      <c r="J300" s="121"/>
    </row>
    <row r="301" spans="10:10" ht="15.75" customHeight="1" x14ac:dyDescent="0.3">
      <c r="J301" s="121"/>
    </row>
    <row r="302" spans="10:10" ht="15.75" customHeight="1" x14ac:dyDescent="0.3">
      <c r="J302" s="121"/>
    </row>
    <row r="303" spans="10:10" ht="15.75" customHeight="1" x14ac:dyDescent="0.3">
      <c r="J303" s="121"/>
    </row>
    <row r="304" spans="10:10" ht="15.75" customHeight="1" x14ac:dyDescent="0.3">
      <c r="J304" s="121"/>
    </row>
    <row r="305" spans="10:10" ht="15.75" customHeight="1" x14ac:dyDescent="0.3">
      <c r="J305" s="121"/>
    </row>
    <row r="306" spans="10:10" ht="15.75" customHeight="1" x14ac:dyDescent="0.3">
      <c r="J306" s="121"/>
    </row>
    <row r="307" spans="10:10" ht="15.75" customHeight="1" x14ac:dyDescent="0.3">
      <c r="J307" s="121"/>
    </row>
    <row r="308" spans="10:10" ht="15.75" customHeight="1" x14ac:dyDescent="0.3">
      <c r="J308" s="121"/>
    </row>
    <row r="309" spans="10:10" ht="15.75" customHeight="1" x14ac:dyDescent="0.3">
      <c r="J309" s="121"/>
    </row>
    <row r="310" spans="10:10" ht="15.75" customHeight="1" x14ac:dyDescent="0.3">
      <c r="J310" s="121"/>
    </row>
    <row r="311" spans="10:10" ht="15.75" customHeight="1" x14ac:dyDescent="0.3">
      <c r="J311" s="121"/>
    </row>
    <row r="312" spans="10:10" ht="15.75" customHeight="1" x14ac:dyDescent="0.3">
      <c r="J312" s="121"/>
    </row>
    <row r="313" spans="10:10" ht="15.75" customHeight="1" x14ac:dyDescent="0.3">
      <c r="J313" s="121"/>
    </row>
    <row r="314" spans="10:10" ht="15.75" customHeight="1" x14ac:dyDescent="0.3">
      <c r="J314" s="121"/>
    </row>
    <row r="315" spans="10:10" ht="15.75" customHeight="1" x14ac:dyDescent="0.3">
      <c r="J315" s="121"/>
    </row>
    <row r="316" spans="10:10" ht="15.75" customHeight="1" x14ac:dyDescent="0.3">
      <c r="J316" s="121"/>
    </row>
    <row r="317" spans="10:10" ht="15.75" customHeight="1" x14ac:dyDescent="0.3">
      <c r="J317" s="121"/>
    </row>
    <row r="318" spans="10:10" ht="15.75" customHeight="1" x14ac:dyDescent="0.3">
      <c r="J318" s="121"/>
    </row>
    <row r="319" spans="10:10" ht="15.75" customHeight="1" x14ac:dyDescent="0.3">
      <c r="J319" s="121"/>
    </row>
    <row r="320" spans="10:10" ht="15.75" customHeight="1" x14ac:dyDescent="0.3">
      <c r="J320" s="121"/>
    </row>
    <row r="321" spans="10:10" ht="15.75" customHeight="1" x14ac:dyDescent="0.3">
      <c r="J321" s="121"/>
    </row>
    <row r="322" spans="10:10" ht="15.75" customHeight="1" x14ac:dyDescent="0.3">
      <c r="J322" s="121"/>
    </row>
    <row r="323" spans="10:10" ht="15.75" customHeight="1" x14ac:dyDescent="0.3">
      <c r="J323" s="121"/>
    </row>
    <row r="324" spans="10:10" ht="15.75" customHeight="1" x14ac:dyDescent="0.3">
      <c r="J324" s="121"/>
    </row>
    <row r="325" spans="10:10" ht="15.75" customHeight="1" x14ac:dyDescent="0.3">
      <c r="J325" s="121"/>
    </row>
    <row r="326" spans="10:10" ht="15.75" customHeight="1" x14ac:dyDescent="0.3">
      <c r="J326" s="121"/>
    </row>
    <row r="327" spans="10:10" ht="15.75" customHeight="1" x14ac:dyDescent="0.3">
      <c r="J327" s="121"/>
    </row>
    <row r="328" spans="10:10" ht="15.75" customHeight="1" x14ac:dyDescent="0.3">
      <c r="J328" s="121"/>
    </row>
    <row r="329" spans="10:10" ht="15.75" customHeight="1" x14ac:dyDescent="0.3">
      <c r="J329" s="121"/>
    </row>
    <row r="330" spans="10:10" ht="15.75" customHeight="1" x14ac:dyDescent="0.3">
      <c r="J330" s="121"/>
    </row>
    <row r="331" spans="10:10" ht="15.75" customHeight="1" x14ac:dyDescent="0.3">
      <c r="J331" s="121"/>
    </row>
    <row r="332" spans="10:10" ht="15.75" customHeight="1" x14ac:dyDescent="0.3">
      <c r="J332" s="121"/>
    </row>
    <row r="333" spans="10:10" ht="15.75" customHeight="1" x14ac:dyDescent="0.3">
      <c r="J333" s="121"/>
    </row>
    <row r="334" spans="10:10" ht="15.75" customHeight="1" x14ac:dyDescent="0.3">
      <c r="J334" s="121"/>
    </row>
    <row r="335" spans="10:10" ht="15.75" customHeight="1" x14ac:dyDescent="0.3">
      <c r="J335" s="121"/>
    </row>
    <row r="336" spans="10:10" ht="15.75" customHeight="1" x14ac:dyDescent="0.3">
      <c r="J336" s="121"/>
    </row>
    <row r="337" spans="10:10" ht="15.75" customHeight="1" x14ac:dyDescent="0.3">
      <c r="J337" s="121"/>
    </row>
    <row r="338" spans="10:10" ht="15.75" customHeight="1" x14ac:dyDescent="0.3">
      <c r="J338" s="121"/>
    </row>
    <row r="339" spans="10:10" ht="15.75" customHeight="1" x14ac:dyDescent="0.3">
      <c r="J339" s="121"/>
    </row>
    <row r="340" spans="10:10" ht="15.75" customHeight="1" x14ac:dyDescent="0.3">
      <c r="J340" s="121"/>
    </row>
    <row r="341" spans="10:10" ht="15.75" customHeight="1" x14ac:dyDescent="0.3">
      <c r="J341" s="121"/>
    </row>
    <row r="342" spans="10:10" ht="15.75" customHeight="1" x14ac:dyDescent="0.3">
      <c r="J342" s="121"/>
    </row>
    <row r="343" spans="10:10" ht="15.75" customHeight="1" x14ac:dyDescent="0.3">
      <c r="J343" s="121"/>
    </row>
    <row r="344" spans="10:10" ht="15.75" customHeight="1" x14ac:dyDescent="0.3">
      <c r="J344" s="121"/>
    </row>
    <row r="345" spans="10:10" ht="15.75" customHeight="1" x14ac:dyDescent="0.3">
      <c r="J345" s="121"/>
    </row>
    <row r="346" spans="10:10" ht="15.75" customHeight="1" x14ac:dyDescent="0.3">
      <c r="J346" s="121"/>
    </row>
    <row r="347" spans="10:10" ht="15.75" customHeight="1" x14ac:dyDescent="0.3">
      <c r="J347" s="121"/>
    </row>
    <row r="348" spans="10:10" ht="15.75" customHeight="1" x14ac:dyDescent="0.3">
      <c r="J348" s="121"/>
    </row>
    <row r="349" spans="10:10" ht="15.75" customHeight="1" x14ac:dyDescent="0.3">
      <c r="J349" s="121"/>
    </row>
    <row r="350" spans="10:10" ht="15.75" customHeight="1" x14ac:dyDescent="0.3">
      <c r="J350" s="121"/>
    </row>
    <row r="351" spans="10:10" ht="15.75" customHeight="1" x14ac:dyDescent="0.3">
      <c r="J351" s="121"/>
    </row>
    <row r="352" spans="10:10" ht="15.75" customHeight="1" x14ac:dyDescent="0.3">
      <c r="J352" s="121"/>
    </row>
    <row r="353" spans="10:10" ht="15.75" customHeight="1" x14ac:dyDescent="0.3">
      <c r="J353" s="121"/>
    </row>
    <row r="354" spans="10:10" ht="15.75" customHeight="1" x14ac:dyDescent="0.3">
      <c r="J354" s="121"/>
    </row>
    <row r="355" spans="10:10" ht="15.75" customHeight="1" x14ac:dyDescent="0.3">
      <c r="J355" s="121"/>
    </row>
    <row r="356" spans="10:10" ht="15.75" customHeight="1" x14ac:dyDescent="0.3">
      <c r="J356" s="121"/>
    </row>
    <row r="357" spans="10:10" ht="15.75" customHeight="1" x14ac:dyDescent="0.3">
      <c r="J357" s="121"/>
    </row>
    <row r="358" spans="10:10" ht="15.75" customHeight="1" x14ac:dyDescent="0.3">
      <c r="J358" s="121"/>
    </row>
    <row r="359" spans="10:10" ht="15.75" customHeight="1" x14ac:dyDescent="0.3">
      <c r="J359" s="121"/>
    </row>
    <row r="360" spans="10:10" ht="15.75" customHeight="1" x14ac:dyDescent="0.3">
      <c r="J360" s="121"/>
    </row>
    <row r="361" spans="10:10" ht="15.75" customHeight="1" x14ac:dyDescent="0.3">
      <c r="J361" s="121"/>
    </row>
    <row r="362" spans="10:10" ht="15.75" customHeight="1" x14ac:dyDescent="0.3">
      <c r="J362" s="121"/>
    </row>
    <row r="363" spans="10:10" ht="15.75" customHeight="1" x14ac:dyDescent="0.3">
      <c r="J363" s="121"/>
    </row>
    <row r="364" spans="10:10" ht="15.75" customHeight="1" x14ac:dyDescent="0.3">
      <c r="J364" s="121"/>
    </row>
    <row r="365" spans="10:10" ht="15.75" customHeight="1" x14ac:dyDescent="0.3">
      <c r="J365" s="121"/>
    </row>
    <row r="366" spans="10:10" ht="15.75" customHeight="1" x14ac:dyDescent="0.3">
      <c r="J366" s="121"/>
    </row>
    <row r="367" spans="10:10" ht="15.75" customHeight="1" x14ac:dyDescent="0.3">
      <c r="J367" s="121"/>
    </row>
    <row r="368" spans="10:10" ht="15.75" customHeight="1" x14ac:dyDescent="0.3">
      <c r="J368" s="121"/>
    </row>
    <row r="369" spans="10:10" ht="15.75" customHeight="1" x14ac:dyDescent="0.3">
      <c r="J369" s="121"/>
    </row>
    <row r="370" spans="10:10" ht="15.75" customHeight="1" x14ac:dyDescent="0.3">
      <c r="J370" s="121"/>
    </row>
    <row r="371" spans="10:10" ht="15.75" customHeight="1" x14ac:dyDescent="0.3">
      <c r="J371" s="121"/>
    </row>
    <row r="372" spans="10:10" ht="15.75" customHeight="1" x14ac:dyDescent="0.3">
      <c r="J372" s="121"/>
    </row>
    <row r="373" spans="10:10" ht="15.75" customHeight="1" x14ac:dyDescent="0.3">
      <c r="J373" s="121"/>
    </row>
    <row r="374" spans="10:10" ht="15.75" customHeight="1" x14ac:dyDescent="0.3">
      <c r="J374" s="121"/>
    </row>
    <row r="375" spans="10:10" ht="15.75" customHeight="1" x14ac:dyDescent="0.3">
      <c r="J375" s="121"/>
    </row>
    <row r="376" spans="10:10" ht="15.75" customHeight="1" x14ac:dyDescent="0.3">
      <c r="J376" s="121"/>
    </row>
    <row r="377" spans="10:10" ht="15.75" customHeight="1" x14ac:dyDescent="0.3">
      <c r="J377" s="121"/>
    </row>
    <row r="378" spans="10:10" ht="15.75" customHeight="1" x14ac:dyDescent="0.3">
      <c r="J378" s="121"/>
    </row>
    <row r="379" spans="10:10" ht="15.75" customHeight="1" x14ac:dyDescent="0.3">
      <c r="J379" s="121"/>
    </row>
    <row r="380" spans="10:10" ht="15.75" customHeight="1" x14ac:dyDescent="0.3">
      <c r="J380" s="121"/>
    </row>
    <row r="381" spans="10:10" ht="15.75" customHeight="1" x14ac:dyDescent="0.3">
      <c r="J381" s="121"/>
    </row>
    <row r="382" spans="10:10" ht="15.75" customHeight="1" x14ac:dyDescent="0.3">
      <c r="J382" s="121"/>
    </row>
    <row r="383" spans="10:10" ht="15.75" customHeight="1" x14ac:dyDescent="0.3">
      <c r="J383" s="121"/>
    </row>
    <row r="384" spans="10:10" ht="15.75" customHeight="1" x14ac:dyDescent="0.3">
      <c r="J384" s="121"/>
    </row>
    <row r="385" spans="10:10" ht="15.75" customHeight="1" x14ac:dyDescent="0.3">
      <c r="J385" s="121"/>
    </row>
    <row r="386" spans="10:10" ht="15.75" customHeight="1" x14ac:dyDescent="0.3">
      <c r="J386" s="121"/>
    </row>
    <row r="387" spans="10:10" ht="15.75" customHeight="1" x14ac:dyDescent="0.3">
      <c r="J387" s="121"/>
    </row>
    <row r="388" spans="10:10" ht="15.75" customHeight="1" x14ac:dyDescent="0.3">
      <c r="J388" s="121"/>
    </row>
    <row r="389" spans="10:10" ht="15.75" customHeight="1" x14ac:dyDescent="0.3">
      <c r="J389" s="121"/>
    </row>
    <row r="390" spans="10:10" ht="15.75" customHeight="1" x14ac:dyDescent="0.3">
      <c r="J390" s="121"/>
    </row>
    <row r="391" spans="10:10" ht="15.75" customHeight="1" x14ac:dyDescent="0.3">
      <c r="J391" s="121"/>
    </row>
    <row r="392" spans="10:10" ht="15.75" customHeight="1" x14ac:dyDescent="0.3">
      <c r="J392" s="121"/>
    </row>
    <row r="393" spans="10:10" ht="15.75" customHeight="1" x14ac:dyDescent="0.3">
      <c r="J393" s="121"/>
    </row>
    <row r="394" spans="10:10" ht="15.75" customHeight="1" x14ac:dyDescent="0.3">
      <c r="J394" s="121"/>
    </row>
    <row r="395" spans="10:10" ht="15.75" customHeight="1" x14ac:dyDescent="0.3">
      <c r="J395" s="121"/>
    </row>
    <row r="396" spans="10:10" ht="15.75" customHeight="1" x14ac:dyDescent="0.3">
      <c r="J396" s="121"/>
    </row>
    <row r="397" spans="10:10" ht="15.75" customHeight="1" x14ac:dyDescent="0.3">
      <c r="J397" s="121"/>
    </row>
    <row r="398" spans="10:10" ht="15.75" customHeight="1" x14ac:dyDescent="0.3">
      <c r="J398" s="121"/>
    </row>
    <row r="399" spans="10:10" ht="15.75" customHeight="1" x14ac:dyDescent="0.3">
      <c r="J399" s="121"/>
    </row>
    <row r="400" spans="10:10" ht="15.75" customHeight="1" x14ac:dyDescent="0.3">
      <c r="J400" s="121"/>
    </row>
    <row r="401" spans="10:10" ht="15.75" customHeight="1" x14ac:dyDescent="0.3">
      <c r="J401" s="121"/>
    </row>
    <row r="402" spans="10:10" ht="15.75" customHeight="1" x14ac:dyDescent="0.3">
      <c r="J402" s="121"/>
    </row>
    <row r="403" spans="10:10" ht="15.75" customHeight="1" x14ac:dyDescent="0.3">
      <c r="J403" s="121"/>
    </row>
    <row r="404" spans="10:10" ht="15.75" customHeight="1" x14ac:dyDescent="0.3">
      <c r="J404" s="121"/>
    </row>
    <row r="405" spans="10:10" ht="15.75" customHeight="1" x14ac:dyDescent="0.3">
      <c r="J405" s="121"/>
    </row>
    <row r="406" spans="10:10" ht="15.75" customHeight="1" x14ac:dyDescent="0.3">
      <c r="J406" s="121"/>
    </row>
    <row r="407" spans="10:10" ht="15.75" customHeight="1" x14ac:dyDescent="0.3">
      <c r="J407" s="121"/>
    </row>
    <row r="408" spans="10:10" ht="15.75" customHeight="1" x14ac:dyDescent="0.3">
      <c r="J408" s="121"/>
    </row>
    <row r="409" spans="10:10" ht="15.75" customHeight="1" x14ac:dyDescent="0.3">
      <c r="J409" s="121"/>
    </row>
    <row r="410" spans="10:10" ht="15.75" customHeight="1" x14ac:dyDescent="0.3">
      <c r="J410" s="121"/>
    </row>
    <row r="411" spans="10:10" ht="15.75" customHeight="1" x14ac:dyDescent="0.3">
      <c r="J411" s="121"/>
    </row>
    <row r="412" spans="10:10" ht="15.75" customHeight="1" x14ac:dyDescent="0.3">
      <c r="J412" s="121"/>
    </row>
    <row r="413" spans="10:10" ht="15.75" customHeight="1" x14ac:dyDescent="0.3">
      <c r="J413" s="121"/>
    </row>
    <row r="414" spans="10:10" ht="15.75" customHeight="1" x14ac:dyDescent="0.3">
      <c r="J414" s="121"/>
    </row>
    <row r="415" spans="10:10" ht="15.75" customHeight="1" x14ac:dyDescent="0.3">
      <c r="J415" s="121"/>
    </row>
    <row r="416" spans="10:10" ht="15.75" customHeight="1" x14ac:dyDescent="0.3">
      <c r="J416" s="121"/>
    </row>
    <row r="417" spans="10:10" ht="15.75" customHeight="1" x14ac:dyDescent="0.3">
      <c r="J417" s="121"/>
    </row>
    <row r="418" spans="10:10" ht="15.75" customHeight="1" x14ac:dyDescent="0.3">
      <c r="J418" s="121"/>
    </row>
    <row r="419" spans="10:10" ht="15.75" customHeight="1" x14ac:dyDescent="0.3">
      <c r="J419" s="121"/>
    </row>
    <row r="420" spans="10:10" ht="15.75" customHeight="1" x14ac:dyDescent="0.3">
      <c r="J420" s="121"/>
    </row>
    <row r="421" spans="10:10" ht="15.75" customHeight="1" x14ac:dyDescent="0.3">
      <c r="J421" s="121"/>
    </row>
    <row r="422" spans="10:10" ht="15.75" customHeight="1" x14ac:dyDescent="0.3">
      <c r="J422" s="121"/>
    </row>
    <row r="423" spans="10:10" ht="15.75" customHeight="1" x14ac:dyDescent="0.3">
      <c r="J423" s="121"/>
    </row>
    <row r="424" spans="10:10" ht="15.75" customHeight="1" x14ac:dyDescent="0.3">
      <c r="J424" s="121"/>
    </row>
    <row r="425" spans="10:10" ht="15.75" customHeight="1" x14ac:dyDescent="0.3">
      <c r="J425" s="121"/>
    </row>
    <row r="426" spans="10:10" ht="15.75" customHeight="1" x14ac:dyDescent="0.3">
      <c r="J426" s="121"/>
    </row>
    <row r="427" spans="10:10" ht="15.75" customHeight="1" x14ac:dyDescent="0.3">
      <c r="J427" s="121"/>
    </row>
    <row r="428" spans="10:10" ht="15.75" customHeight="1" x14ac:dyDescent="0.3">
      <c r="J428" s="121"/>
    </row>
    <row r="429" spans="10:10" ht="15.75" customHeight="1" x14ac:dyDescent="0.3">
      <c r="J429" s="121"/>
    </row>
    <row r="430" spans="10:10" ht="15.75" customHeight="1" x14ac:dyDescent="0.3">
      <c r="J430" s="121"/>
    </row>
    <row r="431" spans="10:10" ht="15.75" customHeight="1" x14ac:dyDescent="0.3">
      <c r="J431" s="121"/>
    </row>
    <row r="432" spans="10:10" ht="15.75" customHeight="1" x14ac:dyDescent="0.3">
      <c r="J432" s="121"/>
    </row>
    <row r="433" spans="10:10" ht="15.75" customHeight="1" x14ac:dyDescent="0.3">
      <c r="J433" s="121"/>
    </row>
    <row r="434" spans="10:10" ht="15.75" customHeight="1" x14ac:dyDescent="0.3">
      <c r="J434" s="121"/>
    </row>
    <row r="435" spans="10:10" ht="15.75" customHeight="1" x14ac:dyDescent="0.3">
      <c r="J435" s="121"/>
    </row>
    <row r="436" spans="10:10" ht="15.75" customHeight="1" x14ac:dyDescent="0.3">
      <c r="J436" s="121"/>
    </row>
    <row r="437" spans="10:10" ht="15.75" customHeight="1" x14ac:dyDescent="0.3">
      <c r="J437" s="121"/>
    </row>
    <row r="438" spans="10:10" ht="15.75" customHeight="1" x14ac:dyDescent="0.3">
      <c r="J438" s="121"/>
    </row>
    <row r="439" spans="10:10" ht="15.75" customHeight="1" x14ac:dyDescent="0.3">
      <c r="J439" s="121"/>
    </row>
    <row r="440" spans="10:10" ht="15.75" customHeight="1" x14ac:dyDescent="0.3">
      <c r="J440" s="121"/>
    </row>
    <row r="441" spans="10:10" ht="15.75" customHeight="1" x14ac:dyDescent="0.3">
      <c r="J441" s="121"/>
    </row>
    <row r="442" spans="10:10" ht="15.75" customHeight="1" x14ac:dyDescent="0.3">
      <c r="J442" s="121"/>
    </row>
    <row r="443" spans="10:10" ht="15.75" customHeight="1" x14ac:dyDescent="0.3">
      <c r="J443" s="121"/>
    </row>
    <row r="444" spans="10:10" ht="15.75" customHeight="1" x14ac:dyDescent="0.3">
      <c r="J444" s="121"/>
    </row>
    <row r="445" spans="10:10" ht="15.75" customHeight="1" x14ac:dyDescent="0.3">
      <c r="J445" s="121"/>
    </row>
    <row r="446" spans="10:10" ht="15.75" customHeight="1" x14ac:dyDescent="0.3">
      <c r="J446" s="121"/>
    </row>
    <row r="447" spans="10:10" ht="15.75" customHeight="1" x14ac:dyDescent="0.3">
      <c r="J447" s="121"/>
    </row>
    <row r="448" spans="10:10" ht="15.75" customHeight="1" x14ac:dyDescent="0.3">
      <c r="J448" s="121"/>
    </row>
    <row r="449" spans="10:10" ht="15.75" customHeight="1" x14ac:dyDescent="0.3">
      <c r="J449" s="121"/>
    </row>
    <row r="450" spans="10:10" ht="15.75" customHeight="1" x14ac:dyDescent="0.3">
      <c r="J450" s="121"/>
    </row>
    <row r="451" spans="10:10" ht="15.75" customHeight="1" x14ac:dyDescent="0.3">
      <c r="J451" s="121"/>
    </row>
    <row r="452" spans="10:10" ht="15.75" customHeight="1" x14ac:dyDescent="0.3">
      <c r="J452" s="121"/>
    </row>
    <row r="453" spans="10:10" ht="15.75" customHeight="1" x14ac:dyDescent="0.3">
      <c r="J453" s="121"/>
    </row>
    <row r="454" spans="10:10" ht="15.75" customHeight="1" x14ac:dyDescent="0.3">
      <c r="J454" s="121"/>
    </row>
    <row r="455" spans="10:10" ht="15.75" customHeight="1" x14ac:dyDescent="0.3">
      <c r="J455" s="121"/>
    </row>
    <row r="456" spans="10:10" ht="15.75" customHeight="1" x14ac:dyDescent="0.3">
      <c r="J456" s="121"/>
    </row>
    <row r="457" spans="10:10" ht="15.75" customHeight="1" x14ac:dyDescent="0.3">
      <c r="J457" s="121"/>
    </row>
    <row r="458" spans="10:10" ht="15.75" customHeight="1" x14ac:dyDescent="0.3">
      <c r="J458" s="121"/>
    </row>
    <row r="459" spans="10:10" ht="15.75" customHeight="1" x14ac:dyDescent="0.3">
      <c r="J459" s="121"/>
    </row>
    <row r="460" spans="10:10" ht="15.75" customHeight="1" x14ac:dyDescent="0.3">
      <c r="J460" s="121"/>
    </row>
    <row r="461" spans="10:10" ht="15.75" customHeight="1" x14ac:dyDescent="0.3">
      <c r="J461" s="121"/>
    </row>
    <row r="462" spans="10:10" ht="15.75" customHeight="1" x14ac:dyDescent="0.3">
      <c r="J462" s="121"/>
    </row>
    <row r="463" spans="10:10" ht="15.75" customHeight="1" x14ac:dyDescent="0.3">
      <c r="J463" s="121"/>
    </row>
    <row r="464" spans="10:10" ht="15.75" customHeight="1" x14ac:dyDescent="0.3">
      <c r="J464" s="121"/>
    </row>
    <row r="465" spans="10:10" ht="15.75" customHeight="1" x14ac:dyDescent="0.3">
      <c r="J465" s="121"/>
    </row>
    <row r="466" spans="10:10" ht="15.75" customHeight="1" x14ac:dyDescent="0.3">
      <c r="J466" s="121"/>
    </row>
    <row r="467" spans="10:10" ht="15.75" customHeight="1" x14ac:dyDescent="0.3">
      <c r="J467" s="121"/>
    </row>
    <row r="468" spans="10:10" ht="15.75" customHeight="1" x14ac:dyDescent="0.3">
      <c r="J468" s="121"/>
    </row>
    <row r="469" spans="10:10" ht="15.75" customHeight="1" x14ac:dyDescent="0.3">
      <c r="J469" s="121"/>
    </row>
    <row r="470" spans="10:10" ht="15.75" customHeight="1" x14ac:dyDescent="0.3">
      <c r="J470" s="121"/>
    </row>
    <row r="471" spans="10:10" ht="15.75" customHeight="1" x14ac:dyDescent="0.3">
      <c r="J471" s="121"/>
    </row>
    <row r="472" spans="10:10" ht="15.75" customHeight="1" x14ac:dyDescent="0.3">
      <c r="J472" s="121"/>
    </row>
    <row r="473" spans="10:10" ht="15.75" customHeight="1" x14ac:dyDescent="0.3">
      <c r="J473" s="121"/>
    </row>
    <row r="474" spans="10:10" ht="15.75" customHeight="1" x14ac:dyDescent="0.3">
      <c r="J474" s="121"/>
    </row>
    <row r="475" spans="10:10" ht="15.75" customHeight="1" x14ac:dyDescent="0.3">
      <c r="J475" s="121"/>
    </row>
    <row r="476" spans="10:10" ht="15.75" customHeight="1" x14ac:dyDescent="0.3">
      <c r="J476" s="121"/>
    </row>
    <row r="477" spans="10:10" ht="15.75" customHeight="1" x14ac:dyDescent="0.3">
      <c r="J477" s="121"/>
    </row>
    <row r="478" spans="10:10" ht="15.75" customHeight="1" x14ac:dyDescent="0.3">
      <c r="J478" s="121"/>
    </row>
    <row r="479" spans="10:10" ht="15.75" customHeight="1" x14ac:dyDescent="0.3">
      <c r="J479" s="121"/>
    </row>
    <row r="480" spans="10:10" ht="15.75" customHeight="1" x14ac:dyDescent="0.3">
      <c r="J480" s="121"/>
    </row>
    <row r="481" spans="10:10" ht="15.75" customHeight="1" x14ac:dyDescent="0.3">
      <c r="J481" s="121"/>
    </row>
    <row r="482" spans="10:10" ht="15.75" customHeight="1" x14ac:dyDescent="0.3">
      <c r="J482" s="121"/>
    </row>
    <row r="483" spans="10:10" ht="15.75" customHeight="1" x14ac:dyDescent="0.3">
      <c r="J483" s="121"/>
    </row>
    <row r="484" spans="10:10" ht="15.75" customHeight="1" x14ac:dyDescent="0.3">
      <c r="J484" s="121"/>
    </row>
    <row r="485" spans="10:10" ht="15.75" customHeight="1" x14ac:dyDescent="0.3">
      <c r="J485" s="121"/>
    </row>
    <row r="486" spans="10:10" ht="15.75" customHeight="1" x14ac:dyDescent="0.3">
      <c r="J486" s="121"/>
    </row>
    <row r="487" spans="10:10" ht="15.75" customHeight="1" x14ac:dyDescent="0.3">
      <c r="J487" s="121"/>
    </row>
    <row r="488" spans="10:10" ht="15.75" customHeight="1" x14ac:dyDescent="0.3">
      <c r="J488" s="121"/>
    </row>
    <row r="489" spans="10:10" ht="15.75" customHeight="1" x14ac:dyDescent="0.3">
      <c r="J489" s="121"/>
    </row>
    <row r="490" spans="10:10" ht="15.75" customHeight="1" x14ac:dyDescent="0.3">
      <c r="J490" s="121"/>
    </row>
    <row r="491" spans="10:10" ht="15.75" customHeight="1" x14ac:dyDescent="0.3">
      <c r="J491" s="121"/>
    </row>
    <row r="492" spans="10:10" ht="15.75" customHeight="1" x14ac:dyDescent="0.3">
      <c r="J492" s="121"/>
    </row>
    <row r="493" spans="10:10" ht="15.75" customHeight="1" x14ac:dyDescent="0.3">
      <c r="J493" s="121"/>
    </row>
    <row r="494" spans="10:10" ht="15.75" customHeight="1" x14ac:dyDescent="0.3">
      <c r="J494" s="121"/>
    </row>
    <row r="495" spans="10:10" ht="15.75" customHeight="1" x14ac:dyDescent="0.3">
      <c r="J495" s="121"/>
    </row>
    <row r="496" spans="10:10" ht="15.75" customHeight="1" x14ac:dyDescent="0.3">
      <c r="J496" s="121"/>
    </row>
    <row r="497" spans="10:10" ht="15.75" customHeight="1" x14ac:dyDescent="0.3">
      <c r="J497" s="121"/>
    </row>
    <row r="498" spans="10:10" ht="15.75" customHeight="1" x14ac:dyDescent="0.3">
      <c r="J498" s="121"/>
    </row>
    <row r="499" spans="10:10" ht="15.75" customHeight="1" x14ac:dyDescent="0.3">
      <c r="J499" s="121"/>
    </row>
    <row r="500" spans="10:10" ht="15.75" customHeight="1" x14ac:dyDescent="0.3">
      <c r="J500" s="121"/>
    </row>
    <row r="501" spans="10:10" ht="15.75" customHeight="1" x14ac:dyDescent="0.3">
      <c r="J501" s="121"/>
    </row>
    <row r="502" spans="10:10" ht="15.75" customHeight="1" x14ac:dyDescent="0.3">
      <c r="J502" s="121"/>
    </row>
    <row r="503" spans="10:10" ht="15.75" customHeight="1" x14ac:dyDescent="0.3">
      <c r="J503" s="121"/>
    </row>
    <row r="504" spans="10:10" ht="15.75" customHeight="1" x14ac:dyDescent="0.3">
      <c r="J504" s="121"/>
    </row>
    <row r="505" spans="10:10" ht="15.75" customHeight="1" x14ac:dyDescent="0.3">
      <c r="J505" s="121"/>
    </row>
    <row r="506" spans="10:10" ht="15.75" customHeight="1" x14ac:dyDescent="0.3">
      <c r="J506" s="121"/>
    </row>
    <row r="507" spans="10:10" ht="15.75" customHeight="1" x14ac:dyDescent="0.3">
      <c r="J507" s="121"/>
    </row>
    <row r="508" spans="10:10" ht="15.75" customHeight="1" x14ac:dyDescent="0.3">
      <c r="J508" s="121"/>
    </row>
    <row r="509" spans="10:10" ht="15.75" customHeight="1" x14ac:dyDescent="0.3">
      <c r="J509" s="121"/>
    </row>
    <row r="510" spans="10:10" ht="15.75" customHeight="1" x14ac:dyDescent="0.3">
      <c r="J510" s="121"/>
    </row>
    <row r="511" spans="10:10" ht="15.75" customHeight="1" x14ac:dyDescent="0.3">
      <c r="J511" s="121"/>
    </row>
    <row r="512" spans="10:10" ht="15.75" customHeight="1" x14ac:dyDescent="0.3">
      <c r="J512" s="121"/>
    </row>
    <row r="513" spans="10:10" ht="15.75" customHeight="1" x14ac:dyDescent="0.3">
      <c r="J513" s="121"/>
    </row>
    <row r="514" spans="10:10" ht="15.75" customHeight="1" x14ac:dyDescent="0.3">
      <c r="J514" s="121"/>
    </row>
    <row r="515" spans="10:10" ht="15.75" customHeight="1" x14ac:dyDescent="0.3">
      <c r="J515" s="121"/>
    </row>
    <row r="516" spans="10:10" ht="15.75" customHeight="1" x14ac:dyDescent="0.3">
      <c r="J516" s="121"/>
    </row>
    <row r="517" spans="10:10" ht="15.75" customHeight="1" x14ac:dyDescent="0.3">
      <c r="J517" s="121"/>
    </row>
    <row r="518" spans="10:10" ht="15.75" customHeight="1" x14ac:dyDescent="0.3">
      <c r="J518" s="121"/>
    </row>
    <row r="519" spans="10:10" ht="15.75" customHeight="1" x14ac:dyDescent="0.3">
      <c r="J519" s="121"/>
    </row>
    <row r="520" spans="10:10" ht="15.75" customHeight="1" x14ac:dyDescent="0.3">
      <c r="J520" s="121"/>
    </row>
    <row r="521" spans="10:10" ht="15.75" customHeight="1" x14ac:dyDescent="0.3">
      <c r="J521" s="121"/>
    </row>
    <row r="522" spans="10:10" ht="15.75" customHeight="1" x14ac:dyDescent="0.3">
      <c r="J522" s="121"/>
    </row>
    <row r="523" spans="10:10" ht="15.75" customHeight="1" x14ac:dyDescent="0.3">
      <c r="J523" s="121"/>
    </row>
    <row r="524" spans="10:10" ht="15.75" customHeight="1" x14ac:dyDescent="0.3">
      <c r="J524" s="121"/>
    </row>
    <row r="525" spans="10:10" ht="15.75" customHeight="1" x14ac:dyDescent="0.3">
      <c r="J525" s="121"/>
    </row>
    <row r="526" spans="10:10" ht="15.75" customHeight="1" x14ac:dyDescent="0.3">
      <c r="J526" s="121"/>
    </row>
    <row r="527" spans="10:10" ht="15.75" customHeight="1" x14ac:dyDescent="0.3">
      <c r="J527" s="121"/>
    </row>
    <row r="528" spans="10:10" ht="15.75" customHeight="1" x14ac:dyDescent="0.3">
      <c r="J528" s="121"/>
    </row>
    <row r="529" spans="10:10" ht="15.75" customHeight="1" x14ac:dyDescent="0.3">
      <c r="J529" s="121"/>
    </row>
    <row r="530" spans="10:10" ht="15.75" customHeight="1" x14ac:dyDescent="0.3">
      <c r="J530" s="121"/>
    </row>
    <row r="531" spans="10:10" ht="15.75" customHeight="1" x14ac:dyDescent="0.3">
      <c r="J531" s="121"/>
    </row>
    <row r="532" spans="10:10" ht="15.75" customHeight="1" x14ac:dyDescent="0.3">
      <c r="J532" s="121"/>
    </row>
    <row r="533" spans="10:10" ht="15.75" customHeight="1" x14ac:dyDescent="0.3">
      <c r="J533" s="121"/>
    </row>
    <row r="534" spans="10:10" ht="15.75" customHeight="1" x14ac:dyDescent="0.3">
      <c r="J534" s="121"/>
    </row>
    <row r="535" spans="10:10" ht="15.75" customHeight="1" x14ac:dyDescent="0.3">
      <c r="J535" s="121"/>
    </row>
    <row r="536" spans="10:10" ht="15.75" customHeight="1" x14ac:dyDescent="0.3">
      <c r="J536" s="121"/>
    </row>
    <row r="537" spans="10:10" ht="15.75" customHeight="1" x14ac:dyDescent="0.3">
      <c r="J537" s="121"/>
    </row>
    <row r="538" spans="10:10" ht="15.75" customHeight="1" x14ac:dyDescent="0.3">
      <c r="J538" s="121"/>
    </row>
    <row r="539" spans="10:10" ht="15.75" customHeight="1" x14ac:dyDescent="0.3">
      <c r="J539" s="121"/>
    </row>
    <row r="540" spans="10:10" ht="15.75" customHeight="1" x14ac:dyDescent="0.3">
      <c r="J540" s="121"/>
    </row>
    <row r="541" spans="10:10" ht="15.75" customHeight="1" x14ac:dyDescent="0.3">
      <c r="J541" s="121"/>
    </row>
    <row r="542" spans="10:10" ht="15.75" customHeight="1" x14ac:dyDescent="0.3">
      <c r="J542" s="121"/>
    </row>
    <row r="543" spans="10:10" ht="15.75" customHeight="1" x14ac:dyDescent="0.3">
      <c r="J543" s="121"/>
    </row>
    <row r="544" spans="10:10" ht="15.75" customHeight="1" x14ac:dyDescent="0.3">
      <c r="J544" s="121"/>
    </row>
    <row r="545" spans="10:10" ht="15.75" customHeight="1" x14ac:dyDescent="0.3">
      <c r="J545" s="121"/>
    </row>
    <row r="546" spans="10:10" ht="15.75" customHeight="1" x14ac:dyDescent="0.3">
      <c r="J546" s="121"/>
    </row>
    <row r="547" spans="10:10" ht="15.75" customHeight="1" x14ac:dyDescent="0.3">
      <c r="J547" s="121"/>
    </row>
    <row r="548" spans="10:10" ht="15.75" customHeight="1" x14ac:dyDescent="0.3">
      <c r="J548" s="121"/>
    </row>
    <row r="549" spans="10:10" ht="15.75" customHeight="1" x14ac:dyDescent="0.3">
      <c r="J549" s="121"/>
    </row>
    <row r="550" spans="10:10" ht="15.75" customHeight="1" x14ac:dyDescent="0.3">
      <c r="J550" s="121"/>
    </row>
    <row r="551" spans="10:10" ht="15.75" customHeight="1" x14ac:dyDescent="0.3">
      <c r="J551" s="121"/>
    </row>
    <row r="552" spans="10:10" ht="15.75" customHeight="1" x14ac:dyDescent="0.3">
      <c r="J552" s="121"/>
    </row>
    <row r="553" spans="10:10" ht="15.75" customHeight="1" x14ac:dyDescent="0.3">
      <c r="J553" s="121"/>
    </row>
    <row r="554" spans="10:10" ht="15.75" customHeight="1" x14ac:dyDescent="0.3">
      <c r="J554" s="121"/>
    </row>
    <row r="555" spans="10:10" ht="15.75" customHeight="1" x14ac:dyDescent="0.3">
      <c r="J555" s="121"/>
    </row>
    <row r="556" spans="10:10" ht="15.75" customHeight="1" x14ac:dyDescent="0.3">
      <c r="J556" s="121"/>
    </row>
    <row r="557" spans="10:10" ht="15.75" customHeight="1" x14ac:dyDescent="0.3">
      <c r="J557" s="121"/>
    </row>
    <row r="558" spans="10:10" ht="15.75" customHeight="1" x14ac:dyDescent="0.3">
      <c r="J558" s="121"/>
    </row>
    <row r="559" spans="10:10" ht="15.75" customHeight="1" x14ac:dyDescent="0.3">
      <c r="J559" s="121"/>
    </row>
    <row r="560" spans="10:10" ht="15.75" customHeight="1" x14ac:dyDescent="0.3">
      <c r="J560" s="121"/>
    </row>
    <row r="561" spans="10:10" ht="15.75" customHeight="1" x14ac:dyDescent="0.3">
      <c r="J561" s="121"/>
    </row>
    <row r="562" spans="10:10" ht="15.75" customHeight="1" x14ac:dyDescent="0.3">
      <c r="J562" s="121"/>
    </row>
    <row r="563" spans="10:10" ht="15.75" customHeight="1" x14ac:dyDescent="0.3">
      <c r="J563" s="121"/>
    </row>
    <row r="564" spans="10:10" ht="15.75" customHeight="1" x14ac:dyDescent="0.3">
      <c r="J564" s="121"/>
    </row>
    <row r="565" spans="10:10" ht="15.75" customHeight="1" x14ac:dyDescent="0.3">
      <c r="J565" s="121"/>
    </row>
    <row r="566" spans="10:10" ht="15.75" customHeight="1" x14ac:dyDescent="0.3">
      <c r="J566" s="121"/>
    </row>
    <row r="567" spans="10:10" ht="15.75" customHeight="1" x14ac:dyDescent="0.3">
      <c r="J567" s="121"/>
    </row>
    <row r="568" spans="10:10" ht="15.75" customHeight="1" x14ac:dyDescent="0.3">
      <c r="J568" s="121"/>
    </row>
    <row r="569" spans="10:10" ht="15.75" customHeight="1" x14ac:dyDescent="0.3">
      <c r="J569" s="121"/>
    </row>
    <row r="570" spans="10:10" ht="15.75" customHeight="1" x14ac:dyDescent="0.3">
      <c r="J570" s="121"/>
    </row>
    <row r="571" spans="10:10" ht="15.75" customHeight="1" x14ac:dyDescent="0.3">
      <c r="J571" s="121"/>
    </row>
    <row r="572" spans="10:10" ht="15.75" customHeight="1" x14ac:dyDescent="0.3">
      <c r="J572" s="121"/>
    </row>
    <row r="573" spans="10:10" ht="15.75" customHeight="1" x14ac:dyDescent="0.3">
      <c r="J573" s="121"/>
    </row>
    <row r="574" spans="10:10" ht="15.75" customHeight="1" x14ac:dyDescent="0.3">
      <c r="J574" s="121"/>
    </row>
    <row r="575" spans="10:10" ht="15.75" customHeight="1" x14ac:dyDescent="0.3">
      <c r="J575" s="121"/>
    </row>
    <row r="576" spans="10:10" ht="15.75" customHeight="1" x14ac:dyDescent="0.3">
      <c r="J576" s="121"/>
    </row>
    <row r="577" spans="10:10" ht="15.75" customHeight="1" x14ac:dyDescent="0.3">
      <c r="J577" s="121"/>
    </row>
    <row r="578" spans="10:10" ht="15.75" customHeight="1" x14ac:dyDescent="0.3">
      <c r="J578" s="121"/>
    </row>
    <row r="579" spans="10:10" ht="15.75" customHeight="1" x14ac:dyDescent="0.3">
      <c r="J579" s="121"/>
    </row>
    <row r="580" spans="10:10" ht="15.75" customHeight="1" x14ac:dyDescent="0.3">
      <c r="J580" s="121"/>
    </row>
    <row r="581" spans="10:10" ht="15.75" customHeight="1" x14ac:dyDescent="0.3">
      <c r="J581" s="121"/>
    </row>
    <row r="582" spans="10:10" ht="15.75" customHeight="1" x14ac:dyDescent="0.3">
      <c r="J582" s="121"/>
    </row>
    <row r="583" spans="10:10" ht="15.75" customHeight="1" x14ac:dyDescent="0.3">
      <c r="J583" s="121"/>
    </row>
    <row r="584" spans="10:10" ht="15.75" customHeight="1" x14ac:dyDescent="0.3">
      <c r="J584" s="121"/>
    </row>
    <row r="585" spans="10:10" ht="15.75" customHeight="1" x14ac:dyDescent="0.3">
      <c r="J585" s="121"/>
    </row>
    <row r="586" spans="10:10" ht="15.75" customHeight="1" x14ac:dyDescent="0.3">
      <c r="J586" s="121"/>
    </row>
    <row r="587" spans="10:10" ht="15.75" customHeight="1" x14ac:dyDescent="0.3">
      <c r="J587" s="121"/>
    </row>
    <row r="588" spans="10:10" ht="15.75" customHeight="1" x14ac:dyDescent="0.3">
      <c r="J588" s="121"/>
    </row>
    <row r="589" spans="10:10" ht="15.75" customHeight="1" x14ac:dyDescent="0.3">
      <c r="J589" s="121"/>
    </row>
    <row r="590" spans="10:10" ht="15.75" customHeight="1" x14ac:dyDescent="0.3">
      <c r="J590" s="121"/>
    </row>
    <row r="591" spans="10:10" ht="15.75" customHeight="1" x14ac:dyDescent="0.3">
      <c r="J591" s="121"/>
    </row>
    <row r="592" spans="10:10" ht="15.75" customHeight="1" x14ac:dyDescent="0.3">
      <c r="J592" s="121"/>
    </row>
    <row r="593" spans="10:10" ht="15.75" customHeight="1" x14ac:dyDescent="0.3">
      <c r="J593" s="121"/>
    </row>
    <row r="594" spans="10:10" ht="15.75" customHeight="1" x14ac:dyDescent="0.3">
      <c r="J594" s="121"/>
    </row>
    <row r="595" spans="10:10" ht="15.75" customHeight="1" x14ac:dyDescent="0.3">
      <c r="J595" s="121"/>
    </row>
    <row r="596" spans="10:10" ht="15.75" customHeight="1" x14ac:dyDescent="0.3">
      <c r="J596" s="121"/>
    </row>
    <row r="597" spans="10:10" ht="15.75" customHeight="1" x14ac:dyDescent="0.3">
      <c r="J597" s="121"/>
    </row>
    <row r="598" spans="10:10" ht="15.75" customHeight="1" x14ac:dyDescent="0.3">
      <c r="J598" s="121"/>
    </row>
    <row r="599" spans="10:10" ht="15.75" customHeight="1" x14ac:dyDescent="0.3">
      <c r="J599" s="121"/>
    </row>
    <row r="600" spans="10:10" ht="15.75" customHeight="1" x14ac:dyDescent="0.3">
      <c r="J600" s="121"/>
    </row>
    <row r="601" spans="10:10" ht="15.75" customHeight="1" x14ac:dyDescent="0.3">
      <c r="J601" s="121"/>
    </row>
    <row r="602" spans="10:10" ht="15.75" customHeight="1" x14ac:dyDescent="0.3">
      <c r="J602" s="121"/>
    </row>
    <row r="603" spans="10:10" ht="15.75" customHeight="1" x14ac:dyDescent="0.3">
      <c r="J603" s="121"/>
    </row>
    <row r="604" spans="10:10" ht="15.75" customHeight="1" x14ac:dyDescent="0.3">
      <c r="J604" s="121"/>
    </row>
    <row r="605" spans="10:10" ht="15.75" customHeight="1" x14ac:dyDescent="0.3">
      <c r="J605" s="121"/>
    </row>
    <row r="606" spans="10:10" ht="15.75" customHeight="1" x14ac:dyDescent="0.3">
      <c r="J606" s="121"/>
    </row>
    <row r="607" spans="10:10" ht="15.75" customHeight="1" x14ac:dyDescent="0.3">
      <c r="J607" s="121"/>
    </row>
    <row r="608" spans="10:10" ht="15.75" customHeight="1" x14ac:dyDescent="0.3">
      <c r="J608" s="121"/>
    </row>
    <row r="609" spans="10:10" ht="15.75" customHeight="1" x14ac:dyDescent="0.3">
      <c r="J609" s="121"/>
    </row>
    <row r="610" spans="10:10" ht="15.75" customHeight="1" x14ac:dyDescent="0.3">
      <c r="J610" s="121"/>
    </row>
    <row r="611" spans="10:10" ht="15.75" customHeight="1" x14ac:dyDescent="0.3">
      <c r="J611" s="121"/>
    </row>
    <row r="612" spans="10:10" ht="15.75" customHeight="1" x14ac:dyDescent="0.3">
      <c r="J612" s="121"/>
    </row>
    <row r="613" spans="10:10" ht="15.75" customHeight="1" x14ac:dyDescent="0.3">
      <c r="J613" s="121"/>
    </row>
    <row r="614" spans="10:10" ht="15.75" customHeight="1" x14ac:dyDescent="0.3">
      <c r="J614" s="121"/>
    </row>
    <row r="615" spans="10:10" ht="15.75" customHeight="1" x14ac:dyDescent="0.3">
      <c r="J615" s="121"/>
    </row>
    <row r="616" spans="10:10" ht="15.75" customHeight="1" x14ac:dyDescent="0.3">
      <c r="J616" s="121"/>
    </row>
    <row r="617" spans="10:10" ht="15.75" customHeight="1" x14ac:dyDescent="0.3">
      <c r="J617" s="121"/>
    </row>
    <row r="618" spans="10:10" ht="15.75" customHeight="1" x14ac:dyDescent="0.3">
      <c r="J618" s="121"/>
    </row>
    <row r="619" spans="10:10" ht="15.75" customHeight="1" x14ac:dyDescent="0.3">
      <c r="J619" s="121"/>
    </row>
    <row r="620" spans="10:10" ht="15.75" customHeight="1" x14ac:dyDescent="0.3">
      <c r="J620" s="121"/>
    </row>
    <row r="621" spans="10:10" ht="15.75" customHeight="1" x14ac:dyDescent="0.3">
      <c r="J621" s="121"/>
    </row>
    <row r="622" spans="10:10" ht="15.75" customHeight="1" x14ac:dyDescent="0.3">
      <c r="J622" s="121"/>
    </row>
    <row r="623" spans="10:10" ht="15.75" customHeight="1" x14ac:dyDescent="0.3">
      <c r="J623" s="121"/>
    </row>
    <row r="624" spans="10:10" ht="15.75" customHeight="1" x14ac:dyDescent="0.3">
      <c r="J624" s="121"/>
    </row>
    <row r="625" spans="10:10" ht="15.75" customHeight="1" x14ac:dyDescent="0.3">
      <c r="J625" s="121"/>
    </row>
    <row r="626" spans="10:10" ht="15.75" customHeight="1" x14ac:dyDescent="0.3">
      <c r="J626" s="121"/>
    </row>
    <row r="627" spans="10:10" ht="15.75" customHeight="1" x14ac:dyDescent="0.3">
      <c r="J627" s="121"/>
    </row>
    <row r="628" spans="10:10" ht="15.75" customHeight="1" x14ac:dyDescent="0.3">
      <c r="J628" s="121"/>
    </row>
    <row r="629" spans="10:10" ht="15.75" customHeight="1" x14ac:dyDescent="0.3">
      <c r="J629" s="121"/>
    </row>
    <row r="630" spans="10:10" ht="15.75" customHeight="1" x14ac:dyDescent="0.3">
      <c r="J630" s="121"/>
    </row>
    <row r="631" spans="10:10" ht="15.75" customHeight="1" x14ac:dyDescent="0.3">
      <c r="J631" s="121"/>
    </row>
    <row r="632" spans="10:10" ht="15.75" customHeight="1" x14ac:dyDescent="0.3">
      <c r="J632" s="121"/>
    </row>
    <row r="633" spans="10:10" ht="15.75" customHeight="1" x14ac:dyDescent="0.3">
      <c r="J633" s="121"/>
    </row>
    <row r="634" spans="10:10" ht="15.75" customHeight="1" x14ac:dyDescent="0.3">
      <c r="J634" s="121"/>
    </row>
    <row r="635" spans="10:10" ht="15.75" customHeight="1" x14ac:dyDescent="0.3">
      <c r="J635" s="121"/>
    </row>
    <row r="636" spans="10:10" ht="15.75" customHeight="1" x14ac:dyDescent="0.3">
      <c r="J636" s="121"/>
    </row>
    <row r="637" spans="10:10" ht="15.75" customHeight="1" x14ac:dyDescent="0.3">
      <c r="J637" s="121"/>
    </row>
    <row r="638" spans="10:10" ht="15.75" customHeight="1" x14ac:dyDescent="0.3">
      <c r="J638" s="121"/>
    </row>
    <row r="639" spans="10:10" ht="15.75" customHeight="1" x14ac:dyDescent="0.3">
      <c r="J639" s="121"/>
    </row>
    <row r="640" spans="10:10" ht="15.75" customHeight="1" x14ac:dyDescent="0.3">
      <c r="J640" s="121"/>
    </row>
    <row r="641" spans="10:10" ht="15.75" customHeight="1" x14ac:dyDescent="0.3">
      <c r="J641" s="121"/>
    </row>
    <row r="642" spans="10:10" ht="15.75" customHeight="1" x14ac:dyDescent="0.3">
      <c r="J642" s="121"/>
    </row>
    <row r="643" spans="10:10" ht="15.75" customHeight="1" x14ac:dyDescent="0.3">
      <c r="J643" s="121"/>
    </row>
    <row r="644" spans="10:10" ht="15.75" customHeight="1" x14ac:dyDescent="0.3">
      <c r="J644" s="121"/>
    </row>
    <row r="645" spans="10:10" ht="15.75" customHeight="1" x14ac:dyDescent="0.3">
      <c r="J645" s="121"/>
    </row>
    <row r="646" spans="10:10" ht="15.75" customHeight="1" x14ac:dyDescent="0.3">
      <c r="J646" s="121"/>
    </row>
    <row r="647" spans="10:10" ht="15.75" customHeight="1" x14ac:dyDescent="0.3">
      <c r="J647" s="121"/>
    </row>
    <row r="648" spans="10:10" ht="15.75" customHeight="1" x14ac:dyDescent="0.3">
      <c r="J648" s="121"/>
    </row>
    <row r="649" spans="10:10" ht="15.75" customHeight="1" x14ac:dyDescent="0.3">
      <c r="J649" s="121"/>
    </row>
    <row r="650" spans="10:10" ht="15.75" customHeight="1" x14ac:dyDescent="0.3">
      <c r="J650" s="121"/>
    </row>
    <row r="651" spans="10:10" ht="15.75" customHeight="1" x14ac:dyDescent="0.3">
      <c r="J651" s="121"/>
    </row>
    <row r="652" spans="10:10" ht="15.75" customHeight="1" x14ac:dyDescent="0.3">
      <c r="J652" s="121"/>
    </row>
    <row r="653" spans="10:10" ht="15.75" customHeight="1" x14ac:dyDescent="0.3">
      <c r="J653" s="121"/>
    </row>
    <row r="654" spans="10:10" ht="15.75" customHeight="1" x14ac:dyDescent="0.3">
      <c r="J654" s="121"/>
    </row>
    <row r="655" spans="10:10" ht="15.75" customHeight="1" x14ac:dyDescent="0.3">
      <c r="J655" s="121"/>
    </row>
    <row r="656" spans="10:10" ht="15.75" customHeight="1" x14ac:dyDescent="0.3">
      <c r="J656" s="121"/>
    </row>
    <row r="657" spans="10:10" ht="15.75" customHeight="1" x14ac:dyDescent="0.3">
      <c r="J657" s="121"/>
    </row>
    <row r="658" spans="10:10" ht="15.75" customHeight="1" x14ac:dyDescent="0.3">
      <c r="J658" s="121"/>
    </row>
    <row r="659" spans="10:10" ht="15.75" customHeight="1" x14ac:dyDescent="0.3">
      <c r="J659" s="121"/>
    </row>
    <row r="660" spans="10:10" ht="15.75" customHeight="1" x14ac:dyDescent="0.3">
      <c r="J660" s="121"/>
    </row>
    <row r="661" spans="10:10" ht="15.75" customHeight="1" x14ac:dyDescent="0.3">
      <c r="J661" s="121"/>
    </row>
    <row r="662" spans="10:10" ht="15.75" customHeight="1" x14ac:dyDescent="0.3">
      <c r="J662" s="121"/>
    </row>
    <row r="663" spans="10:10" ht="15.75" customHeight="1" x14ac:dyDescent="0.3">
      <c r="J663" s="121"/>
    </row>
    <row r="664" spans="10:10" ht="15.75" customHeight="1" x14ac:dyDescent="0.3">
      <c r="J664" s="121"/>
    </row>
    <row r="665" spans="10:10" ht="15.75" customHeight="1" x14ac:dyDescent="0.3">
      <c r="J665" s="121"/>
    </row>
    <row r="666" spans="10:10" ht="15.75" customHeight="1" x14ac:dyDescent="0.3">
      <c r="J666" s="121"/>
    </row>
    <row r="667" spans="10:10" ht="15.75" customHeight="1" x14ac:dyDescent="0.3">
      <c r="J667" s="121"/>
    </row>
    <row r="668" spans="10:10" ht="15.75" customHeight="1" x14ac:dyDescent="0.3">
      <c r="J668" s="121"/>
    </row>
    <row r="669" spans="10:10" ht="15.75" customHeight="1" x14ac:dyDescent="0.3">
      <c r="J669" s="121"/>
    </row>
    <row r="670" spans="10:10" ht="15.75" customHeight="1" x14ac:dyDescent="0.3">
      <c r="J670" s="121"/>
    </row>
    <row r="671" spans="10:10" ht="15.75" customHeight="1" x14ac:dyDescent="0.3">
      <c r="J671" s="121"/>
    </row>
    <row r="672" spans="10:10" ht="15.75" customHeight="1" x14ac:dyDescent="0.3">
      <c r="J672" s="121"/>
    </row>
    <row r="673" spans="10:10" ht="15.75" customHeight="1" x14ac:dyDescent="0.3">
      <c r="J673" s="121"/>
    </row>
    <row r="674" spans="10:10" ht="15.75" customHeight="1" x14ac:dyDescent="0.3">
      <c r="J674" s="121"/>
    </row>
    <row r="675" spans="10:10" ht="15.75" customHeight="1" x14ac:dyDescent="0.3">
      <c r="J675" s="121"/>
    </row>
    <row r="676" spans="10:10" ht="15.75" customHeight="1" x14ac:dyDescent="0.3">
      <c r="J676" s="121"/>
    </row>
    <row r="677" spans="10:10" ht="15.75" customHeight="1" x14ac:dyDescent="0.3">
      <c r="J677" s="121"/>
    </row>
    <row r="678" spans="10:10" ht="15.75" customHeight="1" x14ac:dyDescent="0.3">
      <c r="J678" s="121"/>
    </row>
    <row r="679" spans="10:10" ht="15.75" customHeight="1" x14ac:dyDescent="0.3">
      <c r="J679" s="121"/>
    </row>
    <row r="680" spans="10:10" ht="15.75" customHeight="1" x14ac:dyDescent="0.3">
      <c r="J680" s="121"/>
    </row>
    <row r="681" spans="10:10" ht="15.75" customHeight="1" x14ac:dyDescent="0.3">
      <c r="J681" s="121"/>
    </row>
    <row r="682" spans="10:10" ht="15.75" customHeight="1" x14ac:dyDescent="0.3">
      <c r="J682" s="121"/>
    </row>
    <row r="683" spans="10:10" ht="15.75" customHeight="1" x14ac:dyDescent="0.3">
      <c r="J683" s="121"/>
    </row>
    <row r="684" spans="10:10" ht="15.75" customHeight="1" x14ac:dyDescent="0.3">
      <c r="J684" s="121"/>
    </row>
    <row r="685" spans="10:10" ht="15.75" customHeight="1" x14ac:dyDescent="0.3">
      <c r="J685" s="121"/>
    </row>
    <row r="686" spans="10:10" ht="15.75" customHeight="1" x14ac:dyDescent="0.3">
      <c r="J686" s="121"/>
    </row>
    <row r="687" spans="10:10" ht="15.75" customHeight="1" x14ac:dyDescent="0.3">
      <c r="J687" s="121"/>
    </row>
    <row r="688" spans="10:10" ht="15.75" customHeight="1" x14ac:dyDescent="0.3">
      <c r="J688" s="121"/>
    </row>
    <row r="689" spans="10:10" ht="15.75" customHeight="1" x14ac:dyDescent="0.3">
      <c r="J689" s="121"/>
    </row>
    <row r="690" spans="10:10" ht="15.75" customHeight="1" x14ac:dyDescent="0.3">
      <c r="J690" s="121"/>
    </row>
    <row r="691" spans="10:10" ht="15.75" customHeight="1" x14ac:dyDescent="0.3">
      <c r="J691" s="121"/>
    </row>
    <row r="692" spans="10:10" ht="15.75" customHeight="1" x14ac:dyDescent="0.3">
      <c r="J692" s="121"/>
    </row>
    <row r="693" spans="10:10" ht="15.75" customHeight="1" x14ac:dyDescent="0.3">
      <c r="J693" s="121"/>
    </row>
    <row r="694" spans="10:10" ht="15.75" customHeight="1" x14ac:dyDescent="0.3">
      <c r="J694" s="121"/>
    </row>
    <row r="695" spans="10:10" ht="15.75" customHeight="1" x14ac:dyDescent="0.3">
      <c r="J695" s="121"/>
    </row>
    <row r="696" spans="10:10" ht="15.75" customHeight="1" x14ac:dyDescent="0.3">
      <c r="J696" s="121"/>
    </row>
    <row r="697" spans="10:10" ht="15.75" customHeight="1" x14ac:dyDescent="0.3">
      <c r="J697" s="121"/>
    </row>
    <row r="698" spans="10:10" ht="15.75" customHeight="1" x14ac:dyDescent="0.3">
      <c r="J698" s="121"/>
    </row>
    <row r="699" spans="10:10" ht="15.75" customHeight="1" x14ac:dyDescent="0.3">
      <c r="J699" s="121"/>
    </row>
    <row r="700" spans="10:10" ht="15.75" customHeight="1" x14ac:dyDescent="0.3">
      <c r="J700" s="121"/>
    </row>
    <row r="701" spans="10:10" ht="15.75" customHeight="1" x14ac:dyDescent="0.3">
      <c r="J701" s="121"/>
    </row>
    <row r="702" spans="10:10" ht="15.75" customHeight="1" x14ac:dyDescent="0.3">
      <c r="J702" s="121"/>
    </row>
    <row r="703" spans="10:10" ht="15.75" customHeight="1" x14ac:dyDescent="0.3">
      <c r="J703" s="121"/>
    </row>
    <row r="704" spans="10:10" ht="15.75" customHeight="1" x14ac:dyDescent="0.3">
      <c r="J704" s="121"/>
    </row>
    <row r="705" spans="10:10" ht="15.75" customHeight="1" x14ac:dyDescent="0.3">
      <c r="J705" s="121"/>
    </row>
    <row r="706" spans="10:10" ht="15.75" customHeight="1" x14ac:dyDescent="0.3">
      <c r="J706" s="121"/>
    </row>
    <row r="707" spans="10:10" ht="15.75" customHeight="1" x14ac:dyDescent="0.3">
      <c r="J707" s="121"/>
    </row>
    <row r="708" spans="10:10" ht="15.75" customHeight="1" x14ac:dyDescent="0.3">
      <c r="J708" s="121"/>
    </row>
    <row r="709" spans="10:10" ht="15.75" customHeight="1" x14ac:dyDescent="0.3">
      <c r="J709" s="121"/>
    </row>
    <row r="710" spans="10:10" ht="15.75" customHeight="1" x14ac:dyDescent="0.3">
      <c r="J710" s="121"/>
    </row>
    <row r="711" spans="10:10" ht="15.75" customHeight="1" x14ac:dyDescent="0.3">
      <c r="J711" s="121"/>
    </row>
    <row r="712" spans="10:10" ht="15.75" customHeight="1" x14ac:dyDescent="0.3">
      <c r="J712" s="121"/>
    </row>
    <row r="713" spans="10:10" ht="15.75" customHeight="1" x14ac:dyDescent="0.3">
      <c r="J713" s="121"/>
    </row>
    <row r="714" spans="10:10" ht="15.75" customHeight="1" x14ac:dyDescent="0.3">
      <c r="J714" s="121"/>
    </row>
    <row r="715" spans="10:10" ht="15.75" customHeight="1" x14ac:dyDescent="0.3">
      <c r="J715" s="121"/>
    </row>
    <row r="716" spans="10:10" ht="15.75" customHeight="1" x14ac:dyDescent="0.3">
      <c r="J716" s="121"/>
    </row>
    <row r="717" spans="10:10" ht="15.75" customHeight="1" x14ac:dyDescent="0.3">
      <c r="J717" s="121"/>
    </row>
    <row r="718" spans="10:10" ht="15.75" customHeight="1" x14ac:dyDescent="0.3">
      <c r="J718" s="121"/>
    </row>
    <row r="719" spans="10:10" ht="15.75" customHeight="1" x14ac:dyDescent="0.3">
      <c r="J719" s="121"/>
    </row>
    <row r="720" spans="10:10" ht="15.75" customHeight="1" x14ac:dyDescent="0.3">
      <c r="J720" s="121"/>
    </row>
    <row r="721" spans="10:10" ht="15.75" customHeight="1" x14ac:dyDescent="0.3">
      <c r="J721" s="121"/>
    </row>
    <row r="722" spans="10:10" ht="15.75" customHeight="1" x14ac:dyDescent="0.3">
      <c r="J722" s="121"/>
    </row>
    <row r="723" spans="10:10" ht="15.75" customHeight="1" x14ac:dyDescent="0.3">
      <c r="J723" s="121"/>
    </row>
    <row r="724" spans="10:10" ht="15.75" customHeight="1" x14ac:dyDescent="0.3">
      <c r="J724" s="121"/>
    </row>
    <row r="725" spans="10:10" ht="15.75" customHeight="1" x14ac:dyDescent="0.3">
      <c r="J725" s="121"/>
    </row>
    <row r="726" spans="10:10" ht="15.75" customHeight="1" x14ac:dyDescent="0.3">
      <c r="J726" s="121"/>
    </row>
    <row r="727" spans="10:10" ht="15.75" customHeight="1" x14ac:dyDescent="0.3">
      <c r="J727" s="121"/>
    </row>
    <row r="728" spans="10:10" ht="15.75" customHeight="1" x14ac:dyDescent="0.3">
      <c r="J728" s="121"/>
    </row>
    <row r="729" spans="10:10" ht="15.75" customHeight="1" x14ac:dyDescent="0.3">
      <c r="J729" s="121"/>
    </row>
    <row r="730" spans="10:10" ht="15.75" customHeight="1" x14ac:dyDescent="0.3">
      <c r="J730" s="121"/>
    </row>
    <row r="731" spans="10:10" ht="15.75" customHeight="1" x14ac:dyDescent="0.3">
      <c r="J731" s="121"/>
    </row>
    <row r="732" spans="10:10" ht="15.75" customHeight="1" x14ac:dyDescent="0.3">
      <c r="J732" s="121"/>
    </row>
    <row r="733" spans="10:10" ht="15.75" customHeight="1" x14ac:dyDescent="0.3">
      <c r="J733" s="121"/>
    </row>
    <row r="734" spans="10:10" ht="15.75" customHeight="1" x14ac:dyDescent="0.3">
      <c r="J734" s="121"/>
    </row>
    <row r="735" spans="10:10" ht="15.75" customHeight="1" x14ac:dyDescent="0.3">
      <c r="J735" s="121"/>
    </row>
    <row r="736" spans="10:10" ht="15.75" customHeight="1" x14ac:dyDescent="0.3">
      <c r="J736" s="121"/>
    </row>
    <row r="737" spans="10:10" ht="15.75" customHeight="1" x14ac:dyDescent="0.3">
      <c r="J737" s="121"/>
    </row>
    <row r="738" spans="10:10" ht="15.75" customHeight="1" x14ac:dyDescent="0.3">
      <c r="J738" s="121"/>
    </row>
    <row r="739" spans="10:10" ht="15.75" customHeight="1" x14ac:dyDescent="0.3">
      <c r="J739" s="121"/>
    </row>
    <row r="740" spans="10:10" ht="15.75" customHeight="1" x14ac:dyDescent="0.3">
      <c r="J740" s="121"/>
    </row>
    <row r="741" spans="10:10" ht="15.75" customHeight="1" x14ac:dyDescent="0.3">
      <c r="J741" s="121"/>
    </row>
    <row r="742" spans="10:10" ht="15.75" customHeight="1" x14ac:dyDescent="0.3">
      <c r="J742" s="121"/>
    </row>
    <row r="743" spans="10:10" ht="15.75" customHeight="1" x14ac:dyDescent="0.3">
      <c r="J743" s="121"/>
    </row>
    <row r="744" spans="10:10" ht="15.75" customHeight="1" x14ac:dyDescent="0.3">
      <c r="J744" s="121"/>
    </row>
    <row r="745" spans="10:10" ht="15.75" customHeight="1" x14ac:dyDescent="0.3">
      <c r="J745" s="121"/>
    </row>
    <row r="746" spans="10:10" ht="15.75" customHeight="1" x14ac:dyDescent="0.3">
      <c r="J746" s="121"/>
    </row>
    <row r="747" spans="10:10" ht="15.75" customHeight="1" x14ac:dyDescent="0.3">
      <c r="J747" s="121"/>
    </row>
    <row r="748" spans="10:10" ht="15.75" customHeight="1" x14ac:dyDescent="0.3">
      <c r="J748" s="121"/>
    </row>
    <row r="749" spans="10:10" ht="15.75" customHeight="1" x14ac:dyDescent="0.3">
      <c r="J749" s="121"/>
    </row>
    <row r="750" spans="10:10" ht="15.75" customHeight="1" x14ac:dyDescent="0.3">
      <c r="J750" s="121"/>
    </row>
    <row r="751" spans="10:10" ht="15.75" customHeight="1" x14ac:dyDescent="0.3">
      <c r="J751" s="121"/>
    </row>
    <row r="752" spans="10:10" ht="15.75" customHeight="1" x14ac:dyDescent="0.3">
      <c r="J752" s="121"/>
    </row>
    <row r="753" spans="10:10" ht="15.75" customHeight="1" x14ac:dyDescent="0.3">
      <c r="J753" s="121"/>
    </row>
    <row r="754" spans="10:10" ht="15.75" customHeight="1" x14ac:dyDescent="0.3">
      <c r="J754" s="121"/>
    </row>
    <row r="755" spans="10:10" ht="15.75" customHeight="1" x14ac:dyDescent="0.3">
      <c r="J755" s="121"/>
    </row>
    <row r="756" spans="10:10" ht="15.75" customHeight="1" x14ac:dyDescent="0.3">
      <c r="J756" s="121"/>
    </row>
    <row r="757" spans="10:10" ht="15.75" customHeight="1" x14ac:dyDescent="0.3">
      <c r="J757" s="121"/>
    </row>
    <row r="758" spans="10:10" ht="15.75" customHeight="1" x14ac:dyDescent="0.3">
      <c r="J758" s="121"/>
    </row>
    <row r="759" spans="10:10" ht="15.75" customHeight="1" x14ac:dyDescent="0.3">
      <c r="J759" s="121"/>
    </row>
    <row r="760" spans="10:10" ht="15.75" customHeight="1" x14ac:dyDescent="0.3">
      <c r="J760" s="121"/>
    </row>
    <row r="761" spans="10:10" ht="15.75" customHeight="1" x14ac:dyDescent="0.3">
      <c r="J761" s="121"/>
    </row>
    <row r="762" spans="10:10" ht="15.75" customHeight="1" x14ac:dyDescent="0.3">
      <c r="J762" s="121"/>
    </row>
    <row r="763" spans="10:10" ht="15.75" customHeight="1" x14ac:dyDescent="0.3">
      <c r="J763" s="121"/>
    </row>
    <row r="764" spans="10:10" ht="15.75" customHeight="1" x14ac:dyDescent="0.3">
      <c r="J764" s="121"/>
    </row>
    <row r="765" spans="10:10" ht="15.75" customHeight="1" x14ac:dyDescent="0.3">
      <c r="J765" s="121"/>
    </row>
    <row r="766" spans="10:10" ht="15.75" customHeight="1" x14ac:dyDescent="0.3">
      <c r="J766" s="121"/>
    </row>
    <row r="767" spans="10:10" ht="15.75" customHeight="1" x14ac:dyDescent="0.3">
      <c r="J767" s="121"/>
    </row>
    <row r="768" spans="10:10" ht="15.75" customHeight="1" x14ac:dyDescent="0.3">
      <c r="J768" s="121"/>
    </row>
    <row r="769" spans="10:10" ht="15.75" customHeight="1" x14ac:dyDescent="0.3">
      <c r="J769" s="121"/>
    </row>
    <row r="770" spans="10:10" ht="15.75" customHeight="1" x14ac:dyDescent="0.3">
      <c r="J770" s="121"/>
    </row>
    <row r="771" spans="10:10" ht="15.75" customHeight="1" x14ac:dyDescent="0.3">
      <c r="J771" s="121"/>
    </row>
    <row r="772" spans="10:10" ht="15.75" customHeight="1" x14ac:dyDescent="0.3">
      <c r="J772" s="121"/>
    </row>
    <row r="773" spans="10:10" ht="15.75" customHeight="1" x14ac:dyDescent="0.3">
      <c r="J773" s="121"/>
    </row>
    <row r="774" spans="10:10" ht="15.75" customHeight="1" x14ac:dyDescent="0.3">
      <c r="J774" s="121"/>
    </row>
    <row r="775" spans="10:10" ht="15.75" customHeight="1" x14ac:dyDescent="0.3">
      <c r="J775" s="121"/>
    </row>
    <row r="776" spans="10:10" ht="15.75" customHeight="1" x14ac:dyDescent="0.3">
      <c r="J776" s="121"/>
    </row>
    <row r="777" spans="10:10" ht="15.75" customHeight="1" x14ac:dyDescent="0.3">
      <c r="J777" s="121"/>
    </row>
    <row r="778" spans="10:10" ht="15.75" customHeight="1" x14ac:dyDescent="0.3">
      <c r="J778" s="121"/>
    </row>
    <row r="779" spans="10:10" ht="15.75" customHeight="1" x14ac:dyDescent="0.3">
      <c r="J779" s="121"/>
    </row>
    <row r="780" spans="10:10" ht="15.75" customHeight="1" x14ac:dyDescent="0.3">
      <c r="J780" s="121"/>
    </row>
    <row r="781" spans="10:10" ht="15.75" customHeight="1" x14ac:dyDescent="0.3">
      <c r="J781" s="121"/>
    </row>
    <row r="782" spans="10:10" ht="15.75" customHeight="1" x14ac:dyDescent="0.3">
      <c r="J782" s="121"/>
    </row>
    <row r="783" spans="10:10" ht="15.75" customHeight="1" x14ac:dyDescent="0.3">
      <c r="J783" s="121"/>
    </row>
    <row r="784" spans="10:10" ht="15.75" customHeight="1" x14ac:dyDescent="0.3">
      <c r="J784" s="121"/>
    </row>
    <row r="785" spans="10:10" ht="15.75" customHeight="1" x14ac:dyDescent="0.3">
      <c r="J785" s="121"/>
    </row>
    <row r="786" spans="10:10" ht="15.75" customHeight="1" x14ac:dyDescent="0.3">
      <c r="J786" s="121"/>
    </row>
    <row r="787" spans="10:10" ht="15.75" customHeight="1" x14ac:dyDescent="0.3">
      <c r="J787" s="121"/>
    </row>
    <row r="788" spans="10:10" ht="15.75" customHeight="1" x14ac:dyDescent="0.3">
      <c r="J788" s="121"/>
    </row>
    <row r="789" spans="10:10" ht="15.75" customHeight="1" x14ac:dyDescent="0.3">
      <c r="J789" s="121"/>
    </row>
    <row r="790" spans="10:10" ht="15.75" customHeight="1" x14ac:dyDescent="0.3">
      <c r="J790" s="121"/>
    </row>
    <row r="791" spans="10:10" ht="15.75" customHeight="1" x14ac:dyDescent="0.3">
      <c r="J791" s="121"/>
    </row>
    <row r="792" spans="10:10" ht="15.75" customHeight="1" x14ac:dyDescent="0.3">
      <c r="J792" s="121"/>
    </row>
    <row r="793" spans="10:10" ht="15.75" customHeight="1" x14ac:dyDescent="0.3">
      <c r="J793" s="121"/>
    </row>
    <row r="794" spans="10:10" ht="15.75" customHeight="1" x14ac:dyDescent="0.3">
      <c r="J794" s="121"/>
    </row>
    <row r="795" spans="10:10" ht="15.75" customHeight="1" x14ac:dyDescent="0.3">
      <c r="J795" s="121"/>
    </row>
    <row r="796" spans="10:10" ht="15.75" customHeight="1" x14ac:dyDescent="0.3">
      <c r="J796" s="121"/>
    </row>
    <row r="797" spans="10:10" ht="15.75" customHeight="1" x14ac:dyDescent="0.3">
      <c r="J797" s="121"/>
    </row>
    <row r="798" spans="10:10" ht="15.75" customHeight="1" x14ac:dyDescent="0.3">
      <c r="J798" s="121"/>
    </row>
    <row r="799" spans="10:10" ht="15.75" customHeight="1" x14ac:dyDescent="0.3">
      <c r="J799" s="121"/>
    </row>
    <row r="800" spans="10:10" ht="15.75" customHeight="1" x14ac:dyDescent="0.3">
      <c r="J800" s="121"/>
    </row>
    <row r="801" spans="10:10" ht="15.75" customHeight="1" x14ac:dyDescent="0.3">
      <c r="J801" s="121"/>
    </row>
    <row r="802" spans="10:10" ht="15.75" customHeight="1" x14ac:dyDescent="0.3">
      <c r="J802" s="121"/>
    </row>
    <row r="803" spans="10:10" ht="15.75" customHeight="1" x14ac:dyDescent="0.3">
      <c r="J803" s="121"/>
    </row>
    <row r="804" spans="10:10" ht="15.75" customHeight="1" x14ac:dyDescent="0.3">
      <c r="J804" s="121"/>
    </row>
    <row r="805" spans="10:10" ht="15.75" customHeight="1" x14ac:dyDescent="0.3">
      <c r="J805" s="121"/>
    </row>
    <row r="806" spans="10:10" ht="15.75" customHeight="1" x14ac:dyDescent="0.3">
      <c r="J806" s="121"/>
    </row>
    <row r="807" spans="10:10" ht="15.75" customHeight="1" x14ac:dyDescent="0.3">
      <c r="J807" s="121"/>
    </row>
    <row r="808" spans="10:10" ht="15.75" customHeight="1" x14ac:dyDescent="0.3">
      <c r="J808" s="121"/>
    </row>
    <row r="809" spans="10:10" ht="15.75" customHeight="1" x14ac:dyDescent="0.3">
      <c r="J809" s="121"/>
    </row>
    <row r="810" spans="10:10" ht="15.75" customHeight="1" x14ac:dyDescent="0.3">
      <c r="J810" s="121"/>
    </row>
    <row r="811" spans="10:10" ht="15.75" customHeight="1" x14ac:dyDescent="0.3">
      <c r="J811" s="121"/>
    </row>
    <row r="812" spans="10:10" ht="15.75" customHeight="1" x14ac:dyDescent="0.3">
      <c r="J812" s="121"/>
    </row>
    <row r="813" spans="10:10" ht="15.75" customHeight="1" x14ac:dyDescent="0.3">
      <c r="J813" s="121"/>
    </row>
    <row r="814" spans="10:10" ht="15.75" customHeight="1" x14ac:dyDescent="0.3">
      <c r="J814" s="121"/>
    </row>
    <row r="815" spans="10:10" ht="15.75" customHeight="1" x14ac:dyDescent="0.3">
      <c r="J815" s="121"/>
    </row>
    <row r="816" spans="10:10" ht="15.75" customHeight="1" x14ac:dyDescent="0.3">
      <c r="J816" s="121"/>
    </row>
    <row r="817" spans="10:10" ht="15.75" customHeight="1" x14ac:dyDescent="0.3">
      <c r="J817" s="121"/>
    </row>
    <row r="818" spans="10:10" ht="15.75" customHeight="1" x14ac:dyDescent="0.3">
      <c r="J818" s="121"/>
    </row>
    <row r="819" spans="10:10" ht="15.75" customHeight="1" x14ac:dyDescent="0.3">
      <c r="J819" s="121"/>
    </row>
    <row r="820" spans="10:10" ht="15.75" customHeight="1" x14ac:dyDescent="0.3">
      <c r="J820" s="121"/>
    </row>
    <row r="821" spans="10:10" ht="15.75" customHeight="1" x14ac:dyDescent="0.3">
      <c r="J821" s="121"/>
    </row>
    <row r="822" spans="10:10" ht="15.75" customHeight="1" x14ac:dyDescent="0.3">
      <c r="J822" s="121"/>
    </row>
    <row r="823" spans="10:10" ht="15.75" customHeight="1" x14ac:dyDescent="0.3">
      <c r="J823" s="121"/>
    </row>
    <row r="824" spans="10:10" ht="15.75" customHeight="1" x14ac:dyDescent="0.3">
      <c r="J824" s="121"/>
    </row>
    <row r="825" spans="10:10" ht="15.75" customHeight="1" x14ac:dyDescent="0.3">
      <c r="J825" s="121"/>
    </row>
    <row r="826" spans="10:10" ht="15.75" customHeight="1" x14ac:dyDescent="0.3">
      <c r="J826" s="121"/>
    </row>
    <row r="827" spans="10:10" ht="15.75" customHeight="1" x14ac:dyDescent="0.3">
      <c r="J827" s="121"/>
    </row>
    <row r="828" spans="10:10" ht="15.75" customHeight="1" x14ac:dyDescent="0.3">
      <c r="J828" s="121"/>
    </row>
    <row r="829" spans="10:10" ht="15.75" customHeight="1" x14ac:dyDescent="0.3">
      <c r="J829" s="121"/>
    </row>
    <row r="830" spans="10:10" ht="15.75" customHeight="1" x14ac:dyDescent="0.3">
      <c r="J830" s="121"/>
    </row>
    <row r="831" spans="10:10" ht="15.75" customHeight="1" x14ac:dyDescent="0.3">
      <c r="J831" s="121"/>
    </row>
    <row r="832" spans="10:10" ht="15.75" customHeight="1" x14ac:dyDescent="0.3">
      <c r="J832" s="121"/>
    </row>
    <row r="833" spans="10:10" ht="15.75" customHeight="1" x14ac:dyDescent="0.3">
      <c r="J833" s="121"/>
    </row>
    <row r="834" spans="10:10" ht="15.75" customHeight="1" x14ac:dyDescent="0.3">
      <c r="J834" s="121"/>
    </row>
    <row r="835" spans="10:10" ht="15.75" customHeight="1" x14ac:dyDescent="0.3">
      <c r="J835" s="121"/>
    </row>
    <row r="836" spans="10:10" ht="15.75" customHeight="1" x14ac:dyDescent="0.3">
      <c r="J836" s="121"/>
    </row>
    <row r="837" spans="10:10" ht="15.75" customHeight="1" x14ac:dyDescent="0.3">
      <c r="J837" s="121"/>
    </row>
    <row r="838" spans="10:10" ht="15.75" customHeight="1" x14ac:dyDescent="0.3">
      <c r="J838" s="121"/>
    </row>
    <row r="839" spans="10:10" ht="15.75" customHeight="1" x14ac:dyDescent="0.3">
      <c r="J839" s="121"/>
    </row>
    <row r="840" spans="10:10" ht="15.75" customHeight="1" x14ac:dyDescent="0.3">
      <c r="J840" s="121"/>
    </row>
    <row r="841" spans="10:10" ht="15.75" customHeight="1" x14ac:dyDescent="0.3">
      <c r="J841" s="121"/>
    </row>
    <row r="842" spans="10:10" ht="15.75" customHeight="1" x14ac:dyDescent="0.3">
      <c r="J842" s="121"/>
    </row>
    <row r="843" spans="10:10" ht="15.75" customHeight="1" x14ac:dyDescent="0.3">
      <c r="J843" s="121"/>
    </row>
    <row r="844" spans="10:10" ht="15.75" customHeight="1" x14ac:dyDescent="0.3">
      <c r="J844" s="121"/>
    </row>
    <row r="845" spans="10:10" ht="15.75" customHeight="1" x14ac:dyDescent="0.3">
      <c r="J845" s="121"/>
    </row>
    <row r="846" spans="10:10" ht="15.75" customHeight="1" x14ac:dyDescent="0.3">
      <c r="J846" s="121"/>
    </row>
    <row r="847" spans="10:10" ht="15.75" customHeight="1" x14ac:dyDescent="0.3">
      <c r="J847" s="121"/>
    </row>
    <row r="848" spans="10:10" ht="15.75" customHeight="1" x14ac:dyDescent="0.3">
      <c r="J848" s="121"/>
    </row>
    <row r="849" spans="10:10" ht="15.75" customHeight="1" x14ac:dyDescent="0.3">
      <c r="J849" s="121"/>
    </row>
    <row r="850" spans="10:10" ht="15.75" customHeight="1" x14ac:dyDescent="0.3">
      <c r="J850" s="121"/>
    </row>
    <row r="851" spans="10:10" ht="15.75" customHeight="1" x14ac:dyDescent="0.3">
      <c r="J851" s="121"/>
    </row>
    <row r="852" spans="10:10" ht="15.75" customHeight="1" x14ac:dyDescent="0.3">
      <c r="J852" s="121"/>
    </row>
    <row r="853" spans="10:10" ht="15.75" customHeight="1" x14ac:dyDescent="0.3">
      <c r="J853" s="121"/>
    </row>
    <row r="854" spans="10:10" ht="15.75" customHeight="1" x14ac:dyDescent="0.3">
      <c r="J854" s="121"/>
    </row>
    <row r="855" spans="10:10" ht="15.75" customHeight="1" x14ac:dyDescent="0.3">
      <c r="J855" s="121"/>
    </row>
    <row r="856" spans="10:10" ht="15.75" customHeight="1" x14ac:dyDescent="0.3">
      <c r="J856" s="121"/>
    </row>
    <row r="857" spans="10:10" ht="15.75" customHeight="1" x14ac:dyDescent="0.3">
      <c r="J857" s="121"/>
    </row>
    <row r="858" spans="10:10" ht="15.75" customHeight="1" x14ac:dyDescent="0.3">
      <c r="J858" s="121"/>
    </row>
    <row r="859" spans="10:10" ht="15.75" customHeight="1" x14ac:dyDescent="0.3">
      <c r="J859" s="121"/>
    </row>
    <row r="860" spans="10:10" ht="15.75" customHeight="1" x14ac:dyDescent="0.3">
      <c r="J860" s="121"/>
    </row>
    <row r="861" spans="10:10" ht="15.75" customHeight="1" x14ac:dyDescent="0.3">
      <c r="J861" s="121"/>
    </row>
    <row r="862" spans="10:10" ht="15.75" customHeight="1" x14ac:dyDescent="0.3">
      <c r="J862" s="121"/>
    </row>
    <row r="863" spans="10:10" ht="15.75" customHeight="1" x14ac:dyDescent="0.3">
      <c r="J863" s="121"/>
    </row>
    <row r="864" spans="10:10" ht="15.75" customHeight="1" x14ac:dyDescent="0.3">
      <c r="J864" s="121"/>
    </row>
    <row r="865" spans="10:10" ht="15.75" customHeight="1" x14ac:dyDescent="0.3">
      <c r="J865" s="121"/>
    </row>
    <row r="866" spans="10:10" ht="15.75" customHeight="1" x14ac:dyDescent="0.3">
      <c r="J866" s="121"/>
    </row>
    <row r="867" spans="10:10" ht="15.75" customHeight="1" x14ac:dyDescent="0.3">
      <c r="J867" s="121"/>
    </row>
    <row r="868" spans="10:10" ht="15.75" customHeight="1" x14ac:dyDescent="0.3">
      <c r="J868" s="121"/>
    </row>
    <row r="869" spans="10:10" ht="15.75" customHeight="1" x14ac:dyDescent="0.3">
      <c r="J869" s="121"/>
    </row>
    <row r="870" spans="10:10" ht="15.75" customHeight="1" x14ac:dyDescent="0.3">
      <c r="J870" s="121"/>
    </row>
    <row r="871" spans="10:10" ht="15.75" customHeight="1" x14ac:dyDescent="0.3">
      <c r="J871" s="121"/>
    </row>
    <row r="872" spans="10:10" ht="15.75" customHeight="1" x14ac:dyDescent="0.3">
      <c r="J872" s="121"/>
    </row>
    <row r="873" spans="10:10" ht="15.75" customHeight="1" x14ac:dyDescent="0.3">
      <c r="J873" s="121"/>
    </row>
    <row r="874" spans="10:10" ht="15.75" customHeight="1" x14ac:dyDescent="0.3">
      <c r="J874" s="121"/>
    </row>
    <row r="875" spans="10:10" ht="15.75" customHeight="1" x14ac:dyDescent="0.3">
      <c r="J875" s="121"/>
    </row>
    <row r="876" spans="10:10" ht="15.75" customHeight="1" x14ac:dyDescent="0.3">
      <c r="J876" s="121"/>
    </row>
    <row r="877" spans="10:10" ht="15.75" customHeight="1" x14ac:dyDescent="0.3">
      <c r="J877" s="121"/>
    </row>
    <row r="878" spans="10:10" ht="15.75" customHeight="1" x14ac:dyDescent="0.3">
      <c r="J878" s="121"/>
    </row>
    <row r="879" spans="10:10" ht="15.75" customHeight="1" x14ac:dyDescent="0.3">
      <c r="J879" s="121"/>
    </row>
    <row r="880" spans="10:10" ht="15.75" customHeight="1" x14ac:dyDescent="0.3">
      <c r="J880" s="121"/>
    </row>
    <row r="881" spans="10:10" ht="15.75" customHeight="1" x14ac:dyDescent="0.3">
      <c r="J881" s="121"/>
    </row>
    <row r="882" spans="10:10" ht="15.75" customHeight="1" x14ac:dyDescent="0.3">
      <c r="J882" s="121"/>
    </row>
    <row r="883" spans="10:10" ht="15.75" customHeight="1" x14ac:dyDescent="0.3">
      <c r="J883" s="121"/>
    </row>
    <row r="884" spans="10:10" ht="15.75" customHeight="1" x14ac:dyDescent="0.3">
      <c r="J884" s="121"/>
    </row>
    <row r="885" spans="10:10" ht="15.75" customHeight="1" x14ac:dyDescent="0.3">
      <c r="J885" s="121"/>
    </row>
    <row r="886" spans="10:10" ht="15.75" customHeight="1" x14ac:dyDescent="0.3">
      <c r="J886" s="121"/>
    </row>
    <row r="887" spans="10:10" ht="15.75" customHeight="1" x14ac:dyDescent="0.3">
      <c r="J887" s="121"/>
    </row>
    <row r="888" spans="10:10" ht="15.75" customHeight="1" x14ac:dyDescent="0.3">
      <c r="J888" s="121"/>
    </row>
    <row r="889" spans="10:10" ht="15.75" customHeight="1" x14ac:dyDescent="0.3">
      <c r="J889" s="121"/>
    </row>
    <row r="890" spans="10:10" ht="15.75" customHeight="1" x14ac:dyDescent="0.3">
      <c r="J890" s="121"/>
    </row>
    <row r="891" spans="10:10" ht="15.75" customHeight="1" x14ac:dyDescent="0.3">
      <c r="J891" s="121"/>
    </row>
    <row r="892" spans="10:10" ht="15.75" customHeight="1" x14ac:dyDescent="0.3">
      <c r="J892" s="121"/>
    </row>
    <row r="893" spans="10:10" ht="15.75" customHeight="1" x14ac:dyDescent="0.3">
      <c r="J893" s="121"/>
    </row>
    <row r="894" spans="10:10" ht="15.75" customHeight="1" x14ac:dyDescent="0.3">
      <c r="J894" s="121"/>
    </row>
    <row r="895" spans="10:10" ht="15.75" customHeight="1" x14ac:dyDescent="0.3">
      <c r="J895" s="121"/>
    </row>
    <row r="896" spans="10:10" ht="15.75" customHeight="1" x14ac:dyDescent="0.3">
      <c r="J896" s="121"/>
    </row>
    <row r="897" spans="10:10" ht="15.75" customHeight="1" x14ac:dyDescent="0.3">
      <c r="J897" s="121"/>
    </row>
    <row r="898" spans="10:10" ht="15.75" customHeight="1" x14ac:dyDescent="0.3">
      <c r="J898" s="121"/>
    </row>
    <row r="899" spans="10:10" ht="15.75" customHeight="1" x14ac:dyDescent="0.3">
      <c r="J899" s="121"/>
    </row>
    <row r="900" spans="10:10" ht="15.75" customHeight="1" x14ac:dyDescent="0.3">
      <c r="J900" s="121"/>
    </row>
    <row r="901" spans="10:10" ht="15.75" customHeight="1" x14ac:dyDescent="0.3">
      <c r="J901" s="121"/>
    </row>
    <row r="902" spans="10:10" ht="15.75" customHeight="1" x14ac:dyDescent="0.3">
      <c r="J902" s="121"/>
    </row>
    <row r="903" spans="10:10" ht="15.75" customHeight="1" x14ac:dyDescent="0.3">
      <c r="J903" s="121"/>
    </row>
    <row r="904" spans="10:10" ht="15.75" customHeight="1" x14ac:dyDescent="0.3">
      <c r="J904" s="121"/>
    </row>
    <row r="905" spans="10:10" ht="15.75" customHeight="1" x14ac:dyDescent="0.3">
      <c r="J905" s="121"/>
    </row>
    <row r="906" spans="10:10" ht="15.75" customHeight="1" x14ac:dyDescent="0.3">
      <c r="J906" s="121"/>
    </row>
    <row r="907" spans="10:10" ht="15.75" customHeight="1" x14ac:dyDescent="0.3">
      <c r="J907" s="121"/>
    </row>
    <row r="908" spans="10:10" ht="15.75" customHeight="1" x14ac:dyDescent="0.3">
      <c r="J908" s="121"/>
    </row>
    <row r="909" spans="10:10" ht="15.75" customHeight="1" x14ac:dyDescent="0.3">
      <c r="J909" s="121"/>
    </row>
    <row r="910" spans="10:10" ht="15.75" customHeight="1" x14ac:dyDescent="0.3">
      <c r="J910" s="121"/>
    </row>
    <row r="911" spans="10:10" ht="15.75" customHeight="1" x14ac:dyDescent="0.3">
      <c r="J911" s="121"/>
    </row>
    <row r="912" spans="10:10" ht="15.75" customHeight="1" x14ac:dyDescent="0.3">
      <c r="J912" s="121"/>
    </row>
    <row r="913" spans="10:10" ht="15.75" customHeight="1" x14ac:dyDescent="0.3">
      <c r="J913" s="121"/>
    </row>
    <row r="914" spans="10:10" ht="15.75" customHeight="1" x14ac:dyDescent="0.3">
      <c r="J914" s="121"/>
    </row>
    <row r="915" spans="10:10" ht="15.75" customHeight="1" x14ac:dyDescent="0.3">
      <c r="J915" s="121"/>
    </row>
    <row r="916" spans="10:10" ht="15.75" customHeight="1" x14ac:dyDescent="0.3">
      <c r="J916" s="121"/>
    </row>
    <row r="917" spans="10:10" ht="15.75" customHeight="1" x14ac:dyDescent="0.3">
      <c r="J917" s="121"/>
    </row>
    <row r="918" spans="10:10" ht="15.75" customHeight="1" x14ac:dyDescent="0.3">
      <c r="J918" s="121"/>
    </row>
    <row r="919" spans="10:10" ht="15.75" customHeight="1" x14ac:dyDescent="0.3">
      <c r="J919" s="121"/>
    </row>
    <row r="920" spans="10:10" ht="15.75" customHeight="1" x14ac:dyDescent="0.3">
      <c r="J920" s="121"/>
    </row>
    <row r="921" spans="10:10" ht="15.75" customHeight="1" x14ac:dyDescent="0.3">
      <c r="J921" s="121"/>
    </row>
    <row r="922" spans="10:10" ht="15.75" customHeight="1" x14ac:dyDescent="0.3">
      <c r="J922" s="121"/>
    </row>
    <row r="923" spans="10:10" ht="15.75" customHeight="1" x14ac:dyDescent="0.3">
      <c r="J923" s="121"/>
    </row>
    <row r="924" spans="10:10" ht="15.75" customHeight="1" x14ac:dyDescent="0.3">
      <c r="J924" s="121"/>
    </row>
    <row r="925" spans="10:10" ht="15.75" customHeight="1" x14ac:dyDescent="0.3">
      <c r="J925" s="121"/>
    </row>
    <row r="926" spans="10:10" ht="15.75" customHeight="1" x14ac:dyDescent="0.3">
      <c r="J926" s="121"/>
    </row>
    <row r="927" spans="10:10" ht="15.75" customHeight="1" x14ac:dyDescent="0.3">
      <c r="J927" s="121"/>
    </row>
    <row r="928" spans="10:10" ht="15.75" customHeight="1" x14ac:dyDescent="0.3">
      <c r="J928" s="121"/>
    </row>
    <row r="929" spans="10:10" ht="15.75" customHeight="1" x14ac:dyDescent="0.3">
      <c r="J929" s="121"/>
    </row>
    <row r="930" spans="10:10" ht="15.75" customHeight="1" x14ac:dyDescent="0.3">
      <c r="J930" s="121"/>
    </row>
    <row r="931" spans="10:10" ht="15.75" customHeight="1" x14ac:dyDescent="0.3">
      <c r="J931" s="121"/>
    </row>
    <row r="932" spans="10:10" ht="15.75" customHeight="1" x14ac:dyDescent="0.3">
      <c r="J932" s="121"/>
    </row>
    <row r="933" spans="10:10" ht="15.75" customHeight="1" x14ac:dyDescent="0.3">
      <c r="J933" s="121"/>
    </row>
    <row r="934" spans="10:10" ht="15.75" customHeight="1" x14ac:dyDescent="0.3">
      <c r="J934" s="121"/>
    </row>
    <row r="935" spans="10:10" ht="15.75" customHeight="1" x14ac:dyDescent="0.3">
      <c r="J935" s="121"/>
    </row>
    <row r="936" spans="10:10" ht="15.75" customHeight="1" x14ac:dyDescent="0.3">
      <c r="J936" s="121"/>
    </row>
    <row r="937" spans="10:10" ht="15.75" customHeight="1" x14ac:dyDescent="0.3">
      <c r="J937" s="121"/>
    </row>
    <row r="938" spans="10:10" ht="15.75" customHeight="1" x14ac:dyDescent="0.3">
      <c r="J938" s="121"/>
    </row>
    <row r="939" spans="10:10" ht="15.75" customHeight="1" x14ac:dyDescent="0.3">
      <c r="J939" s="121"/>
    </row>
    <row r="940" spans="10:10" ht="15.75" customHeight="1" x14ac:dyDescent="0.3">
      <c r="J940" s="121"/>
    </row>
    <row r="941" spans="10:10" ht="15.75" customHeight="1" x14ac:dyDescent="0.3">
      <c r="J941" s="121"/>
    </row>
    <row r="942" spans="10:10" ht="15.75" customHeight="1" x14ac:dyDescent="0.3">
      <c r="J942" s="121"/>
    </row>
    <row r="943" spans="10:10" ht="15.75" customHeight="1" x14ac:dyDescent="0.3">
      <c r="J943" s="121"/>
    </row>
    <row r="944" spans="10:10" ht="15.75" customHeight="1" x14ac:dyDescent="0.3">
      <c r="J944" s="121"/>
    </row>
    <row r="945" spans="10:10" ht="15.75" customHeight="1" x14ac:dyDescent="0.3">
      <c r="J945" s="121"/>
    </row>
    <row r="946" spans="10:10" ht="15.75" customHeight="1" x14ac:dyDescent="0.3">
      <c r="J946" s="121"/>
    </row>
    <row r="947" spans="10:10" ht="15.75" customHeight="1" x14ac:dyDescent="0.3">
      <c r="J947" s="121"/>
    </row>
    <row r="948" spans="10:10" ht="15.75" customHeight="1" x14ac:dyDescent="0.3">
      <c r="J948" s="121"/>
    </row>
    <row r="949" spans="10:10" ht="15.75" customHeight="1" x14ac:dyDescent="0.3">
      <c r="J949" s="121"/>
    </row>
    <row r="950" spans="10:10" ht="15.75" customHeight="1" x14ac:dyDescent="0.3">
      <c r="J950" s="121"/>
    </row>
    <row r="951" spans="10:10" ht="15.75" customHeight="1" x14ac:dyDescent="0.3">
      <c r="J951" s="121"/>
    </row>
    <row r="952" spans="10:10" ht="15.75" customHeight="1" x14ac:dyDescent="0.3">
      <c r="J952" s="121"/>
    </row>
    <row r="953" spans="10:10" ht="15.75" customHeight="1" x14ac:dyDescent="0.3">
      <c r="J953" s="121"/>
    </row>
    <row r="954" spans="10:10" ht="15.75" customHeight="1" x14ac:dyDescent="0.3">
      <c r="J954" s="121"/>
    </row>
    <row r="955" spans="10:10" ht="15.75" customHeight="1" x14ac:dyDescent="0.3">
      <c r="J955" s="121"/>
    </row>
    <row r="956" spans="10:10" ht="15.75" customHeight="1" x14ac:dyDescent="0.3">
      <c r="J956" s="121"/>
    </row>
    <row r="957" spans="10:10" ht="15.75" customHeight="1" x14ac:dyDescent="0.3">
      <c r="J957" s="121"/>
    </row>
    <row r="958" spans="10:10" ht="15.75" customHeight="1" x14ac:dyDescent="0.3">
      <c r="J958" s="121"/>
    </row>
    <row r="959" spans="10:10" ht="15.75" customHeight="1" x14ac:dyDescent="0.3">
      <c r="J959" s="121"/>
    </row>
    <row r="960" spans="10:10" ht="15.75" customHeight="1" x14ac:dyDescent="0.3">
      <c r="J960" s="121"/>
    </row>
    <row r="961" spans="10:10" ht="15.75" customHeight="1" x14ac:dyDescent="0.3">
      <c r="J961" s="121"/>
    </row>
    <row r="962" spans="10:10" ht="15.75" customHeight="1" x14ac:dyDescent="0.3">
      <c r="J962" s="121"/>
    </row>
    <row r="963" spans="10:10" ht="15.75" customHeight="1" x14ac:dyDescent="0.3">
      <c r="J963" s="121"/>
    </row>
    <row r="964" spans="10:10" ht="15.75" customHeight="1" x14ac:dyDescent="0.3">
      <c r="J964" s="121"/>
    </row>
    <row r="965" spans="10:10" ht="15.75" customHeight="1" x14ac:dyDescent="0.3">
      <c r="J965" s="121"/>
    </row>
    <row r="966" spans="10:10" ht="15.75" customHeight="1" x14ac:dyDescent="0.3">
      <c r="J966" s="121"/>
    </row>
    <row r="967" spans="10:10" ht="15.75" customHeight="1" x14ac:dyDescent="0.3">
      <c r="J967" s="121"/>
    </row>
    <row r="968" spans="10:10" ht="15.75" customHeight="1" x14ac:dyDescent="0.3">
      <c r="J968" s="121"/>
    </row>
    <row r="969" spans="10:10" ht="15.75" customHeight="1" x14ac:dyDescent="0.3">
      <c r="J969" s="121"/>
    </row>
    <row r="970" spans="10:10" ht="15.75" customHeight="1" x14ac:dyDescent="0.3">
      <c r="J970" s="121"/>
    </row>
    <row r="971" spans="10:10" ht="15.75" customHeight="1" x14ac:dyDescent="0.3">
      <c r="J971" s="121"/>
    </row>
    <row r="972" spans="10:10" ht="15.75" customHeight="1" x14ac:dyDescent="0.3">
      <c r="J972" s="121"/>
    </row>
    <row r="973" spans="10:10" ht="15.75" customHeight="1" x14ac:dyDescent="0.3">
      <c r="J973" s="121"/>
    </row>
    <row r="974" spans="10:10" ht="15.75" customHeight="1" x14ac:dyDescent="0.3">
      <c r="J974" s="121"/>
    </row>
    <row r="975" spans="10:10" ht="15.75" customHeight="1" x14ac:dyDescent="0.3">
      <c r="J975" s="121"/>
    </row>
    <row r="976" spans="10:10" ht="15.75" customHeight="1" x14ac:dyDescent="0.3">
      <c r="J976" s="121"/>
    </row>
    <row r="977" spans="10:10" ht="15.75" customHeight="1" x14ac:dyDescent="0.3">
      <c r="J977" s="121"/>
    </row>
    <row r="978" spans="10:10" ht="15.75" customHeight="1" x14ac:dyDescent="0.3">
      <c r="J978" s="121"/>
    </row>
    <row r="979" spans="10:10" ht="15.75" customHeight="1" x14ac:dyDescent="0.3">
      <c r="J979" s="121"/>
    </row>
    <row r="980" spans="10:10" ht="15.75" customHeight="1" x14ac:dyDescent="0.3">
      <c r="J980" s="121"/>
    </row>
    <row r="981" spans="10:10" ht="15.75" customHeight="1" x14ac:dyDescent="0.3">
      <c r="J981" s="121"/>
    </row>
    <row r="982" spans="10:10" ht="15.75" customHeight="1" x14ac:dyDescent="0.3">
      <c r="J982" s="121"/>
    </row>
    <row r="983" spans="10:10" ht="15.75" customHeight="1" x14ac:dyDescent="0.3">
      <c r="J983" s="121"/>
    </row>
    <row r="984" spans="10:10" ht="15.75" customHeight="1" x14ac:dyDescent="0.3">
      <c r="J984" s="121"/>
    </row>
    <row r="985" spans="10:10" ht="15.75" customHeight="1" x14ac:dyDescent="0.3">
      <c r="J985" s="121"/>
    </row>
    <row r="986" spans="10:10" ht="15.75" customHeight="1" x14ac:dyDescent="0.3">
      <c r="J986" s="121"/>
    </row>
    <row r="987" spans="10:10" ht="15.75" customHeight="1" x14ac:dyDescent="0.3">
      <c r="J987" s="121"/>
    </row>
    <row r="988" spans="10:10" ht="15.75" customHeight="1" x14ac:dyDescent="0.3">
      <c r="J988" s="121"/>
    </row>
    <row r="989" spans="10:10" ht="15.75" customHeight="1" x14ac:dyDescent="0.3">
      <c r="J989" s="121"/>
    </row>
    <row r="990" spans="10:10" ht="15.75" customHeight="1" x14ac:dyDescent="0.3">
      <c r="J990" s="121"/>
    </row>
    <row r="991" spans="10:10" ht="15.75" customHeight="1" x14ac:dyDescent="0.3">
      <c r="J991" s="121"/>
    </row>
    <row r="992" spans="10:10" ht="15.75" customHeight="1" x14ac:dyDescent="0.3">
      <c r="J992" s="121"/>
    </row>
    <row r="993" spans="10:10" ht="15.75" customHeight="1" x14ac:dyDescent="0.3">
      <c r="J993" s="121"/>
    </row>
    <row r="994" spans="10:10" ht="15.75" customHeight="1" x14ac:dyDescent="0.3">
      <c r="J994" s="121"/>
    </row>
    <row r="995" spans="10:10" ht="15.75" customHeight="1" x14ac:dyDescent="0.3">
      <c r="J995" s="121"/>
    </row>
    <row r="996" spans="10:10" ht="15.75" customHeight="1" x14ac:dyDescent="0.3">
      <c r="J996" s="121"/>
    </row>
    <row r="997" spans="10:10" ht="15.75" customHeight="1" x14ac:dyDescent="0.3">
      <c r="J997" s="121"/>
    </row>
    <row r="998" spans="10:10" ht="15.75" customHeight="1" x14ac:dyDescent="0.3">
      <c r="J998" s="121"/>
    </row>
    <row r="999" spans="10:10" ht="15.75" customHeight="1" x14ac:dyDescent="0.3">
      <c r="J999" s="121"/>
    </row>
    <row r="1000" spans="10:10" ht="15.75" customHeight="1" x14ac:dyDescent="0.3">
      <c r="J1000" s="121"/>
    </row>
  </sheetData>
  <mergeCells count="13">
    <mergeCell ref="A1:A4"/>
    <mergeCell ref="B1:B3"/>
    <mergeCell ref="C1:C3"/>
    <mergeCell ref="D1:D3"/>
    <mergeCell ref="E1:E3"/>
    <mergeCell ref="K2:K3"/>
    <mergeCell ref="L2:L3"/>
    <mergeCell ref="N6:N7"/>
    <mergeCell ref="F1:F3"/>
    <mergeCell ref="G1:G3"/>
    <mergeCell ref="H1:H3"/>
    <mergeCell ref="I1:I3"/>
    <mergeCell ref="J1:J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000"/>
  <sheetViews>
    <sheetView zoomScaleNormal="100" workbookViewId="0"/>
  </sheetViews>
  <sheetFormatPr defaultColWidth="14.44140625" defaultRowHeight="15" customHeight="1" x14ac:dyDescent="0.3"/>
  <cols>
    <col min="1" max="1" width="8.88671875" customWidth="1"/>
    <col min="2" max="2" width="20.44140625" customWidth="1"/>
    <col min="3" max="4" width="13.6640625" customWidth="1"/>
    <col min="5" max="5" width="8.88671875" customWidth="1"/>
  </cols>
  <sheetData>
    <row r="1" spans="2:5" ht="14.25" customHeight="1" x14ac:dyDescent="0.3">
      <c r="B1" s="122" t="s">
        <v>116</v>
      </c>
      <c r="C1" s="122"/>
      <c r="D1" s="122"/>
      <c r="E1" s="2" t="s">
        <v>117</v>
      </c>
    </row>
    <row r="2" spans="2:5" ht="14.25" customHeight="1" x14ac:dyDescent="0.3">
      <c r="B2" s="2"/>
      <c r="C2" s="2" t="s">
        <v>118</v>
      </c>
      <c r="D2" s="2" t="s">
        <v>119</v>
      </c>
      <c r="E2" s="2"/>
    </row>
    <row r="3" spans="2:5" ht="14.25" customHeight="1" x14ac:dyDescent="0.3">
      <c r="B3" s="122" t="s">
        <v>120</v>
      </c>
      <c r="C3" s="122" t="s">
        <v>121</v>
      </c>
      <c r="D3" s="122"/>
      <c r="E3" s="122" t="s">
        <v>50</v>
      </c>
    </row>
    <row r="4" spans="2:5" ht="14.25" customHeight="1" x14ac:dyDescent="0.3">
      <c r="B4" s="123">
        <v>1</v>
      </c>
      <c r="C4" s="123">
        <v>2.2200000000000002</v>
      </c>
      <c r="D4" s="2">
        <v>1.59</v>
      </c>
      <c r="E4" s="2">
        <v>4</v>
      </c>
    </row>
    <row r="5" spans="2:5" ht="14.25" customHeight="1" x14ac:dyDescent="0.3">
      <c r="B5" s="124">
        <v>2</v>
      </c>
      <c r="C5" s="124">
        <v>2.12</v>
      </c>
      <c r="D5" s="2">
        <v>1.41</v>
      </c>
      <c r="E5" s="2">
        <v>9</v>
      </c>
    </row>
    <row r="6" spans="2:5" ht="14.25" customHeight="1" x14ac:dyDescent="0.3">
      <c r="B6" s="124">
        <v>3</v>
      </c>
      <c r="C6" s="124">
        <v>1.97</v>
      </c>
      <c r="D6" s="2">
        <v>1.22</v>
      </c>
      <c r="E6" s="2">
        <v>14</v>
      </c>
    </row>
    <row r="7" spans="2:5" ht="14.25" customHeight="1" x14ac:dyDescent="0.3">
      <c r="B7" s="124">
        <v>4</v>
      </c>
      <c r="C7" s="124">
        <v>1.92</v>
      </c>
      <c r="D7" s="2">
        <v>1.1399999999999999</v>
      </c>
      <c r="E7" s="2">
        <v>20</v>
      </c>
    </row>
    <row r="8" spans="2:5" ht="14.25" customHeight="1" x14ac:dyDescent="0.3">
      <c r="B8" s="124">
        <v>5</v>
      </c>
      <c r="C8" s="124">
        <v>1.82</v>
      </c>
      <c r="D8" s="2">
        <v>1.07</v>
      </c>
      <c r="E8" s="2">
        <v>25</v>
      </c>
    </row>
    <row r="9" spans="2:5" ht="14.25" customHeight="1" x14ac:dyDescent="0.3">
      <c r="B9" s="124">
        <v>6</v>
      </c>
      <c r="C9" s="124">
        <v>1.67</v>
      </c>
      <c r="D9" s="2">
        <v>1</v>
      </c>
      <c r="E9" s="2">
        <v>25</v>
      </c>
    </row>
    <row r="10" spans="2:5" ht="14.25" customHeight="1" x14ac:dyDescent="0.3">
      <c r="B10" s="125"/>
      <c r="C10" s="125"/>
      <c r="D10" s="2"/>
      <c r="E10" s="2">
        <v>25</v>
      </c>
    </row>
    <row r="11" spans="2:5" ht="14.25" customHeight="1" x14ac:dyDescent="0.3">
      <c r="B11" s="2"/>
      <c r="C11" s="2"/>
      <c r="D11" s="2"/>
      <c r="E11" s="2"/>
    </row>
    <row r="12" spans="2:5" ht="14.25" customHeight="1" x14ac:dyDescent="0.3">
      <c r="B12" s="122" t="s">
        <v>122</v>
      </c>
      <c r="C12" s="2"/>
      <c r="D12" s="2"/>
      <c r="E12" s="2"/>
    </row>
    <row r="13" spans="2:5" ht="14.4" x14ac:dyDescent="0.3">
      <c r="E13" s="2"/>
    </row>
    <row r="14" spans="2:5" ht="14.4" x14ac:dyDescent="0.3">
      <c r="E14" s="2"/>
    </row>
    <row r="15" spans="2:5" ht="14.4" x14ac:dyDescent="0.3">
      <c r="E15" s="2"/>
    </row>
    <row r="16" spans="2:5" ht="14.4" x14ac:dyDescent="0.3">
      <c r="E16" s="2"/>
    </row>
    <row r="17" spans="2:5" ht="14.4" x14ac:dyDescent="0.3">
      <c r="E17" s="2"/>
    </row>
    <row r="18" spans="2:5" ht="14.4" x14ac:dyDescent="0.3">
      <c r="E18" s="2"/>
    </row>
    <row r="19" spans="2:5" ht="14.25" customHeight="1" x14ac:dyDescent="0.3">
      <c r="B19" s="122" t="s">
        <v>123</v>
      </c>
      <c r="E19" s="2"/>
    </row>
    <row r="20" spans="2:5" ht="14.25" customHeight="1" x14ac:dyDescent="0.3">
      <c r="B20" s="2"/>
      <c r="E20" s="2"/>
    </row>
    <row r="21" spans="2:5" ht="14.25" customHeight="1" x14ac:dyDescent="0.3">
      <c r="B21" s="122"/>
      <c r="E21" s="2"/>
    </row>
    <row r="22" spans="2:5" ht="14.25" customHeight="1" x14ac:dyDescent="0.3">
      <c r="B22" s="123"/>
      <c r="E22" s="2"/>
    </row>
    <row r="23" spans="2:5" ht="14.25" customHeight="1" x14ac:dyDescent="0.3">
      <c r="B23" s="124"/>
      <c r="E23" s="2"/>
    </row>
    <row r="24" spans="2:5" ht="14.25" customHeight="1" x14ac:dyDescent="0.3">
      <c r="B24" s="125"/>
      <c r="E24" s="2"/>
    </row>
    <row r="25" spans="2:5" ht="14.25" customHeight="1" x14ac:dyDescent="0.3">
      <c r="B25" s="2"/>
      <c r="E25" s="2"/>
    </row>
    <row r="26" spans="2:5" ht="14.25" customHeight="1" x14ac:dyDescent="0.3">
      <c r="B26" s="2"/>
      <c r="E26" s="2"/>
    </row>
    <row r="27" spans="2:5" ht="14.25" customHeight="1" x14ac:dyDescent="0.3">
      <c r="B27" s="122" t="s">
        <v>124</v>
      </c>
      <c r="E27" s="2"/>
    </row>
    <row r="28" spans="2:5" ht="14.25" customHeight="1" x14ac:dyDescent="0.3">
      <c r="B28" s="2"/>
      <c r="E28" s="2"/>
    </row>
    <row r="29" spans="2:5" ht="14.25" customHeight="1" x14ac:dyDescent="0.3">
      <c r="B29" s="122"/>
      <c r="E29" s="2"/>
    </row>
    <row r="30" spans="2:5" ht="14.25" customHeight="1" x14ac:dyDescent="0.3">
      <c r="B30" s="123" t="s">
        <v>125</v>
      </c>
      <c r="E30" s="2"/>
    </row>
    <row r="31" spans="2:5" ht="14.25" customHeight="1" x14ac:dyDescent="0.3">
      <c r="B31" s="125" t="s">
        <v>24</v>
      </c>
      <c r="E31" s="2"/>
    </row>
    <row r="32" spans="2:5" ht="15.75" customHeight="1" x14ac:dyDescent="0.3">
      <c r="E32" s="2"/>
    </row>
    <row r="33" spans="2:7" ht="14.25" customHeight="1" x14ac:dyDescent="0.3">
      <c r="B33" s="126" t="s">
        <v>17</v>
      </c>
      <c r="E33" s="2" t="s">
        <v>121</v>
      </c>
      <c r="F33" t="s">
        <v>126</v>
      </c>
      <c r="G33" t="s">
        <v>127</v>
      </c>
    </row>
    <row r="34" spans="2:7" ht="14.25" customHeight="1" x14ac:dyDescent="0.3">
      <c r="B34" s="127" t="s">
        <v>128</v>
      </c>
      <c r="E34" s="128">
        <v>0</v>
      </c>
      <c r="G34" t="s">
        <v>129</v>
      </c>
    </row>
    <row r="35" spans="2:7" ht="14.25" customHeight="1" x14ac:dyDescent="0.3">
      <c r="B35" s="129" t="s">
        <v>130</v>
      </c>
      <c r="E35" s="128">
        <v>0</v>
      </c>
      <c r="G35" t="s">
        <v>129</v>
      </c>
    </row>
    <row r="36" spans="2:7" ht="14.25" customHeight="1" x14ac:dyDescent="0.3">
      <c r="B36" s="129" t="s">
        <v>18</v>
      </c>
      <c r="E36" s="128">
        <v>5.0000000000000001E-3</v>
      </c>
      <c r="F36" t="s">
        <v>21</v>
      </c>
      <c r="G36" t="s">
        <v>129</v>
      </c>
    </row>
    <row r="37" spans="2:7" ht="14.25" customHeight="1" x14ac:dyDescent="0.3">
      <c r="B37" s="129" t="s">
        <v>131</v>
      </c>
      <c r="E37" s="128">
        <v>0.01</v>
      </c>
      <c r="F37" t="s">
        <v>21</v>
      </c>
      <c r="G37">
        <v>50</v>
      </c>
    </row>
    <row r="38" spans="2:7" ht="14.25" customHeight="1" x14ac:dyDescent="0.3">
      <c r="B38" s="129" t="s">
        <v>132</v>
      </c>
      <c r="E38" s="128">
        <v>0.02</v>
      </c>
      <c r="F38" t="s">
        <v>21</v>
      </c>
      <c r="G38">
        <v>25</v>
      </c>
    </row>
    <row r="39" spans="2:7" ht="14.25" customHeight="1" x14ac:dyDescent="0.3">
      <c r="B39" s="129" t="s">
        <v>133</v>
      </c>
      <c r="E39" s="128">
        <v>0.02</v>
      </c>
      <c r="F39" t="s">
        <v>21</v>
      </c>
      <c r="G39">
        <v>25</v>
      </c>
    </row>
    <row r="40" spans="2:7" ht="14.25" customHeight="1" x14ac:dyDescent="0.3">
      <c r="B40" s="130" t="s">
        <v>134</v>
      </c>
      <c r="E40" s="128">
        <v>0</v>
      </c>
      <c r="G40" t="s">
        <v>129</v>
      </c>
    </row>
    <row r="41" spans="2:7" ht="14.25" customHeight="1" x14ac:dyDescent="0.3">
      <c r="B41" s="53"/>
      <c r="E41" s="2"/>
    </row>
    <row r="42" spans="2:7" ht="14.25" customHeight="1" x14ac:dyDescent="0.3">
      <c r="B42" s="2"/>
      <c r="E42" s="2"/>
    </row>
    <row r="43" spans="2:7" ht="14.25" customHeight="1" x14ac:dyDescent="0.3">
      <c r="B43" s="2"/>
      <c r="E43" s="2"/>
    </row>
    <row r="44" spans="2:7" ht="14.25" customHeight="1" x14ac:dyDescent="0.3">
      <c r="B44" s="122" t="s">
        <v>25</v>
      </c>
      <c r="E44" s="2"/>
    </row>
    <row r="45" spans="2:7" ht="14.25" customHeight="1" x14ac:dyDescent="0.3">
      <c r="B45" s="2"/>
      <c r="E45" s="2"/>
    </row>
    <row r="46" spans="2:7" ht="14.25" customHeight="1" x14ac:dyDescent="0.3">
      <c r="B46" s="122"/>
      <c r="E46" s="2"/>
    </row>
    <row r="47" spans="2:7" ht="14.25" customHeight="1" x14ac:dyDescent="0.3">
      <c r="B47" s="123" t="s">
        <v>135</v>
      </c>
      <c r="E47" s="2"/>
    </row>
    <row r="48" spans="2:7" ht="14.25" customHeight="1" x14ac:dyDescent="0.3">
      <c r="B48" s="125" t="s">
        <v>26</v>
      </c>
      <c r="E48" s="2"/>
    </row>
    <row r="49" spans="5:5" ht="15.75" customHeight="1" x14ac:dyDescent="0.3">
      <c r="E49" s="2"/>
    </row>
    <row r="50" spans="5:5" ht="15.75" customHeight="1" x14ac:dyDescent="0.3">
      <c r="E50" s="2"/>
    </row>
    <row r="51" spans="5:5" ht="15.75" customHeight="1" x14ac:dyDescent="0.3">
      <c r="E51" s="2"/>
    </row>
    <row r="52" spans="5:5" ht="15.75" customHeight="1" x14ac:dyDescent="0.3">
      <c r="E52" s="2"/>
    </row>
    <row r="53" spans="5:5" ht="15.75" customHeight="1" x14ac:dyDescent="0.3">
      <c r="E53" s="2"/>
    </row>
    <row r="54" spans="5:5" ht="15.75" customHeight="1" x14ac:dyDescent="0.3">
      <c r="E54" s="2"/>
    </row>
    <row r="55" spans="5:5" ht="15.75" customHeight="1" x14ac:dyDescent="0.3">
      <c r="E55" s="2"/>
    </row>
    <row r="56" spans="5:5" ht="15.75" customHeight="1" x14ac:dyDescent="0.3">
      <c r="E56" s="2"/>
    </row>
    <row r="57" spans="5:5" ht="15.75" customHeight="1" x14ac:dyDescent="0.3">
      <c r="E57" s="2"/>
    </row>
    <row r="58" spans="5:5" ht="15.75" customHeight="1" x14ac:dyDescent="0.3">
      <c r="E58" s="2"/>
    </row>
    <row r="59" spans="5:5" ht="15.75" customHeight="1" x14ac:dyDescent="0.3">
      <c r="E59" s="2"/>
    </row>
    <row r="60" spans="5:5" ht="15.75" customHeight="1" x14ac:dyDescent="0.3">
      <c r="E60" s="2"/>
    </row>
    <row r="61" spans="5:5" ht="15.75" customHeight="1" x14ac:dyDescent="0.3">
      <c r="E61" s="2"/>
    </row>
    <row r="62" spans="5:5" ht="15.75" customHeight="1" x14ac:dyDescent="0.3">
      <c r="E62" s="2"/>
    </row>
    <row r="63" spans="5:5" ht="15.75" customHeight="1" x14ac:dyDescent="0.3">
      <c r="E63" s="2"/>
    </row>
    <row r="64" spans="5:5" ht="15.75" customHeight="1" x14ac:dyDescent="0.3">
      <c r="E64" s="2"/>
    </row>
    <row r="65" spans="5:5" ht="15.75" customHeight="1" x14ac:dyDescent="0.3">
      <c r="E65" s="2"/>
    </row>
    <row r="66" spans="5:5" ht="15.75" customHeight="1" x14ac:dyDescent="0.3">
      <c r="E66" s="2"/>
    </row>
    <row r="67" spans="5:5" ht="15.75" customHeight="1" x14ac:dyDescent="0.3">
      <c r="E67" s="2"/>
    </row>
    <row r="68" spans="5:5" ht="15.75" customHeight="1" x14ac:dyDescent="0.3">
      <c r="E68" s="2"/>
    </row>
    <row r="69" spans="5:5" ht="15.75" customHeight="1" x14ac:dyDescent="0.3">
      <c r="E69" s="2"/>
    </row>
    <row r="70" spans="5:5" ht="15.75" customHeight="1" x14ac:dyDescent="0.3">
      <c r="E70" s="2"/>
    </row>
    <row r="71" spans="5:5" ht="15.75" customHeight="1" x14ac:dyDescent="0.3">
      <c r="E71" s="2"/>
    </row>
    <row r="72" spans="5:5" ht="15.75" customHeight="1" x14ac:dyDescent="0.3">
      <c r="E72" s="2"/>
    </row>
    <row r="73" spans="5:5" ht="15.75" customHeight="1" x14ac:dyDescent="0.3">
      <c r="E73" s="2"/>
    </row>
    <row r="74" spans="5:5" ht="15.75" customHeight="1" x14ac:dyDescent="0.3">
      <c r="E74" s="2"/>
    </row>
    <row r="75" spans="5:5" ht="15.75" customHeight="1" x14ac:dyDescent="0.3">
      <c r="E75" s="2"/>
    </row>
    <row r="76" spans="5:5" ht="15.75" customHeight="1" x14ac:dyDescent="0.3">
      <c r="E76" s="2"/>
    </row>
    <row r="77" spans="5:5" ht="15.75" customHeight="1" x14ac:dyDescent="0.3">
      <c r="E77" s="2"/>
    </row>
    <row r="78" spans="5:5" ht="15.75" customHeight="1" x14ac:dyDescent="0.3">
      <c r="E78" s="2"/>
    </row>
    <row r="79" spans="5:5" ht="15.75" customHeight="1" x14ac:dyDescent="0.3">
      <c r="E79" s="2"/>
    </row>
    <row r="80" spans="5:5" ht="15.75" customHeight="1" x14ac:dyDescent="0.3">
      <c r="E80" s="2"/>
    </row>
    <row r="81" spans="5:5" ht="15.75" customHeight="1" x14ac:dyDescent="0.3">
      <c r="E81" s="2"/>
    </row>
    <row r="82" spans="5:5" ht="15.75" customHeight="1" x14ac:dyDescent="0.3">
      <c r="E82" s="2"/>
    </row>
    <row r="83" spans="5:5" ht="15.75" customHeight="1" x14ac:dyDescent="0.3">
      <c r="E83" s="2"/>
    </row>
    <row r="84" spans="5:5" ht="15.75" customHeight="1" x14ac:dyDescent="0.3">
      <c r="E84" s="2"/>
    </row>
    <row r="85" spans="5:5" ht="15.75" customHeight="1" x14ac:dyDescent="0.3">
      <c r="E85" s="2"/>
    </row>
    <row r="86" spans="5:5" ht="15.75" customHeight="1" x14ac:dyDescent="0.3">
      <c r="E86" s="2"/>
    </row>
    <row r="87" spans="5:5" ht="15.75" customHeight="1" x14ac:dyDescent="0.3">
      <c r="E87" s="2"/>
    </row>
    <row r="88" spans="5:5" ht="15.75" customHeight="1" x14ac:dyDescent="0.3">
      <c r="E88" s="2"/>
    </row>
    <row r="89" spans="5:5" ht="15.75" customHeight="1" x14ac:dyDescent="0.3">
      <c r="E89" s="2"/>
    </row>
    <row r="90" spans="5:5" ht="15.75" customHeight="1" x14ac:dyDescent="0.3">
      <c r="E90" s="2"/>
    </row>
    <row r="91" spans="5:5" ht="15.75" customHeight="1" x14ac:dyDescent="0.3">
      <c r="E91" s="2"/>
    </row>
    <row r="92" spans="5:5" ht="15.75" customHeight="1" x14ac:dyDescent="0.3">
      <c r="E92" s="2"/>
    </row>
    <row r="93" spans="5:5" ht="15.75" customHeight="1" x14ac:dyDescent="0.3">
      <c r="E93" s="2"/>
    </row>
    <row r="94" spans="5:5" ht="15.75" customHeight="1" x14ac:dyDescent="0.3">
      <c r="E94" s="2"/>
    </row>
    <row r="95" spans="5:5" ht="15.75" customHeight="1" x14ac:dyDescent="0.3">
      <c r="E95" s="2"/>
    </row>
    <row r="96" spans="5:5" ht="15.75" customHeight="1" x14ac:dyDescent="0.3">
      <c r="E96" s="2"/>
    </row>
    <row r="97" spans="5:5" ht="15.75" customHeight="1" x14ac:dyDescent="0.3">
      <c r="E97" s="2"/>
    </row>
    <row r="98" spans="5:5" ht="15.75" customHeight="1" x14ac:dyDescent="0.3">
      <c r="E98" s="2"/>
    </row>
    <row r="99" spans="5:5" ht="15.75" customHeight="1" x14ac:dyDescent="0.3">
      <c r="E99" s="2"/>
    </row>
    <row r="100" spans="5:5" ht="15.75" customHeight="1" x14ac:dyDescent="0.3">
      <c r="E100" s="2"/>
    </row>
    <row r="101" spans="5:5" ht="15.75" customHeight="1" x14ac:dyDescent="0.3">
      <c r="E101" s="2"/>
    </row>
    <row r="102" spans="5:5" ht="15.75" customHeight="1" x14ac:dyDescent="0.3">
      <c r="E102" s="2"/>
    </row>
    <row r="103" spans="5:5" ht="15.75" customHeight="1" x14ac:dyDescent="0.3">
      <c r="E103" s="2"/>
    </row>
    <row r="104" spans="5:5" ht="15.75" customHeight="1" x14ac:dyDescent="0.3">
      <c r="E104" s="2"/>
    </row>
    <row r="105" spans="5:5" ht="15.75" customHeight="1" x14ac:dyDescent="0.3">
      <c r="E105" s="2"/>
    </row>
    <row r="106" spans="5:5" ht="15.75" customHeight="1" x14ac:dyDescent="0.3">
      <c r="E106" s="2"/>
    </row>
    <row r="107" spans="5:5" ht="15.75" customHeight="1" x14ac:dyDescent="0.3">
      <c r="E107" s="2"/>
    </row>
    <row r="108" spans="5:5" ht="15.75" customHeight="1" x14ac:dyDescent="0.3">
      <c r="E108" s="2"/>
    </row>
    <row r="109" spans="5:5" ht="15.75" customHeight="1" x14ac:dyDescent="0.3">
      <c r="E109" s="2"/>
    </row>
    <row r="110" spans="5:5" ht="15.75" customHeight="1" x14ac:dyDescent="0.3">
      <c r="E110" s="2"/>
    </row>
    <row r="111" spans="5:5" ht="15.75" customHeight="1" x14ac:dyDescent="0.3">
      <c r="E111" s="2"/>
    </row>
    <row r="112" spans="5:5" ht="15.75" customHeight="1" x14ac:dyDescent="0.3">
      <c r="E112" s="2"/>
    </row>
    <row r="113" spans="5:5" ht="15.75" customHeight="1" x14ac:dyDescent="0.3">
      <c r="E113" s="2"/>
    </row>
    <row r="114" spans="5:5" ht="15.75" customHeight="1" x14ac:dyDescent="0.3">
      <c r="E114" s="2"/>
    </row>
    <row r="115" spans="5:5" ht="15.75" customHeight="1" x14ac:dyDescent="0.3">
      <c r="E115" s="2"/>
    </row>
    <row r="116" spans="5:5" ht="15.75" customHeight="1" x14ac:dyDescent="0.3">
      <c r="E116" s="2"/>
    </row>
    <row r="117" spans="5:5" ht="15.75" customHeight="1" x14ac:dyDescent="0.3">
      <c r="E117" s="2"/>
    </row>
    <row r="118" spans="5:5" ht="15.75" customHeight="1" x14ac:dyDescent="0.3">
      <c r="E118" s="2"/>
    </row>
    <row r="119" spans="5:5" ht="15.75" customHeight="1" x14ac:dyDescent="0.3">
      <c r="E119" s="2"/>
    </row>
    <row r="120" spans="5:5" ht="15.75" customHeight="1" x14ac:dyDescent="0.3">
      <c r="E120" s="2"/>
    </row>
    <row r="121" spans="5:5" ht="15.75" customHeight="1" x14ac:dyDescent="0.3">
      <c r="E121" s="2"/>
    </row>
    <row r="122" spans="5:5" ht="15.75" customHeight="1" x14ac:dyDescent="0.3">
      <c r="E122" s="2"/>
    </row>
    <row r="123" spans="5:5" ht="15.75" customHeight="1" x14ac:dyDescent="0.3">
      <c r="E123" s="2"/>
    </row>
    <row r="124" spans="5:5" ht="15.75" customHeight="1" x14ac:dyDescent="0.3">
      <c r="E124" s="2"/>
    </row>
    <row r="125" spans="5:5" ht="15.75" customHeight="1" x14ac:dyDescent="0.3">
      <c r="E125" s="2"/>
    </row>
    <row r="126" spans="5:5" ht="15.75" customHeight="1" x14ac:dyDescent="0.3">
      <c r="E126" s="2"/>
    </row>
    <row r="127" spans="5:5" ht="15.75" customHeight="1" x14ac:dyDescent="0.3">
      <c r="E127" s="2"/>
    </row>
    <row r="128" spans="5:5" ht="15.75" customHeight="1" x14ac:dyDescent="0.3">
      <c r="E128" s="2"/>
    </row>
    <row r="129" spans="5:5" ht="15.75" customHeight="1" x14ac:dyDescent="0.3">
      <c r="E129" s="2"/>
    </row>
    <row r="130" spans="5:5" ht="15.75" customHeight="1" x14ac:dyDescent="0.3">
      <c r="E130" s="2"/>
    </row>
    <row r="131" spans="5:5" ht="15.75" customHeight="1" x14ac:dyDescent="0.3">
      <c r="E131" s="2"/>
    </row>
    <row r="132" spans="5:5" ht="15.75" customHeight="1" x14ac:dyDescent="0.3">
      <c r="E132" s="2"/>
    </row>
    <row r="133" spans="5:5" ht="15.75" customHeight="1" x14ac:dyDescent="0.3">
      <c r="E133" s="2"/>
    </row>
    <row r="134" spans="5:5" ht="15.75" customHeight="1" x14ac:dyDescent="0.3">
      <c r="E134" s="2"/>
    </row>
    <row r="135" spans="5:5" ht="15.75" customHeight="1" x14ac:dyDescent="0.3">
      <c r="E135" s="2"/>
    </row>
    <row r="136" spans="5:5" ht="15.75" customHeight="1" x14ac:dyDescent="0.3">
      <c r="E136" s="2"/>
    </row>
    <row r="137" spans="5:5" ht="15.75" customHeight="1" x14ac:dyDescent="0.3">
      <c r="E137" s="2"/>
    </row>
    <row r="138" spans="5:5" ht="15.75" customHeight="1" x14ac:dyDescent="0.3">
      <c r="E138" s="2"/>
    </row>
    <row r="139" spans="5:5" ht="15.75" customHeight="1" x14ac:dyDescent="0.3">
      <c r="E139" s="2"/>
    </row>
    <row r="140" spans="5:5" ht="15.75" customHeight="1" x14ac:dyDescent="0.3">
      <c r="E140" s="2"/>
    </row>
    <row r="141" spans="5:5" ht="15.75" customHeight="1" x14ac:dyDescent="0.3">
      <c r="E141" s="2"/>
    </row>
    <row r="142" spans="5:5" ht="15.75" customHeight="1" x14ac:dyDescent="0.3">
      <c r="E142" s="2"/>
    </row>
    <row r="143" spans="5:5" ht="15.75" customHeight="1" x14ac:dyDescent="0.3">
      <c r="E143" s="2"/>
    </row>
    <row r="144" spans="5:5" ht="15.75" customHeight="1" x14ac:dyDescent="0.3">
      <c r="E144" s="2"/>
    </row>
    <row r="145" spans="5:5" ht="15.75" customHeight="1" x14ac:dyDescent="0.3">
      <c r="E145" s="2"/>
    </row>
    <row r="146" spans="5:5" ht="15.75" customHeight="1" x14ac:dyDescent="0.3">
      <c r="E146" s="2"/>
    </row>
    <row r="147" spans="5:5" ht="15.75" customHeight="1" x14ac:dyDescent="0.3">
      <c r="E147" s="2"/>
    </row>
    <row r="148" spans="5:5" ht="15.75" customHeight="1" x14ac:dyDescent="0.3">
      <c r="E148" s="2"/>
    </row>
    <row r="149" spans="5:5" ht="15.75" customHeight="1" x14ac:dyDescent="0.3">
      <c r="E149" s="2"/>
    </row>
    <row r="150" spans="5:5" ht="15.75" customHeight="1" x14ac:dyDescent="0.3">
      <c r="E150" s="2"/>
    </row>
    <row r="151" spans="5:5" ht="15.75" customHeight="1" x14ac:dyDescent="0.3">
      <c r="E151" s="2"/>
    </row>
    <row r="152" spans="5:5" ht="15.75" customHeight="1" x14ac:dyDescent="0.3">
      <c r="E152" s="2"/>
    </row>
    <row r="153" spans="5:5" ht="15.75" customHeight="1" x14ac:dyDescent="0.3">
      <c r="E153" s="2"/>
    </row>
    <row r="154" spans="5:5" ht="15.75" customHeight="1" x14ac:dyDescent="0.3">
      <c r="E154" s="2"/>
    </row>
    <row r="155" spans="5:5" ht="15.75" customHeight="1" x14ac:dyDescent="0.3">
      <c r="E155" s="2"/>
    </row>
    <row r="156" spans="5:5" ht="15.75" customHeight="1" x14ac:dyDescent="0.3">
      <c r="E156" s="2"/>
    </row>
    <row r="157" spans="5:5" ht="15.75" customHeight="1" x14ac:dyDescent="0.3">
      <c r="E157" s="2"/>
    </row>
    <row r="158" spans="5:5" ht="15.75" customHeight="1" x14ac:dyDescent="0.3">
      <c r="E158" s="2"/>
    </row>
    <row r="159" spans="5:5" ht="15.75" customHeight="1" x14ac:dyDescent="0.3">
      <c r="E159" s="2"/>
    </row>
    <row r="160" spans="5:5" ht="15.75" customHeight="1" x14ac:dyDescent="0.3">
      <c r="E160" s="2"/>
    </row>
    <row r="161" spans="5:5" ht="15.75" customHeight="1" x14ac:dyDescent="0.3">
      <c r="E161" s="2"/>
    </row>
    <row r="162" spans="5:5" ht="15.75" customHeight="1" x14ac:dyDescent="0.3">
      <c r="E162" s="2"/>
    </row>
    <row r="163" spans="5:5" ht="15.75" customHeight="1" x14ac:dyDescent="0.3">
      <c r="E163" s="2"/>
    </row>
    <row r="164" spans="5:5" ht="15.75" customHeight="1" x14ac:dyDescent="0.3">
      <c r="E164" s="2"/>
    </row>
    <row r="165" spans="5:5" ht="15.75" customHeight="1" x14ac:dyDescent="0.3">
      <c r="E165" s="2"/>
    </row>
    <row r="166" spans="5:5" ht="15.75" customHeight="1" x14ac:dyDescent="0.3">
      <c r="E166" s="2"/>
    </row>
    <row r="167" spans="5:5" ht="15.75" customHeight="1" x14ac:dyDescent="0.3">
      <c r="E167" s="2"/>
    </row>
    <row r="168" spans="5:5" ht="15.75" customHeight="1" x14ac:dyDescent="0.3">
      <c r="E168" s="2"/>
    </row>
    <row r="169" spans="5:5" ht="15.75" customHeight="1" x14ac:dyDescent="0.3">
      <c r="E169" s="2"/>
    </row>
    <row r="170" spans="5:5" ht="15.75" customHeight="1" x14ac:dyDescent="0.3">
      <c r="E170" s="2"/>
    </row>
    <row r="171" spans="5:5" ht="15.75" customHeight="1" x14ac:dyDescent="0.3">
      <c r="E171" s="2"/>
    </row>
    <row r="172" spans="5:5" ht="15.75" customHeight="1" x14ac:dyDescent="0.3">
      <c r="E172" s="2"/>
    </row>
    <row r="173" spans="5:5" ht="15.75" customHeight="1" x14ac:dyDescent="0.3">
      <c r="E173" s="2"/>
    </row>
    <row r="174" spans="5:5" ht="15.75" customHeight="1" x14ac:dyDescent="0.3">
      <c r="E174" s="2"/>
    </row>
    <row r="175" spans="5:5" ht="15.75" customHeight="1" x14ac:dyDescent="0.3">
      <c r="E175" s="2"/>
    </row>
    <row r="176" spans="5:5" ht="15.75" customHeight="1" x14ac:dyDescent="0.3">
      <c r="E176" s="2"/>
    </row>
    <row r="177" spans="5:5" ht="15.75" customHeight="1" x14ac:dyDescent="0.3">
      <c r="E177" s="2"/>
    </row>
    <row r="178" spans="5:5" ht="15.75" customHeight="1" x14ac:dyDescent="0.3">
      <c r="E178" s="2"/>
    </row>
    <row r="179" spans="5:5" ht="15.75" customHeight="1" x14ac:dyDescent="0.3">
      <c r="E179" s="2"/>
    </row>
    <row r="180" spans="5:5" ht="15.75" customHeight="1" x14ac:dyDescent="0.3">
      <c r="E180" s="2"/>
    </row>
    <row r="181" spans="5:5" ht="15.75" customHeight="1" x14ac:dyDescent="0.3">
      <c r="E181" s="2"/>
    </row>
    <row r="182" spans="5:5" ht="15.75" customHeight="1" x14ac:dyDescent="0.3">
      <c r="E182" s="2"/>
    </row>
    <row r="183" spans="5:5" ht="15.75" customHeight="1" x14ac:dyDescent="0.3">
      <c r="E183" s="2"/>
    </row>
    <row r="184" spans="5:5" ht="15.75" customHeight="1" x14ac:dyDescent="0.3">
      <c r="E184" s="2"/>
    </row>
    <row r="185" spans="5:5" ht="15.75" customHeight="1" x14ac:dyDescent="0.3">
      <c r="E185" s="2"/>
    </row>
    <row r="186" spans="5:5" ht="15.75" customHeight="1" x14ac:dyDescent="0.3">
      <c r="E186" s="2"/>
    </row>
    <row r="187" spans="5:5" ht="15.75" customHeight="1" x14ac:dyDescent="0.3">
      <c r="E187" s="2"/>
    </row>
    <row r="188" spans="5:5" ht="15.75" customHeight="1" x14ac:dyDescent="0.3">
      <c r="E188" s="2"/>
    </row>
    <row r="189" spans="5:5" ht="15.75" customHeight="1" x14ac:dyDescent="0.3">
      <c r="E189" s="2"/>
    </row>
    <row r="190" spans="5:5" ht="15.75" customHeight="1" x14ac:dyDescent="0.3">
      <c r="E190" s="2"/>
    </row>
    <row r="191" spans="5:5" ht="15.75" customHeight="1" x14ac:dyDescent="0.3">
      <c r="E191" s="2"/>
    </row>
    <row r="192" spans="5:5" ht="15.75" customHeight="1" x14ac:dyDescent="0.3">
      <c r="E192" s="2"/>
    </row>
    <row r="193" spans="5:5" ht="15.75" customHeight="1" x14ac:dyDescent="0.3">
      <c r="E193" s="2"/>
    </row>
    <row r="194" spans="5:5" ht="15.75" customHeight="1" x14ac:dyDescent="0.3">
      <c r="E194" s="2"/>
    </row>
    <row r="195" spans="5:5" ht="15.75" customHeight="1" x14ac:dyDescent="0.3">
      <c r="E195" s="2"/>
    </row>
    <row r="196" spans="5:5" ht="15.75" customHeight="1" x14ac:dyDescent="0.3">
      <c r="E196" s="2"/>
    </row>
    <row r="197" spans="5:5" ht="15.75" customHeight="1" x14ac:dyDescent="0.3">
      <c r="E197" s="2"/>
    </row>
    <row r="198" spans="5:5" ht="15.75" customHeight="1" x14ac:dyDescent="0.3">
      <c r="E198" s="2"/>
    </row>
    <row r="199" spans="5:5" ht="15.75" customHeight="1" x14ac:dyDescent="0.3">
      <c r="E199" s="2"/>
    </row>
    <row r="200" spans="5:5" ht="15.75" customHeight="1" x14ac:dyDescent="0.3">
      <c r="E200" s="2"/>
    </row>
    <row r="201" spans="5:5" ht="15.75" customHeight="1" x14ac:dyDescent="0.3">
      <c r="E201" s="2"/>
    </row>
    <row r="202" spans="5:5" ht="15.75" customHeight="1" x14ac:dyDescent="0.3">
      <c r="E202" s="2"/>
    </row>
    <row r="203" spans="5:5" ht="15.75" customHeight="1" x14ac:dyDescent="0.3">
      <c r="E203" s="2"/>
    </row>
    <row r="204" spans="5:5" ht="15.75" customHeight="1" x14ac:dyDescent="0.3">
      <c r="E204" s="2"/>
    </row>
    <row r="205" spans="5:5" ht="15.75" customHeight="1" x14ac:dyDescent="0.3">
      <c r="E205" s="2"/>
    </row>
    <row r="206" spans="5:5" ht="15.75" customHeight="1" x14ac:dyDescent="0.3">
      <c r="E206" s="2"/>
    </row>
    <row r="207" spans="5:5" ht="15.75" customHeight="1" x14ac:dyDescent="0.3">
      <c r="E207" s="2"/>
    </row>
    <row r="208" spans="5:5" ht="15.75" customHeight="1" x14ac:dyDescent="0.3">
      <c r="E208" s="2"/>
    </row>
    <row r="209" spans="5:5" ht="15.75" customHeight="1" x14ac:dyDescent="0.3">
      <c r="E209" s="2"/>
    </row>
    <row r="210" spans="5:5" ht="15.75" customHeight="1" x14ac:dyDescent="0.3">
      <c r="E210" s="2"/>
    </row>
    <row r="211" spans="5:5" ht="15.75" customHeight="1" x14ac:dyDescent="0.3">
      <c r="E211" s="2"/>
    </row>
    <row r="212" spans="5:5" ht="15.75" customHeight="1" x14ac:dyDescent="0.3">
      <c r="E212" s="2"/>
    </row>
    <row r="213" spans="5:5" ht="15.75" customHeight="1" x14ac:dyDescent="0.3">
      <c r="E213" s="2"/>
    </row>
    <row r="214" spans="5:5" ht="15.75" customHeight="1" x14ac:dyDescent="0.3">
      <c r="E214" s="2"/>
    </row>
    <row r="215" spans="5:5" ht="15.75" customHeight="1" x14ac:dyDescent="0.3">
      <c r="E215" s="2"/>
    </row>
    <row r="216" spans="5:5" ht="15.75" customHeight="1" x14ac:dyDescent="0.3">
      <c r="E216" s="2"/>
    </row>
    <row r="217" spans="5:5" ht="15.75" customHeight="1" x14ac:dyDescent="0.3">
      <c r="E217" s="2"/>
    </row>
    <row r="218" spans="5:5" ht="15.75" customHeight="1" x14ac:dyDescent="0.3">
      <c r="E218" s="2"/>
    </row>
    <row r="219" spans="5:5" ht="15.75" customHeight="1" x14ac:dyDescent="0.3">
      <c r="E219" s="2"/>
    </row>
    <row r="220" spans="5:5" ht="15.75" customHeight="1" x14ac:dyDescent="0.3">
      <c r="E220" s="2"/>
    </row>
    <row r="221" spans="5:5" ht="15.75" customHeight="1" x14ac:dyDescent="0.3">
      <c r="E221" s="2"/>
    </row>
    <row r="222" spans="5:5" ht="15.75" customHeight="1" x14ac:dyDescent="0.3">
      <c r="E222" s="2"/>
    </row>
    <row r="223" spans="5:5" ht="15.75" customHeight="1" x14ac:dyDescent="0.3">
      <c r="E223" s="2"/>
    </row>
    <row r="224" spans="5:5" ht="15.75" customHeight="1" x14ac:dyDescent="0.3">
      <c r="E224" s="2"/>
    </row>
    <row r="225" spans="5:5" ht="15.75" customHeight="1" x14ac:dyDescent="0.3">
      <c r="E225" s="2"/>
    </row>
    <row r="226" spans="5:5" ht="15.75" customHeight="1" x14ac:dyDescent="0.3">
      <c r="E226" s="2"/>
    </row>
    <row r="227" spans="5:5" ht="15.75" customHeight="1" x14ac:dyDescent="0.3">
      <c r="E227" s="2"/>
    </row>
    <row r="228" spans="5:5" ht="15.75" customHeight="1" x14ac:dyDescent="0.3">
      <c r="E228" s="2"/>
    </row>
    <row r="229" spans="5:5" ht="15.75" customHeight="1" x14ac:dyDescent="0.3">
      <c r="E229" s="2"/>
    </row>
    <row r="230" spans="5:5" ht="15.75" customHeight="1" x14ac:dyDescent="0.3">
      <c r="E230" s="2"/>
    </row>
    <row r="231" spans="5:5" ht="15.75" customHeight="1" x14ac:dyDescent="0.3">
      <c r="E231" s="2"/>
    </row>
    <row r="232" spans="5:5" ht="15.75" customHeight="1" x14ac:dyDescent="0.3">
      <c r="E232" s="2"/>
    </row>
    <row r="233" spans="5:5" ht="15.75" customHeight="1" x14ac:dyDescent="0.3">
      <c r="E233" s="2"/>
    </row>
    <row r="234" spans="5:5" ht="15.75" customHeight="1" x14ac:dyDescent="0.3">
      <c r="E234" s="2"/>
    </row>
    <row r="235" spans="5:5" ht="15.75" customHeight="1" x14ac:dyDescent="0.3">
      <c r="E235" s="2"/>
    </row>
    <row r="236" spans="5:5" ht="15.75" customHeight="1" x14ac:dyDescent="0.3">
      <c r="E236" s="2"/>
    </row>
    <row r="237" spans="5:5" ht="15.75" customHeight="1" x14ac:dyDescent="0.3">
      <c r="E237" s="2"/>
    </row>
    <row r="238" spans="5:5" ht="15.75" customHeight="1" x14ac:dyDescent="0.3">
      <c r="E238" s="2"/>
    </row>
    <row r="239" spans="5:5" ht="15.75" customHeight="1" x14ac:dyDescent="0.3">
      <c r="E239" s="2"/>
    </row>
    <row r="240" spans="5:5" ht="15.75" customHeight="1" x14ac:dyDescent="0.3">
      <c r="E240" s="2"/>
    </row>
    <row r="241" spans="5:5" ht="15.75" customHeight="1" x14ac:dyDescent="0.3">
      <c r="E241" s="2"/>
    </row>
    <row r="242" spans="5:5" ht="15.75" customHeight="1" x14ac:dyDescent="0.3">
      <c r="E242" s="2"/>
    </row>
    <row r="243" spans="5:5" ht="15.75" customHeight="1" x14ac:dyDescent="0.3">
      <c r="E243" s="2"/>
    </row>
    <row r="244" spans="5:5" ht="15.75" customHeight="1" x14ac:dyDescent="0.3">
      <c r="E244" s="2"/>
    </row>
    <row r="245" spans="5:5" ht="15.75" customHeight="1" x14ac:dyDescent="0.3">
      <c r="E245" s="2"/>
    </row>
    <row r="246" spans="5:5" ht="15.75" customHeight="1" x14ac:dyDescent="0.3">
      <c r="E246" s="2"/>
    </row>
    <row r="247" spans="5:5" ht="15.75" customHeight="1" x14ac:dyDescent="0.3">
      <c r="E247" s="2"/>
    </row>
    <row r="248" spans="5:5" ht="15.75" customHeight="1" x14ac:dyDescent="0.3">
      <c r="E248" s="2"/>
    </row>
    <row r="249" spans="5:5" ht="15.75" customHeight="1" x14ac:dyDescent="0.3">
      <c r="E249" s="2"/>
    </row>
    <row r="250" spans="5:5" ht="15.75" customHeight="1" x14ac:dyDescent="0.3">
      <c r="E250" s="2"/>
    </row>
    <row r="251" spans="5:5" ht="15.75" customHeight="1" x14ac:dyDescent="0.3">
      <c r="E251" s="2"/>
    </row>
    <row r="252" spans="5:5" ht="15.75" customHeight="1" x14ac:dyDescent="0.3">
      <c r="E252" s="2"/>
    </row>
    <row r="253" spans="5:5" ht="15.75" customHeight="1" x14ac:dyDescent="0.3">
      <c r="E253" s="2"/>
    </row>
    <row r="254" spans="5:5" ht="15.75" customHeight="1" x14ac:dyDescent="0.3">
      <c r="E254" s="2"/>
    </row>
    <row r="255" spans="5:5" ht="15.75" customHeight="1" x14ac:dyDescent="0.3">
      <c r="E255" s="2"/>
    </row>
    <row r="256" spans="5:5" ht="15.75" customHeight="1" x14ac:dyDescent="0.3">
      <c r="E256" s="2"/>
    </row>
    <row r="257" spans="5:5" ht="15.75" customHeight="1" x14ac:dyDescent="0.3">
      <c r="E257" s="2"/>
    </row>
    <row r="258" spans="5:5" ht="15.75" customHeight="1" x14ac:dyDescent="0.3">
      <c r="E258" s="2"/>
    </row>
    <row r="259" spans="5:5" ht="15.75" customHeight="1" x14ac:dyDescent="0.3">
      <c r="E259" s="2"/>
    </row>
    <row r="260" spans="5:5" ht="15.75" customHeight="1" x14ac:dyDescent="0.3">
      <c r="E260" s="2"/>
    </row>
    <row r="261" spans="5:5" ht="15.75" customHeight="1" x14ac:dyDescent="0.3">
      <c r="E261" s="2"/>
    </row>
    <row r="262" spans="5:5" ht="15.75" customHeight="1" x14ac:dyDescent="0.3">
      <c r="E262" s="2"/>
    </row>
    <row r="263" spans="5:5" ht="15.75" customHeight="1" x14ac:dyDescent="0.3">
      <c r="E263" s="2"/>
    </row>
    <row r="264" spans="5:5" ht="15.75" customHeight="1" x14ac:dyDescent="0.3">
      <c r="E264" s="2"/>
    </row>
    <row r="265" spans="5:5" ht="15.75" customHeight="1" x14ac:dyDescent="0.3">
      <c r="E265" s="2"/>
    </row>
    <row r="266" spans="5:5" ht="15.75" customHeight="1" x14ac:dyDescent="0.3">
      <c r="E266" s="2"/>
    </row>
    <row r="267" spans="5:5" ht="15.75" customHeight="1" x14ac:dyDescent="0.3">
      <c r="E267" s="2"/>
    </row>
    <row r="268" spans="5:5" ht="15.75" customHeight="1" x14ac:dyDescent="0.3">
      <c r="E268" s="2"/>
    </row>
    <row r="269" spans="5:5" ht="15.75" customHeight="1" x14ac:dyDescent="0.3">
      <c r="E269" s="2"/>
    </row>
    <row r="270" spans="5:5" ht="15.75" customHeight="1" x14ac:dyDescent="0.3">
      <c r="E270" s="2"/>
    </row>
    <row r="271" spans="5:5" ht="15.75" customHeight="1" x14ac:dyDescent="0.3">
      <c r="E271" s="2"/>
    </row>
    <row r="272" spans="5:5" ht="15.75" customHeight="1" x14ac:dyDescent="0.3">
      <c r="E272" s="2"/>
    </row>
    <row r="273" spans="5:5" ht="15.75" customHeight="1" x14ac:dyDescent="0.3">
      <c r="E273" s="2"/>
    </row>
    <row r="274" spans="5:5" ht="15.75" customHeight="1" x14ac:dyDescent="0.3">
      <c r="E274" s="2"/>
    </row>
    <row r="275" spans="5:5" ht="15.75" customHeight="1" x14ac:dyDescent="0.3">
      <c r="E275" s="2"/>
    </row>
    <row r="276" spans="5:5" ht="15.75" customHeight="1" x14ac:dyDescent="0.3">
      <c r="E276" s="2"/>
    </row>
    <row r="277" spans="5:5" ht="15.75" customHeight="1" x14ac:dyDescent="0.3">
      <c r="E277" s="2"/>
    </row>
    <row r="278" spans="5:5" ht="15.75" customHeight="1" x14ac:dyDescent="0.3">
      <c r="E278" s="2"/>
    </row>
    <row r="279" spans="5:5" ht="15.75" customHeight="1" x14ac:dyDescent="0.3">
      <c r="E279" s="2"/>
    </row>
    <row r="280" spans="5:5" ht="15.75" customHeight="1" x14ac:dyDescent="0.3">
      <c r="E280" s="2"/>
    </row>
    <row r="281" spans="5:5" ht="15.75" customHeight="1" x14ac:dyDescent="0.3">
      <c r="E281" s="2"/>
    </row>
    <row r="282" spans="5:5" ht="15.75" customHeight="1" x14ac:dyDescent="0.3">
      <c r="E282" s="2"/>
    </row>
    <row r="283" spans="5:5" ht="15.75" customHeight="1" x14ac:dyDescent="0.3">
      <c r="E283" s="2"/>
    </row>
    <row r="284" spans="5:5" ht="15.75" customHeight="1" x14ac:dyDescent="0.3">
      <c r="E284" s="2"/>
    </row>
    <row r="285" spans="5:5" ht="15.75" customHeight="1" x14ac:dyDescent="0.3">
      <c r="E285" s="2"/>
    </row>
    <row r="286" spans="5:5" ht="15.75" customHeight="1" x14ac:dyDescent="0.3">
      <c r="E286" s="2"/>
    </row>
    <row r="287" spans="5:5" ht="15.75" customHeight="1" x14ac:dyDescent="0.3">
      <c r="E287" s="2"/>
    </row>
    <row r="288" spans="5:5" ht="15.75" customHeight="1" x14ac:dyDescent="0.3">
      <c r="E288" s="2"/>
    </row>
    <row r="289" spans="5:5" ht="15.75" customHeight="1" x14ac:dyDescent="0.3">
      <c r="E289" s="2"/>
    </row>
    <row r="290" spans="5:5" ht="15.75" customHeight="1" x14ac:dyDescent="0.3">
      <c r="E290" s="2"/>
    </row>
    <row r="291" spans="5:5" ht="15.75" customHeight="1" x14ac:dyDescent="0.3">
      <c r="E291" s="2"/>
    </row>
    <row r="292" spans="5:5" ht="15.75" customHeight="1" x14ac:dyDescent="0.3">
      <c r="E292" s="2"/>
    </row>
    <row r="293" spans="5:5" ht="15.75" customHeight="1" x14ac:dyDescent="0.3">
      <c r="E293" s="2"/>
    </row>
    <row r="294" spans="5:5" ht="15.75" customHeight="1" x14ac:dyDescent="0.3">
      <c r="E294" s="2"/>
    </row>
    <row r="295" spans="5:5" ht="15.75" customHeight="1" x14ac:dyDescent="0.3">
      <c r="E295" s="2"/>
    </row>
    <row r="296" spans="5:5" ht="15.75" customHeight="1" x14ac:dyDescent="0.3">
      <c r="E296" s="2"/>
    </row>
    <row r="297" spans="5:5" ht="15.75" customHeight="1" x14ac:dyDescent="0.3">
      <c r="E297" s="2"/>
    </row>
    <row r="298" spans="5:5" ht="15.75" customHeight="1" x14ac:dyDescent="0.3">
      <c r="E298" s="2"/>
    </row>
    <row r="299" spans="5:5" ht="15.75" customHeight="1" x14ac:dyDescent="0.3">
      <c r="E299" s="2"/>
    </row>
    <row r="300" spans="5:5" ht="15.75" customHeight="1" x14ac:dyDescent="0.3">
      <c r="E300" s="2"/>
    </row>
    <row r="301" spans="5:5" ht="15.75" customHeight="1" x14ac:dyDescent="0.3">
      <c r="E301" s="2"/>
    </row>
    <row r="302" spans="5:5" ht="15.75" customHeight="1" x14ac:dyDescent="0.3">
      <c r="E302" s="2"/>
    </row>
    <row r="303" spans="5:5" ht="15.75" customHeight="1" x14ac:dyDescent="0.3">
      <c r="E303" s="2"/>
    </row>
    <row r="304" spans="5:5" ht="15.75" customHeight="1" x14ac:dyDescent="0.3">
      <c r="E304" s="2"/>
    </row>
    <row r="305" spans="5:5" ht="15.75" customHeight="1" x14ac:dyDescent="0.3">
      <c r="E305" s="2"/>
    </row>
    <row r="306" spans="5:5" ht="15.75" customHeight="1" x14ac:dyDescent="0.3">
      <c r="E306" s="2"/>
    </row>
    <row r="307" spans="5:5" ht="15.75" customHeight="1" x14ac:dyDescent="0.3">
      <c r="E307" s="2"/>
    </row>
    <row r="308" spans="5:5" ht="15.75" customHeight="1" x14ac:dyDescent="0.3">
      <c r="E308" s="2"/>
    </row>
    <row r="309" spans="5:5" ht="15.75" customHeight="1" x14ac:dyDescent="0.3">
      <c r="E309" s="2"/>
    </row>
    <row r="310" spans="5:5" ht="15.75" customHeight="1" x14ac:dyDescent="0.3">
      <c r="E310" s="2"/>
    </row>
    <row r="311" spans="5:5" ht="15.75" customHeight="1" x14ac:dyDescent="0.3">
      <c r="E311" s="2"/>
    </row>
    <row r="312" spans="5:5" ht="15.75" customHeight="1" x14ac:dyDescent="0.3">
      <c r="E312" s="2"/>
    </row>
    <row r="313" spans="5:5" ht="15.75" customHeight="1" x14ac:dyDescent="0.3">
      <c r="E313" s="2"/>
    </row>
    <row r="314" spans="5:5" ht="15.75" customHeight="1" x14ac:dyDescent="0.3">
      <c r="E314" s="2"/>
    </row>
    <row r="315" spans="5:5" ht="15.75" customHeight="1" x14ac:dyDescent="0.3">
      <c r="E315" s="2"/>
    </row>
    <row r="316" spans="5:5" ht="15.75" customHeight="1" x14ac:dyDescent="0.3">
      <c r="E316" s="2"/>
    </row>
    <row r="317" spans="5:5" ht="15.75" customHeight="1" x14ac:dyDescent="0.3">
      <c r="E317" s="2"/>
    </row>
    <row r="318" spans="5:5" ht="15.75" customHeight="1" x14ac:dyDescent="0.3">
      <c r="E318" s="2"/>
    </row>
    <row r="319" spans="5:5" ht="15.75" customHeight="1" x14ac:dyDescent="0.3">
      <c r="E319" s="2"/>
    </row>
    <row r="320" spans="5:5" ht="15.75" customHeight="1" x14ac:dyDescent="0.3">
      <c r="E320" s="2"/>
    </row>
    <row r="321" spans="5:5" ht="15.75" customHeight="1" x14ac:dyDescent="0.3">
      <c r="E321" s="2"/>
    </row>
    <row r="322" spans="5:5" ht="15.75" customHeight="1" x14ac:dyDescent="0.3">
      <c r="E322" s="2"/>
    </row>
    <row r="323" spans="5:5" ht="15.75" customHeight="1" x14ac:dyDescent="0.3">
      <c r="E323" s="2"/>
    </row>
    <row r="324" spans="5:5" ht="15.75" customHeight="1" x14ac:dyDescent="0.3">
      <c r="E324" s="2"/>
    </row>
    <row r="325" spans="5:5" ht="15.75" customHeight="1" x14ac:dyDescent="0.3">
      <c r="E325" s="2"/>
    </row>
    <row r="326" spans="5:5" ht="15.75" customHeight="1" x14ac:dyDescent="0.3">
      <c r="E326" s="2"/>
    </row>
    <row r="327" spans="5:5" ht="15.75" customHeight="1" x14ac:dyDescent="0.3">
      <c r="E327" s="2"/>
    </row>
    <row r="328" spans="5:5" ht="15.75" customHeight="1" x14ac:dyDescent="0.3">
      <c r="E328" s="2"/>
    </row>
    <row r="329" spans="5:5" ht="15.75" customHeight="1" x14ac:dyDescent="0.3">
      <c r="E329" s="2"/>
    </row>
    <row r="330" spans="5:5" ht="15.75" customHeight="1" x14ac:dyDescent="0.3">
      <c r="E330" s="2"/>
    </row>
    <row r="331" spans="5:5" ht="15.75" customHeight="1" x14ac:dyDescent="0.3">
      <c r="E331" s="2"/>
    </row>
    <row r="332" spans="5:5" ht="15.75" customHeight="1" x14ac:dyDescent="0.3">
      <c r="E332" s="2"/>
    </row>
    <row r="333" spans="5:5" ht="15.75" customHeight="1" x14ac:dyDescent="0.3">
      <c r="E333" s="2"/>
    </row>
    <row r="334" spans="5:5" ht="15.75" customHeight="1" x14ac:dyDescent="0.3">
      <c r="E334" s="2"/>
    </row>
    <row r="335" spans="5:5" ht="15.75" customHeight="1" x14ac:dyDescent="0.3">
      <c r="E335" s="2"/>
    </row>
    <row r="336" spans="5:5" ht="15.75" customHeight="1" x14ac:dyDescent="0.3">
      <c r="E336" s="2"/>
    </row>
    <row r="337" spans="5:5" ht="15.75" customHeight="1" x14ac:dyDescent="0.3">
      <c r="E337" s="2"/>
    </row>
    <row r="338" spans="5:5" ht="15.75" customHeight="1" x14ac:dyDescent="0.3">
      <c r="E338" s="2"/>
    </row>
    <row r="339" spans="5:5" ht="15.75" customHeight="1" x14ac:dyDescent="0.3">
      <c r="E339" s="2"/>
    </row>
    <row r="340" spans="5:5" ht="15.75" customHeight="1" x14ac:dyDescent="0.3">
      <c r="E340" s="2"/>
    </row>
    <row r="341" spans="5:5" ht="15.75" customHeight="1" x14ac:dyDescent="0.3">
      <c r="E341" s="2"/>
    </row>
    <row r="342" spans="5:5" ht="15.75" customHeight="1" x14ac:dyDescent="0.3">
      <c r="E342" s="2"/>
    </row>
    <row r="343" spans="5:5" ht="15.75" customHeight="1" x14ac:dyDescent="0.3">
      <c r="E343" s="2"/>
    </row>
    <row r="344" spans="5:5" ht="15.75" customHeight="1" x14ac:dyDescent="0.3">
      <c r="E344" s="2"/>
    </row>
    <row r="345" spans="5:5" ht="15.75" customHeight="1" x14ac:dyDescent="0.3">
      <c r="E345" s="2"/>
    </row>
    <row r="346" spans="5:5" ht="15.75" customHeight="1" x14ac:dyDescent="0.3">
      <c r="E346" s="2"/>
    </row>
    <row r="347" spans="5:5" ht="15.75" customHeight="1" x14ac:dyDescent="0.3">
      <c r="E347" s="2"/>
    </row>
    <row r="348" spans="5:5" ht="15.75" customHeight="1" x14ac:dyDescent="0.3">
      <c r="E348" s="2"/>
    </row>
    <row r="349" spans="5:5" ht="15.75" customHeight="1" x14ac:dyDescent="0.3">
      <c r="E349" s="2"/>
    </row>
    <row r="350" spans="5:5" ht="15.75" customHeight="1" x14ac:dyDescent="0.3">
      <c r="E350" s="2"/>
    </row>
    <row r="351" spans="5:5" ht="15.75" customHeight="1" x14ac:dyDescent="0.3">
      <c r="E351" s="2"/>
    </row>
    <row r="352" spans="5:5" ht="15.75" customHeight="1" x14ac:dyDescent="0.3">
      <c r="E352" s="2"/>
    </row>
    <row r="353" spans="5:5" ht="15.75" customHeight="1" x14ac:dyDescent="0.3">
      <c r="E353" s="2"/>
    </row>
    <row r="354" spans="5:5" ht="15.75" customHeight="1" x14ac:dyDescent="0.3">
      <c r="E354" s="2"/>
    </row>
    <row r="355" spans="5:5" ht="15.75" customHeight="1" x14ac:dyDescent="0.3">
      <c r="E355" s="2"/>
    </row>
    <row r="356" spans="5:5" ht="15.75" customHeight="1" x14ac:dyDescent="0.3">
      <c r="E356" s="2"/>
    </row>
    <row r="357" spans="5:5" ht="15.75" customHeight="1" x14ac:dyDescent="0.3">
      <c r="E357" s="2"/>
    </row>
    <row r="358" spans="5:5" ht="15.75" customHeight="1" x14ac:dyDescent="0.3">
      <c r="E358" s="2"/>
    </row>
    <row r="359" spans="5:5" ht="15.75" customHeight="1" x14ac:dyDescent="0.3">
      <c r="E359" s="2"/>
    </row>
    <row r="360" spans="5:5" ht="15.75" customHeight="1" x14ac:dyDescent="0.3">
      <c r="E360" s="2"/>
    </row>
    <row r="361" spans="5:5" ht="15.75" customHeight="1" x14ac:dyDescent="0.3">
      <c r="E361" s="2"/>
    </row>
    <row r="362" spans="5:5" ht="15.75" customHeight="1" x14ac:dyDescent="0.3">
      <c r="E362" s="2"/>
    </row>
    <row r="363" spans="5:5" ht="15.75" customHeight="1" x14ac:dyDescent="0.3">
      <c r="E363" s="2"/>
    </row>
    <row r="364" spans="5:5" ht="15.75" customHeight="1" x14ac:dyDescent="0.3">
      <c r="E364" s="2"/>
    </row>
    <row r="365" spans="5:5" ht="15.75" customHeight="1" x14ac:dyDescent="0.3">
      <c r="E365" s="2"/>
    </row>
    <row r="366" spans="5:5" ht="15.75" customHeight="1" x14ac:dyDescent="0.3">
      <c r="E366" s="2"/>
    </row>
    <row r="367" spans="5:5" ht="15.75" customHeight="1" x14ac:dyDescent="0.3">
      <c r="E367" s="2"/>
    </row>
    <row r="368" spans="5:5" ht="15.75" customHeight="1" x14ac:dyDescent="0.3">
      <c r="E368" s="2"/>
    </row>
    <row r="369" spans="5:5" ht="15.75" customHeight="1" x14ac:dyDescent="0.3">
      <c r="E369" s="2"/>
    </row>
    <row r="370" spans="5:5" ht="15.75" customHeight="1" x14ac:dyDescent="0.3">
      <c r="E370" s="2"/>
    </row>
    <row r="371" spans="5:5" ht="15.75" customHeight="1" x14ac:dyDescent="0.3">
      <c r="E371" s="2"/>
    </row>
    <row r="372" spans="5:5" ht="15.75" customHeight="1" x14ac:dyDescent="0.3">
      <c r="E372" s="2"/>
    </row>
    <row r="373" spans="5:5" ht="15.75" customHeight="1" x14ac:dyDescent="0.3">
      <c r="E373" s="2"/>
    </row>
    <row r="374" spans="5:5" ht="15.75" customHeight="1" x14ac:dyDescent="0.3">
      <c r="E374" s="2"/>
    </row>
    <row r="375" spans="5:5" ht="15.75" customHeight="1" x14ac:dyDescent="0.3">
      <c r="E375" s="2"/>
    </row>
    <row r="376" spans="5:5" ht="15.75" customHeight="1" x14ac:dyDescent="0.3">
      <c r="E376" s="2"/>
    </row>
    <row r="377" spans="5:5" ht="15.75" customHeight="1" x14ac:dyDescent="0.3">
      <c r="E377" s="2"/>
    </row>
    <row r="378" spans="5:5" ht="15.75" customHeight="1" x14ac:dyDescent="0.3">
      <c r="E378" s="2"/>
    </row>
    <row r="379" spans="5:5" ht="15.75" customHeight="1" x14ac:dyDescent="0.3">
      <c r="E379" s="2"/>
    </row>
    <row r="380" spans="5:5" ht="15.75" customHeight="1" x14ac:dyDescent="0.3">
      <c r="E380" s="2"/>
    </row>
    <row r="381" spans="5:5" ht="15.75" customHeight="1" x14ac:dyDescent="0.3">
      <c r="E381" s="2"/>
    </row>
    <row r="382" spans="5:5" ht="15.75" customHeight="1" x14ac:dyDescent="0.3">
      <c r="E382" s="2"/>
    </row>
    <row r="383" spans="5:5" ht="15.75" customHeight="1" x14ac:dyDescent="0.3">
      <c r="E383" s="2"/>
    </row>
    <row r="384" spans="5:5" ht="15.75" customHeight="1" x14ac:dyDescent="0.3">
      <c r="E384" s="2"/>
    </row>
    <row r="385" spans="5:5" ht="15.75" customHeight="1" x14ac:dyDescent="0.3">
      <c r="E385" s="2"/>
    </row>
    <row r="386" spans="5:5" ht="15.75" customHeight="1" x14ac:dyDescent="0.3">
      <c r="E386" s="2"/>
    </row>
    <row r="387" spans="5:5" ht="15.75" customHeight="1" x14ac:dyDescent="0.3">
      <c r="E387" s="2"/>
    </row>
    <row r="388" spans="5:5" ht="15.75" customHeight="1" x14ac:dyDescent="0.3">
      <c r="E388" s="2"/>
    </row>
    <row r="389" spans="5:5" ht="15.75" customHeight="1" x14ac:dyDescent="0.3">
      <c r="E389" s="2"/>
    </row>
    <row r="390" spans="5:5" ht="15.75" customHeight="1" x14ac:dyDescent="0.3">
      <c r="E390" s="2"/>
    </row>
    <row r="391" spans="5:5" ht="15.75" customHeight="1" x14ac:dyDescent="0.3">
      <c r="E391" s="2"/>
    </row>
    <row r="392" spans="5:5" ht="15.75" customHeight="1" x14ac:dyDescent="0.3">
      <c r="E392" s="2"/>
    </row>
    <row r="393" spans="5:5" ht="15.75" customHeight="1" x14ac:dyDescent="0.3">
      <c r="E393" s="2"/>
    </row>
    <row r="394" spans="5:5" ht="15.75" customHeight="1" x14ac:dyDescent="0.3">
      <c r="E394" s="2"/>
    </row>
    <row r="395" spans="5:5" ht="15.75" customHeight="1" x14ac:dyDescent="0.3">
      <c r="E395" s="2"/>
    </row>
    <row r="396" spans="5:5" ht="15.75" customHeight="1" x14ac:dyDescent="0.3">
      <c r="E396" s="2"/>
    </row>
    <row r="397" spans="5:5" ht="15.75" customHeight="1" x14ac:dyDescent="0.3">
      <c r="E397" s="2"/>
    </row>
    <row r="398" spans="5:5" ht="15.75" customHeight="1" x14ac:dyDescent="0.3">
      <c r="E398" s="2"/>
    </row>
    <row r="399" spans="5:5" ht="15.75" customHeight="1" x14ac:dyDescent="0.3">
      <c r="E399" s="2"/>
    </row>
    <row r="400" spans="5:5" ht="15.75" customHeight="1" x14ac:dyDescent="0.3">
      <c r="E400" s="2"/>
    </row>
    <row r="401" spans="5:5" ht="15.75" customHeight="1" x14ac:dyDescent="0.3">
      <c r="E401" s="2"/>
    </row>
    <row r="402" spans="5:5" ht="15.75" customHeight="1" x14ac:dyDescent="0.3">
      <c r="E402" s="2"/>
    </row>
    <row r="403" spans="5:5" ht="15.75" customHeight="1" x14ac:dyDescent="0.3">
      <c r="E403" s="2"/>
    </row>
    <row r="404" spans="5:5" ht="15.75" customHeight="1" x14ac:dyDescent="0.3">
      <c r="E404" s="2"/>
    </row>
    <row r="405" spans="5:5" ht="15.75" customHeight="1" x14ac:dyDescent="0.3">
      <c r="E405" s="2"/>
    </row>
    <row r="406" spans="5:5" ht="15.75" customHeight="1" x14ac:dyDescent="0.3">
      <c r="E406" s="2"/>
    </row>
    <row r="407" spans="5:5" ht="15.75" customHeight="1" x14ac:dyDescent="0.3">
      <c r="E407" s="2"/>
    </row>
    <row r="408" spans="5:5" ht="15.75" customHeight="1" x14ac:dyDescent="0.3">
      <c r="E408" s="2"/>
    </row>
    <row r="409" spans="5:5" ht="15.75" customHeight="1" x14ac:dyDescent="0.3">
      <c r="E409" s="2"/>
    </row>
    <row r="410" spans="5:5" ht="15.75" customHeight="1" x14ac:dyDescent="0.3">
      <c r="E410" s="2"/>
    </row>
    <row r="411" spans="5:5" ht="15.75" customHeight="1" x14ac:dyDescent="0.3">
      <c r="E411" s="2"/>
    </row>
    <row r="412" spans="5:5" ht="15.75" customHeight="1" x14ac:dyDescent="0.3">
      <c r="E412" s="2"/>
    </row>
    <row r="413" spans="5:5" ht="15.75" customHeight="1" x14ac:dyDescent="0.3">
      <c r="E413" s="2"/>
    </row>
    <row r="414" spans="5:5" ht="15.75" customHeight="1" x14ac:dyDescent="0.3">
      <c r="E414" s="2"/>
    </row>
    <row r="415" spans="5:5" ht="15.75" customHeight="1" x14ac:dyDescent="0.3">
      <c r="E415" s="2"/>
    </row>
    <row r="416" spans="5:5" ht="15.75" customHeight="1" x14ac:dyDescent="0.3">
      <c r="E416" s="2"/>
    </row>
    <row r="417" spans="5:5" ht="15.75" customHeight="1" x14ac:dyDescent="0.3">
      <c r="E417" s="2"/>
    </row>
    <row r="418" spans="5:5" ht="15.75" customHeight="1" x14ac:dyDescent="0.3">
      <c r="E418" s="2"/>
    </row>
    <row r="419" spans="5:5" ht="15.75" customHeight="1" x14ac:dyDescent="0.3">
      <c r="E419" s="2"/>
    </row>
    <row r="420" spans="5:5" ht="15.75" customHeight="1" x14ac:dyDescent="0.3">
      <c r="E420" s="2"/>
    </row>
    <row r="421" spans="5:5" ht="15.75" customHeight="1" x14ac:dyDescent="0.3">
      <c r="E421" s="2"/>
    </row>
    <row r="422" spans="5:5" ht="15.75" customHeight="1" x14ac:dyDescent="0.3">
      <c r="E422" s="2"/>
    </row>
    <row r="423" spans="5:5" ht="15.75" customHeight="1" x14ac:dyDescent="0.3">
      <c r="E423" s="2"/>
    </row>
    <row r="424" spans="5:5" ht="15.75" customHeight="1" x14ac:dyDescent="0.3">
      <c r="E424" s="2"/>
    </row>
    <row r="425" spans="5:5" ht="15.75" customHeight="1" x14ac:dyDescent="0.3">
      <c r="E425" s="2"/>
    </row>
    <row r="426" spans="5:5" ht="15.75" customHeight="1" x14ac:dyDescent="0.3">
      <c r="E426" s="2"/>
    </row>
    <row r="427" spans="5:5" ht="15.75" customHeight="1" x14ac:dyDescent="0.3">
      <c r="E427" s="2"/>
    </row>
    <row r="428" spans="5:5" ht="15.75" customHeight="1" x14ac:dyDescent="0.3">
      <c r="E428" s="2"/>
    </row>
    <row r="429" spans="5:5" ht="15.75" customHeight="1" x14ac:dyDescent="0.3">
      <c r="E429" s="2"/>
    </row>
    <row r="430" spans="5:5" ht="15.75" customHeight="1" x14ac:dyDescent="0.3">
      <c r="E430" s="2"/>
    </row>
    <row r="431" spans="5:5" ht="15.75" customHeight="1" x14ac:dyDescent="0.3">
      <c r="E431" s="2"/>
    </row>
    <row r="432" spans="5:5" ht="15.75" customHeight="1" x14ac:dyDescent="0.3">
      <c r="E432" s="2"/>
    </row>
    <row r="433" spans="5:5" ht="15.75" customHeight="1" x14ac:dyDescent="0.3">
      <c r="E433" s="2"/>
    </row>
    <row r="434" spans="5:5" ht="15.75" customHeight="1" x14ac:dyDescent="0.3">
      <c r="E434" s="2"/>
    </row>
    <row r="435" spans="5:5" ht="15.75" customHeight="1" x14ac:dyDescent="0.3">
      <c r="E435" s="2"/>
    </row>
    <row r="436" spans="5:5" ht="15.75" customHeight="1" x14ac:dyDescent="0.3">
      <c r="E436" s="2"/>
    </row>
    <row r="437" spans="5:5" ht="15.75" customHeight="1" x14ac:dyDescent="0.3">
      <c r="E437" s="2"/>
    </row>
    <row r="438" spans="5:5" ht="15.75" customHeight="1" x14ac:dyDescent="0.3">
      <c r="E438" s="2"/>
    </row>
    <row r="439" spans="5:5" ht="15.75" customHeight="1" x14ac:dyDescent="0.3">
      <c r="E439" s="2"/>
    </row>
    <row r="440" spans="5:5" ht="15.75" customHeight="1" x14ac:dyDescent="0.3">
      <c r="E440" s="2"/>
    </row>
    <row r="441" spans="5:5" ht="15.75" customHeight="1" x14ac:dyDescent="0.3">
      <c r="E441" s="2"/>
    </row>
    <row r="442" spans="5:5" ht="15.75" customHeight="1" x14ac:dyDescent="0.3">
      <c r="E442" s="2"/>
    </row>
    <row r="443" spans="5:5" ht="15.75" customHeight="1" x14ac:dyDescent="0.3">
      <c r="E443" s="2"/>
    </row>
    <row r="444" spans="5:5" ht="15.75" customHeight="1" x14ac:dyDescent="0.3">
      <c r="E444" s="2"/>
    </row>
    <row r="445" spans="5:5" ht="15.75" customHeight="1" x14ac:dyDescent="0.3">
      <c r="E445" s="2"/>
    </row>
    <row r="446" spans="5:5" ht="15.75" customHeight="1" x14ac:dyDescent="0.3">
      <c r="E446" s="2"/>
    </row>
    <row r="447" spans="5:5" ht="15.75" customHeight="1" x14ac:dyDescent="0.3">
      <c r="E447" s="2"/>
    </row>
    <row r="448" spans="5:5" ht="15.75" customHeight="1" x14ac:dyDescent="0.3">
      <c r="E448" s="2"/>
    </row>
    <row r="449" spans="5:5" ht="15.75" customHeight="1" x14ac:dyDescent="0.3">
      <c r="E449" s="2"/>
    </row>
    <row r="450" spans="5:5" ht="15.75" customHeight="1" x14ac:dyDescent="0.3">
      <c r="E450" s="2"/>
    </row>
    <row r="451" spans="5:5" ht="15.75" customHeight="1" x14ac:dyDescent="0.3">
      <c r="E451" s="2"/>
    </row>
    <row r="452" spans="5:5" ht="15.75" customHeight="1" x14ac:dyDescent="0.3">
      <c r="E452" s="2"/>
    </row>
    <row r="453" spans="5:5" ht="15.75" customHeight="1" x14ac:dyDescent="0.3">
      <c r="E453" s="2"/>
    </row>
    <row r="454" spans="5:5" ht="15.75" customHeight="1" x14ac:dyDescent="0.3">
      <c r="E454" s="2"/>
    </row>
    <row r="455" spans="5:5" ht="15.75" customHeight="1" x14ac:dyDescent="0.3">
      <c r="E455" s="2"/>
    </row>
    <row r="456" spans="5:5" ht="15.75" customHeight="1" x14ac:dyDescent="0.3">
      <c r="E456" s="2"/>
    </row>
    <row r="457" spans="5:5" ht="15.75" customHeight="1" x14ac:dyDescent="0.3">
      <c r="E457" s="2"/>
    </row>
    <row r="458" spans="5:5" ht="15.75" customHeight="1" x14ac:dyDescent="0.3">
      <c r="E458" s="2"/>
    </row>
    <row r="459" spans="5:5" ht="15.75" customHeight="1" x14ac:dyDescent="0.3">
      <c r="E459" s="2"/>
    </row>
    <row r="460" spans="5:5" ht="15.75" customHeight="1" x14ac:dyDescent="0.3">
      <c r="E460" s="2"/>
    </row>
    <row r="461" spans="5:5" ht="15.75" customHeight="1" x14ac:dyDescent="0.3">
      <c r="E461" s="2"/>
    </row>
    <row r="462" spans="5:5" ht="15.75" customHeight="1" x14ac:dyDescent="0.3">
      <c r="E462" s="2"/>
    </row>
    <row r="463" spans="5:5" ht="15.75" customHeight="1" x14ac:dyDescent="0.3">
      <c r="E463" s="2"/>
    </row>
    <row r="464" spans="5:5" ht="15.75" customHeight="1" x14ac:dyDescent="0.3">
      <c r="E464" s="2"/>
    </row>
    <row r="465" spans="5:5" ht="15.75" customHeight="1" x14ac:dyDescent="0.3">
      <c r="E465" s="2"/>
    </row>
    <row r="466" spans="5:5" ht="15.75" customHeight="1" x14ac:dyDescent="0.3">
      <c r="E466" s="2"/>
    </row>
    <row r="467" spans="5:5" ht="15.75" customHeight="1" x14ac:dyDescent="0.3">
      <c r="E467" s="2"/>
    </row>
    <row r="468" spans="5:5" ht="15.75" customHeight="1" x14ac:dyDescent="0.3">
      <c r="E468" s="2"/>
    </row>
    <row r="469" spans="5:5" ht="15.75" customHeight="1" x14ac:dyDescent="0.3">
      <c r="E469" s="2"/>
    </row>
    <row r="470" spans="5:5" ht="15.75" customHeight="1" x14ac:dyDescent="0.3">
      <c r="E470" s="2"/>
    </row>
    <row r="471" spans="5:5" ht="15.75" customHeight="1" x14ac:dyDescent="0.3">
      <c r="E471" s="2"/>
    </row>
    <row r="472" spans="5:5" ht="15.75" customHeight="1" x14ac:dyDescent="0.3">
      <c r="E472" s="2"/>
    </row>
    <row r="473" spans="5:5" ht="15.75" customHeight="1" x14ac:dyDescent="0.3">
      <c r="E473" s="2"/>
    </row>
    <row r="474" spans="5:5" ht="15.75" customHeight="1" x14ac:dyDescent="0.3">
      <c r="E474" s="2"/>
    </row>
    <row r="475" spans="5:5" ht="15.75" customHeight="1" x14ac:dyDescent="0.3">
      <c r="E475" s="2"/>
    </row>
    <row r="476" spans="5:5" ht="15.75" customHeight="1" x14ac:dyDescent="0.3">
      <c r="E476" s="2"/>
    </row>
    <row r="477" spans="5:5" ht="15.75" customHeight="1" x14ac:dyDescent="0.3">
      <c r="E477" s="2"/>
    </row>
    <row r="478" spans="5:5" ht="15.75" customHeight="1" x14ac:dyDescent="0.3">
      <c r="E478" s="2"/>
    </row>
    <row r="479" spans="5:5" ht="15.75" customHeight="1" x14ac:dyDescent="0.3">
      <c r="E479" s="2"/>
    </row>
    <row r="480" spans="5:5" ht="15.75" customHeight="1" x14ac:dyDescent="0.3">
      <c r="E480" s="2"/>
    </row>
    <row r="481" spans="5:5" ht="15.75" customHeight="1" x14ac:dyDescent="0.3">
      <c r="E481" s="2"/>
    </row>
    <row r="482" spans="5:5" ht="15.75" customHeight="1" x14ac:dyDescent="0.3">
      <c r="E482" s="2"/>
    </row>
    <row r="483" spans="5:5" ht="15.75" customHeight="1" x14ac:dyDescent="0.3">
      <c r="E483" s="2"/>
    </row>
    <row r="484" spans="5:5" ht="15.75" customHeight="1" x14ac:dyDescent="0.3">
      <c r="E484" s="2"/>
    </row>
    <row r="485" spans="5:5" ht="15.75" customHeight="1" x14ac:dyDescent="0.3">
      <c r="E485" s="2"/>
    </row>
    <row r="486" spans="5:5" ht="15.75" customHeight="1" x14ac:dyDescent="0.3">
      <c r="E486" s="2"/>
    </row>
    <row r="487" spans="5:5" ht="15.75" customHeight="1" x14ac:dyDescent="0.3">
      <c r="E487" s="2"/>
    </row>
    <row r="488" spans="5:5" ht="15.75" customHeight="1" x14ac:dyDescent="0.3">
      <c r="E488" s="2"/>
    </row>
    <row r="489" spans="5:5" ht="15.75" customHeight="1" x14ac:dyDescent="0.3">
      <c r="E489" s="2"/>
    </row>
    <row r="490" spans="5:5" ht="15.75" customHeight="1" x14ac:dyDescent="0.3">
      <c r="E490" s="2"/>
    </row>
    <row r="491" spans="5:5" ht="15.75" customHeight="1" x14ac:dyDescent="0.3">
      <c r="E491" s="2"/>
    </row>
    <row r="492" spans="5:5" ht="15.75" customHeight="1" x14ac:dyDescent="0.3">
      <c r="E492" s="2"/>
    </row>
    <row r="493" spans="5:5" ht="15.75" customHeight="1" x14ac:dyDescent="0.3">
      <c r="E493" s="2"/>
    </row>
    <row r="494" spans="5:5" ht="15.75" customHeight="1" x14ac:dyDescent="0.3">
      <c r="E494" s="2"/>
    </row>
    <row r="495" spans="5:5" ht="15.75" customHeight="1" x14ac:dyDescent="0.3">
      <c r="E495" s="2"/>
    </row>
    <row r="496" spans="5:5" ht="15.75" customHeight="1" x14ac:dyDescent="0.3">
      <c r="E496" s="2"/>
    </row>
    <row r="497" spans="5:5" ht="15.75" customHeight="1" x14ac:dyDescent="0.3">
      <c r="E497" s="2"/>
    </row>
    <row r="498" spans="5:5" ht="15.75" customHeight="1" x14ac:dyDescent="0.3">
      <c r="E498" s="2"/>
    </row>
    <row r="499" spans="5:5" ht="15.75" customHeight="1" x14ac:dyDescent="0.3">
      <c r="E499" s="2"/>
    </row>
    <row r="500" spans="5:5" ht="15.75" customHeight="1" x14ac:dyDescent="0.3">
      <c r="E500" s="2"/>
    </row>
    <row r="501" spans="5:5" ht="15.75" customHeight="1" x14ac:dyDescent="0.3">
      <c r="E501" s="2"/>
    </row>
    <row r="502" spans="5:5" ht="15.75" customHeight="1" x14ac:dyDescent="0.3">
      <c r="E502" s="2"/>
    </row>
    <row r="503" spans="5:5" ht="15.75" customHeight="1" x14ac:dyDescent="0.3">
      <c r="E503" s="2"/>
    </row>
    <row r="504" spans="5:5" ht="15.75" customHeight="1" x14ac:dyDescent="0.3">
      <c r="E504" s="2"/>
    </row>
    <row r="505" spans="5:5" ht="15.75" customHeight="1" x14ac:dyDescent="0.3">
      <c r="E505" s="2"/>
    </row>
    <row r="506" spans="5:5" ht="15.75" customHeight="1" x14ac:dyDescent="0.3">
      <c r="E506" s="2"/>
    </row>
    <row r="507" spans="5:5" ht="15.75" customHeight="1" x14ac:dyDescent="0.3">
      <c r="E507" s="2"/>
    </row>
    <row r="508" spans="5:5" ht="15.75" customHeight="1" x14ac:dyDescent="0.3">
      <c r="E508" s="2"/>
    </row>
    <row r="509" spans="5:5" ht="15.75" customHeight="1" x14ac:dyDescent="0.3">
      <c r="E509" s="2"/>
    </row>
    <row r="510" spans="5:5" ht="15.75" customHeight="1" x14ac:dyDescent="0.3">
      <c r="E510" s="2"/>
    </row>
    <row r="511" spans="5:5" ht="15.75" customHeight="1" x14ac:dyDescent="0.3">
      <c r="E511" s="2"/>
    </row>
    <row r="512" spans="5:5" ht="15.75" customHeight="1" x14ac:dyDescent="0.3">
      <c r="E512" s="2"/>
    </row>
    <row r="513" spans="5:5" ht="15.75" customHeight="1" x14ac:dyDescent="0.3">
      <c r="E513" s="2"/>
    </row>
    <row r="514" spans="5:5" ht="15.75" customHeight="1" x14ac:dyDescent="0.3">
      <c r="E514" s="2"/>
    </row>
    <row r="515" spans="5:5" ht="15.75" customHeight="1" x14ac:dyDescent="0.3">
      <c r="E515" s="2"/>
    </row>
    <row r="516" spans="5:5" ht="15.75" customHeight="1" x14ac:dyDescent="0.3">
      <c r="E516" s="2"/>
    </row>
    <row r="517" spans="5:5" ht="15.75" customHeight="1" x14ac:dyDescent="0.3">
      <c r="E517" s="2"/>
    </row>
    <row r="518" spans="5:5" ht="15.75" customHeight="1" x14ac:dyDescent="0.3">
      <c r="E518" s="2"/>
    </row>
    <row r="519" spans="5:5" ht="15.75" customHeight="1" x14ac:dyDescent="0.3">
      <c r="E519" s="2"/>
    </row>
    <row r="520" spans="5:5" ht="15.75" customHeight="1" x14ac:dyDescent="0.3">
      <c r="E520" s="2"/>
    </row>
    <row r="521" spans="5:5" ht="15.75" customHeight="1" x14ac:dyDescent="0.3">
      <c r="E521" s="2"/>
    </row>
    <row r="522" spans="5:5" ht="15.75" customHeight="1" x14ac:dyDescent="0.3">
      <c r="E522" s="2"/>
    </row>
    <row r="523" spans="5:5" ht="15.75" customHeight="1" x14ac:dyDescent="0.3">
      <c r="E523" s="2"/>
    </row>
    <row r="524" spans="5:5" ht="15.75" customHeight="1" x14ac:dyDescent="0.3">
      <c r="E524" s="2"/>
    </row>
    <row r="525" spans="5:5" ht="15.75" customHeight="1" x14ac:dyDescent="0.3">
      <c r="E525" s="2"/>
    </row>
    <row r="526" spans="5:5" ht="15.75" customHeight="1" x14ac:dyDescent="0.3">
      <c r="E526" s="2"/>
    </row>
    <row r="527" spans="5:5" ht="15.75" customHeight="1" x14ac:dyDescent="0.3">
      <c r="E527" s="2"/>
    </row>
    <row r="528" spans="5:5" ht="15.75" customHeight="1" x14ac:dyDescent="0.3">
      <c r="E528" s="2"/>
    </row>
    <row r="529" spans="5:5" ht="15.75" customHeight="1" x14ac:dyDescent="0.3">
      <c r="E529" s="2"/>
    </row>
    <row r="530" spans="5:5" ht="15.75" customHeight="1" x14ac:dyDescent="0.3">
      <c r="E530" s="2"/>
    </row>
    <row r="531" spans="5:5" ht="15.75" customHeight="1" x14ac:dyDescent="0.3">
      <c r="E531" s="2"/>
    </row>
    <row r="532" spans="5:5" ht="15.75" customHeight="1" x14ac:dyDescent="0.3">
      <c r="E532" s="2"/>
    </row>
    <row r="533" spans="5:5" ht="15.75" customHeight="1" x14ac:dyDescent="0.3">
      <c r="E533" s="2"/>
    </row>
    <row r="534" spans="5:5" ht="15.75" customHeight="1" x14ac:dyDescent="0.3">
      <c r="E534" s="2"/>
    </row>
    <row r="535" spans="5:5" ht="15.75" customHeight="1" x14ac:dyDescent="0.3">
      <c r="E535" s="2"/>
    </row>
    <row r="536" spans="5:5" ht="15.75" customHeight="1" x14ac:dyDescent="0.3">
      <c r="E536" s="2"/>
    </row>
    <row r="537" spans="5:5" ht="15.75" customHeight="1" x14ac:dyDescent="0.3">
      <c r="E537" s="2"/>
    </row>
    <row r="538" spans="5:5" ht="15.75" customHeight="1" x14ac:dyDescent="0.3">
      <c r="E538" s="2"/>
    </row>
    <row r="539" spans="5:5" ht="15.75" customHeight="1" x14ac:dyDescent="0.3">
      <c r="E539" s="2"/>
    </row>
    <row r="540" spans="5:5" ht="15.75" customHeight="1" x14ac:dyDescent="0.3">
      <c r="E540" s="2"/>
    </row>
    <row r="541" spans="5:5" ht="15.75" customHeight="1" x14ac:dyDescent="0.3">
      <c r="E541" s="2"/>
    </row>
    <row r="542" spans="5:5" ht="15.75" customHeight="1" x14ac:dyDescent="0.3">
      <c r="E542" s="2"/>
    </row>
    <row r="543" spans="5:5" ht="15.75" customHeight="1" x14ac:dyDescent="0.3">
      <c r="E543" s="2"/>
    </row>
    <row r="544" spans="5:5" ht="15.75" customHeight="1" x14ac:dyDescent="0.3">
      <c r="E544" s="2"/>
    </row>
    <row r="545" spans="5:5" ht="15.75" customHeight="1" x14ac:dyDescent="0.3">
      <c r="E545" s="2"/>
    </row>
    <row r="546" spans="5:5" ht="15.75" customHeight="1" x14ac:dyDescent="0.3">
      <c r="E546" s="2"/>
    </row>
    <row r="547" spans="5:5" ht="15.75" customHeight="1" x14ac:dyDescent="0.3">
      <c r="E547" s="2"/>
    </row>
    <row r="548" spans="5:5" ht="15.75" customHeight="1" x14ac:dyDescent="0.3">
      <c r="E548" s="2"/>
    </row>
    <row r="549" spans="5:5" ht="15.75" customHeight="1" x14ac:dyDescent="0.3">
      <c r="E549" s="2"/>
    </row>
    <row r="550" spans="5:5" ht="15.75" customHeight="1" x14ac:dyDescent="0.3">
      <c r="E550" s="2"/>
    </row>
    <row r="551" spans="5:5" ht="15.75" customHeight="1" x14ac:dyDescent="0.3">
      <c r="E551" s="2"/>
    </row>
    <row r="552" spans="5:5" ht="15.75" customHeight="1" x14ac:dyDescent="0.3">
      <c r="E552" s="2"/>
    </row>
    <row r="553" spans="5:5" ht="15.75" customHeight="1" x14ac:dyDescent="0.3">
      <c r="E553" s="2"/>
    </row>
    <row r="554" spans="5:5" ht="15.75" customHeight="1" x14ac:dyDescent="0.3">
      <c r="E554" s="2"/>
    </row>
    <row r="555" spans="5:5" ht="15.75" customHeight="1" x14ac:dyDescent="0.3">
      <c r="E555" s="2"/>
    </row>
    <row r="556" spans="5:5" ht="15.75" customHeight="1" x14ac:dyDescent="0.3">
      <c r="E556" s="2"/>
    </row>
    <row r="557" spans="5:5" ht="15.75" customHeight="1" x14ac:dyDescent="0.3">
      <c r="E557" s="2"/>
    </row>
    <row r="558" spans="5:5" ht="15.75" customHeight="1" x14ac:dyDescent="0.3">
      <c r="E558" s="2"/>
    </row>
    <row r="559" spans="5:5" ht="15.75" customHeight="1" x14ac:dyDescent="0.3">
      <c r="E559" s="2"/>
    </row>
    <row r="560" spans="5:5" ht="15.75" customHeight="1" x14ac:dyDescent="0.3">
      <c r="E560" s="2"/>
    </row>
    <row r="561" spans="5:5" ht="15.75" customHeight="1" x14ac:dyDescent="0.3">
      <c r="E561" s="2"/>
    </row>
    <row r="562" spans="5:5" ht="15.75" customHeight="1" x14ac:dyDescent="0.3">
      <c r="E562" s="2"/>
    </row>
    <row r="563" spans="5:5" ht="15.75" customHeight="1" x14ac:dyDescent="0.3">
      <c r="E563" s="2"/>
    </row>
    <row r="564" spans="5:5" ht="15.75" customHeight="1" x14ac:dyDescent="0.3">
      <c r="E564" s="2"/>
    </row>
    <row r="565" spans="5:5" ht="15.75" customHeight="1" x14ac:dyDescent="0.3">
      <c r="E565" s="2"/>
    </row>
    <row r="566" spans="5:5" ht="15.75" customHeight="1" x14ac:dyDescent="0.3">
      <c r="E566" s="2"/>
    </row>
    <row r="567" spans="5:5" ht="15.75" customHeight="1" x14ac:dyDescent="0.3">
      <c r="E567" s="2"/>
    </row>
    <row r="568" spans="5:5" ht="15.75" customHeight="1" x14ac:dyDescent="0.3">
      <c r="E568" s="2"/>
    </row>
    <row r="569" spans="5:5" ht="15.75" customHeight="1" x14ac:dyDescent="0.3">
      <c r="E569" s="2"/>
    </row>
    <row r="570" spans="5:5" ht="15.75" customHeight="1" x14ac:dyDescent="0.3">
      <c r="E570" s="2"/>
    </row>
    <row r="571" spans="5:5" ht="15.75" customHeight="1" x14ac:dyDescent="0.3">
      <c r="E571" s="2"/>
    </row>
    <row r="572" spans="5:5" ht="15.75" customHeight="1" x14ac:dyDescent="0.3">
      <c r="E572" s="2"/>
    </row>
    <row r="573" spans="5:5" ht="15.75" customHeight="1" x14ac:dyDescent="0.3">
      <c r="E573" s="2"/>
    </row>
    <row r="574" spans="5:5" ht="15.75" customHeight="1" x14ac:dyDescent="0.3">
      <c r="E574" s="2"/>
    </row>
    <row r="575" spans="5:5" ht="15.75" customHeight="1" x14ac:dyDescent="0.3">
      <c r="E575" s="2"/>
    </row>
    <row r="576" spans="5:5" ht="15.75" customHeight="1" x14ac:dyDescent="0.3">
      <c r="E576" s="2"/>
    </row>
    <row r="577" spans="5:5" ht="15.75" customHeight="1" x14ac:dyDescent="0.3">
      <c r="E577" s="2"/>
    </row>
    <row r="578" spans="5:5" ht="15.75" customHeight="1" x14ac:dyDescent="0.3">
      <c r="E578" s="2"/>
    </row>
    <row r="579" spans="5:5" ht="15.75" customHeight="1" x14ac:dyDescent="0.3">
      <c r="E579" s="2"/>
    </row>
    <row r="580" spans="5:5" ht="15.75" customHeight="1" x14ac:dyDescent="0.3">
      <c r="E580" s="2"/>
    </row>
    <row r="581" spans="5:5" ht="15.75" customHeight="1" x14ac:dyDescent="0.3">
      <c r="E581" s="2"/>
    </row>
    <row r="582" spans="5:5" ht="15.75" customHeight="1" x14ac:dyDescent="0.3">
      <c r="E582" s="2"/>
    </row>
    <row r="583" spans="5:5" ht="15.75" customHeight="1" x14ac:dyDescent="0.3">
      <c r="E583" s="2"/>
    </row>
    <row r="584" spans="5:5" ht="15.75" customHeight="1" x14ac:dyDescent="0.3">
      <c r="E584" s="2"/>
    </row>
    <row r="585" spans="5:5" ht="15.75" customHeight="1" x14ac:dyDescent="0.3">
      <c r="E585" s="2"/>
    </row>
    <row r="586" spans="5:5" ht="15.75" customHeight="1" x14ac:dyDescent="0.3">
      <c r="E586" s="2"/>
    </row>
    <row r="587" spans="5:5" ht="15.75" customHeight="1" x14ac:dyDescent="0.3">
      <c r="E587" s="2"/>
    </row>
    <row r="588" spans="5:5" ht="15.75" customHeight="1" x14ac:dyDescent="0.3">
      <c r="E588" s="2"/>
    </row>
    <row r="589" spans="5:5" ht="15.75" customHeight="1" x14ac:dyDescent="0.3">
      <c r="E589" s="2"/>
    </row>
    <row r="590" spans="5:5" ht="15.75" customHeight="1" x14ac:dyDescent="0.3">
      <c r="E590" s="2"/>
    </row>
    <row r="591" spans="5:5" ht="15.75" customHeight="1" x14ac:dyDescent="0.3">
      <c r="E591" s="2"/>
    </row>
    <row r="592" spans="5:5" ht="15.75" customHeight="1" x14ac:dyDescent="0.3">
      <c r="E592" s="2"/>
    </row>
    <row r="593" spans="5:5" ht="15.75" customHeight="1" x14ac:dyDescent="0.3">
      <c r="E593" s="2"/>
    </row>
    <row r="594" spans="5:5" ht="15.75" customHeight="1" x14ac:dyDescent="0.3">
      <c r="E594" s="2"/>
    </row>
    <row r="595" spans="5:5" ht="15.75" customHeight="1" x14ac:dyDescent="0.3">
      <c r="E595" s="2"/>
    </row>
    <row r="596" spans="5:5" ht="15.75" customHeight="1" x14ac:dyDescent="0.3">
      <c r="E596" s="2"/>
    </row>
    <row r="597" spans="5:5" ht="15.75" customHeight="1" x14ac:dyDescent="0.3">
      <c r="E597" s="2"/>
    </row>
    <row r="598" spans="5:5" ht="15.75" customHeight="1" x14ac:dyDescent="0.3">
      <c r="E598" s="2"/>
    </row>
    <row r="599" spans="5:5" ht="15.75" customHeight="1" x14ac:dyDescent="0.3">
      <c r="E599" s="2"/>
    </row>
    <row r="600" spans="5:5" ht="15.75" customHeight="1" x14ac:dyDescent="0.3">
      <c r="E600" s="2"/>
    </row>
    <row r="601" spans="5:5" ht="15.75" customHeight="1" x14ac:dyDescent="0.3">
      <c r="E601" s="2"/>
    </row>
    <row r="602" spans="5:5" ht="15.75" customHeight="1" x14ac:dyDescent="0.3">
      <c r="E602" s="2"/>
    </row>
    <row r="603" spans="5:5" ht="15.75" customHeight="1" x14ac:dyDescent="0.3">
      <c r="E603" s="2"/>
    </row>
    <row r="604" spans="5:5" ht="15.75" customHeight="1" x14ac:dyDescent="0.3">
      <c r="E604" s="2"/>
    </row>
    <row r="605" spans="5:5" ht="15.75" customHeight="1" x14ac:dyDescent="0.3">
      <c r="E605" s="2"/>
    </row>
    <row r="606" spans="5:5" ht="15.75" customHeight="1" x14ac:dyDescent="0.3">
      <c r="E606" s="2"/>
    </row>
    <row r="607" spans="5:5" ht="15.75" customHeight="1" x14ac:dyDescent="0.3">
      <c r="E607" s="2"/>
    </row>
    <row r="608" spans="5:5" ht="15.75" customHeight="1" x14ac:dyDescent="0.3">
      <c r="E608" s="2"/>
    </row>
    <row r="609" spans="5:5" ht="15.75" customHeight="1" x14ac:dyDescent="0.3">
      <c r="E609" s="2"/>
    </row>
    <row r="610" spans="5:5" ht="15.75" customHeight="1" x14ac:dyDescent="0.3">
      <c r="E610" s="2"/>
    </row>
    <row r="611" spans="5:5" ht="15.75" customHeight="1" x14ac:dyDescent="0.3">
      <c r="E611" s="2"/>
    </row>
    <row r="612" spans="5:5" ht="15.75" customHeight="1" x14ac:dyDescent="0.3">
      <c r="E612" s="2"/>
    </row>
    <row r="613" spans="5:5" ht="15.75" customHeight="1" x14ac:dyDescent="0.3">
      <c r="E613" s="2"/>
    </row>
    <row r="614" spans="5:5" ht="15.75" customHeight="1" x14ac:dyDescent="0.3">
      <c r="E614" s="2"/>
    </row>
    <row r="615" spans="5:5" ht="15.75" customHeight="1" x14ac:dyDescent="0.3">
      <c r="E615" s="2"/>
    </row>
    <row r="616" spans="5:5" ht="15.75" customHeight="1" x14ac:dyDescent="0.3">
      <c r="E616" s="2"/>
    </row>
    <row r="617" spans="5:5" ht="15.75" customHeight="1" x14ac:dyDescent="0.3">
      <c r="E617" s="2"/>
    </row>
    <row r="618" spans="5:5" ht="15.75" customHeight="1" x14ac:dyDescent="0.3">
      <c r="E618" s="2"/>
    </row>
    <row r="619" spans="5:5" ht="15.75" customHeight="1" x14ac:dyDescent="0.3">
      <c r="E619" s="2"/>
    </row>
    <row r="620" spans="5:5" ht="15.75" customHeight="1" x14ac:dyDescent="0.3">
      <c r="E620" s="2"/>
    </row>
    <row r="621" spans="5:5" ht="15.75" customHeight="1" x14ac:dyDescent="0.3">
      <c r="E621" s="2"/>
    </row>
    <row r="622" spans="5:5" ht="15.75" customHeight="1" x14ac:dyDescent="0.3">
      <c r="E622" s="2"/>
    </row>
    <row r="623" spans="5:5" ht="15.75" customHeight="1" x14ac:dyDescent="0.3">
      <c r="E623" s="2"/>
    </row>
    <row r="624" spans="5:5" ht="15.75" customHeight="1" x14ac:dyDescent="0.3">
      <c r="E624" s="2"/>
    </row>
    <row r="625" spans="5:5" ht="15.75" customHeight="1" x14ac:dyDescent="0.3">
      <c r="E625" s="2"/>
    </row>
    <row r="626" spans="5:5" ht="15.75" customHeight="1" x14ac:dyDescent="0.3">
      <c r="E626" s="2"/>
    </row>
    <row r="627" spans="5:5" ht="15.75" customHeight="1" x14ac:dyDescent="0.3">
      <c r="E627" s="2"/>
    </row>
    <row r="628" spans="5:5" ht="15.75" customHeight="1" x14ac:dyDescent="0.3">
      <c r="E628" s="2"/>
    </row>
    <row r="629" spans="5:5" ht="15.75" customHeight="1" x14ac:dyDescent="0.3">
      <c r="E629" s="2"/>
    </row>
    <row r="630" spans="5:5" ht="15.75" customHeight="1" x14ac:dyDescent="0.3">
      <c r="E630" s="2"/>
    </row>
    <row r="631" spans="5:5" ht="15.75" customHeight="1" x14ac:dyDescent="0.3">
      <c r="E631" s="2"/>
    </row>
    <row r="632" spans="5:5" ht="15.75" customHeight="1" x14ac:dyDescent="0.3">
      <c r="E632" s="2"/>
    </row>
    <row r="633" spans="5:5" ht="15.75" customHeight="1" x14ac:dyDescent="0.3">
      <c r="E633" s="2"/>
    </row>
    <row r="634" spans="5:5" ht="15.75" customHeight="1" x14ac:dyDescent="0.3">
      <c r="E634" s="2"/>
    </row>
    <row r="635" spans="5:5" ht="15.75" customHeight="1" x14ac:dyDescent="0.3">
      <c r="E635" s="2"/>
    </row>
    <row r="636" spans="5:5" ht="15.75" customHeight="1" x14ac:dyDescent="0.3">
      <c r="E636" s="2"/>
    </row>
    <row r="637" spans="5:5" ht="15.75" customHeight="1" x14ac:dyDescent="0.3">
      <c r="E637" s="2"/>
    </row>
    <row r="638" spans="5:5" ht="15.75" customHeight="1" x14ac:dyDescent="0.3">
      <c r="E638" s="2"/>
    </row>
    <row r="639" spans="5:5" ht="15.75" customHeight="1" x14ac:dyDescent="0.3">
      <c r="E639" s="2"/>
    </row>
    <row r="640" spans="5:5" ht="15.75" customHeight="1" x14ac:dyDescent="0.3">
      <c r="E640" s="2"/>
    </row>
    <row r="641" spans="5:5" ht="15.75" customHeight="1" x14ac:dyDescent="0.3">
      <c r="E641" s="2"/>
    </row>
    <row r="642" spans="5:5" ht="15.75" customHeight="1" x14ac:dyDescent="0.3">
      <c r="E642" s="2"/>
    </row>
    <row r="643" spans="5:5" ht="15.75" customHeight="1" x14ac:dyDescent="0.3">
      <c r="E643" s="2"/>
    </row>
    <row r="644" spans="5:5" ht="15.75" customHeight="1" x14ac:dyDescent="0.3">
      <c r="E644" s="2"/>
    </row>
    <row r="645" spans="5:5" ht="15.75" customHeight="1" x14ac:dyDescent="0.3">
      <c r="E645" s="2"/>
    </row>
    <row r="646" spans="5:5" ht="15.75" customHeight="1" x14ac:dyDescent="0.3">
      <c r="E646" s="2"/>
    </row>
    <row r="647" spans="5:5" ht="15.75" customHeight="1" x14ac:dyDescent="0.3">
      <c r="E647" s="2"/>
    </row>
    <row r="648" spans="5:5" ht="15.75" customHeight="1" x14ac:dyDescent="0.3">
      <c r="E648" s="2"/>
    </row>
    <row r="649" spans="5:5" ht="15.75" customHeight="1" x14ac:dyDescent="0.3">
      <c r="E649" s="2"/>
    </row>
    <row r="650" spans="5:5" ht="15.75" customHeight="1" x14ac:dyDescent="0.3">
      <c r="E650" s="2"/>
    </row>
    <row r="651" spans="5:5" ht="15.75" customHeight="1" x14ac:dyDescent="0.3">
      <c r="E651" s="2"/>
    </row>
    <row r="652" spans="5:5" ht="15.75" customHeight="1" x14ac:dyDescent="0.3">
      <c r="E652" s="2"/>
    </row>
    <row r="653" spans="5:5" ht="15.75" customHeight="1" x14ac:dyDescent="0.3">
      <c r="E653" s="2"/>
    </row>
    <row r="654" spans="5:5" ht="15.75" customHeight="1" x14ac:dyDescent="0.3">
      <c r="E654" s="2"/>
    </row>
    <row r="655" spans="5:5" ht="15.75" customHeight="1" x14ac:dyDescent="0.3">
      <c r="E655" s="2"/>
    </row>
    <row r="656" spans="5:5" ht="15.75" customHeight="1" x14ac:dyDescent="0.3">
      <c r="E656" s="2"/>
    </row>
    <row r="657" spans="5:5" ht="15.75" customHeight="1" x14ac:dyDescent="0.3">
      <c r="E657" s="2"/>
    </row>
    <row r="658" spans="5:5" ht="15.75" customHeight="1" x14ac:dyDescent="0.3">
      <c r="E658" s="2"/>
    </row>
    <row r="659" spans="5:5" ht="15.75" customHeight="1" x14ac:dyDescent="0.3">
      <c r="E659" s="2"/>
    </row>
    <row r="660" spans="5:5" ht="15.75" customHeight="1" x14ac:dyDescent="0.3">
      <c r="E660" s="2"/>
    </row>
    <row r="661" spans="5:5" ht="15.75" customHeight="1" x14ac:dyDescent="0.3">
      <c r="E661" s="2"/>
    </row>
    <row r="662" spans="5:5" ht="15.75" customHeight="1" x14ac:dyDescent="0.3">
      <c r="E662" s="2"/>
    </row>
    <row r="663" spans="5:5" ht="15.75" customHeight="1" x14ac:dyDescent="0.3">
      <c r="E663" s="2"/>
    </row>
    <row r="664" spans="5:5" ht="15.75" customHeight="1" x14ac:dyDescent="0.3">
      <c r="E664" s="2"/>
    </row>
    <row r="665" spans="5:5" ht="15.75" customHeight="1" x14ac:dyDescent="0.3">
      <c r="E665" s="2"/>
    </row>
    <row r="666" spans="5:5" ht="15.75" customHeight="1" x14ac:dyDescent="0.3">
      <c r="E666" s="2"/>
    </row>
    <row r="667" spans="5:5" ht="15.75" customHeight="1" x14ac:dyDescent="0.3">
      <c r="E667" s="2"/>
    </row>
    <row r="668" spans="5:5" ht="15.75" customHeight="1" x14ac:dyDescent="0.3">
      <c r="E668" s="2"/>
    </row>
    <row r="669" spans="5:5" ht="15.75" customHeight="1" x14ac:dyDescent="0.3">
      <c r="E669" s="2"/>
    </row>
    <row r="670" spans="5:5" ht="15.75" customHeight="1" x14ac:dyDescent="0.3">
      <c r="E670" s="2"/>
    </row>
    <row r="671" spans="5:5" ht="15.75" customHeight="1" x14ac:dyDescent="0.3">
      <c r="E671" s="2"/>
    </row>
    <row r="672" spans="5:5" ht="15.75" customHeight="1" x14ac:dyDescent="0.3">
      <c r="E672" s="2"/>
    </row>
    <row r="673" spans="5:5" ht="15.75" customHeight="1" x14ac:dyDescent="0.3">
      <c r="E673" s="2"/>
    </row>
    <row r="674" spans="5:5" ht="15.75" customHeight="1" x14ac:dyDescent="0.3">
      <c r="E674" s="2"/>
    </row>
    <row r="675" spans="5:5" ht="15.75" customHeight="1" x14ac:dyDescent="0.3">
      <c r="E675" s="2"/>
    </row>
    <row r="676" spans="5:5" ht="15.75" customHeight="1" x14ac:dyDescent="0.3">
      <c r="E676" s="2"/>
    </row>
    <row r="677" spans="5:5" ht="15.75" customHeight="1" x14ac:dyDescent="0.3">
      <c r="E677" s="2"/>
    </row>
    <row r="678" spans="5:5" ht="15.75" customHeight="1" x14ac:dyDescent="0.3">
      <c r="E678" s="2"/>
    </row>
    <row r="679" spans="5:5" ht="15.75" customHeight="1" x14ac:dyDescent="0.3">
      <c r="E679" s="2"/>
    </row>
    <row r="680" spans="5:5" ht="15.75" customHeight="1" x14ac:dyDescent="0.3">
      <c r="E680" s="2"/>
    </row>
    <row r="681" spans="5:5" ht="15.75" customHeight="1" x14ac:dyDescent="0.3">
      <c r="E681" s="2"/>
    </row>
    <row r="682" spans="5:5" ht="15.75" customHeight="1" x14ac:dyDescent="0.3">
      <c r="E682" s="2"/>
    </row>
    <row r="683" spans="5:5" ht="15.75" customHeight="1" x14ac:dyDescent="0.3">
      <c r="E683" s="2"/>
    </row>
    <row r="684" spans="5:5" ht="15.75" customHeight="1" x14ac:dyDescent="0.3">
      <c r="E684" s="2"/>
    </row>
    <row r="685" spans="5:5" ht="15.75" customHeight="1" x14ac:dyDescent="0.3">
      <c r="E685" s="2"/>
    </row>
    <row r="686" spans="5:5" ht="15.75" customHeight="1" x14ac:dyDescent="0.3">
      <c r="E686" s="2"/>
    </row>
    <row r="687" spans="5:5" ht="15.75" customHeight="1" x14ac:dyDescent="0.3">
      <c r="E687" s="2"/>
    </row>
    <row r="688" spans="5:5" ht="15.75" customHeight="1" x14ac:dyDescent="0.3">
      <c r="E688" s="2"/>
    </row>
    <row r="689" spans="5:5" ht="15.75" customHeight="1" x14ac:dyDescent="0.3">
      <c r="E689" s="2"/>
    </row>
    <row r="690" spans="5:5" ht="15.75" customHeight="1" x14ac:dyDescent="0.3">
      <c r="E690" s="2"/>
    </row>
    <row r="691" spans="5:5" ht="15.75" customHeight="1" x14ac:dyDescent="0.3">
      <c r="E691" s="2"/>
    </row>
    <row r="692" spans="5:5" ht="15.75" customHeight="1" x14ac:dyDescent="0.3">
      <c r="E692" s="2"/>
    </row>
    <row r="693" spans="5:5" ht="15.75" customHeight="1" x14ac:dyDescent="0.3">
      <c r="E693" s="2"/>
    </row>
    <row r="694" spans="5:5" ht="15.75" customHeight="1" x14ac:dyDescent="0.3">
      <c r="E694" s="2"/>
    </row>
    <row r="695" spans="5:5" ht="15.75" customHeight="1" x14ac:dyDescent="0.3">
      <c r="E695" s="2"/>
    </row>
    <row r="696" spans="5:5" ht="15.75" customHeight="1" x14ac:dyDescent="0.3">
      <c r="E696" s="2"/>
    </row>
    <row r="697" spans="5:5" ht="15.75" customHeight="1" x14ac:dyDescent="0.3">
      <c r="E697" s="2"/>
    </row>
    <row r="698" spans="5:5" ht="15.75" customHeight="1" x14ac:dyDescent="0.3">
      <c r="E698" s="2"/>
    </row>
    <row r="699" spans="5:5" ht="15.75" customHeight="1" x14ac:dyDescent="0.3">
      <c r="E699" s="2"/>
    </row>
    <row r="700" spans="5:5" ht="15.75" customHeight="1" x14ac:dyDescent="0.3">
      <c r="E700" s="2"/>
    </row>
    <row r="701" spans="5:5" ht="15.75" customHeight="1" x14ac:dyDescent="0.3">
      <c r="E701" s="2"/>
    </row>
    <row r="702" spans="5:5" ht="15.75" customHeight="1" x14ac:dyDescent="0.3">
      <c r="E702" s="2"/>
    </row>
    <row r="703" spans="5:5" ht="15.75" customHeight="1" x14ac:dyDescent="0.3">
      <c r="E703" s="2"/>
    </row>
    <row r="704" spans="5:5" ht="15.75" customHeight="1" x14ac:dyDescent="0.3">
      <c r="E704" s="2"/>
    </row>
    <row r="705" spans="5:5" ht="15.75" customHeight="1" x14ac:dyDescent="0.3">
      <c r="E705" s="2"/>
    </row>
    <row r="706" spans="5:5" ht="15.75" customHeight="1" x14ac:dyDescent="0.3">
      <c r="E706" s="2"/>
    </row>
    <row r="707" spans="5:5" ht="15.75" customHeight="1" x14ac:dyDescent="0.3">
      <c r="E707" s="2"/>
    </row>
    <row r="708" spans="5:5" ht="15.75" customHeight="1" x14ac:dyDescent="0.3">
      <c r="E708" s="2"/>
    </row>
    <row r="709" spans="5:5" ht="15.75" customHeight="1" x14ac:dyDescent="0.3">
      <c r="E709" s="2"/>
    </row>
    <row r="710" spans="5:5" ht="15.75" customHeight="1" x14ac:dyDescent="0.3">
      <c r="E710" s="2"/>
    </row>
    <row r="711" spans="5:5" ht="15.75" customHeight="1" x14ac:dyDescent="0.3">
      <c r="E711" s="2"/>
    </row>
    <row r="712" spans="5:5" ht="15.75" customHeight="1" x14ac:dyDescent="0.3">
      <c r="E712" s="2"/>
    </row>
    <row r="713" spans="5:5" ht="15.75" customHeight="1" x14ac:dyDescent="0.3">
      <c r="E713" s="2"/>
    </row>
    <row r="714" spans="5:5" ht="15.75" customHeight="1" x14ac:dyDescent="0.3">
      <c r="E714" s="2"/>
    </row>
    <row r="715" spans="5:5" ht="15.75" customHeight="1" x14ac:dyDescent="0.3">
      <c r="E715" s="2"/>
    </row>
    <row r="716" spans="5:5" ht="15.75" customHeight="1" x14ac:dyDescent="0.3">
      <c r="E716" s="2"/>
    </row>
    <row r="717" spans="5:5" ht="15.75" customHeight="1" x14ac:dyDescent="0.3">
      <c r="E717" s="2"/>
    </row>
    <row r="718" spans="5:5" ht="15.75" customHeight="1" x14ac:dyDescent="0.3">
      <c r="E718" s="2"/>
    </row>
    <row r="719" spans="5:5" ht="15.75" customHeight="1" x14ac:dyDescent="0.3">
      <c r="E719" s="2"/>
    </row>
    <row r="720" spans="5:5" ht="15.75" customHeight="1" x14ac:dyDescent="0.3">
      <c r="E720" s="2"/>
    </row>
    <row r="721" spans="5:5" ht="15.75" customHeight="1" x14ac:dyDescent="0.3">
      <c r="E721" s="2"/>
    </row>
    <row r="722" spans="5:5" ht="15.75" customHeight="1" x14ac:dyDescent="0.3">
      <c r="E722" s="2"/>
    </row>
    <row r="723" spans="5:5" ht="15.75" customHeight="1" x14ac:dyDescent="0.3">
      <c r="E723" s="2"/>
    </row>
    <row r="724" spans="5:5" ht="15.75" customHeight="1" x14ac:dyDescent="0.3">
      <c r="E724" s="2"/>
    </row>
    <row r="725" spans="5:5" ht="15.75" customHeight="1" x14ac:dyDescent="0.3">
      <c r="E725" s="2"/>
    </row>
    <row r="726" spans="5:5" ht="15.75" customHeight="1" x14ac:dyDescent="0.3">
      <c r="E726" s="2"/>
    </row>
    <row r="727" spans="5:5" ht="15.75" customHeight="1" x14ac:dyDescent="0.3">
      <c r="E727" s="2"/>
    </row>
    <row r="728" spans="5:5" ht="15.75" customHeight="1" x14ac:dyDescent="0.3">
      <c r="E728" s="2"/>
    </row>
    <row r="729" spans="5:5" ht="15.75" customHeight="1" x14ac:dyDescent="0.3">
      <c r="E729" s="2"/>
    </row>
    <row r="730" spans="5:5" ht="15.75" customHeight="1" x14ac:dyDescent="0.3">
      <c r="E730" s="2"/>
    </row>
    <row r="731" spans="5:5" ht="15.75" customHeight="1" x14ac:dyDescent="0.3">
      <c r="E731" s="2"/>
    </row>
    <row r="732" spans="5:5" ht="15.75" customHeight="1" x14ac:dyDescent="0.3">
      <c r="E732" s="2"/>
    </row>
    <row r="733" spans="5:5" ht="15.75" customHeight="1" x14ac:dyDescent="0.3">
      <c r="E733" s="2"/>
    </row>
    <row r="734" spans="5:5" ht="15.75" customHeight="1" x14ac:dyDescent="0.3">
      <c r="E734" s="2"/>
    </row>
    <row r="735" spans="5:5" ht="15.75" customHeight="1" x14ac:dyDescent="0.3">
      <c r="E735" s="2"/>
    </row>
    <row r="736" spans="5:5" ht="15.75" customHeight="1" x14ac:dyDescent="0.3">
      <c r="E736" s="2"/>
    </row>
    <row r="737" spans="5:5" ht="15.75" customHeight="1" x14ac:dyDescent="0.3">
      <c r="E737" s="2"/>
    </row>
    <row r="738" spans="5:5" ht="15.75" customHeight="1" x14ac:dyDescent="0.3">
      <c r="E738" s="2"/>
    </row>
    <row r="739" spans="5:5" ht="15.75" customHeight="1" x14ac:dyDescent="0.3">
      <c r="E739" s="2"/>
    </row>
    <row r="740" spans="5:5" ht="15.75" customHeight="1" x14ac:dyDescent="0.3">
      <c r="E740" s="2"/>
    </row>
    <row r="741" spans="5:5" ht="15.75" customHeight="1" x14ac:dyDescent="0.3">
      <c r="E741" s="2"/>
    </row>
    <row r="742" spans="5:5" ht="15.75" customHeight="1" x14ac:dyDescent="0.3">
      <c r="E742" s="2"/>
    </row>
    <row r="743" spans="5:5" ht="15.75" customHeight="1" x14ac:dyDescent="0.3">
      <c r="E743" s="2"/>
    </row>
    <row r="744" spans="5:5" ht="15.75" customHeight="1" x14ac:dyDescent="0.3">
      <c r="E744" s="2"/>
    </row>
    <row r="745" spans="5:5" ht="15.75" customHeight="1" x14ac:dyDescent="0.3">
      <c r="E745" s="2"/>
    </row>
    <row r="746" spans="5:5" ht="15.75" customHeight="1" x14ac:dyDescent="0.3">
      <c r="E746" s="2"/>
    </row>
    <row r="747" spans="5:5" ht="15.75" customHeight="1" x14ac:dyDescent="0.3">
      <c r="E747" s="2"/>
    </row>
    <row r="748" spans="5:5" ht="15.75" customHeight="1" x14ac:dyDescent="0.3">
      <c r="E748" s="2"/>
    </row>
    <row r="749" spans="5:5" ht="15.75" customHeight="1" x14ac:dyDescent="0.3">
      <c r="E749" s="2"/>
    </row>
    <row r="750" spans="5:5" ht="15.75" customHeight="1" x14ac:dyDescent="0.3">
      <c r="E750" s="2"/>
    </row>
    <row r="751" spans="5:5" ht="15.75" customHeight="1" x14ac:dyDescent="0.3">
      <c r="E751" s="2"/>
    </row>
    <row r="752" spans="5:5" ht="15.75" customHeight="1" x14ac:dyDescent="0.3">
      <c r="E752" s="2"/>
    </row>
    <row r="753" spans="5:5" ht="15.75" customHeight="1" x14ac:dyDescent="0.3">
      <c r="E753" s="2"/>
    </row>
    <row r="754" spans="5:5" ht="15.75" customHeight="1" x14ac:dyDescent="0.3">
      <c r="E754" s="2"/>
    </row>
    <row r="755" spans="5:5" ht="15.75" customHeight="1" x14ac:dyDescent="0.3">
      <c r="E755" s="2"/>
    </row>
    <row r="756" spans="5:5" ht="15.75" customHeight="1" x14ac:dyDescent="0.3">
      <c r="E756" s="2"/>
    </row>
    <row r="757" spans="5:5" ht="15.75" customHeight="1" x14ac:dyDescent="0.3">
      <c r="E757" s="2"/>
    </row>
    <row r="758" spans="5:5" ht="15.75" customHeight="1" x14ac:dyDescent="0.3">
      <c r="E758" s="2"/>
    </row>
    <row r="759" spans="5:5" ht="15.75" customHeight="1" x14ac:dyDescent="0.3">
      <c r="E759" s="2"/>
    </row>
    <row r="760" spans="5:5" ht="15.75" customHeight="1" x14ac:dyDescent="0.3">
      <c r="E760" s="2"/>
    </row>
    <row r="761" spans="5:5" ht="15.75" customHeight="1" x14ac:dyDescent="0.3">
      <c r="E761" s="2"/>
    </row>
    <row r="762" spans="5:5" ht="15.75" customHeight="1" x14ac:dyDescent="0.3">
      <c r="E762" s="2"/>
    </row>
    <row r="763" spans="5:5" ht="15.75" customHeight="1" x14ac:dyDescent="0.3">
      <c r="E763" s="2"/>
    </row>
    <row r="764" spans="5:5" ht="15.75" customHeight="1" x14ac:dyDescent="0.3">
      <c r="E764" s="2"/>
    </row>
    <row r="765" spans="5:5" ht="15.75" customHeight="1" x14ac:dyDescent="0.3">
      <c r="E765" s="2"/>
    </row>
    <row r="766" spans="5:5" ht="15.75" customHeight="1" x14ac:dyDescent="0.3">
      <c r="E766" s="2"/>
    </row>
    <row r="767" spans="5:5" ht="15.75" customHeight="1" x14ac:dyDescent="0.3">
      <c r="E767" s="2"/>
    </row>
    <row r="768" spans="5:5" ht="15.75" customHeight="1" x14ac:dyDescent="0.3">
      <c r="E768" s="2"/>
    </row>
    <row r="769" spans="5:5" ht="15.75" customHeight="1" x14ac:dyDescent="0.3">
      <c r="E769" s="2"/>
    </row>
    <row r="770" spans="5:5" ht="15.75" customHeight="1" x14ac:dyDescent="0.3">
      <c r="E770" s="2"/>
    </row>
    <row r="771" spans="5:5" ht="15.75" customHeight="1" x14ac:dyDescent="0.3">
      <c r="E771" s="2"/>
    </row>
    <row r="772" spans="5:5" ht="15.75" customHeight="1" x14ac:dyDescent="0.3">
      <c r="E772" s="2"/>
    </row>
    <row r="773" spans="5:5" ht="15.75" customHeight="1" x14ac:dyDescent="0.3">
      <c r="E773" s="2"/>
    </row>
    <row r="774" spans="5:5" ht="15.75" customHeight="1" x14ac:dyDescent="0.3">
      <c r="E774" s="2"/>
    </row>
    <row r="775" spans="5:5" ht="15.75" customHeight="1" x14ac:dyDescent="0.3">
      <c r="E775" s="2"/>
    </row>
    <row r="776" spans="5:5" ht="15.75" customHeight="1" x14ac:dyDescent="0.3">
      <c r="E776" s="2"/>
    </row>
    <row r="777" spans="5:5" ht="15.75" customHeight="1" x14ac:dyDescent="0.3">
      <c r="E777" s="2"/>
    </row>
    <row r="778" spans="5:5" ht="15.75" customHeight="1" x14ac:dyDescent="0.3">
      <c r="E778" s="2"/>
    </row>
    <row r="779" spans="5:5" ht="15.75" customHeight="1" x14ac:dyDescent="0.3">
      <c r="E779" s="2"/>
    </row>
    <row r="780" spans="5:5" ht="15.75" customHeight="1" x14ac:dyDescent="0.3">
      <c r="E780" s="2"/>
    </row>
    <row r="781" spans="5:5" ht="15.75" customHeight="1" x14ac:dyDescent="0.3">
      <c r="E781" s="2"/>
    </row>
    <row r="782" spans="5:5" ht="15.75" customHeight="1" x14ac:dyDescent="0.3">
      <c r="E782" s="2"/>
    </row>
    <row r="783" spans="5:5" ht="15.75" customHeight="1" x14ac:dyDescent="0.3">
      <c r="E783" s="2"/>
    </row>
    <row r="784" spans="5:5" ht="15.75" customHeight="1" x14ac:dyDescent="0.3">
      <c r="E784" s="2"/>
    </row>
    <row r="785" spans="5:5" ht="15.75" customHeight="1" x14ac:dyDescent="0.3">
      <c r="E785" s="2"/>
    </row>
    <row r="786" spans="5:5" ht="15.75" customHeight="1" x14ac:dyDescent="0.3">
      <c r="E786" s="2"/>
    </row>
    <row r="787" spans="5:5" ht="15.75" customHeight="1" x14ac:dyDescent="0.3">
      <c r="E787" s="2"/>
    </row>
    <row r="788" spans="5:5" ht="15.75" customHeight="1" x14ac:dyDescent="0.3">
      <c r="E788" s="2"/>
    </row>
    <row r="789" spans="5:5" ht="15.75" customHeight="1" x14ac:dyDescent="0.3">
      <c r="E789" s="2"/>
    </row>
    <row r="790" spans="5:5" ht="15.75" customHeight="1" x14ac:dyDescent="0.3">
      <c r="E790" s="2"/>
    </row>
    <row r="791" spans="5:5" ht="15.75" customHeight="1" x14ac:dyDescent="0.3">
      <c r="E791" s="2"/>
    </row>
    <row r="792" spans="5:5" ht="15.75" customHeight="1" x14ac:dyDescent="0.3">
      <c r="E792" s="2"/>
    </row>
    <row r="793" spans="5:5" ht="15.75" customHeight="1" x14ac:dyDescent="0.3">
      <c r="E793" s="2"/>
    </row>
    <row r="794" spans="5:5" ht="15.75" customHeight="1" x14ac:dyDescent="0.3">
      <c r="E794" s="2"/>
    </row>
    <row r="795" spans="5:5" ht="15.75" customHeight="1" x14ac:dyDescent="0.3">
      <c r="E795" s="2"/>
    </row>
    <row r="796" spans="5:5" ht="15.75" customHeight="1" x14ac:dyDescent="0.3">
      <c r="E796" s="2"/>
    </row>
    <row r="797" spans="5:5" ht="15.75" customHeight="1" x14ac:dyDescent="0.3">
      <c r="E797" s="2"/>
    </row>
    <row r="798" spans="5:5" ht="15.75" customHeight="1" x14ac:dyDescent="0.3">
      <c r="E798" s="2"/>
    </row>
    <row r="799" spans="5:5" ht="15.75" customHeight="1" x14ac:dyDescent="0.3">
      <c r="E799" s="2"/>
    </row>
    <row r="800" spans="5:5" ht="15.75" customHeight="1" x14ac:dyDescent="0.3">
      <c r="E800" s="2"/>
    </row>
    <row r="801" spans="5:5" ht="15.75" customHeight="1" x14ac:dyDescent="0.3">
      <c r="E801" s="2"/>
    </row>
    <row r="802" spans="5:5" ht="15.75" customHeight="1" x14ac:dyDescent="0.3">
      <c r="E802" s="2"/>
    </row>
    <row r="803" spans="5:5" ht="15.75" customHeight="1" x14ac:dyDescent="0.3">
      <c r="E803" s="2"/>
    </row>
    <row r="804" spans="5:5" ht="15.75" customHeight="1" x14ac:dyDescent="0.3">
      <c r="E804" s="2"/>
    </row>
    <row r="805" spans="5:5" ht="15.75" customHeight="1" x14ac:dyDescent="0.3">
      <c r="E805" s="2"/>
    </row>
    <row r="806" spans="5:5" ht="15.75" customHeight="1" x14ac:dyDescent="0.3">
      <c r="E806" s="2"/>
    </row>
    <row r="807" spans="5:5" ht="15.75" customHeight="1" x14ac:dyDescent="0.3">
      <c r="E807" s="2"/>
    </row>
    <row r="808" spans="5:5" ht="15.75" customHeight="1" x14ac:dyDescent="0.3">
      <c r="E808" s="2"/>
    </row>
    <row r="809" spans="5:5" ht="15.75" customHeight="1" x14ac:dyDescent="0.3">
      <c r="E809" s="2"/>
    </row>
    <row r="810" spans="5:5" ht="15.75" customHeight="1" x14ac:dyDescent="0.3">
      <c r="E810" s="2"/>
    </row>
    <row r="811" spans="5:5" ht="15.75" customHeight="1" x14ac:dyDescent="0.3">
      <c r="E811" s="2"/>
    </row>
    <row r="812" spans="5:5" ht="15.75" customHeight="1" x14ac:dyDescent="0.3">
      <c r="E812" s="2"/>
    </row>
    <row r="813" spans="5:5" ht="15.75" customHeight="1" x14ac:dyDescent="0.3">
      <c r="E813" s="2"/>
    </row>
    <row r="814" spans="5:5" ht="15.75" customHeight="1" x14ac:dyDescent="0.3">
      <c r="E814" s="2"/>
    </row>
    <row r="815" spans="5:5" ht="15.75" customHeight="1" x14ac:dyDescent="0.3">
      <c r="E815" s="2"/>
    </row>
    <row r="816" spans="5:5" ht="15.75" customHeight="1" x14ac:dyDescent="0.3">
      <c r="E816" s="2"/>
    </row>
    <row r="817" spans="5:5" ht="15.75" customHeight="1" x14ac:dyDescent="0.3">
      <c r="E817" s="2"/>
    </row>
    <row r="818" spans="5:5" ht="15.75" customHeight="1" x14ac:dyDescent="0.3">
      <c r="E818" s="2"/>
    </row>
    <row r="819" spans="5:5" ht="15.75" customHeight="1" x14ac:dyDescent="0.3">
      <c r="E819" s="2"/>
    </row>
    <row r="820" spans="5:5" ht="15.75" customHeight="1" x14ac:dyDescent="0.3">
      <c r="E820" s="2"/>
    </row>
    <row r="821" spans="5:5" ht="15.75" customHeight="1" x14ac:dyDescent="0.3">
      <c r="E821" s="2"/>
    </row>
    <row r="822" spans="5:5" ht="15.75" customHeight="1" x14ac:dyDescent="0.3">
      <c r="E822" s="2"/>
    </row>
    <row r="823" spans="5:5" ht="15.75" customHeight="1" x14ac:dyDescent="0.3">
      <c r="E823" s="2"/>
    </row>
    <row r="824" spans="5:5" ht="15.75" customHeight="1" x14ac:dyDescent="0.3">
      <c r="E824" s="2"/>
    </row>
    <row r="825" spans="5:5" ht="15.75" customHeight="1" x14ac:dyDescent="0.3">
      <c r="E825" s="2"/>
    </row>
    <row r="826" spans="5:5" ht="15.75" customHeight="1" x14ac:dyDescent="0.3">
      <c r="E826" s="2"/>
    </row>
    <row r="827" spans="5:5" ht="15.75" customHeight="1" x14ac:dyDescent="0.3">
      <c r="E827" s="2"/>
    </row>
    <row r="828" spans="5:5" ht="15.75" customHeight="1" x14ac:dyDescent="0.3">
      <c r="E828" s="2"/>
    </row>
    <row r="829" spans="5:5" ht="15.75" customHeight="1" x14ac:dyDescent="0.3">
      <c r="E829" s="2"/>
    </row>
    <row r="830" spans="5:5" ht="15.75" customHeight="1" x14ac:dyDescent="0.3">
      <c r="E830" s="2"/>
    </row>
    <row r="831" spans="5:5" ht="15.75" customHeight="1" x14ac:dyDescent="0.3">
      <c r="E831" s="2"/>
    </row>
    <row r="832" spans="5:5" ht="15.75" customHeight="1" x14ac:dyDescent="0.3">
      <c r="E832" s="2"/>
    </row>
    <row r="833" spans="5:5" ht="15.75" customHeight="1" x14ac:dyDescent="0.3">
      <c r="E833" s="2"/>
    </row>
    <row r="834" spans="5:5" ht="15.75" customHeight="1" x14ac:dyDescent="0.3">
      <c r="E834" s="2"/>
    </row>
    <row r="835" spans="5:5" ht="15.75" customHeight="1" x14ac:dyDescent="0.3">
      <c r="E835" s="2"/>
    </row>
    <row r="836" spans="5:5" ht="15.75" customHeight="1" x14ac:dyDescent="0.3">
      <c r="E836" s="2"/>
    </row>
    <row r="837" spans="5:5" ht="15.75" customHeight="1" x14ac:dyDescent="0.3">
      <c r="E837" s="2"/>
    </row>
    <row r="838" spans="5:5" ht="15.75" customHeight="1" x14ac:dyDescent="0.3">
      <c r="E838" s="2"/>
    </row>
    <row r="839" spans="5:5" ht="15.75" customHeight="1" x14ac:dyDescent="0.3">
      <c r="E839" s="2"/>
    </row>
    <row r="840" spans="5:5" ht="15.75" customHeight="1" x14ac:dyDescent="0.3">
      <c r="E840" s="2"/>
    </row>
    <row r="841" spans="5:5" ht="15.75" customHeight="1" x14ac:dyDescent="0.3">
      <c r="E841" s="2"/>
    </row>
    <row r="842" spans="5:5" ht="15.75" customHeight="1" x14ac:dyDescent="0.3">
      <c r="E842" s="2"/>
    </row>
    <row r="843" spans="5:5" ht="15.75" customHeight="1" x14ac:dyDescent="0.3">
      <c r="E843" s="2"/>
    </row>
    <row r="844" spans="5:5" ht="15.75" customHeight="1" x14ac:dyDescent="0.3">
      <c r="E844" s="2"/>
    </row>
    <row r="845" spans="5:5" ht="15.75" customHeight="1" x14ac:dyDescent="0.3">
      <c r="E845" s="2"/>
    </row>
    <row r="846" spans="5:5" ht="15.75" customHeight="1" x14ac:dyDescent="0.3">
      <c r="E846" s="2"/>
    </row>
    <row r="847" spans="5:5" ht="15.75" customHeight="1" x14ac:dyDescent="0.3">
      <c r="E847" s="2"/>
    </row>
    <row r="848" spans="5:5" ht="15.75" customHeight="1" x14ac:dyDescent="0.3">
      <c r="E848" s="2"/>
    </row>
    <row r="849" spans="5:5" ht="15.75" customHeight="1" x14ac:dyDescent="0.3">
      <c r="E849" s="2"/>
    </row>
    <row r="850" spans="5:5" ht="15.75" customHeight="1" x14ac:dyDescent="0.3">
      <c r="E850" s="2"/>
    </row>
    <row r="851" spans="5:5" ht="15.75" customHeight="1" x14ac:dyDescent="0.3">
      <c r="E851" s="2"/>
    </row>
    <row r="852" spans="5:5" ht="15.75" customHeight="1" x14ac:dyDescent="0.3">
      <c r="E852" s="2"/>
    </row>
    <row r="853" spans="5:5" ht="15.75" customHeight="1" x14ac:dyDescent="0.3">
      <c r="E853" s="2"/>
    </row>
    <row r="854" spans="5:5" ht="15.75" customHeight="1" x14ac:dyDescent="0.3">
      <c r="E854" s="2"/>
    </row>
    <row r="855" spans="5:5" ht="15.75" customHeight="1" x14ac:dyDescent="0.3">
      <c r="E855" s="2"/>
    </row>
    <row r="856" spans="5:5" ht="15.75" customHeight="1" x14ac:dyDescent="0.3">
      <c r="E856" s="2"/>
    </row>
    <row r="857" spans="5:5" ht="15.75" customHeight="1" x14ac:dyDescent="0.3">
      <c r="E857" s="2"/>
    </row>
    <row r="858" spans="5:5" ht="15.75" customHeight="1" x14ac:dyDescent="0.3">
      <c r="E858" s="2"/>
    </row>
    <row r="859" spans="5:5" ht="15.75" customHeight="1" x14ac:dyDescent="0.3">
      <c r="E859" s="2"/>
    </row>
    <row r="860" spans="5:5" ht="15.75" customHeight="1" x14ac:dyDescent="0.3">
      <c r="E860" s="2"/>
    </row>
    <row r="861" spans="5:5" ht="15.75" customHeight="1" x14ac:dyDescent="0.3">
      <c r="E861" s="2"/>
    </row>
    <row r="862" spans="5:5" ht="15.75" customHeight="1" x14ac:dyDescent="0.3">
      <c r="E862" s="2"/>
    </row>
    <row r="863" spans="5:5" ht="15.75" customHeight="1" x14ac:dyDescent="0.3">
      <c r="E863" s="2"/>
    </row>
    <row r="864" spans="5:5" ht="15.75" customHeight="1" x14ac:dyDescent="0.3">
      <c r="E864" s="2"/>
    </row>
    <row r="865" spans="5:5" ht="15.75" customHeight="1" x14ac:dyDescent="0.3">
      <c r="E865" s="2"/>
    </row>
    <row r="866" spans="5:5" ht="15.75" customHeight="1" x14ac:dyDescent="0.3">
      <c r="E866" s="2"/>
    </row>
    <row r="867" spans="5:5" ht="15.75" customHeight="1" x14ac:dyDescent="0.3">
      <c r="E867" s="2"/>
    </row>
    <row r="868" spans="5:5" ht="15.75" customHeight="1" x14ac:dyDescent="0.3">
      <c r="E868" s="2"/>
    </row>
    <row r="869" spans="5:5" ht="15.75" customHeight="1" x14ac:dyDescent="0.3">
      <c r="E869" s="2"/>
    </row>
    <row r="870" spans="5:5" ht="15.75" customHeight="1" x14ac:dyDescent="0.3">
      <c r="E870" s="2"/>
    </row>
    <row r="871" spans="5:5" ht="15.75" customHeight="1" x14ac:dyDescent="0.3">
      <c r="E871" s="2"/>
    </row>
    <row r="872" spans="5:5" ht="15.75" customHeight="1" x14ac:dyDescent="0.3">
      <c r="E872" s="2"/>
    </row>
    <row r="873" spans="5:5" ht="15.75" customHeight="1" x14ac:dyDescent="0.3">
      <c r="E873" s="2"/>
    </row>
    <row r="874" spans="5:5" ht="15.75" customHeight="1" x14ac:dyDescent="0.3">
      <c r="E874" s="2"/>
    </row>
    <row r="875" spans="5:5" ht="15.75" customHeight="1" x14ac:dyDescent="0.3">
      <c r="E875" s="2"/>
    </row>
    <row r="876" spans="5:5" ht="15.75" customHeight="1" x14ac:dyDescent="0.3">
      <c r="E876" s="2"/>
    </row>
    <row r="877" spans="5:5" ht="15.75" customHeight="1" x14ac:dyDescent="0.3">
      <c r="E877" s="2"/>
    </row>
    <row r="878" spans="5:5" ht="15.75" customHeight="1" x14ac:dyDescent="0.3">
      <c r="E878" s="2"/>
    </row>
    <row r="879" spans="5:5" ht="15.75" customHeight="1" x14ac:dyDescent="0.3">
      <c r="E879" s="2"/>
    </row>
    <row r="880" spans="5:5" ht="15.75" customHeight="1" x14ac:dyDescent="0.3">
      <c r="E880" s="2"/>
    </row>
    <row r="881" spans="5:5" ht="15.75" customHeight="1" x14ac:dyDescent="0.3">
      <c r="E881" s="2"/>
    </row>
    <row r="882" spans="5:5" ht="15.75" customHeight="1" x14ac:dyDescent="0.3">
      <c r="E882" s="2"/>
    </row>
    <row r="883" spans="5:5" ht="15.75" customHeight="1" x14ac:dyDescent="0.3">
      <c r="E883" s="2"/>
    </row>
    <row r="884" spans="5:5" ht="15.75" customHeight="1" x14ac:dyDescent="0.3">
      <c r="E884" s="2"/>
    </row>
    <row r="885" spans="5:5" ht="15.75" customHeight="1" x14ac:dyDescent="0.3">
      <c r="E885" s="2"/>
    </row>
    <row r="886" spans="5:5" ht="15.75" customHeight="1" x14ac:dyDescent="0.3">
      <c r="E886" s="2"/>
    </row>
    <row r="887" spans="5:5" ht="15.75" customHeight="1" x14ac:dyDescent="0.3">
      <c r="E887" s="2"/>
    </row>
    <row r="888" spans="5:5" ht="15.75" customHeight="1" x14ac:dyDescent="0.3">
      <c r="E888" s="2"/>
    </row>
    <row r="889" spans="5:5" ht="15.75" customHeight="1" x14ac:dyDescent="0.3">
      <c r="E889" s="2"/>
    </row>
    <row r="890" spans="5:5" ht="15.75" customHeight="1" x14ac:dyDescent="0.3">
      <c r="E890" s="2"/>
    </row>
    <row r="891" spans="5:5" ht="15.75" customHeight="1" x14ac:dyDescent="0.3">
      <c r="E891" s="2"/>
    </row>
    <row r="892" spans="5:5" ht="15.75" customHeight="1" x14ac:dyDescent="0.3">
      <c r="E892" s="2"/>
    </row>
    <row r="893" spans="5:5" ht="15.75" customHeight="1" x14ac:dyDescent="0.3">
      <c r="E893" s="2"/>
    </row>
    <row r="894" spans="5:5" ht="15.75" customHeight="1" x14ac:dyDescent="0.3">
      <c r="E894" s="2"/>
    </row>
    <row r="895" spans="5:5" ht="15.75" customHeight="1" x14ac:dyDescent="0.3">
      <c r="E895" s="2"/>
    </row>
    <row r="896" spans="5:5" ht="15.75" customHeight="1" x14ac:dyDescent="0.3">
      <c r="E896" s="2"/>
    </row>
    <row r="897" spans="5:5" ht="15.75" customHeight="1" x14ac:dyDescent="0.3">
      <c r="E897" s="2"/>
    </row>
    <row r="898" spans="5:5" ht="15.75" customHeight="1" x14ac:dyDescent="0.3">
      <c r="E898" s="2"/>
    </row>
    <row r="899" spans="5:5" ht="15.75" customHeight="1" x14ac:dyDescent="0.3">
      <c r="E899" s="2"/>
    </row>
    <row r="900" spans="5:5" ht="15.75" customHeight="1" x14ac:dyDescent="0.3">
      <c r="E900" s="2"/>
    </row>
    <row r="901" spans="5:5" ht="15.75" customHeight="1" x14ac:dyDescent="0.3">
      <c r="E901" s="2"/>
    </row>
    <row r="902" spans="5:5" ht="15.75" customHeight="1" x14ac:dyDescent="0.3">
      <c r="E902" s="2"/>
    </row>
    <row r="903" spans="5:5" ht="15.75" customHeight="1" x14ac:dyDescent="0.3">
      <c r="E903" s="2"/>
    </row>
    <row r="904" spans="5:5" ht="15.75" customHeight="1" x14ac:dyDescent="0.3">
      <c r="E904" s="2"/>
    </row>
    <row r="905" spans="5:5" ht="15.75" customHeight="1" x14ac:dyDescent="0.3">
      <c r="E905" s="2"/>
    </row>
    <row r="906" spans="5:5" ht="15.75" customHeight="1" x14ac:dyDescent="0.3">
      <c r="E906" s="2"/>
    </row>
    <row r="907" spans="5:5" ht="15.75" customHeight="1" x14ac:dyDescent="0.3">
      <c r="E907" s="2"/>
    </row>
    <row r="908" spans="5:5" ht="15.75" customHeight="1" x14ac:dyDescent="0.3">
      <c r="E908" s="2"/>
    </row>
    <row r="909" spans="5:5" ht="15.75" customHeight="1" x14ac:dyDescent="0.3">
      <c r="E909" s="2"/>
    </row>
    <row r="910" spans="5:5" ht="15.75" customHeight="1" x14ac:dyDescent="0.3">
      <c r="E910" s="2"/>
    </row>
    <row r="911" spans="5:5" ht="15.75" customHeight="1" x14ac:dyDescent="0.3">
      <c r="E911" s="2"/>
    </row>
    <row r="912" spans="5:5" ht="15.75" customHeight="1" x14ac:dyDescent="0.3">
      <c r="E912" s="2"/>
    </row>
    <row r="913" spans="5:5" ht="15.75" customHeight="1" x14ac:dyDescent="0.3">
      <c r="E913" s="2"/>
    </row>
    <row r="914" spans="5:5" ht="15.75" customHeight="1" x14ac:dyDescent="0.3">
      <c r="E914" s="2"/>
    </row>
    <row r="915" spans="5:5" ht="15.75" customHeight="1" x14ac:dyDescent="0.3">
      <c r="E915" s="2"/>
    </row>
    <row r="916" spans="5:5" ht="15.75" customHeight="1" x14ac:dyDescent="0.3">
      <c r="E916" s="2"/>
    </row>
    <row r="917" spans="5:5" ht="15.75" customHeight="1" x14ac:dyDescent="0.3">
      <c r="E917" s="2"/>
    </row>
    <row r="918" spans="5:5" ht="15.75" customHeight="1" x14ac:dyDescent="0.3">
      <c r="E918" s="2"/>
    </row>
    <row r="919" spans="5:5" ht="15.75" customHeight="1" x14ac:dyDescent="0.3">
      <c r="E919" s="2"/>
    </row>
    <row r="920" spans="5:5" ht="15.75" customHeight="1" x14ac:dyDescent="0.3">
      <c r="E920" s="2"/>
    </row>
    <row r="921" spans="5:5" ht="15.75" customHeight="1" x14ac:dyDescent="0.3">
      <c r="E921" s="2"/>
    </row>
    <row r="922" spans="5:5" ht="15.75" customHeight="1" x14ac:dyDescent="0.3">
      <c r="E922" s="2"/>
    </row>
    <row r="923" spans="5:5" ht="15.75" customHeight="1" x14ac:dyDescent="0.3">
      <c r="E923" s="2"/>
    </row>
    <row r="924" spans="5:5" ht="15.75" customHeight="1" x14ac:dyDescent="0.3">
      <c r="E924" s="2"/>
    </row>
    <row r="925" spans="5:5" ht="15.75" customHeight="1" x14ac:dyDescent="0.3">
      <c r="E925" s="2"/>
    </row>
    <row r="926" spans="5:5" ht="15.75" customHeight="1" x14ac:dyDescent="0.3">
      <c r="E926" s="2"/>
    </row>
    <row r="927" spans="5:5" ht="15.75" customHeight="1" x14ac:dyDescent="0.3">
      <c r="E927" s="2"/>
    </row>
    <row r="928" spans="5:5" ht="15.75" customHeight="1" x14ac:dyDescent="0.3">
      <c r="E928" s="2"/>
    </row>
    <row r="929" spans="5:5" ht="15.75" customHeight="1" x14ac:dyDescent="0.3">
      <c r="E929" s="2"/>
    </row>
    <row r="930" spans="5:5" ht="15.75" customHeight="1" x14ac:dyDescent="0.3">
      <c r="E930" s="2"/>
    </row>
    <row r="931" spans="5:5" ht="15.75" customHeight="1" x14ac:dyDescent="0.3">
      <c r="E931" s="2"/>
    </row>
    <row r="932" spans="5:5" ht="15.75" customHeight="1" x14ac:dyDescent="0.3">
      <c r="E932" s="2"/>
    </row>
    <row r="933" spans="5:5" ht="15.75" customHeight="1" x14ac:dyDescent="0.3">
      <c r="E933" s="2"/>
    </row>
    <row r="934" spans="5:5" ht="15.75" customHeight="1" x14ac:dyDescent="0.3">
      <c r="E934" s="2"/>
    </row>
    <row r="935" spans="5:5" ht="15.75" customHeight="1" x14ac:dyDescent="0.3">
      <c r="E935" s="2"/>
    </row>
    <row r="936" spans="5:5" ht="15.75" customHeight="1" x14ac:dyDescent="0.3">
      <c r="E936" s="2"/>
    </row>
    <row r="937" spans="5:5" ht="15.75" customHeight="1" x14ac:dyDescent="0.3">
      <c r="E937" s="2"/>
    </row>
    <row r="938" spans="5:5" ht="15.75" customHeight="1" x14ac:dyDescent="0.3">
      <c r="E938" s="2"/>
    </row>
    <row r="939" spans="5:5" ht="15.75" customHeight="1" x14ac:dyDescent="0.3">
      <c r="E939" s="2"/>
    </row>
    <row r="940" spans="5:5" ht="15.75" customHeight="1" x14ac:dyDescent="0.3">
      <c r="E940" s="2"/>
    </row>
    <row r="941" spans="5:5" ht="15.75" customHeight="1" x14ac:dyDescent="0.3">
      <c r="E941" s="2"/>
    </row>
    <row r="942" spans="5:5" ht="15.75" customHeight="1" x14ac:dyDescent="0.3">
      <c r="E942" s="2"/>
    </row>
    <row r="943" spans="5:5" ht="15.75" customHeight="1" x14ac:dyDescent="0.3">
      <c r="E943" s="2"/>
    </row>
    <row r="944" spans="5:5" ht="15.75" customHeight="1" x14ac:dyDescent="0.3">
      <c r="E944" s="2"/>
    </row>
    <row r="945" spans="5:5" ht="15.75" customHeight="1" x14ac:dyDescent="0.3">
      <c r="E945" s="2"/>
    </row>
    <row r="946" spans="5:5" ht="15.75" customHeight="1" x14ac:dyDescent="0.3">
      <c r="E946" s="2"/>
    </row>
    <row r="947" spans="5:5" ht="15.75" customHeight="1" x14ac:dyDescent="0.3">
      <c r="E947" s="2"/>
    </row>
    <row r="948" spans="5:5" ht="15.75" customHeight="1" x14ac:dyDescent="0.3">
      <c r="E948" s="2"/>
    </row>
    <row r="949" spans="5:5" ht="15.75" customHeight="1" x14ac:dyDescent="0.3">
      <c r="E949" s="2"/>
    </row>
    <row r="950" spans="5:5" ht="15.75" customHeight="1" x14ac:dyDescent="0.3">
      <c r="E950" s="2"/>
    </row>
    <row r="951" spans="5:5" ht="15.75" customHeight="1" x14ac:dyDescent="0.3">
      <c r="E951" s="2"/>
    </row>
    <row r="952" spans="5:5" ht="15.75" customHeight="1" x14ac:dyDescent="0.3">
      <c r="E952" s="2"/>
    </row>
    <row r="953" spans="5:5" ht="15.75" customHeight="1" x14ac:dyDescent="0.3">
      <c r="E953" s="2"/>
    </row>
    <row r="954" spans="5:5" ht="15.75" customHeight="1" x14ac:dyDescent="0.3">
      <c r="E954" s="2"/>
    </row>
    <row r="955" spans="5:5" ht="15.75" customHeight="1" x14ac:dyDescent="0.3">
      <c r="E955" s="2"/>
    </row>
    <row r="956" spans="5:5" ht="15.75" customHeight="1" x14ac:dyDescent="0.3">
      <c r="E956" s="2"/>
    </row>
    <row r="957" spans="5:5" ht="15.75" customHeight="1" x14ac:dyDescent="0.3">
      <c r="E957" s="2"/>
    </row>
    <row r="958" spans="5:5" ht="15.75" customHeight="1" x14ac:dyDescent="0.3">
      <c r="E958" s="2"/>
    </row>
    <row r="959" spans="5:5" ht="15.75" customHeight="1" x14ac:dyDescent="0.3">
      <c r="E959" s="2"/>
    </row>
    <row r="960" spans="5:5" ht="15.75" customHeight="1" x14ac:dyDescent="0.3">
      <c r="E960" s="2"/>
    </row>
    <row r="961" spans="5:5" ht="15.75" customHeight="1" x14ac:dyDescent="0.3">
      <c r="E961" s="2"/>
    </row>
    <row r="962" spans="5:5" ht="15.75" customHeight="1" x14ac:dyDescent="0.3">
      <c r="E962" s="2"/>
    </row>
    <row r="963" spans="5:5" ht="15.75" customHeight="1" x14ac:dyDescent="0.3">
      <c r="E963" s="2"/>
    </row>
    <row r="964" spans="5:5" ht="15.75" customHeight="1" x14ac:dyDescent="0.3">
      <c r="E964" s="2"/>
    </row>
    <row r="965" spans="5:5" ht="15.75" customHeight="1" x14ac:dyDescent="0.3">
      <c r="E965" s="2"/>
    </row>
    <row r="966" spans="5:5" ht="15.75" customHeight="1" x14ac:dyDescent="0.3">
      <c r="E966" s="2"/>
    </row>
    <row r="967" spans="5:5" ht="15.75" customHeight="1" x14ac:dyDescent="0.3">
      <c r="E967" s="2"/>
    </row>
    <row r="968" spans="5:5" ht="15.75" customHeight="1" x14ac:dyDescent="0.3">
      <c r="E968" s="2"/>
    </row>
    <row r="969" spans="5:5" ht="15.75" customHeight="1" x14ac:dyDescent="0.3">
      <c r="E969" s="2"/>
    </row>
    <row r="970" spans="5:5" ht="15.75" customHeight="1" x14ac:dyDescent="0.3">
      <c r="E970" s="2"/>
    </row>
    <row r="971" spans="5:5" ht="15.75" customHeight="1" x14ac:dyDescent="0.3">
      <c r="E971" s="2"/>
    </row>
    <row r="972" spans="5:5" ht="15.75" customHeight="1" x14ac:dyDescent="0.3">
      <c r="E972" s="2"/>
    </row>
    <row r="973" spans="5:5" ht="15.75" customHeight="1" x14ac:dyDescent="0.3">
      <c r="E973" s="2"/>
    </row>
    <row r="974" spans="5:5" ht="15.75" customHeight="1" x14ac:dyDescent="0.3">
      <c r="E974" s="2"/>
    </row>
    <row r="975" spans="5:5" ht="15.75" customHeight="1" x14ac:dyDescent="0.3">
      <c r="E975" s="2"/>
    </row>
    <row r="976" spans="5:5" ht="15.75" customHeight="1" x14ac:dyDescent="0.3">
      <c r="E976" s="2"/>
    </row>
    <row r="977" spans="5:5" ht="15.75" customHeight="1" x14ac:dyDescent="0.3">
      <c r="E977" s="2"/>
    </row>
    <row r="978" spans="5:5" ht="15.75" customHeight="1" x14ac:dyDescent="0.3">
      <c r="E978" s="2"/>
    </row>
    <row r="979" spans="5:5" ht="15.75" customHeight="1" x14ac:dyDescent="0.3">
      <c r="E979" s="2"/>
    </row>
    <row r="980" spans="5:5" ht="15.75" customHeight="1" x14ac:dyDescent="0.3">
      <c r="E980" s="2"/>
    </row>
    <row r="981" spans="5:5" ht="15.75" customHeight="1" x14ac:dyDescent="0.3">
      <c r="E981" s="2"/>
    </row>
    <row r="982" spans="5:5" ht="15.75" customHeight="1" x14ac:dyDescent="0.3">
      <c r="E982" s="2"/>
    </row>
    <row r="983" spans="5:5" ht="15.75" customHeight="1" x14ac:dyDescent="0.3">
      <c r="E983" s="2"/>
    </row>
    <row r="984" spans="5:5" ht="15.75" customHeight="1" x14ac:dyDescent="0.3">
      <c r="E984" s="2"/>
    </row>
    <row r="985" spans="5:5" ht="15.75" customHeight="1" x14ac:dyDescent="0.3">
      <c r="E985" s="2"/>
    </row>
    <row r="986" spans="5:5" ht="15.75" customHeight="1" x14ac:dyDescent="0.3">
      <c r="E986" s="2"/>
    </row>
    <row r="987" spans="5:5" ht="15.75" customHeight="1" x14ac:dyDescent="0.3">
      <c r="E987" s="2"/>
    </row>
    <row r="988" spans="5:5" ht="15.75" customHeight="1" x14ac:dyDescent="0.3">
      <c r="E988" s="2"/>
    </row>
    <row r="989" spans="5:5" ht="15.75" customHeight="1" x14ac:dyDescent="0.3">
      <c r="E989" s="2"/>
    </row>
    <row r="990" spans="5:5" ht="15.75" customHeight="1" x14ac:dyDescent="0.3">
      <c r="E990" s="2"/>
    </row>
    <row r="991" spans="5:5" ht="15.75" customHeight="1" x14ac:dyDescent="0.3">
      <c r="E991" s="2"/>
    </row>
    <row r="992" spans="5:5" ht="15.75" customHeight="1" x14ac:dyDescent="0.3">
      <c r="E992" s="2"/>
    </row>
    <row r="993" spans="5:5" ht="15.75" customHeight="1" x14ac:dyDescent="0.3">
      <c r="E993" s="2"/>
    </row>
    <row r="994" spans="5:5" ht="15.75" customHeight="1" x14ac:dyDescent="0.3">
      <c r="E994" s="2"/>
    </row>
    <row r="995" spans="5:5" ht="15.75" customHeight="1" x14ac:dyDescent="0.3">
      <c r="E995" s="2"/>
    </row>
    <row r="996" spans="5:5" ht="15.75" customHeight="1" x14ac:dyDescent="0.3">
      <c r="E996" s="2"/>
    </row>
    <row r="997" spans="5:5" ht="15.75" customHeight="1" x14ac:dyDescent="0.3">
      <c r="E997" s="2"/>
    </row>
    <row r="998" spans="5:5" ht="15.75" customHeight="1" x14ac:dyDescent="0.3">
      <c r="E998" s="2"/>
    </row>
    <row r="999" spans="5:5" ht="15.75" customHeight="1" x14ac:dyDescent="0.3">
      <c r="E999" s="2"/>
    </row>
    <row r="1000" spans="5:5" ht="15.75" customHeight="1" x14ac:dyDescent="0.3">
      <c r="E1000" s="2"/>
    </row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1000"/>
  <sheetViews>
    <sheetView zoomScaleNormal="100" workbookViewId="0">
      <selection sqref="A1:E1"/>
    </sheetView>
  </sheetViews>
  <sheetFormatPr defaultColWidth="14.44140625" defaultRowHeight="15" customHeight="1" x14ac:dyDescent="0.3"/>
  <cols>
    <col min="1" max="1" width="15.6640625" customWidth="1"/>
    <col min="2" max="6" width="9.109375" customWidth="1"/>
    <col min="7" max="7" width="9" customWidth="1"/>
    <col min="8" max="10" width="9.109375" customWidth="1"/>
    <col min="11" max="11" width="10.5546875" customWidth="1"/>
    <col min="12" max="20" width="9.109375" customWidth="1"/>
    <col min="21" max="33" width="8.6640625" customWidth="1"/>
  </cols>
  <sheetData>
    <row r="1" spans="1:15" ht="14.25" customHeight="1" x14ac:dyDescent="0.3">
      <c r="A1" s="356" t="s">
        <v>136</v>
      </c>
      <c r="B1" s="356"/>
      <c r="C1" s="356"/>
      <c r="D1" s="356"/>
      <c r="E1" s="356"/>
      <c r="F1" s="132"/>
      <c r="G1" s="132"/>
      <c r="K1" s="2"/>
      <c r="L1" s="2"/>
      <c r="M1" s="2"/>
      <c r="N1" s="2"/>
      <c r="O1" s="2"/>
    </row>
    <row r="2" spans="1:15" ht="35.25" customHeight="1" x14ac:dyDescent="0.3">
      <c r="A2" s="1"/>
      <c r="B2" s="1"/>
      <c r="C2" s="1"/>
      <c r="D2" s="1"/>
      <c r="E2" s="1"/>
      <c r="H2" s="1" t="s">
        <v>137</v>
      </c>
      <c r="I2" s="1" t="s">
        <v>137</v>
      </c>
      <c r="J2" s="1" t="s">
        <v>138</v>
      </c>
      <c r="K2" s="71" t="s">
        <v>137</v>
      </c>
      <c r="L2" s="1" t="s">
        <v>138</v>
      </c>
      <c r="M2" s="71" t="s">
        <v>139</v>
      </c>
      <c r="N2" s="71"/>
      <c r="O2" s="71"/>
    </row>
    <row r="3" spans="1:15" ht="14.25" customHeight="1" x14ac:dyDescent="0.3">
      <c r="A3" s="397" t="s">
        <v>140</v>
      </c>
      <c r="D3" s="397" t="s">
        <v>141</v>
      </c>
      <c r="E3" s="397"/>
      <c r="H3" s="397" t="s">
        <v>141</v>
      </c>
      <c r="I3" s="397"/>
      <c r="J3" s="397" t="s">
        <v>141</v>
      </c>
      <c r="K3" s="397"/>
      <c r="L3" s="397" t="s">
        <v>141</v>
      </c>
      <c r="M3" s="397"/>
    </row>
    <row r="4" spans="1:15" ht="14.25" customHeight="1" x14ac:dyDescent="0.3">
      <c r="A4" s="397"/>
      <c r="D4" s="398" t="s">
        <v>142</v>
      </c>
      <c r="E4" s="398"/>
      <c r="H4" s="398" t="s">
        <v>142</v>
      </c>
      <c r="I4" s="398"/>
      <c r="J4" s="398" t="s">
        <v>142</v>
      </c>
      <c r="K4" s="398"/>
      <c r="L4" s="398" t="s">
        <v>142</v>
      </c>
      <c r="M4" s="398"/>
    </row>
    <row r="5" spans="1:15" ht="14.25" customHeight="1" x14ac:dyDescent="0.3">
      <c r="A5" s="133">
        <v>12000</v>
      </c>
      <c r="D5" s="134">
        <v>101</v>
      </c>
      <c r="E5" s="134"/>
      <c r="H5" s="134">
        <v>101</v>
      </c>
      <c r="I5" s="134"/>
      <c r="J5" s="134">
        <v>116</v>
      </c>
      <c r="K5" s="134"/>
      <c r="L5" s="134">
        <v>116</v>
      </c>
      <c r="M5" s="134"/>
    </row>
    <row r="6" spans="1:15" ht="14.25" customHeight="1" x14ac:dyDescent="0.3">
      <c r="A6" s="135">
        <v>12000</v>
      </c>
      <c r="D6" s="136">
        <v>101</v>
      </c>
      <c r="E6" s="136"/>
      <c r="H6" s="136">
        <v>101</v>
      </c>
      <c r="I6" s="136"/>
      <c r="J6" s="136">
        <v>116</v>
      </c>
      <c r="K6" s="136"/>
      <c r="L6" s="136">
        <v>116</v>
      </c>
      <c r="M6" s="136"/>
    </row>
    <row r="7" spans="1:15" ht="14.25" customHeight="1" x14ac:dyDescent="0.3">
      <c r="A7" s="133">
        <v>14000</v>
      </c>
      <c r="D7" s="134">
        <v>107</v>
      </c>
      <c r="E7" s="134"/>
      <c r="H7" s="134">
        <v>107</v>
      </c>
      <c r="I7" s="134"/>
      <c r="J7" s="134">
        <v>122</v>
      </c>
      <c r="K7" s="134"/>
      <c r="L7" s="134">
        <v>122</v>
      </c>
      <c r="M7" s="134"/>
    </row>
    <row r="8" spans="1:15" ht="14.25" customHeight="1" x14ac:dyDescent="0.3">
      <c r="A8" s="135">
        <v>16100</v>
      </c>
      <c r="D8" s="136">
        <v>113</v>
      </c>
      <c r="E8" s="136"/>
      <c r="H8" s="136">
        <v>113</v>
      </c>
      <c r="I8" s="136"/>
      <c r="J8" s="136">
        <v>129</v>
      </c>
      <c r="K8" s="136"/>
      <c r="L8" s="136">
        <v>129</v>
      </c>
      <c r="M8" s="136"/>
    </row>
    <row r="9" spans="1:15" ht="14.25" customHeight="1" x14ac:dyDescent="0.3">
      <c r="A9" s="133">
        <v>16600</v>
      </c>
      <c r="D9" s="134">
        <v>115</v>
      </c>
      <c r="E9" s="134"/>
      <c r="H9" s="134">
        <v>115</v>
      </c>
      <c r="I9" s="134"/>
      <c r="J9" s="134">
        <v>130</v>
      </c>
      <c r="K9" s="134"/>
      <c r="L9" s="134">
        <v>130</v>
      </c>
      <c r="M9" s="134"/>
    </row>
    <row r="10" spans="1:15" ht="14.25" customHeight="1" x14ac:dyDescent="0.3">
      <c r="A10" s="77"/>
      <c r="B10" s="42"/>
      <c r="C10" s="42"/>
      <c r="D10" s="42"/>
      <c r="H10" s="2"/>
      <c r="I10" s="2"/>
      <c r="J10" s="2"/>
      <c r="K10" s="2"/>
      <c r="L10" s="2"/>
      <c r="M10" s="2"/>
    </row>
    <row r="11" spans="1:15" ht="14.25" customHeight="1" x14ac:dyDescent="0.3">
      <c r="A11" s="355" t="s">
        <v>143</v>
      </c>
      <c r="B11" s="355"/>
      <c r="C11" s="355"/>
      <c r="H11" s="395"/>
      <c r="I11" s="395"/>
      <c r="J11" s="395"/>
      <c r="K11" s="2"/>
      <c r="L11" s="2"/>
      <c r="M11" s="2"/>
    </row>
    <row r="12" spans="1:15" ht="14.25" customHeight="1" x14ac:dyDescent="0.3">
      <c r="A12" s="2"/>
      <c r="B12" s="16" t="s">
        <v>144</v>
      </c>
      <c r="C12" s="17">
        <f>MATCH(MAX(A5:A9),A5:A9,0)</f>
        <v>5</v>
      </c>
      <c r="D12" s="2"/>
      <c r="E12" s="16"/>
      <c r="F12" s="17"/>
      <c r="H12" s="2"/>
      <c r="I12" s="16"/>
      <c r="J12" s="138"/>
      <c r="K12" s="2"/>
      <c r="L12" s="2"/>
      <c r="M12" s="2"/>
    </row>
    <row r="13" spans="1:15" ht="14.25" customHeight="1" x14ac:dyDescent="0.3">
      <c r="A13" s="2"/>
      <c r="B13" s="16" t="s">
        <v>145</v>
      </c>
      <c r="C13" s="17">
        <f>MATCH(MAX(D5),D5,0)</f>
        <v>1</v>
      </c>
      <c r="D13" s="2"/>
      <c r="E13" s="16"/>
      <c r="F13" s="17"/>
      <c r="H13" s="2"/>
      <c r="I13" s="16"/>
      <c r="J13" s="138"/>
      <c r="K13" s="2"/>
      <c r="L13" s="2"/>
      <c r="M13" s="2"/>
    </row>
    <row r="14" spans="1:15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5" ht="14.25" customHeight="1" x14ac:dyDescent="0.3">
      <c r="D15" s="51" t="s">
        <v>146</v>
      </c>
      <c r="E15" s="53" t="str">
        <f>D4</f>
        <v>Vref</v>
      </c>
      <c r="F15" s="53"/>
      <c r="H15" s="51"/>
      <c r="I15" s="53" t="str">
        <f>H4</f>
        <v>Vref</v>
      </c>
      <c r="J15" s="53"/>
      <c r="K15" s="53" t="str">
        <f>J4</f>
        <v>Vref</v>
      </c>
      <c r="L15" s="2"/>
      <c r="M15" s="53" t="str">
        <f>L4</f>
        <v>Vref</v>
      </c>
    </row>
    <row r="16" spans="1:15" ht="14.25" customHeight="1" x14ac:dyDescent="0.3">
      <c r="D16" s="139" t="s">
        <v>147</v>
      </c>
      <c r="E16" s="140">
        <f>Landing!C11</f>
        <v>15500</v>
      </c>
      <c r="F16" s="140"/>
      <c r="H16" s="139"/>
      <c r="I16" s="140">
        <f>'Take-off'!C14</f>
        <v>15800</v>
      </c>
      <c r="J16" s="140"/>
      <c r="K16" s="140">
        <f>'Take-off'!C14</f>
        <v>15800</v>
      </c>
      <c r="L16" s="2"/>
      <c r="M16" s="140">
        <f>Landing!C11</f>
        <v>15500</v>
      </c>
    </row>
    <row r="17" spans="2:20" ht="14.25" customHeight="1" x14ac:dyDescent="0.3">
      <c r="D17" s="16" t="s">
        <v>148</v>
      </c>
      <c r="E17" s="141">
        <f t="array" ref="E17">INDEX($A$5:$A$9,MATCH(E16,$A$5:$A$9,1))</f>
        <v>14000</v>
      </c>
      <c r="F17" s="141"/>
      <c r="H17" s="16"/>
      <c r="I17" s="141">
        <f t="array" ref="I17">INDEX($A$5:$A$9,MATCH(I16,$A$5:$A$9,1))</f>
        <v>14000</v>
      </c>
      <c r="J17" s="141"/>
      <c r="K17" s="141">
        <f t="array" ref="K17">INDEX($A$5:$A$9,MATCH(K16,$A$5:$A$9,1))</f>
        <v>14000</v>
      </c>
      <c r="L17" s="2"/>
      <c r="M17" s="141">
        <f t="array" ref="M17">INDEX($A$5:$A$9,MATCH(M16,$A$5:$A$9,1))</f>
        <v>14000</v>
      </c>
      <c r="P17" s="2"/>
      <c r="Q17" s="2"/>
      <c r="R17" s="2"/>
      <c r="S17" s="2"/>
      <c r="T17" s="2"/>
    </row>
    <row r="18" spans="2:20" ht="14.25" customHeight="1" x14ac:dyDescent="0.3">
      <c r="D18" s="16" t="s">
        <v>149</v>
      </c>
      <c r="E18" s="141">
        <f t="array" ref="E18">INDEX($A$5:$A$9,IF(MATCH(E16,$A$5:$A$9,1)&lt;$C$12,MATCH(E16,$A$5:$A$9,1)+1,MATCH(E16,$A$5:$A$9,1)))</f>
        <v>16100</v>
      </c>
      <c r="F18" s="141"/>
      <c r="H18" s="16"/>
      <c r="I18" s="141">
        <f t="array" ref="I18">INDEX($A$5:$A$9,IF(MATCH(I16,$A$5:$A$9,1)&lt;$C$12,MATCH(I16,$A$5:$A$9,1)+1,MATCH(I16,$A$5:$A$9,1)))</f>
        <v>16100</v>
      </c>
      <c r="J18" s="141"/>
      <c r="K18" s="141">
        <f t="array" ref="K18">INDEX($A$5:$A$9,IF(MATCH(K16,$A$5:$A$9,1)&lt;$C$12,MATCH(K16,$A$5:$A$9,1)+1,MATCH(K16,$A$5:$A$9,1)))</f>
        <v>16100</v>
      </c>
      <c r="L18" s="2"/>
      <c r="M18" s="141">
        <f t="array" ref="M18">INDEX($A$5:$A$9,IF(MATCH(M16,$A$5:$A$9,1)&lt;$C$12,MATCH(M16,$A$5:$A$9,1)+1,MATCH(M16,$A$5:$A$9,1)))</f>
        <v>16100</v>
      </c>
      <c r="P18" s="2"/>
      <c r="Q18" s="2"/>
      <c r="R18" s="2"/>
      <c r="S18" s="2"/>
      <c r="T18" s="2"/>
    </row>
    <row r="19" spans="2:20" ht="14.25" customHeight="1" x14ac:dyDescent="0.3">
      <c r="D19" s="139" t="s">
        <v>150</v>
      </c>
      <c r="E19" s="140">
        <f t="array" ref="E19">INDEX(D5:D9,MATCH(E16,$A$5:$A$9,1),MATCH(E15,D4,1))</f>
        <v>107</v>
      </c>
      <c r="F19" s="140"/>
      <c r="H19" s="139"/>
      <c r="I19" s="140">
        <f t="array" ref="I19">INDEX(H5:H9,MATCH(I16,$A$5:$A$9,1),MATCH(I15,H4,1))</f>
        <v>107</v>
      </c>
      <c r="J19" s="140"/>
      <c r="K19" s="140">
        <f t="array" ref="K19">INDEX(J5:J9,MATCH(K16,$A$5:$A$9,1),MATCH(K15,J4,1))</f>
        <v>122</v>
      </c>
      <c r="L19" s="2"/>
      <c r="M19" s="140">
        <f t="array" ref="M19">INDEX(L5:L9,MATCH(M16,$A$5:$A$9,1),MATCH(M15,L4,1))</f>
        <v>122</v>
      </c>
      <c r="P19" s="2"/>
      <c r="Q19" s="2"/>
      <c r="R19" s="2"/>
      <c r="S19" s="2"/>
      <c r="T19" s="2"/>
    </row>
    <row r="20" spans="2:20" ht="14.25" customHeight="1" x14ac:dyDescent="0.3">
      <c r="D20" s="139" t="s">
        <v>151</v>
      </c>
      <c r="E20" s="140">
        <f t="array" ref="E20">INDEX(D5:D9,IF(MATCH(E16,$A$5:$A$9,1)&lt;$C$12,MATCH(E16,$A$5:$A$9,1)+1,MATCH(E16,$A$5:$A$9,1)),MATCH(E15,D4,1))</f>
        <v>113</v>
      </c>
      <c r="F20" s="140"/>
      <c r="H20" s="139"/>
      <c r="I20" s="140">
        <f t="array" ref="I20">INDEX(H5:H9,IF(MATCH(I16,$A$5:$A$9,1)&lt;$C$12,MATCH(I16,$A$5:$A$9,1)+1,MATCH(I16,$A$5:$A$9,1)),MATCH(I15,H4,1))</f>
        <v>113</v>
      </c>
      <c r="J20" s="140"/>
      <c r="K20" s="140">
        <f t="array" ref="K20">INDEX(J5:J9,IF(MATCH(K16,$A$5:$A$9,1)&lt;$C$12,MATCH(K16,$A$5:$A$9,1)+1,MATCH(K16,$A$5:$A$9,1)),MATCH(K15,J4,1))</f>
        <v>129</v>
      </c>
      <c r="L20" s="2"/>
      <c r="M20" s="140">
        <f t="array" ref="M20">INDEX(L5:L9,IF(MATCH(M16,$A$5:$A$9,1)&lt;$C$12,MATCH(M16,$A$5:$A$9,1)+1,MATCH(M16,$A$5:$A$9,1)),MATCH(M15,L4,1))</f>
        <v>129</v>
      </c>
      <c r="P20" s="2"/>
      <c r="Q20" s="2"/>
      <c r="R20" s="2"/>
      <c r="S20" s="2"/>
      <c r="T20" s="2"/>
    </row>
    <row r="21" spans="2:20" ht="14.25" customHeight="1" x14ac:dyDescent="0.3">
      <c r="D21" s="139" t="s">
        <v>152</v>
      </c>
      <c r="E21" s="140">
        <f>IFERROR(E19+(E16-E17)*(E20-E19)/(E18-E17),E19)</f>
        <v>111.28571428571429</v>
      </c>
      <c r="F21" s="140"/>
      <c r="H21" s="139"/>
      <c r="I21" s="140">
        <f>IFERROR(I19+(I16-I17)*(I20-I19)/(I18-I17),I19)</f>
        <v>112.14285714285714</v>
      </c>
      <c r="J21" s="140"/>
      <c r="K21" s="140">
        <f>IFERROR(K19+(K16-K17)*(K20-K19)/(K18-K17),K19)</f>
        <v>128</v>
      </c>
      <c r="L21" s="2"/>
      <c r="M21" s="140">
        <f>IFERROR(M19+(M16-M17)*(M20-M19)/(M18-M17),M19)</f>
        <v>127</v>
      </c>
      <c r="P21" s="2"/>
      <c r="Q21" s="2"/>
      <c r="R21" s="2"/>
      <c r="S21" s="2"/>
      <c r="T21" s="2"/>
    </row>
    <row r="22" spans="2:20" ht="14.25" customHeight="1" x14ac:dyDescent="0.3"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20" ht="14.25" customHeight="1" x14ac:dyDescent="0.3">
      <c r="L23" s="356"/>
      <c r="M23" s="356"/>
      <c r="N23" s="356"/>
      <c r="O23" s="356"/>
      <c r="P23" s="356"/>
      <c r="Q23" s="356"/>
      <c r="R23" s="356"/>
      <c r="S23" s="2"/>
      <c r="T23" s="2"/>
    </row>
    <row r="24" spans="2:20" ht="14.25" customHeight="1" x14ac:dyDescent="0.3"/>
    <row r="25" spans="2:20" ht="14.25" customHeight="1" x14ac:dyDescent="0.3"/>
    <row r="26" spans="2:20" ht="14.25" customHeight="1" x14ac:dyDescent="0.3"/>
    <row r="27" spans="2:20" ht="14.25" customHeight="1" x14ac:dyDescent="0.3"/>
    <row r="28" spans="2:20" ht="14.25" customHeight="1" x14ac:dyDescent="0.3"/>
    <row r="29" spans="2:20" ht="14.25" customHeight="1" x14ac:dyDescent="0.3">
      <c r="B29" s="2" t="s">
        <v>153</v>
      </c>
      <c r="C29" s="2"/>
      <c r="D29" s="2"/>
    </row>
    <row r="30" spans="2:20" ht="14.25" customHeight="1" x14ac:dyDescent="0.3">
      <c r="B30" s="42"/>
      <c r="C30" s="42"/>
      <c r="D30" s="142"/>
    </row>
    <row r="31" spans="2:20" ht="14.25" customHeight="1" x14ac:dyDescent="0.3">
      <c r="B31" s="143" t="s">
        <v>154</v>
      </c>
      <c r="C31" s="143" t="s">
        <v>155</v>
      </c>
      <c r="D31" s="143" t="s">
        <v>156</v>
      </c>
    </row>
    <row r="32" spans="2:20" ht="14.25" customHeight="1" x14ac:dyDescent="0.3">
      <c r="B32" s="144">
        <f ca="1">IF(ABS(Landing!C17-Landing!C6)&gt;270,360-ABS(Landing!C17-Landing!C6),Landing!C17-Landing!C6)</f>
        <v>-110</v>
      </c>
      <c r="C32" s="145">
        <f ca="1">IF(ABS(B32)&gt;90,ABS(COS(B32*PI()/180))*(-1),ABS(COS(B32*PI()/180)))</f>
        <v>-0.34202014332566871</v>
      </c>
      <c r="D32" s="144">
        <f ca="1">IF( ISBLANK(Landing!C6), Landing!C7*-1,    Landing!C7*C32)</f>
        <v>-2.3941410032796808</v>
      </c>
    </row>
    <row r="33" spans="1:26" ht="14.25" customHeight="1" x14ac:dyDescent="0.3">
      <c r="B33" s="51"/>
      <c r="C33" s="2"/>
      <c r="D33" s="2"/>
    </row>
    <row r="34" spans="1:26" ht="14.25" customHeight="1" x14ac:dyDescent="0.3">
      <c r="B34" s="146"/>
      <c r="C34" s="42"/>
      <c r="D34" s="42"/>
    </row>
    <row r="35" spans="1:26" ht="14.25" customHeight="1" x14ac:dyDescent="0.3">
      <c r="B35" s="51"/>
      <c r="C35" s="147"/>
      <c r="D35" s="51"/>
    </row>
    <row r="36" spans="1:26" ht="14.25" customHeight="1" x14ac:dyDescent="0.3">
      <c r="B36" s="51"/>
      <c r="C36" s="51"/>
      <c r="D36" s="51"/>
    </row>
    <row r="37" spans="1:26" ht="14.25" customHeight="1" x14ac:dyDescent="0.3">
      <c r="B37" s="51" t="s">
        <v>157</v>
      </c>
      <c r="C37" s="147">
        <f ca="1">IF(ABS(B32)&gt;90,ABS(SIN(B32*PI()/180))*(-1),ABS(SIN(B32*PI()/180)))</f>
        <v>-0.93969262078590843</v>
      </c>
      <c r="D37" s="51"/>
    </row>
    <row r="38" spans="1:26" ht="14.25" customHeight="1" x14ac:dyDescent="0.3">
      <c r="A38" s="148"/>
    </row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>
      <c r="A48" s="149" t="s">
        <v>69</v>
      </c>
      <c r="B48" s="149"/>
      <c r="C48" s="149"/>
      <c r="D48" s="149"/>
      <c r="E48" s="149"/>
      <c r="F48" s="149"/>
      <c r="G48" s="149"/>
      <c r="H48" s="149"/>
      <c r="I48" s="149"/>
      <c r="J48" s="149"/>
      <c r="K48" s="150"/>
      <c r="L48" s="150"/>
      <c r="M48" s="150"/>
      <c r="N48" s="151"/>
      <c r="O48" s="152"/>
      <c r="P48" s="150"/>
      <c r="Q48" s="150"/>
      <c r="R48" s="150"/>
      <c r="S48" s="150"/>
      <c r="T48" s="150"/>
      <c r="U48" s="149"/>
      <c r="V48" s="149"/>
      <c r="W48" s="149"/>
      <c r="X48" s="149"/>
      <c r="Y48" s="149"/>
      <c r="Z48" s="149"/>
    </row>
    <row r="49" spans="1:33" ht="14.25" customHeight="1" x14ac:dyDescent="0.35">
      <c r="I49" s="153"/>
      <c r="J49" s="154"/>
      <c r="K49" s="154"/>
      <c r="L49" s="154"/>
      <c r="M49" s="154"/>
      <c r="N49" s="154"/>
      <c r="O49" s="154"/>
      <c r="P49" s="154"/>
    </row>
    <row r="50" spans="1:33" ht="14.25" customHeight="1" x14ac:dyDescent="0.3">
      <c r="A50" s="148"/>
    </row>
    <row r="51" spans="1:33" ht="14.25" customHeight="1" x14ac:dyDescent="0.3">
      <c r="A51" s="148"/>
    </row>
    <row r="52" spans="1:33" ht="14.25" customHeight="1" x14ac:dyDescent="0.3">
      <c r="A52" s="148"/>
    </row>
    <row r="53" spans="1:33" ht="14.25" customHeight="1" x14ac:dyDescent="0.3">
      <c r="A53" s="148"/>
      <c r="B53" s="51" t="s">
        <v>158</v>
      </c>
      <c r="C53" s="2" t="s">
        <v>159</v>
      </c>
      <c r="D53" s="2"/>
      <c r="I53" s="20"/>
    </row>
    <row r="54" spans="1:33" ht="14.25" customHeight="1" x14ac:dyDescent="0.3">
      <c r="A54" s="148"/>
      <c r="B54" s="146">
        <f ca="1">'Landing distance data'!K104</f>
        <v>854.96257787534307</v>
      </c>
      <c r="C54" s="42">
        <f ca="1">B54*C55</f>
        <v>1556.0318917331244</v>
      </c>
      <c r="D54" s="42"/>
      <c r="I54" s="20"/>
    </row>
    <row r="55" spans="1:33" ht="14.25" customHeight="1" x14ac:dyDescent="0.3">
      <c r="A55" s="148"/>
      <c r="B55" s="51" t="s">
        <v>160</v>
      </c>
      <c r="C55" s="147">
        <f>IF( ISBLANK('Take-off'!C10),MIN('Dropdown lists'!C4:C10), VLOOKUP('Take-off'!C10,'Dropdown lists'!B4:C10,2))</f>
        <v>1.82</v>
      </c>
      <c r="D55" s="51"/>
      <c r="I55" s="20"/>
    </row>
    <row r="56" spans="1:33" ht="14.25" customHeight="1" x14ac:dyDescent="0.3">
      <c r="A56" s="148"/>
      <c r="B56" s="51"/>
      <c r="C56" s="51"/>
      <c r="D56" s="51"/>
      <c r="I56" s="155"/>
      <c r="J56" s="156"/>
      <c r="K56" s="156"/>
      <c r="L56" s="156"/>
      <c r="M56" s="156"/>
      <c r="N56" s="156"/>
      <c r="O56" s="156"/>
      <c r="P56" s="156"/>
      <c r="AD56" s="156"/>
      <c r="AE56" s="156"/>
      <c r="AF56" s="156"/>
      <c r="AG56" s="156"/>
    </row>
    <row r="57" spans="1:33" ht="14.25" customHeight="1" x14ac:dyDescent="0.3">
      <c r="A57" s="148"/>
      <c r="B57" s="51"/>
      <c r="C57" s="147"/>
      <c r="D57" s="51"/>
      <c r="I57" s="155"/>
      <c r="J57" s="156"/>
      <c r="K57" s="156"/>
      <c r="L57" s="156"/>
      <c r="M57" s="156"/>
      <c r="N57" s="156"/>
      <c r="O57" s="156"/>
      <c r="P57" s="156"/>
      <c r="AD57" s="156"/>
      <c r="AE57" s="156"/>
      <c r="AF57" s="156"/>
      <c r="AG57" s="156"/>
    </row>
    <row r="58" spans="1:33" ht="14.25" customHeight="1" x14ac:dyDescent="0.3">
      <c r="C58" s="20"/>
      <c r="I58" s="155"/>
      <c r="J58" s="156"/>
      <c r="K58" s="156"/>
      <c r="L58" s="156"/>
      <c r="M58" s="156"/>
      <c r="N58" s="156"/>
      <c r="O58" s="156"/>
      <c r="P58" s="156"/>
      <c r="AD58" s="156"/>
      <c r="AE58" s="156"/>
      <c r="AF58" s="156"/>
      <c r="AG58" s="156"/>
    </row>
    <row r="59" spans="1:33" ht="14.25" customHeight="1" x14ac:dyDescent="0.3">
      <c r="C59" s="20"/>
      <c r="I59" s="155"/>
      <c r="J59" s="156"/>
      <c r="K59" s="156"/>
      <c r="L59" s="156"/>
      <c r="M59" s="156"/>
      <c r="N59" s="156"/>
      <c r="O59" s="156"/>
      <c r="P59" s="156"/>
      <c r="AD59" s="156"/>
      <c r="AE59" s="156"/>
      <c r="AF59" s="156"/>
      <c r="AG59" s="156"/>
    </row>
    <row r="60" spans="1:33" ht="14.25" customHeight="1" x14ac:dyDescent="0.3">
      <c r="C60" s="20"/>
      <c r="I60" s="155"/>
      <c r="J60" s="156"/>
      <c r="K60" s="156"/>
      <c r="L60" s="156"/>
      <c r="M60" s="156"/>
      <c r="N60" s="156"/>
      <c r="O60" s="156"/>
      <c r="P60" s="156"/>
      <c r="AD60" s="156"/>
      <c r="AE60" s="156"/>
      <c r="AF60" s="156"/>
      <c r="AG60" s="156"/>
    </row>
    <row r="61" spans="1:33" ht="14.25" customHeight="1" x14ac:dyDescent="0.3">
      <c r="C61" s="20"/>
      <c r="I61" s="155"/>
      <c r="J61" s="156"/>
      <c r="K61" s="156"/>
      <c r="L61" s="156"/>
      <c r="M61" s="156"/>
      <c r="N61" s="156"/>
      <c r="O61" s="156"/>
      <c r="P61" s="156"/>
      <c r="AD61" s="156"/>
      <c r="AE61" s="156"/>
      <c r="AF61" s="156"/>
      <c r="AG61" s="156"/>
    </row>
    <row r="62" spans="1:33" ht="14.25" customHeight="1" x14ac:dyDescent="0.3">
      <c r="C62" s="20"/>
      <c r="I62" s="155"/>
      <c r="J62" s="156"/>
      <c r="K62" s="156"/>
      <c r="L62" s="156"/>
      <c r="M62" s="156"/>
      <c r="N62" s="156"/>
      <c r="O62" s="156"/>
      <c r="P62" s="156"/>
      <c r="AD62" s="156"/>
      <c r="AE62" s="156"/>
      <c r="AF62" s="156"/>
      <c r="AG62" s="156"/>
    </row>
    <row r="63" spans="1:33" ht="15.75" customHeight="1" x14ac:dyDescent="0.3"/>
    <row r="64" spans="1:33" ht="15.75" customHeight="1" x14ac:dyDescent="0.3"/>
    <row r="65" spans="1:5" ht="15.75" customHeight="1" x14ac:dyDescent="0.3"/>
    <row r="66" spans="1:5" ht="14.25" customHeight="1" x14ac:dyDescent="0.3">
      <c r="A66" s="356" t="s">
        <v>161</v>
      </c>
      <c r="B66" s="356"/>
      <c r="C66" s="356"/>
      <c r="D66" s="356"/>
      <c r="E66" s="356"/>
    </row>
    <row r="67" spans="1:5" ht="14.25" customHeight="1" x14ac:dyDescent="0.3"/>
    <row r="68" spans="1:5" ht="14.25" customHeight="1" x14ac:dyDescent="0.3">
      <c r="A68" s="396" t="s">
        <v>162</v>
      </c>
      <c r="B68" s="397" t="s">
        <v>93</v>
      </c>
      <c r="C68" s="397"/>
      <c r="D68" s="397" t="s">
        <v>137</v>
      </c>
      <c r="E68" s="397"/>
    </row>
    <row r="69" spans="1:5" ht="30" customHeight="1" x14ac:dyDescent="0.3">
      <c r="A69" s="396"/>
      <c r="B69" s="398" t="s">
        <v>52</v>
      </c>
      <c r="C69" s="398"/>
      <c r="D69" s="398" t="s">
        <v>137</v>
      </c>
      <c r="E69" s="398"/>
    </row>
    <row r="70" spans="1:5" ht="14.25" customHeight="1" x14ac:dyDescent="0.3">
      <c r="A70" s="133">
        <v>1000</v>
      </c>
      <c r="B70" s="134">
        <v>1650</v>
      </c>
      <c r="C70" s="134"/>
      <c r="D70" s="134"/>
      <c r="E70" s="134"/>
    </row>
    <row r="71" spans="1:5" ht="14.25" customHeight="1" x14ac:dyDescent="0.3">
      <c r="A71" s="135">
        <v>1500</v>
      </c>
      <c r="B71" s="136">
        <v>2400</v>
      </c>
      <c r="C71" s="136"/>
      <c r="D71" s="136"/>
      <c r="E71" s="136"/>
    </row>
    <row r="72" spans="1:5" ht="14.25" customHeight="1" x14ac:dyDescent="0.3">
      <c r="A72" s="133">
        <v>2000</v>
      </c>
      <c r="B72" s="134">
        <v>3120</v>
      </c>
      <c r="C72" s="134"/>
      <c r="D72" s="134"/>
      <c r="E72" s="134"/>
    </row>
    <row r="73" spans="1:5" ht="14.25" customHeight="1" x14ac:dyDescent="0.3">
      <c r="A73" s="135">
        <v>2500</v>
      </c>
      <c r="B73" s="136">
        <v>3850</v>
      </c>
      <c r="C73" s="136"/>
      <c r="D73" s="136"/>
      <c r="E73" s="136"/>
    </row>
    <row r="74" spans="1:5" ht="14.25" customHeight="1" x14ac:dyDescent="0.3">
      <c r="A74" s="133">
        <v>3000</v>
      </c>
      <c r="B74" s="134">
        <v>4500</v>
      </c>
      <c r="C74" s="134"/>
      <c r="D74" s="134"/>
      <c r="E74" s="134"/>
    </row>
    <row r="75" spans="1:5" ht="14.25" customHeight="1" x14ac:dyDescent="0.3">
      <c r="A75" s="135">
        <v>3500</v>
      </c>
      <c r="B75" s="136">
        <v>5200</v>
      </c>
      <c r="C75" s="136"/>
      <c r="D75" s="136"/>
      <c r="E75" s="136"/>
    </row>
    <row r="76" spans="1:5" ht="14.25" customHeight="1" x14ac:dyDescent="0.3">
      <c r="A76" s="133">
        <v>4000</v>
      </c>
      <c r="B76" s="134">
        <v>5800</v>
      </c>
      <c r="C76" s="134"/>
      <c r="D76" s="134"/>
      <c r="E76" s="134"/>
    </row>
    <row r="77" spans="1:5" ht="14.25" customHeight="1" x14ac:dyDescent="0.3">
      <c r="A77" s="135">
        <v>4500</v>
      </c>
      <c r="B77" s="136">
        <v>6500</v>
      </c>
      <c r="C77" s="136"/>
      <c r="D77" s="136"/>
      <c r="E77" s="136"/>
    </row>
    <row r="78" spans="1:5" ht="14.25" customHeight="1" x14ac:dyDescent="0.3">
      <c r="A78" s="133">
        <v>5000</v>
      </c>
      <c r="B78" s="134">
        <v>99999</v>
      </c>
      <c r="C78" s="134"/>
      <c r="D78" s="134"/>
      <c r="E78" s="134"/>
    </row>
    <row r="79" spans="1:5" ht="14.25" customHeight="1" x14ac:dyDescent="0.3">
      <c r="A79" s="77"/>
      <c r="B79" s="42"/>
      <c r="C79" s="42"/>
      <c r="D79" s="42"/>
    </row>
    <row r="80" spans="1:5" ht="14.25" customHeight="1" x14ac:dyDescent="0.3">
      <c r="A80" s="355" t="s">
        <v>143</v>
      </c>
      <c r="B80" s="355"/>
      <c r="C80" s="355"/>
    </row>
    <row r="81" spans="1:4" ht="14.25" customHeight="1" x14ac:dyDescent="0.3">
      <c r="A81" s="2"/>
      <c r="B81" s="16" t="s">
        <v>144</v>
      </c>
      <c r="C81" s="17">
        <f>MATCH(MAX(A70:A78),A70:A78,0)</f>
        <v>9</v>
      </c>
      <c r="D81" s="16"/>
    </row>
    <row r="82" spans="1:4" ht="14.25" customHeight="1" x14ac:dyDescent="0.3">
      <c r="A82" s="2"/>
      <c r="B82" s="16" t="s">
        <v>145</v>
      </c>
      <c r="C82" s="17">
        <f>MATCH(MAX(B70),B70,0)</f>
        <v>1</v>
      </c>
      <c r="D82" s="16"/>
    </row>
    <row r="83" spans="1:4" ht="14.25" customHeight="1" x14ac:dyDescent="0.3">
      <c r="A83" s="2"/>
      <c r="B83" s="2"/>
      <c r="C83" s="2"/>
      <c r="D83" s="2"/>
    </row>
    <row r="84" spans="1:4" ht="14.25" customHeight="1" x14ac:dyDescent="0.3">
      <c r="A84" s="51" t="s">
        <v>146</v>
      </c>
      <c r="B84" s="53" t="str">
        <f>B69</f>
        <v>UP</v>
      </c>
      <c r="C84" s="53"/>
      <c r="D84" s="53" t="str">
        <f>D69</f>
        <v>EMG RETURN</v>
      </c>
    </row>
    <row r="85" spans="1:4" ht="14.25" customHeight="1" x14ac:dyDescent="0.3">
      <c r="A85" s="139" t="s">
        <v>147</v>
      </c>
      <c r="B85" s="140">
        <f ca="1">'Landing distance data'!C104*3.28</f>
        <v>2770.6705719750053</v>
      </c>
      <c r="C85" s="140"/>
      <c r="D85" s="140">
        <f ca="1">'Landing distance data'!K104*3.28</f>
        <v>2804.277255431125</v>
      </c>
    </row>
    <row r="86" spans="1:4" ht="14.25" customHeight="1" x14ac:dyDescent="0.3">
      <c r="A86" s="16" t="s">
        <v>148</v>
      </c>
      <c r="B86" s="141">
        <f t="array" aca="1" ref="B86" ca="1">INDEX(A70:A78,MATCH(B85,A70:A78,1))</f>
        <v>2500</v>
      </c>
      <c r="C86" s="141"/>
      <c r="D86" s="141">
        <f t="array" aca="1" ref="D86" ca="1">INDEX($A$70:$A$78,MATCH(D85,$A$70:$A$78,1))</f>
        <v>2500</v>
      </c>
    </row>
    <row r="87" spans="1:4" ht="14.25" customHeight="1" x14ac:dyDescent="0.3">
      <c r="A87" s="16" t="s">
        <v>149</v>
      </c>
      <c r="B87" s="141">
        <f t="array" aca="1" ref="B87" ca="1">INDEX(A70:A78,IF(MATCH(B85,A70:A78,1)&lt;C81,MATCH(B85,A70:A78,1)+1,MATCH(B85,A70:A78,1)))</f>
        <v>3000</v>
      </c>
      <c r="C87" s="141"/>
      <c r="D87" s="141">
        <f t="array" aca="1" ref="D87" ca="1">INDEX($A$70:$A$78,IF(MATCH(D85,$A$70:$A$78,1)&lt;$C$81,MATCH(D85,$A$70:$A$78,1)+1,MATCH(D85,$A$70:$A$78,1)))</f>
        <v>3000</v>
      </c>
    </row>
    <row r="88" spans="1:4" ht="14.25" customHeight="1" x14ac:dyDescent="0.3">
      <c r="A88" s="139" t="s">
        <v>150</v>
      </c>
      <c r="B88" s="140">
        <f t="array" aca="1" ref="B88" ca="1">INDEX(B70:B78,MATCH(B85,A70:A78,1),MATCH(B84,B69,1))</f>
        <v>3850</v>
      </c>
      <c r="C88" s="140"/>
      <c r="D88" s="140">
        <f t="array" aca="1" ref="D88" ca="1">INDEX(B70:B78,MATCH(D85,$A$70:$A$78,1),MATCH(D84,D69,1))</f>
        <v>3850</v>
      </c>
    </row>
    <row r="89" spans="1:4" ht="14.25" customHeight="1" x14ac:dyDescent="0.3">
      <c r="A89" s="139" t="s">
        <v>151</v>
      </c>
      <c r="B89" s="140">
        <f t="array" aca="1" ref="B89" ca="1">INDEX(B70:B78,IF(MATCH(B85,A70:A78,1)&lt;C81,MATCH(B85,A70:A78,1)+1,MATCH(B85,A70:A78,1)),MATCH(B84,B69,1))</f>
        <v>4500</v>
      </c>
      <c r="C89" s="140"/>
      <c r="D89" s="140">
        <f t="array" aca="1" ref="D89" ca="1">INDEX(B70:B78,IF(MATCH(D85,$A$70:$A$78,1)&lt;$C$81,MATCH(D85,$A$70:$A$78,1)+1,MATCH(D85,$A$70:$A$78,1)),MATCH(D84,D69,1))</f>
        <v>4500</v>
      </c>
    </row>
    <row r="90" spans="1:4" ht="14.25" customHeight="1" x14ac:dyDescent="0.3">
      <c r="A90" s="139" t="s">
        <v>163</v>
      </c>
      <c r="B90" s="140">
        <f ca="1">IFERROR(B88+(B85-B86)*(B89-B88)/(B87-B86),B88)</f>
        <v>4201.8717435675071</v>
      </c>
      <c r="C90" s="140"/>
      <c r="D90" s="140">
        <f ca="1">IFERROR(D88+(D85-D86)*(D89-D88)/(D87-D86),D88)</f>
        <v>4245.5604320604625</v>
      </c>
    </row>
    <row r="91" spans="1:4" ht="14.25" customHeight="1" x14ac:dyDescent="0.3"/>
    <row r="92" spans="1:4" ht="14.25" customHeight="1" x14ac:dyDescent="0.3"/>
    <row r="93" spans="1:4" ht="14.25" customHeight="1" x14ac:dyDescent="0.3"/>
    <row r="94" spans="1:4" ht="14.25" customHeight="1" x14ac:dyDescent="0.3"/>
    <row r="95" spans="1:4" ht="14.25" customHeight="1" x14ac:dyDescent="0.3">
      <c r="A95" s="148"/>
      <c r="B95" s="20"/>
    </row>
    <row r="96" spans="1:4" ht="14.25" customHeight="1" x14ac:dyDescent="0.3">
      <c r="A96" s="148"/>
      <c r="B96" s="20"/>
    </row>
    <row r="97" spans="2:2" ht="14.25" customHeight="1" x14ac:dyDescent="0.3"/>
    <row r="98" spans="2:2" ht="14.25" customHeight="1" x14ac:dyDescent="0.3">
      <c r="B98" s="20"/>
    </row>
    <row r="99" spans="2:2" ht="14.25" customHeight="1" x14ac:dyDescent="0.3">
      <c r="B99" s="20"/>
    </row>
    <row r="100" spans="2:2" ht="15.75" customHeight="1" x14ac:dyDescent="0.3"/>
    <row r="101" spans="2:2" ht="15.75" customHeight="1" x14ac:dyDescent="0.3"/>
    <row r="102" spans="2:2" ht="15.75" customHeight="1" x14ac:dyDescent="0.3"/>
    <row r="103" spans="2:2" ht="15.75" customHeight="1" x14ac:dyDescent="0.3"/>
    <row r="104" spans="2:2" ht="15.75" customHeight="1" x14ac:dyDescent="0.3"/>
    <row r="105" spans="2:2" ht="15.75" customHeight="1" x14ac:dyDescent="0.3"/>
    <row r="106" spans="2:2" ht="15.75" customHeight="1" x14ac:dyDescent="0.3"/>
    <row r="107" spans="2:2" ht="15.75" customHeight="1" x14ac:dyDescent="0.3"/>
    <row r="108" spans="2:2" ht="15.75" customHeight="1" x14ac:dyDescent="0.3"/>
    <row r="109" spans="2:2" ht="15.75" customHeight="1" x14ac:dyDescent="0.3"/>
    <row r="110" spans="2:2" ht="15.75" customHeight="1" x14ac:dyDescent="0.3"/>
    <row r="111" spans="2:2" ht="15.75" customHeight="1" x14ac:dyDescent="0.3"/>
    <row r="112" spans="2: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0">
    <mergeCell ref="A1:E1"/>
    <mergeCell ref="A3:A4"/>
    <mergeCell ref="D3:E3"/>
    <mergeCell ref="H3:I3"/>
    <mergeCell ref="J3:K3"/>
    <mergeCell ref="L3:M3"/>
    <mergeCell ref="D4:E4"/>
    <mergeCell ref="H4:I4"/>
    <mergeCell ref="J4:K4"/>
    <mergeCell ref="L4:M4"/>
    <mergeCell ref="A80:C80"/>
    <mergeCell ref="A11:C11"/>
    <mergeCell ref="H11:J11"/>
    <mergeCell ref="L23:R23"/>
    <mergeCell ref="A66:E66"/>
    <mergeCell ref="A68:A69"/>
    <mergeCell ref="B68:C68"/>
    <mergeCell ref="D68:E68"/>
    <mergeCell ref="B69:C69"/>
    <mergeCell ref="D69:E69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2"/>
  <sheetViews>
    <sheetView tabSelected="1" zoomScaleNormal="100" workbookViewId="0">
      <selection activeCell="A6" sqref="A6:XFD6"/>
    </sheetView>
  </sheetViews>
  <sheetFormatPr defaultColWidth="14.44140625" defaultRowHeight="15" customHeight="1" x14ac:dyDescent="0.3"/>
  <cols>
    <col min="1" max="1" width="15.6640625" customWidth="1"/>
    <col min="2" max="5" width="9.109375" customWidth="1"/>
    <col min="6" max="6" width="14" customWidth="1"/>
    <col min="7" max="7" width="9" customWidth="1"/>
    <col min="8" max="10" width="9.109375" customWidth="1"/>
    <col min="11" max="11" width="10.5546875" customWidth="1"/>
    <col min="12" max="13" width="9.109375" customWidth="1"/>
    <col min="14" max="14" width="30.88671875" customWidth="1"/>
    <col min="15" max="15" width="9.109375" customWidth="1"/>
    <col min="16" max="16" width="24.88671875" customWidth="1"/>
    <col min="17" max="17" width="18.6640625" customWidth="1"/>
    <col min="18" max="18" width="18.88671875" customWidth="1"/>
    <col min="19" max="20" width="9.109375" customWidth="1"/>
    <col min="21" max="25" width="8.6640625" customWidth="1"/>
  </cols>
  <sheetData>
    <row r="1" spans="1:20" ht="14.25" customHeight="1" x14ac:dyDescent="0.3">
      <c r="A1" s="356" t="s">
        <v>164</v>
      </c>
      <c r="B1" s="356"/>
      <c r="C1" s="356"/>
      <c r="D1" s="356"/>
      <c r="E1" s="356"/>
      <c r="F1" s="132"/>
      <c r="G1" s="132"/>
      <c r="R1" s="2"/>
      <c r="S1" s="2"/>
      <c r="T1" s="2"/>
    </row>
    <row r="2" spans="1:20" ht="14.25" customHeight="1" x14ac:dyDescent="0.3">
      <c r="A2" t="s">
        <v>52</v>
      </c>
      <c r="R2" s="2"/>
      <c r="S2" s="2"/>
      <c r="T2" s="2"/>
    </row>
    <row r="3" spans="1:20" ht="14.25" customHeight="1" x14ac:dyDescent="0.3">
      <c r="A3" s="399" t="s">
        <v>140</v>
      </c>
      <c r="B3" s="157"/>
      <c r="C3" s="158"/>
      <c r="D3" s="157" t="s">
        <v>141</v>
      </c>
      <c r="E3" s="158"/>
      <c r="F3" s="159"/>
      <c r="G3" s="160"/>
      <c r="H3" s="159" t="s">
        <v>141</v>
      </c>
      <c r="I3" s="158"/>
      <c r="J3" s="400"/>
      <c r="K3" s="400"/>
      <c r="R3" s="2"/>
      <c r="S3" s="2"/>
      <c r="T3" s="2"/>
    </row>
    <row r="4" spans="1:20" ht="31.5" customHeight="1" x14ac:dyDescent="0.3">
      <c r="A4" s="399"/>
      <c r="B4" s="161"/>
      <c r="C4" s="162"/>
      <c r="D4" s="161" t="s">
        <v>165</v>
      </c>
      <c r="E4" s="162"/>
      <c r="F4" s="161"/>
      <c r="G4" s="163"/>
      <c r="H4" s="164" t="s">
        <v>166</v>
      </c>
      <c r="I4" s="162"/>
      <c r="J4" s="164"/>
      <c r="K4" s="162"/>
      <c r="R4" s="2"/>
      <c r="S4" s="2"/>
      <c r="T4" s="2"/>
    </row>
    <row r="5" spans="1:20" ht="14.25" customHeight="1" x14ac:dyDescent="0.3">
      <c r="A5" s="165">
        <v>12000</v>
      </c>
      <c r="B5" s="166"/>
      <c r="C5" s="167"/>
      <c r="D5" s="166">
        <v>107</v>
      </c>
      <c r="E5" s="167"/>
      <c r="F5" s="166"/>
      <c r="G5" s="168"/>
      <c r="H5" s="169">
        <v>118</v>
      </c>
      <c r="I5" s="167"/>
      <c r="J5" s="170"/>
      <c r="K5" s="171"/>
      <c r="M5" s="20"/>
      <c r="R5" s="2"/>
      <c r="S5" s="2"/>
      <c r="T5" s="2"/>
    </row>
    <row r="6" spans="1:20" ht="14.25" customHeight="1" x14ac:dyDescent="0.3">
      <c r="A6" s="165">
        <v>13000</v>
      </c>
      <c r="B6" s="172"/>
      <c r="C6" s="173"/>
      <c r="D6" s="172">
        <f>((D7-D5)/($A7-$A5))*($A6-$A5)+D5</f>
        <v>107</v>
      </c>
      <c r="E6" s="173"/>
      <c r="F6" s="172"/>
      <c r="G6" s="174"/>
      <c r="H6" s="172">
        <f>((H7-H5)/($A7-$A5))*($A6-$A5)+H5</f>
        <v>118</v>
      </c>
      <c r="I6" s="173"/>
      <c r="J6" s="175"/>
      <c r="K6" s="176"/>
      <c r="M6" s="20"/>
      <c r="R6" s="2"/>
      <c r="S6" s="2"/>
      <c r="T6" s="2"/>
    </row>
    <row r="7" spans="1:20" ht="14.25" customHeight="1" x14ac:dyDescent="0.3">
      <c r="A7" s="165">
        <v>14000</v>
      </c>
      <c r="B7" s="172"/>
      <c r="C7" s="173"/>
      <c r="D7" s="172">
        <v>107</v>
      </c>
      <c r="E7" s="173"/>
      <c r="F7" s="172"/>
      <c r="G7" s="174"/>
      <c r="H7" s="177">
        <v>118</v>
      </c>
      <c r="I7" s="173"/>
      <c r="J7" s="175"/>
      <c r="K7" s="176"/>
      <c r="M7" s="20"/>
      <c r="R7" s="2"/>
      <c r="S7" s="2"/>
      <c r="T7" s="2"/>
    </row>
    <row r="8" spans="1:20" ht="14.25" customHeight="1" x14ac:dyDescent="0.3">
      <c r="A8" s="178">
        <v>15000</v>
      </c>
      <c r="B8" s="172"/>
      <c r="C8" s="173"/>
      <c r="D8" s="172">
        <f>((D9-D7)/($A9-$A7))*($A8-$A7)+D7</f>
        <v>109</v>
      </c>
      <c r="E8" s="173"/>
      <c r="F8" s="172"/>
      <c r="G8" s="174"/>
      <c r="H8" s="172">
        <f>((H9-H7)/($A9-$A7))*($A8-$A7)+H7</f>
        <v>118</v>
      </c>
      <c r="I8" s="173"/>
      <c r="J8" s="175"/>
      <c r="K8" s="176"/>
      <c r="M8" s="20"/>
      <c r="R8" s="2"/>
      <c r="S8" s="2"/>
      <c r="T8" s="2"/>
    </row>
    <row r="9" spans="1:20" ht="14.25" customHeight="1" x14ac:dyDescent="0.3">
      <c r="A9" s="178">
        <v>16000</v>
      </c>
      <c r="B9" s="172"/>
      <c r="C9" s="173"/>
      <c r="D9" s="172">
        <v>111</v>
      </c>
      <c r="E9" s="173"/>
      <c r="F9" s="172"/>
      <c r="G9" s="174"/>
      <c r="H9" s="177">
        <v>118</v>
      </c>
      <c r="I9" s="173"/>
      <c r="J9" s="175"/>
      <c r="K9" s="176"/>
      <c r="M9" s="20"/>
      <c r="R9" s="2"/>
      <c r="S9" s="2"/>
      <c r="T9" s="2"/>
    </row>
    <row r="10" spans="1:20" ht="14.25" customHeight="1" x14ac:dyDescent="0.3">
      <c r="A10" s="179">
        <v>16600</v>
      </c>
      <c r="B10" s="180"/>
      <c r="C10" s="181"/>
      <c r="D10" s="180">
        <v>112</v>
      </c>
      <c r="E10" s="181"/>
      <c r="F10" s="180"/>
      <c r="G10" s="182"/>
      <c r="H10" s="183">
        <v>120</v>
      </c>
      <c r="I10" s="181"/>
      <c r="J10" s="184"/>
      <c r="K10" s="185"/>
      <c r="M10" s="20"/>
      <c r="R10" s="2"/>
      <c r="S10" s="2"/>
      <c r="T10" s="2"/>
    </row>
    <row r="11" spans="1:20" ht="14.25" customHeight="1" x14ac:dyDescent="0.3">
      <c r="A11" s="77"/>
      <c r="B11" s="42"/>
      <c r="C11" s="42"/>
      <c r="D11" s="42"/>
      <c r="I11" s="20"/>
      <c r="K11" s="20"/>
      <c r="R11" s="2"/>
      <c r="S11" s="2"/>
      <c r="T11" s="2"/>
    </row>
    <row r="12" spans="1:20" ht="14.25" customHeight="1" x14ac:dyDescent="0.3">
      <c r="A12" s="137"/>
      <c r="B12" s="355"/>
      <c r="C12" s="355"/>
      <c r="D12" s="355" t="s">
        <v>167</v>
      </c>
      <c r="E12" s="355"/>
      <c r="H12" s="355" t="s">
        <v>166</v>
      </c>
      <c r="I12" s="355"/>
      <c r="J12" s="137"/>
      <c r="K12" s="137"/>
      <c r="R12" s="2"/>
      <c r="S12" s="2"/>
      <c r="T12" s="2"/>
    </row>
    <row r="13" spans="1:20" ht="14.25" customHeight="1" x14ac:dyDescent="0.3">
      <c r="B13" s="16"/>
      <c r="C13" s="17"/>
      <c r="D13" s="16" t="s">
        <v>144</v>
      </c>
      <c r="E13" s="17">
        <f>MATCH(MAX($A5:$A10),$A5:$A10,0)</f>
        <v>6</v>
      </c>
      <c r="G13" s="17"/>
      <c r="I13" s="17">
        <f>MATCH(MAX($A5:$A10),$A5:$A10,0)</f>
        <v>6</v>
      </c>
      <c r="J13" s="17"/>
      <c r="K13" s="17"/>
    </row>
    <row r="14" spans="1:20" ht="14.25" customHeight="1" x14ac:dyDescent="0.3">
      <c r="B14" s="16"/>
      <c r="C14" s="17"/>
      <c r="D14" s="16" t="s">
        <v>145</v>
      </c>
      <c r="E14" s="17">
        <f>MATCH(MAX(D5),D5,0)</f>
        <v>1</v>
      </c>
      <c r="G14" s="17"/>
      <c r="I14" s="17">
        <f>MATCH(MAX(H5),H5,0)</f>
        <v>1</v>
      </c>
      <c r="J14" s="17"/>
      <c r="K14" s="17"/>
    </row>
    <row r="15" spans="1:20" ht="14.25" customHeight="1" x14ac:dyDescent="0.3">
      <c r="A15" s="2"/>
      <c r="B15" s="2"/>
      <c r="C15" s="2"/>
      <c r="D15" s="2"/>
      <c r="E15" s="2"/>
      <c r="F15" s="2"/>
      <c r="G15" s="2"/>
    </row>
    <row r="16" spans="1:20" ht="14.25" customHeight="1" x14ac:dyDescent="0.3">
      <c r="B16" s="51"/>
      <c r="C16" s="53"/>
      <c r="D16" s="51" t="s">
        <v>146</v>
      </c>
      <c r="E16" s="53" t="str">
        <f>D4</f>
        <v>V1/R</v>
      </c>
      <c r="F16" s="51"/>
      <c r="G16" s="53"/>
      <c r="I16" s="53" t="str">
        <f>H4</f>
        <v>V2</v>
      </c>
      <c r="J16" s="53"/>
      <c r="K16" s="53"/>
    </row>
    <row r="17" spans="1:26" ht="14.25" customHeight="1" x14ac:dyDescent="0.3">
      <c r="B17" s="139"/>
      <c r="C17" s="140"/>
      <c r="D17" s="139" t="s">
        <v>147</v>
      </c>
      <c r="E17" s="140">
        <f>'Take-off'!$C$14</f>
        <v>15800</v>
      </c>
      <c r="F17" s="139"/>
      <c r="G17" s="140"/>
      <c r="I17" s="140">
        <f>'Take-off'!$C$14</f>
        <v>15800</v>
      </c>
      <c r="J17" s="140"/>
      <c r="K17" s="140"/>
      <c r="M17" s="20"/>
      <c r="N17" s="20"/>
    </row>
    <row r="18" spans="1:26" ht="14.25" customHeight="1" x14ac:dyDescent="0.3">
      <c r="B18" s="16"/>
      <c r="C18" s="141"/>
      <c r="D18" s="16" t="s">
        <v>148</v>
      </c>
      <c r="E18" s="141">
        <f t="array" ref="E18">INDEX($A5:$A10,MATCH(E17,$A5:$A10,1))</f>
        <v>15000</v>
      </c>
      <c r="F18" s="16"/>
      <c r="G18" s="141"/>
      <c r="I18" s="141">
        <f t="array" ref="I18">INDEX($A5:$A10,MATCH(I17,$A5:$A10,1))</f>
        <v>15000</v>
      </c>
      <c r="J18" s="141"/>
      <c r="K18" s="141"/>
      <c r="M18" s="20"/>
      <c r="N18" s="20"/>
    </row>
    <row r="19" spans="1:26" ht="14.25" customHeight="1" x14ac:dyDescent="0.3">
      <c r="B19" s="16"/>
      <c r="C19" s="141"/>
      <c r="D19" s="16" t="s">
        <v>149</v>
      </c>
      <c r="E19" s="141">
        <f t="array" ref="E19">INDEX($A5:$A10,IF(MATCH(E17,$A5:$A10,1)&lt;E13,MATCH(E17,$A5:$A10,1)+1,MATCH(E17,$A5:$A10,1)))</f>
        <v>16000</v>
      </c>
      <c r="F19" s="16"/>
      <c r="G19" s="141"/>
      <c r="I19" s="141">
        <f t="array" ref="I19">INDEX($A5:$A10,IF(MATCH(I17,$A5:$A10,1)&lt;I13,MATCH(I17,$A5:$A10,1)+1,MATCH(I17,$A5:$A10,1)))</f>
        <v>16000</v>
      </c>
      <c r="J19" s="141"/>
      <c r="K19" s="141"/>
      <c r="M19" s="20"/>
      <c r="N19" s="20"/>
    </row>
    <row r="20" spans="1:26" ht="14.25" customHeight="1" x14ac:dyDescent="0.3">
      <c r="B20" s="139"/>
      <c r="C20" s="140"/>
      <c r="D20" s="139" t="s">
        <v>150</v>
      </c>
      <c r="E20" s="140">
        <f t="array" ref="E20">INDEX(D5:D10,MATCH(E17,$A5:$A10,1),MATCH(E16,D4,1))</f>
        <v>109</v>
      </c>
      <c r="F20" s="139"/>
      <c r="G20" s="140"/>
      <c r="I20" s="140">
        <f t="array" ref="I20">INDEX(H5:H10,MATCH(I17,$A5:$A10,1),MATCH(I16,H4,1))</f>
        <v>118</v>
      </c>
      <c r="J20" s="186"/>
      <c r="K20" s="186"/>
      <c r="M20" s="20"/>
      <c r="N20" s="20"/>
      <c r="R20" s="2"/>
      <c r="S20" s="2"/>
      <c r="T20" s="2"/>
    </row>
    <row r="21" spans="1:26" ht="14.25" customHeight="1" x14ac:dyDescent="0.3">
      <c r="B21" s="139"/>
      <c r="C21" s="140"/>
      <c r="D21" s="139" t="s">
        <v>151</v>
      </c>
      <c r="E21" s="140">
        <f t="array" ref="E21">INDEX(D5:D10,IF(MATCH(E17,$A5:$A10,1)&lt;E13,MATCH(E17,$A5:$A10,1)+1,MATCH(E17,$A5:$A10,1)),MATCH(E16,D4,1))</f>
        <v>111</v>
      </c>
      <c r="F21" s="139"/>
      <c r="G21" s="140"/>
      <c r="I21" s="140">
        <f t="array" ref="I21">INDEX(H5:H10,IF(MATCH(I17,$A5:$A10,1)&lt;I13,MATCH(I17,$A5:$A10,1)+1,MATCH(I17,$A5:$A10,1)),MATCH(I16,H4,1))</f>
        <v>118</v>
      </c>
      <c r="J21" s="186"/>
      <c r="K21" s="186"/>
      <c r="M21" s="20"/>
      <c r="N21" s="20"/>
      <c r="R21" s="2"/>
      <c r="S21" s="2"/>
      <c r="T21" s="2"/>
    </row>
    <row r="22" spans="1:26" ht="14.25" customHeight="1" x14ac:dyDescent="0.3">
      <c r="B22" s="139"/>
      <c r="C22" s="140"/>
      <c r="D22" s="139" t="s">
        <v>152</v>
      </c>
      <c r="E22" s="140">
        <f>IFERROR(E20+(E17-E18)*(E21-E20)/(E19-E18),E20)</f>
        <v>110.6</v>
      </c>
      <c r="F22" s="139"/>
      <c r="G22" s="140"/>
      <c r="I22" s="140">
        <f>IFERROR(I20+(I17-I18)*(I21-I20)/(I19-I18),I20)</f>
        <v>118</v>
      </c>
      <c r="J22" s="186"/>
      <c r="K22" s="186"/>
      <c r="M22" s="20"/>
      <c r="N22" s="20"/>
      <c r="R22" s="2"/>
      <c r="S22" s="2"/>
      <c r="T22" s="2"/>
    </row>
    <row r="23" spans="1:26" ht="14.25" customHeight="1" x14ac:dyDescent="0.3">
      <c r="C23" s="20"/>
      <c r="G23" s="20"/>
      <c r="I23" s="16"/>
      <c r="J23" s="186"/>
      <c r="K23" s="186"/>
      <c r="M23" s="2"/>
      <c r="N23" s="2"/>
      <c r="O23" s="2"/>
      <c r="P23" s="2"/>
      <c r="Q23" s="2"/>
      <c r="R23" s="2"/>
      <c r="S23" s="2"/>
      <c r="T23" s="2"/>
    </row>
    <row r="24" spans="1:26" ht="14.25" customHeight="1" x14ac:dyDescent="0.3">
      <c r="L24" s="131"/>
      <c r="M24" s="131"/>
      <c r="N24" s="131"/>
      <c r="O24" s="131"/>
      <c r="P24" s="131"/>
      <c r="Q24" s="131"/>
      <c r="R24" s="131"/>
      <c r="S24" s="2"/>
      <c r="T24" s="2"/>
    </row>
    <row r="25" spans="1:26" ht="14.25" customHeight="1" x14ac:dyDescent="0.3">
      <c r="L25" s="131"/>
      <c r="M25" s="131"/>
      <c r="N25" s="131"/>
      <c r="O25" s="131"/>
      <c r="P25" s="131"/>
      <c r="Q25" s="131"/>
      <c r="R25" s="131"/>
      <c r="S25" s="2"/>
      <c r="T25" s="2"/>
    </row>
    <row r="26" spans="1:26" ht="14.25" customHeight="1" x14ac:dyDescent="0.3">
      <c r="A26" s="31" t="s">
        <v>168</v>
      </c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8"/>
      <c r="M26" s="188"/>
      <c r="N26" s="188"/>
      <c r="O26" s="188"/>
      <c r="P26" s="188"/>
      <c r="Q26" s="188"/>
      <c r="R26" s="188"/>
      <c r="S26" s="188"/>
      <c r="T26" s="188"/>
      <c r="U26" s="187"/>
      <c r="V26" s="187"/>
      <c r="W26" s="187"/>
      <c r="X26" s="187"/>
      <c r="Y26" s="187"/>
    </row>
    <row r="27" spans="1:26" ht="14.25" customHeight="1" x14ac:dyDescent="0.3">
      <c r="S27" s="2"/>
      <c r="T27" s="2"/>
    </row>
    <row r="28" spans="1:26" ht="42" customHeight="1" x14ac:dyDescent="0.3">
      <c r="A28" s="1"/>
      <c r="B28" s="71" t="s">
        <v>169</v>
      </c>
      <c r="C28" s="189" t="s">
        <v>170</v>
      </c>
      <c r="D28" s="71" t="s">
        <v>171</v>
      </c>
      <c r="E28" s="1" t="s">
        <v>172</v>
      </c>
      <c r="F28" s="1" t="s">
        <v>173</v>
      </c>
      <c r="G28" s="1"/>
      <c r="H28" s="1"/>
      <c r="I28" s="1"/>
      <c r="J28" s="1"/>
      <c r="K28" s="1"/>
      <c r="L28" s="1"/>
      <c r="M28" s="1"/>
      <c r="N28" s="1"/>
      <c r="O28" s="1"/>
      <c r="P28" s="71"/>
      <c r="Q28" s="71"/>
      <c r="R28" s="1"/>
      <c r="S28" s="1"/>
      <c r="T28" s="1"/>
      <c r="U28" s="1"/>
    </row>
    <row r="29" spans="1:26" ht="14.25" customHeight="1" x14ac:dyDescent="0.3">
      <c r="A29" s="148" t="s">
        <v>174</v>
      </c>
      <c r="B29" s="146">
        <f ca="1">'Takeoff distance (2)'!C75/3.28</f>
        <v>712.9294581834904</v>
      </c>
      <c r="C29" s="23">
        <f>IF('Take-off'!$F$13='Dropdown lists'!$B$48, 500/3.28, 0)</f>
        <v>152.4390243902439</v>
      </c>
      <c r="D29" s="146">
        <f>IF('Take-off'!$C$17&gt;0, ((+'Take-off'!$C$17*5)%*SUM(B29:C29)),0 )</f>
        <v>0</v>
      </c>
      <c r="E29" s="146">
        <f ca="1">SUM(B29:D29)</f>
        <v>865.36848257373435</v>
      </c>
      <c r="F29" s="20">
        <f t="array" aca="1" ref="F29" ca="1">_xlfn.XLOOKUP('Take-off'!$C$10,'Dropdown lists'!$B$4:$B$9,'Dropdown lists'!$D$4:$D$9)*E29</f>
        <v>925.94427635389582</v>
      </c>
      <c r="G29" s="190"/>
      <c r="I29" s="20"/>
      <c r="J29" s="20"/>
      <c r="M29" s="20"/>
      <c r="N29" s="20"/>
      <c r="O29" s="20"/>
      <c r="P29" s="2"/>
      <c r="Q29" s="2"/>
    </row>
    <row r="30" spans="1:26" ht="14.25" customHeight="1" x14ac:dyDescent="0.3">
      <c r="A30" s="148" t="s">
        <v>175</v>
      </c>
      <c r="B30" s="146">
        <f ca="1">'Takeoff distance (2)'!C94/3.28</f>
        <v>1084.6380897142599</v>
      </c>
      <c r="C30" s="23">
        <f>IF('Take-off'!$F$13='Dropdown lists'!$B$48, 500/3.28, 0)</f>
        <v>152.4390243902439</v>
      </c>
      <c r="D30" s="146">
        <f>IF('Take-off'!$C$17&gt;0, ((+'Take-off'!$C$17*5)%*SUM(B30:C30)),0 )</f>
        <v>0</v>
      </c>
      <c r="E30" s="146">
        <f ca="1">SUM(B30:D30)*115%</f>
        <v>1422.6386812201793</v>
      </c>
      <c r="F30" s="20">
        <f t="array" aca="1" ref="F30" ca="1">_xlfn.XLOOKUP('Take-off'!$C$10,'Dropdown lists'!$B$4:$B$9,'Dropdown lists'!$D$4:$D$9)*E30</f>
        <v>1522.2233889055919</v>
      </c>
      <c r="G30" s="190"/>
      <c r="I30" s="20"/>
      <c r="J30" s="20"/>
      <c r="M30" s="20"/>
      <c r="N30" s="20"/>
      <c r="O30" s="20"/>
      <c r="P30" s="2"/>
      <c r="Q30" s="2"/>
    </row>
    <row r="31" spans="1:26" ht="14.25" customHeight="1" x14ac:dyDescent="0.3">
      <c r="A31" s="148" t="s">
        <v>176</v>
      </c>
      <c r="B31" s="20">
        <f ca="1">'Accelerate and GO (2)'!C75/3.28</f>
        <v>1689.687913573513</v>
      </c>
      <c r="C31" s="23">
        <f>IF('Take-off'!$F$13='Dropdown lists'!$B$48, 500/3.28, 0)</f>
        <v>152.4390243902439</v>
      </c>
      <c r="D31" s="146">
        <f>IF('Take-off'!$C$17&gt;0, ((+'Take-off'!$C$17*5)%*SUM(B31:C31)),0 )</f>
        <v>0</v>
      </c>
      <c r="E31" s="146">
        <f ca="1">SUM(B31:D31)</f>
        <v>1842.126937963757</v>
      </c>
      <c r="F31" s="20">
        <f t="array" aca="1" ref="F31" ca="1">_xlfn.XLOOKUP('Take-off'!$C$10,'Dropdown lists'!$B$4:$B$9,'Dropdown lists'!$D$4:$D$9)*E31</f>
        <v>1971.07582362122</v>
      </c>
      <c r="G31" s="190"/>
      <c r="I31" s="20"/>
      <c r="J31" s="20"/>
      <c r="O31" s="20"/>
    </row>
    <row r="32" spans="1:26" ht="14.25" customHeight="1" x14ac:dyDescent="0.3">
      <c r="A32" s="191" t="s">
        <v>177</v>
      </c>
      <c r="B32" s="192">
        <f ca="1">B31</f>
        <v>1689.687913573513</v>
      </c>
      <c r="C32" s="193">
        <f>IF('Take-off'!$F$13='Dropdown lists'!$B$48, 500/3.28, 0)</f>
        <v>152.4390243902439</v>
      </c>
      <c r="D32" s="194">
        <f>IF('Take-off'!$C$17&gt;0, ((+'Take-off'!$C$17*5)%*SUM(B32:C32)),0 )</f>
        <v>0</v>
      </c>
      <c r="E32" s="194">
        <f ca="1">SUM(B32:D32)</f>
        <v>1842.126937963757</v>
      </c>
      <c r="F32" s="192">
        <f t="array" aca="1" ref="F32" ca="1">_xlfn.XLOOKUP('Take-off'!$C$10,'Dropdown lists'!$B$4:$B$9,'Dropdown lists'!$D$4:$D$9)*E32</f>
        <v>1971.07582362122</v>
      </c>
      <c r="G32" s="195"/>
      <c r="H32" s="196"/>
      <c r="I32" s="192"/>
      <c r="J32" s="192"/>
      <c r="K32" s="196"/>
      <c r="L32" s="196"/>
      <c r="M32" s="196"/>
      <c r="N32" s="196"/>
      <c r="O32" s="192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0" ht="14.25" customHeight="1" x14ac:dyDescent="0.3">
      <c r="A33" s="148" t="s">
        <v>178</v>
      </c>
      <c r="B33" s="23">
        <f ca="1">'Accelerate and stop2'!C76/3.28</f>
        <v>1427.6212525691183</v>
      </c>
      <c r="C33" s="23">
        <f>IF('Take-off'!$F$13='Dropdown lists'!$B$48, 500/3.28, 0)</f>
        <v>152.4390243902439</v>
      </c>
      <c r="D33" s="146">
        <f>IF('Take-off'!$C$17&gt;0, ((+'Take-off'!$C$17*5)%*SUM(B33:C33)),0 )</f>
        <v>0</v>
      </c>
      <c r="E33" s="146">
        <f ca="1">SUM(B33:D33)</f>
        <v>1580.0602769593622</v>
      </c>
      <c r="F33" s="20">
        <f t="array" aca="1" ref="F33" ca="1">_xlfn.XLOOKUP('Take-off'!$C$10,'Dropdown lists'!$B$4:$B$9,'Dropdown lists'!$D$4:$D$9)*E33</f>
        <v>1690.6644963465176</v>
      </c>
      <c r="G33" s="190"/>
      <c r="I33" s="20"/>
      <c r="J33" s="20"/>
      <c r="O33" s="20"/>
    </row>
    <row r="34" spans="1:20" ht="14.25" customHeight="1" x14ac:dyDescent="0.3">
      <c r="I34" s="20"/>
      <c r="T34" s="2"/>
    </row>
    <row r="35" spans="1:20" ht="14.25" customHeight="1" x14ac:dyDescent="0.3">
      <c r="A35" s="148"/>
      <c r="B35" s="143" t="s">
        <v>154</v>
      </c>
      <c r="C35" s="143" t="s">
        <v>155</v>
      </c>
      <c r="D35" s="143" t="s">
        <v>156</v>
      </c>
      <c r="F35" s="148"/>
      <c r="T35" s="2"/>
    </row>
    <row r="36" spans="1:20" ht="14.25" customHeight="1" x14ac:dyDescent="0.3">
      <c r="A36" s="148"/>
      <c r="B36" s="144">
        <f ca="1">IF(ABS('Take-off'!C18-'Take-off'!C6)&gt;270,360-ABS('Take-off'!C18-'Take-off'!C6),'Take-off'!C18-'Take-off'!C6)</f>
        <v>-110</v>
      </c>
      <c r="C36" s="145">
        <f ca="1">IF(ABS(B36)&gt;90,ABS(COS(B36*PI()/180))*(-1),ABS(COS(B36*PI()/180)))</f>
        <v>-0.34202014332566871</v>
      </c>
      <c r="D36" s="144">
        <f ca="1">IF( ISBLANK('Take-off'!C6), 'Take-off'!C7*-1,    'Take-off'!C7*C36)</f>
        <v>-2.3941410032796808</v>
      </c>
      <c r="G36" s="197"/>
      <c r="H36" s="20"/>
      <c r="T36" s="2"/>
    </row>
    <row r="37" spans="1:20" ht="14.25" customHeight="1" x14ac:dyDescent="0.3">
      <c r="A37" s="148" t="s">
        <v>179</v>
      </c>
      <c r="B37" s="51" t="s">
        <v>158</v>
      </c>
      <c r="C37" s="2" t="s">
        <v>159</v>
      </c>
      <c r="D37" s="2"/>
      <c r="G37" s="197"/>
      <c r="H37" s="20"/>
      <c r="T37" s="2"/>
    </row>
    <row r="38" spans="1:20" ht="14.25" customHeight="1" x14ac:dyDescent="0.3">
      <c r="A38" s="148"/>
      <c r="C38" s="42"/>
      <c r="D38" s="42"/>
      <c r="T38" s="2"/>
    </row>
    <row r="39" spans="1:20" ht="14.25" customHeight="1" x14ac:dyDescent="0.3">
      <c r="A39" s="148"/>
      <c r="B39" s="51"/>
      <c r="C39" s="147"/>
      <c r="D39" s="51"/>
      <c r="T39" s="2"/>
    </row>
    <row r="40" spans="1:20" ht="14.25" customHeight="1" x14ac:dyDescent="0.3">
      <c r="A40" s="148"/>
      <c r="B40" s="51"/>
      <c r="C40" s="51"/>
      <c r="D40" s="51"/>
      <c r="T40" s="2"/>
    </row>
    <row r="41" spans="1:20" ht="14.25" customHeight="1" x14ac:dyDescent="0.3">
      <c r="A41" s="148"/>
      <c r="B41" s="51" t="s">
        <v>157</v>
      </c>
      <c r="C41" s="147">
        <f ca="1">IF(ABS(B36)&gt;90,ABS(SIN(B36*PI()/180))*(-1),ABS(SIN(B36*PI()/180)))</f>
        <v>-0.93969262078590843</v>
      </c>
      <c r="D41" s="51"/>
      <c r="T41" s="2"/>
    </row>
    <row r="42" spans="1:20" ht="14.25" customHeight="1" x14ac:dyDescent="0.3">
      <c r="K42" s="2"/>
      <c r="L42" s="2"/>
      <c r="P42" s="2"/>
      <c r="Q42" s="2"/>
      <c r="R42" s="198"/>
      <c r="S42" s="2"/>
      <c r="T42" s="2"/>
    </row>
    <row r="43" spans="1:20" ht="14.25" customHeight="1" x14ac:dyDescent="0.3">
      <c r="K43" s="2"/>
      <c r="L43" s="2"/>
      <c r="M43" s="139"/>
      <c r="N43" s="140"/>
      <c r="P43" s="2"/>
      <c r="Q43" s="2"/>
      <c r="R43" s="2"/>
      <c r="S43" s="2"/>
      <c r="T43" s="2"/>
    </row>
    <row r="44" spans="1:20" ht="14.25" customHeight="1" x14ac:dyDescent="0.3"/>
    <row r="45" spans="1:20" ht="14.25" customHeight="1" x14ac:dyDescent="0.3">
      <c r="C45" s="20"/>
      <c r="K45" s="2"/>
      <c r="L45" s="2"/>
      <c r="M45" s="16"/>
      <c r="N45" s="141"/>
      <c r="P45" s="199"/>
      <c r="S45" s="2"/>
      <c r="T45" s="2"/>
    </row>
    <row r="46" spans="1:20" ht="14.25" customHeight="1" x14ac:dyDescent="0.35">
      <c r="A46" s="153"/>
      <c r="B46" s="154"/>
      <c r="C46" s="154"/>
      <c r="D46" s="154"/>
      <c r="E46" s="154"/>
      <c r="F46" s="154"/>
      <c r="G46" s="154"/>
      <c r="H46" s="154"/>
      <c r="I46" s="2"/>
      <c r="J46" s="2"/>
      <c r="K46" s="2"/>
      <c r="L46" s="2"/>
      <c r="M46" s="2"/>
      <c r="N46" s="2"/>
      <c r="O46" s="2"/>
      <c r="Q46" s="200"/>
    </row>
    <row r="47" spans="1:20" ht="14.25" customHeight="1" x14ac:dyDescent="0.3">
      <c r="I47" s="2"/>
      <c r="J47" s="2"/>
      <c r="K47" s="2"/>
      <c r="L47" s="139"/>
      <c r="M47" s="140"/>
      <c r="N47" s="137"/>
      <c r="P47" s="155"/>
      <c r="Q47" s="201"/>
      <c r="R47" s="20"/>
    </row>
    <row r="48" spans="1:20" ht="14.25" customHeight="1" x14ac:dyDescent="0.3">
      <c r="A48" s="199"/>
      <c r="B48" s="17"/>
      <c r="C48" s="156"/>
      <c r="D48" s="156"/>
      <c r="E48" s="156"/>
      <c r="F48" s="156"/>
      <c r="G48" s="156"/>
      <c r="H48" s="156"/>
      <c r="I48" s="156"/>
      <c r="J48" s="156"/>
      <c r="K48" s="2"/>
      <c r="L48" s="16"/>
      <c r="M48" s="141"/>
      <c r="N48" s="16"/>
      <c r="O48" s="17"/>
      <c r="P48" s="155"/>
      <c r="Q48" s="201"/>
      <c r="R48" s="20"/>
    </row>
    <row r="49" spans="1:19" ht="14.25" customHeight="1" x14ac:dyDescent="0.3">
      <c r="B49" s="200"/>
      <c r="C49" s="200"/>
      <c r="D49" s="200"/>
      <c r="E49" s="200"/>
      <c r="F49" s="200"/>
      <c r="G49" s="200"/>
      <c r="H49" s="200"/>
      <c r="I49" s="200"/>
      <c r="J49" s="200"/>
      <c r="K49" s="2"/>
      <c r="L49" s="16"/>
      <c r="M49" s="141"/>
      <c r="N49" s="16"/>
      <c r="O49" s="17"/>
      <c r="P49" s="155"/>
      <c r="Q49" s="201"/>
      <c r="R49" s="20"/>
    </row>
    <row r="50" spans="1:19" ht="14.25" customHeight="1" x14ac:dyDescent="0.3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2"/>
      <c r="L50" s="139"/>
      <c r="M50" s="140"/>
      <c r="N50" s="2"/>
      <c r="O50" s="2"/>
      <c r="P50" s="155"/>
      <c r="Q50" s="201"/>
      <c r="R50" s="20"/>
      <c r="S50" s="20"/>
    </row>
    <row r="51" spans="1:19" ht="14.25" customHeight="1" x14ac:dyDescent="0.3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2"/>
      <c r="L51" s="16"/>
      <c r="M51" s="141"/>
      <c r="N51" s="2"/>
      <c r="O51" s="42"/>
      <c r="P51" s="155"/>
      <c r="Q51" s="201"/>
      <c r="R51" s="20"/>
    </row>
    <row r="52" spans="1:19" ht="14.25" customHeight="1" x14ac:dyDescent="0.3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2"/>
      <c r="L52" s="16"/>
      <c r="M52" s="141"/>
      <c r="N52" s="2"/>
      <c r="O52" s="42"/>
      <c r="P52" s="155"/>
      <c r="Q52" s="201"/>
      <c r="R52" s="20"/>
    </row>
    <row r="53" spans="1:19" ht="14.25" customHeight="1" x14ac:dyDescent="0.3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2"/>
      <c r="L53" s="139"/>
      <c r="M53" s="140"/>
      <c r="N53" s="2"/>
      <c r="O53" s="42"/>
      <c r="P53" s="155"/>
      <c r="Q53" s="201"/>
      <c r="R53" s="20"/>
    </row>
    <row r="54" spans="1:19" ht="14.25" customHeight="1" x14ac:dyDescent="0.3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2"/>
      <c r="L54" s="139"/>
      <c r="M54" s="140"/>
      <c r="O54" s="42"/>
      <c r="P54" s="155"/>
      <c r="Q54" s="201"/>
      <c r="R54" s="20"/>
    </row>
    <row r="55" spans="1:19" ht="14.25" customHeight="1" x14ac:dyDescent="0.3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2"/>
      <c r="L55" s="139"/>
      <c r="M55" s="140"/>
      <c r="O55" s="42"/>
      <c r="P55" s="155"/>
      <c r="Q55" s="201"/>
      <c r="R55" s="20"/>
    </row>
    <row r="56" spans="1:19" ht="14.25" customHeight="1" x14ac:dyDescent="0.3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2"/>
      <c r="L56" s="139"/>
      <c r="M56" s="140"/>
      <c r="P56" s="20"/>
      <c r="Q56" s="20"/>
      <c r="R56" s="20"/>
    </row>
    <row r="57" spans="1:19" ht="14.25" customHeight="1" x14ac:dyDescent="0.3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2"/>
      <c r="L57" s="16"/>
      <c r="M57" s="141"/>
      <c r="P57" s="137"/>
    </row>
    <row r="58" spans="1:19" ht="14.25" customHeight="1" x14ac:dyDescent="0.3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2"/>
      <c r="L58" s="16"/>
      <c r="M58" s="141"/>
      <c r="Q58" s="16"/>
      <c r="R58" s="16"/>
    </row>
    <row r="59" spans="1:19" ht="14.25" customHeight="1" x14ac:dyDescent="0.3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2"/>
      <c r="L59" s="139"/>
      <c r="M59" s="140"/>
      <c r="Q59" s="16"/>
      <c r="R59" s="16"/>
    </row>
    <row r="60" spans="1:19" ht="14.25" customHeight="1" x14ac:dyDescent="0.3">
      <c r="I60" s="12"/>
      <c r="J60" s="12"/>
      <c r="K60" s="12"/>
      <c r="L60" s="12"/>
      <c r="M60" s="12"/>
      <c r="N60" s="12"/>
      <c r="O60" s="12"/>
    </row>
    <row r="61" spans="1:19" ht="14.25" customHeight="1" x14ac:dyDescent="0.35">
      <c r="A61" s="202"/>
      <c r="B61" s="202"/>
      <c r="C61" s="202"/>
      <c r="D61" s="202"/>
      <c r="E61" s="202"/>
      <c r="F61" s="202"/>
      <c r="G61" s="202"/>
      <c r="H61" s="202"/>
      <c r="I61" s="12"/>
      <c r="J61" s="12"/>
      <c r="K61" s="12"/>
      <c r="L61" s="12"/>
      <c r="M61" s="12"/>
      <c r="N61" s="12"/>
      <c r="O61" s="12"/>
    </row>
    <row r="62" spans="1:19" ht="14.25" customHeight="1" x14ac:dyDescent="0.3">
      <c r="I62" s="12"/>
      <c r="J62" s="12"/>
      <c r="K62" s="12"/>
      <c r="L62" s="72"/>
      <c r="M62" s="203"/>
      <c r="N62" s="72"/>
      <c r="P62" s="72"/>
      <c r="Q62" s="203"/>
      <c r="R62" s="20"/>
    </row>
    <row r="63" spans="1:19" ht="14.25" customHeight="1" x14ac:dyDescent="0.3">
      <c r="A63" s="204"/>
      <c r="K63" s="12"/>
      <c r="M63" s="20"/>
      <c r="Q63" s="20"/>
      <c r="R63" s="20"/>
    </row>
    <row r="64" spans="1:19" ht="14.25" customHeight="1" x14ac:dyDescent="0.3">
      <c r="B64" s="205"/>
      <c r="C64" s="205"/>
      <c r="D64" s="205"/>
      <c r="E64" s="205"/>
      <c r="F64" s="205"/>
      <c r="G64" s="205"/>
      <c r="H64" s="205"/>
      <c r="I64" s="205"/>
      <c r="J64" s="205"/>
      <c r="K64" s="12"/>
      <c r="M64" s="20"/>
      <c r="Q64" s="20"/>
      <c r="R64" s="20"/>
    </row>
    <row r="65" spans="1:18" ht="14.25" customHeight="1" x14ac:dyDescent="0.3">
      <c r="A65" s="203"/>
      <c r="K65" s="12"/>
      <c r="L65" s="72"/>
      <c r="M65" s="203"/>
      <c r="N65" s="12"/>
      <c r="O65" s="12"/>
      <c r="P65" s="72"/>
      <c r="Q65" s="203"/>
      <c r="R65" s="20"/>
    </row>
    <row r="66" spans="1:18" ht="14.25" customHeight="1" x14ac:dyDescent="0.3">
      <c r="A66" s="203"/>
      <c r="K66" s="12"/>
      <c r="M66" s="20"/>
      <c r="N66" s="12"/>
      <c r="O66" s="76"/>
      <c r="P66" s="72"/>
      <c r="Q66" s="203"/>
      <c r="R66" s="20"/>
    </row>
    <row r="67" spans="1:18" ht="14.25" customHeight="1" x14ac:dyDescent="0.3">
      <c r="A67" s="203"/>
      <c r="K67" s="12"/>
      <c r="M67" s="20"/>
      <c r="N67" s="12"/>
      <c r="O67" s="76"/>
      <c r="P67" s="72"/>
      <c r="Q67" s="203"/>
    </row>
    <row r="68" spans="1:18" ht="14.25" customHeight="1" x14ac:dyDescent="0.3">
      <c r="A68" s="203"/>
      <c r="K68" s="12"/>
      <c r="L68" s="72"/>
      <c r="M68" s="203"/>
      <c r="N68" s="12"/>
      <c r="O68" s="76"/>
      <c r="P68" s="12"/>
      <c r="Q68" s="12"/>
    </row>
    <row r="69" spans="1:18" ht="14.25" customHeight="1" x14ac:dyDescent="0.3">
      <c r="A69" s="203"/>
      <c r="K69" s="12"/>
      <c r="L69" s="72"/>
      <c r="M69" s="203"/>
      <c r="O69" s="76"/>
      <c r="P69" s="12"/>
      <c r="Q69" s="12"/>
    </row>
    <row r="70" spans="1:18" ht="14.25" customHeight="1" x14ac:dyDescent="0.3">
      <c r="A70" s="203"/>
      <c r="K70" s="12"/>
      <c r="L70" s="72"/>
      <c r="M70" s="203"/>
      <c r="O70" s="76"/>
      <c r="P70" s="12"/>
      <c r="Q70" s="12"/>
    </row>
    <row r="71" spans="1:18" ht="14.25" customHeight="1" x14ac:dyDescent="0.3">
      <c r="A71" s="203"/>
      <c r="K71" s="12"/>
      <c r="L71" s="72"/>
      <c r="M71" s="203"/>
      <c r="P71" s="12"/>
      <c r="Q71" s="12"/>
    </row>
    <row r="72" spans="1:18" ht="14.25" customHeight="1" x14ac:dyDescent="0.3">
      <c r="A72" s="203"/>
      <c r="K72" s="12"/>
      <c r="M72" s="20"/>
      <c r="P72" s="12"/>
      <c r="Q72" s="12"/>
    </row>
    <row r="73" spans="1:18" ht="14.25" customHeight="1" x14ac:dyDescent="0.3">
      <c r="A73" s="203"/>
      <c r="K73" s="12"/>
      <c r="M73" s="20"/>
      <c r="P73" s="12"/>
      <c r="Q73" s="12"/>
    </row>
    <row r="74" spans="1:18" ht="14.25" customHeight="1" x14ac:dyDescent="0.3">
      <c r="A74" s="203"/>
      <c r="K74" s="12"/>
      <c r="L74" s="72"/>
      <c r="M74" s="203"/>
      <c r="P74" s="12"/>
      <c r="Q74" s="12"/>
    </row>
    <row r="75" spans="1:18" ht="14.25" customHeight="1" x14ac:dyDescent="0.3">
      <c r="K75" s="12"/>
      <c r="L75" s="12"/>
      <c r="M75" s="12"/>
      <c r="N75" s="12"/>
      <c r="O75" s="12"/>
      <c r="P75" s="12"/>
      <c r="Q75" s="12"/>
    </row>
    <row r="76" spans="1:18" ht="14.25" customHeight="1" x14ac:dyDescent="0.35">
      <c r="A76" s="202"/>
      <c r="B76" s="202"/>
      <c r="C76" s="202"/>
      <c r="D76" s="202"/>
      <c r="E76" s="202"/>
      <c r="F76" s="202"/>
      <c r="G76" s="202"/>
      <c r="H76" s="202"/>
      <c r="I76" s="12"/>
      <c r="J76" s="12"/>
      <c r="K76" s="12"/>
      <c r="L76" s="12"/>
      <c r="M76" s="12"/>
      <c r="N76" s="12"/>
      <c r="O76" s="12"/>
      <c r="P76" s="12"/>
      <c r="Q76" s="12"/>
    </row>
    <row r="77" spans="1:18" ht="14.25" customHeight="1" x14ac:dyDescent="0.3">
      <c r="I77" s="12"/>
      <c r="J77" s="12"/>
      <c r="K77" s="12"/>
      <c r="L77" s="72"/>
      <c r="M77" s="203"/>
      <c r="N77" s="72"/>
      <c r="P77" s="12"/>
      <c r="Q77" s="12"/>
    </row>
    <row r="78" spans="1:18" ht="14.25" customHeight="1" x14ac:dyDescent="0.3">
      <c r="A78" s="204"/>
      <c r="K78" s="12"/>
      <c r="M78" s="20"/>
      <c r="P78" s="12"/>
      <c r="Q78" s="12"/>
    </row>
    <row r="79" spans="1:18" ht="14.25" customHeight="1" x14ac:dyDescent="0.3">
      <c r="B79" s="205"/>
      <c r="C79" s="205"/>
      <c r="D79" s="205"/>
      <c r="E79" s="205"/>
      <c r="F79" s="205"/>
      <c r="G79" s="205"/>
      <c r="H79" s="205"/>
      <c r="I79" s="205"/>
      <c r="J79" s="205"/>
      <c r="K79" s="12"/>
      <c r="M79" s="20"/>
      <c r="P79" s="12"/>
      <c r="Q79" s="12"/>
    </row>
    <row r="80" spans="1:18" ht="14.25" customHeight="1" x14ac:dyDescent="0.3">
      <c r="A80" s="203"/>
      <c r="K80" s="12"/>
      <c r="L80" s="72"/>
      <c r="M80" s="203"/>
      <c r="N80" s="12"/>
      <c r="O80" s="12"/>
      <c r="P80" s="12"/>
      <c r="Q80" s="12"/>
    </row>
    <row r="81" spans="1:17" ht="14.25" customHeight="1" x14ac:dyDescent="0.3">
      <c r="A81" s="203"/>
      <c r="K81" s="12"/>
      <c r="M81" s="20"/>
      <c r="N81" s="12"/>
      <c r="O81" s="76"/>
      <c r="P81" s="12"/>
      <c r="Q81" s="12"/>
    </row>
    <row r="82" spans="1:17" ht="14.25" customHeight="1" x14ac:dyDescent="0.3">
      <c r="A82" s="203"/>
      <c r="K82" s="12"/>
      <c r="M82" s="20"/>
      <c r="N82" s="12"/>
      <c r="O82" s="76"/>
      <c r="P82" s="12"/>
      <c r="Q82" s="12"/>
    </row>
    <row r="83" spans="1:17" ht="14.25" customHeight="1" x14ac:dyDescent="0.3">
      <c r="L83" s="72"/>
      <c r="M83" s="203"/>
      <c r="N83" s="12"/>
      <c r="O83" s="76"/>
    </row>
    <row r="84" spans="1:17" ht="14.25" customHeight="1" x14ac:dyDescent="0.3">
      <c r="L84" s="72"/>
      <c r="M84" s="203"/>
      <c r="O84" s="76"/>
    </row>
    <row r="85" spans="1:17" ht="14.25" customHeight="1" x14ac:dyDescent="0.3">
      <c r="L85" s="72"/>
      <c r="M85" s="203"/>
      <c r="O85" s="76"/>
    </row>
    <row r="86" spans="1:17" ht="14.25" customHeight="1" x14ac:dyDescent="0.3">
      <c r="L86" s="72"/>
      <c r="M86" s="203"/>
    </row>
    <row r="87" spans="1:17" ht="14.25" customHeight="1" x14ac:dyDescent="0.3">
      <c r="M87" s="20"/>
    </row>
    <row r="88" spans="1:17" ht="14.25" customHeight="1" x14ac:dyDescent="0.3">
      <c r="M88" s="20"/>
    </row>
    <row r="89" spans="1:17" ht="14.25" customHeight="1" x14ac:dyDescent="0.3">
      <c r="L89" s="72"/>
      <c r="M89" s="203"/>
    </row>
    <row r="91" spans="1:17" ht="15.75" customHeight="1" x14ac:dyDescent="0.3"/>
    <row r="92" spans="1:17" ht="15.75" customHeight="1" x14ac:dyDescent="0.3"/>
    <row r="93" spans="1:17" ht="15.75" customHeight="1" x14ac:dyDescent="0.3"/>
    <row r="94" spans="1:17" ht="15.75" customHeight="1" x14ac:dyDescent="0.3"/>
    <row r="95" spans="1:17" ht="15.75" customHeight="1" x14ac:dyDescent="0.3"/>
    <row r="96" spans="1:17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6">
    <mergeCell ref="A1:E1"/>
    <mergeCell ref="A3:A4"/>
    <mergeCell ref="J3:K3"/>
    <mergeCell ref="B12:C12"/>
    <mergeCell ref="D12:E12"/>
    <mergeCell ref="H12:I12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D1001"/>
  <sheetViews>
    <sheetView zoomScaleNormal="100" workbookViewId="0">
      <selection activeCell="A6" sqref="A6:K6"/>
    </sheetView>
  </sheetViews>
  <sheetFormatPr defaultColWidth="14.44140625" defaultRowHeight="15" customHeight="1" x14ac:dyDescent="0.3"/>
  <cols>
    <col min="1" max="1" width="16" customWidth="1"/>
    <col min="2" max="3" width="9.109375" customWidth="1"/>
    <col min="4" max="4" width="10.33203125" customWidth="1"/>
    <col min="5" max="6" width="9.109375" customWidth="1"/>
    <col min="7" max="7" width="9" customWidth="1"/>
    <col min="8" max="10" width="9.109375" customWidth="1"/>
    <col min="11" max="11" width="10.5546875" customWidth="1"/>
    <col min="12" max="20" width="9.109375" customWidth="1"/>
    <col min="21" max="26" width="8.6640625" customWidth="1"/>
    <col min="27" max="27" width="13.33203125" customWidth="1"/>
    <col min="28" max="31" width="8.6640625" customWidth="1"/>
  </cols>
  <sheetData>
    <row r="1" spans="1:30" ht="14.25" customHeight="1" x14ac:dyDescent="0.3">
      <c r="A1" s="356" t="s">
        <v>180</v>
      </c>
      <c r="B1" s="356"/>
      <c r="C1" s="356"/>
      <c r="D1" s="356"/>
      <c r="E1" s="356"/>
      <c r="F1" s="132"/>
      <c r="G1" s="2"/>
      <c r="J1" s="2"/>
      <c r="K1" s="2"/>
      <c r="L1" s="2"/>
    </row>
    <row r="2" spans="1:30" ht="14.25" customHeight="1" x14ac:dyDescent="0.3">
      <c r="A2" t="s">
        <v>53</v>
      </c>
      <c r="G2" s="2"/>
      <c r="J2" s="2"/>
      <c r="K2" s="2"/>
      <c r="L2" s="2"/>
      <c r="N2" s="401" t="s">
        <v>181</v>
      </c>
      <c r="O2" s="401"/>
      <c r="P2" s="401"/>
      <c r="Q2" s="401"/>
      <c r="R2" s="401"/>
      <c r="S2" s="401"/>
      <c r="T2" s="401"/>
      <c r="U2" s="401"/>
      <c r="V2" s="401"/>
      <c r="X2" s="401" t="s">
        <v>182</v>
      </c>
      <c r="Y2" s="401"/>
      <c r="Z2" s="401"/>
      <c r="AA2" s="401"/>
      <c r="AB2" s="401"/>
      <c r="AC2" s="401"/>
      <c r="AD2" s="401"/>
    </row>
    <row r="3" spans="1:30" ht="14.25" customHeight="1" x14ac:dyDescent="0.3">
      <c r="A3" s="399" t="s">
        <v>183</v>
      </c>
      <c r="B3" s="402"/>
      <c r="C3" s="402"/>
      <c r="D3" s="402" t="s">
        <v>141</v>
      </c>
      <c r="E3" s="402"/>
      <c r="F3" s="403"/>
      <c r="G3" s="403"/>
      <c r="H3" s="402" t="s">
        <v>141</v>
      </c>
      <c r="I3" s="402"/>
      <c r="J3" s="402"/>
      <c r="K3" s="402"/>
      <c r="L3" s="2"/>
      <c r="N3" s="404" t="s">
        <v>184</v>
      </c>
      <c r="O3" s="404"/>
      <c r="P3" s="404"/>
      <c r="Q3" s="404"/>
      <c r="S3" s="405" t="s">
        <v>130</v>
      </c>
      <c r="T3" s="405"/>
      <c r="U3" s="405"/>
      <c r="V3" s="405"/>
      <c r="X3" s="206" t="s">
        <v>18</v>
      </c>
      <c r="Y3" s="207" t="s">
        <v>131</v>
      </c>
      <c r="Z3" s="208" t="s">
        <v>132</v>
      </c>
      <c r="AA3" s="209" t="s">
        <v>133</v>
      </c>
    </row>
    <row r="4" spans="1:30" ht="31.5" customHeight="1" x14ac:dyDescent="0.3">
      <c r="A4" s="399"/>
      <c r="B4" s="161"/>
      <c r="C4" s="162"/>
      <c r="D4" s="161" t="s">
        <v>165</v>
      </c>
      <c r="E4" s="162"/>
      <c r="F4" s="161"/>
      <c r="G4" s="163"/>
      <c r="H4" s="164" t="s">
        <v>166</v>
      </c>
      <c r="I4" s="162"/>
      <c r="J4" s="164"/>
      <c r="K4" s="162"/>
      <c r="N4" s="210" t="s">
        <v>185</v>
      </c>
      <c r="O4" s="211" t="s">
        <v>186</v>
      </c>
      <c r="P4" s="212" t="s">
        <v>187</v>
      </c>
      <c r="Q4" s="212" t="s">
        <v>166</v>
      </c>
      <c r="S4" s="210" t="s">
        <v>185</v>
      </c>
      <c r="T4" s="211" t="s">
        <v>186</v>
      </c>
      <c r="U4" s="212" t="s">
        <v>187</v>
      </c>
      <c r="V4" s="212" t="s">
        <v>166</v>
      </c>
      <c r="X4" s="213" t="s">
        <v>185</v>
      </c>
      <c r="Y4" s="214" t="s">
        <v>185</v>
      </c>
      <c r="Z4" s="215" t="s">
        <v>185</v>
      </c>
      <c r="AA4" s="215" t="s">
        <v>185</v>
      </c>
      <c r="AB4" s="213" t="s">
        <v>186</v>
      </c>
      <c r="AC4" s="214" t="s">
        <v>187</v>
      </c>
      <c r="AD4" s="215" t="s">
        <v>166</v>
      </c>
    </row>
    <row r="5" spans="1:30" ht="14.25" customHeight="1" x14ac:dyDescent="0.3">
      <c r="A5" s="216">
        <v>12000</v>
      </c>
      <c r="B5" s="166"/>
      <c r="C5" s="167"/>
      <c r="D5" s="166">
        <v>102</v>
      </c>
      <c r="E5" s="167"/>
      <c r="F5" s="166"/>
      <c r="G5" s="168"/>
      <c r="H5" s="169">
        <v>112</v>
      </c>
      <c r="I5" s="167"/>
      <c r="J5" s="170"/>
      <c r="K5" s="171"/>
      <c r="N5" s="217">
        <f ca="1">'Takeoff distance  contaminated'!AQ103</f>
        <v>5190.8146769987316</v>
      </c>
      <c r="O5" s="218">
        <f ca="1">'Takeoff distance  contaminated'!AQ141</f>
        <v>102</v>
      </c>
      <c r="P5" s="218">
        <f ca="1">'Takeoff distance  contaminated'!AQ177</f>
        <v>102</v>
      </c>
      <c r="Q5" s="219">
        <f ca="1">'Takeoff distance  contaminated'!AQ213</f>
        <v>105</v>
      </c>
      <c r="S5" s="217">
        <f ca="1">'Takeoff distance  contaminated'!AQ297</f>
        <v>8195.4030229863347</v>
      </c>
      <c r="T5" s="218">
        <f ca="1">'Takeoff distance  contaminated'!AQ399</f>
        <v>111.38306256052475</v>
      </c>
      <c r="U5" s="218">
        <f ca="1">'Takeoff distance  contaminated'!AQ438</f>
        <v>9999</v>
      </c>
      <c r="V5" s="219">
        <f ca="1">'Takeoff distance  contaminated'!AQ474</f>
        <v>9999</v>
      </c>
      <c r="X5" s="166">
        <f ca="1">'Takeoff distance  contamined 2'!AQ127</f>
        <v>5707.674391440104</v>
      </c>
      <c r="Y5" s="169">
        <f ca="1">'Takeoff distance  contamined 2'!AQ215</f>
        <v>5788.9526266701978</v>
      </c>
      <c r="Z5" s="169">
        <f ca="1">'Takeoff distance  contamined 2'!AQ304</f>
        <v>5786.4234031256956</v>
      </c>
      <c r="AA5" s="169">
        <f ca="1">'Takeoff distance  contamined 2'!AQ374</f>
        <v>5792.562992335701</v>
      </c>
      <c r="AB5" s="169">
        <f ca="1">'Takeoff distance  contamined 2'!AQ409</f>
        <v>102</v>
      </c>
      <c r="AC5" s="169">
        <f ca="1">'Takeoff distance  contamined 2'!AQ409</f>
        <v>102</v>
      </c>
      <c r="AD5" s="167">
        <f ca="1">'Takeoff distance  contamined 2'!AQ444</f>
        <v>105</v>
      </c>
    </row>
    <row r="6" spans="1:30" ht="14.25" customHeight="1" x14ac:dyDescent="0.3">
      <c r="A6" s="165">
        <v>13000</v>
      </c>
      <c r="B6" s="172"/>
      <c r="C6" s="173"/>
      <c r="D6" s="172">
        <f>((D7-D5)/($A7-$A5))*($A6-$A5)+D5</f>
        <v>102</v>
      </c>
      <c r="E6" s="173"/>
      <c r="F6" s="172"/>
      <c r="G6" s="174"/>
      <c r="H6" s="172">
        <f>((H7-H5)/($A7-$A5))*($A6-$A5)+H5</f>
        <v>112</v>
      </c>
      <c r="I6" s="173"/>
      <c r="J6" s="175"/>
      <c r="K6" s="176"/>
      <c r="N6" s="172">
        <f ca="1">'Takeoff distance  contaminated'!AI103</f>
        <v>5277.2903097866038</v>
      </c>
      <c r="O6" s="177">
        <f ca="1">'Takeoff distance  contaminated'!AI141</f>
        <v>102</v>
      </c>
      <c r="P6" s="177">
        <f ca="1">'Takeoff distance  contaminated'!AI177</f>
        <v>102.77</v>
      </c>
      <c r="Q6" s="173">
        <f ca="1">'Takeoff distance  contaminated'!AI213</f>
        <v>105</v>
      </c>
      <c r="S6" s="172">
        <f ca="1">'Takeoff distance  contaminated'!AI297</f>
        <v>8195.4030229863347</v>
      </c>
      <c r="T6" s="177">
        <f ca="1">'Takeoff distance  contaminated'!AI399</f>
        <v>111.38306256052475</v>
      </c>
      <c r="U6" s="177">
        <f ca="1">'Takeoff distance  contaminated'!AI438</f>
        <v>9999</v>
      </c>
      <c r="V6" s="173">
        <f ca="1">'Takeoff distance  contaminated'!AI474</f>
        <v>9999</v>
      </c>
      <c r="X6" s="172">
        <f ca="1">'Takeoff distance  contamined 2'!AI127</f>
        <v>5808.4568504454146</v>
      </c>
      <c r="Y6" s="177">
        <f ca="1">'Takeoff distance  contamined 2'!AI215</f>
        <v>5889.6907046675178</v>
      </c>
      <c r="Z6" s="177">
        <f ca="1">'Takeoff distance  contamined 2'!AI304</f>
        <v>5892.4634852281379</v>
      </c>
      <c r="AA6" s="177">
        <f ca="1">'Takeoff distance  contamined 2'!AI374</f>
        <v>5897.4508278767153</v>
      </c>
      <c r="AB6" s="177">
        <f ca="1">'Takeoff distance  contamined 2'!AI409</f>
        <v>102.77</v>
      </c>
      <c r="AC6" s="177">
        <f ca="1">'Takeoff distance  contamined 2'!AI409</f>
        <v>102.77</v>
      </c>
      <c r="AD6" s="173">
        <f ca="1">'Takeoff distance  contamined 2'!AI444</f>
        <v>105</v>
      </c>
    </row>
    <row r="7" spans="1:30" ht="14.25" customHeight="1" x14ac:dyDescent="0.3">
      <c r="A7" s="165">
        <v>14000</v>
      </c>
      <c r="B7" s="172"/>
      <c r="C7" s="173"/>
      <c r="D7" s="172">
        <v>102</v>
      </c>
      <c r="E7" s="173"/>
      <c r="F7" s="172"/>
      <c r="G7" s="174"/>
      <c r="H7" s="177">
        <v>112</v>
      </c>
      <c r="I7" s="173"/>
      <c r="J7" s="175"/>
      <c r="K7" s="176"/>
      <c r="N7" s="172">
        <f ca="1">'Takeoff distance  contaminated'!AA103</f>
        <v>5373.2350013536707</v>
      </c>
      <c r="O7" s="177">
        <f ca="1">'Takeoff distance  contaminated'!AA141</f>
        <v>102</v>
      </c>
      <c r="P7" s="177">
        <f ca="1">'Takeoff distance  contaminated'!AA177</f>
        <v>106</v>
      </c>
      <c r="Q7" s="173">
        <f ca="1">'Takeoff distance  contaminated'!AA213</f>
        <v>108</v>
      </c>
      <c r="S7" s="172">
        <f ca="1">'Takeoff distance  contaminated'!AA297</f>
        <v>8195.4030229863347</v>
      </c>
      <c r="T7" s="177">
        <f ca="1">'Takeoff distance  contaminated'!AA399</f>
        <v>111.38306256052475</v>
      </c>
      <c r="U7" s="177">
        <f ca="1">'Takeoff distance  contaminated'!AA438</f>
        <v>9999</v>
      </c>
      <c r="V7" s="173">
        <f ca="1">'Takeoff distance  contaminated'!AA474</f>
        <v>9999</v>
      </c>
      <c r="X7" s="172">
        <f ca="1">'Takeoff distance  contamined 2'!AA127</f>
        <v>6287.8634117921983</v>
      </c>
      <c r="Y7" s="177">
        <f ca="1">'Takeoff distance  contamined 2'!AA215</f>
        <v>6366.4100873609041</v>
      </c>
      <c r="Z7" s="177">
        <f ca="1">'Takeoff distance  contamined 2'!AA304</f>
        <v>6398.5486985651223</v>
      </c>
      <c r="AA7" s="177">
        <f ca="1">'Takeoff distance  contamined 2'!AA374</f>
        <v>6331.7911014218698</v>
      </c>
      <c r="AB7" s="177">
        <f ca="1">'Takeoff distance  contamined 2'!AA409</f>
        <v>106</v>
      </c>
      <c r="AC7" s="177">
        <f ca="1">'Takeoff distance  contamined 2'!AA409</f>
        <v>106</v>
      </c>
      <c r="AD7" s="173">
        <f ca="1">'Takeoff distance  contamined 2'!AA444</f>
        <v>108</v>
      </c>
    </row>
    <row r="8" spans="1:30" ht="14.25" customHeight="1" x14ac:dyDescent="0.3">
      <c r="A8" s="178">
        <v>15000</v>
      </c>
      <c r="B8" s="172"/>
      <c r="C8" s="173"/>
      <c r="D8" s="172">
        <f>((D9-D7)/($A9-$A7))*($A8-$A7)+D7</f>
        <v>104.5</v>
      </c>
      <c r="E8" s="173"/>
      <c r="F8" s="172"/>
      <c r="G8" s="174"/>
      <c r="H8" s="172">
        <f>((H9-H7)/($A9-$A7))*($A8-$A7)+H7</f>
        <v>113</v>
      </c>
      <c r="I8" s="173"/>
      <c r="J8" s="175"/>
      <c r="K8" s="176"/>
      <c r="N8" s="172">
        <f ca="1">'Takeoff distance  contaminated'!S103</f>
        <v>5689.7408797945445</v>
      </c>
      <c r="O8" s="177">
        <f ca="1">'Takeoff distance  contaminated'!S141</f>
        <v>104</v>
      </c>
      <c r="P8" s="177">
        <f ca="1">'Takeoff distance  contaminated'!S177</f>
        <v>109</v>
      </c>
      <c r="Q8" s="173">
        <f ca="1">'Takeoff distance  contaminated'!S213</f>
        <v>111</v>
      </c>
      <c r="S8" s="172">
        <f ca="1">'Takeoff distance  contaminated'!S297</f>
        <v>8195.4030229863347</v>
      </c>
      <c r="T8" s="177">
        <f ca="1">'Takeoff distance  contaminated'!S399</f>
        <v>111.38306256052475</v>
      </c>
      <c r="U8" s="177">
        <f ca="1">'Takeoff distance  contaminated'!S438</f>
        <v>9999</v>
      </c>
      <c r="V8" s="173">
        <f ca="1">'Takeoff distance  contaminated'!S474</f>
        <v>9999</v>
      </c>
      <c r="X8" s="172">
        <f ca="1">'Takeoff distance  contamined 2'!S127</f>
        <v>6811.6948865977638</v>
      </c>
      <c r="Y8" s="177">
        <f ca="1">'Takeoff distance  contamined 2'!S215</f>
        <v>6895.4472913758127</v>
      </c>
      <c r="Z8" s="177">
        <f ca="1">'Takeoff distance  contamined 2'!S304</f>
        <v>6959.2218615049278</v>
      </c>
      <c r="AA8" s="177">
        <f ca="1">'Takeoff distance  contamined 2'!S374</f>
        <v>6950.0469926199466</v>
      </c>
      <c r="AB8" s="177">
        <f ca="1">'Takeoff distance  contamined 2'!S409</f>
        <v>109</v>
      </c>
      <c r="AC8" s="177">
        <f ca="1">'Takeoff distance  contamined 2'!S409</f>
        <v>109</v>
      </c>
      <c r="AD8" s="173">
        <f ca="1">'Takeoff distance  contamined 2'!S444</f>
        <v>111</v>
      </c>
    </row>
    <row r="9" spans="1:30" ht="14.25" customHeight="1" x14ac:dyDescent="0.3">
      <c r="A9" s="178">
        <v>16000</v>
      </c>
      <c r="B9" s="172"/>
      <c r="C9" s="173"/>
      <c r="D9" s="172">
        <v>107</v>
      </c>
      <c r="E9" s="173"/>
      <c r="F9" s="172"/>
      <c r="G9" s="174"/>
      <c r="H9" s="177">
        <v>114</v>
      </c>
      <c r="I9" s="173"/>
      <c r="J9" s="175"/>
      <c r="K9" s="176"/>
      <c r="N9" s="172">
        <f ca="1">'Takeoff distance  contaminated'!K103</f>
        <v>6118.2071603986406</v>
      </c>
      <c r="O9" s="177">
        <f ca="1">'Takeoff distance  contaminated'!K141</f>
        <v>107</v>
      </c>
      <c r="P9" s="177">
        <f ca="1">'Takeoff distance  contaminated'!K177</f>
        <v>113</v>
      </c>
      <c r="Q9" s="173">
        <f ca="1">'Takeoff distance  contaminated'!K213</f>
        <v>114</v>
      </c>
      <c r="S9" s="172">
        <f ca="1">'Takeoff distance  contaminated'!K297</f>
        <v>8195.4030229863347</v>
      </c>
      <c r="T9" s="177">
        <f ca="1">'Takeoff distance  contaminated'!K399</f>
        <v>111.38306256052475</v>
      </c>
      <c r="U9" s="177">
        <f ca="1">'Takeoff distance  contaminated'!K438</f>
        <v>9999</v>
      </c>
      <c r="V9" s="173">
        <f ca="1">'Takeoff distance  contaminated'!K474</f>
        <v>9999</v>
      </c>
      <c r="X9" s="172">
        <f ca="1">'Takeoff distance  contamined 2'!K127</f>
        <v>7402.9582319140436</v>
      </c>
      <c r="Y9" s="177">
        <f ca="1">'Takeoff distance  contamined 2'!K215</f>
        <v>7268.8125357729386</v>
      </c>
      <c r="Z9" s="177">
        <f ca="1">'Takeoff distance  contamined 2'!K304</f>
        <v>7582.6616229328965</v>
      </c>
      <c r="AA9" s="177">
        <f ca="1">'Takeoff distance  contamined 2'!K374</f>
        <v>7591.6310327875835</v>
      </c>
      <c r="AB9" s="177">
        <f ca="1">'Takeoff distance  contamined 2'!K409</f>
        <v>113</v>
      </c>
      <c r="AC9" s="177">
        <f ca="1">'Takeoff distance  contamined 2'!K409</f>
        <v>113</v>
      </c>
      <c r="AD9" s="173">
        <f ca="1">'Takeoff distance  contamined 2'!K444</f>
        <v>114</v>
      </c>
    </row>
    <row r="10" spans="1:30" ht="14.25" customHeight="1" x14ac:dyDescent="0.3">
      <c r="A10" s="179">
        <v>16600</v>
      </c>
      <c r="B10" s="180"/>
      <c r="C10" s="181"/>
      <c r="D10" s="180">
        <v>108</v>
      </c>
      <c r="E10" s="181"/>
      <c r="F10" s="180"/>
      <c r="G10" s="182"/>
      <c r="H10" s="183">
        <v>115</v>
      </c>
      <c r="I10" s="181"/>
      <c r="J10" s="184"/>
      <c r="K10" s="185"/>
      <c r="N10" s="220">
        <f ca="1">'Takeoff distance  contaminated'!C103</f>
        <v>6409.0671919150636</v>
      </c>
      <c r="O10" s="221">
        <f ca="1">'Takeoff distance  contaminated'!C141</f>
        <v>108.77</v>
      </c>
      <c r="P10" s="221">
        <f ca="1">'Takeoff distance  contaminated'!C177</f>
        <v>114.77</v>
      </c>
      <c r="Q10" s="222">
        <f ca="1">'Takeoff distance  contaminated'!C213</f>
        <v>115</v>
      </c>
      <c r="S10" s="220">
        <f ca="1">'Takeoff distance  contaminated'!C297</f>
        <v>8195.4030229863347</v>
      </c>
      <c r="T10" s="221">
        <f ca="1">'Takeoff distance  contaminated'!C399</f>
        <v>111.38306256052475</v>
      </c>
      <c r="U10" s="221">
        <f ca="1">'Takeoff distance  contaminated'!C438</f>
        <v>9999</v>
      </c>
      <c r="V10" s="222">
        <f ca="1">'Takeoff distance  contaminated'!C474</f>
        <v>9999</v>
      </c>
      <c r="X10" s="220">
        <f ca="1">'Takeoff distance  contamined 2'!C127</f>
        <v>7785.7437319188257</v>
      </c>
      <c r="Y10" s="221">
        <f ca="1">'Takeoff distance  contamined 2'!C215</f>
        <v>7819.8269224744672</v>
      </c>
      <c r="Z10" s="221">
        <f ca="1">'Takeoff distance  contamined 2'!C304</f>
        <v>7957.1143151757633</v>
      </c>
      <c r="AA10" s="221">
        <f ca="1">'Takeoff distance  contamined 2'!C374</f>
        <v>7978.2330329656934</v>
      </c>
      <c r="AB10" s="221">
        <f ca="1">'Takeoff distance  contamined 2'!C409</f>
        <v>114.77</v>
      </c>
      <c r="AC10" s="221">
        <f ca="1">'Takeoff distance  contamined 2'!C409</f>
        <v>114.77</v>
      </c>
      <c r="AD10" s="222">
        <f ca="1">'Takeoff distance  contamined 2'!C444</f>
        <v>115</v>
      </c>
    </row>
    <row r="11" spans="1:30" ht="14.25" customHeight="1" x14ac:dyDescent="0.3">
      <c r="A11" s="77"/>
      <c r="B11" s="42"/>
      <c r="C11" s="42"/>
      <c r="D11" s="42"/>
      <c r="G11" s="2"/>
      <c r="I11" s="20"/>
      <c r="K11" s="20"/>
    </row>
    <row r="12" spans="1:30" ht="14.25" customHeight="1" x14ac:dyDescent="0.3">
      <c r="A12" s="137"/>
      <c r="D12" s="355" t="s">
        <v>167</v>
      </c>
      <c r="E12" s="355"/>
      <c r="H12" s="355" t="s">
        <v>166</v>
      </c>
      <c r="I12" s="355"/>
      <c r="J12" s="355"/>
      <c r="K12" s="355"/>
    </row>
    <row r="13" spans="1:30" ht="14.25" customHeight="1" x14ac:dyDescent="0.3">
      <c r="D13" s="16" t="s">
        <v>144</v>
      </c>
      <c r="E13" s="17">
        <f>MATCH(MAX($A5:$A10),$A5:$A10,0)</f>
        <v>6</v>
      </c>
      <c r="G13" s="17"/>
      <c r="I13" s="17">
        <f>MATCH(MAX($A5:$A10),$A5:$A10,0)</f>
        <v>6</v>
      </c>
      <c r="J13" s="17"/>
      <c r="K13" s="17"/>
      <c r="N13" s="17">
        <f>MATCH(MAX($A5:$A10),$A5:$A10,0)</f>
        <v>6</v>
      </c>
      <c r="O13" s="17">
        <f>MATCH(MAX($A5:$A10),$A5:$A10,0)</f>
        <v>6</v>
      </c>
      <c r="P13" s="17">
        <f>MATCH(MAX($A5:$A10),$A5:$A10,0)</f>
        <v>6</v>
      </c>
      <c r="Q13" s="17">
        <f>MATCH(MAX($A5:$A10),$A5:$A10,0)</f>
        <v>6</v>
      </c>
      <c r="S13" s="17">
        <f>MATCH(MAX($A5:$A10),$A5:$A10,0)</f>
        <v>6</v>
      </c>
      <c r="T13" s="17">
        <f>MATCH(MAX($A5:$A10),$A5:$A10,0)</f>
        <v>6</v>
      </c>
      <c r="U13" s="17">
        <f>MATCH(MAX($A5:$A10),$A5:$A10,0)</f>
        <v>6</v>
      </c>
      <c r="V13" s="17">
        <f>MATCH(MAX($A5:$A10),$A5:$A10,0)</f>
        <v>6</v>
      </c>
      <c r="X13" s="17">
        <f t="shared" ref="X13:AD13" si="0">MATCH(MAX($A5:$A10),$A5:$A10,0)</f>
        <v>6</v>
      </c>
      <c r="Y13" s="17">
        <f t="shared" si="0"/>
        <v>6</v>
      </c>
      <c r="Z13" s="17">
        <f t="shared" si="0"/>
        <v>6</v>
      </c>
      <c r="AA13" s="17">
        <f t="shared" si="0"/>
        <v>6</v>
      </c>
      <c r="AB13" s="17">
        <f t="shared" si="0"/>
        <v>6</v>
      </c>
      <c r="AC13" s="17">
        <f t="shared" si="0"/>
        <v>6</v>
      </c>
      <c r="AD13" s="17">
        <f t="shared" si="0"/>
        <v>6</v>
      </c>
    </row>
    <row r="14" spans="1:30" ht="14.25" customHeight="1" x14ac:dyDescent="0.3">
      <c r="D14" s="16" t="s">
        <v>145</v>
      </c>
      <c r="E14" s="17">
        <f>MATCH(MAX(D5),D5,0)</f>
        <v>1</v>
      </c>
      <c r="G14" s="17"/>
      <c r="I14" s="17">
        <f>MATCH(MAX(H5),H5,0)</f>
        <v>1</v>
      </c>
      <c r="J14" s="17"/>
      <c r="K14" s="17"/>
      <c r="N14" s="17">
        <f ca="1">MATCH(MAX(N5),N5,0)</f>
        <v>1</v>
      </c>
      <c r="O14" s="17">
        <f ca="1">MATCH(MAX(O5),O5,0)</f>
        <v>1</v>
      </c>
      <c r="P14" s="17">
        <f ca="1">MATCH(MAX(P5),P5,0)</f>
        <v>1</v>
      </c>
      <c r="Q14" s="17">
        <f ca="1">MATCH(MAX(Q5),Q5,0)</f>
        <v>1</v>
      </c>
      <c r="S14" s="17">
        <f ca="1">MATCH(MAX(S5),S5,0)</f>
        <v>1</v>
      </c>
      <c r="T14" s="17">
        <f ca="1">MATCH(MAX(T5),T5,0)</f>
        <v>1</v>
      </c>
      <c r="U14" s="17">
        <f ca="1">MATCH(MAX(U5),U5,0)</f>
        <v>1</v>
      </c>
      <c r="V14" s="17">
        <f ca="1">MATCH(MAX(V5),V5,0)</f>
        <v>1</v>
      </c>
      <c r="X14" s="17">
        <f t="shared" ref="X14:AD14" ca="1" si="1">MATCH(MAX(X5),X5,0)</f>
        <v>1</v>
      </c>
      <c r="Y14" s="17">
        <f t="shared" ca="1" si="1"/>
        <v>1</v>
      </c>
      <c r="Z14" s="17">
        <f t="shared" ca="1" si="1"/>
        <v>1</v>
      </c>
      <c r="AA14" s="17">
        <f t="shared" ca="1" si="1"/>
        <v>1</v>
      </c>
      <c r="AB14" s="17">
        <f t="shared" ca="1" si="1"/>
        <v>1</v>
      </c>
      <c r="AC14" s="17">
        <f t="shared" ca="1" si="1"/>
        <v>1</v>
      </c>
      <c r="AD14" s="17">
        <f t="shared" ca="1" si="1"/>
        <v>1</v>
      </c>
    </row>
    <row r="15" spans="1:30" ht="14.25" customHeight="1" x14ac:dyDescent="0.3">
      <c r="A15" s="2"/>
      <c r="D15" s="2"/>
      <c r="E15" s="2"/>
      <c r="F15" s="2"/>
      <c r="G15" s="2"/>
    </row>
    <row r="16" spans="1:30" ht="14.25" customHeight="1" x14ac:dyDescent="0.3">
      <c r="D16" s="51" t="s">
        <v>146</v>
      </c>
      <c r="E16" s="53" t="str">
        <f>D4</f>
        <v>V1/R</v>
      </c>
      <c r="F16" s="51"/>
      <c r="G16" s="53"/>
      <c r="I16" s="53" t="str">
        <f>H4</f>
        <v>V2</v>
      </c>
      <c r="J16" s="53"/>
      <c r="K16" s="53"/>
      <c r="N16" s="53" t="str">
        <f>N4</f>
        <v>TOFL</v>
      </c>
      <c r="O16" s="53" t="str">
        <f>O4</f>
        <v>V1</v>
      </c>
      <c r="P16" s="53" t="str">
        <f>P4</f>
        <v>VR</v>
      </c>
      <c r="Q16" s="53" t="str">
        <f>Q4</f>
        <v>V2</v>
      </c>
      <c r="S16" s="53" t="str">
        <f>S4</f>
        <v>TOFL</v>
      </c>
      <c r="T16" s="53" t="str">
        <f>T4</f>
        <v>V1</v>
      </c>
      <c r="U16" s="53" t="str">
        <f>U4</f>
        <v>VR</v>
      </c>
      <c r="V16" s="53" t="str">
        <f>V4</f>
        <v>V2</v>
      </c>
      <c r="X16" s="53" t="str">
        <f t="shared" ref="X16:AD16" si="2">X4</f>
        <v>TOFL</v>
      </c>
      <c r="Y16" s="53" t="str">
        <f t="shared" si="2"/>
        <v>TOFL</v>
      </c>
      <c r="Z16" s="53" t="str">
        <f t="shared" si="2"/>
        <v>TOFL</v>
      </c>
      <c r="AA16" s="53" t="str">
        <f t="shared" si="2"/>
        <v>TOFL</v>
      </c>
      <c r="AB16" s="53" t="str">
        <f t="shared" si="2"/>
        <v>V1</v>
      </c>
      <c r="AC16" s="53" t="str">
        <f t="shared" si="2"/>
        <v>VR</v>
      </c>
      <c r="AD16" s="53" t="str">
        <f t="shared" si="2"/>
        <v>V2</v>
      </c>
    </row>
    <row r="17" spans="1:30" ht="14.25" customHeight="1" x14ac:dyDescent="0.3">
      <c r="D17" s="139" t="s">
        <v>147</v>
      </c>
      <c r="E17" s="140">
        <f>'Take-off'!$C$14</f>
        <v>15800</v>
      </c>
      <c r="F17" s="139"/>
      <c r="G17" s="140"/>
      <c r="I17" s="140">
        <f>'Take-off'!$C$14</f>
        <v>15800</v>
      </c>
      <c r="J17" s="140"/>
      <c r="K17" s="140"/>
      <c r="N17" s="140">
        <f>'Take-off'!$C$14</f>
        <v>15800</v>
      </c>
      <c r="O17" s="140">
        <f>'Take-off'!$C$14</f>
        <v>15800</v>
      </c>
      <c r="P17" s="140">
        <f>'Take-off'!$C$14</f>
        <v>15800</v>
      </c>
      <c r="Q17" s="140">
        <f>'Take-off'!$C$14</f>
        <v>15800</v>
      </c>
      <c r="S17" s="140">
        <f>'Take-off'!$C$14</f>
        <v>15800</v>
      </c>
      <c r="T17" s="140">
        <f>'Take-off'!$C$14</f>
        <v>15800</v>
      </c>
      <c r="U17" s="140">
        <f>'Take-off'!$C$14</f>
        <v>15800</v>
      </c>
      <c r="V17" s="140">
        <f>'Take-off'!$C$14</f>
        <v>15800</v>
      </c>
      <c r="X17" s="140">
        <f>'Take-off'!$C$14</f>
        <v>15800</v>
      </c>
      <c r="Y17" s="140">
        <f>'Take-off'!$C$14</f>
        <v>15800</v>
      </c>
      <c r="Z17" s="140">
        <f>'Take-off'!$C$14</f>
        <v>15800</v>
      </c>
      <c r="AA17" s="140">
        <f>'Take-off'!$C$14</f>
        <v>15800</v>
      </c>
      <c r="AB17" s="140">
        <f>'Take-off'!$C$14</f>
        <v>15800</v>
      </c>
      <c r="AC17" s="140">
        <f>'Take-off'!$C$14</f>
        <v>15800</v>
      </c>
      <c r="AD17" s="140">
        <f>'Take-off'!$C$14</f>
        <v>15800</v>
      </c>
    </row>
    <row r="18" spans="1:30" ht="14.25" customHeight="1" x14ac:dyDescent="0.3">
      <c r="D18" s="16" t="s">
        <v>148</v>
      </c>
      <c r="E18" s="141">
        <f t="array" ref="E18">INDEX($A5:$A10,MATCH(E17,$A5:$A10,1))</f>
        <v>15000</v>
      </c>
      <c r="F18" s="16"/>
      <c r="G18" s="141"/>
      <c r="I18" s="141">
        <f t="array" ref="I18">INDEX($A5:$A10,MATCH(I17,$A5:$A10,1))</f>
        <v>15000</v>
      </c>
      <c r="J18" s="141"/>
      <c r="K18" s="141"/>
      <c r="N18" s="141">
        <f>INDEX($A5:$A10,MATCH(N17,$A5:$A10,1))</f>
        <v>15000</v>
      </c>
      <c r="O18" s="141">
        <f>INDEX($A5:$A10,MATCH(O17,$A5:$A10,1))</f>
        <v>15000</v>
      </c>
      <c r="P18" s="141">
        <f>INDEX($A5:$A10,MATCH(P17,$A5:$A10,1))</f>
        <v>15000</v>
      </c>
      <c r="Q18" s="141">
        <f>INDEX($A5:$A10,MATCH(Q17,$A5:$A10,1))</f>
        <v>15000</v>
      </c>
      <c r="S18" s="141">
        <f>INDEX($A5:$A10,MATCH(S17,$A5:$A10,1))</f>
        <v>15000</v>
      </c>
      <c r="T18" s="141">
        <f>INDEX($A5:$A10,MATCH(T17,$A5:$A10,1))</f>
        <v>15000</v>
      </c>
      <c r="U18" s="141">
        <f>INDEX($A5:$A10,MATCH(U17,$A5:$A10,1))</f>
        <v>15000</v>
      </c>
      <c r="V18" s="141">
        <f>INDEX($A5:$A10,MATCH(V17,$A5:$A10,1))</f>
        <v>15000</v>
      </c>
      <c r="X18" s="141">
        <f t="shared" ref="X18:AD18" si="3">INDEX($A5:$A10,MATCH(X17,$A5:$A10,1))</f>
        <v>15000</v>
      </c>
      <c r="Y18" s="141">
        <f t="shared" si="3"/>
        <v>15000</v>
      </c>
      <c r="Z18" s="141">
        <f t="shared" si="3"/>
        <v>15000</v>
      </c>
      <c r="AA18" s="141">
        <f t="shared" si="3"/>
        <v>15000</v>
      </c>
      <c r="AB18" s="141">
        <f t="shared" si="3"/>
        <v>15000</v>
      </c>
      <c r="AC18" s="141">
        <f t="shared" si="3"/>
        <v>15000</v>
      </c>
      <c r="AD18" s="141">
        <f t="shared" si="3"/>
        <v>15000</v>
      </c>
    </row>
    <row r="19" spans="1:30" ht="14.25" customHeight="1" x14ac:dyDescent="0.3">
      <c r="D19" s="16" t="s">
        <v>149</v>
      </c>
      <c r="E19" s="141">
        <f t="array" ref="E19">INDEX($A5:$A10,IF(MATCH(E17,$A5:$A10,1)&lt;E13,MATCH(E17,$A5:$A10,1)+1,MATCH(E17,$A5:$A10,1)))</f>
        <v>16000</v>
      </c>
      <c r="F19" s="16"/>
      <c r="G19" s="141"/>
      <c r="I19" s="141">
        <f t="array" ref="I19">INDEX($A5:$A10,IF(MATCH(I17,$A5:$A10,1)&lt;I13,MATCH(I17,$A5:$A10,1)+1,MATCH(I17,$A5:$A10,1)))</f>
        <v>16000</v>
      </c>
      <c r="J19" s="141"/>
      <c r="K19" s="141"/>
      <c r="N19" s="141">
        <f>INDEX($A5:$A10,IF(MATCH(N17,$A5:$A10,1)&lt;N13,MATCH(N17,$A5:$A10,1)+1,MATCH(N17,$A5:$A10,1)))</f>
        <v>16000</v>
      </c>
      <c r="O19" s="141">
        <f>INDEX($A5:$A10,IF(MATCH(O17,$A5:$A10,1)&lt;O13,MATCH(O17,$A5:$A10,1)+1,MATCH(O17,$A5:$A10,1)))</f>
        <v>16000</v>
      </c>
      <c r="P19" s="141">
        <f>INDEX($A5:$A10,IF(MATCH(P17,$A5:$A10,1)&lt;P13,MATCH(P17,$A5:$A10,1)+1,MATCH(P17,$A5:$A10,1)))</f>
        <v>16000</v>
      </c>
      <c r="Q19" s="141">
        <f>INDEX($A5:$A10,IF(MATCH(Q17,$A5:$A10,1)&lt;Q13,MATCH(Q17,$A5:$A10,1)+1,MATCH(Q17,$A5:$A10,1)))</f>
        <v>16000</v>
      </c>
      <c r="S19" s="141">
        <f>INDEX($A5:$A10,IF(MATCH(S17,$A5:$A10,1)&lt;S13,MATCH(S17,$A5:$A10,1)+1,MATCH(S17,$A5:$A10,1)))</f>
        <v>16000</v>
      </c>
      <c r="T19" s="141">
        <f>INDEX($A5:$A10,IF(MATCH(T17,$A5:$A10,1)&lt;T13,MATCH(T17,$A5:$A10,1)+1,MATCH(T17,$A5:$A10,1)))</f>
        <v>16000</v>
      </c>
      <c r="U19" s="141">
        <f>INDEX($A5:$A10,IF(MATCH(U17,$A5:$A10,1)&lt;U13,MATCH(U17,$A5:$A10,1)+1,MATCH(U17,$A5:$A10,1)))</f>
        <v>16000</v>
      </c>
      <c r="V19" s="141">
        <f>INDEX($A5:$A10,IF(MATCH(V17,$A5:$A10,1)&lt;V13,MATCH(V17,$A5:$A10,1)+1,MATCH(V17,$A5:$A10,1)))</f>
        <v>16000</v>
      </c>
      <c r="X19" s="141">
        <f t="shared" ref="X19:AD19" si="4">INDEX($A5:$A10,IF(MATCH(X17,$A5:$A10,1)&lt;X13,MATCH(X17,$A5:$A10,1)+1,MATCH(X17,$A5:$A10,1)))</f>
        <v>16000</v>
      </c>
      <c r="Y19" s="141">
        <f t="shared" si="4"/>
        <v>16000</v>
      </c>
      <c r="Z19" s="141">
        <f t="shared" si="4"/>
        <v>16000</v>
      </c>
      <c r="AA19" s="141">
        <f t="shared" si="4"/>
        <v>16000</v>
      </c>
      <c r="AB19" s="141">
        <f t="shared" si="4"/>
        <v>16000</v>
      </c>
      <c r="AC19" s="141">
        <f t="shared" si="4"/>
        <v>16000</v>
      </c>
      <c r="AD19" s="141">
        <f t="shared" si="4"/>
        <v>16000</v>
      </c>
    </row>
    <row r="20" spans="1:30" ht="14.25" customHeight="1" x14ac:dyDescent="0.3">
      <c r="D20" s="139" t="s">
        <v>150</v>
      </c>
      <c r="E20" s="140">
        <f t="array" ref="E20">INDEX(D5:D10,MATCH(E17,$A5:$A10,1),MATCH(E16,D4,1))</f>
        <v>104.5</v>
      </c>
      <c r="F20" s="139"/>
      <c r="G20" s="140"/>
      <c r="I20" s="140">
        <f t="array" ref="I20">INDEX(H5:H10,MATCH(I17,$A5:$A10,1),MATCH(I16,H4,1))</f>
        <v>113</v>
      </c>
      <c r="J20" s="186"/>
      <c r="K20" s="186"/>
      <c r="N20" s="186">
        <f ca="1">INDEX(N5:N10,MATCH(N17,$A5:$A10,1),MATCH(N16,N4,1))</f>
        <v>5689.7408797945445</v>
      </c>
      <c r="O20" s="186">
        <f ca="1">INDEX(O5:O10,MATCH(O17,$A5:$A10,1),MATCH(O16,O4,1))</f>
        <v>104</v>
      </c>
      <c r="P20" s="186">
        <f ca="1">INDEX(P5:P10,MATCH(P17,$A5:$A10,1),MATCH(P16,P4,1))</f>
        <v>109</v>
      </c>
      <c r="Q20" s="186">
        <f ca="1">INDEX(Q5:Q10,MATCH(Q17,$A5:$A10,1),MATCH(Q16,Q4,1))</f>
        <v>111</v>
      </c>
      <c r="S20" s="186">
        <f ca="1">INDEX(S5:S10,MATCH(S17,$A5:$A10,1),MATCH(S16,S4,1))</f>
        <v>8195.4030229863347</v>
      </c>
      <c r="T20" s="186">
        <f ca="1">INDEX(T5:T10,MATCH(T17,$A5:$A10,1),MATCH(T16,T4,1))</f>
        <v>111.38306256052475</v>
      </c>
      <c r="U20" s="186">
        <f ca="1">INDEX(U5:U10,MATCH(U17,$A5:$A10,1),MATCH(U16,U4,1))</f>
        <v>9999</v>
      </c>
      <c r="V20" s="186">
        <f ca="1">INDEX(V5:V10,MATCH(V17,$A5:$A10,1),MATCH(V16,V4,1))</f>
        <v>9999</v>
      </c>
      <c r="X20" s="186">
        <f t="shared" ref="X20:AD20" ca="1" si="5">INDEX(X5:X10,MATCH(X17,$A5:$A10,1),MATCH(X16,X4,1))</f>
        <v>6811.6948865977638</v>
      </c>
      <c r="Y20" s="186">
        <f t="shared" ca="1" si="5"/>
        <v>6895.4472913758127</v>
      </c>
      <c r="Z20" s="186">
        <f t="shared" ca="1" si="5"/>
        <v>6959.2218615049278</v>
      </c>
      <c r="AA20" s="186">
        <f t="shared" ca="1" si="5"/>
        <v>6950.0469926199466</v>
      </c>
      <c r="AB20" s="186">
        <f t="shared" ca="1" si="5"/>
        <v>109</v>
      </c>
      <c r="AC20" s="186">
        <f t="shared" ca="1" si="5"/>
        <v>109</v>
      </c>
      <c r="AD20" s="186">
        <f t="shared" ca="1" si="5"/>
        <v>111</v>
      </c>
    </row>
    <row r="21" spans="1:30" ht="14.25" customHeight="1" x14ac:dyDescent="0.3">
      <c r="D21" s="139" t="s">
        <v>151</v>
      </c>
      <c r="E21" s="140">
        <f t="array" ref="E21">INDEX(D5:D10,IF(MATCH(E17,$A5:$A10,1)&lt;E13,MATCH(E17,$A5:$A10,1)+1,MATCH(E17,$A5:$A10,1)),MATCH(E16,D4,1))</f>
        <v>107</v>
      </c>
      <c r="F21" s="139"/>
      <c r="G21" s="140"/>
      <c r="I21" s="140">
        <f t="array" ref="I21">INDEX(H5:H10,IF(MATCH(I17,$A5:$A10,1)&lt;I13,MATCH(I17,$A5:$A10,1)+1,MATCH(I17,$A5:$A10,1)),MATCH(I16,H4,1))</f>
        <v>114</v>
      </c>
      <c r="J21" s="186"/>
      <c r="K21" s="186"/>
      <c r="N21" s="186">
        <f ca="1">INDEX(N5:N10,IF(MATCH(N17,$A5:$A10,1)&lt;N13,MATCH(N17,$A5:$A10,1)+1,MATCH(N17,$A5:$A10,1)),MATCH(N16,N4,1))</f>
        <v>6118.2071603986406</v>
      </c>
      <c r="O21" s="186">
        <f ca="1">INDEX(O5:O10,IF(MATCH(O17,$A5:$A10,1)&lt;O13,MATCH(O17,$A5:$A10,1)+1,MATCH(O17,$A5:$A10,1)),MATCH(O16,O4,1))</f>
        <v>107</v>
      </c>
      <c r="P21" s="186">
        <f ca="1">INDEX(P5:P10,IF(MATCH(P17,$A5:$A10,1)&lt;P13,MATCH(P17,$A5:$A10,1)+1,MATCH(P17,$A5:$A10,1)),MATCH(P16,P4,1))</f>
        <v>113</v>
      </c>
      <c r="Q21" s="186">
        <f ca="1">INDEX(Q5:Q10,IF(MATCH(Q17,$A5:$A10,1)&lt;Q13,MATCH(Q17,$A5:$A10,1)+1,MATCH(Q17,$A5:$A10,1)),MATCH(Q16,Q4,1))</f>
        <v>114</v>
      </c>
      <c r="S21" s="186">
        <f ca="1">INDEX(S5:S10,IF(MATCH(S17,$A5:$A10,1)&lt;S13,MATCH(S17,$A5:$A10,1)+1,MATCH(S17,$A5:$A10,1)),MATCH(S16,S4,1))</f>
        <v>8195.4030229863347</v>
      </c>
      <c r="T21" s="186">
        <f ca="1">INDEX(T5:T10,IF(MATCH(T17,$A5:$A10,1)&lt;T13,MATCH(T17,$A5:$A10,1)+1,MATCH(T17,$A5:$A10,1)),MATCH(T16,T4,1))</f>
        <v>111.38306256052475</v>
      </c>
      <c r="U21" s="186">
        <f ca="1">INDEX(U5:U10,IF(MATCH(U17,$A5:$A10,1)&lt;U13,MATCH(U17,$A5:$A10,1)+1,MATCH(U17,$A5:$A10,1)),MATCH(U16,U4,1))</f>
        <v>9999</v>
      </c>
      <c r="V21" s="186">
        <f ca="1">INDEX(V5:V10,IF(MATCH(V17,$A5:$A10,1)&lt;V13,MATCH(V17,$A5:$A10,1)+1,MATCH(V17,$A5:$A10,1)),MATCH(V16,V4,1))</f>
        <v>9999</v>
      </c>
      <c r="X21" s="186">
        <f t="shared" ref="X21:AD21" ca="1" si="6">INDEX(X5:X10,IF(MATCH(X17,$A5:$A10,1)&lt;X13,MATCH(X17,$A5:$A10,1)+1,MATCH(X17,$A5:$A10,1)),MATCH(X16,X4,1))</f>
        <v>7402.9582319140436</v>
      </c>
      <c r="Y21" s="186">
        <f t="shared" ca="1" si="6"/>
        <v>7268.8125357729386</v>
      </c>
      <c r="Z21" s="186">
        <f t="shared" ca="1" si="6"/>
        <v>7582.6616229328965</v>
      </c>
      <c r="AA21" s="186">
        <f t="shared" ca="1" si="6"/>
        <v>7591.6310327875835</v>
      </c>
      <c r="AB21" s="186">
        <f t="shared" ca="1" si="6"/>
        <v>113</v>
      </c>
      <c r="AC21" s="186">
        <f t="shared" ca="1" si="6"/>
        <v>113</v>
      </c>
      <c r="AD21" s="186">
        <f t="shared" ca="1" si="6"/>
        <v>114</v>
      </c>
    </row>
    <row r="22" spans="1:30" ht="14.25" customHeight="1" x14ac:dyDescent="0.3">
      <c r="D22" s="139" t="s">
        <v>152</v>
      </c>
      <c r="E22" s="140">
        <f>IFERROR(E20+(E17-E18)*(E21-E20)/(E19-E18),E20)</f>
        <v>106.5</v>
      </c>
      <c r="F22" s="139"/>
      <c r="G22" s="140"/>
      <c r="I22" s="140">
        <f>IFERROR(I20+(I17-I18)*(I21-I20)/(I19-I18),I20)</f>
        <v>113.8</v>
      </c>
      <c r="J22" s="186"/>
      <c r="K22" s="186"/>
      <c r="N22" s="186">
        <f ca="1">IFERROR(N20+(N17-N18)*(N21-N20)/(N19-N18),N20)</f>
        <v>6032.513904277821</v>
      </c>
      <c r="O22" s="186">
        <f ca="1">IFERROR(O20+(O17-O18)*(O21-O20)/(O19-O18),O20)</f>
        <v>106.4</v>
      </c>
      <c r="P22" s="186">
        <f ca="1">IFERROR(P20+(P17-P18)*(P21-P20)/(P19-P18),P20)</f>
        <v>112.2</v>
      </c>
      <c r="Q22" s="186">
        <f ca="1">IFERROR(Q20+(Q17-Q18)*(Q21-Q20)/(Q19-Q18),Q20)</f>
        <v>113.4</v>
      </c>
      <c r="S22" s="186">
        <f ca="1">IFERROR(S20+(S17-S18)*(S21-S20)/(S19-S18),S20)</f>
        <v>8195.4030229863347</v>
      </c>
      <c r="T22" s="186">
        <f ca="1">IFERROR(T20+(T17-T18)*(T21-T20)/(T19-T18),T20)</f>
        <v>111.38306256052475</v>
      </c>
      <c r="U22" s="186">
        <f ca="1">IFERROR(U20+(U17-U18)*(U21-U20)/(U19-U18),U20)</f>
        <v>9999</v>
      </c>
      <c r="V22" s="186">
        <f ca="1">IFERROR(V20+(V17-V18)*(V21-V20)/(V19-V18),V20)</f>
        <v>9999</v>
      </c>
      <c r="X22" s="186">
        <f t="shared" ref="X22:AD22" ca="1" si="7">IFERROR(X20+(X17-X18)*(X21-X20)/(X19-X18),X20)</f>
        <v>7284.7055628507878</v>
      </c>
      <c r="Y22" s="186">
        <f t="shared" ca="1" si="7"/>
        <v>7194.1394868935131</v>
      </c>
      <c r="Z22" s="186">
        <f t="shared" ca="1" si="7"/>
        <v>7457.9736706473032</v>
      </c>
      <c r="AA22" s="186">
        <f t="shared" ca="1" si="7"/>
        <v>7463.3142247540563</v>
      </c>
      <c r="AB22" s="186">
        <f t="shared" ca="1" si="7"/>
        <v>112.2</v>
      </c>
      <c r="AC22" s="186">
        <f t="shared" ca="1" si="7"/>
        <v>112.2</v>
      </c>
      <c r="AD22" s="186">
        <f t="shared" ca="1" si="7"/>
        <v>113.4</v>
      </c>
    </row>
    <row r="23" spans="1:30" ht="14.25" customHeight="1" x14ac:dyDescent="0.3">
      <c r="B23" s="139"/>
      <c r="C23" s="140"/>
      <c r="D23" s="139"/>
      <c r="E23" s="140"/>
      <c r="F23" s="139"/>
      <c r="G23" s="140"/>
      <c r="I23" s="140"/>
      <c r="J23" s="186"/>
      <c r="K23" s="186"/>
      <c r="M23" t="s">
        <v>188</v>
      </c>
      <c r="N23" s="186">
        <f ca="1">N22/3.28</f>
        <v>1839.1810683773845</v>
      </c>
      <c r="O23" s="186"/>
      <c r="P23" s="186"/>
      <c r="Q23" s="186"/>
      <c r="S23" s="186">
        <f ca="1">S22/3.28</f>
        <v>2498.5984826177851</v>
      </c>
      <c r="T23" s="186"/>
      <c r="U23" s="186"/>
      <c r="V23" s="186"/>
      <c r="W23" t="s">
        <v>189</v>
      </c>
      <c r="X23" s="186">
        <f ca="1">(X22/3.28)*105%</f>
        <v>2331.994158839429</v>
      </c>
      <c r="Y23" s="186">
        <f ca="1">(Y22/3.28)*104%</f>
        <v>2281.068617795504</v>
      </c>
      <c r="Z23" s="186">
        <f ca="1">(Z22+150)/3.28</f>
        <v>2319.5041678802754</v>
      </c>
      <c r="AA23" s="186">
        <f ca="1">(AA22+100)/3.28</f>
        <v>2305.8884831567248</v>
      </c>
      <c r="AB23" s="186"/>
      <c r="AC23" s="186"/>
      <c r="AD23" s="186"/>
    </row>
    <row r="24" spans="1:30" ht="14.25" customHeight="1" x14ac:dyDescent="0.3">
      <c r="C24" s="20"/>
      <c r="G24" s="20"/>
      <c r="I24" s="16"/>
      <c r="J24" s="186"/>
      <c r="K24" s="186"/>
      <c r="L24" s="223"/>
    </row>
    <row r="25" spans="1:30" ht="14.25" customHeight="1" x14ac:dyDescent="0.3">
      <c r="L25" s="131"/>
      <c r="N25" s="16" t="s">
        <v>190</v>
      </c>
      <c r="O25" s="224">
        <f ca="1">IF(P22&lt;O22,P22,O22)</f>
        <v>106.4</v>
      </c>
      <c r="S25" s="16" t="s">
        <v>190</v>
      </c>
      <c r="T25" s="224">
        <f ca="1">IF(U22&lt;T22,U22,T22)</f>
        <v>111.38306256052475</v>
      </c>
      <c r="AA25" s="16" t="s">
        <v>190</v>
      </c>
      <c r="AB25" s="224">
        <f ca="1">IF(AC22&lt;AB22,AC22,AB22)</f>
        <v>112.2</v>
      </c>
    </row>
    <row r="26" spans="1:30" ht="14.25" customHeight="1" x14ac:dyDescent="0.3">
      <c r="A26" s="31" t="s">
        <v>168</v>
      </c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8"/>
    </row>
    <row r="27" spans="1:30" ht="14.25" customHeight="1" x14ac:dyDescent="0.3"/>
    <row r="28" spans="1:30" ht="78.75" customHeight="1" x14ac:dyDescent="0.3">
      <c r="A28" s="1"/>
      <c r="B28" s="71" t="s">
        <v>169</v>
      </c>
      <c r="C28" s="1" t="s">
        <v>25</v>
      </c>
      <c r="D28" s="71" t="s">
        <v>171</v>
      </c>
      <c r="E28" s="1" t="s">
        <v>172</v>
      </c>
      <c r="F28" s="1" t="s">
        <v>173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30" ht="14.25" customHeight="1" x14ac:dyDescent="0.3">
      <c r="A29" s="148" t="s">
        <v>174</v>
      </c>
      <c r="B29" s="146">
        <f ca="1">'Takeoff distance (2)'!P75/3.28</f>
        <v>691.20603844196899</v>
      </c>
      <c r="C29" s="23">
        <f>IF('Take-off'!$F$13='Dropdown lists'!$B$48, 500/3.28, 0)</f>
        <v>152.4390243902439</v>
      </c>
      <c r="D29" s="146">
        <f>IF('Take-off'!$C$17&gt;0, ((+'Take-off'!$C$17*5)%*SUM(B29:C29)),0 )</f>
        <v>0</v>
      </c>
      <c r="E29" s="146">
        <f ca="1">SUM(B29:D29)</f>
        <v>843.64506283221294</v>
      </c>
      <c r="F29" s="20">
        <f t="array" aca="1" ref="F29" ca="1">_xlfn.XLOOKUP('Take-off'!$C$10,'Dropdown lists'!$B$4:$B$9,'Dropdown lists'!$D$4:$D$9)*E29</f>
        <v>902.70021723046796</v>
      </c>
      <c r="G29" s="190"/>
      <c r="I29" s="20"/>
      <c r="J29" s="20"/>
      <c r="M29" s="20"/>
      <c r="N29" s="20"/>
      <c r="O29" s="20"/>
    </row>
    <row r="30" spans="1:30" ht="14.25" customHeight="1" x14ac:dyDescent="0.3">
      <c r="A30" s="148" t="s">
        <v>175</v>
      </c>
      <c r="B30" s="146">
        <f ca="1">'Takeoff distance (2)'!P94/3.28</f>
        <v>1052.0529601019778</v>
      </c>
      <c r="C30" s="23">
        <f>IF('Take-off'!$F$13='Dropdown lists'!$B$48, 500/3.28, 0)</f>
        <v>152.4390243902439</v>
      </c>
      <c r="D30" s="146">
        <f>IF('Take-off'!$C$17&gt;0, ((+'Take-off'!$C$17*5)%*SUM(B30:C30)),0 )</f>
        <v>0</v>
      </c>
      <c r="E30" s="146">
        <f ca="1">SUM(B30:D30)*115%</f>
        <v>1385.1657821660549</v>
      </c>
      <c r="F30" s="20">
        <f t="array" aca="1" ref="F30" ca="1">_xlfn.XLOOKUP('Take-off'!$C$10,'Dropdown lists'!$B$4:$B$9,'Dropdown lists'!$D$4:$D$9)*E30</f>
        <v>1482.1273869176789</v>
      </c>
      <c r="G30" s="190"/>
      <c r="I30" s="20"/>
      <c r="J30" s="20"/>
      <c r="M30" s="20"/>
      <c r="N30" s="20"/>
      <c r="O30" s="20"/>
    </row>
    <row r="31" spans="1:30" ht="14.25" customHeight="1" x14ac:dyDescent="0.3">
      <c r="A31" s="148" t="s">
        <v>176</v>
      </c>
      <c r="B31" s="20">
        <f ca="1">'Accelerate and GO (2)'!P75/3.28</f>
        <v>1558.8341936435636</v>
      </c>
      <c r="C31" s="23">
        <f>IF('Take-off'!$F$13='Dropdown lists'!$B$48, 500/3.28, 0)</f>
        <v>152.4390243902439</v>
      </c>
      <c r="D31" s="146">
        <f>IF('Take-off'!$C$17&gt;0, ((+'Take-off'!$C$17*5)%*SUM(B31:C31)),0 )</f>
        <v>0</v>
      </c>
      <c r="E31" s="146">
        <f ca="1">SUM(B31:D31)</f>
        <v>1711.2732180338076</v>
      </c>
      <c r="F31" s="20">
        <f t="array" aca="1" ref="F31" ca="1">_xlfn.XLOOKUP('Take-off'!$C$10,'Dropdown lists'!$B$4:$B$9,'Dropdown lists'!$D$4:$D$9)*E31</f>
        <v>1831.0623432961743</v>
      </c>
      <c r="G31" s="190"/>
      <c r="I31" s="20"/>
      <c r="J31" s="20"/>
      <c r="O31" s="20"/>
    </row>
    <row r="32" spans="1:30" ht="14.25" customHeight="1" x14ac:dyDescent="0.3">
      <c r="A32" s="191" t="s">
        <v>177</v>
      </c>
      <c r="B32" s="192">
        <f ca="1">B31</f>
        <v>1558.8341936435636</v>
      </c>
      <c r="C32" s="193">
        <f>IF('Take-off'!$F$13='Dropdown lists'!$B$48, 500/3.28, 0)</f>
        <v>152.4390243902439</v>
      </c>
      <c r="D32" s="194">
        <f>IF('Take-off'!$C$17&gt;0, ((+'Take-off'!$C$17*5)%*SUM(B32:C32)),0 )</f>
        <v>0</v>
      </c>
      <c r="E32" s="194">
        <f ca="1">SUM(B32:D32)</f>
        <v>1711.2732180338076</v>
      </c>
      <c r="F32" s="192">
        <f t="array" aca="1" ref="F32" ca="1">_xlfn.XLOOKUP('Take-off'!$C$10,'Dropdown lists'!$B$4:$B$9,'Dropdown lists'!$D$4:$D$9)*E32</f>
        <v>1831.0623432961743</v>
      </c>
      <c r="G32" s="195"/>
      <c r="H32" s="196"/>
      <c r="I32" s="192"/>
      <c r="J32" s="192"/>
      <c r="K32" s="196"/>
      <c r="L32" s="196"/>
      <c r="M32" s="196"/>
      <c r="N32" s="196"/>
      <c r="O32" s="192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</row>
    <row r="33" spans="1:19" ht="14.25" customHeight="1" x14ac:dyDescent="0.3">
      <c r="A33" s="148" t="s">
        <v>191</v>
      </c>
      <c r="B33" s="23">
        <f ca="1">'Accelerate and stop2'!P76/3.28</f>
        <v>1288.9551911972617</v>
      </c>
      <c r="C33" s="23">
        <f>IF('Take-off'!$F$13='Dropdown lists'!$B$48, 500/3.28, 0)</f>
        <v>152.4390243902439</v>
      </c>
      <c r="D33" s="146">
        <f>IF('Take-off'!$C$17&gt;0, ((+'Take-off'!$C$17*5)%*SUM(B33:C33)),0 )</f>
        <v>0</v>
      </c>
      <c r="E33" s="146">
        <f ca="1">SUM(B33:D33)</f>
        <v>1441.3942155875056</v>
      </c>
      <c r="F33" s="20">
        <f t="array" aca="1" ref="F33" ca="1">_xlfn.XLOOKUP('Take-off'!$C$10,'Dropdown lists'!$B$4:$B$9,'Dropdown lists'!$D$4:$D$9)*E33</f>
        <v>1542.2918106786312</v>
      </c>
      <c r="G33" s="190"/>
      <c r="I33" s="20"/>
      <c r="J33" s="20"/>
      <c r="O33" s="20"/>
    </row>
    <row r="34" spans="1:19" ht="14.25" customHeight="1" x14ac:dyDescent="0.3">
      <c r="A34" s="148"/>
      <c r="B34" s="143" t="s">
        <v>154</v>
      </c>
      <c r="C34" s="143" t="s">
        <v>155</v>
      </c>
      <c r="D34" s="143" t="s">
        <v>156</v>
      </c>
      <c r="I34" s="20"/>
    </row>
    <row r="35" spans="1:19" ht="14.25" customHeight="1" x14ac:dyDescent="0.3">
      <c r="A35" s="148"/>
      <c r="B35" s="144">
        <f ca="1">IF(ABS('Take-off'!C18-'Take-off'!C6)&gt;270,360-ABS('Take-off'!C18-'Take-off'!C6),'Take-off'!C18-'Take-off'!C6)</f>
        <v>-110</v>
      </c>
      <c r="C35" s="145">
        <f ca="1">IF(ABS(B35)&gt;90,ABS(COS(B35*PI()/180))*(-1),ABS(COS(B35*PI()/180)))</f>
        <v>-0.34202014332566871</v>
      </c>
      <c r="D35" s="144">
        <f ca="1">IF( ISBLANK('Take-off'!C6), 'Take-off'!C7*-1,    'Take-off'!C7*C35)</f>
        <v>-2.3941410032796808</v>
      </c>
      <c r="F35" s="148"/>
      <c r="M35" s="2"/>
      <c r="R35" s="197"/>
    </row>
    <row r="36" spans="1:19" ht="14.25" customHeight="1" x14ac:dyDescent="0.3">
      <c r="A36" s="148"/>
      <c r="B36" s="51" t="s">
        <v>158</v>
      </c>
      <c r="C36" s="2" t="s">
        <v>159</v>
      </c>
      <c r="D36" s="2"/>
      <c r="G36" s="197"/>
      <c r="M36" s="2"/>
      <c r="R36" s="197"/>
    </row>
    <row r="37" spans="1:19" ht="14.25" customHeight="1" x14ac:dyDescent="0.3">
      <c r="A37" s="148"/>
      <c r="C37" s="42"/>
      <c r="D37" s="42"/>
      <c r="G37" s="197"/>
      <c r="H37" s="20"/>
      <c r="M37" s="2"/>
    </row>
    <row r="38" spans="1:19" ht="14.25" customHeight="1" x14ac:dyDescent="0.3">
      <c r="A38" s="148"/>
      <c r="B38" s="51"/>
      <c r="C38" s="147"/>
      <c r="D38" s="51"/>
      <c r="M38" s="2"/>
    </row>
    <row r="39" spans="1:19" ht="14.25" customHeight="1" x14ac:dyDescent="0.3">
      <c r="A39" s="148"/>
      <c r="B39" s="51"/>
      <c r="C39" s="51"/>
      <c r="D39" s="51"/>
      <c r="M39" s="2"/>
    </row>
    <row r="40" spans="1:19" ht="14.25" customHeight="1" x14ac:dyDescent="0.3">
      <c r="A40" s="148"/>
      <c r="B40" s="51" t="s">
        <v>157</v>
      </c>
      <c r="C40" s="147">
        <f ca="1">IF(ABS(B35)&gt;90,ABS(SIN(B35*PI()/180))*(-1),ABS(SIN(B35*PI()/180)))</f>
        <v>-0.93969262078590843</v>
      </c>
      <c r="D40" s="51"/>
      <c r="M40" s="2"/>
      <c r="R40" s="197"/>
    </row>
    <row r="41" spans="1:19" ht="14.25" customHeight="1" x14ac:dyDescent="0.3">
      <c r="A41" s="148"/>
      <c r="M41" s="2"/>
      <c r="R41" s="2"/>
    </row>
    <row r="42" spans="1:19" ht="14.25" customHeight="1" x14ac:dyDescent="0.3">
      <c r="M42" s="2"/>
      <c r="P42" s="16"/>
      <c r="R42" s="2"/>
    </row>
    <row r="43" spans="1:19" ht="14.25" customHeight="1" x14ac:dyDescent="0.3">
      <c r="M43" s="2"/>
      <c r="P43" s="16"/>
      <c r="Q43" s="198"/>
      <c r="R43" s="2"/>
    </row>
    <row r="44" spans="1:19" ht="14.25" customHeight="1" x14ac:dyDescent="0.3"/>
    <row r="45" spans="1:19" ht="14.25" customHeight="1" x14ac:dyDescent="0.3"/>
    <row r="46" spans="1:19" ht="14.25" customHeight="1" x14ac:dyDescent="0.3"/>
    <row r="47" spans="1:19" ht="14.25" customHeight="1" x14ac:dyDescent="0.3">
      <c r="S47" s="20"/>
    </row>
    <row r="48" spans="1:19" ht="14.25" customHeight="1" x14ac:dyDescent="0.3">
      <c r="S48" s="20"/>
    </row>
    <row r="49" spans="19:19" ht="14.25" customHeight="1" x14ac:dyDescent="0.3">
      <c r="S49" s="20"/>
    </row>
    <row r="50" spans="19:19" ht="14.25" customHeight="1" x14ac:dyDescent="0.3">
      <c r="S50" s="20"/>
    </row>
    <row r="51" spans="19:19" ht="14.25" customHeight="1" x14ac:dyDescent="0.3">
      <c r="S51" s="20"/>
    </row>
    <row r="52" spans="19:19" ht="14.25" customHeight="1" x14ac:dyDescent="0.3">
      <c r="S52" s="20"/>
    </row>
    <row r="53" spans="19:19" ht="14.25" customHeight="1" x14ac:dyDescent="0.3">
      <c r="S53" s="20"/>
    </row>
    <row r="54" spans="19:19" ht="14.25" customHeight="1" x14ac:dyDescent="0.3">
      <c r="S54" s="20"/>
    </row>
    <row r="55" spans="19:19" ht="14.25" customHeight="1" x14ac:dyDescent="0.3">
      <c r="S55" s="20"/>
    </row>
    <row r="56" spans="19:19" ht="14.25" customHeight="1" x14ac:dyDescent="0.3">
      <c r="S56" s="20"/>
    </row>
    <row r="57" spans="19:19" ht="14.25" customHeight="1" x14ac:dyDescent="0.3"/>
    <row r="58" spans="19:19" ht="14.25" customHeight="1" x14ac:dyDescent="0.3">
      <c r="S58" s="16"/>
    </row>
    <row r="59" spans="19:19" ht="14.25" customHeight="1" x14ac:dyDescent="0.3">
      <c r="S59" s="16"/>
    </row>
    <row r="60" spans="19:19" ht="14.25" customHeight="1" x14ac:dyDescent="0.3"/>
    <row r="61" spans="19:19" ht="14.25" customHeight="1" x14ac:dyDescent="0.3"/>
    <row r="62" spans="19:19" ht="14.25" customHeight="1" x14ac:dyDescent="0.3"/>
    <row r="63" spans="19:19" ht="14.25" customHeight="1" x14ac:dyDescent="0.3"/>
    <row r="64" spans="19:1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4">
    <mergeCell ref="X2:AD2"/>
    <mergeCell ref="A3:A4"/>
    <mergeCell ref="B3:C3"/>
    <mergeCell ref="D3:E3"/>
    <mergeCell ref="F3:G3"/>
    <mergeCell ref="H3:I3"/>
    <mergeCell ref="J3:K3"/>
    <mergeCell ref="N3:Q3"/>
    <mergeCell ref="S3:V3"/>
    <mergeCell ref="D12:E12"/>
    <mergeCell ref="H12:I12"/>
    <mergeCell ref="J12:K12"/>
    <mergeCell ref="A1:E1"/>
    <mergeCell ref="N2:V2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2"/>
  <sheetViews>
    <sheetView zoomScaleNormal="100" workbookViewId="0">
      <selection sqref="A1:E1"/>
    </sheetView>
  </sheetViews>
  <sheetFormatPr defaultColWidth="14.44140625" defaultRowHeight="15" customHeight="1" x14ac:dyDescent="0.3"/>
  <cols>
    <col min="1" max="1" width="23.44140625" customWidth="1"/>
    <col min="2" max="6" width="9.109375" customWidth="1"/>
    <col min="7" max="7" width="9" customWidth="1"/>
    <col min="8" max="10" width="9.109375" customWidth="1"/>
    <col min="11" max="11" width="10.5546875" customWidth="1"/>
    <col min="12" max="18" width="9.109375" customWidth="1"/>
  </cols>
  <sheetData>
    <row r="1" spans="1:12" ht="14.25" customHeight="1" x14ac:dyDescent="0.3">
      <c r="A1" s="356" t="s">
        <v>192</v>
      </c>
      <c r="B1" s="356"/>
      <c r="C1" s="356"/>
      <c r="D1" s="356"/>
      <c r="E1" s="356"/>
      <c r="F1" s="132"/>
      <c r="G1" s="2"/>
      <c r="J1" s="2"/>
      <c r="K1" s="2"/>
      <c r="L1" s="2"/>
    </row>
    <row r="2" spans="1:12" ht="14.25" customHeight="1" x14ac:dyDescent="0.3">
      <c r="A2" t="s">
        <v>53</v>
      </c>
      <c r="G2" s="2"/>
      <c r="J2" s="2"/>
      <c r="K2" s="2"/>
      <c r="L2" s="2"/>
    </row>
    <row r="3" spans="1:12" ht="14.25" customHeight="1" x14ac:dyDescent="0.3">
      <c r="A3" s="399" t="s">
        <v>183</v>
      </c>
      <c r="D3" s="402" t="s">
        <v>141</v>
      </c>
      <c r="E3" s="402"/>
      <c r="H3" s="402" t="s">
        <v>141</v>
      </c>
      <c r="I3" s="402"/>
      <c r="J3" s="402"/>
      <c r="K3" s="402"/>
      <c r="L3" s="2"/>
    </row>
    <row r="4" spans="1:12" ht="31.5" customHeight="1" x14ac:dyDescent="0.3">
      <c r="A4" s="399"/>
      <c r="D4" s="161" t="s">
        <v>165</v>
      </c>
      <c r="E4" s="162"/>
      <c r="H4" s="164" t="s">
        <v>166</v>
      </c>
      <c r="I4" s="162"/>
      <c r="J4" s="164"/>
      <c r="K4" s="162"/>
    </row>
    <row r="5" spans="1:12" ht="14.25" customHeight="1" x14ac:dyDescent="0.3">
      <c r="A5" s="216">
        <v>12000</v>
      </c>
      <c r="D5" s="166">
        <v>99</v>
      </c>
      <c r="E5" s="167"/>
      <c r="H5" s="169">
        <v>108</v>
      </c>
      <c r="I5" s="167"/>
      <c r="J5" s="170"/>
      <c r="K5" s="171"/>
    </row>
    <row r="6" spans="1:12" ht="14.25" customHeight="1" x14ac:dyDescent="0.3">
      <c r="A6" s="165">
        <v>13000</v>
      </c>
      <c r="D6" s="172">
        <f>((D7-D5)/($A7-$A5))*($A6-$A5)+D5</f>
        <v>99</v>
      </c>
      <c r="E6" s="173"/>
      <c r="H6" s="172">
        <f>((H7-H5)/($A7-$A5))*($A6-$A5)+H5</f>
        <v>108</v>
      </c>
      <c r="I6" s="173"/>
      <c r="J6" s="175"/>
      <c r="K6" s="176"/>
    </row>
    <row r="7" spans="1:12" ht="14.25" customHeight="1" x14ac:dyDescent="0.3">
      <c r="A7" s="165">
        <v>14000</v>
      </c>
      <c r="D7" s="172">
        <v>99</v>
      </c>
      <c r="E7" s="173"/>
      <c r="H7" s="177">
        <v>108</v>
      </c>
      <c r="I7" s="173"/>
      <c r="J7" s="175"/>
      <c r="K7" s="176"/>
    </row>
    <row r="8" spans="1:12" ht="14.25" customHeight="1" x14ac:dyDescent="0.3">
      <c r="A8" s="178">
        <v>15000</v>
      </c>
      <c r="D8" s="172">
        <f>((D9-D7)/($A9-$A7))*($A8-$A7)+D7</f>
        <v>101.5</v>
      </c>
      <c r="E8" s="173"/>
      <c r="H8" s="172">
        <f>((H9-H7)/($A9-$A7))*($A8-$A7)+H7</f>
        <v>110</v>
      </c>
      <c r="I8" s="173"/>
      <c r="J8" s="175"/>
      <c r="K8" s="176"/>
    </row>
    <row r="9" spans="1:12" ht="14.25" customHeight="1" x14ac:dyDescent="0.3">
      <c r="A9" s="178">
        <v>16000</v>
      </c>
      <c r="D9" s="172">
        <v>104</v>
      </c>
      <c r="E9" s="173"/>
      <c r="H9" s="177">
        <v>112</v>
      </c>
      <c r="I9" s="173"/>
      <c r="J9" s="175"/>
      <c r="K9" s="176"/>
    </row>
    <row r="10" spans="1:12" ht="14.25" customHeight="1" x14ac:dyDescent="0.3">
      <c r="A10" s="179">
        <v>16600</v>
      </c>
      <c r="D10" s="180">
        <v>105</v>
      </c>
      <c r="E10" s="181"/>
      <c r="H10" s="183">
        <v>114</v>
      </c>
      <c r="I10" s="181"/>
      <c r="J10" s="184"/>
      <c r="K10" s="185"/>
    </row>
    <row r="11" spans="1:12" ht="14.25" customHeight="1" x14ac:dyDescent="0.3">
      <c r="A11" s="77"/>
      <c r="D11" s="42"/>
      <c r="I11" s="20"/>
      <c r="K11" s="20"/>
    </row>
    <row r="12" spans="1:12" ht="14.25" customHeight="1" x14ac:dyDescent="0.3">
      <c r="A12" s="137"/>
      <c r="D12" s="355" t="s">
        <v>167</v>
      </c>
      <c r="E12" s="355"/>
      <c r="H12" s="355" t="s">
        <v>166</v>
      </c>
      <c r="I12" s="355"/>
      <c r="J12" s="137"/>
      <c r="K12" s="137"/>
    </row>
    <row r="13" spans="1:12" ht="14.25" customHeight="1" x14ac:dyDescent="0.3">
      <c r="D13" s="16" t="s">
        <v>144</v>
      </c>
      <c r="E13" s="17">
        <f>MATCH(MAX($A5:$A10),$A5:$A10,0)</f>
        <v>6</v>
      </c>
      <c r="I13" s="17">
        <f>MATCH(MAX($A5:$A10),$A5:$A10,0)</f>
        <v>6</v>
      </c>
      <c r="J13" s="17"/>
      <c r="K13" s="17"/>
    </row>
    <row r="14" spans="1:12" ht="14.25" customHeight="1" x14ac:dyDescent="0.3">
      <c r="D14" s="16" t="s">
        <v>145</v>
      </c>
      <c r="E14" s="17">
        <f>MATCH(MAX(D5),D5,0)</f>
        <v>1</v>
      </c>
      <c r="I14" s="17">
        <f>MATCH(MAX(H5),H5,0)</f>
        <v>1</v>
      </c>
      <c r="J14" s="17"/>
      <c r="K14" s="17"/>
    </row>
    <row r="15" spans="1:12" ht="14.25" customHeight="1" x14ac:dyDescent="0.3">
      <c r="A15" s="2"/>
      <c r="D15" s="2"/>
      <c r="E15" s="2"/>
    </row>
    <row r="16" spans="1:12" ht="14.25" customHeight="1" x14ac:dyDescent="0.3">
      <c r="D16" s="51" t="s">
        <v>146</v>
      </c>
      <c r="E16" s="53" t="str">
        <f>D4</f>
        <v>V1/R</v>
      </c>
      <c r="I16" s="53" t="str">
        <f>H4</f>
        <v>V2</v>
      </c>
      <c r="J16" s="53"/>
      <c r="K16" s="53"/>
    </row>
    <row r="17" spans="1:26" ht="14.25" customHeight="1" x14ac:dyDescent="0.3">
      <c r="D17" s="139" t="s">
        <v>147</v>
      </c>
      <c r="E17" s="140">
        <f>'Take-off'!$C$14</f>
        <v>15800</v>
      </c>
      <c r="I17" s="140">
        <f>'Take-off'!$C$14</f>
        <v>15800</v>
      </c>
      <c r="J17" s="140"/>
      <c r="K17" s="140"/>
    </row>
    <row r="18" spans="1:26" ht="14.25" customHeight="1" x14ac:dyDescent="0.3">
      <c r="D18" s="16" t="s">
        <v>148</v>
      </c>
      <c r="E18" s="141">
        <f t="array" ref="E18">INDEX($A5:$A10,MATCH(E17,$A5:$A10,1))</f>
        <v>15000</v>
      </c>
      <c r="I18" s="141">
        <f t="array" ref="I18">INDEX($A5:$A10,MATCH(I17,$A5:$A10,1))</f>
        <v>15000</v>
      </c>
      <c r="J18" s="141"/>
      <c r="K18" s="141"/>
    </row>
    <row r="19" spans="1:26" ht="14.25" customHeight="1" x14ac:dyDescent="0.3">
      <c r="D19" s="16" t="s">
        <v>149</v>
      </c>
      <c r="E19" s="141">
        <f t="array" ref="E19">INDEX($A5:$A10,IF(MATCH(E17,$A5:$A10,1)&lt;E13,MATCH(E17,$A5:$A10,1)+1,MATCH(E17,$A5:$A10,1)))</f>
        <v>16000</v>
      </c>
      <c r="I19" s="141">
        <f t="array" ref="I19">INDEX($A5:$A10,IF(MATCH(I17,$A5:$A10,1)&lt;I13,MATCH(I17,$A5:$A10,1)+1,MATCH(I17,$A5:$A10,1)))</f>
        <v>16000</v>
      </c>
      <c r="J19" s="141"/>
      <c r="K19" s="141"/>
    </row>
    <row r="20" spans="1:26" ht="14.25" customHeight="1" x14ac:dyDescent="0.3">
      <c r="D20" s="139" t="s">
        <v>150</v>
      </c>
      <c r="E20" s="140">
        <f t="array" ref="E20">INDEX(D5:D10,MATCH(E17,$A5:$A10,1),MATCH(E16,D4,1))</f>
        <v>101.5</v>
      </c>
      <c r="I20" s="140">
        <f t="array" ref="I20">INDEX(H5:H10,MATCH(I17,$A5:$A10,1),MATCH(I16,H4,1))</f>
        <v>110</v>
      </c>
      <c r="J20" s="186"/>
      <c r="K20" s="186"/>
    </row>
    <row r="21" spans="1:26" ht="14.25" customHeight="1" x14ac:dyDescent="0.3">
      <c r="D21" s="139" t="s">
        <v>151</v>
      </c>
      <c r="E21" s="140">
        <f t="array" ref="E21">INDEX(D5:D10,IF(MATCH(E17,$A5:$A10,1)&lt;E13,MATCH(E17,$A5:$A10,1)+1,MATCH(E17,$A5:$A10,1)),MATCH(E16,D4,1))</f>
        <v>104</v>
      </c>
      <c r="I21" s="140">
        <f t="array" ref="I21">INDEX(H5:H10,IF(MATCH(I17,$A5:$A10,1)&lt;I13,MATCH(I17,$A5:$A10,1)+1,MATCH(I17,$A5:$A10,1)),MATCH(I16,H4,1))</f>
        <v>112</v>
      </c>
      <c r="J21" s="186"/>
      <c r="K21" s="186"/>
    </row>
    <row r="22" spans="1:26" ht="14.25" customHeight="1" x14ac:dyDescent="0.3">
      <c r="D22" s="139" t="s">
        <v>152</v>
      </c>
      <c r="E22" s="140">
        <f>IFERROR(E20+(E17-E18)*(E21-E20)/(E19-E18),E20)</f>
        <v>103.5</v>
      </c>
      <c r="I22" s="140">
        <f>IFERROR(I20+(I17-I18)*(I21-I20)/(I19-I18),I20)</f>
        <v>111.6</v>
      </c>
      <c r="J22" s="186"/>
      <c r="K22" s="186"/>
    </row>
    <row r="23" spans="1:26" ht="14.25" customHeight="1" x14ac:dyDescent="0.3">
      <c r="C23" s="20"/>
      <c r="I23" s="16"/>
      <c r="J23" s="186"/>
      <c r="K23" s="186"/>
    </row>
    <row r="24" spans="1:26" ht="14.25" customHeight="1" x14ac:dyDescent="0.3">
      <c r="L24" s="131"/>
    </row>
    <row r="25" spans="1:26" ht="14.25" customHeight="1" x14ac:dyDescent="0.3">
      <c r="L25" s="131"/>
    </row>
    <row r="26" spans="1:26" ht="14.25" customHeight="1" x14ac:dyDescent="0.3">
      <c r="A26" s="187" t="s">
        <v>168</v>
      </c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8"/>
    </row>
    <row r="27" spans="1:26" ht="14.25" customHeight="1" x14ac:dyDescent="0.3"/>
    <row r="28" spans="1:26" ht="28.5" customHeight="1" x14ac:dyDescent="0.3">
      <c r="B28" s="2" t="s">
        <v>169</v>
      </c>
      <c r="C28" t="s">
        <v>25</v>
      </c>
      <c r="D28" s="2" t="s">
        <v>171</v>
      </c>
      <c r="E28" s="1" t="s">
        <v>172</v>
      </c>
      <c r="F28" s="1" t="s">
        <v>173</v>
      </c>
      <c r="G28" s="1"/>
      <c r="H28" s="1"/>
      <c r="I28" s="1"/>
      <c r="J28" s="1"/>
      <c r="K28" s="1"/>
      <c r="L28" s="1"/>
      <c r="M28" s="1"/>
      <c r="N28" s="1"/>
      <c r="O28" s="1"/>
    </row>
    <row r="29" spans="1:26" ht="14.25" customHeight="1" x14ac:dyDescent="0.3">
      <c r="A29" s="148" t="s">
        <v>174</v>
      </c>
      <c r="B29" s="146">
        <f ca="1">'Takeoff distance (2)'!AC75/3.28</f>
        <v>671.73076896923419</v>
      </c>
      <c r="C29" s="23">
        <f>IF('Take-off'!$F$13='Dropdown lists'!$B$48, 500/3.28, 0)</f>
        <v>152.4390243902439</v>
      </c>
      <c r="D29" s="146">
        <f>IF('Take-off'!$C$17&gt;0, ((+'Take-off'!$C$17*5)%*SUM(B29:C29)),0 )</f>
        <v>0</v>
      </c>
      <c r="E29" s="146">
        <f ca="1">SUM(B29:D29)</f>
        <v>824.16979335947804</v>
      </c>
      <c r="F29" s="20">
        <f t="array" aca="1" ref="F29" ca="1">_xlfn.XLOOKUP('Take-off'!$C$10,'Dropdown lists'!$B$4:$B$9,'Dropdown lists'!$D$4:$D$9)*E29</f>
        <v>881.8616788946415</v>
      </c>
      <c r="G29" s="190"/>
      <c r="I29" s="20"/>
      <c r="J29" s="20"/>
      <c r="M29" s="20"/>
      <c r="N29" s="20"/>
      <c r="O29" s="20"/>
    </row>
    <row r="30" spans="1:26" ht="14.25" customHeight="1" x14ac:dyDescent="0.3">
      <c r="A30" s="148" t="s">
        <v>175</v>
      </c>
      <c r="B30" s="146">
        <f ca="1">'Takeoff distance (2)'!AC94/3.28</f>
        <v>1007.5961534538513</v>
      </c>
      <c r="C30" s="23">
        <f>IF('Take-off'!$F$13='Dropdown lists'!$B$48, 500/3.28, 0)</f>
        <v>152.4390243902439</v>
      </c>
      <c r="D30" s="146">
        <f>IF('Take-off'!$C$17&gt;0, ((+'Take-off'!$C$17*5)%*SUM(B30:C30)),0 )</f>
        <v>0</v>
      </c>
      <c r="E30" s="146">
        <f ca="1">SUM(B30:D30)*115%</f>
        <v>1334.0404545207093</v>
      </c>
      <c r="F30" s="20">
        <f t="array" aca="1" ref="F30" ca="1">_xlfn.XLOOKUP('Take-off'!$C$10,'Dropdown lists'!$B$4:$B$9,'Dropdown lists'!$D$4:$D$9)*E30</f>
        <v>1427.423286337159</v>
      </c>
      <c r="G30" s="190"/>
      <c r="I30" s="20"/>
      <c r="J30" s="20"/>
      <c r="M30" s="20"/>
      <c r="N30" s="20"/>
      <c r="O30" s="20"/>
    </row>
    <row r="31" spans="1:26" ht="14.25" customHeight="1" x14ac:dyDescent="0.3">
      <c r="A31" s="148" t="s">
        <v>176</v>
      </c>
      <c r="B31" s="20">
        <f ca="1">'Accelerate and GO (2)'!AD75/3.28</f>
        <v>1627.6817663779027</v>
      </c>
      <c r="C31" s="23">
        <f>IF('Take-off'!$F$13='Dropdown lists'!$B$48, 500/3.28, 0)</f>
        <v>152.4390243902439</v>
      </c>
      <c r="D31" s="146">
        <f>IF('Take-off'!$C$17&gt;0, ((+'Take-off'!$C$17*5)%*SUM(B31:C31)),0 )</f>
        <v>0</v>
      </c>
      <c r="E31" s="146">
        <f ca="1">SUM(B31:D31)</f>
        <v>1780.1207907681467</v>
      </c>
      <c r="F31" s="20">
        <f t="array" aca="1" ref="F31" ca="1">_xlfn.XLOOKUP('Take-off'!$C$10,'Dropdown lists'!$B$4:$B$9,'Dropdown lists'!$D$4:$D$9)*E31</f>
        <v>1904.729246121917</v>
      </c>
      <c r="G31" s="190"/>
      <c r="I31" s="20"/>
      <c r="J31" s="20"/>
      <c r="O31" s="20"/>
    </row>
    <row r="32" spans="1:26" ht="14.25" customHeight="1" x14ac:dyDescent="0.3">
      <c r="A32" s="191" t="s">
        <v>177</v>
      </c>
      <c r="B32" s="192">
        <f ca="1">B31</f>
        <v>1627.6817663779027</v>
      </c>
      <c r="C32" s="193">
        <f>IF('Take-off'!$F$13='Dropdown lists'!$B$48, 500/3.28, 0)</f>
        <v>152.4390243902439</v>
      </c>
      <c r="D32" s="194">
        <f>IF('Take-off'!$C$17&gt;0, ((+'Take-off'!$C$17*5)%*SUM(B32:C32)),0 )</f>
        <v>0</v>
      </c>
      <c r="E32" s="194">
        <f ca="1">SUM(B32:D32)</f>
        <v>1780.1207907681467</v>
      </c>
      <c r="F32" s="192">
        <f t="array" aca="1" ref="F32" ca="1">_xlfn.XLOOKUP('Take-off'!$C$10,'Dropdown lists'!$B$4:$B$9,'Dropdown lists'!$D$4:$D$9)*E32</f>
        <v>1904.729246121917</v>
      </c>
      <c r="G32" s="195"/>
      <c r="H32" s="196"/>
      <c r="I32" s="192"/>
      <c r="J32" s="192"/>
      <c r="K32" s="196"/>
      <c r="L32" s="196"/>
      <c r="M32" s="196"/>
      <c r="N32" s="196"/>
      <c r="O32" s="192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18" ht="14.25" customHeight="1" x14ac:dyDescent="0.3">
      <c r="A33" s="148" t="s">
        <v>193</v>
      </c>
      <c r="B33" s="23">
        <f ca="1">'Accelerate and stop2'!AC76/3.28</f>
        <v>1191.9786034068682</v>
      </c>
      <c r="C33" s="23">
        <f>IF('Take-off'!$F$13='Dropdown lists'!$B$48, 500/3.28, 0)</f>
        <v>152.4390243902439</v>
      </c>
      <c r="D33" s="146">
        <f>IF('Take-off'!$C$17&gt;0, ((+'Take-off'!$C$17*5)%*SUM(B33:C33)),0 )</f>
        <v>0</v>
      </c>
      <c r="E33" s="146">
        <f ca="1">SUM(B33:D33)</f>
        <v>1344.4176277971121</v>
      </c>
      <c r="F33" s="20">
        <f t="array" aca="1" ref="F33" ca="1">_xlfn.XLOOKUP('Take-off'!$C$10,'Dropdown lists'!$B$4:$B$9,'Dropdown lists'!$D$4:$D$9)*E33</f>
        <v>1438.5268617429101</v>
      </c>
      <c r="G33" s="190"/>
      <c r="I33" s="20"/>
      <c r="J33" s="20"/>
      <c r="O33" s="20"/>
    </row>
    <row r="34" spans="1:18" ht="14.25" customHeight="1" x14ac:dyDescent="0.3">
      <c r="I34" s="20"/>
    </row>
    <row r="35" spans="1:18" ht="14.25" customHeight="1" x14ac:dyDescent="0.3">
      <c r="A35" s="148"/>
      <c r="B35" s="143" t="s">
        <v>154</v>
      </c>
      <c r="C35" s="143" t="s">
        <v>155</v>
      </c>
      <c r="D35" s="143" t="s">
        <v>156</v>
      </c>
      <c r="F35" s="148"/>
      <c r="M35" s="2"/>
    </row>
    <row r="36" spans="1:18" ht="14.25" customHeight="1" x14ac:dyDescent="0.3">
      <c r="A36" s="148"/>
      <c r="B36" s="144">
        <f ca="1">IF(ABS('Take-off'!C18-'Take-off'!C6)&gt;270,360-ABS('Take-off'!C18-'Take-off'!C6),'Take-off'!C18-'Take-off'!C6)</f>
        <v>-110</v>
      </c>
      <c r="C36" s="145">
        <f ca="1">IF(ABS(B36)&gt;90,ABS(COS(B36*PI()/180))*(-1),ABS(COS(B36*PI()/180)))</f>
        <v>-0.34202014332566871</v>
      </c>
      <c r="D36" s="144">
        <f ca="1">IF( ISBLANK('Take-off'!C6), 'Take-off'!C7*-1,    'Take-off'!C7*C36)</f>
        <v>-2.3941410032796808</v>
      </c>
      <c r="G36" s="197"/>
      <c r="H36" s="20"/>
      <c r="M36" s="2"/>
    </row>
    <row r="37" spans="1:18" ht="14.25" customHeight="1" x14ac:dyDescent="0.3">
      <c r="A37" s="148"/>
      <c r="B37" s="51"/>
      <c r="C37" s="2"/>
      <c r="D37" s="2"/>
      <c r="G37" s="197"/>
      <c r="H37" s="20"/>
      <c r="M37" s="2"/>
    </row>
    <row r="38" spans="1:18" ht="14.25" customHeight="1" x14ac:dyDescent="0.3">
      <c r="A38" s="148"/>
      <c r="C38" s="42"/>
      <c r="D38" s="42"/>
      <c r="M38" s="2"/>
      <c r="R38" s="197"/>
    </row>
    <row r="39" spans="1:18" ht="14.25" customHeight="1" x14ac:dyDescent="0.3">
      <c r="A39" s="148"/>
      <c r="B39" s="51"/>
      <c r="C39" s="147"/>
      <c r="D39" s="51"/>
      <c r="M39" s="2"/>
      <c r="R39" s="2"/>
    </row>
    <row r="40" spans="1:18" ht="14.25" customHeight="1" x14ac:dyDescent="0.3">
      <c r="A40" s="148"/>
      <c r="B40" s="51"/>
      <c r="C40" s="51"/>
      <c r="D40" s="51"/>
      <c r="M40" s="2"/>
      <c r="P40" s="16"/>
      <c r="R40" s="2"/>
    </row>
    <row r="41" spans="1:18" ht="14.25" customHeight="1" x14ac:dyDescent="0.3">
      <c r="A41" s="148"/>
      <c r="B41" s="51" t="s">
        <v>157</v>
      </c>
      <c r="C41" s="147">
        <f ca="1">IF(ABS(B36)&gt;90,ABS(SIN(B36*PI()/180))*(-1),ABS(SIN(B36*PI()/180)))</f>
        <v>-0.93969262078590843</v>
      </c>
      <c r="D41" s="51"/>
      <c r="M41" s="2"/>
      <c r="P41" s="16"/>
      <c r="Q41" s="198"/>
      <c r="R41" s="2"/>
    </row>
    <row r="42" spans="1:18" ht="14.25" customHeight="1" x14ac:dyDescent="0.3">
      <c r="A42" s="187" t="s">
        <v>194</v>
      </c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8"/>
      <c r="M42" s="188"/>
      <c r="N42" s="188"/>
      <c r="O42" s="188"/>
      <c r="P42" s="188"/>
      <c r="Q42" s="188"/>
      <c r="R42" s="188"/>
    </row>
    <row r="43" spans="1:18" ht="14.25" customHeight="1" x14ac:dyDescent="0.3">
      <c r="K43" s="2"/>
      <c r="L43" s="2"/>
      <c r="M43" s="139"/>
      <c r="N43" s="140"/>
      <c r="P43" s="2"/>
      <c r="Q43" s="2"/>
      <c r="R43" s="2"/>
    </row>
    <row r="44" spans="1:18" ht="14.25" customHeight="1" x14ac:dyDescent="0.3"/>
    <row r="45" spans="1:18" ht="14.25" customHeight="1" x14ac:dyDescent="0.3"/>
    <row r="46" spans="1:18" ht="14.25" customHeight="1" x14ac:dyDescent="0.3"/>
    <row r="47" spans="1:18" ht="14.25" customHeight="1" x14ac:dyDescent="0.3"/>
    <row r="48" spans="1:1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7">
    <mergeCell ref="J3:K3"/>
    <mergeCell ref="D12:E12"/>
    <mergeCell ref="H12:I12"/>
    <mergeCell ref="A1:E1"/>
    <mergeCell ref="A3:A4"/>
    <mergeCell ref="D3:E3"/>
    <mergeCell ref="H3:I3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G1002"/>
  <sheetViews>
    <sheetView zoomScaleNormal="100" workbookViewId="0">
      <pane ySplit="6" topLeftCell="A33" activePane="bottomLeft" state="frozen"/>
      <selection pane="bottomLeft" activeCell="A20" sqref="A20"/>
    </sheetView>
  </sheetViews>
  <sheetFormatPr defaultColWidth="14.44140625" defaultRowHeight="15" customHeight="1" x14ac:dyDescent="0.3"/>
  <cols>
    <col min="1" max="33" width="9.109375" customWidth="1"/>
  </cols>
  <sheetData>
    <row r="1" spans="1:33" ht="14.25" customHeight="1" x14ac:dyDescent="0.3">
      <c r="A1" s="131"/>
      <c r="B1" s="16" t="s">
        <v>195</v>
      </c>
      <c r="C1" s="139" t="s">
        <v>146</v>
      </c>
      <c r="D1" s="225">
        <f ca="1">IF(Landing!$C$9="",Landing!$C$15,MAX(0,Landing!$C$15+30*(1013-Landing!$C$9)))</f>
        <v>770</v>
      </c>
      <c r="E1" s="226"/>
      <c r="F1" s="226" t="s">
        <v>196</v>
      </c>
      <c r="G1" s="131">
        <f ca="1">IF('Take-off'!$C$9="",'Take-off'!$C$16,MAX(0,'Take-off'!$C$16+30*(1013-'Take-off'!$C$9)))</f>
        <v>770</v>
      </c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</row>
    <row r="2" spans="1:33" ht="14.25" customHeight="1" x14ac:dyDescent="0.3">
      <c r="A2" s="131"/>
      <c r="B2" s="16" t="s">
        <v>197</v>
      </c>
      <c r="C2" s="139" t="s">
        <v>147</v>
      </c>
      <c r="D2" s="225">
        <f ca="1">Landing!C8</f>
        <v>15</v>
      </c>
      <c r="E2" s="227"/>
      <c r="F2" s="131"/>
      <c r="G2" s="131">
        <f ca="1">MAX(  IF('Take-off'!C13='Dropdown lists'!B30, 'Take-off'!$C$8+5, 'Take-off'!$C$8),0)</f>
        <v>15</v>
      </c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</row>
    <row r="3" spans="1:33" ht="14.25" customHeight="1" x14ac:dyDescent="0.3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</row>
    <row r="4" spans="1:33" ht="14.25" customHeight="1" x14ac:dyDescent="0.3">
      <c r="H4" s="131"/>
      <c r="P4" s="131"/>
    </row>
    <row r="5" spans="1:33" ht="14.25" customHeight="1" x14ac:dyDescent="0.3">
      <c r="H5" s="131"/>
      <c r="I5" s="406" t="s">
        <v>137</v>
      </c>
      <c r="J5" s="406"/>
      <c r="K5" s="406"/>
      <c r="L5" s="406"/>
      <c r="M5" s="406"/>
      <c r="N5" s="406"/>
      <c r="O5" s="406"/>
      <c r="P5" s="228"/>
    </row>
    <row r="6" spans="1:33" ht="14.25" customHeight="1" x14ac:dyDescent="0.3">
      <c r="A6" s="2"/>
      <c r="B6" s="2"/>
      <c r="C6" s="51" t="s">
        <v>198</v>
      </c>
      <c r="D6" s="53"/>
      <c r="E6" s="2"/>
      <c r="F6" s="2"/>
      <c r="G6" s="2"/>
      <c r="H6" s="2"/>
      <c r="I6" s="2"/>
      <c r="J6" s="2"/>
      <c r="K6" s="51"/>
      <c r="L6" s="53"/>
      <c r="M6" s="2"/>
      <c r="N6" s="2"/>
      <c r="O6" s="2"/>
      <c r="P6" s="2"/>
    </row>
    <row r="7" spans="1:33" ht="14.25" customHeight="1" x14ac:dyDescent="0.3">
      <c r="B7" s="139"/>
      <c r="C7" s="140"/>
      <c r="G7" s="2"/>
      <c r="H7" s="2"/>
      <c r="I7" s="2"/>
      <c r="J7" s="139"/>
      <c r="K7" s="140"/>
      <c r="O7" s="2"/>
      <c r="P7" s="2"/>
      <c r="Q7" s="2"/>
      <c r="R7" s="139"/>
      <c r="S7" s="140"/>
      <c r="W7" s="2"/>
      <c r="X7" s="2"/>
      <c r="Y7" s="2"/>
      <c r="Z7" s="139"/>
      <c r="AA7" s="140"/>
      <c r="AE7" s="2"/>
      <c r="AF7" s="2"/>
      <c r="AG7" s="2"/>
    </row>
    <row r="8" spans="1:33" ht="14.25" customHeight="1" x14ac:dyDescent="0.3">
      <c r="A8" s="407" t="s">
        <v>199</v>
      </c>
      <c r="B8" s="407"/>
      <c r="C8" s="407"/>
      <c r="D8" s="407"/>
      <c r="E8" s="407"/>
      <c r="F8" s="407"/>
      <c r="G8" s="2"/>
      <c r="H8" s="2"/>
      <c r="I8" s="2"/>
      <c r="J8" s="139"/>
      <c r="K8" s="140"/>
      <c r="O8" s="2"/>
      <c r="P8" s="2"/>
      <c r="Q8" s="2"/>
      <c r="R8" s="139"/>
      <c r="S8" s="140"/>
      <c r="W8" s="2"/>
      <c r="X8" s="2"/>
      <c r="Y8" s="2"/>
      <c r="Z8" s="139"/>
      <c r="AA8" s="140"/>
      <c r="AE8" s="2"/>
      <c r="AF8" s="2"/>
      <c r="AG8" s="2"/>
    </row>
    <row r="9" spans="1:33" ht="14.25" customHeight="1" x14ac:dyDescent="0.3">
      <c r="B9" s="139"/>
      <c r="C9" s="140"/>
      <c r="G9" s="2"/>
      <c r="H9" s="2"/>
      <c r="I9" s="2"/>
      <c r="J9" s="139"/>
      <c r="K9" s="140"/>
      <c r="O9" s="2"/>
      <c r="P9" s="2"/>
      <c r="Q9" s="2"/>
      <c r="R9" s="139"/>
      <c r="S9" s="140"/>
      <c r="W9" s="2"/>
      <c r="X9" s="2"/>
      <c r="Y9" s="2"/>
      <c r="Z9" s="139"/>
      <c r="AA9" s="140"/>
      <c r="AE9" s="2"/>
      <c r="AF9" s="2"/>
      <c r="AG9" s="2"/>
    </row>
    <row r="10" spans="1:33" ht="14.25" customHeight="1" x14ac:dyDescent="0.3">
      <c r="B10" s="357" t="s">
        <v>200</v>
      </c>
      <c r="C10" s="357"/>
      <c r="D10" s="357"/>
      <c r="E10" s="357"/>
      <c r="F10" s="357"/>
      <c r="G10" s="72"/>
      <c r="H10" s="72"/>
      <c r="I10" s="72"/>
      <c r="J10" s="72"/>
      <c r="K10" s="72"/>
      <c r="L10" s="72"/>
      <c r="M10" s="72"/>
      <c r="O10" s="2"/>
      <c r="P10" s="2"/>
      <c r="Q10" s="2"/>
      <c r="R10" s="139"/>
      <c r="S10" s="140"/>
      <c r="W10" s="2"/>
      <c r="X10" s="2"/>
      <c r="Y10" s="2"/>
      <c r="Z10" s="139"/>
      <c r="AA10" s="140"/>
      <c r="AE10" s="2"/>
      <c r="AF10" s="2"/>
      <c r="AG10" s="2"/>
    </row>
    <row r="11" spans="1:33" ht="14.25" customHeight="1" x14ac:dyDescent="0.3">
      <c r="B11" s="229">
        <v>-500</v>
      </c>
      <c r="C11" s="232">
        <v>0</v>
      </c>
      <c r="D11" s="230">
        <v>1000</v>
      </c>
      <c r="E11" s="55">
        <v>2000</v>
      </c>
      <c r="F11" s="55">
        <v>3000</v>
      </c>
      <c r="G11" s="231">
        <v>3500</v>
      </c>
      <c r="H11" s="139"/>
      <c r="I11" s="140"/>
      <c r="K11" s="139"/>
      <c r="L11" s="140"/>
      <c r="P11" s="2"/>
      <c r="Q11" s="2"/>
      <c r="R11" s="2"/>
      <c r="U11" s="2"/>
      <c r="V11" s="2"/>
      <c r="W11" s="2"/>
      <c r="X11" s="139"/>
      <c r="Y11" s="140"/>
      <c r="AC11" s="2"/>
      <c r="AD11" s="2"/>
      <c r="AE11" s="2"/>
      <c r="AF11" s="139"/>
      <c r="AG11" s="140"/>
    </row>
    <row r="12" spans="1:33" ht="14.25" customHeight="1" thickBot="1" x14ac:dyDescent="0.35">
      <c r="A12">
        <v>-40</v>
      </c>
      <c r="B12" s="229">
        <v>1450</v>
      </c>
      <c r="C12" s="232">
        <v>1450</v>
      </c>
      <c r="D12" s="232">
        <v>1450</v>
      </c>
      <c r="E12" s="232">
        <v>1450</v>
      </c>
      <c r="F12" s="232">
        <v>1500</v>
      </c>
      <c r="G12" s="231">
        <v>99999</v>
      </c>
      <c r="H12" s="139"/>
      <c r="I12" s="140"/>
      <c r="K12" s="139"/>
      <c r="L12" s="140"/>
      <c r="P12" s="2"/>
      <c r="Q12" s="2"/>
      <c r="R12" s="2"/>
      <c r="U12" s="2"/>
      <c r="V12" s="2"/>
      <c r="W12" s="2"/>
      <c r="X12" s="139"/>
      <c r="Y12" s="140"/>
      <c r="AC12" s="2"/>
      <c r="AD12" s="2"/>
      <c r="AE12" s="2"/>
      <c r="AF12" s="139"/>
      <c r="AG12" s="140"/>
    </row>
    <row r="13" spans="1:33" ht="14.25" customHeight="1" thickBot="1" x14ac:dyDescent="0.35">
      <c r="A13">
        <v>-30</v>
      </c>
      <c r="B13" s="233">
        <v>1450</v>
      </c>
      <c r="C13" s="72">
        <v>1450</v>
      </c>
      <c r="D13" s="72">
        <v>1450</v>
      </c>
      <c r="E13" s="72">
        <v>1450</v>
      </c>
      <c r="F13" s="72">
        <v>1500</v>
      </c>
      <c r="G13" s="231">
        <v>99999</v>
      </c>
      <c r="H13" s="139"/>
      <c r="I13" s="140"/>
      <c r="K13" s="139"/>
      <c r="L13" s="140"/>
      <c r="P13" s="2"/>
      <c r="Q13" s="2"/>
      <c r="R13" s="2"/>
      <c r="U13" s="2"/>
      <c r="V13" s="2"/>
      <c r="W13" s="2"/>
      <c r="X13" s="139"/>
      <c r="Y13" s="140"/>
      <c r="AC13" s="2"/>
      <c r="AD13" s="2"/>
      <c r="AE13" s="2"/>
      <c r="AF13" s="139"/>
      <c r="AG13" s="140"/>
    </row>
    <row r="14" spans="1:33" ht="14.25" customHeight="1" x14ac:dyDescent="0.3">
      <c r="A14">
        <v>-20</v>
      </c>
      <c r="B14" s="233">
        <v>1450</v>
      </c>
      <c r="C14" s="72">
        <v>1450</v>
      </c>
      <c r="D14" s="203">
        <v>1450</v>
      </c>
      <c r="E14">
        <v>1500</v>
      </c>
      <c r="F14">
        <v>1550</v>
      </c>
      <c r="G14" s="231">
        <v>99999</v>
      </c>
      <c r="H14" s="139"/>
      <c r="I14" s="140"/>
      <c r="K14" s="139"/>
      <c r="L14" s="140"/>
      <c r="P14" s="2"/>
      <c r="Q14" s="2"/>
      <c r="R14" s="2"/>
      <c r="U14" s="2"/>
      <c r="V14" s="2"/>
      <c r="W14" s="2"/>
      <c r="X14" s="139"/>
      <c r="Y14" s="140"/>
      <c r="AC14" s="2"/>
      <c r="AD14" s="2"/>
      <c r="AE14" s="2"/>
      <c r="AF14" s="139"/>
      <c r="AG14" s="140"/>
    </row>
    <row r="15" spans="1:33" ht="14.25" customHeight="1" x14ac:dyDescent="0.3">
      <c r="A15">
        <v>-10</v>
      </c>
      <c r="B15" s="233">
        <v>1475</v>
      </c>
      <c r="C15" s="72">
        <v>1475</v>
      </c>
      <c r="D15" s="203">
        <v>1525</v>
      </c>
      <c r="E15">
        <v>1575</v>
      </c>
      <c r="F15">
        <v>1630</v>
      </c>
      <c r="G15" s="22">
        <v>99999</v>
      </c>
      <c r="H15" s="139"/>
      <c r="I15" s="140"/>
      <c r="K15" s="139"/>
      <c r="L15" s="140"/>
      <c r="P15" s="2"/>
      <c r="Q15" s="2"/>
      <c r="R15" s="2"/>
      <c r="U15" s="2"/>
      <c r="V15" s="2"/>
      <c r="W15" s="2"/>
      <c r="X15" s="139"/>
      <c r="Y15" s="140"/>
      <c r="AC15" s="2"/>
      <c r="AD15" s="2"/>
      <c r="AE15" s="2"/>
      <c r="AF15" s="139"/>
      <c r="AG15" s="140"/>
    </row>
    <row r="16" spans="1:33" ht="14.25" customHeight="1" x14ac:dyDescent="0.3">
      <c r="A16">
        <v>0</v>
      </c>
      <c r="B16" s="233">
        <v>1500</v>
      </c>
      <c r="C16" s="72">
        <v>1500</v>
      </c>
      <c r="D16" s="203">
        <v>1550</v>
      </c>
      <c r="E16">
        <v>1630</v>
      </c>
      <c r="F16">
        <v>1700</v>
      </c>
      <c r="G16" s="22">
        <v>99999</v>
      </c>
      <c r="H16" s="139"/>
      <c r="I16" s="140"/>
      <c r="K16" s="139"/>
      <c r="L16" s="140"/>
      <c r="P16" s="2"/>
      <c r="Q16" s="2"/>
      <c r="R16" s="2"/>
      <c r="U16" s="2"/>
      <c r="V16" s="2"/>
      <c r="W16" s="2"/>
      <c r="X16" s="139"/>
      <c r="Y16" s="140"/>
      <c r="AC16" s="2"/>
      <c r="AD16" s="2"/>
      <c r="AE16" s="2"/>
      <c r="AF16" s="139"/>
      <c r="AG16" s="140"/>
    </row>
    <row r="17" spans="1:33" ht="14.25" customHeight="1" x14ac:dyDescent="0.3">
      <c r="A17">
        <v>10</v>
      </c>
      <c r="B17" s="233">
        <v>1575</v>
      </c>
      <c r="C17" s="72">
        <v>1575</v>
      </c>
      <c r="D17" s="203">
        <v>1630</v>
      </c>
      <c r="E17">
        <v>1700</v>
      </c>
      <c r="F17">
        <v>1750</v>
      </c>
      <c r="G17" s="22">
        <v>99999</v>
      </c>
      <c r="H17" s="139"/>
      <c r="I17" s="140"/>
      <c r="K17" s="139"/>
      <c r="L17" s="140"/>
      <c r="U17" s="2"/>
      <c r="V17" s="2"/>
      <c r="W17" s="2"/>
      <c r="X17" s="139"/>
      <c r="Y17" s="140"/>
      <c r="AC17" s="2"/>
      <c r="AD17" s="2"/>
      <c r="AE17" s="2"/>
      <c r="AF17" s="139"/>
      <c r="AG17" s="140"/>
    </row>
    <row r="18" spans="1:33" ht="14.25" customHeight="1" thickBot="1" x14ac:dyDescent="0.35">
      <c r="A18">
        <v>20</v>
      </c>
      <c r="B18" s="234">
        <v>1630</v>
      </c>
      <c r="C18" s="238">
        <v>1630</v>
      </c>
      <c r="D18" s="235">
        <v>1700</v>
      </c>
      <c r="E18" s="68">
        <v>1750</v>
      </c>
      <c r="F18" s="68">
        <v>1800</v>
      </c>
      <c r="G18" s="22">
        <v>99999</v>
      </c>
      <c r="H18" s="139"/>
      <c r="I18" s="140"/>
      <c r="K18" s="139"/>
      <c r="L18" s="140"/>
      <c r="U18" s="2"/>
      <c r="V18" s="2"/>
      <c r="W18" s="2"/>
      <c r="X18" s="139"/>
      <c r="Y18" s="140"/>
      <c r="AC18" s="2"/>
      <c r="AD18" s="2"/>
      <c r="AE18" s="2"/>
      <c r="AF18" s="139"/>
      <c r="AG18" s="140"/>
    </row>
    <row r="19" spans="1:33" ht="14.25" customHeight="1" thickBot="1" x14ac:dyDescent="0.35">
      <c r="A19">
        <v>30</v>
      </c>
      <c r="B19" s="234">
        <v>1685</v>
      </c>
      <c r="C19" s="238">
        <v>1685</v>
      </c>
      <c r="D19" s="235">
        <v>1750</v>
      </c>
      <c r="E19" s="68">
        <v>1800</v>
      </c>
      <c r="F19" s="68">
        <v>1850</v>
      </c>
      <c r="G19" s="22">
        <v>99999</v>
      </c>
      <c r="H19" s="139"/>
      <c r="I19" s="140"/>
      <c r="K19" s="139"/>
      <c r="L19" s="140"/>
      <c r="U19" s="2"/>
      <c r="V19" s="2"/>
      <c r="W19" s="2"/>
      <c r="X19" s="139"/>
      <c r="Y19" s="140"/>
      <c r="AC19" s="2"/>
      <c r="AD19" s="2"/>
      <c r="AE19" s="2"/>
      <c r="AF19" s="139"/>
      <c r="AG19" s="140"/>
    </row>
    <row r="20" spans="1:33" ht="14.25" customHeight="1" thickBot="1" x14ac:dyDescent="0.35">
      <c r="A20">
        <v>40</v>
      </c>
      <c r="B20" s="234">
        <v>1740</v>
      </c>
      <c r="C20" s="238">
        <v>1740</v>
      </c>
      <c r="D20" s="235">
        <v>1800</v>
      </c>
      <c r="E20" s="68">
        <v>1860</v>
      </c>
      <c r="F20" s="68">
        <v>1950</v>
      </c>
      <c r="G20" s="22">
        <v>99999</v>
      </c>
      <c r="H20" s="139"/>
      <c r="I20" s="140"/>
      <c r="K20" s="139"/>
      <c r="L20" s="140"/>
      <c r="U20" s="2"/>
      <c r="V20" s="2"/>
      <c r="W20" s="2"/>
      <c r="X20" s="139"/>
      <c r="Y20" s="140"/>
      <c r="AC20" s="2"/>
      <c r="AD20" s="2"/>
      <c r="AE20" s="2"/>
      <c r="AF20" s="139"/>
      <c r="AG20" s="140"/>
    </row>
    <row r="21" spans="1:33" ht="14.25" customHeight="1" x14ac:dyDescent="0.3">
      <c r="A21">
        <v>35</v>
      </c>
      <c r="B21" s="234">
        <v>99999</v>
      </c>
      <c r="C21" s="238">
        <v>99999</v>
      </c>
      <c r="D21" s="235">
        <v>99999</v>
      </c>
      <c r="E21" s="235">
        <v>99999</v>
      </c>
      <c r="F21" s="235">
        <v>99999</v>
      </c>
      <c r="G21" s="22">
        <v>99999</v>
      </c>
      <c r="H21" s="139"/>
      <c r="I21" s="140"/>
      <c r="K21" s="139"/>
      <c r="L21" s="140"/>
      <c r="P21" s="2"/>
      <c r="Q21" s="2"/>
      <c r="R21" s="2"/>
      <c r="U21" s="2"/>
      <c r="V21" s="2"/>
      <c r="W21" s="2"/>
      <c r="X21" s="139"/>
      <c r="Y21" s="140"/>
      <c r="AC21" s="2"/>
      <c r="AD21" s="2"/>
      <c r="AE21" s="2"/>
      <c r="AF21" s="139"/>
      <c r="AG21" s="140"/>
    </row>
    <row r="22" spans="1:33" ht="14.25" customHeight="1" x14ac:dyDescent="0.3">
      <c r="B22" s="139"/>
      <c r="C22" s="140"/>
      <c r="G22" s="2"/>
      <c r="H22" s="2"/>
      <c r="I22" s="2"/>
      <c r="J22" s="139"/>
      <c r="K22" s="140"/>
      <c r="O22" s="2"/>
      <c r="P22" s="2"/>
      <c r="Q22" s="2"/>
      <c r="R22" s="139"/>
      <c r="S22" s="140"/>
      <c r="W22" s="2"/>
      <c r="X22" s="2"/>
      <c r="Y22" s="2"/>
      <c r="Z22" s="139"/>
      <c r="AA22" s="140"/>
      <c r="AE22" s="2"/>
      <c r="AF22" s="2"/>
      <c r="AG22" s="2"/>
    </row>
    <row r="23" spans="1:33" ht="14.25" customHeight="1" x14ac:dyDescent="0.3">
      <c r="B23" s="139" t="s">
        <v>146</v>
      </c>
      <c r="C23" s="140">
        <f ca="1">D1</f>
        <v>770</v>
      </c>
      <c r="D23" s="355" t="s">
        <v>201</v>
      </c>
      <c r="E23" s="355"/>
      <c r="G23" s="2"/>
      <c r="H23" s="2"/>
      <c r="I23" s="2"/>
      <c r="J23" s="139" t="s">
        <v>146</v>
      </c>
      <c r="K23" s="140">
        <f ca="1">G1</f>
        <v>770</v>
      </c>
      <c r="L23" s="355" t="s">
        <v>201</v>
      </c>
      <c r="M23" s="355"/>
      <c r="O23" s="2"/>
      <c r="P23" s="2"/>
      <c r="Q23" s="2"/>
      <c r="R23" s="139"/>
      <c r="S23" s="140"/>
      <c r="T23" s="355"/>
      <c r="U23" s="355"/>
      <c r="W23" s="2"/>
      <c r="X23" s="2"/>
      <c r="Y23" s="2"/>
      <c r="Z23" s="139"/>
      <c r="AA23" s="140"/>
      <c r="AB23" s="355"/>
      <c r="AC23" s="355"/>
      <c r="AE23" s="2"/>
      <c r="AF23" s="2"/>
      <c r="AG23" s="2"/>
    </row>
    <row r="24" spans="1:33" ht="14.25" customHeight="1" x14ac:dyDescent="0.3">
      <c r="B24" s="16" t="s">
        <v>202</v>
      </c>
      <c r="C24" s="141">
        <f t="array" aca="1" ref="C24" ca="1">INDEX($B11:$G11,MATCH(C23,$B11:$G11,1))</f>
        <v>0</v>
      </c>
      <c r="D24" s="16" t="s">
        <v>144</v>
      </c>
      <c r="E24" s="17">
        <f>MATCH(MAX($A12:$A21),$A12:$A21,1)</f>
        <v>9</v>
      </c>
      <c r="G24" s="2"/>
      <c r="H24" s="2"/>
      <c r="I24" s="2"/>
      <c r="J24" s="16" t="s">
        <v>202</v>
      </c>
      <c r="K24" s="141">
        <f t="array" aca="1" ref="K24" ca="1">INDEX($B11:$G11,MATCH(K23,$B11:$G11,1))</f>
        <v>0</v>
      </c>
      <c r="L24" s="16" t="s">
        <v>144</v>
      </c>
      <c r="M24" s="17">
        <f>MATCH(MAX($A12:$A21),$A12:$A21,1)</f>
        <v>9</v>
      </c>
      <c r="O24" s="2"/>
      <c r="P24" s="2"/>
      <c r="Q24" s="2"/>
      <c r="R24" s="16"/>
      <c r="S24" s="141"/>
      <c r="T24" s="16"/>
      <c r="U24" s="17"/>
      <c r="W24" s="2"/>
      <c r="X24" s="2"/>
      <c r="Y24" s="2"/>
      <c r="Z24" s="16"/>
      <c r="AA24" s="141"/>
      <c r="AB24" s="16"/>
      <c r="AC24" s="17"/>
      <c r="AE24" s="2"/>
      <c r="AF24" s="2"/>
      <c r="AG24" s="2"/>
    </row>
    <row r="25" spans="1:33" ht="14.25" customHeight="1" x14ac:dyDescent="0.3">
      <c r="B25" s="16" t="s">
        <v>203</v>
      </c>
      <c r="C25" s="141">
        <f t="array" aca="1" ref="C25" ca="1">INDEX($B11:$G11,IF(MATCH(C23,$B11:$G11,1)&lt;E25,MATCH(C23,$B11:$G11,1)+1,MATCH(C23,$B11:$G11,1)))</f>
        <v>1000</v>
      </c>
      <c r="D25" s="16" t="s">
        <v>145</v>
      </c>
      <c r="E25" s="17">
        <f>MATCH(MAX($B11:$G11),$B11:$G11,0)</f>
        <v>6</v>
      </c>
      <c r="G25" s="2"/>
      <c r="H25" s="2"/>
      <c r="I25" s="2"/>
      <c r="J25" s="16" t="s">
        <v>203</v>
      </c>
      <c r="K25" s="141">
        <f t="array" aca="1" ref="K25" ca="1">INDEX($B11:$G11,IF(MATCH(K23,$B11:$G11,1)&lt;M25,MATCH(K23,$B11:$G11,1)+1,MATCH(K23,$B11:$G11,1)))</f>
        <v>1000</v>
      </c>
      <c r="L25" s="16" t="s">
        <v>145</v>
      </c>
      <c r="M25" s="17">
        <f>MATCH(MAX($B11:$G11),$B11:$G11,0)</f>
        <v>6</v>
      </c>
      <c r="O25" s="2"/>
      <c r="P25" s="2"/>
      <c r="Q25" s="2"/>
      <c r="R25" s="16"/>
      <c r="S25" s="141"/>
      <c r="T25" s="16"/>
      <c r="U25" s="17"/>
      <c r="W25" s="2"/>
      <c r="X25" s="2"/>
      <c r="Y25" s="2"/>
      <c r="Z25" s="16"/>
      <c r="AA25" s="141"/>
      <c r="AB25" s="16"/>
      <c r="AC25" s="17"/>
      <c r="AE25" s="2"/>
      <c r="AF25" s="2"/>
      <c r="AG25" s="2"/>
    </row>
    <row r="26" spans="1:33" ht="14.25" customHeight="1" x14ac:dyDescent="0.3">
      <c r="B26" s="139" t="s">
        <v>147</v>
      </c>
      <c r="C26" s="186">
        <f ca="1">D2</f>
        <v>15</v>
      </c>
      <c r="D26" s="2"/>
      <c r="E26" s="2"/>
      <c r="G26" s="2"/>
      <c r="H26" s="2"/>
      <c r="I26" s="2"/>
      <c r="J26" s="139" t="s">
        <v>147</v>
      </c>
      <c r="K26" s="186">
        <f ca="1">G2</f>
        <v>15</v>
      </c>
      <c r="L26" s="2"/>
      <c r="M26" s="2"/>
      <c r="O26" s="2"/>
      <c r="P26" s="2"/>
      <c r="Q26" s="2"/>
      <c r="R26" s="139"/>
      <c r="S26" s="186"/>
      <c r="T26" s="2"/>
      <c r="U26" s="2"/>
      <c r="W26" s="2"/>
      <c r="X26" s="2"/>
      <c r="Y26" s="2"/>
      <c r="Z26" s="139"/>
      <c r="AA26" s="186"/>
      <c r="AB26" s="2"/>
      <c r="AC26" s="2"/>
      <c r="AE26" s="2"/>
      <c r="AF26" s="2"/>
      <c r="AG26" s="2"/>
    </row>
    <row r="27" spans="1:33" ht="14.25" customHeight="1" x14ac:dyDescent="0.3">
      <c r="B27" s="16" t="s">
        <v>148</v>
      </c>
      <c r="C27" s="141">
        <f t="array" aca="1" ref="C27" ca="1">INDEX($A12:$A21,MATCH(C26,$A12:$A21,1))</f>
        <v>10</v>
      </c>
      <c r="D27" s="2"/>
      <c r="E27" s="42"/>
      <c r="G27" s="2"/>
      <c r="H27" s="2"/>
      <c r="I27" s="2"/>
      <c r="J27" s="16" t="s">
        <v>148</v>
      </c>
      <c r="K27" s="141">
        <f t="array" aca="1" ref="K27" ca="1">INDEX($A12:$A21,MATCH(K26,$A12:$A21,1))</f>
        <v>10</v>
      </c>
      <c r="L27" s="2"/>
      <c r="M27" s="42"/>
      <c r="O27" s="2"/>
      <c r="P27" s="2"/>
      <c r="Q27" s="2"/>
      <c r="R27" s="16"/>
      <c r="S27" s="141"/>
      <c r="T27" s="2"/>
      <c r="U27" s="42"/>
      <c r="W27" s="2"/>
      <c r="X27" s="2"/>
      <c r="Y27" s="2"/>
      <c r="Z27" s="16"/>
      <c r="AA27" s="141"/>
      <c r="AB27" s="2"/>
      <c r="AC27" s="42"/>
      <c r="AE27" s="2"/>
      <c r="AF27" s="2"/>
      <c r="AG27" s="2"/>
    </row>
    <row r="28" spans="1:33" ht="14.25" customHeight="1" x14ac:dyDescent="0.3">
      <c r="B28" s="16" t="s">
        <v>149</v>
      </c>
      <c r="C28" s="141">
        <f t="array" aca="1" ref="C28" ca="1">INDEX($A12:$A21,IF(MATCH(C26,$A12:$A21,1)&lt;E24,MATCH(C26,$A12:$A21,1)+1,MATCH(C26,$A12:$A21,1)))</f>
        <v>20</v>
      </c>
      <c r="D28" s="2"/>
      <c r="E28" s="42"/>
      <c r="G28" s="2"/>
      <c r="H28" s="2"/>
      <c r="I28" s="2"/>
      <c r="J28" s="16" t="s">
        <v>149</v>
      </c>
      <c r="K28" s="141">
        <f t="array" aca="1" ref="K28" ca="1">INDEX($A12:$A21,IF(MATCH(K26,$A12:$A21,1)&lt;M24,MATCH(K26,$A12:$A21,1)+1,MATCH(K26,$A12:$A21,1)))</f>
        <v>20</v>
      </c>
      <c r="L28" s="2"/>
      <c r="M28" s="42"/>
      <c r="O28" s="2"/>
      <c r="P28" s="2"/>
      <c r="Q28" s="2"/>
      <c r="R28" s="16"/>
      <c r="S28" s="141"/>
      <c r="T28" s="2"/>
      <c r="U28" s="42"/>
      <c r="W28" s="2"/>
      <c r="X28" s="2"/>
      <c r="Y28" s="2"/>
      <c r="Z28" s="16"/>
      <c r="AA28" s="141"/>
      <c r="AB28" s="2"/>
      <c r="AC28" s="42"/>
      <c r="AE28" s="2"/>
      <c r="AF28" s="2"/>
      <c r="AG28" s="2"/>
    </row>
    <row r="29" spans="1:33" ht="14.25" customHeight="1" x14ac:dyDescent="0.3">
      <c r="B29" s="139" t="s">
        <v>150</v>
      </c>
      <c r="C29" s="140">
        <f t="array" aca="1" ref="C29" ca="1">INDEX($B12:$G21,MATCH(C26,$A12:$A21,1),MATCH(C23,$B11:$G11,1))</f>
        <v>1575</v>
      </c>
      <c r="D29" s="2"/>
      <c r="E29" s="42"/>
      <c r="G29" s="2"/>
      <c r="H29" s="2"/>
      <c r="I29" s="2"/>
      <c r="J29" s="139" t="s">
        <v>150</v>
      </c>
      <c r="K29" s="140">
        <f t="array" aca="1" ref="K29" ca="1">INDEX($B12:$G21,MATCH(K26,$A12:$A21,1),MATCH(K23,$B11:$G11,1))</f>
        <v>1575</v>
      </c>
      <c r="L29" s="2"/>
      <c r="M29" s="42"/>
      <c r="O29" s="2"/>
      <c r="P29" s="2"/>
      <c r="Q29" s="2"/>
      <c r="R29" s="139"/>
      <c r="S29" s="140"/>
      <c r="T29" s="2"/>
      <c r="U29" s="42"/>
      <c r="W29" s="2"/>
      <c r="X29" s="2"/>
      <c r="Y29" s="2"/>
      <c r="Z29" s="139"/>
      <c r="AA29" s="140"/>
      <c r="AB29" s="2"/>
      <c r="AC29" s="42"/>
      <c r="AE29" s="2"/>
      <c r="AF29" s="2"/>
      <c r="AG29" s="2"/>
    </row>
    <row r="30" spans="1:33" ht="14.25" customHeight="1" x14ac:dyDescent="0.3">
      <c r="B30" s="139" t="s">
        <v>204</v>
      </c>
      <c r="C30" s="140">
        <f t="array" aca="1" ref="C30" ca="1">INDEX($B12:$G21,MATCH(C26,$A12:$A21,1),IF(MATCH(C23,$B11:$G11,1)&lt;E25,MATCH(C23,$B11:$G11,1)+1,MATCH(C26,$A12:$A21,1)))</f>
        <v>1630</v>
      </c>
      <c r="E30" s="42"/>
      <c r="G30" s="2"/>
      <c r="H30" s="2"/>
      <c r="I30" s="2"/>
      <c r="J30" s="139" t="s">
        <v>204</v>
      </c>
      <c r="K30" s="140">
        <f t="array" aca="1" ref="K30" ca="1">INDEX($B12:$G21,MATCH(K26,$A12:$A21,1),IF(MATCH(K23,$B11:$G11,1)&lt;M25,MATCH(K23,$B11:$G11,1)+1,MATCH(K26,$A12:$A21,1)))</f>
        <v>1630</v>
      </c>
      <c r="M30" s="42"/>
      <c r="O30" s="2"/>
      <c r="P30" s="2"/>
      <c r="Q30" s="2"/>
      <c r="R30" s="139"/>
      <c r="S30" s="140"/>
      <c r="U30" s="42"/>
      <c r="W30" s="2"/>
      <c r="X30" s="2"/>
      <c r="Y30" s="2"/>
      <c r="Z30" s="139"/>
      <c r="AA30" s="140"/>
      <c r="AC30" s="42"/>
      <c r="AE30" s="2"/>
      <c r="AF30" s="2"/>
      <c r="AG30" s="2"/>
    </row>
    <row r="31" spans="1:33" ht="14.25" customHeight="1" x14ac:dyDescent="0.3">
      <c r="B31" s="139" t="s">
        <v>151</v>
      </c>
      <c r="C31" s="140">
        <f t="array" aca="1" ref="C31" ca="1">INDEX($B12:$G21,IF(MATCH(C26,$A12:$A21,1)&lt;E24,MATCH(C26,$A12:$A21,1)+1,MATCH(C26,$A12:$A21,1)),MATCH(C23,$B11:$G11,1))</f>
        <v>1630</v>
      </c>
      <c r="E31" s="42"/>
      <c r="G31" s="2"/>
      <c r="H31" s="2"/>
      <c r="I31" s="2"/>
      <c r="J31" s="139" t="s">
        <v>151</v>
      </c>
      <c r="K31" s="140">
        <f t="array" aca="1" ref="K31" ca="1">INDEX($B12:$G21,IF(MATCH(K26,$A12:$A21,1)&lt;M24,MATCH(K26,$A12:$A21,1)+1,MATCH(K26,$A12:$A21,1)),MATCH(K23,$B11:$G11,1))</f>
        <v>1630</v>
      </c>
      <c r="M31" s="42"/>
      <c r="O31" s="2"/>
      <c r="P31" s="2"/>
      <c r="Q31" s="2"/>
      <c r="R31" s="139"/>
      <c r="S31" s="140"/>
      <c r="U31" s="42"/>
      <c r="W31" s="2"/>
      <c r="X31" s="2"/>
      <c r="Y31" s="2"/>
      <c r="Z31" s="139"/>
      <c r="AA31" s="140"/>
      <c r="AC31" s="42"/>
      <c r="AE31" s="2"/>
      <c r="AF31" s="2"/>
      <c r="AG31" s="2"/>
    </row>
    <row r="32" spans="1:33" ht="14.25" customHeight="1" x14ac:dyDescent="0.3">
      <c r="B32" s="139" t="s">
        <v>205</v>
      </c>
      <c r="C32" s="140">
        <f t="array" aca="1" ref="C32" ca="1">INDEX($B12:$G21,IF(MATCH(C26,$A12:$A21,1)&lt;E24,MATCH(C26,$A12:$A21,1)+1,MATCH(C26,$A12:$A21,1)),IF(MATCH(C23,$B11:$G11,1)&lt;E25,MATCH(C23,$B11:$G11,1)+1,MATCH(C23,$B11:$G11,1)))</f>
        <v>1700</v>
      </c>
      <c r="G32" s="2"/>
      <c r="H32" s="2"/>
      <c r="I32" s="2"/>
      <c r="J32" s="139" t="s">
        <v>205</v>
      </c>
      <c r="K32" s="140">
        <f t="array" aca="1" ref="K32" ca="1">INDEX($B12:$G21,IF(MATCH(K26,$A12:$A21,1)&lt;M24,MATCH(K26,$A12:$A21,1)+1,MATCH(K26,$A12:$A21,1)),IF(MATCH(K23,$B11:$G11,1)&lt;M25,MATCH(K23,$B11:$G11,1)+1,MATCH(K23,$B11:$G11,1)))</f>
        <v>1700</v>
      </c>
      <c r="O32" s="2"/>
      <c r="P32" s="2"/>
      <c r="Q32" s="2"/>
      <c r="R32" s="139"/>
      <c r="S32" s="140"/>
      <c r="W32" s="2"/>
      <c r="X32" s="2"/>
      <c r="Y32" s="2"/>
      <c r="Z32" s="139"/>
      <c r="AA32" s="140"/>
      <c r="AE32" s="2"/>
      <c r="AF32" s="2"/>
      <c r="AG32" s="2"/>
    </row>
    <row r="33" spans="1:33" ht="14.25" customHeight="1" x14ac:dyDescent="0.3">
      <c r="B33" s="16" t="s">
        <v>206</v>
      </c>
      <c r="C33" s="141">
        <f ca="1">IFERROR(C29+(C23-C24)*(C30-C29)/(C25-C24),C29)</f>
        <v>1617.35</v>
      </c>
      <c r="G33" s="2"/>
      <c r="H33" s="2"/>
      <c r="I33" s="2"/>
      <c r="J33" s="16" t="s">
        <v>206</v>
      </c>
      <c r="K33" s="141">
        <f ca="1">IFERROR(K29+(K23-K24)*(K30-K29)/(K25-K24),K29)</f>
        <v>1617.35</v>
      </c>
      <c r="O33" s="2"/>
      <c r="P33" s="2"/>
      <c r="Q33" s="2"/>
      <c r="R33" s="16"/>
      <c r="S33" s="141"/>
      <c r="W33" s="2"/>
      <c r="X33" s="2"/>
      <c r="Y33" s="2"/>
      <c r="Z33" s="16"/>
      <c r="AA33" s="141"/>
      <c r="AE33" s="2"/>
      <c r="AF33" s="2"/>
      <c r="AG33" s="2"/>
    </row>
    <row r="34" spans="1:33" ht="14.25" customHeight="1" x14ac:dyDescent="0.3">
      <c r="B34" s="16" t="s">
        <v>207</v>
      </c>
      <c r="C34" s="141">
        <f ca="1">IFERROR(C31+(C23-C24)*(C32-C31)/(C25-C24),C31)</f>
        <v>1683.9</v>
      </c>
      <c r="G34" s="2"/>
      <c r="H34" s="2"/>
      <c r="I34" s="2"/>
      <c r="J34" s="16" t="s">
        <v>207</v>
      </c>
      <c r="K34" s="141">
        <f ca="1">IFERROR(K31+(K23-K24)*(K32-K31)/(K25-K24),K31)</f>
        <v>1683.9</v>
      </c>
      <c r="O34" s="2"/>
      <c r="P34" s="2"/>
      <c r="Q34" s="2"/>
      <c r="R34" s="16"/>
      <c r="S34" s="141"/>
      <c r="W34" s="2"/>
      <c r="X34" s="2"/>
      <c r="Y34" s="2"/>
      <c r="Z34" s="16"/>
      <c r="AA34" s="141"/>
      <c r="AE34" s="2"/>
      <c r="AF34" s="2"/>
      <c r="AG34" s="2"/>
    </row>
    <row r="35" spans="1:33" ht="14.25" customHeight="1" x14ac:dyDescent="0.3">
      <c r="B35" s="139" t="s">
        <v>208</v>
      </c>
      <c r="C35" s="140">
        <f ca="1">IFERROR(C33+(C26-C27)*(C34-C33)/(C28-C27),C33)</f>
        <v>1650.625</v>
      </c>
      <c r="G35" s="2"/>
      <c r="H35" s="2"/>
      <c r="I35" s="2"/>
      <c r="J35" s="139" t="s">
        <v>208</v>
      </c>
      <c r="K35" s="140">
        <f ca="1">IFERROR(K33+(K26-K27)*(K34-K33)/(K28-K27),K33)</f>
        <v>1650.625</v>
      </c>
      <c r="O35" s="2"/>
      <c r="P35" s="2"/>
      <c r="Q35" s="2"/>
      <c r="R35" s="139"/>
      <c r="S35" s="140"/>
      <c r="W35" s="2"/>
      <c r="X35" s="2"/>
      <c r="Y35" s="2"/>
      <c r="Z35" s="139"/>
      <c r="AA35" s="140"/>
      <c r="AE35" s="2"/>
      <c r="AF35" s="2"/>
      <c r="AG35" s="2"/>
    </row>
    <row r="36" spans="1:33" ht="14.25" customHeight="1" x14ac:dyDescent="0.3">
      <c r="B36" s="139"/>
      <c r="C36" s="140"/>
      <c r="G36" s="2"/>
      <c r="H36" s="2"/>
      <c r="I36" s="2"/>
      <c r="J36" s="139"/>
      <c r="K36" s="140"/>
      <c r="O36" s="2"/>
      <c r="P36" s="2"/>
      <c r="Q36" s="2"/>
      <c r="R36" s="139"/>
      <c r="S36" s="140"/>
      <c r="W36" s="2"/>
      <c r="X36" s="2"/>
      <c r="Y36" s="2"/>
      <c r="Z36" s="139"/>
      <c r="AA36" s="140"/>
      <c r="AE36" s="2"/>
      <c r="AF36" s="2"/>
      <c r="AG36" s="2"/>
    </row>
    <row r="37" spans="1:33" ht="14.25" customHeight="1" x14ac:dyDescent="0.3">
      <c r="B37" s="357" t="s">
        <v>209</v>
      </c>
      <c r="C37" s="357"/>
      <c r="D37" s="357"/>
      <c r="E37" s="357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2"/>
      <c r="Q37" s="2"/>
      <c r="R37" s="139"/>
      <c r="S37" s="140"/>
      <c r="W37" s="2"/>
      <c r="X37" s="2"/>
      <c r="Y37" s="2"/>
      <c r="Z37" s="139"/>
      <c r="AA37" s="140"/>
      <c r="AE37" s="2"/>
      <c r="AF37" s="2"/>
      <c r="AG37" s="2"/>
    </row>
    <row r="38" spans="1:33" ht="14.25" customHeight="1" x14ac:dyDescent="0.3">
      <c r="B38" s="229">
        <v>1400</v>
      </c>
      <c r="C38" s="232">
        <v>1650</v>
      </c>
      <c r="D38" s="232">
        <v>1900</v>
      </c>
      <c r="E38" s="231">
        <v>10500</v>
      </c>
      <c r="F38" s="236"/>
      <c r="G38" s="140"/>
      <c r="I38" s="139"/>
      <c r="J38" s="140"/>
      <c r="N38" s="2"/>
      <c r="O38" s="2"/>
      <c r="P38" s="2"/>
      <c r="S38" s="2"/>
      <c r="T38" s="2"/>
      <c r="U38" s="2"/>
      <c r="V38" s="139"/>
      <c r="W38" s="140"/>
      <c r="AA38" s="2"/>
      <c r="AB38" s="2"/>
      <c r="AC38" s="2"/>
      <c r="AD38" s="139"/>
      <c r="AE38" s="140"/>
    </row>
    <row r="39" spans="1:33" ht="14.25" customHeight="1" x14ac:dyDescent="0.3">
      <c r="A39">
        <v>10000</v>
      </c>
      <c r="B39" s="229">
        <v>870</v>
      </c>
      <c r="C39" s="232">
        <v>1030</v>
      </c>
      <c r="D39" s="232">
        <v>1170</v>
      </c>
      <c r="E39" s="237">
        <v>99999</v>
      </c>
      <c r="F39" s="236"/>
      <c r="G39" s="140"/>
      <c r="H39" s="140"/>
      <c r="I39" s="140"/>
      <c r="J39" s="140"/>
      <c r="K39" s="140"/>
      <c r="L39" s="140"/>
      <c r="M39" s="140"/>
      <c r="N39" s="140"/>
      <c r="O39" s="140"/>
      <c r="P39" s="2"/>
      <c r="S39" s="2"/>
      <c r="T39" s="2"/>
      <c r="U39" s="2"/>
      <c r="V39" s="139"/>
      <c r="W39" s="140"/>
      <c r="AA39" s="2"/>
      <c r="AB39" s="2"/>
      <c r="AC39" s="2"/>
      <c r="AD39" s="139"/>
      <c r="AE39" s="140"/>
    </row>
    <row r="40" spans="1:33" ht="14.25" customHeight="1" x14ac:dyDescent="0.3">
      <c r="A40">
        <v>11000</v>
      </c>
      <c r="B40" s="233">
        <v>975</v>
      </c>
      <c r="C40" s="72">
        <v>1130</v>
      </c>
      <c r="D40" s="72">
        <v>1300</v>
      </c>
      <c r="E40" s="237">
        <v>99999</v>
      </c>
      <c r="F40" s="236"/>
      <c r="G40" s="140"/>
      <c r="I40" s="139"/>
      <c r="J40" s="140"/>
      <c r="N40" s="2"/>
      <c r="O40" s="2"/>
      <c r="P40" s="2"/>
      <c r="S40" s="2"/>
      <c r="T40" s="2"/>
      <c r="U40" s="2"/>
      <c r="V40" s="139"/>
      <c r="W40" s="140"/>
      <c r="AA40" s="2"/>
      <c r="AB40" s="2"/>
      <c r="AC40" s="2"/>
      <c r="AD40" s="139"/>
      <c r="AE40" s="140"/>
    </row>
    <row r="41" spans="1:33" ht="14.25" customHeight="1" x14ac:dyDescent="0.3">
      <c r="A41">
        <v>12000</v>
      </c>
      <c r="B41" s="233">
        <v>1050</v>
      </c>
      <c r="C41" s="72">
        <v>1250</v>
      </c>
      <c r="D41" s="72">
        <v>1400</v>
      </c>
      <c r="E41" s="237">
        <v>99999</v>
      </c>
      <c r="F41" s="236"/>
      <c r="G41" s="140"/>
      <c r="I41" s="139"/>
      <c r="J41" s="140"/>
      <c r="N41" s="2"/>
      <c r="O41" s="2"/>
      <c r="P41" s="2"/>
      <c r="S41" s="2"/>
      <c r="T41" s="2"/>
      <c r="U41" s="2"/>
      <c r="V41" s="139"/>
      <c r="W41" s="140"/>
      <c r="AA41" s="2"/>
      <c r="AB41" s="2"/>
      <c r="AC41" s="2"/>
      <c r="AD41" s="139"/>
      <c r="AE41" s="140"/>
    </row>
    <row r="42" spans="1:33" ht="14.25" customHeight="1" x14ac:dyDescent="0.3">
      <c r="A42">
        <v>13000</v>
      </c>
      <c r="B42" s="233">
        <v>1100</v>
      </c>
      <c r="C42" s="72">
        <v>1330</v>
      </c>
      <c r="D42" s="72">
        <v>1515</v>
      </c>
      <c r="E42" s="237">
        <v>99999</v>
      </c>
      <c r="F42" s="236"/>
      <c r="G42" s="140"/>
      <c r="I42" s="139"/>
      <c r="J42" s="140"/>
      <c r="N42" s="2"/>
      <c r="O42" s="2"/>
      <c r="P42" s="2"/>
      <c r="S42" s="2"/>
      <c r="T42" s="2"/>
      <c r="U42" s="2"/>
      <c r="V42" s="139"/>
      <c r="W42" s="140"/>
      <c r="AA42" s="2"/>
      <c r="AB42" s="2"/>
      <c r="AC42" s="2"/>
      <c r="AD42" s="139"/>
      <c r="AE42" s="140"/>
    </row>
    <row r="43" spans="1:33" ht="14.25" customHeight="1" x14ac:dyDescent="0.3">
      <c r="A43">
        <v>14000</v>
      </c>
      <c r="B43" s="233">
        <v>1200</v>
      </c>
      <c r="C43" s="72">
        <v>1450</v>
      </c>
      <c r="D43" s="72">
        <v>1630</v>
      </c>
      <c r="E43" s="237">
        <v>99999</v>
      </c>
      <c r="F43" s="236"/>
      <c r="G43" s="140"/>
      <c r="I43" s="139"/>
      <c r="J43" s="140"/>
      <c r="N43" s="2"/>
      <c r="O43" s="2"/>
      <c r="P43" s="2"/>
      <c r="S43" s="2"/>
      <c r="T43" s="2"/>
      <c r="U43" s="2"/>
      <c r="V43" s="139"/>
      <c r="W43" s="140"/>
      <c r="AA43" s="2"/>
      <c r="AB43" s="2"/>
      <c r="AC43" s="2"/>
      <c r="AD43" s="139"/>
      <c r="AE43" s="140"/>
    </row>
    <row r="44" spans="1:33" ht="14.25" customHeight="1" x14ac:dyDescent="0.3">
      <c r="A44">
        <v>15000</v>
      </c>
      <c r="B44" s="233">
        <v>1300</v>
      </c>
      <c r="C44" s="72">
        <v>1540</v>
      </c>
      <c r="D44" s="72">
        <v>1750</v>
      </c>
      <c r="E44" s="237">
        <v>99999</v>
      </c>
      <c r="F44" s="236"/>
      <c r="G44" s="140"/>
      <c r="I44" s="139"/>
      <c r="J44" s="140"/>
      <c r="N44" s="2"/>
      <c r="O44" s="2"/>
      <c r="P44" s="2"/>
      <c r="S44" s="2"/>
      <c r="T44" s="2"/>
      <c r="U44" s="2"/>
      <c r="V44" s="139"/>
      <c r="W44" s="140"/>
      <c r="AA44" s="2"/>
      <c r="AB44" s="2"/>
      <c r="AC44" s="2"/>
      <c r="AD44" s="139"/>
      <c r="AE44" s="140"/>
    </row>
    <row r="45" spans="1:33" ht="14.25" customHeight="1" x14ac:dyDescent="0.3">
      <c r="A45">
        <v>16000</v>
      </c>
      <c r="B45" s="233">
        <v>1400</v>
      </c>
      <c r="C45" s="72">
        <v>1650</v>
      </c>
      <c r="D45" s="72">
        <v>1900</v>
      </c>
      <c r="E45" s="237">
        <v>99999</v>
      </c>
      <c r="F45" s="236"/>
      <c r="G45" s="140"/>
      <c r="I45" s="139"/>
      <c r="J45" s="140"/>
      <c r="N45" s="2"/>
      <c r="O45" s="2"/>
      <c r="P45" s="2"/>
      <c r="S45" s="2"/>
      <c r="T45" s="2"/>
      <c r="U45" s="2"/>
      <c r="V45" s="139"/>
      <c r="W45" s="140"/>
      <c r="AA45" s="2"/>
      <c r="AB45" s="2"/>
      <c r="AC45" s="2"/>
      <c r="AD45" s="139"/>
      <c r="AE45" s="140"/>
    </row>
    <row r="46" spans="1:33" ht="14.25" customHeight="1" x14ac:dyDescent="0.3">
      <c r="A46">
        <v>16600</v>
      </c>
      <c r="B46" s="234">
        <v>1450</v>
      </c>
      <c r="C46" s="238">
        <v>1700</v>
      </c>
      <c r="D46" s="238">
        <v>1970</v>
      </c>
      <c r="E46" s="237">
        <v>99999</v>
      </c>
      <c r="F46" s="236"/>
      <c r="G46" s="140"/>
      <c r="I46" s="139"/>
      <c r="J46" s="140"/>
      <c r="N46" s="2"/>
      <c r="O46" s="2"/>
      <c r="P46" s="2"/>
      <c r="S46" s="2"/>
      <c r="T46" s="2"/>
      <c r="U46" s="2"/>
      <c r="V46" s="139"/>
      <c r="W46" s="140"/>
      <c r="AA46" s="2"/>
      <c r="AB46" s="2"/>
      <c r="AC46" s="2"/>
      <c r="AD46" s="139"/>
      <c r="AE46" s="140"/>
    </row>
    <row r="47" spans="1:33" ht="14.25" customHeight="1" x14ac:dyDescent="0.3">
      <c r="B47" s="139"/>
      <c r="C47" s="140"/>
      <c r="G47" s="2"/>
      <c r="H47" s="2"/>
      <c r="I47" s="2"/>
      <c r="J47" s="139"/>
      <c r="K47" s="140"/>
      <c r="O47" s="53"/>
      <c r="P47" s="2"/>
      <c r="Q47" s="2"/>
      <c r="R47" s="139"/>
      <c r="S47" s="140"/>
      <c r="W47" s="2"/>
      <c r="X47" s="2"/>
      <c r="Y47" s="2"/>
      <c r="Z47" s="139"/>
      <c r="AA47" s="140"/>
      <c r="AE47" s="2"/>
      <c r="AF47" s="2"/>
      <c r="AG47" s="2"/>
    </row>
    <row r="48" spans="1:33" ht="14.25" customHeight="1" x14ac:dyDescent="0.3">
      <c r="B48" s="139" t="s">
        <v>146</v>
      </c>
      <c r="C48" s="140">
        <f ca="1">C35</f>
        <v>1650.625</v>
      </c>
      <c r="D48" s="355" t="s">
        <v>201</v>
      </c>
      <c r="E48" s="355"/>
      <c r="G48" s="2"/>
      <c r="H48" s="2"/>
      <c r="I48" s="2"/>
      <c r="J48" s="139" t="s">
        <v>146</v>
      </c>
      <c r="K48" s="140">
        <f ca="1">K35</f>
        <v>1650.625</v>
      </c>
      <c r="L48" s="355" t="s">
        <v>201</v>
      </c>
      <c r="M48" s="355"/>
      <c r="O48" s="53"/>
    </row>
    <row r="49" spans="1:33" ht="14.25" customHeight="1" x14ac:dyDescent="0.3">
      <c r="B49" s="16" t="s">
        <v>202</v>
      </c>
      <c r="C49" s="141">
        <f t="array" aca="1" ref="C49" ca="1">INDEX($B38:$E38,MATCH(C48,$B38:$E38,1))</f>
        <v>1650</v>
      </c>
      <c r="D49" s="16" t="s">
        <v>144</v>
      </c>
      <c r="E49" s="17">
        <f>MATCH(MAX($A39:$A46),$A39:$A46,1)</f>
        <v>8</v>
      </c>
      <c r="G49" s="2"/>
      <c r="H49" s="2"/>
      <c r="I49" s="2"/>
      <c r="J49" s="16" t="s">
        <v>202</v>
      </c>
      <c r="K49" s="141">
        <f t="array" aca="1" ref="K49" ca="1">INDEX($B38:$E38,MATCH(K48,$B38:$E38,1))</f>
        <v>1650</v>
      </c>
      <c r="L49" s="16" t="s">
        <v>144</v>
      </c>
      <c r="M49" s="17">
        <f>MATCH(MAX($A39:$A46),$A39:$A46,1)</f>
        <v>8</v>
      </c>
      <c r="O49" s="53"/>
    </row>
    <row r="50" spans="1:33" ht="14.25" customHeight="1" x14ac:dyDescent="0.3">
      <c r="B50" s="16" t="s">
        <v>203</v>
      </c>
      <c r="C50" s="141">
        <f t="array" aca="1" ref="C50" ca="1">INDEX($B38:$E38,IF(MATCH(C48,$B38:$E38,1)&lt;E50,MATCH(C48,$B38:$E38,1)+1,MATCH(C48,$B38:$E38,1)))</f>
        <v>1900</v>
      </c>
      <c r="D50" s="16" t="s">
        <v>145</v>
      </c>
      <c r="E50" s="17">
        <f>MATCH(MAX($B38:$E38),$B38:$E38,0)</f>
        <v>4</v>
      </c>
      <c r="G50" s="2"/>
      <c r="H50" s="2"/>
      <c r="I50" s="2"/>
      <c r="J50" s="16" t="s">
        <v>203</v>
      </c>
      <c r="K50" s="141">
        <f t="array" aca="1" ref="K50" ca="1">INDEX($B38:$E38,IF(MATCH(K48,$B38:$E38,1)&lt;M50,MATCH(K48,$B38:$E38,1)+1,MATCH(K48,$B38:$E38,1)))</f>
        <v>1900</v>
      </c>
      <c r="L50" s="16" t="s">
        <v>145</v>
      </c>
      <c r="M50" s="17">
        <f>MATCH(MAX($B38:$E38),$B38:$E38,0)</f>
        <v>4</v>
      </c>
      <c r="O50" s="53"/>
    </row>
    <row r="51" spans="1:33" ht="14.25" customHeight="1" x14ac:dyDescent="0.3">
      <c r="B51" s="139" t="s">
        <v>147</v>
      </c>
      <c r="C51" s="186">
        <f>Landing!C11</f>
        <v>15500</v>
      </c>
      <c r="D51" s="2"/>
      <c r="E51" s="2"/>
      <c r="G51" s="2"/>
      <c r="H51" s="2"/>
      <c r="I51" s="2"/>
      <c r="J51" s="139" t="s">
        <v>147</v>
      </c>
      <c r="K51" s="186">
        <f>'Take-off'!C14</f>
        <v>15800</v>
      </c>
      <c r="L51" s="2"/>
      <c r="M51" s="2"/>
      <c r="O51" s="53"/>
    </row>
    <row r="52" spans="1:33" ht="14.25" customHeight="1" x14ac:dyDescent="0.3">
      <c r="B52" s="16" t="s">
        <v>148</v>
      </c>
      <c r="C52" s="141">
        <f t="array" ref="C52">INDEX($A39:$A46,MATCH(C51,$A39:$A46,1))</f>
        <v>15000</v>
      </c>
      <c r="D52" s="2"/>
      <c r="E52" s="42"/>
      <c r="G52" s="2"/>
      <c r="H52" s="2"/>
      <c r="I52" s="2"/>
      <c r="J52" s="16" t="s">
        <v>148</v>
      </c>
      <c r="K52" s="141">
        <f t="array" ref="K52">INDEX($A39:$A46,MATCH(K51,$A39:$A46,1))</f>
        <v>15000</v>
      </c>
      <c r="L52" s="2"/>
      <c r="M52" s="42"/>
      <c r="O52" s="53"/>
    </row>
    <row r="53" spans="1:33" ht="14.25" customHeight="1" x14ac:dyDescent="0.3">
      <c r="B53" s="16" t="s">
        <v>149</v>
      </c>
      <c r="C53" s="141">
        <f t="array" ref="C53">INDEX($A39:$A46,IF(MATCH(C51,$A39:$A46,1)&lt;E49,MATCH(C51,$A39:$A46,1)+1,MATCH(C51,$A39:$A46,1)))</f>
        <v>16000</v>
      </c>
      <c r="D53" s="2"/>
      <c r="E53" s="42"/>
      <c r="G53" s="2"/>
      <c r="H53" s="2"/>
      <c r="I53" s="2"/>
      <c r="J53" s="16" t="s">
        <v>149</v>
      </c>
      <c r="K53" s="141">
        <f t="array" ref="K53">INDEX($A39:$A46,IF(MATCH(K51,$A39:$A46,1)&lt;M49,MATCH(K51,$A39:$A46,1)+1,MATCH(K51,$A39:$A46,1)))</f>
        <v>16000</v>
      </c>
      <c r="L53" s="2"/>
      <c r="M53" s="42"/>
      <c r="O53" s="53"/>
    </row>
    <row r="54" spans="1:33" ht="14.25" customHeight="1" x14ac:dyDescent="0.3">
      <c r="B54" s="139" t="s">
        <v>150</v>
      </c>
      <c r="C54" s="140">
        <f t="array" aca="1" ref="C54" ca="1">INDEX($B39:$E46,MATCH(C51,$A39:$A46,1),MATCH(C48,$B38:$E38,1))</f>
        <v>1540</v>
      </c>
      <c r="D54" s="2"/>
      <c r="E54" s="42"/>
      <c r="G54" s="2"/>
      <c r="H54" s="2"/>
      <c r="I54" s="2"/>
      <c r="J54" s="139" t="s">
        <v>150</v>
      </c>
      <c r="K54" s="140">
        <f t="array" aca="1" ref="K54" ca="1">INDEX($B39:$E46,MATCH(K51,$A39:$A46,1),MATCH(K48,$B38:$E38,1))</f>
        <v>1540</v>
      </c>
      <c r="L54" s="2"/>
      <c r="M54" s="42"/>
      <c r="O54" s="53"/>
    </row>
    <row r="55" spans="1:33" ht="14.25" customHeight="1" x14ac:dyDescent="0.3">
      <c r="B55" s="139" t="s">
        <v>204</v>
      </c>
      <c r="C55" s="140">
        <f t="array" aca="1" ref="C55" ca="1">INDEX($B39:$E46,MATCH(C51,$A39:$A46,1),IF(MATCH(C48,$B38:$E38,1)&lt;E50,MATCH(C48,$B38:$E38,1)+1,MATCH(C51,$A39:$A46,1)))</f>
        <v>1750</v>
      </c>
      <c r="E55" s="42"/>
      <c r="G55" s="2"/>
      <c r="H55" s="2"/>
      <c r="I55" s="2"/>
      <c r="J55" s="139" t="s">
        <v>204</v>
      </c>
      <c r="K55" s="140">
        <f t="array" aca="1" ref="K55" ca="1">INDEX($B39:$E46,MATCH(K51,$A39:$A46,1),IF(MATCH(K48,$B38:$E38,1)&lt;M50,MATCH(K48,$B38:$E38,1)+1,MATCH(K51,$A39:$A46,1)))</f>
        <v>1750</v>
      </c>
      <c r="M55" s="42"/>
      <c r="O55" s="12"/>
    </row>
    <row r="56" spans="1:33" ht="14.25" customHeight="1" x14ac:dyDescent="0.3">
      <c r="B56" s="139" t="s">
        <v>151</v>
      </c>
      <c r="C56" s="140">
        <f t="array" aca="1" ref="C56" ca="1">INDEX($B39:$E46,IF(MATCH(C51,$A39:$A46,1)&lt;E49,MATCH(C51,$A39:$A46,1)+1,MATCH(C51,$A39:$A46,1)),MATCH(C48,$B38:$E38,1))</f>
        <v>1650</v>
      </c>
      <c r="E56" s="42"/>
      <c r="G56" s="2"/>
      <c r="H56" s="2"/>
      <c r="I56" s="2"/>
      <c r="J56" s="139" t="s">
        <v>151</v>
      </c>
      <c r="K56" s="140">
        <f t="array" aca="1" ref="K56" ca="1">INDEX($B39:$E46,IF(MATCH(K51,$A39:$A46,1)&lt;M49,MATCH(K51,$A39:$A46,1)+1,MATCH(K51,$A39:$A46,1)),MATCH(K48,$B38:$E38,1))</f>
        <v>1650</v>
      </c>
      <c r="M56" s="42"/>
      <c r="O56" s="12"/>
    </row>
    <row r="57" spans="1:33" ht="14.25" customHeight="1" x14ac:dyDescent="0.3">
      <c r="B57" s="139" t="s">
        <v>205</v>
      </c>
      <c r="C57" s="140">
        <f t="array" aca="1" ref="C57" ca="1">INDEX($B39:$E46,IF(MATCH(C51,$A39:$A46,1)&lt;E49,MATCH(C51,$A39:$A46,1)+1,MATCH(C51,$A39:$A46,1)),IF(MATCH(C48,$B38:$E38,1)&lt;E50,MATCH(C48,$B38:$E38,1)+1,MATCH(C48,$B38:$E38,1)))</f>
        <v>1900</v>
      </c>
      <c r="G57" s="2"/>
      <c r="H57" s="2"/>
      <c r="I57" s="2"/>
      <c r="J57" s="139" t="s">
        <v>205</v>
      </c>
      <c r="K57" s="140">
        <f t="array" aca="1" ref="K57" ca="1">INDEX($B39:$E46,IF(MATCH(K51,$A39:$A46,1)&lt;M49,MATCH(K51,$A39:$A46,1)+1,MATCH(K51,$A39:$A46,1)),IF(MATCH(K48,$B38:$E38,1)&lt;M50,MATCH(K48,$B38:$E38,1)+1,MATCH(K48,$B38:$E38,1)))</f>
        <v>1900</v>
      </c>
      <c r="O57" s="12"/>
    </row>
    <row r="58" spans="1:33" ht="14.25" customHeight="1" x14ac:dyDescent="0.3">
      <c r="B58" s="16" t="s">
        <v>206</v>
      </c>
      <c r="C58" s="141">
        <f ca="1">IFERROR(C54+(C48-C49)*(C55-C54)/(C50-C49),C54)</f>
        <v>1540.5250000000001</v>
      </c>
      <c r="G58" s="2"/>
      <c r="H58" s="2"/>
      <c r="I58" s="2"/>
      <c r="J58" s="16" t="s">
        <v>206</v>
      </c>
      <c r="K58" s="141">
        <f ca="1">IFERROR(K54+(K48-K49)*(K55-K54)/(K50-K49),K54)</f>
        <v>1540.5250000000001</v>
      </c>
      <c r="O58" s="12"/>
    </row>
    <row r="59" spans="1:33" ht="14.25" customHeight="1" x14ac:dyDescent="0.3">
      <c r="B59" s="16" t="s">
        <v>207</v>
      </c>
      <c r="C59" s="141">
        <f ca="1">IFERROR(C56+(C48-C49)*(C57-C56)/(C50-C49),C56)</f>
        <v>1650.625</v>
      </c>
      <c r="G59" s="2"/>
      <c r="H59" s="2"/>
      <c r="I59" s="2"/>
      <c r="J59" s="16" t="s">
        <v>207</v>
      </c>
      <c r="K59" s="141">
        <f ca="1">IFERROR(K56+(K48-K49)*(K57-K56)/(K50-K49),K56)</f>
        <v>1650.625</v>
      </c>
      <c r="O59" s="12"/>
    </row>
    <row r="60" spans="1:33" ht="14.25" customHeight="1" x14ac:dyDescent="0.3">
      <c r="B60" s="139" t="s">
        <v>208</v>
      </c>
      <c r="C60" s="140">
        <f ca="1">IFERROR(C58+(C51-C52)*(C59-C58)/(C53-C52),C58)</f>
        <v>1595.575</v>
      </c>
      <c r="G60" s="2"/>
      <c r="H60" s="2"/>
      <c r="I60" s="2"/>
      <c r="J60" s="139" t="s">
        <v>208</v>
      </c>
      <c r="K60" s="140">
        <f ca="1">IFERROR(K58+(K51-K52)*(K59-K58)/(K53-K52),K58)</f>
        <v>1628.605</v>
      </c>
      <c r="O60" s="12"/>
    </row>
    <row r="61" spans="1:33" ht="14.25" customHeight="1" x14ac:dyDescent="0.3">
      <c r="B61" s="139"/>
      <c r="C61" s="140"/>
      <c r="G61" s="2"/>
      <c r="H61" s="2"/>
      <c r="I61" s="2"/>
      <c r="J61" s="139"/>
      <c r="K61" s="140"/>
      <c r="O61" s="12"/>
      <c r="P61" s="2"/>
      <c r="Q61" s="2"/>
      <c r="R61" s="139"/>
      <c r="S61" s="140"/>
      <c r="W61" s="2"/>
      <c r="X61" s="2"/>
      <c r="Y61" s="2"/>
      <c r="Z61" s="139"/>
      <c r="AA61" s="140"/>
      <c r="AE61" s="2"/>
      <c r="AF61" s="2"/>
      <c r="AG61" s="2"/>
    </row>
    <row r="62" spans="1:33" ht="15" customHeight="1" x14ac:dyDescent="0.3">
      <c r="B62" s="139"/>
      <c r="C62" s="140"/>
      <c r="G62" s="2"/>
      <c r="H62" s="2"/>
      <c r="I62" s="2"/>
      <c r="J62" s="139"/>
      <c r="K62" s="140"/>
      <c r="O62" s="2"/>
      <c r="P62" s="2"/>
      <c r="Q62" s="2"/>
      <c r="R62" s="139"/>
      <c r="S62" s="140"/>
      <c r="W62" s="2"/>
      <c r="X62" s="2"/>
      <c r="Y62" s="2"/>
      <c r="Z62" s="139"/>
      <c r="AA62" s="140"/>
      <c r="AE62" s="2"/>
      <c r="AF62" s="2"/>
      <c r="AG62" s="2"/>
    </row>
    <row r="63" spans="1:33" ht="15" customHeight="1" x14ac:dyDescent="0.3">
      <c r="B63" s="357" t="s">
        <v>210</v>
      </c>
      <c r="C63" s="357"/>
      <c r="D63" s="357"/>
      <c r="E63" s="357"/>
      <c r="F63" s="357"/>
      <c r="G63" s="72"/>
      <c r="H63" s="72"/>
      <c r="I63" s="72"/>
      <c r="J63" s="72"/>
      <c r="K63" s="72"/>
      <c r="L63" s="72"/>
      <c r="M63" s="72"/>
      <c r="N63" s="72"/>
      <c r="O63" s="72"/>
      <c r="P63" s="2"/>
      <c r="Q63" s="2"/>
      <c r="R63" s="139"/>
      <c r="S63" s="140"/>
      <c r="W63" s="2"/>
      <c r="X63" s="2"/>
      <c r="Y63" s="2"/>
      <c r="Z63" s="139"/>
      <c r="AA63" s="140"/>
      <c r="AE63" s="2"/>
      <c r="AF63" s="2"/>
      <c r="AG63" s="2"/>
    </row>
    <row r="64" spans="1:33" ht="15" customHeight="1" x14ac:dyDescent="0.3">
      <c r="A64" t="s">
        <v>47</v>
      </c>
      <c r="B64" s="229">
        <v>850</v>
      </c>
      <c r="C64" s="232">
        <v>1300</v>
      </c>
      <c r="D64" s="232">
        <v>1700</v>
      </c>
      <c r="E64" s="232">
        <v>2100</v>
      </c>
      <c r="F64" s="231">
        <v>2500</v>
      </c>
      <c r="G64" s="236"/>
      <c r="H64" s="140"/>
      <c r="J64" s="139"/>
      <c r="K64" s="140"/>
      <c r="O64" s="2"/>
      <c r="P64" s="2"/>
      <c r="Q64" s="2"/>
      <c r="T64" s="2"/>
      <c r="U64" s="2"/>
      <c r="V64" s="2"/>
      <c r="W64" s="139"/>
      <c r="X64" s="140"/>
      <c r="AB64" s="2"/>
      <c r="AC64" s="2"/>
      <c r="AD64" s="2"/>
      <c r="AE64" s="139"/>
      <c r="AF64" s="140"/>
    </row>
    <row r="65" spans="1:33" ht="15" customHeight="1" x14ac:dyDescent="0.3">
      <c r="A65">
        <v>-10</v>
      </c>
      <c r="B65" s="229">
        <v>1250</v>
      </c>
      <c r="C65" s="232">
        <v>1700</v>
      </c>
      <c r="D65" s="232">
        <v>2200</v>
      </c>
      <c r="E65" s="232">
        <v>2700</v>
      </c>
      <c r="F65" s="237">
        <v>99999</v>
      </c>
      <c r="G65" s="236"/>
      <c r="H65" s="140"/>
      <c r="I65" s="140"/>
      <c r="J65" s="140"/>
      <c r="K65" s="140"/>
      <c r="L65" s="140"/>
      <c r="M65" s="140"/>
      <c r="N65" s="140"/>
      <c r="O65" s="140"/>
      <c r="P65" s="140"/>
      <c r="Q65" s="2"/>
      <c r="T65" s="2"/>
      <c r="U65" s="2"/>
      <c r="V65" s="2"/>
      <c r="W65" s="139"/>
      <c r="X65" s="140"/>
      <c r="AB65" s="2"/>
      <c r="AC65" s="2"/>
      <c r="AD65" s="2"/>
      <c r="AE65" s="139"/>
      <c r="AF65" s="140"/>
    </row>
    <row r="66" spans="1:33" ht="15" customHeight="1" x14ac:dyDescent="0.3">
      <c r="A66">
        <v>0</v>
      </c>
      <c r="B66" s="233">
        <v>850</v>
      </c>
      <c r="C66" s="72">
        <v>1300</v>
      </c>
      <c r="D66" s="72">
        <v>1700</v>
      </c>
      <c r="E66" s="72">
        <v>2100</v>
      </c>
      <c r="F66" s="237">
        <v>99999</v>
      </c>
      <c r="G66" s="236"/>
      <c r="H66" s="140"/>
      <c r="J66" s="139"/>
      <c r="K66" s="140"/>
      <c r="O66" s="2"/>
      <c r="P66" s="2"/>
      <c r="Q66" s="2"/>
      <c r="T66" s="2"/>
      <c r="U66" s="2"/>
      <c r="V66" s="2"/>
      <c r="W66" s="139"/>
      <c r="X66" s="140"/>
      <c r="AB66" s="2"/>
      <c r="AC66" s="2"/>
      <c r="AD66" s="2"/>
      <c r="AE66" s="139"/>
      <c r="AF66" s="140"/>
    </row>
    <row r="67" spans="1:33" ht="15" customHeight="1" x14ac:dyDescent="0.3">
      <c r="A67">
        <v>30</v>
      </c>
      <c r="B67" s="234">
        <v>550</v>
      </c>
      <c r="C67" s="238">
        <v>950</v>
      </c>
      <c r="D67" s="238">
        <v>1290</v>
      </c>
      <c r="E67" s="238">
        <v>1650</v>
      </c>
      <c r="F67" s="237">
        <v>99999</v>
      </c>
      <c r="G67" s="236"/>
      <c r="H67" s="140"/>
      <c r="J67" s="139"/>
      <c r="K67" s="140"/>
      <c r="O67" s="2"/>
      <c r="P67" s="2"/>
      <c r="Q67" s="2"/>
      <c r="T67" s="2"/>
      <c r="U67" s="2"/>
      <c r="V67" s="2"/>
      <c r="W67" s="139"/>
      <c r="X67" s="140"/>
      <c r="AB67" s="2"/>
      <c r="AC67" s="2"/>
      <c r="AD67" s="2"/>
      <c r="AE67" s="139"/>
      <c r="AF67" s="140"/>
    </row>
    <row r="68" spans="1:33" ht="15" customHeight="1" x14ac:dyDescent="0.3">
      <c r="B68" s="139"/>
      <c r="C68" s="140"/>
      <c r="G68" s="2"/>
      <c r="H68" s="2"/>
      <c r="I68" s="2"/>
      <c r="J68" s="139"/>
      <c r="K68" s="140"/>
      <c r="O68" s="53"/>
      <c r="P68" s="2"/>
      <c r="Q68" s="2"/>
      <c r="R68" s="139"/>
      <c r="S68" s="140"/>
      <c r="W68" s="2"/>
      <c r="X68" s="2"/>
      <c r="Y68" s="2"/>
      <c r="Z68" s="139"/>
      <c r="AA68" s="140"/>
      <c r="AE68" s="2"/>
      <c r="AF68" s="2"/>
      <c r="AG68" s="2"/>
    </row>
    <row r="69" spans="1:33" ht="15" customHeight="1" x14ac:dyDescent="0.3">
      <c r="B69" s="139" t="s">
        <v>146</v>
      </c>
      <c r="C69" s="140">
        <f ca="1">C60</f>
        <v>1595.575</v>
      </c>
      <c r="D69" s="355" t="s">
        <v>201</v>
      </c>
      <c r="E69" s="355"/>
      <c r="G69" s="2"/>
      <c r="H69" s="2"/>
      <c r="I69" s="2"/>
      <c r="J69" s="139" t="s">
        <v>146</v>
      </c>
      <c r="K69" s="140">
        <f ca="1">K60</f>
        <v>1628.605</v>
      </c>
      <c r="L69" s="355" t="s">
        <v>201</v>
      </c>
      <c r="M69" s="355"/>
      <c r="O69" s="53"/>
      <c r="P69" s="2"/>
      <c r="Q69" s="2"/>
      <c r="R69" s="139"/>
      <c r="S69" s="140"/>
      <c r="T69" s="355"/>
      <c r="U69" s="355"/>
      <c r="W69" s="2"/>
      <c r="X69" s="2"/>
      <c r="Y69" s="2"/>
      <c r="Z69" s="139"/>
      <c r="AA69" s="140"/>
      <c r="AB69" s="355"/>
      <c r="AC69" s="355"/>
      <c r="AE69" s="2"/>
      <c r="AF69" s="2"/>
      <c r="AG69" s="2"/>
    </row>
    <row r="70" spans="1:33" ht="15" customHeight="1" x14ac:dyDescent="0.3">
      <c r="B70" s="16" t="s">
        <v>202</v>
      </c>
      <c r="C70" s="141">
        <f t="array" aca="1" ref="C70" ca="1">INDEX($B64:$F64,MATCH(C69,$B64:$F64,1))</f>
        <v>1300</v>
      </c>
      <c r="D70" s="16" t="s">
        <v>144</v>
      </c>
      <c r="E70" s="17">
        <f>MATCH(MAX($A65:$A67),$A65:$A67,1)</f>
        <v>3</v>
      </c>
      <c r="G70" s="2"/>
      <c r="H70" s="2"/>
      <c r="I70" s="2"/>
      <c r="J70" s="16" t="s">
        <v>202</v>
      </c>
      <c r="K70" s="141">
        <f t="array" aca="1" ref="K70" ca="1">INDEX($B64:$F64,MATCH(K69,$B64:$F64,1))</f>
        <v>1300</v>
      </c>
      <c r="L70" s="16" t="s">
        <v>144</v>
      </c>
      <c r="M70" s="17">
        <f>MATCH(MAX($A65:$A67),$A65:$A67,1)</f>
        <v>3</v>
      </c>
      <c r="O70" s="53"/>
      <c r="P70" s="2"/>
      <c r="Q70" s="2"/>
      <c r="R70" s="16"/>
      <c r="S70" s="141"/>
      <c r="T70" s="16"/>
      <c r="U70" s="17"/>
      <c r="W70" s="2"/>
      <c r="X70" s="2"/>
      <c r="Y70" s="2"/>
      <c r="Z70" s="16"/>
      <c r="AA70" s="141"/>
      <c r="AB70" s="16"/>
      <c r="AC70" s="17"/>
      <c r="AE70" s="2"/>
      <c r="AF70" s="2"/>
      <c r="AG70" s="2"/>
    </row>
    <row r="71" spans="1:33" ht="15" customHeight="1" x14ac:dyDescent="0.3">
      <c r="B71" s="16" t="s">
        <v>203</v>
      </c>
      <c r="C71" s="141">
        <f t="array" aca="1" ref="C71" ca="1">INDEX($B64:$F64,IF(MATCH(C69,$B64:$F64,1)&lt;E71,MATCH(C69,$B64:$F64,1)+1,MATCH(C69,$B64:$F64,1)))</f>
        <v>1700</v>
      </c>
      <c r="D71" s="16" t="s">
        <v>145</v>
      </c>
      <c r="E71" s="17">
        <f>MATCH(MAX($B64:$F64),$B64:$F64,0)</f>
        <v>5</v>
      </c>
      <c r="G71" s="2"/>
      <c r="H71" s="2"/>
      <c r="I71" s="2"/>
      <c r="J71" s="16" t="s">
        <v>203</v>
      </c>
      <c r="K71" s="141">
        <f t="array" aca="1" ref="K71" ca="1">INDEX($B64:$F64,IF(MATCH(K69,$B64:$F64,1)&lt;M71,MATCH(K69,$B64:$F64,1)+1,MATCH(K69,$B64:$F64,1)))</f>
        <v>1700</v>
      </c>
      <c r="L71" s="16" t="s">
        <v>145</v>
      </c>
      <c r="M71" s="17">
        <f>MATCH(MAX($B64:$F64),$B64:$F64,0)</f>
        <v>5</v>
      </c>
      <c r="O71" s="53"/>
      <c r="P71" s="2"/>
      <c r="Q71" s="2"/>
      <c r="R71" s="16"/>
      <c r="S71" s="141"/>
      <c r="T71" s="16"/>
      <c r="U71" s="17"/>
      <c r="W71" s="2"/>
      <c r="X71" s="2"/>
      <c r="Y71" s="2"/>
      <c r="Z71" s="16"/>
      <c r="AA71" s="141"/>
      <c r="AB71" s="16"/>
      <c r="AC71" s="17"/>
      <c r="AE71" s="2"/>
      <c r="AF71" s="2"/>
      <c r="AG71" s="2"/>
    </row>
    <row r="72" spans="1:33" ht="15" customHeight="1" x14ac:dyDescent="0.3">
      <c r="B72" s="139" t="s">
        <v>147</v>
      </c>
      <c r="C72" s="186">
        <f ca="1">Landing!C21</f>
        <v>-2.3941410032796808</v>
      </c>
      <c r="D72" s="2"/>
      <c r="E72" s="2"/>
      <c r="G72" s="2"/>
      <c r="H72" s="2"/>
      <c r="I72" s="2"/>
      <c r="J72" s="139" t="s">
        <v>147</v>
      </c>
      <c r="K72" s="186">
        <f ca="1">'Take-off'!$C$24</f>
        <v>-2.3941410032796808</v>
      </c>
      <c r="L72" s="2"/>
      <c r="M72" s="2"/>
      <c r="O72" s="53"/>
      <c r="P72" s="2"/>
      <c r="Q72" s="2"/>
      <c r="R72" s="139"/>
      <c r="S72" s="186"/>
      <c r="T72" s="2"/>
      <c r="U72" s="2"/>
      <c r="W72" s="2"/>
      <c r="X72" s="2"/>
      <c r="Y72" s="2"/>
      <c r="Z72" s="139"/>
      <c r="AA72" s="186"/>
      <c r="AB72" s="2"/>
      <c r="AC72" s="2"/>
      <c r="AE72" s="2"/>
      <c r="AF72" s="2"/>
      <c r="AG72" s="2"/>
    </row>
    <row r="73" spans="1:33" ht="15" customHeight="1" x14ac:dyDescent="0.3">
      <c r="B73" s="16" t="s">
        <v>148</v>
      </c>
      <c r="C73" s="141">
        <f t="array" aca="1" ref="C73" ca="1">INDEX($A65:$A67,MATCH(C72,$A65:$A67,1))</f>
        <v>-10</v>
      </c>
      <c r="D73" s="2"/>
      <c r="E73" s="42"/>
      <c r="G73" s="2"/>
      <c r="H73" s="2"/>
      <c r="I73" s="2"/>
      <c r="J73" s="16" t="s">
        <v>148</v>
      </c>
      <c r="K73" s="141">
        <f t="array" aca="1" ref="K73" ca="1">INDEX($A65:$A67,MATCH(K72,$A65:$A67,1))</f>
        <v>-10</v>
      </c>
      <c r="L73" s="2"/>
      <c r="M73" s="42"/>
      <c r="O73" s="53"/>
      <c r="P73" s="2"/>
      <c r="Q73" s="2"/>
      <c r="R73" s="16"/>
      <c r="S73" s="141"/>
      <c r="T73" s="2"/>
      <c r="U73" s="42"/>
      <c r="W73" s="2"/>
      <c r="X73" s="2"/>
      <c r="Y73" s="2"/>
      <c r="Z73" s="16"/>
      <c r="AA73" s="141"/>
      <c r="AB73" s="2"/>
      <c r="AC73" s="42"/>
      <c r="AE73" s="2"/>
      <c r="AF73" s="2"/>
      <c r="AG73" s="2"/>
    </row>
    <row r="74" spans="1:33" ht="15" customHeight="1" x14ac:dyDescent="0.3">
      <c r="B74" s="16" t="s">
        <v>149</v>
      </c>
      <c r="C74" s="141">
        <f t="array" aca="1" ref="C74" ca="1">INDEX($A65:$A67,IF(MATCH(C72,$A65:$A67,1)&lt;E70,MATCH(C72,$A65:$A67,1)+1,MATCH(C72,$A65:$A67,1)))</f>
        <v>0</v>
      </c>
      <c r="D74" s="2"/>
      <c r="E74" s="42"/>
      <c r="G74" s="2"/>
      <c r="H74" s="2"/>
      <c r="I74" s="2"/>
      <c r="J74" s="16" t="s">
        <v>149</v>
      </c>
      <c r="K74" s="141">
        <f t="array" aca="1" ref="K74" ca="1">INDEX($A65:$A67,IF(MATCH(K72,$A65:$A67,1)&lt;M70,MATCH(K72,$A65:$A67,1)+1,MATCH(K72,$A65:$A67,1)))</f>
        <v>0</v>
      </c>
      <c r="L74" s="2"/>
      <c r="M74" s="42"/>
      <c r="O74" s="53"/>
      <c r="P74" s="2"/>
      <c r="Q74" s="2"/>
      <c r="R74" s="16"/>
      <c r="S74" s="141"/>
      <c r="T74" s="2"/>
      <c r="U74" s="42"/>
      <c r="W74" s="2"/>
      <c r="X74" s="2"/>
      <c r="Y74" s="2"/>
      <c r="Z74" s="16"/>
      <c r="AA74" s="141"/>
      <c r="AB74" s="2"/>
      <c r="AC74" s="42"/>
      <c r="AE74" s="2"/>
      <c r="AF74" s="2"/>
      <c r="AG74" s="2"/>
    </row>
    <row r="75" spans="1:33" ht="15" customHeight="1" x14ac:dyDescent="0.3">
      <c r="B75" s="139" t="s">
        <v>150</v>
      </c>
      <c r="C75" s="140">
        <f t="array" aca="1" ref="C75" ca="1">INDEX($B65:$F67,MATCH(C72,$A65:$A67,1),MATCH(C69,$B64:$F64,1))</f>
        <v>1700</v>
      </c>
      <c r="D75" s="2"/>
      <c r="E75" s="42"/>
      <c r="G75" s="2"/>
      <c r="H75" s="2"/>
      <c r="I75" s="2"/>
      <c r="J75" s="139" t="s">
        <v>150</v>
      </c>
      <c r="K75" s="140">
        <f t="array" aca="1" ref="K75" ca="1">INDEX($B65:$F67,MATCH(K72,$A65:$A67,1),MATCH(K69,$B64:$F64,1))</f>
        <v>1700</v>
      </c>
      <c r="L75" s="2"/>
      <c r="M75" s="42"/>
      <c r="O75" s="53"/>
      <c r="P75" s="2"/>
      <c r="Q75" s="2"/>
      <c r="R75" s="139"/>
      <c r="S75" s="140"/>
      <c r="T75" s="2"/>
      <c r="U75" s="42"/>
      <c r="W75" s="2"/>
      <c r="X75" s="2"/>
      <c r="Y75" s="2"/>
      <c r="Z75" s="139"/>
      <c r="AA75" s="140"/>
      <c r="AB75" s="2"/>
      <c r="AC75" s="42"/>
      <c r="AE75" s="2"/>
      <c r="AF75" s="2"/>
      <c r="AG75" s="2"/>
    </row>
    <row r="76" spans="1:33" ht="15" customHeight="1" x14ac:dyDescent="0.3">
      <c r="B76" s="139" t="s">
        <v>204</v>
      </c>
      <c r="C76" s="140">
        <f t="array" aca="1" ref="C76" ca="1">INDEX($B65:$F67,MATCH(C72,$A65:$A67,1),IF(MATCH(C69,$B64:$F64,1)&lt;E71,MATCH(C69,$B64:$F64,1)+1,MATCH(C72,$A65:$A67,1)))</f>
        <v>2200</v>
      </c>
      <c r="E76" s="42"/>
      <c r="G76" s="2"/>
      <c r="H76" s="2"/>
      <c r="I76" s="2"/>
      <c r="J76" s="139" t="s">
        <v>204</v>
      </c>
      <c r="K76" s="140">
        <f t="array" aca="1" ref="K76" ca="1">INDEX($B65:$F67,MATCH(K72,$A65:$A67,1),IF(MATCH(K69,$B64:$F64,1)&lt;M71,MATCH(K69,$B64:$F64,1)+1,MATCH(K72,$A65:$A67,1)))</f>
        <v>2200</v>
      </c>
      <c r="M76" s="42"/>
      <c r="O76" s="12"/>
      <c r="P76" s="2"/>
      <c r="Q76" s="2"/>
      <c r="R76" s="139"/>
      <c r="S76" s="140"/>
      <c r="U76" s="42"/>
      <c r="W76" s="2"/>
      <c r="X76" s="2"/>
      <c r="Y76" s="2"/>
      <c r="Z76" s="139"/>
      <c r="AA76" s="140"/>
      <c r="AC76" s="42"/>
      <c r="AE76" s="2"/>
      <c r="AF76" s="2"/>
      <c r="AG76" s="2"/>
    </row>
    <row r="77" spans="1:33" ht="15" customHeight="1" x14ac:dyDescent="0.3">
      <c r="B77" s="139" t="s">
        <v>151</v>
      </c>
      <c r="C77" s="140">
        <f t="array" aca="1" ref="C77" ca="1">INDEX($B65:$F67,IF(MATCH(C72,$A65:$A67,1)&lt;E70,MATCH(C72,$A65:$A67,1)+1,MATCH(C72,$A65:$A67,1)),MATCH(C69,$B64:$F64,1))</f>
        <v>1300</v>
      </c>
      <c r="E77" s="42"/>
      <c r="G77" s="2"/>
      <c r="H77" s="2"/>
      <c r="I77" s="2"/>
      <c r="J77" s="139" t="s">
        <v>151</v>
      </c>
      <c r="K77" s="140">
        <f t="array" aca="1" ref="K77" ca="1">INDEX($B65:$F67,IF(MATCH(K72,$A65:$A67,1)&lt;M70,MATCH(K72,$A65:$A67,1)+1,MATCH(K72,$A65:$A67,1)),MATCH(K69,$B64:$F64,1))</f>
        <v>1300</v>
      </c>
      <c r="M77" s="42"/>
      <c r="O77" s="12"/>
      <c r="P77" s="2"/>
      <c r="Q77" s="2"/>
      <c r="R77" s="139"/>
      <c r="S77" s="140"/>
      <c r="U77" s="42"/>
      <c r="W77" s="2"/>
      <c r="X77" s="2"/>
      <c r="Y77" s="2"/>
      <c r="Z77" s="139"/>
      <c r="AA77" s="140"/>
      <c r="AC77" s="42"/>
      <c r="AE77" s="2"/>
      <c r="AF77" s="2"/>
      <c r="AG77" s="2"/>
    </row>
    <row r="78" spans="1:33" ht="15" customHeight="1" x14ac:dyDescent="0.3">
      <c r="B78" s="139" t="s">
        <v>205</v>
      </c>
      <c r="C78" s="140">
        <f t="array" aca="1" ref="C78" ca="1">INDEX($B65:$F67,IF(MATCH(C72,$A65:$A67,1)&lt;E70,MATCH(C72,$A65:$A67,1)+1,MATCH(C72,$A65:$A67,1)),IF(MATCH(C69,$B64:$F64,1)&lt;E71,MATCH(C69,$B64:$F64,1)+1,MATCH(C69,$B64:$F64,1)))</f>
        <v>1700</v>
      </c>
      <c r="G78" s="2"/>
      <c r="H78" s="2"/>
      <c r="I78" s="2"/>
      <c r="J78" s="139" t="s">
        <v>205</v>
      </c>
      <c r="K78" s="140">
        <f t="array" aca="1" ref="K78" ca="1">INDEX($B65:$F67,IF(MATCH(K72,$A65:$A67,1)&lt;M70,MATCH(K72,$A65:$A67,1)+1,MATCH(K72,$A65:$A67,1)),IF(MATCH(K69,$B64:$F64,1)&lt;M71,MATCH(K69,$B64:$F64,1)+1,MATCH(K69,$B64:$F64,1)))</f>
        <v>1700</v>
      </c>
      <c r="O78" s="12"/>
      <c r="P78" s="2"/>
      <c r="Q78" s="2"/>
      <c r="R78" s="139"/>
      <c r="S78" s="140"/>
      <c r="W78" s="2"/>
      <c r="X78" s="2"/>
      <c r="Y78" s="2"/>
      <c r="Z78" s="139"/>
      <c r="AA78" s="140"/>
      <c r="AE78" s="2"/>
      <c r="AF78" s="2"/>
      <c r="AG78" s="2"/>
    </row>
    <row r="79" spans="1:33" ht="15" customHeight="1" x14ac:dyDescent="0.3">
      <c r="B79" s="16" t="s">
        <v>206</v>
      </c>
      <c r="C79" s="141">
        <f ca="1">IFERROR(C75+(C69-C70)*(C76-C75)/(C71-C70),C75)</f>
        <v>2069.46875</v>
      </c>
      <c r="G79" s="2"/>
      <c r="H79" s="2"/>
      <c r="I79" s="2"/>
      <c r="J79" s="16" t="s">
        <v>206</v>
      </c>
      <c r="K79" s="141">
        <f ca="1">IFERROR(K75+(K69-K70)*(K76-K75)/(K71-K70),K75)</f>
        <v>2110.7562499999999</v>
      </c>
      <c r="O79" s="12"/>
      <c r="P79" s="2"/>
      <c r="Q79" s="2"/>
      <c r="R79" s="16"/>
      <c r="S79" s="141"/>
      <c r="W79" s="2"/>
      <c r="X79" s="2"/>
      <c r="Y79" s="2"/>
      <c r="Z79" s="16"/>
      <c r="AA79" s="141"/>
      <c r="AE79" s="2"/>
      <c r="AF79" s="2"/>
      <c r="AG79" s="2"/>
    </row>
    <row r="80" spans="1:33" ht="15" customHeight="1" x14ac:dyDescent="0.3">
      <c r="B80" s="16" t="s">
        <v>207</v>
      </c>
      <c r="C80" s="141">
        <f ca="1">IFERROR(C77+(C69-C70)*(C78-C77)/(C71-C70),C77)</f>
        <v>1595.575</v>
      </c>
      <c r="G80" s="2"/>
      <c r="H80" s="2"/>
      <c r="I80" s="2"/>
      <c r="J80" s="16" t="s">
        <v>207</v>
      </c>
      <c r="K80" s="141">
        <f ca="1">IFERROR(K77+(K69-K70)*(K78-K77)/(K71-K70),K77)</f>
        <v>1628.605</v>
      </c>
      <c r="O80" s="12"/>
      <c r="P80" s="2"/>
      <c r="Q80" s="2"/>
      <c r="R80" s="16"/>
      <c r="S80" s="141"/>
      <c r="W80" s="2"/>
      <c r="X80" s="2"/>
      <c r="Y80" s="2"/>
      <c r="Z80" s="16"/>
      <c r="AA80" s="141"/>
      <c r="AE80" s="2"/>
      <c r="AF80" s="2"/>
      <c r="AG80" s="2"/>
    </row>
    <row r="81" spans="1:33" ht="15" customHeight="1" x14ac:dyDescent="0.3">
      <c r="B81" s="139" t="s">
        <v>208</v>
      </c>
      <c r="C81" s="140">
        <f ca="1">IFERROR(C79+(C72-C73)*(C80-C79)/(C74-C73),C79)</f>
        <v>1709.031845807297</v>
      </c>
      <c r="G81" s="2"/>
      <c r="H81" s="2"/>
      <c r="I81" s="2"/>
      <c r="J81" s="139" t="s">
        <v>208</v>
      </c>
      <c r="K81" s="140">
        <f ca="1">IFERROR(K79+(K72-K73)*(K80-K79)/(K74-K73),K79)</f>
        <v>1744.0388077407551</v>
      </c>
      <c r="O81" s="12"/>
      <c r="P81" s="2"/>
      <c r="Q81" s="2"/>
      <c r="R81" s="139"/>
      <c r="S81" s="140"/>
      <c r="W81" s="2"/>
      <c r="X81" s="2"/>
      <c r="Y81" s="2"/>
      <c r="Z81" s="139"/>
      <c r="AA81" s="140"/>
      <c r="AE81" s="2"/>
      <c r="AF81" s="2"/>
      <c r="AG81" s="2"/>
    </row>
    <row r="82" spans="1:33" ht="15" customHeight="1" x14ac:dyDescent="0.3">
      <c r="B82" s="139"/>
      <c r="C82" s="140"/>
      <c r="G82" s="2"/>
      <c r="H82" s="2"/>
      <c r="I82" s="2"/>
      <c r="J82" s="139"/>
      <c r="K82" s="140"/>
      <c r="O82" s="12"/>
      <c r="P82" s="2"/>
      <c r="Q82" s="2"/>
      <c r="R82" s="139"/>
      <c r="S82" s="140"/>
      <c r="W82" s="2"/>
      <c r="X82" s="2"/>
      <c r="Y82" s="2"/>
      <c r="Z82" s="139"/>
      <c r="AA82" s="140"/>
      <c r="AE82" s="2"/>
      <c r="AF82" s="2"/>
      <c r="AG82" s="2"/>
    </row>
    <row r="83" spans="1:33" ht="15" customHeight="1" x14ac:dyDescent="0.3">
      <c r="B83" s="357" t="s">
        <v>211</v>
      </c>
      <c r="C83" s="357"/>
      <c r="D83" s="357"/>
      <c r="E83" s="357"/>
      <c r="F83" s="357"/>
      <c r="G83" s="357"/>
      <c r="H83" s="357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W83" s="2"/>
      <c r="X83" s="2"/>
      <c r="Y83" s="2"/>
      <c r="Z83" s="139"/>
      <c r="AA83" s="140"/>
      <c r="AE83" s="2"/>
      <c r="AF83" s="2"/>
      <c r="AG83" s="2"/>
    </row>
    <row r="84" spans="1:33" ht="15" customHeight="1" x14ac:dyDescent="0.3">
      <c r="B84" s="229">
        <v>500</v>
      </c>
      <c r="C84" s="229">
        <v>1000</v>
      </c>
      <c r="D84" s="232">
        <v>1500</v>
      </c>
      <c r="E84" s="232">
        <v>2000</v>
      </c>
      <c r="F84" s="232">
        <v>2500</v>
      </c>
      <c r="G84" s="232">
        <v>3000</v>
      </c>
      <c r="H84" s="231">
        <v>3500</v>
      </c>
      <c r="I84" s="236"/>
      <c r="J84" s="140"/>
      <c r="L84" s="139"/>
      <c r="M84" s="140"/>
      <c r="Q84" s="2"/>
      <c r="R84" s="2"/>
      <c r="S84" s="2"/>
      <c r="V84" s="2"/>
      <c r="W84" s="2"/>
      <c r="X84" s="2"/>
      <c r="Y84" s="139"/>
      <c r="Z84" s="140"/>
      <c r="AD84" s="2"/>
      <c r="AE84" s="2"/>
      <c r="AF84" s="2"/>
      <c r="AG84" s="139"/>
    </row>
    <row r="85" spans="1:33" ht="15" customHeight="1" x14ac:dyDescent="0.3">
      <c r="A85">
        <v>0</v>
      </c>
      <c r="B85" s="229">
        <v>500</v>
      </c>
      <c r="C85" s="232">
        <v>1000</v>
      </c>
      <c r="D85" s="232">
        <v>1500</v>
      </c>
      <c r="E85" s="232">
        <v>2000</v>
      </c>
      <c r="F85" s="232">
        <v>2500</v>
      </c>
      <c r="G85" s="232">
        <v>3000</v>
      </c>
      <c r="H85" s="237">
        <v>99999</v>
      </c>
      <c r="I85" s="236"/>
      <c r="J85" s="140"/>
      <c r="K85" s="140"/>
      <c r="L85" s="140"/>
      <c r="M85" s="140"/>
      <c r="N85" s="140"/>
      <c r="O85" s="140"/>
      <c r="P85" s="140"/>
      <c r="Q85" s="140"/>
      <c r="R85" s="140"/>
      <c r="S85" s="2"/>
      <c r="V85" s="2"/>
      <c r="W85" s="2"/>
      <c r="X85" s="2"/>
      <c r="Y85" s="139"/>
      <c r="Z85" s="140"/>
      <c r="AD85" s="2"/>
      <c r="AE85" s="2"/>
      <c r="AF85" s="2"/>
      <c r="AG85" s="139"/>
    </row>
    <row r="86" spans="1:33" ht="15" customHeight="1" x14ac:dyDescent="0.3">
      <c r="A86">
        <v>50</v>
      </c>
      <c r="B86" s="234">
        <v>1550</v>
      </c>
      <c r="C86" s="238">
        <v>2050</v>
      </c>
      <c r="D86" s="238">
        <v>2570</v>
      </c>
      <c r="E86" s="238">
        <v>3050</v>
      </c>
      <c r="F86" s="238">
        <v>3550</v>
      </c>
      <c r="G86" s="238">
        <v>4050</v>
      </c>
      <c r="H86" s="239">
        <v>99999</v>
      </c>
      <c r="I86" s="236"/>
      <c r="J86" s="140"/>
      <c r="L86" s="139"/>
      <c r="M86" s="140"/>
      <c r="Q86" s="2"/>
      <c r="R86" s="2"/>
      <c r="S86" s="2"/>
      <c r="V86" s="2"/>
      <c r="W86" s="2"/>
      <c r="X86" s="2"/>
      <c r="Y86" s="139"/>
      <c r="Z86" s="140"/>
      <c r="AD86" s="2"/>
      <c r="AE86" s="2"/>
      <c r="AF86" s="2"/>
      <c r="AG86" s="139"/>
    </row>
    <row r="87" spans="1:33" ht="15" customHeight="1" x14ac:dyDescent="0.3">
      <c r="B87" s="139"/>
      <c r="C87" s="140"/>
      <c r="G87" s="2"/>
      <c r="H87" s="2"/>
      <c r="I87" s="2"/>
      <c r="J87" s="139"/>
      <c r="K87" s="140"/>
      <c r="O87" s="53"/>
      <c r="P87" s="2"/>
      <c r="Q87" s="2"/>
      <c r="R87" s="139"/>
      <c r="S87" s="140"/>
      <c r="W87" s="2"/>
      <c r="X87" s="2"/>
      <c r="Y87" s="2"/>
      <c r="Z87" s="139"/>
      <c r="AA87" s="140"/>
      <c r="AE87" s="2"/>
      <c r="AF87" s="2"/>
      <c r="AG87" s="2"/>
    </row>
    <row r="88" spans="1:33" ht="15" customHeight="1" x14ac:dyDescent="0.3">
      <c r="B88" s="139" t="s">
        <v>146</v>
      </c>
      <c r="C88" s="140">
        <f ca="1">C81</f>
        <v>1709.031845807297</v>
      </c>
      <c r="D88" s="355" t="s">
        <v>201</v>
      </c>
      <c r="E88" s="355"/>
      <c r="G88" s="2"/>
      <c r="H88" s="2"/>
      <c r="I88" s="2"/>
      <c r="J88" s="139" t="s">
        <v>146</v>
      </c>
      <c r="K88" s="140">
        <f ca="1">K81</f>
        <v>1744.0388077407551</v>
      </c>
      <c r="L88" s="355" t="s">
        <v>201</v>
      </c>
      <c r="M88" s="355"/>
      <c r="O88" s="53"/>
      <c r="P88" s="2"/>
    </row>
    <row r="89" spans="1:33" ht="15" customHeight="1" x14ac:dyDescent="0.3">
      <c r="B89" s="16" t="s">
        <v>202</v>
      </c>
      <c r="C89" s="141">
        <f t="array" aca="1" ref="C89" ca="1">INDEX($B84:$H84,MATCH(C88,$B84:$H84,1))</f>
        <v>1500</v>
      </c>
      <c r="D89" s="16" t="s">
        <v>144</v>
      </c>
      <c r="E89" s="17">
        <f>MATCH(MAX($A85:$A86),$A85:$A86,1)</f>
        <v>2</v>
      </c>
      <c r="G89" s="2"/>
      <c r="H89" s="2"/>
      <c r="I89" s="2"/>
      <c r="J89" s="16" t="s">
        <v>202</v>
      </c>
      <c r="K89" s="141">
        <f t="array" aca="1" ref="K89" ca="1">INDEX($B84:$H84,MATCH(K88,$B84:$H84,1))</f>
        <v>1500</v>
      </c>
      <c r="L89" s="16" t="s">
        <v>144</v>
      </c>
      <c r="M89" s="17">
        <f>MATCH(MAX($A85:$A86),$A85:$A86,1)</f>
        <v>2</v>
      </c>
      <c r="O89" s="53"/>
      <c r="P89" s="2"/>
    </row>
    <row r="90" spans="1:33" ht="15" customHeight="1" x14ac:dyDescent="0.3">
      <c r="B90" s="16" t="s">
        <v>203</v>
      </c>
      <c r="C90" s="141">
        <f t="array" aca="1" ref="C90" ca="1">INDEX($B84:$H84,IF(MATCH(C88,$B84:$H84,1)&lt;E90,MATCH(C88,$B84:$H84,1)+1,MATCH(C88,$B84:$H84,1)))</f>
        <v>2000</v>
      </c>
      <c r="D90" s="16" t="s">
        <v>145</v>
      </c>
      <c r="E90" s="17">
        <f>MATCH(MAX($B84:$H84),$B84:$H84,0)</f>
        <v>7</v>
      </c>
      <c r="G90" s="2"/>
      <c r="H90" s="2"/>
      <c r="I90" s="2"/>
      <c r="J90" s="16" t="s">
        <v>203</v>
      </c>
      <c r="K90" s="141">
        <f t="array" aca="1" ref="K90" ca="1">INDEX($B84:$H84,IF(MATCH(K88,$B84:$H84,1)&lt;M90,MATCH(K88,$B84:$H84,1)+1,MATCH(K88,$B84:$H84,1)))</f>
        <v>2000</v>
      </c>
      <c r="L90" s="16" t="s">
        <v>145</v>
      </c>
      <c r="M90" s="17">
        <f>MATCH(MAX($B84:$H84),$B84:$H84,0)</f>
        <v>7</v>
      </c>
      <c r="O90" s="53"/>
      <c r="P90" s="2"/>
    </row>
    <row r="91" spans="1:33" ht="15" customHeight="1" x14ac:dyDescent="0.3">
      <c r="B91" s="139" t="s">
        <v>147</v>
      </c>
      <c r="C91" s="186">
        <v>50</v>
      </c>
      <c r="D91" s="2"/>
      <c r="E91" s="2"/>
      <c r="G91" s="2"/>
      <c r="H91" s="2"/>
      <c r="I91" s="2"/>
      <c r="J91" s="139" t="s">
        <v>147</v>
      </c>
      <c r="K91" s="186">
        <v>50</v>
      </c>
      <c r="L91" s="2"/>
      <c r="M91" s="2"/>
      <c r="O91" s="53"/>
      <c r="P91" s="2"/>
    </row>
    <row r="92" spans="1:33" ht="15" customHeight="1" x14ac:dyDescent="0.3">
      <c r="B92" s="16" t="s">
        <v>148</v>
      </c>
      <c r="C92" s="141">
        <f t="array" ref="C92">INDEX($A85:$A86,MATCH(C91,$A85:$A86,1))</f>
        <v>50</v>
      </c>
      <c r="D92" s="2"/>
      <c r="E92" s="42"/>
      <c r="G92" s="2"/>
      <c r="H92" s="2"/>
      <c r="I92" s="2"/>
      <c r="J92" s="16" t="s">
        <v>148</v>
      </c>
      <c r="K92" s="141">
        <f t="array" ref="K92">INDEX($A85:$A86,MATCH(K91,$A85:$A86,1))</f>
        <v>50</v>
      </c>
      <c r="L92" s="2"/>
      <c r="M92" s="42"/>
      <c r="O92" s="53"/>
      <c r="P92" s="2"/>
    </row>
    <row r="93" spans="1:33" ht="15" customHeight="1" x14ac:dyDescent="0.3">
      <c r="B93" s="16" t="s">
        <v>149</v>
      </c>
      <c r="C93" s="141">
        <f t="array" ref="C93">INDEX($A85:$A86,IF(MATCH(C91,$A85:$A86,1)&lt;E89,MATCH(C91,$A85:$A86,1)+1,MATCH(C91,$A85:$A86,1)))</f>
        <v>50</v>
      </c>
      <c r="D93" s="2"/>
      <c r="E93" s="42"/>
      <c r="G93" s="2"/>
      <c r="H93" s="2"/>
      <c r="I93" s="2"/>
      <c r="J93" s="16" t="s">
        <v>149</v>
      </c>
      <c r="K93" s="141">
        <f t="array" ref="K93">INDEX($A85:$A86,IF(MATCH(K91,$A85:$A86,1)&lt;M89,MATCH(K91,$A85:$A86,1)+1,MATCH(K91,$A85:$A86,1)))</f>
        <v>50</v>
      </c>
      <c r="L93" s="2"/>
      <c r="M93" s="42"/>
      <c r="O93" s="53"/>
      <c r="P93" s="2"/>
    </row>
    <row r="94" spans="1:33" ht="15" customHeight="1" x14ac:dyDescent="0.3">
      <c r="B94" s="139" t="s">
        <v>150</v>
      </c>
      <c r="C94" s="140">
        <f t="array" aca="1" ref="C94" ca="1">INDEX($B85:$H86,MATCH(C91,$A85:$A86,1),MATCH(C88,$B84:$H84,1))</f>
        <v>2570</v>
      </c>
      <c r="D94" s="2"/>
      <c r="E94" s="42"/>
      <c r="G94" s="2"/>
      <c r="H94" s="2"/>
      <c r="I94" s="2"/>
      <c r="J94" s="139" t="s">
        <v>150</v>
      </c>
      <c r="K94" s="140">
        <f t="array" aca="1" ref="K94" ca="1">INDEX($B85:$H86,MATCH(K91,$A85:$A86,1),MATCH(K88,$B84:$H84,1))</f>
        <v>2570</v>
      </c>
      <c r="L94" s="2"/>
      <c r="M94" s="42"/>
      <c r="O94" s="53"/>
      <c r="P94" s="2"/>
    </row>
    <row r="95" spans="1:33" ht="15" customHeight="1" x14ac:dyDescent="0.3">
      <c r="B95" s="139" t="s">
        <v>204</v>
      </c>
      <c r="C95" s="140">
        <f t="array" aca="1" ref="C95" ca="1">INDEX($B85:$H86,MATCH(C91,$A85:$A86,1),IF(MATCH(C88,$B84:$H84,1)&lt;E90,MATCH(C88,$B84:$H84,1)+1,MATCH(C91,$A85:$A86,1)))</f>
        <v>3050</v>
      </c>
      <c r="E95" s="42"/>
      <c r="G95" s="2"/>
      <c r="H95" s="2"/>
      <c r="I95" s="2"/>
      <c r="J95" s="139" t="s">
        <v>204</v>
      </c>
      <c r="K95" s="140">
        <f t="array" aca="1" ref="K95" ca="1">INDEX($B85:$H86,MATCH(K91,$A85:$A86,1),IF(MATCH(K88,$B84:$H84,1)&lt;M90,MATCH(K88,$B84:$H84,1)+1,MATCH(K91,$A85:$A86,1)))</f>
        <v>3050</v>
      </c>
      <c r="M95" s="42"/>
      <c r="O95" s="12"/>
      <c r="P95" s="2"/>
    </row>
    <row r="96" spans="1:33" ht="15" customHeight="1" x14ac:dyDescent="0.3">
      <c r="B96" s="139" t="s">
        <v>151</v>
      </c>
      <c r="C96" s="140">
        <f t="array" aca="1" ref="C96" ca="1">INDEX($B85:$H86,IF(MATCH(C91,$A85:$A86,1)&lt;E89,MATCH(C91,$A85:$A86,1)+1,MATCH(C91,$A85:$A86,1)),MATCH(C88,$B84:$H84,1))</f>
        <v>2570</v>
      </c>
      <c r="E96" s="42"/>
      <c r="G96" s="2"/>
      <c r="H96" s="2"/>
      <c r="I96" s="2"/>
      <c r="J96" s="139" t="s">
        <v>151</v>
      </c>
      <c r="K96" s="140">
        <f t="array" aca="1" ref="K96" ca="1">INDEX($B85:$H86,IF(MATCH(K91,$A85:$A86,1)&lt;M89,MATCH(K91,$A85:$A86,1)+1,MATCH(K91,$A85:$A86,1)),MATCH(K88,$B84:$H84,1))</f>
        <v>2570</v>
      </c>
      <c r="M96" s="42"/>
      <c r="O96" s="12"/>
      <c r="P96" s="2"/>
    </row>
    <row r="97" spans="1:16" ht="15" customHeight="1" x14ac:dyDescent="0.3">
      <c r="B97" s="139" t="s">
        <v>205</v>
      </c>
      <c r="C97" s="140">
        <f t="array" aca="1" ref="C97" ca="1">INDEX($B85:$H86,IF(MATCH(C91,$A85:$A86,1)&lt;E89,MATCH(C91,$A85:$A86,1)+1,MATCH(C91,$A85:$A86,1)),IF(MATCH(C88,$B84:$H84,1)&lt;E90,MATCH(C88,$B84:$H84,1)+1,MATCH(C88,$B84:$H84,1)))</f>
        <v>3050</v>
      </c>
      <c r="G97" s="2"/>
      <c r="H97" s="2"/>
      <c r="I97" s="2"/>
      <c r="J97" s="139" t="s">
        <v>205</v>
      </c>
      <c r="K97" s="140">
        <f t="array" aca="1" ref="K97" ca="1">INDEX($B85:$H86,IF(MATCH(K91,$A85:$A86,1)&lt;M89,MATCH(K91,$A85:$A86,1)+1,MATCH(K91,$A85:$A86,1)),IF(MATCH(K88,$B84:$H84,1)&lt;M90,MATCH(K88,$B84:$H84,1)+1,MATCH(K88,$B84:$H84,1)))</f>
        <v>3050</v>
      </c>
      <c r="O97" s="12"/>
      <c r="P97" s="2"/>
    </row>
    <row r="98" spans="1:16" ht="15" customHeight="1" x14ac:dyDescent="0.3">
      <c r="B98" s="16" t="s">
        <v>206</v>
      </c>
      <c r="C98" s="141">
        <f ca="1">IFERROR(C94+(C88-C89)*(C95-C94)/(C90-C89),C94)</f>
        <v>2770.6705719750053</v>
      </c>
      <c r="G98" s="2"/>
      <c r="H98" s="2"/>
      <c r="I98" s="2"/>
      <c r="J98" s="16" t="s">
        <v>206</v>
      </c>
      <c r="K98" s="141">
        <f ca="1">IFERROR(K94+(K88-K89)*(K95-K94)/(K90-K89),K94)</f>
        <v>2804.277255431125</v>
      </c>
      <c r="O98" s="12"/>
      <c r="P98" s="2"/>
    </row>
    <row r="99" spans="1:16" ht="15" customHeight="1" x14ac:dyDescent="0.3">
      <c r="B99" s="16" t="s">
        <v>207</v>
      </c>
      <c r="C99" s="141">
        <f ca="1">IFERROR(C96+(C88-C89)*(C97-C96)/(C90-C89),C96)</f>
        <v>2770.6705719750053</v>
      </c>
      <c r="G99" s="2"/>
      <c r="H99" s="2"/>
      <c r="I99" s="2"/>
      <c r="J99" s="16" t="s">
        <v>207</v>
      </c>
      <c r="K99" s="141">
        <f ca="1">IFERROR(K96+(K88-K89)*(K97-K96)/(K90-K89),K96)</f>
        <v>2804.277255431125</v>
      </c>
      <c r="O99" s="12"/>
      <c r="P99" s="2"/>
    </row>
    <row r="100" spans="1:16" ht="15" customHeight="1" x14ac:dyDescent="0.3">
      <c r="B100" s="139" t="s">
        <v>208</v>
      </c>
      <c r="C100" s="140">
        <f ca="1">IFERROR(C98+(C91-C92)*(C99-C98)/(C93-C92),C98)</f>
        <v>2770.6705719750053</v>
      </c>
      <c r="G100" s="2"/>
      <c r="H100" s="2"/>
      <c r="I100" s="2"/>
      <c r="J100" s="139" t="s">
        <v>208</v>
      </c>
      <c r="K100" s="140">
        <f ca="1">IFERROR(K98+(K91-K92)*(K99-K98)/(K93-K92),K98)</f>
        <v>2804.277255431125</v>
      </c>
      <c r="O100" s="12"/>
      <c r="P100" s="2"/>
    </row>
    <row r="101" spans="1:16" ht="15.75" customHeight="1" x14ac:dyDescent="0.3"/>
    <row r="102" spans="1:16" ht="15" customHeight="1" x14ac:dyDescent="0.3">
      <c r="A102" t="s">
        <v>212</v>
      </c>
      <c r="C102">
        <f ca="1">C100/3.28</f>
        <v>844.7166377972577</v>
      </c>
      <c r="K102">
        <f ca="1">K100/3.28</f>
        <v>854.96257787534307</v>
      </c>
    </row>
    <row r="103" spans="1:16" ht="15" customHeight="1" x14ac:dyDescent="0.3">
      <c r="B103" t="s">
        <v>171</v>
      </c>
      <c r="C103" s="42">
        <f>IF(Landing!$C$16&lt;0, ((-Landing!$C$16*5)%*C102),0 )</f>
        <v>0</v>
      </c>
      <c r="K103" s="42">
        <f>IF('Take-off'!$C$17&lt;0, ((-'Take-off'!$C$17*5)%*K102),0 )</f>
        <v>0</v>
      </c>
    </row>
    <row r="104" spans="1:16" ht="15" customHeight="1" x14ac:dyDescent="0.3">
      <c r="B104" t="s">
        <v>213</v>
      </c>
      <c r="C104">
        <f ca="1">SUM(C102:C103)</f>
        <v>844.7166377972577</v>
      </c>
      <c r="K104">
        <f ca="1">SUM(K102:K103)</f>
        <v>854.96257787534307</v>
      </c>
    </row>
    <row r="105" spans="1:16" ht="15.75" customHeight="1" x14ac:dyDescent="0.3"/>
    <row r="106" spans="1:16" ht="15.75" customHeight="1" x14ac:dyDescent="0.3"/>
    <row r="107" spans="1:16" ht="15.75" customHeight="1" x14ac:dyDescent="0.3"/>
    <row r="108" spans="1:16" ht="15.75" customHeight="1" x14ac:dyDescent="0.3"/>
    <row r="109" spans="1:16" ht="15.75" customHeight="1" x14ac:dyDescent="0.3"/>
    <row r="110" spans="1:16" ht="15.75" customHeight="1" x14ac:dyDescent="0.3"/>
    <row r="111" spans="1:16" ht="15.75" customHeight="1" x14ac:dyDescent="0.3"/>
    <row r="112" spans="1:1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8">
    <mergeCell ref="I5:O5"/>
    <mergeCell ref="A8:F8"/>
    <mergeCell ref="B10:F10"/>
    <mergeCell ref="D23:E23"/>
    <mergeCell ref="L23:M23"/>
    <mergeCell ref="T69:U69"/>
    <mergeCell ref="AB69:AC69"/>
    <mergeCell ref="T23:U23"/>
    <mergeCell ref="AB23:AC23"/>
    <mergeCell ref="B37:E37"/>
    <mergeCell ref="D48:E48"/>
    <mergeCell ref="L48:M48"/>
    <mergeCell ref="B83:H83"/>
    <mergeCell ref="D88:E88"/>
    <mergeCell ref="L88:M88"/>
    <mergeCell ref="B63:F63"/>
    <mergeCell ref="D69:E69"/>
    <mergeCell ref="L69:M69"/>
  </mergeCells>
  <conditionalFormatting sqref="B39:D46">
    <cfRule type="colorScale" priority="6">
      <colorScale>
        <cfvo type="min"/>
        <cfvo type="max"/>
        <color rgb="FFFCFCFF"/>
        <color rgb="FFF8696B"/>
      </colorScale>
    </cfRule>
  </conditionalFormatting>
  <conditionalFormatting sqref="B65:E67">
    <cfRule type="colorScale" priority="7">
      <colorScale>
        <cfvo type="min"/>
        <cfvo type="max"/>
        <color rgb="FFFCFCFF"/>
        <color rgb="FFF8696B"/>
      </colorScale>
    </cfRule>
  </conditionalFormatting>
  <conditionalFormatting sqref="B12:F20">
    <cfRule type="colorScale" priority="94">
      <colorScale>
        <cfvo type="min"/>
        <cfvo type="max"/>
        <color rgb="FFFCFCFF"/>
        <color rgb="FFF8696B"/>
      </colorScale>
    </cfRule>
  </conditionalFormatting>
  <conditionalFormatting sqref="B85:G86">
    <cfRule type="colorScale" priority="9">
      <colorScale>
        <cfvo type="min"/>
        <cfvo type="max"/>
        <color rgb="FFFCFCFF"/>
        <color rgb="FFF8696B"/>
      </colorScale>
    </cfRule>
  </conditionalFormatting>
  <conditionalFormatting sqref="I39:P46">
    <cfRule type="colorScale" priority="3">
      <colorScale>
        <cfvo type="min"/>
        <cfvo type="max"/>
        <color rgb="FFFCFCFF"/>
        <color rgb="FFF8696B"/>
      </colorScale>
    </cfRule>
  </conditionalFormatting>
  <conditionalFormatting sqref="J65:Q67">
    <cfRule type="colorScale" priority="4">
      <colorScale>
        <cfvo type="min"/>
        <cfvo type="max"/>
        <color rgb="FFFCFCFF"/>
        <color rgb="FFF8696B"/>
      </colorScale>
    </cfRule>
  </conditionalFormatting>
  <conditionalFormatting sqref="K12:R21">
    <cfRule type="colorScale" priority="2">
      <colorScale>
        <cfvo type="min"/>
        <cfvo type="max"/>
        <color rgb="FFFCFCFF"/>
        <color rgb="FFF8696B"/>
      </colorScale>
    </cfRule>
  </conditionalFormatting>
  <conditionalFormatting sqref="L85:S86">
    <cfRule type="colorScale" priority="8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N444"/>
  <sheetViews>
    <sheetView zoomScaleNormal="100"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 x14ac:dyDescent="0.3"/>
  <cols>
    <col min="1" max="58" width="9.109375" customWidth="1"/>
  </cols>
  <sheetData>
    <row r="1" spans="1:55" ht="14.25" customHeight="1" x14ac:dyDescent="0.3">
      <c r="A1" s="131"/>
      <c r="B1" s="16" t="s">
        <v>195</v>
      </c>
      <c r="C1" s="139" t="s">
        <v>146</v>
      </c>
      <c r="D1" s="225">
        <f ca="1">IF('Take-off'!$C$9="",'Take-off'!$C$16,MAX(0,'Take-off'!$C$16+30*(1013-'Take-off'!$C$9)))</f>
        <v>770</v>
      </c>
      <c r="E1" s="226"/>
      <c r="F1" s="226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240"/>
      <c r="AW1" s="131"/>
      <c r="AX1" s="131"/>
      <c r="AY1" s="131"/>
      <c r="AZ1" s="131"/>
      <c r="BA1" s="131"/>
      <c r="BB1" s="131"/>
      <c r="BC1" s="131"/>
    </row>
    <row r="2" spans="1:55" ht="14.25" customHeight="1" x14ac:dyDescent="0.3">
      <c r="A2" s="131"/>
      <c r="B2" s="16" t="s">
        <v>197</v>
      </c>
      <c r="C2" s="139" t="s">
        <v>147</v>
      </c>
      <c r="D2" s="225">
        <f ca="1">'Take-off'!$C$8</f>
        <v>15</v>
      </c>
      <c r="E2" s="227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240"/>
      <c r="AW2" s="131"/>
      <c r="AX2" s="131"/>
      <c r="AY2" s="131"/>
      <c r="AZ2" s="131"/>
      <c r="BA2" s="131"/>
      <c r="BB2" s="131"/>
      <c r="BC2" s="131"/>
    </row>
    <row r="3" spans="1:55" ht="14.25" customHeight="1" x14ac:dyDescent="0.3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240"/>
      <c r="AW3" s="131"/>
      <c r="AX3" s="131"/>
      <c r="AY3" s="131"/>
      <c r="AZ3" s="131"/>
      <c r="BA3" s="131"/>
      <c r="BB3" s="131"/>
      <c r="BC3" s="131"/>
    </row>
    <row r="4" spans="1:55" ht="14.25" customHeight="1" x14ac:dyDescent="0.3">
      <c r="A4" s="356" t="s">
        <v>214</v>
      </c>
      <c r="B4" s="356"/>
      <c r="C4" s="356"/>
      <c r="D4" s="356"/>
      <c r="E4" s="356"/>
      <c r="F4" s="356"/>
      <c r="G4" s="356"/>
      <c r="H4" s="131"/>
      <c r="I4" s="356" t="s">
        <v>214</v>
      </c>
      <c r="J4" s="356"/>
      <c r="K4" s="356"/>
      <c r="L4" s="356"/>
      <c r="M4" s="356"/>
      <c r="N4" s="356"/>
      <c r="O4" s="356"/>
      <c r="P4" s="131"/>
      <c r="Q4" s="356" t="s">
        <v>214</v>
      </c>
      <c r="R4" s="356"/>
      <c r="S4" s="356"/>
      <c r="T4" s="356"/>
      <c r="U4" s="356"/>
      <c r="V4" s="356"/>
      <c r="W4" s="356"/>
      <c r="X4" s="131"/>
      <c r="Y4" s="356" t="s">
        <v>214</v>
      </c>
      <c r="Z4" s="356"/>
      <c r="AA4" s="356"/>
      <c r="AB4" s="356"/>
      <c r="AC4" s="356"/>
      <c r="AD4" s="356"/>
      <c r="AE4" s="356"/>
      <c r="AF4" s="131"/>
      <c r="AG4" s="356" t="s">
        <v>214</v>
      </c>
      <c r="AH4" s="356"/>
      <c r="AI4" s="356"/>
      <c r="AJ4" s="356"/>
      <c r="AK4" s="356"/>
      <c r="AL4" s="356"/>
      <c r="AM4" s="356"/>
      <c r="AN4" s="131"/>
      <c r="AO4" s="356" t="s">
        <v>214</v>
      </c>
      <c r="AP4" s="356"/>
      <c r="AQ4" s="356"/>
      <c r="AR4" s="356"/>
      <c r="AS4" s="356"/>
      <c r="AT4" s="356"/>
      <c r="AU4" s="356"/>
      <c r="AV4" s="240"/>
      <c r="AW4" s="356" t="s">
        <v>215</v>
      </c>
      <c r="AX4" s="356"/>
      <c r="AY4" s="356"/>
      <c r="AZ4" s="356"/>
      <c r="BA4" s="356"/>
      <c r="BB4" s="356"/>
      <c r="BC4" s="356"/>
    </row>
    <row r="5" spans="1:55" ht="14.25" customHeight="1" x14ac:dyDescent="0.3">
      <c r="A5" s="406" t="s">
        <v>216</v>
      </c>
      <c r="B5" s="406"/>
      <c r="C5" s="406"/>
      <c r="D5" s="406"/>
      <c r="E5" s="406"/>
      <c r="F5" s="406"/>
      <c r="G5" s="406"/>
      <c r="H5" s="131"/>
      <c r="I5" s="406" t="s">
        <v>216</v>
      </c>
      <c r="J5" s="406"/>
      <c r="K5" s="406"/>
      <c r="L5" s="406"/>
      <c r="M5" s="406"/>
      <c r="N5" s="406"/>
      <c r="O5" s="406"/>
      <c r="P5" s="228"/>
      <c r="Q5" s="406" t="s">
        <v>216</v>
      </c>
      <c r="R5" s="406"/>
      <c r="S5" s="406"/>
      <c r="T5" s="406"/>
      <c r="U5" s="406"/>
      <c r="V5" s="406"/>
      <c r="W5" s="406"/>
      <c r="X5" s="131"/>
      <c r="Y5" s="406" t="s">
        <v>216</v>
      </c>
      <c r="Z5" s="406"/>
      <c r="AA5" s="406"/>
      <c r="AB5" s="406"/>
      <c r="AC5" s="406"/>
      <c r="AD5" s="406"/>
      <c r="AE5" s="406"/>
      <c r="AF5" s="131"/>
      <c r="AG5" s="406" t="s">
        <v>216</v>
      </c>
      <c r="AH5" s="406"/>
      <c r="AI5" s="406"/>
      <c r="AJ5" s="406"/>
      <c r="AK5" s="406"/>
      <c r="AL5" s="406"/>
      <c r="AM5" s="406"/>
      <c r="AN5" s="131"/>
      <c r="AO5" s="406" t="s">
        <v>216</v>
      </c>
      <c r="AP5" s="406"/>
      <c r="AQ5" s="406"/>
      <c r="AR5" s="406"/>
      <c r="AS5" s="406"/>
      <c r="AT5" s="406"/>
      <c r="AU5" s="406"/>
      <c r="AV5" s="241"/>
      <c r="AW5" s="406" t="s">
        <v>216</v>
      </c>
      <c r="AX5" s="406"/>
      <c r="AY5" s="406"/>
      <c r="AZ5" s="406"/>
      <c r="BA5" s="406"/>
      <c r="BB5" s="406"/>
      <c r="BC5" s="406"/>
    </row>
    <row r="6" spans="1:55" ht="14.25" customHeight="1" x14ac:dyDescent="0.3">
      <c r="A6" s="2"/>
      <c r="B6" s="2"/>
      <c r="C6" s="51">
        <v>16600</v>
      </c>
      <c r="D6" s="53" t="s">
        <v>29</v>
      </c>
      <c r="E6" s="2"/>
      <c r="F6" s="2"/>
      <c r="G6" s="2"/>
      <c r="H6" s="2"/>
      <c r="I6" s="2"/>
      <c r="J6" s="2"/>
      <c r="K6" s="51">
        <v>16000</v>
      </c>
      <c r="L6" s="53" t="s">
        <v>29</v>
      </c>
      <c r="M6" s="2"/>
      <c r="N6" s="2"/>
      <c r="O6" s="2"/>
      <c r="P6" s="2"/>
      <c r="Q6" s="2"/>
      <c r="R6" s="2"/>
      <c r="S6" s="51">
        <v>15000</v>
      </c>
      <c r="T6" s="53" t="s">
        <v>29</v>
      </c>
      <c r="U6" s="2"/>
      <c r="V6" s="2"/>
      <c r="W6" s="2"/>
      <c r="X6" s="2"/>
      <c r="Y6" s="2"/>
      <c r="Z6" s="2"/>
      <c r="AA6" s="51">
        <v>14000</v>
      </c>
      <c r="AB6" s="53" t="s">
        <v>29</v>
      </c>
      <c r="AC6" s="2"/>
      <c r="AD6" s="2"/>
      <c r="AE6" s="2"/>
      <c r="AF6" s="2"/>
      <c r="AG6" s="2"/>
      <c r="AH6" s="2"/>
      <c r="AI6" s="51">
        <v>13000</v>
      </c>
      <c r="AJ6" s="53" t="s">
        <v>29</v>
      </c>
      <c r="AK6" s="2"/>
      <c r="AL6" s="2"/>
      <c r="AM6" s="2"/>
      <c r="AN6" s="2"/>
      <c r="AO6" s="2"/>
      <c r="AP6" s="2"/>
      <c r="AQ6" s="51">
        <v>12000</v>
      </c>
      <c r="AR6" s="53" t="s">
        <v>29</v>
      </c>
      <c r="AS6" s="2"/>
      <c r="AT6" s="2"/>
      <c r="AU6" s="2"/>
      <c r="AV6" s="242"/>
      <c r="AW6" s="2"/>
      <c r="AX6" s="2"/>
      <c r="AY6" s="51">
        <v>13000</v>
      </c>
      <c r="AZ6" s="53" t="s">
        <v>29</v>
      </c>
      <c r="BA6" s="2"/>
      <c r="BB6" s="2"/>
      <c r="BC6" s="2"/>
    </row>
    <row r="7" spans="1:55" ht="16.5" customHeight="1" x14ac:dyDescent="0.3">
      <c r="A7" s="412" t="s">
        <v>217</v>
      </c>
      <c r="B7" s="412"/>
      <c r="C7" s="413" t="s">
        <v>218</v>
      </c>
      <c r="D7" s="413"/>
      <c r="E7" s="413"/>
      <c r="F7" s="413"/>
      <c r="G7" s="413"/>
      <c r="H7" s="228"/>
      <c r="I7" s="412" t="s">
        <v>217</v>
      </c>
      <c r="J7" s="412"/>
      <c r="K7" s="413" t="s">
        <v>218</v>
      </c>
      <c r="L7" s="413"/>
      <c r="M7" s="413"/>
      <c r="N7" s="413"/>
      <c r="O7" s="413"/>
      <c r="P7" s="243"/>
      <c r="Q7" s="412" t="s">
        <v>217</v>
      </c>
      <c r="R7" s="412"/>
      <c r="S7" s="413" t="s">
        <v>218</v>
      </c>
      <c r="T7" s="413"/>
      <c r="U7" s="413"/>
      <c r="V7" s="413"/>
      <c r="W7" s="413"/>
      <c r="X7" s="228"/>
      <c r="Y7" s="412" t="s">
        <v>217</v>
      </c>
      <c r="Z7" s="412"/>
      <c r="AA7" s="413" t="s">
        <v>218</v>
      </c>
      <c r="AB7" s="413"/>
      <c r="AC7" s="413"/>
      <c r="AD7" s="413"/>
      <c r="AE7" s="413"/>
      <c r="AF7" s="228"/>
      <c r="AG7" s="412" t="s">
        <v>217</v>
      </c>
      <c r="AH7" s="412"/>
      <c r="AI7" s="413" t="s">
        <v>218</v>
      </c>
      <c r="AJ7" s="413"/>
      <c r="AK7" s="413"/>
      <c r="AL7" s="413"/>
      <c r="AM7" s="413"/>
      <c r="AN7" s="228"/>
      <c r="AO7" s="412" t="s">
        <v>217</v>
      </c>
      <c r="AP7" s="412"/>
      <c r="AQ7" s="413" t="s">
        <v>218</v>
      </c>
      <c r="AR7" s="413"/>
      <c r="AS7" s="413"/>
      <c r="AT7" s="413"/>
      <c r="AU7" s="413"/>
      <c r="AV7" s="244"/>
      <c r="AW7" s="412" t="s">
        <v>217</v>
      </c>
      <c r="AX7" s="412"/>
      <c r="AY7" s="413" t="s">
        <v>218</v>
      </c>
      <c r="AZ7" s="413"/>
      <c r="BA7" s="413"/>
      <c r="BB7" s="413"/>
      <c r="BC7" s="413"/>
    </row>
    <row r="8" spans="1:55" ht="14.25" customHeight="1" x14ac:dyDescent="0.3">
      <c r="A8" s="412"/>
      <c r="B8" s="412"/>
      <c r="C8" s="413"/>
      <c r="D8" s="413"/>
      <c r="E8" s="413"/>
      <c r="F8" s="413"/>
      <c r="G8" s="413"/>
      <c r="H8" s="228"/>
      <c r="I8" s="412"/>
      <c r="J8" s="412"/>
      <c r="K8" s="413"/>
      <c r="L8" s="413"/>
      <c r="M8" s="413"/>
      <c r="N8" s="413"/>
      <c r="O8" s="413"/>
      <c r="P8" s="243"/>
      <c r="Q8" s="412"/>
      <c r="R8" s="412"/>
      <c r="S8" s="413"/>
      <c r="T8" s="413"/>
      <c r="U8" s="413"/>
      <c r="V8" s="413"/>
      <c r="W8" s="413"/>
      <c r="X8" s="228"/>
      <c r="Y8" s="412"/>
      <c r="Z8" s="412"/>
      <c r="AA8" s="413"/>
      <c r="AB8" s="413"/>
      <c r="AC8" s="413"/>
      <c r="AD8" s="413"/>
      <c r="AE8" s="413"/>
      <c r="AF8" s="228"/>
      <c r="AG8" s="412"/>
      <c r="AH8" s="412"/>
      <c r="AI8" s="413"/>
      <c r="AJ8" s="413"/>
      <c r="AK8" s="413"/>
      <c r="AL8" s="413"/>
      <c r="AM8" s="413"/>
      <c r="AN8" s="228"/>
      <c r="AO8" s="412"/>
      <c r="AP8" s="412"/>
      <c r="AQ8" s="413"/>
      <c r="AR8" s="413"/>
      <c r="AS8" s="413"/>
      <c r="AT8" s="413"/>
      <c r="AU8" s="413"/>
      <c r="AV8" s="244"/>
      <c r="AW8" s="412"/>
      <c r="AX8" s="412"/>
      <c r="AY8" s="413"/>
      <c r="AZ8" s="413"/>
      <c r="BA8" s="413"/>
      <c r="BB8" s="413"/>
      <c r="BC8" s="413"/>
    </row>
    <row r="9" spans="1:55" ht="14.25" customHeight="1" x14ac:dyDescent="0.3">
      <c r="A9" s="410" t="s">
        <v>10</v>
      </c>
      <c r="B9" s="410"/>
      <c r="C9" s="245">
        <v>0</v>
      </c>
      <c r="D9" s="246">
        <v>1000</v>
      </c>
      <c r="E9" s="246">
        <v>2000</v>
      </c>
      <c r="F9" s="247">
        <v>3000</v>
      </c>
      <c r="G9" s="247">
        <v>4000</v>
      </c>
      <c r="H9" s="243"/>
      <c r="I9" s="410" t="s">
        <v>10</v>
      </c>
      <c r="J9" s="410"/>
      <c r="K9" s="245">
        <v>0</v>
      </c>
      <c r="L9" s="246">
        <v>1000</v>
      </c>
      <c r="M9" s="246">
        <v>2000</v>
      </c>
      <c r="N9" s="247">
        <v>3000</v>
      </c>
      <c r="O9" s="247">
        <v>4000</v>
      </c>
      <c r="P9" s="243"/>
      <c r="Q9" s="410" t="s">
        <v>10</v>
      </c>
      <c r="R9" s="410"/>
      <c r="S9" s="245">
        <v>0</v>
      </c>
      <c r="T9" s="246">
        <v>1000</v>
      </c>
      <c r="U9" s="246">
        <v>2000</v>
      </c>
      <c r="V9" s="247">
        <v>3000</v>
      </c>
      <c r="W9" s="247">
        <v>4000</v>
      </c>
      <c r="X9" s="243"/>
      <c r="Y9" s="410" t="s">
        <v>10</v>
      </c>
      <c r="Z9" s="410"/>
      <c r="AA9" s="245">
        <v>0</v>
      </c>
      <c r="AB9" s="246">
        <v>1000</v>
      </c>
      <c r="AC9" s="246">
        <v>2000</v>
      </c>
      <c r="AD9" s="247">
        <v>3000</v>
      </c>
      <c r="AE9" s="247">
        <v>4000</v>
      </c>
      <c r="AF9" s="243"/>
      <c r="AG9" s="410" t="s">
        <v>10</v>
      </c>
      <c r="AH9" s="410"/>
      <c r="AI9" s="245">
        <v>0</v>
      </c>
      <c r="AJ9" s="246">
        <v>1000</v>
      </c>
      <c r="AK9" s="246">
        <v>2000</v>
      </c>
      <c r="AL9" s="247">
        <v>3000</v>
      </c>
      <c r="AM9" s="247">
        <v>4000</v>
      </c>
      <c r="AN9" s="243"/>
      <c r="AO9" s="410" t="s">
        <v>10</v>
      </c>
      <c r="AP9" s="410"/>
      <c r="AQ9" s="245">
        <v>0</v>
      </c>
      <c r="AR9" s="246">
        <v>1000</v>
      </c>
      <c r="AS9" s="246">
        <v>2000</v>
      </c>
      <c r="AT9" s="247">
        <v>3000</v>
      </c>
      <c r="AU9" s="247">
        <v>4000</v>
      </c>
      <c r="AV9" s="244"/>
      <c r="AW9" s="410" t="s">
        <v>10</v>
      </c>
      <c r="AX9" s="410"/>
      <c r="AY9" s="245">
        <v>0</v>
      </c>
      <c r="AZ9" s="246">
        <v>1000</v>
      </c>
      <c r="BA9" s="246">
        <v>2000</v>
      </c>
      <c r="BB9" s="247">
        <v>3000</v>
      </c>
      <c r="BC9" s="247">
        <v>4000</v>
      </c>
    </row>
    <row r="10" spans="1:55" ht="14.25" customHeight="1" x14ac:dyDescent="0.3">
      <c r="A10" s="411">
        <v>-30</v>
      </c>
      <c r="B10" s="411"/>
      <c r="C10" s="248">
        <v>5957</v>
      </c>
      <c r="D10" s="249">
        <v>6214</v>
      </c>
      <c r="E10" s="249">
        <v>6488</v>
      </c>
      <c r="F10" s="250">
        <v>6779</v>
      </c>
      <c r="G10" s="250">
        <v>99999</v>
      </c>
      <c r="H10" s="2"/>
      <c r="I10" s="411">
        <v>-30</v>
      </c>
      <c r="J10" s="411"/>
      <c r="K10" s="251">
        <v>5679</v>
      </c>
      <c r="L10" s="251">
        <v>5922</v>
      </c>
      <c r="M10" s="251">
        <v>6179</v>
      </c>
      <c r="N10" s="250">
        <v>6453</v>
      </c>
      <c r="O10" s="250">
        <v>99999</v>
      </c>
      <c r="P10" s="42"/>
      <c r="Q10" s="411">
        <v>-30</v>
      </c>
      <c r="R10" s="411"/>
      <c r="S10" s="251">
        <v>5234</v>
      </c>
      <c r="T10" s="251">
        <v>5454</v>
      </c>
      <c r="U10" s="251">
        <v>5687</v>
      </c>
      <c r="V10" s="250">
        <v>5933</v>
      </c>
      <c r="W10" s="250">
        <v>99999</v>
      </c>
      <c r="X10" s="2"/>
      <c r="Y10" s="411">
        <v>-30</v>
      </c>
      <c r="Z10" s="411"/>
      <c r="AA10" s="251">
        <v>4836</v>
      </c>
      <c r="AB10" s="251">
        <v>5034</v>
      </c>
      <c r="AC10" s="251">
        <v>5245</v>
      </c>
      <c r="AD10" s="250">
        <v>5468</v>
      </c>
      <c r="AE10" s="250">
        <v>99999</v>
      </c>
      <c r="AF10" s="2"/>
      <c r="AG10" s="411">
        <v>-30</v>
      </c>
      <c r="AH10" s="411"/>
      <c r="AI10" s="251">
        <v>4538</v>
      </c>
      <c r="AJ10" s="251">
        <v>4700</v>
      </c>
      <c r="AK10" s="251">
        <v>4872</v>
      </c>
      <c r="AL10" s="250">
        <v>5055</v>
      </c>
      <c r="AM10" s="250">
        <v>99999</v>
      </c>
      <c r="AN10" s="2"/>
      <c r="AO10" s="411">
        <v>-30</v>
      </c>
      <c r="AP10" s="411"/>
      <c r="AQ10" s="251">
        <v>4507</v>
      </c>
      <c r="AR10" s="251">
        <v>4664</v>
      </c>
      <c r="AS10" s="251">
        <v>4830</v>
      </c>
      <c r="AT10" s="250">
        <v>5005</v>
      </c>
      <c r="AU10" s="250">
        <v>99999</v>
      </c>
      <c r="AV10" s="252"/>
      <c r="AW10" s="408">
        <v>0</v>
      </c>
      <c r="AX10" s="408"/>
      <c r="AY10" s="251"/>
      <c r="AZ10" s="251"/>
      <c r="BA10" s="251"/>
      <c r="BB10" s="250"/>
      <c r="BC10" s="250">
        <v>99999</v>
      </c>
    </row>
    <row r="11" spans="1:55" ht="14.25" customHeight="1" x14ac:dyDescent="0.3">
      <c r="A11" s="408">
        <v>-25</v>
      </c>
      <c r="B11" s="408"/>
      <c r="C11" s="248">
        <v>6100</v>
      </c>
      <c r="D11" s="249">
        <v>6365</v>
      </c>
      <c r="E11" s="249">
        <v>6646</v>
      </c>
      <c r="F11" s="250">
        <v>6948</v>
      </c>
      <c r="G11" s="250">
        <v>99999</v>
      </c>
      <c r="H11" s="2"/>
      <c r="I11" s="408">
        <v>-25</v>
      </c>
      <c r="J11" s="408"/>
      <c r="K11" s="251">
        <v>5815</v>
      </c>
      <c r="L11" s="251">
        <v>6065</v>
      </c>
      <c r="M11" s="251">
        <v>6329</v>
      </c>
      <c r="N11" s="250">
        <v>6612</v>
      </c>
      <c r="O11" s="250">
        <v>99999</v>
      </c>
      <c r="P11" s="42"/>
      <c r="Q11" s="408">
        <v>-25</v>
      </c>
      <c r="R11" s="408"/>
      <c r="S11" s="251">
        <v>5356</v>
      </c>
      <c r="T11" s="251">
        <v>5583</v>
      </c>
      <c r="U11" s="251">
        <v>5822</v>
      </c>
      <c r="V11" s="250">
        <v>6076</v>
      </c>
      <c r="W11" s="250">
        <v>99999</v>
      </c>
      <c r="X11" s="2"/>
      <c r="Y11" s="408">
        <v>-25</v>
      </c>
      <c r="Z11" s="408"/>
      <c r="AA11" s="251">
        <v>4946</v>
      </c>
      <c r="AB11" s="251">
        <v>5151</v>
      </c>
      <c r="AC11" s="251">
        <v>5367</v>
      </c>
      <c r="AD11" s="250">
        <v>5596</v>
      </c>
      <c r="AE11" s="250">
        <v>99999</v>
      </c>
      <c r="AF11" s="2"/>
      <c r="AG11" s="408">
        <v>-25</v>
      </c>
      <c r="AH11" s="408"/>
      <c r="AI11" s="251">
        <v>4628</v>
      </c>
      <c r="AJ11" s="251">
        <v>4795</v>
      </c>
      <c r="AK11" s="251">
        <v>4972</v>
      </c>
      <c r="AL11" s="250">
        <v>5160</v>
      </c>
      <c r="AM11" s="250">
        <v>99999</v>
      </c>
      <c r="AN11" s="2"/>
      <c r="AO11" s="408">
        <v>-25</v>
      </c>
      <c r="AP11" s="408"/>
      <c r="AQ11" s="251">
        <v>4594</v>
      </c>
      <c r="AR11" s="251">
        <v>4755</v>
      </c>
      <c r="AS11" s="251">
        <v>4926</v>
      </c>
      <c r="AT11" s="250">
        <v>5107</v>
      </c>
      <c r="AU11" s="250">
        <v>99999</v>
      </c>
      <c r="AV11" s="252"/>
      <c r="AW11" s="408">
        <v>10</v>
      </c>
      <c r="AX11" s="408"/>
      <c r="AY11" s="251"/>
      <c r="AZ11" s="251"/>
      <c r="BA11" s="251"/>
      <c r="BB11" s="250"/>
      <c r="BC11" s="250">
        <v>99999</v>
      </c>
    </row>
    <row r="12" spans="1:55" ht="14.25" customHeight="1" x14ac:dyDescent="0.3">
      <c r="A12" s="408">
        <v>-20</v>
      </c>
      <c r="B12" s="408"/>
      <c r="C12" s="248">
        <v>6245</v>
      </c>
      <c r="D12" s="249">
        <v>6518</v>
      </c>
      <c r="E12" s="249">
        <v>6809</v>
      </c>
      <c r="F12" s="250">
        <v>7120</v>
      </c>
      <c r="G12" s="250">
        <v>99999</v>
      </c>
      <c r="H12" s="2"/>
      <c r="I12" s="408">
        <v>-20</v>
      </c>
      <c r="J12" s="408"/>
      <c r="K12" s="251">
        <v>5951</v>
      </c>
      <c r="L12" s="251">
        <v>6208</v>
      </c>
      <c r="M12" s="251">
        <v>6481</v>
      </c>
      <c r="N12" s="250">
        <v>6774</v>
      </c>
      <c r="O12" s="250">
        <v>99999</v>
      </c>
      <c r="P12" s="42"/>
      <c r="Q12" s="408">
        <v>-20</v>
      </c>
      <c r="R12" s="408"/>
      <c r="S12" s="251">
        <v>5480</v>
      </c>
      <c r="T12" s="251">
        <v>5713</v>
      </c>
      <c r="U12" s="251">
        <v>5958</v>
      </c>
      <c r="V12" s="250">
        <v>6221</v>
      </c>
      <c r="W12" s="250">
        <v>99999</v>
      </c>
      <c r="X12" s="2"/>
      <c r="Y12" s="408">
        <v>-20</v>
      </c>
      <c r="Z12" s="408"/>
      <c r="AA12" s="251">
        <v>5058</v>
      </c>
      <c r="AB12" s="251">
        <v>5268</v>
      </c>
      <c r="AC12" s="251">
        <v>5490</v>
      </c>
      <c r="AD12" s="250">
        <v>5728</v>
      </c>
      <c r="AE12" s="250">
        <v>99999</v>
      </c>
      <c r="AF12" s="2"/>
      <c r="AG12" s="408">
        <v>-20</v>
      </c>
      <c r="AH12" s="408"/>
      <c r="AI12" s="251">
        <v>4719</v>
      </c>
      <c r="AJ12" s="251">
        <v>4891</v>
      </c>
      <c r="AK12" s="251">
        <v>5074</v>
      </c>
      <c r="AL12" s="250">
        <v>5273</v>
      </c>
      <c r="AM12" s="250">
        <v>99999</v>
      </c>
      <c r="AN12" s="2"/>
      <c r="AO12" s="408">
        <v>-20</v>
      </c>
      <c r="AP12" s="408"/>
      <c r="AQ12" s="251">
        <v>4682</v>
      </c>
      <c r="AR12" s="251">
        <v>4848</v>
      </c>
      <c r="AS12" s="251">
        <v>5024</v>
      </c>
      <c r="AT12" s="250">
        <v>5210</v>
      </c>
      <c r="AU12" s="250">
        <v>99999</v>
      </c>
      <c r="AV12" s="252"/>
      <c r="AW12" s="253"/>
      <c r="AX12" s="254"/>
      <c r="AY12" s="251"/>
      <c r="AZ12" s="251"/>
      <c r="BA12" s="251"/>
      <c r="BB12" s="250"/>
      <c r="BC12" s="250">
        <v>99999</v>
      </c>
    </row>
    <row r="13" spans="1:55" ht="14.25" customHeight="1" x14ac:dyDescent="0.3">
      <c r="A13" s="408">
        <v>-15</v>
      </c>
      <c r="B13" s="408"/>
      <c r="C13" s="248">
        <v>6391</v>
      </c>
      <c r="D13" s="249">
        <v>6673</v>
      </c>
      <c r="E13" s="249">
        <v>6972</v>
      </c>
      <c r="F13" s="250">
        <v>7294</v>
      </c>
      <c r="G13" s="250">
        <v>99999</v>
      </c>
      <c r="H13" s="2"/>
      <c r="I13" s="408">
        <v>-15</v>
      </c>
      <c r="J13" s="408"/>
      <c r="K13" s="251">
        <v>6089</v>
      </c>
      <c r="L13" s="251">
        <v>6353</v>
      </c>
      <c r="M13" s="251">
        <v>6635</v>
      </c>
      <c r="N13" s="250">
        <v>6938</v>
      </c>
      <c r="O13" s="250">
        <v>99999</v>
      </c>
      <c r="P13" s="42"/>
      <c r="Q13" s="408">
        <v>-15</v>
      </c>
      <c r="R13" s="408"/>
      <c r="S13" s="251">
        <v>5605</v>
      </c>
      <c r="T13" s="251">
        <v>5843</v>
      </c>
      <c r="U13" s="251">
        <v>6096</v>
      </c>
      <c r="V13" s="250">
        <v>6368</v>
      </c>
      <c r="W13" s="250">
        <v>99999</v>
      </c>
      <c r="X13" s="2"/>
      <c r="Y13" s="408">
        <v>-15</v>
      </c>
      <c r="Z13" s="408"/>
      <c r="AA13" s="251">
        <v>5170</v>
      </c>
      <c r="AB13" s="251">
        <v>5386</v>
      </c>
      <c r="AC13" s="251">
        <v>5614</v>
      </c>
      <c r="AD13" s="250">
        <v>5860</v>
      </c>
      <c r="AE13" s="250">
        <v>99999</v>
      </c>
      <c r="AF13" s="2"/>
      <c r="AG13" s="408">
        <v>-15</v>
      </c>
      <c r="AH13" s="408"/>
      <c r="AI13" s="251">
        <v>4812</v>
      </c>
      <c r="AJ13" s="251">
        <v>4988</v>
      </c>
      <c r="AK13" s="251">
        <v>5175</v>
      </c>
      <c r="AL13" s="250">
        <v>5392</v>
      </c>
      <c r="AM13" s="250">
        <v>99999</v>
      </c>
      <c r="AN13" s="2"/>
      <c r="AO13" s="408">
        <v>-15</v>
      </c>
      <c r="AP13" s="408"/>
      <c r="AQ13" s="251">
        <v>4771</v>
      </c>
      <c r="AR13" s="251">
        <v>4941</v>
      </c>
      <c r="AS13" s="251">
        <v>5122</v>
      </c>
      <c r="AT13" s="250">
        <v>5313</v>
      </c>
      <c r="AU13" s="250">
        <v>99999</v>
      </c>
      <c r="AV13" s="252"/>
      <c r="AW13" s="253"/>
      <c r="AX13" s="254"/>
      <c r="AY13" s="251"/>
      <c r="AZ13" s="251"/>
      <c r="BA13" s="251"/>
      <c r="BB13" s="250"/>
      <c r="BC13" s="250">
        <v>99999</v>
      </c>
    </row>
    <row r="14" spans="1:55" ht="14.25" customHeight="1" x14ac:dyDescent="0.3">
      <c r="A14" s="408">
        <v>-10</v>
      </c>
      <c r="B14" s="408"/>
      <c r="C14" s="248">
        <v>6539</v>
      </c>
      <c r="D14" s="249">
        <v>6828</v>
      </c>
      <c r="E14" s="249">
        <v>7138</v>
      </c>
      <c r="F14" s="250">
        <v>7470</v>
      </c>
      <c r="G14" s="250">
        <v>99999</v>
      </c>
      <c r="H14" s="2"/>
      <c r="I14" s="408">
        <v>-10</v>
      </c>
      <c r="J14" s="408"/>
      <c r="K14" s="251">
        <v>6227</v>
      </c>
      <c r="L14" s="251">
        <v>6500</v>
      </c>
      <c r="M14" s="251">
        <v>6791</v>
      </c>
      <c r="N14" s="250">
        <v>7103</v>
      </c>
      <c r="O14" s="250">
        <v>99999</v>
      </c>
      <c r="P14" s="42"/>
      <c r="Q14" s="408">
        <v>-10</v>
      </c>
      <c r="R14" s="408"/>
      <c r="S14" s="251">
        <v>5730</v>
      </c>
      <c r="T14" s="251">
        <v>5975</v>
      </c>
      <c r="U14" s="251">
        <v>6236</v>
      </c>
      <c r="V14" s="250">
        <v>6517</v>
      </c>
      <c r="W14" s="250">
        <v>99999</v>
      </c>
      <c r="X14" s="2"/>
      <c r="Y14" s="408">
        <v>-10</v>
      </c>
      <c r="Z14" s="408"/>
      <c r="AA14" s="251">
        <v>5283</v>
      </c>
      <c r="AB14" s="251">
        <v>5505</v>
      </c>
      <c r="AC14" s="251">
        <v>5741</v>
      </c>
      <c r="AD14" s="250">
        <v>5992</v>
      </c>
      <c r="AE14" s="250">
        <v>99999</v>
      </c>
      <c r="AF14" s="2"/>
      <c r="AG14" s="408">
        <v>-10</v>
      </c>
      <c r="AH14" s="408"/>
      <c r="AI14" s="251">
        <v>4904</v>
      </c>
      <c r="AJ14" s="251">
        <v>5086</v>
      </c>
      <c r="AK14" s="251">
        <v>5286</v>
      </c>
      <c r="AL14" s="250">
        <v>5512</v>
      </c>
      <c r="AM14" s="250">
        <v>99999</v>
      </c>
      <c r="AN14" s="2"/>
      <c r="AO14" s="408">
        <v>-10</v>
      </c>
      <c r="AP14" s="408"/>
      <c r="AQ14" s="251">
        <v>4861</v>
      </c>
      <c r="AR14" s="251">
        <v>5036</v>
      </c>
      <c r="AS14" s="251">
        <v>5221</v>
      </c>
      <c r="AT14" s="250">
        <v>5417</v>
      </c>
      <c r="AU14" s="250">
        <v>99999</v>
      </c>
      <c r="AV14" s="252"/>
      <c r="AW14" s="253"/>
      <c r="AX14" s="254"/>
      <c r="AY14" s="251"/>
      <c r="AZ14" s="251"/>
      <c r="BA14" s="251"/>
      <c r="BB14" s="250"/>
      <c r="BC14" s="250">
        <v>99999</v>
      </c>
    </row>
    <row r="15" spans="1:55" ht="14.25" customHeight="1" x14ac:dyDescent="0.3">
      <c r="A15" s="408">
        <v>-5</v>
      </c>
      <c r="B15" s="408"/>
      <c r="C15" s="248">
        <v>6688</v>
      </c>
      <c r="D15" s="249">
        <v>6986</v>
      </c>
      <c r="E15" s="249">
        <v>7306</v>
      </c>
      <c r="F15" s="250">
        <v>7647</v>
      </c>
      <c r="G15" s="250">
        <v>99999</v>
      </c>
      <c r="H15" s="2"/>
      <c r="I15" s="408">
        <v>-5</v>
      </c>
      <c r="J15" s="408"/>
      <c r="K15" s="251">
        <v>6367</v>
      </c>
      <c r="L15" s="251">
        <v>6647</v>
      </c>
      <c r="M15" s="251">
        <v>6949</v>
      </c>
      <c r="N15" s="250">
        <v>7270</v>
      </c>
      <c r="O15" s="250">
        <v>99999</v>
      </c>
      <c r="P15" s="42"/>
      <c r="Q15" s="408">
        <v>-5</v>
      </c>
      <c r="R15" s="408"/>
      <c r="S15" s="251">
        <v>5856</v>
      </c>
      <c r="T15" s="251">
        <v>6107</v>
      </c>
      <c r="U15" s="251">
        <v>6378</v>
      </c>
      <c r="V15" s="250">
        <v>6667</v>
      </c>
      <c r="W15" s="250">
        <v>99999</v>
      </c>
      <c r="X15" s="2"/>
      <c r="Y15" s="408">
        <v>-5</v>
      </c>
      <c r="Z15" s="408"/>
      <c r="AA15" s="251">
        <v>5397</v>
      </c>
      <c r="AB15" s="251">
        <v>5625</v>
      </c>
      <c r="AC15" s="251">
        <v>5869</v>
      </c>
      <c r="AD15" s="250">
        <v>6127</v>
      </c>
      <c r="AE15" s="250">
        <v>99999</v>
      </c>
      <c r="AF15" s="2"/>
      <c r="AG15" s="408">
        <v>-5</v>
      </c>
      <c r="AH15" s="408"/>
      <c r="AI15" s="251">
        <v>4998</v>
      </c>
      <c r="AJ15" s="251">
        <v>5184</v>
      </c>
      <c r="AK15" s="251">
        <v>5401</v>
      </c>
      <c r="AL15" s="250">
        <v>5633</v>
      </c>
      <c r="AM15" s="250">
        <v>99999</v>
      </c>
      <c r="AN15" s="2"/>
      <c r="AO15" s="408">
        <v>-5</v>
      </c>
      <c r="AP15" s="408"/>
      <c r="AQ15" s="251">
        <v>4951</v>
      </c>
      <c r="AR15" s="251">
        <v>5130</v>
      </c>
      <c r="AS15" s="251">
        <v>5321</v>
      </c>
      <c r="AT15" s="250">
        <v>5522</v>
      </c>
      <c r="AU15" s="250">
        <v>99999</v>
      </c>
      <c r="AV15" s="252"/>
      <c r="AW15" s="253"/>
      <c r="AX15" s="254"/>
      <c r="AY15" s="251"/>
      <c r="AZ15" s="251"/>
      <c r="BA15" s="251"/>
      <c r="BB15" s="250"/>
      <c r="BC15" s="250">
        <v>99999</v>
      </c>
    </row>
    <row r="16" spans="1:55" ht="14.25" customHeight="1" x14ac:dyDescent="0.3">
      <c r="A16" s="408">
        <v>0</v>
      </c>
      <c r="B16" s="408"/>
      <c r="C16" s="248">
        <v>6838</v>
      </c>
      <c r="D16" s="249">
        <v>7146</v>
      </c>
      <c r="E16" s="249">
        <v>7476</v>
      </c>
      <c r="F16" s="250">
        <v>7826</v>
      </c>
      <c r="G16" s="250">
        <v>99999</v>
      </c>
      <c r="H16" s="2"/>
      <c r="I16" s="408">
        <v>0</v>
      </c>
      <c r="J16" s="408"/>
      <c r="K16" s="251">
        <v>6509</v>
      </c>
      <c r="L16" s="251">
        <v>6799</v>
      </c>
      <c r="M16" s="251">
        <v>7109</v>
      </c>
      <c r="N16" s="250">
        <v>7439</v>
      </c>
      <c r="O16" s="250">
        <v>99999</v>
      </c>
      <c r="P16" s="42"/>
      <c r="Q16" s="408">
        <v>0</v>
      </c>
      <c r="R16" s="408"/>
      <c r="S16" s="251">
        <v>5983</v>
      </c>
      <c r="T16" s="251">
        <v>6243</v>
      </c>
      <c r="U16" s="251">
        <v>6522</v>
      </c>
      <c r="V16" s="250">
        <v>6819</v>
      </c>
      <c r="W16" s="250">
        <v>99999</v>
      </c>
      <c r="X16" s="2"/>
      <c r="Y16" s="408">
        <v>0</v>
      </c>
      <c r="Z16" s="408"/>
      <c r="AA16" s="251">
        <v>5512</v>
      </c>
      <c r="AB16" s="251">
        <v>5747</v>
      </c>
      <c r="AC16" s="251">
        <v>5997</v>
      </c>
      <c r="AD16" s="250">
        <v>6263</v>
      </c>
      <c r="AE16" s="250">
        <v>99999</v>
      </c>
      <c r="AF16" s="2"/>
      <c r="AG16" s="408">
        <v>0</v>
      </c>
      <c r="AH16" s="408"/>
      <c r="AI16" s="251">
        <v>5092</v>
      </c>
      <c r="AJ16" s="251">
        <v>5291</v>
      </c>
      <c r="AK16" s="251">
        <v>5516</v>
      </c>
      <c r="AL16" s="250">
        <v>5755</v>
      </c>
      <c r="AM16" s="250">
        <v>99999</v>
      </c>
      <c r="AN16" s="2"/>
      <c r="AO16" s="408">
        <v>0</v>
      </c>
      <c r="AP16" s="408"/>
      <c r="AQ16" s="251">
        <v>5042</v>
      </c>
      <c r="AR16" s="251">
        <v>5226</v>
      </c>
      <c r="AS16" s="251">
        <v>5421</v>
      </c>
      <c r="AT16" s="250">
        <v>5628</v>
      </c>
      <c r="AU16" s="250">
        <v>99999</v>
      </c>
      <c r="AV16" s="252"/>
      <c r="AW16" s="253"/>
      <c r="AX16" s="254"/>
      <c r="AY16" s="251"/>
      <c r="AZ16" s="251"/>
      <c r="BA16" s="251"/>
      <c r="BB16" s="250"/>
      <c r="BC16" s="250">
        <v>99999</v>
      </c>
    </row>
    <row r="17" spans="1:55" ht="14.25" customHeight="1" x14ac:dyDescent="0.3">
      <c r="A17" s="408">
        <v>5</v>
      </c>
      <c r="B17" s="408"/>
      <c r="C17" s="248">
        <v>6990</v>
      </c>
      <c r="D17" s="249">
        <v>7308</v>
      </c>
      <c r="E17" s="249">
        <v>7646</v>
      </c>
      <c r="F17" s="250">
        <v>8006</v>
      </c>
      <c r="G17" s="250">
        <v>99999</v>
      </c>
      <c r="H17" s="2"/>
      <c r="I17" s="408">
        <v>5</v>
      </c>
      <c r="J17" s="408"/>
      <c r="K17" s="251">
        <v>6651</v>
      </c>
      <c r="L17" s="251">
        <v>6951</v>
      </c>
      <c r="M17" s="251">
        <v>7270</v>
      </c>
      <c r="N17" s="250">
        <v>7609</v>
      </c>
      <c r="O17" s="250">
        <v>99999</v>
      </c>
      <c r="P17" s="42"/>
      <c r="Q17" s="408">
        <v>5</v>
      </c>
      <c r="R17" s="408"/>
      <c r="S17" s="251">
        <v>6111</v>
      </c>
      <c r="T17" s="251">
        <v>6380</v>
      </c>
      <c r="U17" s="251">
        <v>6666</v>
      </c>
      <c r="V17" s="250">
        <v>6972</v>
      </c>
      <c r="W17" s="250">
        <v>99999</v>
      </c>
      <c r="X17" s="2"/>
      <c r="Y17" s="408">
        <v>5</v>
      </c>
      <c r="Z17" s="408"/>
      <c r="AA17" s="251">
        <v>5628</v>
      </c>
      <c r="AB17" s="251">
        <v>5870</v>
      </c>
      <c r="AC17" s="251">
        <v>6126</v>
      </c>
      <c r="AD17" s="250">
        <v>6400</v>
      </c>
      <c r="AE17" s="250">
        <v>99999</v>
      </c>
      <c r="AF17" s="2"/>
      <c r="AG17" s="408">
        <v>5</v>
      </c>
      <c r="AH17" s="408"/>
      <c r="AI17" s="251">
        <v>5187</v>
      </c>
      <c r="AJ17" s="251">
        <v>5402</v>
      </c>
      <c r="AK17" s="251">
        <v>5633</v>
      </c>
      <c r="AL17" s="250">
        <v>5878</v>
      </c>
      <c r="AM17" s="250">
        <v>99999</v>
      </c>
      <c r="AN17" s="2"/>
      <c r="AO17" s="408">
        <v>5</v>
      </c>
      <c r="AP17" s="408"/>
      <c r="AQ17" s="251">
        <v>5133</v>
      </c>
      <c r="AR17" s="251">
        <v>5322</v>
      </c>
      <c r="AS17" s="251">
        <v>5522</v>
      </c>
      <c r="AT17" s="250">
        <v>5734</v>
      </c>
      <c r="AU17" s="250">
        <v>99999</v>
      </c>
      <c r="AV17" s="252"/>
      <c r="AW17" s="253"/>
      <c r="AX17" s="254"/>
      <c r="AY17" s="251"/>
      <c r="AZ17" s="251"/>
      <c r="BA17" s="251"/>
      <c r="BB17" s="250"/>
      <c r="BC17" s="250">
        <v>99999</v>
      </c>
    </row>
    <row r="18" spans="1:55" ht="14.25" customHeight="1" x14ac:dyDescent="0.3">
      <c r="A18" s="408">
        <v>10</v>
      </c>
      <c r="B18" s="408"/>
      <c r="C18" s="248">
        <v>7145</v>
      </c>
      <c r="D18" s="249">
        <v>7472</v>
      </c>
      <c r="E18" s="249">
        <v>7819</v>
      </c>
      <c r="F18" s="250">
        <v>8189</v>
      </c>
      <c r="G18" s="250">
        <v>99999</v>
      </c>
      <c r="H18" s="2"/>
      <c r="I18" s="408">
        <v>10</v>
      </c>
      <c r="J18" s="408"/>
      <c r="K18" s="251">
        <v>6797</v>
      </c>
      <c r="L18" s="251">
        <v>7105</v>
      </c>
      <c r="M18" s="251">
        <v>7432</v>
      </c>
      <c r="N18" s="250">
        <v>7781</v>
      </c>
      <c r="O18" s="250">
        <v>99999</v>
      </c>
      <c r="P18" s="42"/>
      <c r="Q18" s="408">
        <v>10</v>
      </c>
      <c r="R18" s="408"/>
      <c r="S18" s="251">
        <v>6241</v>
      </c>
      <c r="T18" s="251">
        <v>6518</v>
      </c>
      <c r="U18" s="251">
        <v>6813</v>
      </c>
      <c r="V18" s="250">
        <v>7127</v>
      </c>
      <c r="W18" s="250">
        <v>99999</v>
      </c>
      <c r="X18" s="2"/>
      <c r="Y18" s="408">
        <v>10</v>
      </c>
      <c r="Z18" s="408"/>
      <c r="AA18" s="251">
        <v>5746</v>
      </c>
      <c r="AB18" s="251">
        <v>5994</v>
      </c>
      <c r="AC18" s="251">
        <v>6257</v>
      </c>
      <c r="AD18" s="250">
        <v>6540</v>
      </c>
      <c r="AE18" s="250">
        <v>99999</v>
      </c>
      <c r="AF18" s="2"/>
      <c r="AG18" s="408">
        <v>10</v>
      </c>
      <c r="AH18" s="408"/>
      <c r="AI18" s="251">
        <v>5290</v>
      </c>
      <c r="AJ18" s="251">
        <v>5513</v>
      </c>
      <c r="AK18" s="251">
        <v>5633</v>
      </c>
      <c r="AL18" s="250">
        <v>6001</v>
      </c>
      <c r="AM18" s="250">
        <v>99999</v>
      </c>
      <c r="AN18" s="2"/>
      <c r="AO18" s="408">
        <v>10</v>
      </c>
      <c r="AP18" s="408"/>
      <c r="AQ18" s="251">
        <v>5225</v>
      </c>
      <c r="AR18" s="251">
        <v>5419</v>
      </c>
      <c r="AS18" s="251">
        <v>5624</v>
      </c>
      <c r="AT18" s="250">
        <v>5841</v>
      </c>
      <c r="AU18" s="250">
        <v>99999</v>
      </c>
      <c r="AV18" s="252"/>
      <c r="AW18" s="253"/>
      <c r="AX18" s="254"/>
      <c r="AY18" s="251"/>
      <c r="AZ18" s="251"/>
      <c r="BA18" s="251"/>
      <c r="BB18" s="250"/>
      <c r="BC18" s="250">
        <v>99999</v>
      </c>
    </row>
    <row r="19" spans="1:55" ht="14.25" customHeight="1" x14ac:dyDescent="0.3">
      <c r="A19" s="408">
        <v>15</v>
      </c>
      <c r="B19" s="408"/>
      <c r="C19" s="248">
        <v>7301</v>
      </c>
      <c r="D19" s="249">
        <v>7636</v>
      </c>
      <c r="E19" s="249">
        <v>7993</v>
      </c>
      <c r="F19" s="250">
        <v>8373</v>
      </c>
      <c r="G19" s="250">
        <v>99999</v>
      </c>
      <c r="H19" s="2"/>
      <c r="I19" s="408">
        <v>15</v>
      </c>
      <c r="J19" s="408"/>
      <c r="K19" s="251">
        <v>6944</v>
      </c>
      <c r="L19" s="251">
        <v>7260</v>
      </c>
      <c r="M19" s="251">
        <v>7596</v>
      </c>
      <c r="N19" s="250">
        <v>7953</v>
      </c>
      <c r="O19" s="250">
        <v>99999</v>
      </c>
      <c r="P19" s="42"/>
      <c r="Q19" s="408">
        <v>15</v>
      </c>
      <c r="R19" s="408"/>
      <c r="S19" s="251">
        <v>6373</v>
      </c>
      <c r="T19" s="251">
        <v>6658</v>
      </c>
      <c r="U19" s="251">
        <v>6960</v>
      </c>
      <c r="V19" s="250">
        <v>7283</v>
      </c>
      <c r="W19" s="250">
        <v>99999</v>
      </c>
      <c r="X19" s="2"/>
      <c r="Y19" s="408">
        <v>15</v>
      </c>
      <c r="Z19" s="408"/>
      <c r="AA19" s="251">
        <v>5864</v>
      </c>
      <c r="AB19" s="251">
        <v>6118</v>
      </c>
      <c r="AC19" s="251">
        <v>6390</v>
      </c>
      <c r="AD19" s="250">
        <v>6680</v>
      </c>
      <c r="AE19" s="250">
        <v>99999</v>
      </c>
      <c r="AF19" s="2"/>
      <c r="AG19" s="408">
        <v>15</v>
      </c>
      <c r="AH19" s="408"/>
      <c r="AI19" s="251">
        <v>5397</v>
      </c>
      <c r="AJ19" s="251">
        <v>5626</v>
      </c>
      <c r="AK19" s="251">
        <v>5868</v>
      </c>
      <c r="AL19" s="250">
        <v>6126</v>
      </c>
      <c r="AM19" s="250">
        <v>99999</v>
      </c>
      <c r="AN19" s="2"/>
      <c r="AO19" s="408">
        <v>15</v>
      </c>
      <c r="AP19" s="408"/>
      <c r="AQ19" s="251">
        <v>5318</v>
      </c>
      <c r="AR19" s="251">
        <v>5516</v>
      </c>
      <c r="AS19" s="251">
        <v>5727</v>
      </c>
      <c r="AT19" s="250">
        <v>5950</v>
      </c>
      <c r="AU19" s="250">
        <v>99999</v>
      </c>
      <c r="AV19" s="252"/>
      <c r="AW19" s="253"/>
      <c r="AX19" s="254"/>
      <c r="AY19" s="251"/>
      <c r="AZ19" s="251"/>
      <c r="BA19" s="251"/>
      <c r="BB19" s="250"/>
      <c r="BC19" s="250">
        <v>99999</v>
      </c>
    </row>
    <row r="20" spans="1:55" ht="14.25" customHeight="1" x14ac:dyDescent="0.3">
      <c r="A20" s="408">
        <v>20</v>
      </c>
      <c r="B20" s="408"/>
      <c r="C20" s="248">
        <v>7458</v>
      </c>
      <c r="D20" s="249">
        <v>7802</v>
      </c>
      <c r="E20" s="249">
        <v>8168</v>
      </c>
      <c r="F20" s="250">
        <v>8558</v>
      </c>
      <c r="G20" s="250">
        <v>99999</v>
      </c>
      <c r="H20" s="2"/>
      <c r="I20" s="408">
        <v>20</v>
      </c>
      <c r="J20" s="408"/>
      <c r="K20" s="251">
        <v>7092</v>
      </c>
      <c r="L20" s="251">
        <v>7416</v>
      </c>
      <c r="M20" s="251">
        <v>7761</v>
      </c>
      <c r="N20" s="250">
        <v>8128</v>
      </c>
      <c r="O20" s="250">
        <v>99999</v>
      </c>
      <c r="P20" s="42"/>
      <c r="Q20" s="408">
        <v>20</v>
      </c>
      <c r="R20" s="408"/>
      <c r="S20" s="251">
        <v>6507</v>
      </c>
      <c r="T20" s="251">
        <v>6798</v>
      </c>
      <c r="U20" s="251">
        <v>7110</v>
      </c>
      <c r="V20" s="250">
        <v>7440</v>
      </c>
      <c r="W20" s="250">
        <v>99999</v>
      </c>
      <c r="X20" s="2"/>
      <c r="Y20" s="408">
        <v>20</v>
      </c>
      <c r="Z20" s="408"/>
      <c r="AA20" s="251">
        <v>5983</v>
      </c>
      <c r="AB20" s="251">
        <v>6244</v>
      </c>
      <c r="AC20" s="251">
        <v>6523</v>
      </c>
      <c r="AD20" s="250">
        <v>6822</v>
      </c>
      <c r="AE20" s="250">
        <v>99999</v>
      </c>
      <c r="AF20" s="2"/>
      <c r="AG20" s="408">
        <v>20</v>
      </c>
      <c r="AH20" s="408"/>
      <c r="AI20" s="251">
        <v>5504</v>
      </c>
      <c r="AJ20" s="251">
        <v>5739</v>
      </c>
      <c r="AK20" s="251">
        <v>5987</v>
      </c>
      <c r="AL20" s="250">
        <v>6253</v>
      </c>
      <c r="AM20" s="250">
        <v>99999</v>
      </c>
      <c r="AN20" s="2"/>
      <c r="AO20" s="408">
        <v>20</v>
      </c>
      <c r="AP20" s="408"/>
      <c r="AQ20" s="251">
        <v>5411</v>
      </c>
      <c r="AR20" s="251">
        <v>5613</v>
      </c>
      <c r="AS20" s="251">
        <v>5830</v>
      </c>
      <c r="AT20" s="250">
        <v>6058</v>
      </c>
      <c r="AU20" s="250">
        <v>99999</v>
      </c>
      <c r="AV20" s="252"/>
      <c r="AW20" s="408">
        <v>20</v>
      </c>
      <c r="AX20" s="408"/>
      <c r="AY20" s="251"/>
      <c r="AZ20" s="251"/>
      <c r="BA20" s="251"/>
      <c r="BB20" s="250"/>
      <c r="BC20" s="250">
        <v>99999</v>
      </c>
    </row>
    <row r="21" spans="1:55" ht="14.25" customHeight="1" x14ac:dyDescent="0.3">
      <c r="A21" s="408">
        <v>25</v>
      </c>
      <c r="B21" s="408"/>
      <c r="C21" s="248">
        <v>7617</v>
      </c>
      <c r="D21" s="249">
        <v>7969</v>
      </c>
      <c r="E21" s="249">
        <v>8345</v>
      </c>
      <c r="F21" s="250">
        <v>8757</v>
      </c>
      <c r="G21" s="250">
        <v>99999</v>
      </c>
      <c r="H21" s="2"/>
      <c r="I21" s="408">
        <v>25</v>
      </c>
      <c r="J21" s="408"/>
      <c r="K21" s="251">
        <v>7242</v>
      </c>
      <c r="L21" s="251">
        <v>7574</v>
      </c>
      <c r="M21" s="251">
        <v>7927</v>
      </c>
      <c r="N21" s="250">
        <v>8314</v>
      </c>
      <c r="O21" s="250">
        <v>99999</v>
      </c>
      <c r="P21" s="42"/>
      <c r="Q21" s="408">
        <v>25</v>
      </c>
      <c r="R21" s="408"/>
      <c r="S21" s="251">
        <v>6641</v>
      </c>
      <c r="T21" s="251">
        <v>6941</v>
      </c>
      <c r="U21" s="251">
        <v>7259</v>
      </c>
      <c r="V21" s="250">
        <v>7607</v>
      </c>
      <c r="W21" s="250">
        <v>99999</v>
      </c>
      <c r="X21" s="2"/>
      <c r="Y21" s="408">
        <v>25</v>
      </c>
      <c r="Z21" s="408"/>
      <c r="AA21" s="251">
        <v>6103</v>
      </c>
      <c r="AB21" s="251">
        <v>6372</v>
      </c>
      <c r="AC21" s="251">
        <v>6659</v>
      </c>
      <c r="AD21" s="250">
        <v>6972</v>
      </c>
      <c r="AE21" s="250">
        <v>99999</v>
      </c>
      <c r="AF21" s="2"/>
      <c r="AG21" s="408">
        <v>25</v>
      </c>
      <c r="AH21" s="408"/>
      <c r="AI21" s="251">
        <v>5612</v>
      </c>
      <c r="AJ21" s="251">
        <v>5852</v>
      </c>
      <c r="AK21" s="251">
        <v>6108</v>
      </c>
      <c r="AL21" s="250">
        <v>6387</v>
      </c>
      <c r="AM21" s="250">
        <v>99999</v>
      </c>
      <c r="AN21" s="2"/>
      <c r="AO21" s="408">
        <v>25</v>
      </c>
      <c r="AP21" s="408"/>
      <c r="AQ21" s="251">
        <v>5505</v>
      </c>
      <c r="AR21" s="251">
        <v>5713</v>
      </c>
      <c r="AS21" s="251">
        <v>5934</v>
      </c>
      <c r="AT21" s="250">
        <v>6170</v>
      </c>
      <c r="AU21" s="250">
        <v>99999</v>
      </c>
      <c r="AV21" s="252"/>
      <c r="AW21" s="253"/>
      <c r="AX21" s="254"/>
      <c r="AY21" s="251"/>
      <c r="AZ21" s="251"/>
      <c r="BA21" s="251"/>
      <c r="BB21" s="250"/>
      <c r="BC21" s="250">
        <v>99999</v>
      </c>
    </row>
    <row r="22" spans="1:55" ht="14.25" customHeight="1" x14ac:dyDescent="0.3">
      <c r="A22" s="408">
        <v>30</v>
      </c>
      <c r="B22" s="408"/>
      <c r="C22" s="248">
        <v>7777</v>
      </c>
      <c r="D22" s="249">
        <v>8139</v>
      </c>
      <c r="E22" s="249">
        <v>8555</v>
      </c>
      <c r="F22" s="250">
        <v>99999</v>
      </c>
      <c r="G22" s="250">
        <v>99999</v>
      </c>
      <c r="H22" s="2"/>
      <c r="I22" s="408">
        <v>30</v>
      </c>
      <c r="J22" s="408"/>
      <c r="K22" s="251">
        <v>7392</v>
      </c>
      <c r="L22" s="251">
        <v>7733</v>
      </c>
      <c r="M22" s="251">
        <v>8124</v>
      </c>
      <c r="N22" s="250">
        <v>8610</v>
      </c>
      <c r="O22" s="250">
        <v>99999</v>
      </c>
      <c r="P22" s="42"/>
      <c r="Q22" s="408">
        <v>30</v>
      </c>
      <c r="R22" s="408"/>
      <c r="S22" s="251">
        <v>6777</v>
      </c>
      <c r="T22" s="251">
        <v>7084</v>
      </c>
      <c r="U22" s="251">
        <v>7434</v>
      </c>
      <c r="V22" s="250">
        <v>7863</v>
      </c>
      <c r="W22" s="250">
        <v>99999</v>
      </c>
      <c r="X22" s="2"/>
      <c r="Y22" s="408">
        <v>30</v>
      </c>
      <c r="Z22" s="408"/>
      <c r="AA22" s="251">
        <v>6225</v>
      </c>
      <c r="AB22" s="251">
        <v>6501</v>
      </c>
      <c r="AC22" s="251">
        <v>6814</v>
      </c>
      <c r="AD22" s="250">
        <v>7194</v>
      </c>
      <c r="AE22" s="250">
        <v>99999</v>
      </c>
      <c r="AF22" s="2"/>
      <c r="AG22" s="408">
        <v>30</v>
      </c>
      <c r="AH22" s="408"/>
      <c r="AI22" s="251">
        <v>5721</v>
      </c>
      <c r="AJ22" s="251">
        <v>5967</v>
      </c>
      <c r="AK22" s="251">
        <v>6243</v>
      </c>
      <c r="AL22" s="250">
        <v>6578</v>
      </c>
      <c r="AM22" s="250">
        <v>99999</v>
      </c>
      <c r="AN22" s="2"/>
      <c r="AO22" s="408">
        <v>30</v>
      </c>
      <c r="AP22" s="408"/>
      <c r="AQ22" s="251">
        <v>5600</v>
      </c>
      <c r="AR22" s="251">
        <v>5813</v>
      </c>
      <c r="AS22" s="251">
        <v>6043</v>
      </c>
      <c r="AT22" s="250">
        <v>6170</v>
      </c>
      <c r="AU22" s="250">
        <v>99999</v>
      </c>
      <c r="AV22" s="252"/>
      <c r="AW22" s="408">
        <v>30</v>
      </c>
      <c r="AX22" s="408"/>
      <c r="AY22" s="251"/>
      <c r="AZ22" s="251"/>
      <c r="BA22" s="251"/>
      <c r="BB22" s="250"/>
      <c r="BC22" s="250">
        <v>99999</v>
      </c>
    </row>
    <row r="23" spans="1:55" ht="14.25" customHeight="1" x14ac:dyDescent="0.3">
      <c r="A23" s="408">
        <v>40</v>
      </c>
      <c r="B23" s="408"/>
      <c r="C23" s="255">
        <v>99999</v>
      </c>
      <c r="D23" s="255">
        <v>99999</v>
      </c>
      <c r="E23" s="255">
        <v>99999</v>
      </c>
      <c r="F23" s="255">
        <v>99999</v>
      </c>
      <c r="G23" s="250">
        <v>99999</v>
      </c>
      <c r="H23" s="2"/>
      <c r="I23" s="408">
        <v>40</v>
      </c>
      <c r="J23" s="408"/>
      <c r="K23" s="255">
        <v>99999</v>
      </c>
      <c r="L23" s="255">
        <v>99999</v>
      </c>
      <c r="M23" s="255">
        <v>99999</v>
      </c>
      <c r="N23" s="255">
        <v>99999</v>
      </c>
      <c r="O23" s="250">
        <v>99999</v>
      </c>
      <c r="P23" s="42"/>
      <c r="Q23" s="408">
        <v>40</v>
      </c>
      <c r="R23" s="408"/>
      <c r="S23" s="255">
        <v>99999</v>
      </c>
      <c r="T23" s="255">
        <v>99999</v>
      </c>
      <c r="U23" s="255">
        <v>99999</v>
      </c>
      <c r="V23" s="255">
        <v>99999</v>
      </c>
      <c r="W23" s="250">
        <v>99999</v>
      </c>
      <c r="X23" s="2"/>
      <c r="Y23" s="408">
        <v>40</v>
      </c>
      <c r="Z23" s="408"/>
      <c r="AA23" s="255">
        <v>99999</v>
      </c>
      <c r="AB23" s="255">
        <v>99999</v>
      </c>
      <c r="AC23" s="255">
        <v>99999</v>
      </c>
      <c r="AD23" s="255">
        <v>99999</v>
      </c>
      <c r="AE23" s="250">
        <v>99999</v>
      </c>
      <c r="AF23" s="2"/>
      <c r="AG23" s="408">
        <v>40</v>
      </c>
      <c r="AH23" s="408"/>
      <c r="AI23" s="255">
        <v>99999</v>
      </c>
      <c r="AJ23" s="255">
        <v>99999</v>
      </c>
      <c r="AK23" s="255">
        <v>99999</v>
      </c>
      <c r="AL23" s="255">
        <v>99999</v>
      </c>
      <c r="AM23" s="250">
        <v>99999</v>
      </c>
      <c r="AN23" s="2"/>
      <c r="AO23" s="408">
        <v>40</v>
      </c>
      <c r="AP23" s="408"/>
      <c r="AQ23" s="255">
        <v>99999</v>
      </c>
      <c r="AR23" s="255">
        <v>99999</v>
      </c>
      <c r="AS23" s="255">
        <v>99999</v>
      </c>
      <c r="AT23" s="255">
        <v>99999</v>
      </c>
      <c r="AU23" s="250">
        <v>99999</v>
      </c>
      <c r="AV23" s="252"/>
      <c r="AW23" s="408">
        <v>40</v>
      </c>
      <c r="AX23" s="408"/>
      <c r="AY23" s="255">
        <v>99999</v>
      </c>
      <c r="AZ23" s="255">
        <v>99999</v>
      </c>
      <c r="BA23" s="255">
        <v>99999</v>
      </c>
      <c r="BB23" s="255">
        <v>99999</v>
      </c>
      <c r="BC23" s="250">
        <v>99999</v>
      </c>
    </row>
    <row r="24" spans="1:55" ht="14.25" customHeight="1" x14ac:dyDescent="0.3">
      <c r="A24" s="409"/>
      <c r="B24" s="409"/>
      <c r="C24" s="256" t="s">
        <v>219</v>
      </c>
      <c r="D24" s="257" t="s">
        <v>219</v>
      </c>
      <c r="E24" s="257" t="s">
        <v>219</v>
      </c>
      <c r="F24" s="257" t="s">
        <v>219</v>
      </c>
      <c r="G24" s="258" t="s">
        <v>219</v>
      </c>
      <c r="H24" s="2"/>
      <c r="I24" s="409"/>
      <c r="J24" s="409"/>
      <c r="K24" s="256" t="s">
        <v>219</v>
      </c>
      <c r="L24" s="257" t="s">
        <v>219</v>
      </c>
      <c r="M24" s="257" t="s">
        <v>219</v>
      </c>
      <c r="N24" s="257" t="s">
        <v>219</v>
      </c>
      <c r="O24" s="258" t="s">
        <v>219</v>
      </c>
      <c r="P24" s="42"/>
      <c r="Q24" s="409"/>
      <c r="R24" s="409"/>
      <c r="S24" s="256" t="s">
        <v>219</v>
      </c>
      <c r="T24" s="257" t="s">
        <v>219</v>
      </c>
      <c r="U24" s="257" t="s">
        <v>219</v>
      </c>
      <c r="V24" s="257" t="s">
        <v>219</v>
      </c>
      <c r="W24" s="258" t="s">
        <v>219</v>
      </c>
      <c r="X24" s="2"/>
      <c r="Y24" s="409"/>
      <c r="Z24" s="409"/>
      <c r="AA24" s="256" t="s">
        <v>219</v>
      </c>
      <c r="AB24" s="257" t="s">
        <v>219</v>
      </c>
      <c r="AC24" s="257" t="s">
        <v>219</v>
      </c>
      <c r="AD24" s="257" t="s">
        <v>219</v>
      </c>
      <c r="AE24" s="258" t="s">
        <v>219</v>
      </c>
      <c r="AF24" s="2"/>
      <c r="AG24" s="409"/>
      <c r="AH24" s="409"/>
      <c r="AI24" s="256" t="s">
        <v>219</v>
      </c>
      <c r="AJ24" s="257" t="s">
        <v>219</v>
      </c>
      <c r="AK24" s="257" t="s">
        <v>219</v>
      </c>
      <c r="AL24" s="257" t="s">
        <v>219</v>
      </c>
      <c r="AM24" s="258" t="s">
        <v>219</v>
      </c>
      <c r="AN24" s="2"/>
      <c r="AO24" s="409"/>
      <c r="AP24" s="409"/>
      <c r="AQ24" s="256" t="s">
        <v>219</v>
      </c>
      <c r="AR24" s="257" t="s">
        <v>219</v>
      </c>
      <c r="AS24" s="257" t="s">
        <v>219</v>
      </c>
      <c r="AT24" s="257" t="s">
        <v>219</v>
      </c>
      <c r="AU24" s="258" t="s">
        <v>219</v>
      </c>
      <c r="AV24" s="252"/>
      <c r="AW24" s="409"/>
      <c r="AX24" s="409"/>
      <c r="AY24" s="256" t="s">
        <v>219</v>
      </c>
      <c r="AZ24" s="257" t="s">
        <v>219</v>
      </c>
      <c r="BA24" s="257" t="s">
        <v>219</v>
      </c>
      <c r="BB24" s="257" t="s">
        <v>219</v>
      </c>
      <c r="BC24" s="258" t="s">
        <v>219</v>
      </c>
    </row>
    <row r="25" spans="1:55" ht="15.75" customHeight="1" x14ac:dyDescent="0.3"/>
    <row r="26" spans="1:55" ht="14.25" customHeight="1" x14ac:dyDescent="0.3">
      <c r="B26" s="139" t="s">
        <v>146</v>
      </c>
      <c r="C26" s="140">
        <f ca="1">$D$1</f>
        <v>770</v>
      </c>
      <c r="D26" s="355" t="s">
        <v>201</v>
      </c>
      <c r="E26" s="355"/>
      <c r="F26" s="137"/>
      <c r="G26" s="137"/>
      <c r="H26" s="2"/>
      <c r="I26" s="2"/>
      <c r="J26" s="139" t="s">
        <v>146</v>
      </c>
      <c r="K26" s="140">
        <f ca="1">$D$1</f>
        <v>770</v>
      </c>
      <c r="L26" s="355" t="s">
        <v>201</v>
      </c>
      <c r="M26" s="355"/>
      <c r="N26" s="137"/>
      <c r="O26" s="137"/>
      <c r="P26" s="137"/>
      <c r="Q26" s="2"/>
      <c r="R26" s="139" t="s">
        <v>146</v>
      </c>
      <c r="S26" s="140">
        <f ca="1">$D$1</f>
        <v>770</v>
      </c>
      <c r="T26" s="355" t="s">
        <v>201</v>
      </c>
      <c r="U26" s="355"/>
      <c r="V26" s="137"/>
      <c r="W26" s="137"/>
      <c r="X26" s="2"/>
      <c r="Y26" s="2"/>
      <c r="Z26" s="139" t="s">
        <v>146</v>
      </c>
      <c r="AA26" s="140">
        <f ca="1">$D$1</f>
        <v>770</v>
      </c>
      <c r="AB26" s="355" t="s">
        <v>201</v>
      </c>
      <c r="AC26" s="355"/>
      <c r="AD26" s="137"/>
      <c r="AE26" s="137"/>
      <c r="AF26" s="2"/>
      <c r="AG26" s="2"/>
      <c r="AH26" s="139" t="s">
        <v>146</v>
      </c>
      <c r="AI26" s="140">
        <f ca="1">$D$1</f>
        <v>770</v>
      </c>
      <c r="AJ26" s="355" t="s">
        <v>201</v>
      </c>
      <c r="AK26" s="355"/>
      <c r="AL26" s="137"/>
      <c r="AM26" s="137"/>
      <c r="AN26" s="2"/>
      <c r="AO26" s="2"/>
      <c r="AP26" s="139" t="s">
        <v>146</v>
      </c>
      <c r="AQ26" s="140">
        <f ca="1">$D$1</f>
        <v>770</v>
      </c>
      <c r="AR26" s="355" t="s">
        <v>201</v>
      </c>
      <c r="AS26" s="355"/>
      <c r="AT26" s="137"/>
      <c r="AU26" s="137"/>
      <c r="AV26" s="137"/>
      <c r="AW26" s="2"/>
      <c r="AX26" s="139" t="s">
        <v>146</v>
      </c>
      <c r="AY26" s="140">
        <f ca="1">$D$1</f>
        <v>770</v>
      </c>
      <c r="AZ26" s="355" t="s">
        <v>201</v>
      </c>
      <c r="BA26" s="355"/>
    </row>
    <row r="27" spans="1:55" ht="14.25" customHeight="1" x14ac:dyDescent="0.3">
      <c r="B27" s="16" t="s">
        <v>202</v>
      </c>
      <c r="C27" s="141">
        <f t="array" aca="1" ref="C27" ca="1">INDEX(C9:G9,MATCH(C26,C9:G9,1))</f>
        <v>0</v>
      </c>
      <c r="D27" s="16" t="s">
        <v>144</v>
      </c>
      <c r="E27" s="17">
        <f>MATCH(MAX(A10:A24),A10:A24,0)</f>
        <v>14</v>
      </c>
      <c r="F27" s="17"/>
      <c r="H27" s="2"/>
      <c r="I27" s="2"/>
      <c r="J27" s="16" t="s">
        <v>202</v>
      </c>
      <c r="K27" s="141">
        <f t="array" aca="1" ref="K27" ca="1">INDEX(K9:O9,MATCH(K26,K9:O9,1))</f>
        <v>0</v>
      </c>
      <c r="L27" s="16" t="s">
        <v>144</v>
      </c>
      <c r="M27" s="17">
        <f>MATCH(MAX(I10:I24),I10:I24,0)</f>
        <v>14</v>
      </c>
      <c r="N27" s="17"/>
      <c r="O27" s="17"/>
      <c r="P27" s="17"/>
      <c r="Q27" s="2"/>
      <c r="R27" s="16" t="s">
        <v>202</v>
      </c>
      <c r="S27" s="141">
        <f t="array" aca="1" ref="S27" ca="1">INDEX(S9:W9,MATCH(S26,S9:W9,1))</f>
        <v>0</v>
      </c>
      <c r="T27" s="16" t="s">
        <v>144</v>
      </c>
      <c r="U27" s="17">
        <f>MATCH(MAX(Q10:Q24),Q10:Q24,0)</f>
        <v>14</v>
      </c>
      <c r="V27" s="17"/>
      <c r="W27" s="17"/>
      <c r="X27" s="2"/>
      <c r="Y27" s="2"/>
      <c r="Z27" s="16" t="s">
        <v>202</v>
      </c>
      <c r="AA27" s="141">
        <f t="array" aca="1" ref="AA27" ca="1">INDEX(AA9:AE9,MATCH(AA26,AA9:AE9,1))</f>
        <v>0</v>
      </c>
      <c r="AB27" s="16" t="s">
        <v>144</v>
      </c>
      <c r="AC27" s="17">
        <f>MATCH(MAX(Y10:Y24),Y10:Y24,0)</f>
        <v>14</v>
      </c>
      <c r="AD27" s="17"/>
      <c r="AE27" s="17"/>
      <c r="AF27" s="2"/>
      <c r="AG27" s="2"/>
      <c r="AH27" s="16" t="s">
        <v>202</v>
      </c>
      <c r="AI27" s="141">
        <f t="array" aca="1" ref="AI27" ca="1">INDEX(AI9:AM9,MATCH(AI26,AI9:AM9,1))</f>
        <v>0</v>
      </c>
      <c r="AJ27" s="16" t="s">
        <v>144</v>
      </c>
      <c r="AK27" s="17">
        <f>MATCH(MAX(AG10:AG24),AG10:AG24,0)</f>
        <v>14</v>
      </c>
      <c r="AL27" s="17"/>
      <c r="AM27" s="17"/>
      <c r="AN27" s="2"/>
      <c r="AO27" s="2"/>
      <c r="AP27" s="16" t="s">
        <v>202</v>
      </c>
      <c r="AQ27" s="141">
        <f t="array" aca="1" ref="AQ27" ca="1">INDEX(AQ9:AU9,MATCH(AQ26,AQ9:AU9,1))</f>
        <v>0</v>
      </c>
      <c r="AR27" s="16" t="s">
        <v>144</v>
      </c>
      <c r="AS27" s="17">
        <f>MATCH(MAX(AO10:AO24),AO10:AO24,0)</f>
        <v>14</v>
      </c>
      <c r="AT27" s="17"/>
      <c r="AU27" s="17"/>
      <c r="AV27" s="17"/>
      <c r="AW27" s="2"/>
      <c r="AX27" s="16" t="s">
        <v>202</v>
      </c>
      <c r="AY27" s="141">
        <f t="array" aca="1" ref="AY27" ca="1">INDEX(AY9:BC9,MATCH(AY26,AY9:BC9,1))</f>
        <v>0</v>
      </c>
      <c r="AZ27" s="16" t="s">
        <v>144</v>
      </c>
      <c r="BA27" s="17">
        <f>MATCH(MAX(AW10:AW24),AW10:AW24,0)</f>
        <v>14</v>
      </c>
    </row>
    <row r="28" spans="1:55" ht="14.25" customHeight="1" x14ac:dyDescent="0.3">
      <c r="B28" s="16" t="s">
        <v>203</v>
      </c>
      <c r="C28" s="141">
        <f t="array" aca="1" ref="C28" ca="1">INDEX(C9:G9,IF(MATCH(C26,C9:G9,1)&lt;E28,MATCH(C26,C9:G9,1)+1,MATCH(C26,C9:G9,1)))</f>
        <v>1000</v>
      </c>
      <c r="D28" s="16" t="s">
        <v>145</v>
      </c>
      <c r="E28" s="17">
        <f>MATCH(MAX(C9:G9),C9:G9,0)</f>
        <v>5</v>
      </c>
      <c r="F28" s="17"/>
      <c r="H28" s="2"/>
      <c r="I28" s="2"/>
      <c r="J28" s="16" t="s">
        <v>203</v>
      </c>
      <c r="K28" s="141">
        <f t="array" aca="1" ref="K28" ca="1">INDEX(K9:O9,IF(MATCH(K26,K9:O9,1)&lt;M28,MATCH(K26,K9:O9,1)+1,MATCH(K26,K9:O9,1)))</f>
        <v>1000</v>
      </c>
      <c r="L28" s="16" t="s">
        <v>145</v>
      </c>
      <c r="M28" s="17">
        <f>MATCH(MAX(K9:O9),K9:O9,0)</f>
        <v>5</v>
      </c>
      <c r="N28" s="17"/>
      <c r="O28" s="17"/>
      <c r="P28" s="17"/>
      <c r="Q28" s="2"/>
      <c r="R28" s="16" t="s">
        <v>203</v>
      </c>
      <c r="S28" s="141">
        <f t="array" aca="1" ref="S28" ca="1">INDEX(S9:W9,IF(MATCH(S26,S9:W9,1)&lt;U28,MATCH(S26,S9:W9,1)+1,MATCH(S26,S9:W9,1)))</f>
        <v>1000</v>
      </c>
      <c r="T28" s="16" t="s">
        <v>145</v>
      </c>
      <c r="U28" s="17">
        <f>MATCH(MAX(S9:W9),S9:W9,0)</f>
        <v>5</v>
      </c>
      <c r="V28" s="17"/>
      <c r="W28" s="17"/>
      <c r="X28" s="2"/>
      <c r="Y28" s="2"/>
      <c r="Z28" s="16" t="s">
        <v>203</v>
      </c>
      <c r="AA28" s="141">
        <f t="array" aca="1" ref="AA28" ca="1">INDEX(AA9:AE9,IF(MATCH(AA26,AA9:AE9,1)&lt;AC28,MATCH(AA26,AA9:AE9,1)+1,MATCH(AA26,AA9:AE9,1)))</f>
        <v>1000</v>
      </c>
      <c r="AB28" s="16" t="s">
        <v>145</v>
      </c>
      <c r="AC28" s="17">
        <f>MATCH(MAX(AA9:AE9),AA9:AE9,0)</f>
        <v>5</v>
      </c>
      <c r="AD28" s="17"/>
      <c r="AE28" s="17"/>
      <c r="AF28" s="2"/>
      <c r="AG28" s="2"/>
      <c r="AH28" s="16" t="s">
        <v>203</v>
      </c>
      <c r="AI28" s="141">
        <f t="array" aca="1" ref="AI28" ca="1">INDEX(AI9:AM9,IF(MATCH(AI26,AI9:AM9,1)&lt;AK28,MATCH(AI26,AI9:AM9,1)+1,MATCH(AI26,AI9:AM9,1)))</f>
        <v>1000</v>
      </c>
      <c r="AJ28" s="16" t="s">
        <v>145</v>
      </c>
      <c r="AK28" s="17">
        <f>MATCH(MAX(AI9:AM9),AI9:AM9,0)</f>
        <v>5</v>
      </c>
      <c r="AL28" s="17"/>
      <c r="AM28" s="17"/>
      <c r="AN28" s="2"/>
      <c r="AO28" s="2"/>
      <c r="AP28" s="16" t="s">
        <v>203</v>
      </c>
      <c r="AQ28" s="141">
        <f t="array" aca="1" ref="AQ28" ca="1">INDEX(AQ9:AU9,IF(MATCH(AQ26,AQ9:AU9,1)&lt;AS28,MATCH(AQ26,AQ9:AU9,1)+1,MATCH(AQ26,AQ9:AU9,1)))</f>
        <v>1000</v>
      </c>
      <c r="AR28" s="16" t="s">
        <v>145</v>
      </c>
      <c r="AS28" s="17">
        <f>MATCH(MAX(AQ9:AU9),AQ9:AU9,0)</f>
        <v>5</v>
      </c>
      <c r="AT28" s="17"/>
      <c r="AU28" s="17"/>
      <c r="AV28" s="17"/>
      <c r="AW28" s="2"/>
      <c r="AX28" s="16" t="s">
        <v>203</v>
      </c>
      <c r="AY28" s="141">
        <f t="array" aca="1" ref="AY28" ca="1">INDEX(AY9:BC9,IF(MATCH(AY26,AY9:BC9,1)&lt;BA28,MATCH(AY26,AY9:BC9,1)+1,MATCH(AY26,AY9:BC9,1)))</f>
        <v>1000</v>
      </c>
      <c r="AZ28" s="16" t="s">
        <v>145</v>
      </c>
      <c r="BA28" s="17">
        <f>MATCH(MAX(AY9:BC9),AY9:BC9,0)</f>
        <v>5</v>
      </c>
    </row>
    <row r="29" spans="1:55" ht="14.25" customHeight="1" x14ac:dyDescent="0.3">
      <c r="B29" s="139" t="s">
        <v>147</v>
      </c>
      <c r="C29" s="140">
        <f ca="1">$D$2</f>
        <v>15</v>
      </c>
      <c r="D29" s="2"/>
      <c r="E29" s="2"/>
      <c r="F29" s="2"/>
      <c r="G29" s="17"/>
      <c r="H29" s="2"/>
      <c r="I29" s="2"/>
      <c r="J29" s="139" t="s">
        <v>147</v>
      </c>
      <c r="K29" s="140">
        <f ca="1">$D$2</f>
        <v>15</v>
      </c>
      <c r="L29" s="2"/>
      <c r="M29" s="2"/>
      <c r="N29" s="2"/>
      <c r="O29" s="17"/>
      <c r="P29" s="17"/>
      <c r="Q29" s="2"/>
      <c r="R29" s="139" t="s">
        <v>147</v>
      </c>
      <c r="S29" s="140">
        <f ca="1">$D$2</f>
        <v>15</v>
      </c>
      <c r="T29" s="2"/>
      <c r="U29" s="2"/>
      <c r="V29" s="2"/>
      <c r="W29" s="17"/>
      <c r="X29" s="2"/>
      <c r="Y29" s="2"/>
      <c r="Z29" s="139" t="s">
        <v>147</v>
      </c>
      <c r="AA29" s="140">
        <f ca="1">$D$2</f>
        <v>15</v>
      </c>
      <c r="AB29" s="2"/>
      <c r="AC29" s="2"/>
      <c r="AD29" s="2"/>
      <c r="AE29" s="17"/>
      <c r="AF29" s="2"/>
      <c r="AG29" s="2"/>
      <c r="AH29" s="139" t="s">
        <v>147</v>
      </c>
      <c r="AI29" s="140">
        <f ca="1">$D$2</f>
        <v>15</v>
      </c>
      <c r="AJ29" s="2"/>
      <c r="AK29" s="2"/>
      <c r="AL29" s="2"/>
      <c r="AM29" s="17"/>
      <c r="AN29" s="2"/>
      <c r="AO29" s="2"/>
      <c r="AP29" s="139" t="s">
        <v>147</v>
      </c>
      <c r="AQ29" s="140">
        <f ca="1">$D$2</f>
        <v>15</v>
      </c>
      <c r="AR29" s="2"/>
      <c r="AS29" s="2"/>
      <c r="AT29" s="2"/>
      <c r="AU29" s="17"/>
      <c r="AV29" s="17"/>
      <c r="AW29" s="2"/>
      <c r="AX29" s="139" t="s">
        <v>147</v>
      </c>
      <c r="AY29" s="140">
        <f ca="1">$D$2</f>
        <v>15</v>
      </c>
      <c r="AZ29" s="2"/>
      <c r="BA29" s="2"/>
    </row>
    <row r="30" spans="1:55" ht="14.25" customHeight="1" x14ac:dyDescent="0.3">
      <c r="B30" s="16" t="s">
        <v>148</v>
      </c>
      <c r="C30" s="141">
        <f t="array" aca="1" ref="C30" ca="1">INDEX(A10:A24,MATCH(C29,A10:A24,1))</f>
        <v>15</v>
      </c>
      <c r="D30" s="2"/>
      <c r="E30" s="42"/>
      <c r="F30" s="42"/>
      <c r="G30" s="2"/>
      <c r="H30" s="2"/>
      <c r="I30" s="2"/>
      <c r="J30" s="16" t="s">
        <v>148</v>
      </c>
      <c r="K30" s="141">
        <f t="array" aca="1" ref="K30" ca="1">INDEX(I10:I24,MATCH(K29,I10:I24,1))</f>
        <v>15</v>
      </c>
      <c r="L30" s="2"/>
      <c r="M30" s="2"/>
      <c r="N30" s="2"/>
      <c r="O30" s="2"/>
      <c r="P30" s="2"/>
      <c r="Q30" s="2"/>
      <c r="R30" s="16" t="s">
        <v>148</v>
      </c>
      <c r="S30" s="141">
        <f t="array" aca="1" ref="S30" ca="1">INDEX(Q10:Q24,MATCH(S29,Q10:Q24,1))</f>
        <v>15</v>
      </c>
      <c r="T30" s="2"/>
      <c r="U30" s="2"/>
      <c r="V30" s="2"/>
      <c r="W30" s="2"/>
      <c r="X30" s="2"/>
      <c r="Y30" s="2"/>
      <c r="Z30" s="16" t="s">
        <v>148</v>
      </c>
      <c r="AA30" s="141">
        <f t="array" aca="1" ref="AA30" ca="1">INDEX(Y10:Y24,MATCH(AA29,Y10:Y24,1))</f>
        <v>15</v>
      </c>
      <c r="AB30" s="2"/>
      <c r="AC30" s="2"/>
      <c r="AD30" s="2"/>
      <c r="AE30" s="2"/>
      <c r="AF30" s="2"/>
      <c r="AG30" s="2"/>
      <c r="AH30" s="16" t="s">
        <v>148</v>
      </c>
      <c r="AI30" s="141">
        <f t="array" aca="1" ref="AI30" ca="1">INDEX(AG10:AG24,MATCH(AI29,AG10:AG24,1))</f>
        <v>15</v>
      </c>
      <c r="AJ30" s="2"/>
      <c r="AK30" s="2"/>
      <c r="AL30" s="2"/>
      <c r="AM30" s="2"/>
      <c r="AN30" s="2"/>
      <c r="AO30" s="2"/>
      <c r="AP30" s="16" t="s">
        <v>148</v>
      </c>
      <c r="AQ30" s="141">
        <f t="array" aca="1" ref="AQ30" ca="1">INDEX(AO10:AO24,MATCH(AQ29,AO10:AO24,1))</f>
        <v>15</v>
      </c>
      <c r="AR30" s="2"/>
      <c r="AS30" s="2"/>
      <c r="AT30" s="2"/>
      <c r="AU30" s="2"/>
      <c r="AV30" s="2"/>
      <c r="AW30" s="2"/>
      <c r="AX30" s="16" t="s">
        <v>148</v>
      </c>
      <c r="AY30" s="141">
        <f t="array" aca="1" ref="AY30" ca="1">INDEX(AW10:AW24,MATCH(AY29,AW10:AW24,1))</f>
        <v>10</v>
      </c>
      <c r="AZ30" s="2"/>
      <c r="BA30" s="2"/>
    </row>
    <row r="31" spans="1:55" ht="14.25" customHeight="1" x14ac:dyDescent="0.3">
      <c r="B31" s="16" t="s">
        <v>149</v>
      </c>
      <c r="C31" s="141">
        <f t="array" aca="1" ref="C31" ca="1">INDEX(A10:A24,IF(MATCH(C29,A10:A24,1)&lt;E27,MATCH(C29,A10:A24,1)+1,MATCH(C29,A10:A24,1)))</f>
        <v>20</v>
      </c>
      <c r="D31" s="2"/>
      <c r="E31" s="42"/>
      <c r="F31" s="42"/>
      <c r="G31" s="2"/>
      <c r="H31" s="2"/>
      <c r="I31" s="2"/>
      <c r="J31" s="16" t="s">
        <v>149</v>
      </c>
      <c r="K31" s="141">
        <f t="array" aca="1" ref="K31" ca="1">INDEX(I10:I24,IF(MATCH(K29,I10:I24,1)&lt;M27,MATCH(K29,I10:I24,1)+1,MATCH(K29,I10:I24,1)))</f>
        <v>20</v>
      </c>
      <c r="L31" s="2"/>
      <c r="M31" s="2"/>
      <c r="N31" s="2"/>
      <c r="O31" s="2"/>
      <c r="P31" s="2"/>
      <c r="Q31" s="2"/>
      <c r="R31" s="16" t="s">
        <v>149</v>
      </c>
      <c r="S31" s="141">
        <f t="array" aca="1" ref="S31" ca="1">INDEX(Q10:Q24,IF(MATCH(S29,Q10:Q24,1)&lt;U27,MATCH(S29,Q10:Q24,1)+1,MATCH(S29,Q10:Q24,1)))</f>
        <v>20</v>
      </c>
      <c r="T31" s="2"/>
      <c r="U31" s="2"/>
      <c r="V31" s="2"/>
      <c r="W31" s="2"/>
      <c r="X31" s="2"/>
      <c r="Y31" s="2"/>
      <c r="Z31" s="16" t="s">
        <v>149</v>
      </c>
      <c r="AA31" s="141">
        <f t="array" aca="1" ref="AA31" ca="1">INDEX(Y10:Y24,IF(MATCH(AA29,Y10:Y24,1)&lt;AC27,MATCH(AA29,Y10:Y24,1)+1,MATCH(AA29,Y10:Y24,1)))</f>
        <v>20</v>
      </c>
      <c r="AB31" s="2"/>
      <c r="AC31" s="2"/>
      <c r="AD31" s="2"/>
      <c r="AE31" s="2"/>
      <c r="AF31" s="2"/>
      <c r="AG31" s="2"/>
      <c r="AH31" s="16" t="s">
        <v>149</v>
      </c>
      <c r="AI31" s="141">
        <f t="array" aca="1" ref="AI31" ca="1">INDEX(AG10:AG24,IF(MATCH(AI29,AG10:AG24,1)&lt;AK27,MATCH(AI29,AG10:AG24,1)+1,MATCH(AI29,AG10:AG24,1)))</f>
        <v>20</v>
      </c>
      <c r="AJ31" s="2"/>
      <c r="AK31" s="2"/>
      <c r="AL31" s="2"/>
      <c r="AM31" s="2"/>
      <c r="AN31" s="2"/>
      <c r="AO31" s="2"/>
      <c r="AP31" s="16" t="s">
        <v>149</v>
      </c>
      <c r="AQ31" s="141">
        <f t="array" aca="1" ref="AQ31" ca="1">INDEX(AO10:AO24,IF(MATCH(AQ29,AO10:AO24,1)&lt;AS27,MATCH(AQ29,AO10:AO24,1)+1,MATCH(AQ29,AO10:AO24,1)))</f>
        <v>20</v>
      </c>
      <c r="AR31" s="2"/>
      <c r="AS31" s="2"/>
      <c r="AT31" s="2"/>
      <c r="AU31" s="2"/>
      <c r="AV31" s="2"/>
      <c r="AW31" s="2"/>
      <c r="AX31" s="16" t="s">
        <v>149</v>
      </c>
      <c r="AY31" s="141">
        <f ca="1">INDEX(AW10:AW24,IF(MATCH(AY29,AW10:AW24,1)&lt;BA27,MATCH(AY29,AW10:AW24,1)+1,MATCH(AY29,AW10:AW24,1)))</f>
        <v>0</v>
      </c>
      <c r="AZ31" s="2"/>
      <c r="BA31" s="2"/>
    </row>
    <row r="32" spans="1:55" ht="14.25" customHeight="1" x14ac:dyDescent="0.3">
      <c r="B32" s="139" t="s">
        <v>150</v>
      </c>
      <c r="C32" s="140">
        <f t="array" aca="1" ref="C32" ca="1">INDEX(C10:G24,MATCH(C29,A10:A24,1),MATCH(C26,C9:G9,1))</f>
        <v>7301</v>
      </c>
      <c r="D32" s="2"/>
      <c r="E32" s="42"/>
      <c r="F32" s="42"/>
      <c r="G32" s="2"/>
      <c r="H32" s="2"/>
      <c r="I32" s="2"/>
      <c r="J32" s="139" t="s">
        <v>150</v>
      </c>
      <c r="K32" s="140">
        <f t="array" aca="1" ref="K32" ca="1">INDEX(K10:O24,MATCH(K29,I10:I24,1),MATCH(K26,K9:O9,1))</f>
        <v>6944</v>
      </c>
      <c r="L32" s="2"/>
      <c r="M32" s="2"/>
      <c r="N32" s="2"/>
      <c r="O32" s="2"/>
      <c r="P32" s="2"/>
      <c r="Q32" s="2"/>
      <c r="R32" s="139" t="s">
        <v>150</v>
      </c>
      <c r="S32" s="140">
        <f t="array" aca="1" ref="S32" ca="1">INDEX(S10:W24,MATCH(S29,Q10:Q24,1),MATCH(S26,S9:W9,1))</f>
        <v>6373</v>
      </c>
      <c r="T32" s="2"/>
      <c r="U32" s="2"/>
      <c r="V32" s="2"/>
      <c r="W32" s="2"/>
      <c r="X32" s="2"/>
      <c r="Y32" s="2"/>
      <c r="Z32" s="139" t="s">
        <v>150</v>
      </c>
      <c r="AA32" s="140">
        <f t="array" aca="1" ref="AA32" ca="1">INDEX(AA10:AE24,MATCH(AA29,Y10:Y24,1),MATCH(AA26,AA9:AE9,1))</f>
        <v>5864</v>
      </c>
      <c r="AB32" s="2"/>
      <c r="AC32" s="2"/>
      <c r="AD32" s="2"/>
      <c r="AE32" s="2"/>
      <c r="AF32" s="2"/>
      <c r="AG32" s="2"/>
      <c r="AH32" s="139" t="s">
        <v>150</v>
      </c>
      <c r="AI32" s="140">
        <f t="array" aca="1" ref="AI32" ca="1">INDEX(AI10:AM24,MATCH(AI29,AG10:AG24,1),MATCH(AI26,AI9:AM9,1))</f>
        <v>5397</v>
      </c>
      <c r="AJ32" s="2"/>
      <c r="AK32" s="2"/>
      <c r="AL32" s="2"/>
      <c r="AM32" s="2"/>
      <c r="AN32" s="2"/>
      <c r="AO32" s="2"/>
      <c r="AP32" s="139" t="s">
        <v>150</v>
      </c>
      <c r="AQ32" s="140">
        <f t="array" aca="1" ref="AQ32" ca="1">INDEX(AQ10:AU24,MATCH(AQ29,AO10:AO24,1),MATCH(AQ26,AQ9:AU9,1))</f>
        <v>5318</v>
      </c>
      <c r="AR32" s="2"/>
      <c r="AS32" s="2"/>
      <c r="AT32" s="2"/>
      <c r="AU32" s="2"/>
      <c r="AV32" s="2"/>
      <c r="AW32" s="2"/>
      <c r="AX32" s="139" t="s">
        <v>150</v>
      </c>
      <c r="AY32" s="140">
        <f ca="1">INDEX(AY10:BC24,MATCH(AY29,AW10:AW24,1),MATCH(AY26,AY9:BC9,1))</f>
        <v>0</v>
      </c>
      <c r="AZ32" s="2"/>
      <c r="BA32" s="2"/>
    </row>
    <row r="33" spans="1:55" ht="14.25" customHeight="1" x14ac:dyDescent="0.3">
      <c r="B33" s="139" t="s">
        <v>204</v>
      </c>
      <c r="C33" s="140">
        <f t="array" aca="1" ref="C33" ca="1">INDEX(C10:G24,MATCH(C29,A10:A24,1),IF(MATCH(C26,C9:G9,1)&lt;E28,MATCH(C26,C9:G9,1)+1,MATCH(C29,A10:A24,1)))</f>
        <v>7636</v>
      </c>
      <c r="E33" s="42"/>
      <c r="F33" s="42"/>
      <c r="G33" s="2"/>
      <c r="H33" s="2"/>
      <c r="I33" s="2"/>
      <c r="J33" s="139" t="s">
        <v>204</v>
      </c>
      <c r="K33" s="140">
        <f t="array" aca="1" ref="K33" ca="1">INDEX(K10:O24,MATCH(K29,I10:I24,1),IF(MATCH(K26,K9:O9,1)&lt;M28,MATCH(K26,K9:O9,1)+1,MATCH(K29,I10:I24,1)))</f>
        <v>7260</v>
      </c>
      <c r="O33" s="2"/>
      <c r="P33" s="2"/>
      <c r="Q33" s="2"/>
      <c r="R33" s="139" t="s">
        <v>204</v>
      </c>
      <c r="S33" s="140">
        <f t="array" aca="1" ref="S33" ca="1">INDEX(S10:W24,MATCH(S29,Q10:Q24,1),IF(MATCH(S26,S9:W9,1)&lt;U28,MATCH(S26,S9:W9,1)+1,MATCH(S29,Q10:Q24,1)))</f>
        <v>6658</v>
      </c>
      <c r="W33" s="2"/>
      <c r="X33" s="2"/>
      <c r="Y33" s="2"/>
      <c r="Z33" s="139" t="s">
        <v>204</v>
      </c>
      <c r="AA33" s="140">
        <f t="array" aca="1" ref="AA33" ca="1">INDEX(AA10:AE24,MATCH(AA29,Y10:Y24,1),IF(MATCH(AA26,AA9:AE9,1)&lt;AC28,MATCH(AA26,AA9:AE9,1)+1,MATCH(AA29,Y10:Y24,1)))</f>
        <v>6118</v>
      </c>
      <c r="AE33" s="2"/>
      <c r="AF33" s="2"/>
      <c r="AG33" s="2"/>
      <c r="AH33" s="139" t="s">
        <v>204</v>
      </c>
      <c r="AI33" s="140">
        <f t="array" aca="1" ref="AI33" ca="1">INDEX(AI10:AM24,MATCH(AI29,AG10:AG24,1),IF(MATCH(AI26,AI9:AM9,1)&lt;AK28,MATCH(AI26,AI9:AM9,1)+1,MATCH(AI29,AG10:AG24,1)))</f>
        <v>5626</v>
      </c>
      <c r="AM33" s="2"/>
      <c r="AN33" s="2"/>
      <c r="AO33" s="2"/>
      <c r="AP33" s="139" t="s">
        <v>204</v>
      </c>
      <c r="AQ33" s="140">
        <f t="array" aca="1" ref="AQ33" ca="1">INDEX(AQ10:AU24,MATCH(AQ29,AO10:AO24,1),IF(MATCH(AQ26,AQ9:AU9,1)&lt;AS28,MATCH(AQ26,AQ9:AU9,1)+1,MATCH(AQ29,AO10:AO24,1)))</f>
        <v>5516</v>
      </c>
      <c r="AU33" s="2"/>
      <c r="AV33" s="2"/>
      <c r="AW33" s="2"/>
      <c r="AX33" s="139" t="s">
        <v>204</v>
      </c>
      <c r="AY33" s="140">
        <f ca="1">INDEX(AY10:BC24,MATCH(AY29,AW10:AW24,1),IF(MATCH(AY26,AY9:BC9,1)&lt;BA28,MATCH(AY26,AY9:BC9,1)+1,MATCH(AY29,AW10:AW24,1)))</f>
        <v>0</v>
      </c>
    </row>
    <row r="34" spans="1:55" ht="14.25" customHeight="1" x14ac:dyDescent="0.3">
      <c r="B34" s="139" t="s">
        <v>151</v>
      </c>
      <c r="C34" s="140">
        <f t="array" aca="1" ref="C34" ca="1">INDEX(C10:G24,IF(MATCH(C29,A10:A24,1)&lt;E27,MATCH(C29,A10:A24,1)+1,MATCH(C29,A10:A24,1)),MATCH(C26,C9:G9,1))</f>
        <v>7458</v>
      </c>
      <c r="E34" s="42"/>
      <c r="F34" s="42"/>
      <c r="G34" s="2"/>
      <c r="H34" s="2"/>
      <c r="I34" s="2"/>
      <c r="J34" s="139" t="s">
        <v>151</v>
      </c>
      <c r="K34" s="140">
        <f t="array" aca="1" ref="K34" ca="1">INDEX(K10:O24,IF(MATCH(K29,I10:I24,1)&lt;M27,MATCH(K29,I10:I24,1)+1,MATCH(K29,I10:I24,1)),MATCH(K26,K9:O9,1))</f>
        <v>7092</v>
      </c>
      <c r="O34" s="2"/>
      <c r="P34" s="2"/>
      <c r="Q34" s="2"/>
      <c r="R34" s="139" t="s">
        <v>151</v>
      </c>
      <c r="S34" s="140">
        <f t="array" aca="1" ref="S34" ca="1">INDEX(S10:W24,IF(MATCH(S29,Q10:Q24,1)&lt;U27,MATCH(S29,Q10:Q24,1)+1,MATCH(S29,Q10:Q24,1)),MATCH(S26,S9:W9,1))</f>
        <v>6507</v>
      </c>
      <c r="W34" s="2"/>
      <c r="X34" s="2"/>
      <c r="Y34" s="2"/>
      <c r="Z34" s="139" t="s">
        <v>151</v>
      </c>
      <c r="AA34" s="140">
        <f t="array" aca="1" ref="AA34" ca="1">INDEX(AA10:AE24,IF(MATCH(AA29,Y10:Y24,1)&lt;AC27,MATCH(AA29,Y10:Y24,1)+1,MATCH(AA29,Y10:Y24,1)),MATCH(AA26,AA9:AE9,1))</f>
        <v>5983</v>
      </c>
      <c r="AE34" s="2"/>
      <c r="AF34" s="2"/>
      <c r="AG34" s="2"/>
      <c r="AH34" s="139" t="s">
        <v>151</v>
      </c>
      <c r="AI34" s="140">
        <f t="array" aca="1" ref="AI34" ca="1">INDEX(AI10:AM24,IF(MATCH(AI29,AG10:AG24,1)&lt;AK27,MATCH(AI29,AG10:AG24,1)+1,MATCH(AI29,AG10:AG24,1)),MATCH(AI26,AI9:AM9,1))</f>
        <v>5504</v>
      </c>
      <c r="AM34" s="2"/>
      <c r="AN34" s="2"/>
      <c r="AO34" s="2"/>
      <c r="AP34" s="139" t="s">
        <v>151</v>
      </c>
      <c r="AQ34" s="140">
        <f t="array" aca="1" ref="AQ34" ca="1">INDEX(AQ10:AU24,IF(MATCH(AQ29,AO10:AO24,1)&lt;AS27,MATCH(AQ29,AO10:AO24,1)+1,MATCH(AQ29,AO10:AO24,1)),MATCH(AQ26,AQ9:AU9,1))</f>
        <v>5411</v>
      </c>
      <c r="AU34" s="2"/>
      <c r="AV34" s="2"/>
      <c r="AW34" s="2"/>
      <c r="AX34" s="139" t="s">
        <v>151</v>
      </c>
      <c r="AY34" s="140">
        <f ca="1">INDEX(AY10:BC24,IF(MATCH(AY29,AW10:AW24,1)&lt;BA27,MATCH(AY29,AW10:AW24,1)+1,MATCH(AY29,AW10:AW24,1)),MATCH(AY26,AY9:BC9,1))</f>
        <v>0</v>
      </c>
    </row>
    <row r="35" spans="1:55" ht="14.25" customHeight="1" x14ac:dyDescent="0.3">
      <c r="B35" s="139" t="s">
        <v>205</v>
      </c>
      <c r="C35" s="140">
        <f t="array" aca="1" ref="C35" ca="1">INDEX(C10:G24,IF(MATCH(C29,A10:A24,1)&lt;E27,MATCH(C29,A10:A24,1)+1,MATCH(C29,A10:A24,1)),IF(MATCH(C26,C9:G9,1)&lt;E28,MATCH(C26,C9:G9,1)+1,MATCH(C26,C9:G9,1)))</f>
        <v>7802</v>
      </c>
      <c r="G35" s="2"/>
      <c r="H35" s="2"/>
      <c r="I35" s="2"/>
      <c r="J35" s="139" t="s">
        <v>205</v>
      </c>
      <c r="K35" s="140">
        <f t="array" aca="1" ref="K35" ca="1">INDEX(K10:O24,IF(MATCH(K29,I10:I24,1)&lt;M27,MATCH(K29,I10:I24,1)+1,MATCH(K29,I10:I24,1)),IF(MATCH(K26,K9:O9,1)&lt;M28,MATCH(K26,K9:O9,1)+1,MATCH(K26,K9:O9,1)))</f>
        <v>7416</v>
      </c>
      <c r="O35" s="2"/>
      <c r="P35" s="2"/>
      <c r="Q35" s="2"/>
      <c r="R35" s="139" t="s">
        <v>205</v>
      </c>
      <c r="S35" s="140">
        <f t="array" aca="1" ref="S35" ca="1">INDEX(S10:W24,IF(MATCH(S29,Q10:Q24,1)&lt;U27,MATCH(S29,Q10:Q24,1)+1,MATCH(S29,Q10:Q24,1)),IF(MATCH(S26,S9:W9,1)&lt;U28,MATCH(S26,S9:W9,1)+1,MATCH(S26,S9:W9,1)))</f>
        <v>6798</v>
      </c>
      <c r="W35" s="2"/>
      <c r="X35" s="2"/>
      <c r="Y35" s="2"/>
      <c r="Z35" s="139" t="s">
        <v>205</v>
      </c>
      <c r="AA35" s="140">
        <f t="array" aca="1" ref="AA35" ca="1">INDEX(AA10:AE24,IF(MATCH(AA29,Y10:Y24,1)&lt;AC27,MATCH(AA29,Y10:Y24,1)+1,MATCH(AA29,Y10:Y24,1)),IF(MATCH(AA26,AA9:AE9,1)&lt;AC28,MATCH(AA26,AA9:AE9,1)+1,MATCH(AA26,AA9:AE9,1)))</f>
        <v>6244</v>
      </c>
      <c r="AE35" s="2"/>
      <c r="AF35" s="2"/>
      <c r="AG35" s="2"/>
      <c r="AH35" s="139" t="s">
        <v>205</v>
      </c>
      <c r="AI35" s="140">
        <f t="array" aca="1" ref="AI35" ca="1">INDEX(AI10:AM24,IF(MATCH(AI29,AG10:AG24,1)&lt;AK27,MATCH(AI29,AG10:AG24,1)+1,MATCH(AI29,AG10:AG24,1)),IF(MATCH(AI26,AI9:AM9,1)&lt;AK28,MATCH(AI26,AI9:AM9,1)+1,MATCH(AI26,AI9:AM9,1)))</f>
        <v>5739</v>
      </c>
      <c r="AM35" s="2"/>
      <c r="AN35" s="2"/>
      <c r="AO35" s="2"/>
      <c r="AP35" s="139" t="s">
        <v>205</v>
      </c>
      <c r="AQ35" s="140">
        <f t="array" aca="1" ref="AQ35" ca="1">INDEX(AQ10:AU24,IF(MATCH(AQ29,AO10:AO24,1)&lt;AS27,MATCH(AQ29,AO10:AO24,1)+1,MATCH(AQ29,AO10:AO24,1)),IF(MATCH(AQ26,AQ9:AU9,1)&lt;AS28,MATCH(AQ26,AQ9:AU9,1)+1,MATCH(AQ26,AQ9:AU9,1)))</f>
        <v>5613</v>
      </c>
      <c r="AU35" s="2"/>
      <c r="AV35" s="2"/>
      <c r="AW35" s="2"/>
      <c r="AX35" s="139" t="s">
        <v>205</v>
      </c>
      <c r="AY35" s="140">
        <f ca="1">INDEX(AY10:BC24,IF(MATCH(AY29,AW10:AW24,1)&lt;BA27,MATCH(AY29,AW10:AW24,1)+1,MATCH(AY29,AW10:AW24,1)),IF(MATCH(AY26,AY9:BC9,1)&lt;BA28,MATCH(AY26,AY9:BC9,1)+1,MATCH(AY26,AY9:BC9,1)))</f>
        <v>0</v>
      </c>
    </row>
    <row r="36" spans="1:55" ht="14.25" customHeight="1" x14ac:dyDescent="0.3">
      <c r="B36" s="16" t="s">
        <v>206</v>
      </c>
      <c r="C36" s="141">
        <f ca="1">IFERROR(C32+(C26-C27)*(C33-C32)/(C28-C27),C32)</f>
        <v>7558.95</v>
      </c>
      <c r="G36" s="2"/>
      <c r="H36" s="2"/>
      <c r="I36" s="2"/>
      <c r="J36" s="16" t="s">
        <v>206</v>
      </c>
      <c r="K36" s="141">
        <f ca="1">IFERROR(K32+(K26-K27)*(K33-K32)/(K28-K27),K32)</f>
        <v>7187.32</v>
      </c>
      <c r="O36" s="2"/>
      <c r="P36" s="2"/>
      <c r="Q36" s="2"/>
      <c r="R36" s="16" t="s">
        <v>206</v>
      </c>
      <c r="S36" s="141">
        <f ca="1">IFERROR(S32+(S26-S27)*(S33-S32)/(S28-S27),S32)</f>
        <v>6592.45</v>
      </c>
      <c r="W36" s="2"/>
      <c r="X36" s="2"/>
      <c r="Y36" s="2"/>
      <c r="Z36" s="16" t="s">
        <v>206</v>
      </c>
      <c r="AA36" s="141">
        <f ca="1">IFERROR(AA32+(AA26-AA27)*(AA33-AA32)/(AA28-AA27),AA32)</f>
        <v>6059.58</v>
      </c>
      <c r="AE36" s="2"/>
      <c r="AF36" s="2"/>
      <c r="AG36" s="2"/>
      <c r="AH36" s="16" t="s">
        <v>206</v>
      </c>
      <c r="AI36" s="141">
        <f ca="1">IFERROR(AI32+(AI26-AI27)*(AI33-AI32)/(AI28-AI27),AI32)</f>
        <v>5573.33</v>
      </c>
      <c r="AM36" s="2"/>
      <c r="AN36" s="2"/>
      <c r="AO36" s="2"/>
      <c r="AP36" s="16" t="s">
        <v>206</v>
      </c>
      <c r="AQ36" s="141">
        <f ca="1">IFERROR(AQ32+(AQ26-AQ27)*(AQ33-AQ32)/(AQ28-AQ27),AQ32)</f>
        <v>5470.46</v>
      </c>
      <c r="AU36" s="2"/>
      <c r="AV36" s="2"/>
      <c r="AW36" s="2"/>
      <c r="AX36" s="16" t="s">
        <v>206</v>
      </c>
      <c r="AY36" s="141">
        <f ca="1">IFERROR(AY32+(AY26-AY27)*(AY33-AY32)/(AY28-AY27),AY32)</f>
        <v>0</v>
      </c>
    </row>
    <row r="37" spans="1:55" ht="14.25" customHeight="1" x14ac:dyDescent="0.3">
      <c r="B37" s="16" t="s">
        <v>207</v>
      </c>
      <c r="C37" s="141">
        <f ca="1">IFERROR(C34+(C26-C27)*(C35-C34)/(C28-C27),C34)</f>
        <v>7722.88</v>
      </c>
      <c r="G37" s="2"/>
      <c r="H37" s="2"/>
      <c r="I37" s="2"/>
      <c r="J37" s="16" t="s">
        <v>207</v>
      </c>
      <c r="K37" s="141">
        <f ca="1">IFERROR(K34+(K26-K27)*(K35-K34)/(K28-K27),K34)</f>
        <v>7341.48</v>
      </c>
      <c r="O37" s="2"/>
      <c r="P37" s="2"/>
      <c r="Q37" s="2"/>
      <c r="R37" s="16" t="s">
        <v>207</v>
      </c>
      <c r="S37" s="141">
        <f ca="1">IFERROR(S34+(S26-S27)*(S35-S34)/(S28-S27),S34)</f>
        <v>6731.07</v>
      </c>
      <c r="W37" s="2"/>
      <c r="X37" s="2"/>
      <c r="Y37" s="2"/>
      <c r="Z37" s="16" t="s">
        <v>207</v>
      </c>
      <c r="AA37" s="141">
        <f ca="1">IFERROR(AA34+(AA26-AA27)*(AA35-AA34)/(AA28-AA27),AA34)</f>
        <v>6183.97</v>
      </c>
      <c r="AE37" s="2"/>
      <c r="AF37" s="2"/>
      <c r="AG37" s="2"/>
      <c r="AH37" s="16" t="s">
        <v>207</v>
      </c>
      <c r="AI37" s="141">
        <f ca="1">IFERROR(AI34+(AI26-AI27)*(AI35-AI34)/(AI28-AI27),AI34)</f>
        <v>5684.95</v>
      </c>
      <c r="AM37" s="2"/>
      <c r="AN37" s="2"/>
      <c r="AO37" s="2"/>
      <c r="AP37" s="16" t="s">
        <v>207</v>
      </c>
      <c r="AQ37" s="141">
        <f ca="1">IFERROR(AQ34+(AQ26-AQ27)*(AQ35-AQ34)/(AQ28-AQ27),AQ34)</f>
        <v>5566.54</v>
      </c>
      <c r="AU37" s="2"/>
      <c r="AV37" s="2"/>
      <c r="AW37" s="2"/>
      <c r="AX37" s="16" t="s">
        <v>207</v>
      </c>
      <c r="AY37" s="141">
        <f ca="1">IFERROR(AY34+(AY26-AY27)*(AY35-AY34)/(AY28-AY27),AY34)</f>
        <v>0</v>
      </c>
    </row>
    <row r="38" spans="1:55" ht="14.25" customHeight="1" x14ac:dyDescent="0.3">
      <c r="B38" s="139" t="s">
        <v>93</v>
      </c>
      <c r="C38" s="140">
        <f ca="1">IFERROR(C36+(C29-C30)*(C37-C36)/(C31-C30),C36)</f>
        <v>7558.95</v>
      </c>
      <c r="G38" s="2"/>
      <c r="H38" s="2"/>
      <c r="I38" s="2"/>
      <c r="J38" s="139" t="s">
        <v>93</v>
      </c>
      <c r="K38" s="140">
        <f ca="1">IFERROR(K36+(K29-K30)*(K37-K36)/(K31-K30),K36)</f>
        <v>7187.32</v>
      </c>
      <c r="O38" s="2"/>
      <c r="P38" s="2"/>
      <c r="Q38" s="2"/>
      <c r="R38" s="139" t="s">
        <v>93</v>
      </c>
      <c r="S38" s="140">
        <f ca="1">IFERROR(S36+(S29-S30)*(S37-S36)/(S31-S30),S36)</f>
        <v>6592.45</v>
      </c>
      <c r="W38" s="2"/>
      <c r="X38" s="2"/>
      <c r="Y38" s="2"/>
      <c r="Z38" s="139" t="s">
        <v>93</v>
      </c>
      <c r="AA38" s="140">
        <f ca="1">IFERROR(AA36+(AA29-AA30)*(AA37-AA36)/(AA31-AA30),AA36)</f>
        <v>6059.58</v>
      </c>
      <c r="AE38" s="2"/>
      <c r="AF38" s="2"/>
      <c r="AG38" s="2"/>
      <c r="AH38" s="139" t="s">
        <v>93</v>
      </c>
      <c r="AI38" s="140">
        <f ca="1">IFERROR(AI36+(AI29-AI30)*(AI37-AI36)/(AI31-AI30),AI36)</f>
        <v>5573.33</v>
      </c>
      <c r="AM38" s="2"/>
      <c r="AN38" s="2"/>
      <c r="AO38" s="2"/>
      <c r="AP38" s="139" t="s">
        <v>93</v>
      </c>
      <c r="AQ38" s="140">
        <f ca="1">IFERROR(AQ36+(AQ29-AQ30)*(AQ37-AQ36)/(AQ31-AQ30),AQ36)</f>
        <v>5470.46</v>
      </c>
      <c r="AU38" s="2"/>
      <c r="AV38" s="2"/>
      <c r="AW38" s="2"/>
      <c r="AX38" s="139" t="s">
        <v>93</v>
      </c>
      <c r="AY38" s="140">
        <f ca="1">IFERROR(AY36+(AY29-AY30)*(AY37-AY36)/(AY31-AY30),AY36)</f>
        <v>0</v>
      </c>
    </row>
    <row r="39" spans="1:55" ht="14.25" customHeight="1" x14ac:dyDescent="0.3">
      <c r="B39" s="139"/>
      <c r="C39" s="140"/>
      <c r="G39" s="2"/>
      <c r="H39" s="2"/>
      <c r="I39" s="2"/>
      <c r="J39" s="139"/>
      <c r="K39" s="140"/>
      <c r="O39" s="2"/>
      <c r="P39" s="2"/>
      <c r="Q39" s="2"/>
      <c r="R39" s="139"/>
      <c r="S39" s="140"/>
      <c r="W39" s="2"/>
      <c r="X39" s="2"/>
      <c r="Y39" s="2"/>
      <c r="Z39" s="139"/>
      <c r="AA39" s="140"/>
      <c r="AE39" s="2"/>
      <c r="AF39" s="2"/>
      <c r="AG39" s="2"/>
      <c r="AH39" s="139"/>
      <c r="AI39" s="140"/>
      <c r="AM39" s="2"/>
      <c r="AN39" s="2"/>
      <c r="AO39" s="2"/>
      <c r="AP39" s="139"/>
      <c r="AQ39" s="140"/>
      <c r="AU39" s="2"/>
      <c r="AV39" s="2"/>
      <c r="AW39" s="2"/>
      <c r="AX39" s="139"/>
      <c r="AY39" s="140"/>
    </row>
    <row r="40" spans="1:55" ht="14.25" customHeight="1" x14ac:dyDescent="0.3">
      <c r="A40" s="407" t="s">
        <v>220</v>
      </c>
      <c r="B40" s="407"/>
      <c r="C40" s="407"/>
      <c r="D40" s="407"/>
      <c r="E40" s="407"/>
      <c r="F40" s="407"/>
      <c r="G40" s="2"/>
      <c r="H40" s="2"/>
      <c r="I40" s="2"/>
      <c r="J40" s="139"/>
      <c r="K40" s="140"/>
      <c r="O40" s="2"/>
      <c r="P40" s="2"/>
      <c r="Q40" s="2"/>
      <c r="R40" s="139"/>
      <c r="S40" s="140"/>
      <c r="W40" s="2"/>
      <c r="X40" s="2"/>
      <c r="Y40" s="2"/>
      <c r="Z40" s="139"/>
      <c r="AA40" s="140"/>
      <c r="AE40" s="2"/>
      <c r="AF40" s="2"/>
      <c r="AG40" s="2"/>
      <c r="AH40" s="139"/>
      <c r="AI40" s="140"/>
      <c r="AM40" s="2"/>
      <c r="AN40" s="2"/>
      <c r="AO40" s="2"/>
      <c r="AP40" s="139"/>
      <c r="AQ40" s="140"/>
      <c r="AU40" s="2"/>
      <c r="AV40" s="2"/>
      <c r="AW40" s="2"/>
      <c r="AX40" s="139"/>
      <c r="AY40" s="140"/>
    </row>
    <row r="41" spans="1:55" ht="14.25" customHeight="1" x14ac:dyDescent="0.3">
      <c r="B41" s="139"/>
      <c r="C41" s="140"/>
      <c r="G41" s="2"/>
      <c r="H41" s="2"/>
      <c r="I41" s="2"/>
      <c r="J41" s="139"/>
      <c r="K41" s="140"/>
      <c r="O41" s="2"/>
      <c r="P41" s="2"/>
      <c r="Q41" s="2"/>
      <c r="R41" s="139"/>
      <c r="S41" s="140"/>
      <c r="W41" s="2"/>
      <c r="X41" s="2"/>
      <c r="Y41" s="2"/>
      <c r="Z41" s="139"/>
      <c r="AA41" s="140"/>
      <c r="AE41" s="2"/>
      <c r="AF41" s="2"/>
      <c r="AG41" s="2"/>
      <c r="AH41" s="139"/>
      <c r="AI41" s="140"/>
      <c r="AM41" s="2"/>
      <c r="AN41" s="2"/>
      <c r="AO41" s="2"/>
      <c r="AP41" s="139"/>
      <c r="AQ41" s="140"/>
      <c r="AU41" s="2"/>
      <c r="AV41" s="2"/>
      <c r="AW41" s="2"/>
      <c r="AX41" s="139"/>
      <c r="AY41" s="140"/>
    </row>
    <row r="42" spans="1:55" ht="14.25" customHeight="1" x14ac:dyDescent="0.3">
      <c r="A42" t="s">
        <v>221</v>
      </c>
      <c r="B42" s="357" t="s">
        <v>222</v>
      </c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O42" s="2"/>
      <c r="P42" s="2"/>
      <c r="Q42" s="2"/>
      <c r="R42" s="139"/>
      <c r="S42" s="140"/>
      <c r="W42" s="2"/>
      <c r="X42" s="2"/>
      <c r="Y42" s="2"/>
      <c r="Z42" s="139"/>
      <c r="AA42" s="140"/>
      <c r="AE42" s="2"/>
      <c r="AF42" s="2"/>
      <c r="AG42" s="2"/>
      <c r="AH42" s="139"/>
      <c r="AI42" s="140"/>
      <c r="AM42" s="2"/>
      <c r="AN42" s="2"/>
      <c r="AO42" s="2"/>
      <c r="AP42" s="139"/>
      <c r="AQ42" s="140"/>
      <c r="AU42" s="2"/>
      <c r="AV42" s="2"/>
      <c r="AW42" s="2"/>
      <c r="AX42" s="139"/>
      <c r="AY42" s="140"/>
    </row>
    <row r="43" spans="1:55" ht="14.25" customHeight="1" x14ac:dyDescent="0.3">
      <c r="A43" t="s">
        <v>35</v>
      </c>
      <c r="B43" s="229">
        <v>4000</v>
      </c>
      <c r="C43" s="230">
        <v>4500</v>
      </c>
      <c r="D43" s="55">
        <v>5000</v>
      </c>
      <c r="E43" s="55">
        <v>5500</v>
      </c>
      <c r="F43" s="55">
        <v>6000</v>
      </c>
      <c r="G43" s="55">
        <v>6500</v>
      </c>
      <c r="H43" s="259">
        <v>7000</v>
      </c>
      <c r="I43" s="259">
        <v>7500</v>
      </c>
      <c r="J43" s="259">
        <v>8000</v>
      </c>
      <c r="K43" s="259">
        <v>8500</v>
      </c>
      <c r="L43" s="231">
        <v>9000</v>
      </c>
      <c r="M43" s="231">
        <v>10000</v>
      </c>
      <c r="N43" s="139"/>
      <c r="O43" s="140"/>
      <c r="Q43" s="139"/>
      <c r="R43" s="140"/>
      <c r="V43" s="2"/>
      <c r="W43" s="2"/>
      <c r="X43" s="2"/>
      <c r="AA43" s="2"/>
      <c r="AB43" s="2"/>
      <c r="AC43" s="2"/>
      <c r="AD43" s="139"/>
      <c r="AE43" s="140"/>
      <c r="AI43" s="2"/>
      <c r="AJ43" s="2"/>
      <c r="AK43" s="2"/>
      <c r="AL43" s="139"/>
      <c r="AM43" s="140"/>
      <c r="AQ43" s="2"/>
      <c r="AR43" s="2"/>
      <c r="AS43" s="2"/>
      <c r="AT43" s="139"/>
      <c r="AU43" s="140"/>
      <c r="AY43" s="2"/>
      <c r="AZ43" s="2"/>
      <c r="BA43" s="2"/>
      <c r="BB43" s="139"/>
      <c r="BC43" s="140"/>
    </row>
    <row r="44" spans="1:55" ht="14.25" customHeight="1" x14ac:dyDescent="0.3">
      <c r="A44">
        <v>-3</v>
      </c>
      <c r="B44" s="229">
        <v>99999</v>
      </c>
      <c r="C44" s="229">
        <v>99999</v>
      </c>
      <c r="D44" s="229">
        <v>99999</v>
      </c>
      <c r="E44" s="229">
        <v>99999</v>
      </c>
      <c r="F44" s="229">
        <v>99999</v>
      </c>
      <c r="G44" s="229">
        <v>99999</v>
      </c>
      <c r="H44" s="229">
        <v>99999</v>
      </c>
      <c r="I44" s="229">
        <v>99999</v>
      </c>
      <c r="J44" s="229">
        <v>99999</v>
      </c>
      <c r="K44" s="229">
        <v>99999</v>
      </c>
      <c r="L44" s="229">
        <v>99999</v>
      </c>
      <c r="M44" s="231">
        <v>99999</v>
      </c>
      <c r="N44" s="139"/>
      <c r="O44" s="140"/>
      <c r="Q44" s="139"/>
      <c r="R44" s="140"/>
      <c r="V44" s="2"/>
      <c r="W44" s="2"/>
      <c r="X44" s="2"/>
      <c r="AA44" s="2"/>
      <c r="AB44" s="2"/>
      <c r="AC44" s="2"/>
      <c r="AD44" s="139"/>
      <c r="AE44" s="140"/>
      <c r="AI44" s="2"/>
      <c r="AJ44" s="2"/>
      <c r="AK44" s="2"/>
      <c r="AL44" s="139"/>
      <c r="AM44" s="140"/>
      <c r="AQ44" s="2"/>
      <c r="AR44" s="2"/>
      <c r="AS44" s="2"/>
      <c r="AT44" s="139"/>
      <c r="AU44" s="140"/>
      <c r="AY44" s="2"/>
      <c r="AZ44" s="2"/>
      <c r="BA44" s="2"/>
      <c r="BB44" s="139"/>
      <c r="BC44" s="140"/>
    </row>
    <row r="45" spans="1:55" ht="14.25" customHeight="1" x14ac:dyDescent="0.3">
      <c r="A45">
        <v>-2</v>
      </c>
      <c r="B45" s="229">
        <v>4600</v>
      </c>
      <c r="C45" s="230">
        <v>5100</v>
      </c>
      <c r="D45" s="55">
        <v>5600</v>
      </c>
      <c r="E45" s="55">
        <v>6150</v>
      </c>
      <c r="F45" s="55">
        <v>6700</v>
      </c>
      <c r="G45" s="55">
        <v>7250</v>
      </c>
      <c r="H45" s="259">
        <v>7750</v>
      </c>
      <c r="I45" s="259">
        <v>8300</v>
      </c>
      <c r="J45" s="259">
        <v>8800</v>
      </c>
      <c r="K45" s="259">
        <v>9300</v>
      </c>
      <c r="L45" s="231">
        <v>9800</v>
      </c>
      <c r="M45" s="231">
        <v>99999</v>
      </c>
      <c r="N45" s="139"/>
      <c r="O45" s="140"/>
      <c r="Q45" s="139"/>
      <c r="R45" s="140"/>
      <c r="V45" s="2"/>
      <c r="W45" s="2"/>
      <c r="X45" s="2"/>
      <c r="AA45" s="2"/>
      <c r="AB45" s="2"/>
      <c r="AC45" s="2"/>
      <c r="AD45" s="139"/>
      <c r="AE45" s="140"/>
      <c r="AI45" s="2"/>
      <c r="AJ45" s="2"/>
      <c r="AK45" s="2"/>
      <c r="AL45" s="139"/>
      <c r="AM45" s="140"/>
      <c r="AQ45" s="2"/>
      <c r="AR45" s="2"/>
      <c r="AS45" s="2"/>
      <c r="AT45" s="139"/>
      <c r="AU45" s="140"/>
      <c r="AY45" s="2"/>
      <c r="AZ45" s="2"/>
      <c r="BA45" s="2"/>
      <c r="BB45" s="139"/>
      <c r="BC45" s="140"/>
    </row>
    <row r="46" spans="1:55" ht="14.25" customHeight="1" x14ac:dyDescent="0.3">
      <c r="A46">
        <v>-1</v>
      </c>
      <c r="B46" s="233">
        <v>4350</v>
      </c>
      <c r="C46" s="203">
        <v>4800</v>
      </c>
      <c r="D46">
        <v>5300</v>
      </c>
      <c r="E46">
        <v>5750</v>
      </c>
      <c r="F46">
        <v>6230</v>
      </c>
      <c r="G46">
        <v>6700</v>
      </c>
      <c r="H46" s="12">
        <v>7250</v>
      </c>
      <c r="I46" s="12">
        <v>7750</v>
      </c>
      <c r="J46" s="12">
        <v>8300</v>
      </c>
      <c r="K46" s="12">
        <v>8850</v>
      </c>
      <c r="L46" s="22">
        <v>9400</v>
      </c>
      <c r="M46" s="22">
        <v>99999</v>
      </c>
      <c r="N46" s="139"/>
      <c r="O46" s="140"/>
      <c r="Q46" s="139"/>
      <c r="R46" s="140"/>
      <c r="V46" s="2"/>
      <c r="W46" s="2"/>
      <c r="X46" s="2"/>
      <c r="AA46" s="2"/>
      <c r="AB46" s="2"/>
      <c r="AC46" s="2"/>
      <c r="AD46" s="139"/>
      <c r="AE46" s="140"/>
      <c r="AI46" s="2"/>
      <c r="AJ46" s="2"/>
      <c r="AK46" s="2"/>
      <c r="AL46" s="139"/>
      <c r="AM46" s="140"/>
      <c r="AQ46" s="2"/>
      <c r="AR46" s="2"/>
      <c r="AS46" s="2"/>
      <c r="AT46" s="139"/>
      <c r="AU46" s="140"/>
      <c r="AY46" s="2"/>
      <c r="AZ46" s="2"/>
      <c r="BA46" s="2"/>
      <c r="BB46" s="139"/>
      <c r="BC46" s="140"/>
    </row>
    <row r="47" spans="1:55" ht="14.25" customHeight="1" x14ac:dyDescent="0.3">
      <c r="A47">
        <v>0</v>
      </c>
      <c r="B47" s="233">
        <v>4000</v>
      </c>
      <c r="C47" s="203">
        <v>4500</v>
      </c>
      <c r="D47">
        <v>5000</v>
      </c>
      <c r="E47">
        <v>5500</v>
      </c>
      <c r="F47">
        <v>6000</v>
      </c>
      <c r="G47">
        <v>6500</v>
      </c>
      <c r="H47" s="12">
        <v>7000</v>
      </c>
      <c r="I47" s="12">
        <v>7500</v>
      </c>
      <c r="J47" s="12">
        <v>8000</v>
      </c>
      <c r="K47" s="12">
        <v>8500</v>
      </c>
      <c r="L47" s="22">
        <v>9000</v>
      </c>
      <c r="M47" s="22">
        <v>99999</v>
      </c>
      <c r="N47" s="139"/>
      <c r="O47" s="140"/>
      <c r="Q47" s="139"/>
      <c r="R47" s="140"/>
      <c r="V47" s="2"/>
      <c r="W47" s="2"/>
      <c r="X47" s="2"/>
      <c r="AA47" s="2"/>
      <c r="AB47" s="2"/>
      <c r="AC47" s="2"/>
      <c r="AD47" s="139"/>
      <c r="AE47" s="140"/>
      <c r="AI47" s="2"/>
      <c r="AJ47" s="2"/>
      <c r="AK47" s="2"/>
      <c r="AL47" s="139"/>
      <c r="AM47" s="140"/>
      <c r="AQ47" s="2"/>
      <c r="AR47" s="2"/>
      <c r="AS47" s="2"/>
      <c r="AT47" s="139"/>
      <c r="AU47" s="140"/>
      <c r="AY47" s="2"/>
      <c r="AZ47" s="2"/>
      <c r="BA47" s="2"/>
      <c r="BB47" s="139"/>
      <c r="BC47" s="140"/>
    </row>
    <row r="48" spans="1:55" ht="14.25" customHeight="1" x14ac:dyDescent="0.3">
      <c r="A48">
        <v>1</v>
      </c>
      <c r="B48" s="233">
        <v>3800</v>
      </c>
      <c r="C48" s="203">
        <v>4300</v>
      </c>
      <c r="D48">
        <v>4850</v>
      </c>
      <c r="E48">
        <v>5350</v>
      </c>
      <c r="F48">
        <v>5870</v>
      </c>
      <c r="G48">
        <v>6400</v>
      </c>
      <c r="H48">
        <v>6900</v>
      </c>
      <c r="I48">
        <v>7400</v>
      </c>
      <c r="J48">
        <v>7900</v>
      </c>
      <c r="K48">
        <v>8400</v>
      </c>
      <c r="L48" s="18">
        <v>8900</v>
      </c>
      <c r="M48" s="22">
        <v>99999</v>
      </c>
      <c r="N48" s="139"/>
      <c r="O48" s="140"/>
      <c r="Q48" s="139"/>
      <c r="R48" s="140"/>
      <c r="AA48" s="2"/>
      <c r="AB48" s="2"/>
      <c r="AC48" s="2"/>
      <c r="AD48" s="139"/>
      <c r="AE48" s="140"/>
      <c r="AI48" s="2"/>
      <c r="AJ48" s="2"/>
      <c r="AK48" s="2"/>
      <c r="AL48" s="139"/>
      <c r="AM48" s="140"/>
      <c r="AQ48" s="2"/>
      <c r="AR48" s="2"/>
      <c r="AS48" s="2"/>
      <c r="AT48" s="139"/>
      <c r="AU48" s="140"/>
      <c r="AY48" s="2"/>
      <c r="AZ48" s="2"/>
      <c r="BA48" s="2"/>
      <c r="BB48" s="139"/>
      <c r="BC48" s="140"/>
    </row>
    <row r="49" spans="1:55" ht="14.25" customHeight="1" x14ac:dyDescent="0.3">
      <c r="A49">
        <v>2</v>
      </c>
      <c r="B49" s="234">
        <v>3600</v>
      </c>
      <c r="C49" s="235">
        <v>4100</v>
      </c>
      <c r="D49" s="68">
        <v>4650</v>
      </c>
      <c r="E49" s="68">
        <v>5100</v>
      </c>
      <c r="F49" s="68">
        <v>5650</v>
      </c>
      <c r="G49" s="68">
        <v>6200</v>
      </c>
      <c r="H49" s="260">
        <v>6700</v>
      </c>
      <c r="I49" s="260">
        <v>7200</v>
      </c>
      <c r="J49" s="260">
        <v>7700</v>
      </c>
      <c r="K49" s="260">
        <v>8150</v>
      </c>
      <c r="L49" s="261">
        <v>8650</v>
      </c>
      <c r="M49" s="22">
        <v>99999</v>
      </c>
      <c r="N49" s="139"/>
      <c r="O49" s="140"/>
      <c r="Q49" s="139"/>
      <c r="R49" s="140"/>
      <c r="AA49" s="2"/>
      <c r="AB49" s="2"/>
      <c r="AC49" s="2"/>
      <c r="AD49" s="139"/>
      <c r="AE49" s="140"/>
      <c r="AI49" s="2"/>
      <c r="AJ49" s="2"/>
      <c r="AK49" s="2"/>
      <c r="AL49" s="139"/>
      <c r="AM49" s="140"/>
      <c r="AQ49" s="2"/>
      <c r="AR49" s="2"/>
      <c r="AS49" s="2"/>
      <c r="AT49" s="139"/>
      <c r="AU49" s="140"/>
      <c r="AY49" s="2"/>
      <c r="AZ49" s="2"/>
      <c r="BA49" s="2"/>
      <c r="BB49" s="139"/>
      <c r="BC49" s="140"/>
    </row>
    <row r="50" spans="1:55" ht="14.25" customHeight="1" x14ac:dyDescent="0.3">
      <c r="A50">
        <v>3</v>
      </c>
      <c r="B50" s="234">
        <v>99999</v>
      </c>
      <c r="C50" s="235">
        <v>99999</v>
      </c>
      <c r="D50" s="235">
        <v>99999</v>
      </c>
      <c r="E50" s="235">
        <v>99999</v>
      </c>
      <c r="F50" s="235">
        <v>99999</v>
      </c>
      <c r="G50" s="235">
        <v>99999</v>
      </c>
      <c r="H50" s="235">
        <v>99999</v>
      </c>
      <c r="I50" s="235">
        <v>99999</v>
      </c>
      <c r="J50" s="235">
        <v>99999</v>
      </c>
      <c r="K50" s="235">
        <v>99999</v>
      </c>
      <c r="L50" s="235">
        <v>99999</v>
      </c>
      <c r="M50" s="22">
        <v>99999</v>
      </c>
      <c r="N50" s="139"/>
      <c r="O50" s="140"/>
      <c r="Q50" s="139"/>
      <c r="R50" s="140"/>
      <c r="V50" s="2"/>
      <c r="W50" s="2"/>
      <c r="X50" s="2"/>
      <c r="AA50" s="2"/>
      <c r="AB50" s="2"/>
      <c r="AC50" s="2"/>
      <c r="AD50" s="139"/>
      <c r="AE50" s="140"/>
      <c r="AI50" s="2"/>
      <c r="AJ50" s="2"/>
      <c r="AK50" s="2"/>
      <c r="AL50" s="139"/>
      <c r="AM50" s="140"/>
      <c r="AQ50" s="2"/>
      <c r="AR50" s="2"/>
      <c r="AS50" s="2"/>
      <c r="AT50" s="139"/>
      <c r="AU50" s="140"/>
      <c r="AY50" s="2"/>
      <c r="AZ50" s="2"/>
      <c r="BA50" s="2"/>
      <c r="BB50" s="139"/>
      <c r="BC50" s="140"/>
    </row>
    <row r="51" spans="1:55" ht="14.25" customHeight="1" x14ac:dyDescent="0.3">
      <c r="B51" s="139"/>
      <c r="C51" s="140"/>
      <c r="G51" s="2"/>
      <c r="H51" s="2"/>
      <c r="I51" s="2"/>
      <c r="J51" s="139"/>
      <c r="K51" s="140"/>
      <c r="O51" s="2"/>
      <c r="P51" s="2"/>
      <c r="Q51" s="2"/>
      <c r="R51" s="139"/>
      <c r="S51" s="140"/>
      <c r="W51" s="2"/>
      <c r="X51" s="2"/>
      <c r="Y51" s="2"/>
      <c r="Z51" s="139"/>
      <c r="AA51" s="140"/>
      <c r="AE51" s="2"/>
      <c r="AF51" s="2"/>
      <c r="AG51" s="2"/>
      <c r="AH51" s="139"/>
      <c r="AI51" s="140"/>
      <c r="AM51" s="2"/>
      <c r="AN51" s="2"/>
      <c r="AO51" s="2"/>
      <c r="AP51" s="139"/>
      <c r="AQ51" s="140"/>
      <c r="AU51" s="2"/>
      <c r="AV51" s="2"/>
      <c r="AW51" s="2"/>
      <c r="AX51" s="139"/>
      <c r="AY51" s="140"/>
    </row>
    <row r="52" spans="1:55" ht="14.25" customHeight="1" x14ac:dyDescent="0.3">
      <c r="B52" s="139" t="s">
        <v>146</v>
      </c>
      <c r="C52" s="140">
        <f ca="1">C38</f>
        <v>7558.95</v>
      </c>
      <c r="D52" s="355" t="s">
        <v>201</v>
      </c>
      <c r="E52" s="355"/>
      <c r="G52" s="2"/>
      <c r="H52" s="2"/>
      <c r="I52" s="2"/>
      <c r="J52" s="139" t="s">
        <v>146</v>
      </c>
      <c r="K52" s="140">
        <f ca="1">K38</f>
        <v>7187.32</v>
      </c>
      <c r="L52" s="355" t="s">
        <v>201</v>
      </c>
      <c r="M52" s="355"/>
      <c r="O52" s="2"/>
      <c r="P52" s="2"/>
      <c r="Q52" s="2"/>
      <c r="R52" s="139" t="s">
        <v>146</v>
      </c>
      <c r="S52" s="140">
        <f ca="1">S38</f>
        <v>6592.45</v>
      </c>
      <c r="T52" s="355" t="s">
        <v>201</v>
      </c>
      <c r="U52" s="355"/>
      <c r="W52" s="2"/>
      <c r="X52" s="2"/>
      <c r="Y52" s="2"/>
      <c r="Z52" s="139" t="s">
        <v>146</v>
      </c>
      <c r="AA52" s="140">
        <f ca="1">AA38</f>
        <v>6059.58</v>
      </c>
      <c r="AB52" s="355" t="s">
        <v>201</v>
      </c>
      <c r="AC52" s="355"/>
      <c r="AE52" s="2"/>
      <c r="AF52" s="2"/>
      <c r="AG52" s="2"/>
      <c r="AH52" s="139" t="s">
        <v>146</v>
      </c>
      <c r="AI52" s="140">
        <f ca="1">AI38</f>
        <v>5573.33</v>
      </c>
      <c r="AJ52" s="355" t="s">
        <v>201</v>
      </c>
      <c r="AK52" s="355"/>
      <c r="AM52" s="2"/>
      <c r="AN52" s="2"/>
      <c r="AO52" s="2"/>
      <c r="AP52" s="139" t="s">
        <v>146</v>
      </c>
      <c r="AQ52" s="140">
        <f ca="1">AQ38</f>
        <v>5470.46</v>
      </c>
      <c r="AR52" s="355" t="s">
        <v>201</v>
      </c>
      <c r="AS52" s="355"/>
      <c r="AU52" s="2"/>
      <c r="AV52" s="2"/>
      <c r="AW52" s="2"/>
      <c r="AX52" s="139" t="s">
        <v>146</v>
      </c>
      <c r="AY52" s="140">
        <f ca="1">AY38</f>
        <v>0</v>
      </c>
      <c r="AZ52" s="355" t="s">
        <v>201</v>
      </c>
      <c r="BA52" s="355"/>
    </row>
    <row r="53" spans="1:55" ht="14.25" customHeight="1" x14ac:dyDescent="0.3">
      <c r="B53" s="16" t="s">
        <v>202</v>
      </c>
      <c r="C53" s="141">
        <f t="array" aca="1" ref="C53" ca="1">INDEX($B43:$M43,MATCH(C52,$B43:$M43,1))</f>
        <v>7500</v>
      </c>
      <c r="D53" s="16" t="s">
        <v>144</v>
      </c>
      <c r="E53" s="17">
        <f>MATCH(MAX($A44:$A50),$A44:$A50,1)</f>
        <v>7</v>
      </c>
      <c r="G53" s="2"/>
      <c r="H53" s="2"/>
      <c r="I53" s="2"/>
      <c r="J53" s="16" t="s">
        <v>202</v>
      </c>
      <c r="K53" s="141">
        <f t="array" aca="1" ref="K53" ca="1">INDEX($B43:$M43,MATCH(K52,$B43:$M43,1))</f>
        <v>7000</v>
      </c>
      <c r="L53" s="16" t="s">
        <v>144</v>
      </c>
      <c r="M53" s="17">
        <f>MATCH(MAX($A44:$A50),$A44:$A50,1)</f>
        <v>7</v>
      </c>
      <c r="O53" s="2"/>
      <c r="P53" s="2"/>
      <c r="Q53" s="2"/>
      <c r="R53" s="16" t="s">
        <v>202</v>
      </c>
      <c r="S53" s="141">
        <f t="array" aca="1" ref="S53" ca="1">INDEX($B43:$M43,MATCH(S52,$B43:$M43,1))</f>
        <v>6500</v>
      </c>
      <c r="T53" s="16" t="s">
        <v>144</v>
      </c>
      <c r="U53" s="17">
        <f>MATCH(MAX($A44:$A50),$A44:$A50,1)</f>
        <v>7</v>
      </c>
      <c r="W53" s="2"/>
      <c r="X53" s="2"/>
      <c r="Y53" s="2"/>
      <c r="Z53" s="16" t="s">
        <v>202</v>
      </c>
      <c r="AA53" s="141">
        <f t="array" aca="1" ref="AA53" ca="1">INDEX($B43:$M43,MATCH(AA52,$B43:$M43,1))</f>
        <v>6000</v>
      </c>
      <c r="AB53" s="16" t="s">
        <v>144</v>
      </c>
      <c r="AC53" s="17">
        <f>MATCH(MAX($A44:$A50),$A44:$A50,1)</f>
        <v>7</v>
      </c>
      <c r="AE53" s="2"/>
      <c r="AF53" s="2"/>
      <c r="AG53" s="2"/>
      <c r="AH53" s="16" t="s">
        <v>202</v>
      </c>
      <c r="AI53" s="141">
        <f t="array" aca="1" ref="AI53" ca="1">INDEX($B43:$M43,MATCH(AI52,$B43:$M43,1))</f>
        <v>5500</v>
      </c>
      <c r="AJ53" s="16" t="s">
        <v>144</v>
      </c>
      <c r="AK53" s="17">
        <f>MATCH(MAX($A44:$A50),$A44:$A50,1)</f>
        <v>7</v>
      </c>
      <c r="AM53" s="2"/>
      <c r="AN53" s="2"/>
      <c r="AO53" s="2"/>
      <c r="AP53" s="16" t="s">
        <v>202</v>
      </c>
      <c r="AQ53" s="141">
        <f t="array" aca="1" ref="AQ53" ca="1">INDEX($B43:$M43,MATCH(AQ52,$B43:$M43,1))</f>
        <v>5000</v>
      </c>
      <c r="AR53" s="16" t="s">
        <v>144</v>
      </c>
      <c r="AS53" s="17">
        <f>MATCH(MAX($A44:$A50),$A44:$A50,1)</f>
        <v>7</v>
      </c>
      <c r="AU53" s="2"/>
      <c r="AV53" s="2"/>
      <c r="AW53" s="2"/>
      <c r="AX53" s="16" t="s">
        <v>202</v>
      </c>
      <c r="AY53" s="141" t="e">
        <f t="array" aca="1" ref="AY53" ca="1">INDEX($B43:$M43,MATCH(AY52,$B43:$M43,1))</f>
        <v>#N/A</v>
      </c>
      <c r="AZ53" s="16" t="s">
        <v>144</v>
      </c>
      <c r="BA53" s="17">
        <f>MATCH(MAX($A44:$A50),$A44:$A50,1)</f>
        <v>7</v>
      </c>
    </row>
    <row r="54" spans="1:55" ht="14.25" customHeight="1" x14ac:dyDescent="0.3">
      <c r="B54" s="16" t="s">
        <v>203</v>
      </c>
      <c r="C54" s="141">
        <f t="array" aca="1" ref="C54" ca="1">INDEX($B43:$M43,IF(MATCH(C52,$B43:$M43,1)&lt;E54,MATCH(C52,$B43:$M43,1)+1,MATCH(C52,$B43:$M43,1)))</f>
        <v>8000</v>
      </c>
      <c r="D54" s="16" t="s">
        <v>145</v>
      </c>
      <c r="E54" s="17">
        <f>MATCH(MAX($B43:$M43),$B43:$M43,0)</f>
        <v>12</v>
      </c>
      <c r="G54" s="2"/>
      <c r="H54" s="2"/>
      <c r="I54" s="2"/>
      <c r="J54" s="16" t="s">
        <v>203</v>
      </c>
      <c r="K54" s="141">
        <f t="array" aca="1" ref="K54" ca="1">INDEX($B43:$M43,IF(MATCH(K52,$B43:$M43,1)&lt;M54,MATCH(K52,$B43:$M43,1)+1,MATCH(K52,$B43:$M43,1)))</f>
        <v>7500</v>
      </c>
      <c r="L54" s="16" t="s">
        <v>145</v>
      </c>
      <c r="M54" s="17">
        <f>MATCH(MAX($B43:$M43),$B43:$M43,0)</f>
        <v>12</v>
      </c>
      <c r="O54" s="2"/>
      <c r="P54" s="2"/>
      <c r="Q54" s="2"/>
      <c r="R54" s="16" t="s">
        <v>203</v>
      </c>
      <c r="S54" s="141">
        <f t="array" aca="1" ref="S54" ca="1">INDEX($B43:$M43,IF(MATCH(S52,$B43:$M43,1)&lt;U54,MATCH(S52,$B43:$M43,1)+1,MATCH(S52,$B43:$M43,1)))</f>
        <v>7000</v>
      </c>
      <c r="T54" s="16" t="s">
        <v>145</v>
      </c>
      <c r="U54" s="17">
        <f>MATCH(MAX($B43:$M43),$B43:$M43,0)</f>
        <v>12</v>
      </c>
      <c r="W54" s="2"/>
      <c r="X54" s="2"/>
      <c r="Y54" s="2"/>
      <c r="Z54" s="16" t="s">
        <v>203</v>
      </c>
      <c r="AA54" s="141">
        <f t="array" aca="1" ref="AA54" ca="1">INDEX($B43:$M43,IF(MATCH(AA52,$B43:$M43,1)&lt;AC54,MATCH(AA52,$B43:$M43,1)+1,MATCH(AA52,$B43:$M43,1)))</f>
        <v>6500</v>
      </c>
      <c r="AB54" s="16" t="s">
        <v>145</v>
      </c>
      <c r="AC54" s="17">
        <f>MATCH(MAX($B43:$M43),$B43:$M43,0)</f>
        <v>12</v>
      </c>
      <c r="AE54" s="2"/>
      <c r="AF54" s="2"/>
      <c r="AG54" s="2"/>
      <c r="AH54" s="16" t="s">
        <v>203</v>
      </c>
      <c r="AI54" s="141">
        <f t="array" aca="1" ref="AI54" ca="1">INDEX($B43:$M43,IF(MATCH(AI52,$B43:$M43,1)&lt;AK54,MATCH(AI52,$B43:$M43,1)+1,MATCH(AI52,$B43:$M43,1)))</f>
        <v>6000</v>
      </c>
      <c r="AJ54" s="16" t="s">
        <v>145</v>
      </c>
      <c r="AK54" s="17">
        <f>MATCH(MAX($B43:$M43),$B43:$M43,0)</f>
        <v>12</v>
      </c>
      <c r="AM54" s="2"/>
      <c r="AN54" s="2"/>
      <c r="AO54" s="2"/>
      <c r="AP54" s="16" t="s">
        <v>203</v>
      </c>
      <c r="AQ54" s="141">
        <f t="array" aca="1" ref="AQ54" ca="1">INDEX($B43:$M43,IF(MATCH(AQ52,$B43:$M43,1)&lt;AS54,MATCH(AQ52,$B43:$M43,1)+1,MATCH(AQ52,$B43:$M43,1)))</f>
        <v>5500</v>
      </c>
      <c r="AR54" s="16" t="s">
        <v>145</v>
      </c>
      <c r="AS54" s="17">
        <f>MATCH(MAX($B43:$M43),$B43:$M43,0)</f>
        <v>12</v>
      </c>
      <c r="AU54" s="2"/>
      <c r="AV54" s="2"/>
      <c r="AW54" s="2"/>
      <c r="AX54" s="16" t="s">
        <v>203</v>
      </c>
      <c r="AY54" s="141" t="e">
        <f t="array" aca="1" ref="AY54" ca="1">INDEX($B43:$M43,IF(MATCH(AY52,$B43:$M43,1)&lt;BA54,MATCH(AY52,$B43:$M43,1)+1,MATCH(AY52,$B43:$M43,1)))</f>
        <v>#N/A</v>
      </c>
      <c r="AZ54" s="16" t="s">
        <v>145</v>
      </c>
      <c r="BA54" s="17">
        <f>MATCH(MAX($B43:$M43),$B43:$M43,0)</f>
        <v>12</v>
      </c>
    </row>
    <row r="55" spans="1:55" ht="14.25" customHeight="1" x14ac:dyDescent="0.3">
      <c r="B55" s="139" t="s">
        <v>147</v>
      </c>
      <c r="C55" s="186">
        <f>'Take-off'!$C$17</f>
        <v>0</v>
      </c>
      <c r="D55" s="2"/>
      <c r="E55" s="2"/>
      <c r="G55" s="2"/>
      <c r="H55" s="2"/>
      <c r="I55" s="2"/>
      <c r="J55" s="139" t="s">
        <v>147</v>
      </c>
      <c r="K55" s="186">
        <f>'Take-off'!$C$17</f>
        <v>0</v>
      </c>
      <c r="L55" s="2"/>
      <c r="M55" s="2"/>
      <c r="O55" s="2"/>
      <c r="P55" s="2"/>
      <c r="Q55" s="2"/>
      <c r="R55" s="139" t="s">
        <v>147</v>
      </c>
      <c r="S55" s="186">
        <f>'Take-off'!$C$17</f>
        <v>0</v>
      </c>
      <c r="T55" s="2"/>
      <c r="U55" s="2"/>
      <c r="W55" s="2"/>
      <c r="X55" s="2"/>
      <c r="Y55" s="2"/>
      <c r="Z55" s="139" t="s">
        <v>147</v>
      </c>
      <c r="AA55" s="186">
        <f>'Take-off'!$C$17</f>
        <v>0</v>
      </c>
      <c r="AB55" s="2"/>
      <c r="AC55" s="2"/>
      <c r="AE55" s="2"/>
      <c r="AF55" s="2"/>
      <c r="AG55" s="2"/>
      <c r="AH55" s="139" t="s">
        <v>147</v>
      </c>
      <c r="AI55" s="186">
        <f>'Take-off'!$C$17</f>
        <v>0</v>
      </c>
      <c r="AJ55" s="2"/>
      <c r="AK55" s="2"/>
      <c r="AM55" s="2"/>
      <c r="AN55" s="2"/>
      <c r="AO55" s="2"/>
      <c r="AP55" s="139" t="s">
        <v>147</v>
      </c>
      <c r="AQ55" s="186">
        <f>'Take-off'!$C$17</f>
        <v>0</v>
      </c>
      <c r="AR55" s="2"/>
      <c r="AS55" s="2"/>
      <c r="AU55" s="2"/>
      <c r="AV55" s="2"/>
      <c r="AW55" s="2"/>
      <c r="AX55" s="139" t="s">
        <v>147</v>
      </c>
      <c r="AY55" s="186">
        <f>'Take-off'!$C$17</f>
        <v>0</v>
      </c>
      <c r="AZ55" s="2"/>
      <c r="BA55" s="2"/>
    </row>
    <row r="56" spans="1:55" ht="14.25" customHeight="1" x14ac:dyDescent="0.3">
      <c r="B56" s="16" t="s">
        <v>148</v>
      </c>
      <c r="C56" s="141">
        <f t="array" ref="C56">INDEX($A44:$A50,MATCH(C55,$A44:$A50,1))</f>
        <v>0</v>
      </c>
      <c r="D56" s="2"/>
      <c r="E56" s="42"/>
      <c r="G56" s="2"/>
      <c r="H56" s="2"/>
      <c r="I56" s="2"/>
      <c r="J56" s="16" t="s">
        <v>148</v>
      </c>
      <c r="K56" s="141">
        <f t="array" ref="K56">INDEX($A44:$A50,MATCH(K55,$A44:$A50,1))</f>
        <v>0</v>
      </c>
      <c r="L56" s="2"/>
      <c r="M56" s="42"/>
      <c r="O56" s="2"/>
      <c r="P56" s="2"/>
      <c r="Q56" s="2"/>
      <c r="R56" s="16" t="s">
        <v>148</v>
      </c>
      <c r="S56" s="141">
        <f t="array" ref="S56">INDEX($A44:$A50,MATCH(S55,$A44:$A50,1))</f>
        <v>0</v>
      </c>
      <c r="T56" s="2"/>
      <c r="U56" s="42"/>
      <c r="W56" s="2"/>
      <c r="X56" s="2"/>
      <c r="Y56" s="2"/>
      <c r="Z56" s="16" t="s">
        <v>148</v>
      </c>
      <c r="AA56" s="141">
        <f t="array" ref="AA56">INDEX($A44:$A50,MATCH(AA55,$A44:$A50,1))</f>
        <v>0</v>
      </c>
      <c r="AB56" s="2"/>
      <c r="AC56" s="42"/>
      <c r="AE56" s="2"/>
      <c r="AF56" s="2"/>
      <c r="AG56" s="2"/>
      <c r="AH56" s="16" t="s">
        <v>148</v>
      </c>
      <c r="AI56" s="141">
        <f t="array" ref="AI56">INDEX($A44:$A50,MATCH(AI55,$A44:$A50,1))</f>
        <v>0</v>
      </c>
      <c r="AJ56" s="2"/>
      <c r="AK56" s="42"/>
      <c r="AM56" s="2"/>
      <c r="AN56" s="2"/>
      <c r="AO56" s="2"/>
      <c r="AP56" s="16" t="s">
        <v>148</v>
      </c>
      <c r="AQ56" s="141">
        <f t="array" ref="AQ56">INDEX($A44:$A50,MATCH(AQ55,$A44:$A50,1))</f>
        <v>0</v>
      </c>
      <c r="AR56" s="2"/>
      <c r="AS56" s="42"/>
      <c r="AU56" s="2"/>
      <c r="AV56" s="2"/>
      <c r="AW56" s="2"/>
      <c r="AX56" s="16" t="s">
        <v>148</v>
      </c>
      <c r="AY56" s="141">
        <f t="array" ref="AY56">INDEX($A44:$A50,MATCH(AY55,$A44:$A50,1))</f>
        <v>0</v>
      </c>
      <c r="AZ56" s="2"/>
      <c r="BA56" s="42"/>
    </row>
    <row r="57" spans="1:55" ht="14.25" customHeight="1" x14ac:dyDescent="0.3">
      <c r="B57" s="16" t="s">
        <v>149</v>
      </c>
      <c r="C57" s="141">
        <f t="array" ref="C57">INDEX($A44:$A50,IF(MATCH(C55,$A44:$A50,1)&lt;E53,MATCH(C55,$A44:$A50,1)+1,MATCH(C55,$A44:$A50,1)))</f>
        <v>1</v>
      </c>
      <c r="D57" s="2"/>
      <c r="E57" s="42"/>
      <c r="G57" s="2"/>
      <c r="H57" s="2"/>
      <c r="I57" s="2"/>
      <c r="J57" s="16" t="s">
        <v>149</v>
      </c>
      <c r="K57" s="141">
        <f t="array" ref="K57">INDEX($A44:$A50,IF(MATCH(K55,$A44:$A50,1)&lt;M53,MATCH(K55,$A44:$A50,1)+1,MATCH(K55,$A44:$A50,1)))</f>
        <v>1</v>
      </c>
      <c r="L57" s="2"/>
      <c r="M57" s="42"/>
      <c r="O57" s="2"/>
      <c r="P57" s="2"/>
      <c r="Q57" s="2"/>
      <c r="R57" s="16" t="s">
        <v>149</v>
      </c>
      <c r="S57" s="141">
        <f t="array" ref="S57">INDEX($A44:$A50,IF(MATCH(S55,$A44:$A50,1)&lt;U53,MATCH(S55,$A44:$A50,1)+1,MATCH(S55,$A44:$A50,1)))</f>
        <v>1</v>
      </c>
      <c r="T57" s="2"/>
      <c r="U57" s="42"/>
      <c r="W57" s="2"/>
      <c r="X57" s="2"/>
      <c r="Y57" s="2"/>
      <c r="Z57" s="16" t="s">
        <v>149</v>
      </c>
      <c r="AA57" s="141">
        <f t="array" ref="AA57">INDEX($A44:$A50,IF(MATCH(AA55,$A44:$A50,1)&lt;AC53,MATCH(AA55,$A44:$A50,1)+1,MATCH(AA55,$A44:$A50,1)))</f>
        <v>1</v>
      </c>
      <c r="AB57" s="2"/>
      <c r="AC57" s="42"/>
      <c r="AE57" s="2"/>
      <c r="AF57" s="2"/>
      <c r="AG57" s="2"/>
      <c r="AH57" s="16" t="s">
        <v>149</v>
      </c>
      <c r="AI57" s="141">
        <f t="array" ref="AI57">INDEX($A44:$A50,IF(MATCH(AI55,$A44:$A50,1)&lt;AK53,MATCH(AI55,$A44:$A50,1)+1,MATCH(AI55,$A44:$A50,1)))</f>
        <v>1</v>
      </c>
      <c r="AJ57" s="2"/>
      <c r="AK57" s="42"/>
      <c r="AM57" s="2"/>
      <c r="AN57" s="2"/>
      <c r="AO57" s="2"/>
      <c r="AP57" s="16" t="s">
        <v>149</v>
      </c>
      <c r="AQ57" s="141">
        <f t="array" ref="AQ57">INDEX($A44:$A50,IF(MATCH(AQ55,$A44:$A50,1)&lt;AS53,MATCH(AQ55,$A44:$A50,1)+1,MATCH(AQ55,$A44:$A50,1)))</f>
        <v>1</v>
      </c>
      <c r="AR57" s="2"/>
      <c r="AS57" s="42"/>
      <c r="AU57" s="2"/>
      <c r="AV57" s="2"/>
      <c r="AW57" s="2"/>
      <c r="AX57" s="16" t="s">
        <v>149</v>
      </c>
      <c r="AY57" s="141">
        <f t="array" ref="AY57">INDEX($A44:$A50,IF(MATCH(AY55,$A44:$A50,1)&lt;BA53,MATCH(AY55,$A44:$A50,1)+1,MATCH(AY55,$A44:$A50,1)))</f>
        <v>1</v>
      </c>
      <c r="AZ57" s="2"/>
      <c r="BA57" s="42"/>
    </row>
    <row r="58" spans="1:55" ht="14.25" customHeight="1" x14ac:dyDescent="0.3">
      <c r="B58" s="139" t="s">
        <v>150</v>
      </c>
      <c r="C58" s="140">
        <f t="array" aca="1" ref="C58" ca="1">INDEX($B44:$M50,MATCH(C55,$A44:$A50,1),MATCH(C52,$B43:$M43,1))</f>
        <v>7500</v>
      </c>
      <c r="D58" s="2"/>
      <c r="E58" s="42"/>
      <c r="G58" s="2"/>
      <c r="H58" s="2"/>
      <c r="I58" s="2"/>
      <c r="J58" s="139" t="s">
        <v>150</v>
      </c>
      <c r="K58" s="140">
        <f t="array" aca="1" ref="K58" ca="1">INDEX($B44:$M50,MATCH(K55,$A44:$A50,1),MATCH(K52,$B43:$M43,1))</f>
        <v>7000</v>
      </c>
      <c r="L58" s="2"/>
      <c r="M58" s="42"/>
      <c r="O58" s="2"/>
      <c r="P58" s="2"/>
      <c r="Q58" s="2"/>
      <c r="R58" s="139" t="s">
        <v>150</v>
      </c>
      <c r="S58" s="140">
        <f t="array" aca="1" ref="S58" ca="1">INDEX($B44:$M50,MATCH(S55,$A44:$A50,1),MATCH(S52,$B43:$M43,1))</f>
        <v>6500</v>
      </c>
      <c r="T58" s="2"/>
      <c r="U58" s="42"/>
      <c r="W58" s="2"/>
      <c r="X58" s="2"/>
      <c r="Y58" s="2"/>
      <c r="Z58" s="139" t="s">
        <v>150</v>
      </c>
      <c r="AA58" s="140">
        <f t="array" aca="1" ref="AA58" ca="1">INDEX($B44:$M50,MATCH(AA55,$A44:$A50,1),MATCH(AA52,$B43:$M43,1))</f>
        <v>6000</v>
      </c>
      <c r="AB58" s="2"/>
      <c r="AC58" s="42"/>
      <c r="AE58" s="2"/>
      <c r="AF58" s="2"/>
      <c r="AG58" s="2"/>
      <c r="AH58" s="139" t="s">
        <v>150</v>
      </c>
      <c r="AI58" s="140">
        <f t="array" aca="1" ref="AI58" ca="1">INDEX($B44:$M50,MATCH(AI55,$A44:$A50,1),MATCH(AI52,$B43:$M43,1))</f>
        <v>5500</v>
      </c>
      <c r="AJ58" s="2"/>
      <c r="AK58" s="42"/>
      <c r="AM58" s="2"/>
      <c r="AN58" s="2"/>
      <c r="AO58" s="2"/>
      <c r="AP58" s="139" t="s">
        <v>150</v>
      </c>
      <c r="AQ58" s="140">
        <f t="array" aca="1" ref="AQ58" ca="1">INDEX($B44:$M50,MATCH(AQ55,$A44:$A50,1),MATCH(AQ52,$B43:$M43,1))</f>
        <v>5000</v>
      </c>
      <c r="AR58" s="2"/>
      <c r="AS58" s="42"/>
      <c r="AU58" s="2"/>
      <c r="AV58" s="2"/>
      <c r="AW58" s="2"/>
      <c r="AX58" s="139" t="s">
        <v>150</v>
      </c>
      <c r="AY58" s="140" t="e">
        <f t="array" aca="1" ref="AY58" ca="1">INDEX($B44:$M50,MATCH(AY55,$A44:$A50,1),MATCH(AY52,$B43:$M43,1))</f>
        <v>#N/A</v>
      </c>
      <c r="AZ58" s="2"/>
      <c r="BA58" s="42"/>
    </row>
    <row r="59" spans="1:55" ht="14.25" customHeight="1" x14ac:dyDescent="0.3">
      <c r="B59" s="139" t="s">
        <v>204</v>
      </c>
      <c r="C59" s="140">
        <f t="array" aca="1" ref="C59" ca="1">INDEX($B44:$M50,MATCH(C55,$A44:$A50,1),IF(MATCH(C52,$B43:$M43,1)&lt;E54,MATCH(C52,$B43:$M43,1)+1,MATCH(C55,$A44:$A50,1)))</f>
        <v>8000</v>
      </c>
      <c r="E59" s="42"/>
      <c r="G59" s="2"/>
      <c r="H59" s="2"/>
      <c r="I59" s="2"/>
      <c r="J59" s="139" t="s">
        <v>204</v>
      </c>
      <c r="K59" s="140">
        <f t="array" aca="1" ref="K59" ca="1">INDEX($B44:$M50,MATCH(K55,$A44:$A50,1),IF(MATCH(K52,$B43:$M43,1)&lt;M54,MATCH(K52,$B43:$M43,1)+1,MATCH(K55,$A44:$A50,1)))</f>
        <v>7500</v>
      </c>
      <c r="M59" s="42"/>
      <c r="O59" s="2"/>
      <c r="P59" s="2"/>
      <c r="Q59" s="2"/>
      <c r="R59" s="139" t="s">
        <v>204</v>
      </c>
      <c r="S59" s="140">
        <f t="array" aca="1" ref="S59" ca="1">INDEX($B44:$M50,MATCH(S55,$A44:$A50,1),IF(MATCH(S52,$B43:$M43,1)&lt;U54,MATCH(S52,$B43:$M43,1)+1,MATCH(S55,$A44:$A50,1)))</f>
        <v>7000</v>
      </c>
      <c r="U59" s="42"/>
      <c r="W59" s="2"/>
      <c r="X59" s="2"/>
      <c r="Y59" s="2"/>
      <c r="Z59" s="139" t="s">
        <v>204</v>
      </c>
      <c r="AA59" s="140">
        <f t="array" aca="1" ref="AA59" ca="1">INDEX($B44:$M50,MATCH(AA55,$A44:$A50,1),IF(MATCH(AA52,$B43:$M43,1)&lt;AC54,MATCH(AA52,$B43:$M43,1)+1,MATCH(AA55,$A44:$A50,1)))</f>
        <v>6500</v>
      </c>
      <c r="AC59" s="42"/>
      <c r="AE59" s="2"/>
      <c r="AF59" s="2"/>
      <c r="AG59" s="2"/>
      <c r="AH59" s="139" t="s">
        <v>204</v>
      </c>
      <c r="AI59" s="140">
        <f t="array" aca="1" ref="AI59" ca="1">INDEX($B44:$M50,MATCH(AI55,$A44:$A50,1),IF(MATCH(AI52,$B43:$M43,1)&lt;AK54,MATCH(AI52,$B43:$M43,1)+1,MATCH(AI55,$A44:$A50,1)))</f>
        <v>6000</v>
      </c>
      <c r="AK59" s="42"/>
      <c r="AM59" s="2"/>
      <c r="AN59" s="2"/>
      <c r="AO59" s="2"/>
      <c r="AP59" s="139" t="s">
        <v>204</v>
      </c>
      <c r="AQ59" s="140">
        <f t="array" aca="1" ref="AQ59" ca="1">INDEX($B44:$M50,MATCH(AQ55,$A44:$A50,1),IF(MATCH(AQ52,$B43:$M43,1)&lt;AS54,MATCH(AQ52,$B43:$M43,1)+1,MATCH(AQ55,$A44:$A50,1)))</f>
        <v>5500</v>
      </c>
      <c r="AS59" s="42"/>
      <c r="AU59" s="2"/>
      <c r="AV59" s="2"/>
      <c r="AW59" s="2"/>
      <c r="AX59" s="139" t="s">
        <v>204</v>
      </c>
      <c r="AY59" s="140" t="e">
        <f t="array" aca="1" ref="AY59" ca="1">INDEX($B44:$M50,MATCH(AY55,$A44:$A50,1),IF(MATCH(AY52,$B43:$M43,1)&lt;BA54,MATCH(AY52,$B43:$M43,1)+1,MATCH(AY55,$A44:$A50,1)))</f>
        <v>#N/A</v>
      </c>
      <c r="BA59" s="42"/>
    </row>
    <row r="60" spans="1:55" ht="14.25" customHeight="1" x14ac:dyDescent="0.3">
      <c r="B60" s="139" t="s">
        <v>151</v>
      </c>
      <c r="C60" s="140">
        <f t="array" aca="1" ref="C60" ca="1">INDEX($B44:$M50,IF(MATCH(C55,$A44:$A50,1)&lt;E53,MATCH(C55,$A44:$A50,1)+1,MATCH(C55,$A44:$A50,1)),MATCH(C52,$B43:$M43,1))</f>
        <v>7400</v>
      </c>
      <c r="E60" s="42"/>
      <c r="G60" s="2"/>
      <c r="H60" s="2"/>
      <c r="I60" s="2"/>
      <c r="J60" s="139" t="s">
        <v>151</v>
      </c>
      <c r="K60" s="140">
        <f t="array" aca="1" ref="K60" ca="1">INDEX($B44:$M50,IF(MATCH(K55,$A44:$A50,1)&lt;M53,MATCH(K55,$A44:$A50,1)+1,MATCH(K55,$A44:$A50,1)),MATCH(K52,$B43:$M43,1))</f>
        <v>6900</v>
      </c>
      <c r="M60" s="42"/>
      <c r="O60" s="2"/>
      <c r="P60" s="2"/>
      <c r="Q60" s="2"/>
      <c r="R60" s="139" t="s">
        <v>151</v>
      </c>
      <c r="S60" s="140">
        <f t="array" aca="1" ref="S60" ca="1">INDEX($B44:$M50,IF(MATCH(S55,$A44:$A50,1)&lt;U53,MATCH(S55,$A44:$A50,1)+1,MATCH(S55,$A44:$A50,1)),MATCH(S52,$B43:$M43,1))</f>
        <v>6400</v>
      </c>
      <c r="U60" s="42"/>
      <c r="W60" s="2"/>
      <c r="X60" s="2"/>
      <c r="Y60" s="2"/>
      <c r="Z60" s="139" t="s">
        <v>151</v>
      </c>
      <c r="AA60" s="140">
        <f t="array" aca="1" ref="AA60" ca="1">INDEX($B44:$M50,IF(MATCH(AA55,$A44:$A50,1)&lt;AC53,MATCH(AA55,$A44:$A50,1)+1,MATCH(AA55,$A44:$A50,1)),MATCH(AA52,$B43:$M43,1))</f>
        <v>5870</v>
      </c>
      <c r="AC60" s="42"/>
      <c r="AE60" s="2"/>
      <c r="AF60" s="2"/>
      <c r="AG60" s="2"/>
      <c r="AH60" s="139" t="s">
        <v>151</v>
      </c>
      <c r="AI60" s="140">
        <f t="array" aca="1" ref="AI60" ca="1">INDEX($B44:$M50,IF(MATCH(AI55,$A44:$A50,1)&lt;AK53,MATCH(AI55,$A44:$A50,1)+1,MATCH(AI55,$A44:$A50,1)),MATCH(AI52,$B43:$M43,1))</f>
        <v>5350</v>
      </c>
      <c r="AK60" s="42"/>
      <c r="AM60" s="2"/>
      <c r="AN60" s="2"/>
      <c r="AO60" s="2"/>
      <c r="AP60" s="139" t="s">
        <v>151</v>
      </c>
      <c r="AQ60" s="140">
        <f t="array" aca="1" ref="AQ60" ca="1">INDEX($B44:$M50,IF(MATCH(AQ55,$A44:$A50,1)&lt;AS53,MATCH(AQ55,$A44:$A50,1)+1,MATCH(AQ55,$A44:$A50,1)),MATCH(AQ52,$B43:$M43,1))</f>
        <v>4850</v>
      </c>
      <c r="AS60" s="42"/>
      <c r="AU60" s="2"/>
      <c r="AV60" s="2"/>
      <c r="AW60" s="2"/>
      <c r="AX60" s="139" t="s">
        <v>151</v>
      </c>
      <c r="AY60" s="140" t="e">
        <f t="array" aca="1" ref="AY60" ca="1">INDEX($B44:$M50,IF(MATCH(AY55,$A44:$A50,1)&lt;BA53,MATCH(AY55,$A44:$A50,1)+1,MATCH(AY55,$A44:$A50,1)),MATCH(AY52,$B43:$M43,1))</f>
        <v>#N/A</v>
      </c>
      <c r="BA60" s="42"/>
    </row>
    <row r="61" spans="1:55" ht="14.25" customHeight="1" x14ac:dyDescent="0.3">
      <c r="B61" s="139" t="s">
        <v>205</v>
      </c>
      <c r="C61" s="140">
        <f t="array" aca="1" ref="C61" ca="1">INDEX($B44:$M50,IF(MATCH(C55,$A44:$A50,1)&lt;E53,MATCH(C55,$A44:$A50,1)+1,MATCH(C55,$A44:$A50,1)),IF(MATCH(C52,$B43:$M43,1)&lt;E54,MATCH(C52,$B43:$M43,1)+1,MATCH(C52,$B43:$M43,1)))</f>
        <v>7900</v>
      </c>
      <c r="G61" s="2"/>
      <c r="H61" s="2"/>
      <c r="I61" s="2"/>
      <c r="J61" s="139" t="s">
        <v>205</v>
      </c>
      <c r="K61" s="140">
        <f t="array" aca="1" ref="K61" ca="1">INDEX($B44:$M50,IF(MATCH(K55,$A44:$A50,1)&lt;M53,MATCH(K55,$A44:$A50,1)+1,MATCH(K55,$A44:$A50,1)),IF(MATCH(K52,$B43:$M43,1)&lt;M54,MATCH(K52,$B43:$M43,1)+1,MATCH(K52,$B43:$M43,1)))</f>
        <v>7400</v>
      </c>
      <c r="O61" s="2"/>
      <c r="P61" s="2"/>
      <c r="Q61" s="2"/>
      <c r="R61" s="139" t="s">
        <v>205</v>
      </c>
      <c r="S61" s="140">
        <f t="array" aca="1" ref="S61" ca="1">INDEX($B44:$M50,IF(MATCH(S55,$A44:$A50,1)&lt;U53,MATCH(S55,$A44:$A50,1)+1,MATCH(S55,$A44:$A50,1)),IF(MATCH(S52,$B43:$M43,1)&lt;U54,MATCH(S52,$B43:$M43,1)+1,MATCH(S52,$B43:$M43,1)))</f>
        <v>6900</v>
      </c>
      <c r="W61" s="2"/>
      <c r="X61" s="2"/>
      <c r="Y61" s="2"/>
      <c r="Z61" s="139" t="s">
        <v>205</v>
      </c>
      <c r="AA61" s="140">
        <f t="array" aca="1" ref="AA61" ca="1">INDEX($B44:$M50,IF(MATCH(AA55,$A44:$A50,1)&lt;AC53,MATCH(AA55,$A44:$A50,1)+1,MATCH(AA55,$A44:$A50,1)),IF(MATCH(AA52,$B43:$M43,1)&lt;AC54,MATCH(AA52,$B43:$M43,1)+1,MATCH(AA52,$B43:$M43,1)))</f>
        <v>6400</v>
      </c>
      <c r="AE61" s="2"/>
      <c r="AF61" s="2"/>
      <c r="AG61" s="2"/>
      <c r="AH61" s="139" t="s">
        <v>205</v>
      </c>
      <c r="AI61" s="140">
        <f t="array" aca="1" ref="AI61" ca="1">INDEX($B44:$M50,IF(MATCH(AI55,$A44:$A50,1)&lt;AK53,MATCH(AI55,$A44:$A50,1)+1,MATCH(AI55,$A44:$A50,1)),IF(MATCH(AI52,$B43:$M43,1)&lt;AK54,MATCH(AI52,$B43:$M43,1)+1,MATCH(AI52,$B43:$M43,1)))</f>
        <v>5870</v>
      </c>
      <c r="AM61" s="2"/>
      <c r="AN61" s="2"/>
      <c r="AO61" s="2"/>
      <c r="AP61" s="139" t="s">
        <v>205</v>
      </c>
      <c r="AQ61" s="140">
        <f t="array" aca="1" ref="AQ61" ca="1">INDEX($B44:$M50,IF(MATCH(AQ55,$A44:$A50,1)&lt;AS53,MATCH(AQ55,$A44:$A50,1)+1,MATCH(AQ55,$A44:$A50,1)),IF(MATCH(AQ52,$B43:$M43,1)&lt;AS54,MATCH(AQ52,$B43:$M43,1)+1,MATCH(AQ52,$B43:$M43,1)))</f>
        <v>5350</v>
      </c>
      <c r="AU61" s="2"/>
      <c r="AV61" s="2"/>
      <c r="AW61" s="2"/>
      <c r="AX61" s="139" t="s">
        <v>205</v>
      </c>
      <c r="AY61" s="140" t="e">
        <f t="array" aca="1" ref="AY61" ca="1">INDEX($B44:$M50,IF(MATCH(AY55,$A44:$A50,1)&lt;BA53,MATCH(AY55,$A44:$A50,1)+1,MATCH(AY55,$A44:$A50,1)),IF(MATCH(AY52,$B43:$M43,1)&lt;BA54,MATCH(AY52,$B43:$M43,1)+1,MATCH(AY52,$B43:$M43,1)))</f>
        <v>#N/A</v>
      </c>
    </row>
    <row r="62" spans="1:55" ht="14.25" customHeight="1" x14ac:dyDescent="0.3">
      <c r="B62" s="16" t="s">
        <v>206</v>
      </c>
      <c r="C62" s="141">
        <f ca="1">IFERROR(C58+(C52-C53)*(C59-C58)/(C54-C53),C58)</f>
        <v>7558.95</v>
      </c>
      <c r="G62" s="2"/>
      <c r="H62" s="2"/>
      <c r="I62" s="2"/>
      <c r="J62" s="16" t="s">
        <v>206</v>
      </c>
      <c r="K62" s="141">
        <f ca="1">IFERROR(K58+(K52-K53)*(K59-K58)/(K54-K53),K58)</f>
        <v>7187.32</v>
      </c>
      <c r="O62" s="2"/>
      <c r="P62" s="2"/>
      <c r="Q62" s="2"/>
      <c r="R62" s="16" t="s">
        <v>206</v>
      </c>
      <c r="S62" s="141">
        <f ca="1">IFERROR(S58+(S52-S53)*(S59-S58)/(S54-S53),S58)</f>
        <v>6592.45</v>
      </c>
      <c r="W62" s="2"/>
      <c r="X62" s="2"/>
      <c r="Y62" s="2"/>
      <c r="Z62" s="16" t="s">
        <v>206</v>
      </c>
      <c r="AA62" s="141">
        <f ca="1">IFERROR(AA58+(AA52-AA53)*(AA59-AA58)/(AA54-AA53),AA58)</f>
        <v>6059.58</v>
      </c>
      <c r="AE62" s="2"/>
      <c r="AF62" s="2"/>
      <c r="AG62" s="2"/>
      <c r="AH62" s="16" t="s">
        <v>206</v>
      </c>
      <c r="AI62" s="141">
        <f ca="1">IFERROR(AI58+(AI52-AI53)*(AI59-AI58)/(AI54-AI53),AI58)</f>
        <v>5573.33</v>
      </c>
      <c r="AM62" s="2"/>
      <c r="AN62" s="2"/>
      <c r="AO62" s="2"/>
      <c r="AP62" s="16" t="s">
        <v>206</v>
      </c>
      <c r="AQ62" s="141">
        <f ca="1">IFERROR(AQ58+(AQ52-AQ53)*(AQ59-AQ58)/(AQ54-AQ53),AQ58)</f>
        <v>5470.46</v>
      </c>
      <c r="AU62" s="2"/>
      <c r="AV62" s="2"/>
      <c r="AW62" s="2"/>
      <c r="AX62" s="16" t="s">
        <v>206</v>
      </c>
      <c r="AY62" s="141" t="e">
        <f ca="1">IFERROR(AY58+(AY52-AY53)*(AY59-AY58)/(AY54-AY53),AY58)</f>
        <v>#N/A</v>
      </c>
    </row>
    <row r="63" spans="1:55" ht="14.25" customHeight="1" x14ac:dyDescent="0.3">
      <c r="B63" s="16" t="s">
        <v>207</v>
      </c>
      <c r="C63" s="141">
        <f ca="1">IFERROR(C60+(C52-C53)*(C61-C60)/(C54-C53),C60)</f>
        <v>7458.95</v>
      </c>
      <c r="G63" s="2"/>
      <c r="H63" s="2"/>
      <c r="I63" s="2"/>
      <c r="J63" s="16" t="s">
        <v>207</v>
      </c>
      <c r="K63" s="141">
        <f ca="1">IFERROR(K60+(K52-K53)*(K61-K60)/(K54-K53),K60)</f>
        <v>7087.32</v>
      </c>
      <c r="O63" s="2"/>
      <c r="P63" s="2"/>
      <c r="Q63" s="2"/>
      <c r="R63" s="16" t="s">
        <v>207</v>
      </c>
      <c r="S63" s="141">
        <f ca="1">IFERROR(S60+(S52-S53)*(S61-S60)/(S54-S53),S60)</f>
        <v>6492.45</v>
      </c>
      <c r="W63" s="2"/>
      <c r="X63" s="2"/>
      <c r="Y63" s="2"/>
      <c r="Z63" s="16" t="s">
        <v>207</v>
      </c>
      <c r="AA63" s="141">
        <f ca="1">IFERROR(AA60+(AA52-AA53)*(AA61-AA60)/(AA54-AA53),AA60)</f>
        <v>5933.1548000000003</v>
      </c>
      <c r="AE63" s="2"/>
      <c r="AF63" s="2"/>
      <c r="AG63" s="2"/>
      <c r="AH63" s="16" t="s">
        <v>207</v>
      </c>
      <c r="AI63" s="141">
        <f ca="1">IFERROR(AI60+(AI52-AI53)*(AI61-AI60)/(AI54-AI53),AI60)</f>
        <v>5426.2632000000003</v>
      </c>
      <c r="AM63" s="2"/>
      <c r="AN63" s="2"/>
      <c r="AO63" s="2"/>
      <c r="AP63" s="16" t="s">
        <v>207</v>
      </c>
      <c r="AQ63" s="141">
        <f ca="1">IFERROR(AQ60+(AQ52-AQ53)*(AQ61-AQ60)/(AQ54-AQ53),AQ60)</f>
        <v>5320.46</v>
      </c>
      <c r="AU63" s="2"/>
      <c r="AV63" s="2"/>
      <c r="AW63" s="2"/>
      <c r="AX63" s="16" t="s">
        <v>207</v>
      </c>
      <c r="AY63" s="141" t="e">
        <f ca="1">IFERROR(AY60+(AY52-AY53)*(AY61-AY60)/(AY54-AY53),AY60)</f>
        <v>#N/A</v>
      </c>
    </row>
    <row r="64" spans="1:55" ht="14.25" customHeight="1" x14ac:dyDescent="0.3">
      <c r="B64" s="139" t="s">
        <v>208</v>
      </c>
      <c r="C64" s="140">
        <f ca="1">IFERROR(C62+(C55-C56)*(C63-C62)/(C57-C56),C62)</f>
        <v>7558.95</v>
      </c>
      <c r="G64" s="2"/>
      <c r="H64" s="2"/>
      <c r="I64" s="2"/>
      <c r="J64" s="139" t="s">
        <v>208</v>
      </c>
      <c r="K64" s="140">
        <f ca="1">IFERROR(K62+(K55-K56)*(K63-K62)/(K57-K56),K62)</f>
        <v>7187.32</v>
      </c>
      <c r="O64" s="2"/>
      <c r="P64" s="2"/>
      <c r="Q64" s="2"/>
      <c r="R64" s="139" t="s">
        <v>208</v>
      </c>
      <c r="S64" s="140">
        <f ca="1">IFERROR(S62+(S55-S56)*(S63-S62)/(S57-S56),S62)</f>
        <v>6592.45</v>
      </c>
      <c r="W64" s="2"/>
      <c r="X64" s="2"/>
      <c r="Y64" s="2"/>
      <c r="Z64" s="139" t="s">
        <v>208</v>
      </c>
      <c r="AA64" s="140">
        <f ca="1">IFERROR(AA62+(AA55-AA56)*(AA63-AA62)/(AA57-AA56),AA62)</f>
        <v>6059.58</v>
      </c>
      <c r="AE64" s="2"/>
      <c r="AF64" s="2"/>
      <c r="AG64" s="2"/>
      <c r="AH64" s="139" t="s">
        <v>208</v>
      </c>
      <c r="AI64" s="140">
        <f ca="1">IFERROR(AI62+(AI55-AI56)*(AI63-AI62)/(AI57-AI56),AI62)</f>
        <v>5573.33</v>
      </c>
      <c r="AM64" s="2"/>
      <c r="AN64" s="2"/>
      <c r="AO64" s="2"/>
      <c r="AP64" s="139" t="s">
        <v>208</v>
      </c>
      <c r="AQ64" s="140">
        <f ca="1">IFERROR(AQ62+(AQ55-AQ56)*(AQ63-AQ62)/(AQ57-AQ56),AQ62)</f>
        <v>5470.46</v>
      </c>
      <c r="AU64" s="2"/>
      <c r="AV64" s="2"/>
      <c r="AW64" s="2"/>
      <c r="AX64" s="139" t="s">
        <v>208</v>
      </c>
      <c r="AY64" s="140" t="e">
        <f ca="1">IFERROR(AY62+(AY55-AY56)*(AY63-AY62)/(AY57-AY56),AY62)</f>
        <v>#N/A</v>
      </c>
    </row>
    <row r="65" spans="1:57" ht="14.25" customHeight="1" x14ac:dyDescent="0.3">
      <c r="B65" s="139"/>
      <c r="C65" s="140"/>
      <c r="G65" s="2"/>
      <c r="H65" s="2"/>
      <c r="I65" s="2"/>
      <c r="J65" s="139"/>
      <c r="K65" s="140"/>
      <c r="O65" s="2"/>
      <c r="P65" s="2"/>
      <c r="Q65" s="2"/>
      <c r="R65" s="139"/>
      <c r="S65" s="140"/>
      <c r="W65" s="2"/>
      <c r="X65" s="2"/>
      <c r="Y65" s="2"/>
      <c r="Z65" s="139"/>
      <c r="AA65" s="140"/>
      <c r="AE65" s="2"/>
      <c r="AF65" s="2"/>
      <c r="AG65" s="2"/>
      <c r="AH65" s="139"/>
      <c r="AI65" s="140"/>
      <c r="AM65" s="2"/>
      <c r="AN65" s="2"/>
      <c r="AO65" s="2"/>
      <c r="AP65" s="139"/>
      <c r="AQ65" s="140"/>
      <c r="AU65" s="2"/>
      <c r="AV65" s="2"/>
      <c r="AW65" s="2"/>
      <c r="AX65" s="139"/>
      <c r="AY65" s="140"/>
    </row>
    <row r="66" spans="1:57" ht="14.25" customHeight="1" x14ac:dyDescent="0.3">
      <c r="A66" t="s">
        <v>210</v>
      </c>
      <c r="B66" s="357" t="s">
        <v>222</v>
      </c>
      <c r="C66" s="357"/>
      <c r="D66" s="357"/>
      <c r="E66" s="357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2"/>
      <c r="Q66" s="2"/>
      <c r="R66" s="139"/>
      <c r="S66" s="140"/>
      <c r="W66" s="2"/>
      <c r="X66" s="2"/>
      <c r="Y66" s="2"/>
      <c r="Z66" s="139"/>
      <c r="AA66" s="140"/>
      <c r="AE66" s="2"/>
      <c r="AF66" s="2"/>
      <c r="AG66" s="2"/>
      <c r="AH66" s="139"/>
      <c r="AI66" s="140"/>
      <c r="AM66" s="2"/>
      <c r="AN66" s="2"/>
      <c r="AO66" s="2"/>
      <c r="AP66" s="139"/>
      <c r="AQ66" s="140"/>
      <c r="AU66" s="2"/>
      <c r="AV66" s="2"/>
      <c r="AW66" s="2"/>
      <c r="AX66" s="139"/>
      <c r="AY66" s="140"/>
    </row>
    <row r="67" spans="1:57" ht="14.25" customHeight="1" x14ac:dyDescent="0.3">
      <c r="A67" t="s">
        <v>47</v>
      </c>
      <c r="B67" s="229">
        <v>4000</v>
      </c>
      <c r="C67" s="232">
        <v>4500</v>
      </c>
      <c r="D67" s="232">
        <v>5000</v>
      </c>
      <c r="E67" s="232">
        <v>5500</v>
      </c>
      <c r="F67" s="232">
        <v>6000</v>
      </c>
      <c r="G67" s="232">
        <v>6500</v>
      </c>
      <c r="H67" s="230">
        <v>7000</v>
      </c>
      <c r="I67" s="55">
        <v>7500</v>
      </c>
      <c r="J67" s="55">
        <v>8000</v>
      </c>
      <c r="K67" s="55">
        <v>8500</v>
      </c>
      <c r="L67" s="259">
        <v>9000</v>
      </c>
      <c r="M67" s="259">
        <v>9500</v>
      </c>
      <c r="N67" s="231">
        <v>10000</v>
      </c>
      <c r="O67" s="231">
        <v>10500</v>
      </c>
      <c r="P67" s="236"/>
      <c r="Q67" s="140"/>
      <c r="S67" s="139"/>
      <c r="T67" s="140"/>
      <c r="X67" s="2"/>
      <c r="Y67" s="2"/>
      <c r="Z67" s="2"/>
      <c r="AC67" s="2"/>
      <c r="AD67" s="2"/>
      <c r="AE67" s="2"/>
      <c r="AF67" s="139"/>
      <c r="AG67" s="140"/>
      <c r="AK67" s="2"/>
      <c r="AL67" s="2"/>
      <c r="AM67" s="2"/>
      <c r="AN67" s="139"/>
      <c r="AO67" s="140"/>
      <c r="AS67" s="2"/>
      <c r="AT67" s="2"/>
      <c r="AU67" s="2"/>
      <c r="AV67" s="139"/>
      <c r="AW67" s="140"/>
      <c r="BA67" s="2"/>
      <c r="BB67" s="2"/>
      <c r="BC67" s="2"/>
      <c r="BD67" s="139"/>
      <c r="BE67" s="140"/>
    </row>
    <row r="68" spans="1:57" ht="14.25" customHeight="1" x14ac:dyDescent="0.3">
      <c r="A68">
        <v>-10</v>
      </c>
      <c r="B68" s="229">
        <v>5000</v>
      </c>
      <c r="C68" s="232">
        <v>5600</v>
      </c>
      <c r="D68" s="232">
        <v>6230</v>
      </c>
      <c r="E68" s="232">
        <v>6780</v>
      </c>
      <c r="F68" s="232">
        <v>7320</v>
      </c>
      <c r="G68" s="232">
        <v>7910</v>
      </c>
      <c r="H68" s="232">
        <v>8520</v>
      </c>
      <c r="I68" s="232">
        <v>9070</v>
      </c>
      <c r="J68" s="232">
        <v>9700</v>
      </c>
      <c r="K68" s="232">
        <v>10210</v>
      </c>
      <c r="L68" s="232">
        <v>10800</v>
      </c>
      <c r="M68" s="232">
        <v>11320</v>
      </c>
      <c r="N68" s="237">
        <v>11900</v>
      </c>
      <c r="O68" s="237">
        <v>99999</v>
      </c>
      <c r="P68" s="236"/>
      <c r="Q68" s="140"/>
      <c r="R68" s="140"/>
      <c r="S68" s="140"/>
      <c r="T68" s="140"/>
      <c r="U68" s="140"/>
      <c r="V68" s="140"/>
      <c r="W68" s="140"/>
      <c r="X68" s="140"/>
      <c r="Y68" s="140"/>
      <c r="Z68" s="2"/>
      <c r="AC68" s="2"/>
      <c r="AD68" s="2"/>
      <c r="AE68" s="2"/>
      <c r="AF68" s="139"/>
      <c r="AG68" s="140"/>
      <c r="AK68" s="2"/>
      <c r="AL68" s="2"/>
      <c r="AM68" s="2"/>
      <c r="AN68" s="139"/>
      <c r="AO68" s="140"/>
      <c r="AS68" s="2"/>
      <c r="AT68" s="2"/>
      <c r="AU68" s="2"/>
      <c r="AV68" s="139"/>
      <c r="AW68" s="140"/>
      <c r="BA68" s="2"/>
      <c r="BB68" s="2"/>
      <c r="BC68" s="2"/>
      <c r="BD68" s="139"/>
      <c r="BE68" s="140"/>
    </row>
    <row r="69" spans="1:57" ht="14.25" customHeight="1" x14ac:dyDescent="0.3">
      <c r="A69">
        <v>0</v>
      </c>
      <c r="B69" s="233">
        <v>4000</v>
      </c>
      <c r="C69" s="72">
        <v>4500</v>
      </c>
      <c r="D69" s="72">
        <v>5000</v>
      </c>
      <c r="E69" s="72">
        <v>5500</v>
      </c>
      <c r="F69" s="72">
        <v>6000</v>
      </c>
      <c r="G69" s="72">
        <v>6500</v>
      </c>
      <c r="H69" s="72">
        <v>7000</v>
      </c>
      <c r="I69" s="72">
        <v>7500</v>
      </c>
      <c r="J69" s="72">
        <v>8000</v>
      </c>
      <c r="K69" s="72">
        <v>8500</v>
      </c>
      <c r="L69" s="72">
        <v>9000</v>
      </c>
      <c r="M69" s="72">
        <v>9500</v>
      </c>
      <c r="N69" s="262">
        <v>10000</v>
      </c>
      <c r="O69" s="237">
        <v>99999</v>
      </c>
      <c r="P69" s="236"/>
      <c r="Q69" s="140"/>
      <c r="S69" s="139"/>
      <c r="T69" s="140"/>
      <c r="X69" s="2"/>
      <c r="Y69" s="2"/>
      <c r="Z69" s="2"/>
      <c r="AC69" s="2"/>
      <c r="AD69" s="2"/>
      <c r="AE69" s="2"/>
      <c r="AF69" s="139"/>
      <c r="AG69" s="140"/>
      <c r="AK69" s="2"/>
      <c r="AL69" s="2"/>
      <c r="AM69" s="2"/>
      <c r="AN69" s="139"/>
      <c r="AO69" s="140"/>
      <c r="AS69" s="2"/>
      <c r="AT69" s="2"/>
      <c r="AU69" s="2"/>
      <c r="AV69" s="139"/>
      <c r="AW69" s="140"/>
      <c r="BA69" s="2"/>
      <c r="BB69" s="2"/>
      <c r="BC69" s="2"/>
      <c r="BD69" s="139"/>
      <c r="BE69" s="140"/>
    </row>
    <row r="70" spans="1:57" ht="14.25" customHeight="1" x14ac:dyDescent="0.3">
      <c r="A70">
        <v>10</v>
      </c>
      <c r="B70" s="233">
        <v>3760</v>
      </c>
      <c r="C70" s="72">
        <v>4240</v>
      </c>
      <c r="D70" s="72">
        <v>4710</v>
      </c>
      <c r="E70" s="72">
        <v>5190</v>
      </c>
      <c r="F70" s="72">
        <v>5672</v>
      </c>
      <c r="G70" s="72">
        <v>6140</v>
      </c>
      <c r="H70" s="203">
        <v>6630</v>
      </c>
      <c r="I70">
        <v>7110</v>
      </c>
      <c r="J70">
        <v>7570</v>
      </c>
      <c r="K70">
        <v>8060</v>
      </c>
      <c r="L70" s="12">
        <v>8540</v>
      </c>
      <c r="M70" s="12">
        <v>9010</v>
      </c>
      <c r="N70" s="22">
        <v>9521</v>
      </c>
      <c r="O70" s="237">
        <v>99999</v>
      </c>
      <c r="P70" s="236"/>
      <c r="Q70" s="140"/>
      <c r="S70" s="139"/>
      <c r="T70" s="140"/>
      <c r="X70" s="2"/>
      <c r="Y70" s="2"/>
      <c r="Z70" s="2"/>
      <c r="AC70" s="2"/>
      <c r="AD70" s="2"/>
      <c r="AE70" s="2"/>
      <c r="AF70" s="139"/>
      <c r="AG70" s="140"/>
      <c r="AK70" s="2"/>
      <c r="AL70" s="2"/>
      <c r="AM70" s="2"/>
      <c r="AN70" s="139"/>
      <c r="AO70" s="140"/>
      <c r="AS70" s="2"/>
      <c r="AT70" s="2"/>
      <c r="AU70" s="2"/>
      <c r="AV70" s="139"/>
      <c r="AW70" s="140"/>
      <c r="BA70" s="2"/>
      <c r="BB70" s="2"/>
      <c r="BC70" s="2"/>
      <c r="BD70" s="139"/>
      <c r="BE70" s="140"/>
    </row>
    <row r="71" spans="1:57" ht="14.25" customHeight="1" x14ac:dyDescent="0.3">
      <c r="A71">
        <v>30</v>
      </c>
      <c r="B71" s="234">
        <v>3250</v>
      </c>
      <c r="C71" s="238">
        <v>3680</v>
      </c>
      <c r="D71" s="238">
        <v>4090</v>
      </c>
      <c r="E71" s="238">
        <v>4510</v>
      </c>
      <c r="F71" s="238">
        <v>4937</v>
      </c>
      <c r="G71" s="238">
        <v>5375</v>
      </c>
      <c r="H71" s="235">
        <v>5800</v>
      </c>
      <c r="I71" s="68">
        <v>6240</v>
      </c>
      <c r="J71" s="68">
        <v>6690</v>
      </c>
      <c r="K71" s="68">
        <v>7125</v>
      </c>
      <c r="L71" s="260">
        <v>7565</v>
      </c>
      <c r="M71" s="260">
        <v>8020</v>
      </c>
      <c r="N71" s="261">
        <v>8470</v>
      </c>
      <c r="O71" s="237">
        <v>99999</v>
      </c>
      <c r="P71" s="236"/>
      <c r="Q71" s="140"/>
      <c r="S71" s="139"/>
      <c r="T71" s="140"/>
      <c r="X71" s="2"/>
      <c r="Y71" s="2"/>
      <c r="Z71" s="2"/>
      <c r="AC71" s="2"/>
      <c r="AD71" s="2"/>
      <c r="AE71" s="2"/>
      <c r="AF71" s="139"/>
      <c r="AG71" s="140"/>
      <c r="AK71" s="2"/>
      <c r="AL71" s="2"/>
      <c r="AM71" s="2"/>
      <c r="AN71" s="139"/>
      <c r="AO71" s="140"/>
      <c r="AS71" s="2"/>
      <c r="AT71" s="2"/>
      <c r="AU71" s="2"/>
      <c r="AV71" s="139"/>
      <c r="AW71" s="140"/>
      <c r="BA71" s="2"/>
      <c r="BB71" s="2"/>
      <c r="BC71" s="2"/>
      <c r="BD71" s="139"/>
      <c r="BE71" s="140"/>
    </row>
    <row r="72" spans="1:57" ht="14.25" customHeight="1" x14ac:dyDescent="0.3">
      <c r="B72" s="139"/>
      <c r="C72" s="140"/>
      <c r="G72" s="2"/>
      <c r="H72" s="2"/>
      <c r="I72" s="2"/>
      <c r="J72" s="139"/>
      <c r="K72" s="140"/>
      <c r="O72" s="53"/>
      <c r="P72" s="2"/>
      <c r="Q72" s="2"/>
      <c r="R72" s="139"/>
      <c r="S72" s="140"/>
      <c r="W72" s="2"/>
      <c r="X72" s="2"/>
      <c r="Y72" s="2"/>
      <c r="Z72" s="139"/>
      <c r="AA72" s="140"/>
      <c r="AE72" s="2"/>
      <c r="AF72" s="2"/>
      <c r="AG72" s="2"/>
      <c r="AH72" s="139"/>
      <c r="AI72" s="140"/>
      <c r="AM72" s="2"/>
      <c r="AN72" s="2"/>
      <c r="AO72" s="2"/>
      <c r="AP72" s="139"/>
      <c r="AQ72" s="140"/>
      <c r="AU72" s="2"/>
      <c r="AV72" s="2"/>
      <c r="AW72" s="2"/>
      <c r="AX72" s="139"/>
      <c r="AY72" s="140"/>
    </row>
    <row r="73" spans="1:57" ht="14.25" customHeight="1" x14ac:dyDescent="0.3">
      <c r="B73" s="139" t="s">
        <v>146</v>
      </c>
      <c r="C73" s="140">
        <f ca="1">C64</f>
        <v>7558.95</v>
      </c>
      <c r="D73" s="355" t="s">
        <v>201</v>
      </c>
      <c r="E73" s="355"/>
      <c r="G73" s="2"/>
      <c r="H73" s="2"/>
      <c r="I73" s="2"/>
      <c r="J73" s="139" t="s">
        <v>146</v>
      </c>
      <c r="K73" s="140">
        <f ca="1">K64</f>
        <v>7187.32</v>
      </c>
      <c r="L73" s="355" t="s">
        <v>201</v>
      </c>
      <c r="M73" s="355"/>
      <c r="O73" s="53"/>
      <c r="P73" s="2"/>
      <c r="Q73" s="2"/>
      <c r="R73" s="139" t="s">
        <v>146</v>
      </c>
      <c r="S73" s="140">
        <f ca="1">S64</f>
        <v>6592.45</v>
      </c>
      <c r="T73" s="355" t="s">
        <v>201</v>
      </c>
      <c r="U73" s="355"/>
      <c r="W73" s="2"/>
      <c r="X73" s="2"/>
      <c r="Y73" s="2"/>
      <c r="Z73" s="139" t="s">
        <v>146</v>
      </c>
      <c r="AA73" s="140">
        <f ca="1">AA64</f>
        <v>6059.58</v>
      </c>
      <c r="AB73" s="355" t="s">
        <v>201</v>
      </c>
      <c r="AC73" s="355"/>
      <c r="AE73" s="2"/>
      <c r="AF73" s="2"/>
      <c r="AG73" s="2"/>
      <c r="AH73" s="139" t="s">
        <v>146</v>
      </c>
      <c r="AI73" s="140">
        <f ca="1">AI64</f>
        <v>5573.33</v>
      </c>
      <c r="AJ73" s="355" t="s">
        <v>201</v>
      </c>
      <c r="AK73" s="355"/>
      <c r="AM73" s="2"/>
      <c r="AN73" s="2"/>
      <c r="AO73" s="2"/>
      <c r="AP73" s="139" t="s">
        <v>146</v>
      </c>
      <c r="AQ73" s="140">
        <f ca="1">AQ64</f>
        <v>5470.46</v>
      </c>
      <c r="AR73" s="355" t="s">
        <v>201</v>
      </c>
      <c r="AS73" s="355"/>
      <c r="AU73" s="2"/>
      <c r="AV73" s="2"/>
      <c r="AW73" s="2"/>
      <c r="AX73" s="139" t="s">
        <v>146</v>
      </c>
      <c r="AY73" s="140" t="e">
        <f ca="1">AY64</f>
        <v>#N/A</v>
      </c>
      <c r="AZ73" s="355" t="s">
        <v>201</v>
      </c>
      <c r="BA73" s="355"/>
    </row>
    <row r="74" spans="1:57" ht="14.25" customHeight="1" x14ac:dyDescent="0.3">
      <c r="B74" s="16" t="s">
        <v>202</v>
      </c>
      <c r="C74" s="141">
        <f t="array" aca="1" ref="C74" ca="1">INDEX($B67:$O67,MATCH(C73,$B67:$O67,1))</f>
        <v>7500</v>
      </c>
      <c r="D74" s="16" t="s">
        <v>144</v>
      </c>
      <c r="E74" s="17">
        <f>MATCH(MAX($A68:$A71),$A68:$A71,1)</f>
        <v>4</v>
      </c>
      <c r="G74" s="2"/>
      <c r="H74" s="2"/>
      <c r="I74" s="2"/>
      <c r="J74" s="16" t="s">
        <v>202</v>
      </c>
      <c r="K74" s="141">
        <f t="array" aca="1" ref="K74" ca="1">INDEX($B67:$O67,MATCH(K73,$B67:$O67,1))</f>
        <v>7000</v>
      </c>
      <c r="L74" s="16" t="s">
        <v>144</v>
      </c>
      <c r="M74" s="17">
        <f>MATCH(MAX($A68:$A71),$A68:$A71,1)</f>
        <v>4</v>
      </c>
      <c r="O74" s="53"/>
      <c r="P74" s="2"/>
      <c r="Q74" s="2"/>
      <c r="R74" s="16" t="s">
        <v>202</v>
      </c>
      <c r="S74" s="141">
        <f t="array" aca="1" ref="S74" ca="1">INDEX($B67:$O67,MATCH(S73,$B67:$O67,1))</f>
        <v>6500</v>
      </c>
      <c r="T74" s="16" t="s">
        <v>144</v>
      </c>
      <c r="U74" s="17">
        <f>MATCH(MAX($A68:$A71),$A68:$A71,1)</f>
        <v>4</v>
      </c>
      <c r="W74" s="2"/>
      <c r="X74" s="2"/>
      <c r="Y74" s="2"/>
      <c r="Z74" s="16" t="s">
        <v>202</v>
      </c>
      <c r="AA74" s="141">
        <f t="array" aca="1" ref="AA74" ca="1">INDEX($B67:$O67,MATCH(AA73,$B67:$O67,1))</f>
        <v>6000</v>
      </c>
      <c r="AB74" s="16" t="s">
        <v>144</v>
      </c>
      <c r="AC74" s="17">
        <f>MATCH(MAX($A68:$A71),$A68:$A71,1)</f>
        <v>4</v>
      </c>
      <c r="AE74" s="2"/>
      <c r="AF74" s="2"/>
      <c r="AG74" s="2"/>
      <c r="AH74" s="16" t="s">
        <v>202</v>
      </c>
      <c r="AI74" s="141">
        <f t="array" aca="1" ref="AI74" ca="1">INDEX($B67:$O67,MATCH(AI73,$B67:$O67,1))</f>
        <v>5500</v>
      </c>
      <c r="AJ74" s="16" t="s">
        <v>144</v>
      </c>
      <c r="AK74" s="17">
        <f>MATCH(MAX($A68:$A71),$A68:$A71,1)</f>
        <v>4</v>
      </c>
      <c r="AM74" s="2"/>
      <c r="AN74" s="2"/>
      <c r="AO74" s="2"/>
      <c r="AP74" s="16" t="s">
        <v>202</v>
      </c>
      <c r="AQ74" s="141">
        <f t="array" aca="1" ref="AQ74" ca="1">INDEX($B67:$O67,MATCH(AQ73,$B67:$O67,1))</f>
        <v>5000</v>
      </c>
      <c r="AR74" s="16" t="s">
        <v>144</v>
      </c>
      <c r="AS74" s="17">
        <f>MATCH(MAX($A68:$A71),$A68:$A71,1)</f>
        <v>4</v>
      </c>
      <c r="AU74" s="2"/>
      <c r="AV74" s="2"/>
      <c r="AW74" s="2"/>
      <c r="AX74" s="16" t="s">
        <v>202</v>
      </c>
      <c r="AY74" s="141" t="e">
        <f t="array" aca="1" ref="AY74" ca="1">INDEX($B67:$O67,MATCH(AY73,$B67:$O67,1))</f>
        <v>#N/A</v>
      </c>
      <c r="AZ74" s="16" t="s">
        <v>144</v>
      </c>
      <c r="BA74" s="17">
        <f>MATCH(MAX($A68:$A71),$A68:$A71,1)</f>
        <v>4</v>
      </c>
    </row>
    <row r="75" spans="1:57" ht="14.25" customHeight="1" x14ac:dyDescent="0.3">
      <c r="B75" s="16" t="s">
        <v>203</v>
      </c>
      <c r="C75" s="141">
        <f t="array" aca="1" ref="C75" ca="1">INDEX($B67:$O67,IF(MATCH(C73,$B67:$O67,1)&lt;E75,MATCH(C73,$B67:$O67,1)+1,MATCH(C73,$B67:$O67,1)))</f>
        <v>8000</v>
      </c>
      <c r="D75" s="16" t="s">
        <v>145</v>
      </c>
      <c r="E75" s="17">
        <f>MATCH(MAX($B67:$O67),$B67:$O67,0)</f>
        <v>14</v>
      </c>
      <c r="G75" s="2"/>
      <c r="H75" s="2"/>
      <c r="I75" s="2"/>
      <c r="J75" s="16" t="s">
        <v>203</v>
      </c>
      <c r="K75" s="141">
        <f t="array" aca="1" ref="K75" ca="1">INDEX($B67:$O67,IF(MATCH(K73,$B67:$O67,1)&lt;M75,MATCH(K73,$B67:$O67,1)+1,MATCH(K73,$B67:$O67,1)))</f>
        <v>7500</v>
      </c>
      <c r="L75" s="16" t="s">
        <v>145</v>
      </c>
      <c r="M75" s="17">
        <f>MATCH(MAX($B67:$O67),$B67:$O67,0)</f>
        <v>14</v>
      </c>
      <c r="O75" s="53"/>
      <c r="P75" s="2"/>
      <c r="Q75" s="2"/>
      <c r="R75" s="16" t="s">
        <v>203</v>
      </c>
      <c r="S75" s="141">
        <f t="array" aca="1" ref="S75" ca="1">INDEX($B67:$O67,IF(MATCH(S73,$B67:$O67,1)&lt;U75,MATCH(S73,$B67:$O67,1)+1,MATCH(S73,$B67:$O67,1)))</f>
        <v>7000</v>
      </c>
      <c r="T75" s="16" t="s">
        <v>145</v>
      </c>
      <c r="U75" s="17">
        <f>MATCH(MAX($B67:$O67),$B67:$O67,0)</f>
        <v>14</v>
      </c>
      <c r="W75" s="2"/>
      <c r="X75" s="2"/>
      <c r="Y75" s="2"/>
      <c r="Z75" s="16" t="s">
        <v>203</v>
      </c>
      <c r="AA75" s="141">
        <f t="array" aca="1" ref="AA75" ca="1">INDEX($B67:$O67,IF(MATCH(AA73,$B67:$O67,1)&lt;AC75,MATCH(AA73,$B67:$O67,1)+1,MATCH(AA73,$B67:$O67,1)))</f>
        <v>6500</v>
      </c>
      <c r="AB75" s="16" t="s">
        <v>145</v>
      </c>
      <c r="AC75" s="17">
        <f>MATCH(MAX($B67:$O67),$B67:$O67,0)</f>
        <v>14</v>
      </c>
      <c r="AE75" s="2"/>
      <c r="AF75" s="2"/>
      <c r="AG75" s="2"/>
      <c r="AH75" s="16" t="s">
        <v>203</v>
      </c>
      <c r="AI75" s="141">
        <f t="array" aca="1" ref="AI75" ca="1">INDEX($B67:$O67,IF(MATCH(AI73,$B67:$O67,1)&lt;AK75,MATCH(AI73,$B67:$O67,1)+1,MATCH(AI73,$B67:$O67,1)))</f>
        <v>6000</v>
      </c>
      <c r="AJ75" s="16" t="s">
        <v>145</v>
      </c>
      <c r="AK75" s="17">
        <f>MATCH(MAX($B67:$O67),$B67:$O67,0)</f>
        <v>14</v>
      </c>
      <c r="AM75" s="2"/>
      <c r="AN75" s="2"/>
      <c r="AO75" s="2"/>
      <c r="AP75" s="16" t="s">
        <v>203</v>
      </c>
      <c r="AQ75" s="141">
        <f t="array" aca="1" ref="AQ75" ca="1">INDEX($B67:$O67,IF(MATCH(AQ73,$B67:$O67,1)&lt;AS75,MATCH(AQ73,$B67:$O67,1)+1,MATCH(AQ73,$B67:$O67,1)))</f>
        <v>5500</v>
      </c>
      <c r="AR75" s="16" t="s">
        <v>145</v>
      </c>
      <c r="AS75" s="17">
        <f>MATCH(MAX($B67:$O67),$B67:$O67,0)</f>
        <v>14</v>
      </c>
      <c r="AU75" s="2"/>
      <c r="AV75" s="2"/>
      <c r="AW75" s="2"/>
      <c r="AX75" s="16" t="s">
        <v>203</v>
      </c>
      <c r="AY75" s="141" t="e">
        <f t="array" aca="1" ref="AY75" ca="1">INDEX($B67:$O67,IF(MATCH(AY73,$B67:$O67,1)&lt;BA75,MATCH(AY73,$B67:$O67,1)+1,MATCH(AY73,$B67:$O67,1)))</f>
        <v>#N/A</v>
      </c>
      <c r="AZ75" s="16" t="s">
        <v>145</v>
      </c>
      <c r="BA75" s="17">
        <f>MATCH(MAX($B67:$O67),$B67:$O67,0)</f>
        <v>14</v>
      </c>
    </row>
    <row r="76" spans="1:57" ht="14.25" customHeight="1" x14ac:dyDescent="0.3">
      <c r="B76" s="139" t="s">
        <v>147</v>
      </c>
      <c r="C76" s="186">
        <f ca="1">'Take-off'!$C$24</f>
        <v>-2.3941410032796808</v>
      </c>
      <c r="D76" s="2"/>
      <c r="E76" s="2"/>
      <c r="G76" s="2"/>
      <c r="H76" s="2"/>
      <c r="I76" s="2"/>
      <c r="J76" s="139" t="s">
        <v>147</v>
      </c>
      <c r="K76" s="186">
        <f ca="1">'Take-off'!$C$24</f>
        <v>-2.3941410032796808</v>
      </c>
      <c r="L76" s="2"/>
      <c r="M76" s="2"/>
      <c r="O76" s="53"/>
      <c r="P76" s="2"/>
      <c r="Q76" s="2"/>
      <c r="R76" s="139" t="s">
        <v>147</v>
      </c>
      <c r="S76" s="186">
        <f ca="1">'Take-off'!$C$24</f>
        <v>-2.3941410032796808</v>
      </c>
      <c r="T76" s="2"/>
      <c r="U76" s="2"/>
      <c r="W76" s="2"/>
      <c r="X76" s="2"/>
      <c r="Y76" s="2"/>
      <c r="Z76" s="139" t="s">
        <v>147</v>
      </c>
      <c r="AA76" s="186">
        <f ca="1">'Take-off'!$C$24</f>
        <v>-2.3941410032796808</v>
      </c>
      <c r="AB76" s="2"/>
      <c r="AC76" s="2"/>
      <c r="AE76" s="2"/>
      <c r="AF76" s="2"/>
      <c r="AG76" s="2"/>
      <c r="AH76" s="139" t="s">
        <v>147</v>
      </c>
      <c r="AI76" s="186">
        <f ca="1">'Take-off'!$C$24</f>
        <v>-2.3941410032796808</v>
      </c>
      <c r="AJ76" s="2"/>
      <c r="AK76" s="2"/>
      <c r="AM76" s="2"/>
      <c r="AN76" s="2"/>
      <c r="AO76" s="2"/>
      <c r="AP76" s="139" t="s">
        <v>147</v>
      </c>
      <c r="AQ76" s="186">
        <f ca="1">'Take-off'!$C$24</f>
        <v>-2.3941410032796808</v>
      </c>
      <c r="AR76" s="2"/>
      <c r="AS76" s="2"/>
      <c r="AU76" s="2"/>
      <c r="AV76" s="2"/>
      <c r="AW76" s="2"/>
      <c r="AX76" s="139" t="s">
        <v>147</v>
      </c>
      <c r="AY76" s="186">
        <f ca="1">'Take-off'!$C$24</f>
        <v>-2.3941410032796808</v>
      </c>
      <c r="AZ76" s="2"/>
      <c r="BA76" s="2"/>
    </row>
    <row r="77" spans="1:57" ht="14.25" customHeight="1" x14ac:dyDescent="0.3">
      <c r="B77" s="16" t="s">
        <v>148</v>
      </c>
      <c r="C77" s="141">
        <f t="array" aca="1" ref="C77" ca="1">INDEX($A68:$A71,MATCH(C76,$A68:$A71,1))</f>
        <v>-10</v>
      </c>
      <c r="D77" s="2"/>
      <c r="E77" s="42"/>
      <c r="G77" s="2"/>
      <c r="H77" s="2"/>
      <c r="I77" s="2"/>
      <c r="J77" s="16" t="s">
        <v>148</v>
      </c>
      <c r="K77" s="141">
        <f t="array" aca="1" ref="K77" ca="1">INDEX($A68:$A71,MATCH(K76,$A68:$A71,1))</f>
        <v>-10</v>
      </c>
      <c r="L77" s="2"/>
      <c r="M77" s="42"/>
      <c r="O77" s="53"/>
      <c r="P77" s="2"/>
      <c r="Q77" s="2"/>
      <c r="R77" s="16" t="s">
        <v>148</v>
      </c>
      <c r="S77" s="141">
        <f t="array" aca="1" ref="S77" ca="1">INDEX($A68:$A71,MATCH(S76,$A68:$A71,1))</f>
        <v>-10</v>
      </c>
      <c r="T77" s="2"/>
      <c r="U77" s="42"/>
      <c r="W77" s="2"/>
      <c r="X77" s="2"/>
      <c r="Y77" s="2"/>
      <c r="Z77" s="16" t="s">
        <v>148</v>
      </c>
      <c r="AA77" s="141">
        <f t="array" aca="1" ref="AA77" ca="1">INDEX($A68:$A71,MATCH(AA76,$A68:$A71,1))</f>
        <v>-10</v>
      </c>
      <c r="AB77" s="2"/>
      <c r="AC77" s="42"/>
      <c r="AE77" s="2"/>
      <c r="AF77" s="2"/>
      <c r="AG77" s="2"/>
      <c r="AH77" s="16" t="s">
        <v>148</v>
      </c>
      <c r="AI77" s="141">
        <f t="array" aca="1" ref="AI77" ca="1">INDEX($A68:$A71,MATCH(AI76,$A68:$A71,1))</f>
        <v>-10</v>
      </c>
      <c r="AJ77" s="2"/>
      <c r="AK77" s="42"/>
      <c r="AM77" s="2"/>
      <c r="AN77" s="2"/>
      <c r="AO77" s="2"/>
      <c r="AP77" s="16" t="s">
        <v>148</v>
      </c>
      <c r="AQ77" s="141">
        <f t="array" aca="1" ref="AQ77" ca="1">INDEX($A68:$A71,MATCH(AQ76,$A68:$A71,1))</f>
        <v>-10</v>
      </c>
      <c r="AR77" s="2"/>
      <c r="AS77" s="42"/>
      <c r="AU77" s="2"/>
      <c r="AV77" s="2"/>
      <c r="AW77" s="2"/>
      <c r="AX77" s="16" t="s">
        <v>148</v>
      </c>
      <c r="AY77" s="141">
        <f t="array" aca="1" ref="AY77" ca="1">INDEX($A68:$A71,MATCH(AY76,$A68:$A71,1))</f>
        <v>-10</v>
      </c>
      <c r="AZ77" s="2"/>
      <c r="BA77" s="42"/>
    </row>
    <row r="78" spans="1:57" ht="14.25" customHeight="1" x14ac:dyDescent="0.3">
      <c r="B78" s="16" t="s">
        <v>149</v>
      </c>
      <c r="C78" s="141">
        <f t="array" aca="1" ref="C78" ca="1">INDEX($A68:$A71,IF(MATCH(C76,$A68:$A71,1)&lt;E74,MATCH(C76,$A68:$A71,1)+1,MATCH(C76,$A68:$A71,1)))</f>
        <v>0</v>
      </c>
      <c r="D78" s="2"/>
      <c r="E78" s="42"/>
      <c r="G78" s="2"/>
      <c r="H78" s="2"/>
      <c r="I78" s="2"/>
      <c r="J78" s="16" t="s">
        <v>149</v>
      </c>
      <c r="K78" s="141">
        <f t="array" aca="1" ref="K78" ca="1">INDEX($A68:$A71,IF(MATCH(K76,$A68:$A71,1)&lt;M74,MATCH(K76,$A68:$A71,1)+1,MATCH(K76,$A68:$A71,1)))</f>
        <v>0</v>
      </c>
      <c r="L78" s="2"/>
      <c r="M78" s="42"/>
      <c r="O78" s="53"/>
      <c r="P78" s="2"/>
      <c r="Q78" s="2"/>
      <c r="R78" s="16" t="s">
        <v>149</v>
      </c>
      <c r="S78" s="141">
        <f t="array" aca="1" ref="S78" ca="1">INDEX($A68:$A71,IF(MATCH(S76,$A68:$A71,1)&lt;U74,MATCH(S76,$A68:$A71,1)+1,MATCH(S76,$A68:$A71,1)))</f>
        <v>0</v>
      </c>
      <c r="T78" s="2"/>
      <c r="U78" s="42"/>
      <c r="W78" s="2"/>
      <c r="X78" s="2"/>
      <c r="Y78" s="2"/>
      <c r="Z78" s="16" t="s">
        <v>149</v>
      </c>
      <c r="AA78" s="141">
        <f t="array" aca="1" ref="AA78" ca="1">INDEX($A68:$A71,IF(MATCH(AA76,$A68:$A71,1)&lt;AC74,MATCH(AA76,$A68:$A71,1)+1,MATCH(AA76,$A68:$A71,1)))</f>
        <v>0</v>
      </c>
      <c r="AB78" s="2"/>
      <c r="AC78" s="42"/>
      <c r="AE78" s="2"/>
      <c r="AF78" s="2"/>
      <c r="AG78" s="2"/>
      <c r="AH78" s="16" t="s">
        <v>149</v>
      </c>
      <c r="AI78" s="141">
        <f t="array" aca="1" ref="AI78" ca="1">INDEX($A68:$A71,IF(MATCH(AI76,$A68:$A71,1)&lt;AK74,MATCH(AI76,$A68:$A71,1)+1,MATCH(AI76,$A68:$A71,1)))</f>
        <v>0</v>
      </c>
      <c r="AJ78" s="2"/>
      <c r="AK78" s="42"/>
      <c r="AM78" s="2"/>
      <c r="AN78" s="2"/>
      <c r="AO78" s="2"/>
      <c r="AP78" s="16" t="s">
        <v>149</v>
      </c>
      <c r="AQ78" s="141">
        <f t="array" aca="1" ref="AQ78" ca="1">INDEX($A68:$A71,IF(MATCH(AQ76,$A68:$A71,1)&lt;AS74,MATCH(AQ76,$A68:$A71,1)+1,MATCH(AQ76,$A68:$A71,1)))</f>
        <v>0</v>
      </c>
      <c r="AR78" s="2"/>
      <c r="AS78" s="42"/>
      <c r="AU78" s="2"/>
      <c r="AV78" s="2"/>
      <c r="AW78" s="2"/>
      <c r="AX78" s="16" t="s">
        <v>149</v>
      </c>
      <c r="AY78" s="141">
        <f t="array" aca="1" ref="AY78" ca="1">INDEX($A68:$A71,IF(MATCH(AY76,$A68:$A71,1)&lt;BA74,MATCH(AY76,$A68:$A71,1)+1,MATCH(AY76,$A68:$A71,1)))</f>
        <v>0</v>
      </c>
      <c r="AZ78" s="2"/>
      <c r="BA78" s="42"/>
    </row>
    <row r="79" spans="1:57" ht="14.25" customHeight="1" x14ac:dyDescent="0.3">
      <c r="B79" s="139" t="s">
        <v>150</v>
      </c>
      <c r="C79" s="140">
        <f t="array" aca="1" ref="C79" ca="1">INDEX($B68:$O71,MATCH(C76,$A68:$A71,1),MATCH(C73,$B67:$O67,1))</f>
        <v>9070</v>
      </c>
      <c r="D79" s="2"/>
      <c r="E79" s="42"/>
      <c r="G79" s="2"/>
      <c r="H79" s="2"/>
      <c r="I79" s="2"/>
      <c r="J79" s="139" t="s">
        <v>150</v>
      </c>
      <c r="K79" s="140">
        <f t="array" aca="1" ref="K79" ca="1">INDEX($B68:$O71,MATCH(K76,$A68:$A71,1),MATCH(K73,$B67:$O67,1))</f>
        <v>8520</v>
      </c>
      <c r="L79" s="2"/>
      <c r="M79" s="42"/>
      <c r="O79" s="53"/>
      <c r="P79" s="2"/>
      <c r="Q79" s="2"/>
      <c r="R79" s="139" t="s">
        <v>150</v>
      </c>
      <c r="S79" s="140">
        <f t="array" aca="1" ref="S79" ca="1">INDEX($B68:$O71,MATCH(S76,$A68:$A71,1),MATCH(S73,$B67:$O67,1))</f>
        <v>7910</v>
      </c>
      <c r="T79" s="2"/>
      <c r="U79" s="42"/>
      <c r="W79" s="2"/>
      <c r="X79" s="2"/>
      <c r="Y79" s="2"/>
      <c r="Z79" s="139" t="s">
        <v>150</v>
      </c>
      <c r="AA79" s="140">
        <f t="array" aca="1" ref="AA79" ca="1">INDEX($B68:$O71,MATCH(AA76,$A68:$A71,1),MATCH(AA73,$B67:$O67,1))</f>
        <v>7320</v>
      </c>
      <c r="AB79" s="2"/>
      <c r="AC79" s="42"/>
      <c r="AE79" s="2"/>
      <c r="AF79" s="2"/>
      <c r="AG79" s="2"/>
      <c r="AH79" s="139" t="s">
        <v>150</v>
      </c>
      <c r="AI79" s="140">
        <f t="array" aca="1" ref="AI79" ca="1">INDEX($B68:$O71,MATCH(AI76,$A68:$A71,1),MATCH(AI73,$B67:$O67,1))</f>
        <v>6780</v>
      </c>
      <c r="AJ79" s="2"/>
      <c r="AK79" s="42"/>
      <c r="AM79" s="2"/>
      <c r="AN79" s="2"/>
      <c r="AO79" s="2"/>
      <c r="AP79" s="139" t="s">
        <v>150</v>
      </c>
      <c r="AQ79" s="140">
        <f t="array" aca="1" ref="AQ79" ca="1">INDEX($B68:$O71,MATCH(AQ76,$A68:$A71,1),MATCH(AQ73,$B67:$O67,1))</f>
        <v>6230</v>
      </c>
      <c r="AR79" s="2"/>
      <c r="AS79" s="42"/>
      <c r="AU79" s="2"/>
      <c r="AV79" s="2"/>
      <c r="AW79" s="2"/>
      <c r="AX79" s="139" t="s">
        <v>150</v>
      </c>
      <c r="AY79" s="140" t="e">
        <f t="array" aca="1" ref="AY79" ca="1">INDEX($B68:$O71,MATCH(AY76,$A68:$A71,1),MATCH(AY73,$B67:$O67,1))</f>
        <v>#N/A</v>
      </c>
      <c r="AZ79" s="2"/>
      <c r="BA79" s="42"/>
    </row>
    <row r="80" spans="1:57" ht="14.25" customHeight="1" x14ac:dyDescent="0.3">
      <c r="B80" s="139" t="s">
        <v>204</v>
      </c>
      <c r="C80" s="140">
        <f t="array" aca="1" ref="C80" ca="1">INDEX($B68:$O71,MATCH(C76,$A68:$A71,1),IF(MATCH(C73,$B67:$O67,1)&lt;E75,MATCH(C73,$B67:$O67,1)+1,MATCH(C76,$A68:$A71,1)))</f>
        <v>9700</v>
      </c>
      <c r="E80" s="42"/>
      <c r="G80" s="2"/>
      <c r="H80" s="2"/>
      <c r="I80" s="2"/>
      <c r="J80" s="139" t="s">
        <v>204</v>
      </c>
      <c r="K80" s="140">
        <f t="array" aca="1" ref="K80" ca="1">INDEX($B68:$O71,MATCH(K76,$A68:$A71,1),IF(MATCH(K73,$B67:$O67,1)&lt;M75,MATCH(K73,$B67:$O67,1)+1,MATCH(K76,$A68:$A71,1)))</f>
        <v>9070</v>
      </c>
      <c r="M80" s="42"/>
      <c r="O80" s="12"/>
      <c r="P80" s="2"/>
      <c r="Q80" s="2"/>
      <c r="R80" s="139" t="s">
        <v>204</v>
      </c>
      <c r="S80" s="140">
        <f t="array" aca="1" ref="S80" ca="1">INDEX($B68:$O71,MATCH(S76,$A68:$A71,1),IF(MATCH(S73,$B67:$O67,1)&lt;U75,MATCH(S73,$B67:$O67,1)+1,MATCH(S76,$A68:$A71,1)))</f>
        <v>8520</v>
      </c>
      <c r="U80" s="42"/>
      <c r="W80" s="2"/>
      <c r="X80" s="2"/>
      <c r="Y80" s="2"/>
      <c r="Z80" s="139" t="s">
        <v>204</v>
      </c>
      <c r="AA80" s="140">
        <f t="array" aca="1" ref="AA80" ca="1">INDEX($B68:$O71,MATCH(AA76,$A68:$A71,1),IF(MATCH(AA73,$B67:$O67,1)&lt;AC75,MATCH(AA73,$B67:$O67,1)+1,MATCH(AA76,$A68:$A71,1)))</f>
        <v>7910</v>
      </c>
      <c r="AC80" s="42"/>
      <c r="AE80" s="2"/>
      <c r="AF80" s="2"/>
      <c r="AG80" s="2"/>
      <c r="AH80" s="139" t="s">
        <v>204</v>
      </c>
      <c r="AI80" s="140">
        <f t="array" aca="1" ref="AI80" ca="1">INDEX($B68:$O71,MATCH(AI76,$A68:$A71,1),IF(MATCH(AI73,$B67:$O67,1)&lt;AK75,MATCH(AI73,$B67:$O67,1)+1,MATCH(AI76,$A68:$A71,1)))</f>
        <v>7320</v>
      </c>
      <c r="AK80" s="42"/>
      <c r="AM80" s="2"/>
      <c r="AN80" s="2"/>
      <c r="AO80" s="2"/>
      <c r="AP80" s="139" t="s">
        <v>204</v>
      </c>
      <c r="AQ80" s="140">
        <f t="array" aca="1" ref="AQ80" ca="1">INDEX($B68:$O71,MATCH(AQ76,$A68:$A71,1),IF(MATCH(AQ73,$B67:$O67,1)&lt;AS75,MATCH(AQ73,$B67:$O67,1)+1,MATCH(AQ76,$A68:$A71,1)))</f>
        <v>6780</v>
      </c>
      <c r="AS80" s="42"/>
      <c r="AU80" s="2"/>
      <c r="AV80" s="2"/>
      <c r="AW80" s="2"/>
      <c r="AX80" s="139" t="s">
        <v>204</v>
      </c>
      <c r="AY80" s="140" t="e">
        <f t="array" aca="1" ref="AY80" ca="1">INDEX($B68:$O71,MATCH(AY76,$A68:$A71,1),IF(MATCH(AY73,$B67:$O67,1)&lt;BA75,MATCH(AY73,$B67:$O67,1)+1,MATCH(AY76,$A68:$A71,1)))</f>
        <v>#N/A</v>
      </c>
      <c r="BA80" s="42"/>
    </row>
    <row r="81" spans="1:61" ht="14.25" customHeight="1" x14ac:dyDescent="0.3">
      <c r="B81" s="139" t="s">
        <v>151</v>
      </c>
      <c r="C81" s="140">
        <f t="array" aca="1" ref="C81" ca="1">INDEX($B68:$O71,IF(MATCH(C76,$A68:$A71,1)&lt;E74,MATCH(C76,$A68:$A71,1)+1,MATCH(C76,$A68:$A71,1)),MATCH(C73,$B67:$O67,1))</f>
        <v>7500</v>
      </c>
      <c r="E81" s="42"/>
      <c r="G81" s="2"/>
      <c r="H81" s="2"/>
      <c r="I81" s="2"/>
      <c r="J81" s="139" t="s">
        <v>151</v>
      </c>
      <c r="K81" s="140">
        <f t="array" aca="1" ref="K81" ca="1">INDEX($B68:$O71,IF(MATCH(K76,$A68:$A71,1)&lt;M74,MATCH(K76,$A68:$A71,1)+1,MATCH(K76,$A68:$A71,1)),MATCH(K73,$B67:$O67,1))</f>
        <v>7000</v>
      </c>
      <c r="M81" s="42"/>
      <c r="O81" s="12"/>
      <c r="P81" s="2"/>
      <c r="Q81" s="2"/>
      <c r="R81" s="139" t="s">
        <v>151</v>
      </c>
      <c r="S81" s="140">
        <f t="array" aca="1" ref="S81" ca="1">INDEX($B68:$O71,IF(MATCH(S76,$A68:$A71,1)&lt;U74,MATCH(S76,$A68:$A71,1)+1,MATCH(S76,$A68:$A71,1)),MATCH(S73,$B67:$O67,1))</f>
        <v>6500</v>
      </c>
      <c r="U81" s="42"/>
      <c r="W81" s="2"/>
      <c r="X81" s="2"/>
      <c r="Y81" s="2"/>
      <c r="Z81" s="139" t="s">
        <v>151</v>
      </c>
      <c r="AA81" s="140">
        <f t="array" aca="1" ref="AA81" ca="1">INDEX($B68:$O71,IF(MATCH(AA76,$A68:$A71,1)&lt;AC74,MATCH(AA76,$A68:$A71,1)+1,MATCH(AA76,$A68:$A71,1)),MATCH(AA73,$B67:$O67,1))</f>
        <v>6000</v>
      </c>
      <c r="AC81" s="42"/>
      <c r="AE81" s="2"/>
      <c r="AF81" s="2"/>
      <c r="AG81" s="2"/>
      <c r="AH81" s="139" t="s">
        <v>151</v>
      </c>
      <c r="AI81" s="140">
        <f t="array" aca="1" ref="AI81" ca="1">INDEX($B68:$O71,IF(MATCH(AI76,$A68:$A71,1)&lt;AK74,MATCH(AI76,$A68:$A71,1)+1,MATCH(AI76,$A68:$A71,1)),MATCH(AI73,$B67:$O67,1))</f>
        <v>5500</v>
      </c>
      <c r="AK81" s="42"/>
      <c r="AM81" s="2"/>
      <c r="AN81" s="2"/>
      <c r="AO81" s="2"/>
      <c r="AP81" s="139" t="s">
        <v>151</v>
      </c>
      <c r="AQ81" s="140">
        <f t="array" aca="1" ref="AQ81" ca="1">INDEX($B68:$O71,IF(MATCH(AQ76,$A68:$A71,1)&lt;AS74,MATCH(AQ76,$A68:$A71,1)+1,MATCH(AQ76,$A68:$A71,1)),MATCH(AQ73,$B67:$O67,1))</f>
        <v>5000</v>
      </c>
      <c r="AS81" s="42"/>
      <c r="AU81" s="2"/>
      <c r="AV81" s="2"/>
      <c r="AW81" s="2"/>
      <c r="AX81" s="139" t="s">
        <v>151</v>
      </c>
      <c r="AY81" s="140" t="e">
        <f t="array" aca="1" ref="AY81" ca="1">INDEX($B68:$O71,IF(MATCH(AY76,$A68:$A71,1)&lt;BA74,MATCH(AY76,$A68:$A71,1)+1,MATCH(AY76,$A68:$A71,1)),MATCH(AY73,$B67:$O67,1))</f>
        <v>#N/A</v>
      </c>
      <c r="BA81" s="42"/>
    </row>
    <row r="82" spans="1:61" ht="14.25" customHeight="1" x14ac:dyDescent="0.3">
      <c r="B82" s="139" t="s">
        <v>205</v>
      </c>
      <c r="C82" s="140">
        <f t="array" aca="1" ref="C82" ca="1">INDEX($B68:$O71,IF(MATCH(C76,$A68:$A71,1)&lt;E74,MATCH(C76,$A68:$A71,1)+1,MATCH(C76,$A68:$A71,1)),IF(MATCH(C73,$B67:$O67,1)&lt;E75,MATCH(C73,$B67:$O67,1)+1,MATCH(C73,$B67:$O67,1)))</f>
        <v>8000</v>
      </c>
      <c r="G82" s="2"/>
      <c r="H82" s="2"/>
      <c r="I82" s="2"/>
      <c r="J82" s="139" t="s">
        <v>205</v>
      </c>
      <c r="K82" s="140">
        <f t="array" aca="1" ref="K82" ca="1">INDEX($B68:$O71,IF(MATCH(K76,$A68:$A71,1)&lt;M74,MATCH(K76,$A68:$A71,1)+1,MATCH(K76,$A68:$A71,1)),IF(MATCH(K73,$B67:$O67,1)&lt;M75,MATCH(K73,$B67:$O67,1)+1,MATCH(K73,$B67:$O67,1)))</f>
        <v>7500</v>
      </c>
      <c r="O82" s="12"/>
      <c r="P82" s="2"/>
      <c r="Q82" s="2"/>
      <c r="R82" s="139" t="s">
        <v>205</v>
      </c>
      <c r="S82" s="140">
        <f t="array" aca="1" ref="S82" ca="1">INDEX($B68:$O71,IF(MATCH(S76,$A68:$A71,1)&lt;U74,MATCH(S76,$A68:$A71,1)+1,MATCH(S76,$A68:$A71,1)),IF(MATCH(S73,$B67:$O67,1)&lt;U75,MATCH(S73,$B67:$O67,1)+1,MATCH(S73,$B67:$O67,1)))</f>
        <v>7000</v>
      </c>
      <c r="W82" s="2"/>
      <c r="X82" s="2"/>
      <c r="Y82" s="2"/>
      <c r="Z82" s="139" t="s">
        <v>205</v>
      </c>
      <c r="AA82" s="140">
        <f t="array" aca="1" ref="AA82" ca="1">INDEX($B68:$O71,IF(MATCH(AA76,$A68:$A71,1)&lt;AC74,MATCH(AA76,$A68:$A71,1)+1,MATCH(AA76,$A68:$A71,1)),IF(MATCH(AA73,$B67:$O67,1)&lt;AC75,MATCH(AA73,$B67:$O67,1)+1,MATCH(AA73,$B67:$O67,1)))</f>
        <v>6500</v>
      </c>
      <c r="AE82" s="2"/>
      <c r="AF82" s="2"/>
      <c r="AG82" s="2"/>
      <c r="AH82" s="139" t="s">
        <v>205</v>
      </c>
      <c r="AI82" s="140">
        <f t="array" aca="1" ref="AI82" ca="1">INDEX($B68:$O71,IF(MATCH(AI76,$A68:$A71,1)&lt;AK74,MATCH(AI76,$A68:$A71,1)+1,MATCH(AI76,$A68:$A71,1)),IF(MATCH(AI73,$B67:$O67,1)&lt;AK75,MATCH(AI73,$B67:$O67,1)+1,MATCH(AI73,$B67:$O67,1)))</f>
        <v>6000</v>
      </c>
      <c r="AM82" s="2"/>
      <c r="AN82" s="2"/>
      <c r="AO82" s="2"/>
      <c r="AP82" s="139" t="s">
        <v>205</v>
      </c>
      <c r="AQ82" s="140">
        <f t="array" aca="1" ref="AQ82" ca="1">INDEX($B68:$O71,IF(MATCH(AQ76,$A68:$A71,1)&lt;AS74,MATCH(AQ76,$A68:$A71,1)+1,MATCH(AQ76,$A68:$A71,1)),IF(MATCH(AQ73,$B67:$O67,1)&lt;AS75,MATCH(AQ73,$B67:$O67,1)+1,MATCH(AQ73,$B67:$O67,1)))</f>
        <v>5500</v>
      </c>
      <c r="AU82" s="2"/>
      <c r="AV82" s="2"/>
      <c r="AW82" s="2"/>
      <c r="AX82" s="139" t="s">
        <v>205</v>
      </c>
      <c r="AY82" s="140" t="e">
        <f t="array" aca="1" ref="AY82" ca="1">INDEX($B68:$O71,IF(MATCH(AY76,$A68:$A71,1)&lt;BA74,MATCH(AY76,$A68:$A71,1)+1,MATCH(AY76,$A68:$A71,1)),IF(MATCH(AY73,$B67:$O67,1)&lt;BA75,MATCH(AY73,$B67:$O67,1)+1,MATCH(AY73,$B67:$O67,1)))</f>
        <v>#N/A</v>
      </c>
    </row>
    <row r="83" spans="1:61" ht="14.25" customHeight="1" x14ac:dyDescent="0.3">
      <c r="B83" s="16" t="s">
        <v>206</v>
      </c>
      <c r="C83" s="141">
        <f ca="1">IFERROR(C79+(C73-C74)*(C80-C79)/(C75-C74),C79)</f>
        <v>9144.277</v>
      </c>
      <c r="G83" s="2"/>
      <c r="H83" s="2"/>
      <c r="I83" s="2"/>
      <c r="J83" s="16" t="s">
        <v>206</v>
      </c>
      <c r="K83" s="141">
        <f ca="1">IFERROR(K79+(K73-K74)*(K80-K79)/(K75-K74),K79)</f>
        <v>8726.0519999999997</v>
      </c>
      <c r="O83" s="12"/>
      <c r="P83" s="2"/>
      <c r="Q83" s="2"/>
      <c r="R83" s="16" t="s">
        <v>206</v>
      </c>
      <c r="S83" s="141">
        <f ca="1">IFERROR(S79+(S73-S74)*(S80-S79)/(S75-S74),S79)</f>
        <v>8022.7889999999998</v>
      </c>
      <c r="W83" s="2"/>
      <c r="X83" s="2"/>
      <c r="Y83" s="2"/>
      <c r="Z83" s="16" t="s">
        <v>206</v>
      </c>
      <c r="AA83" s="141">
        <f ca="1">IFERROR(AA79+(AA73-AA74)*(AA80-AA79)/(AA75-AA74),AA79)</f>
        <v>7390.3044</v>
      </c>
      <c r="AE83" s="2"/>
      <c r="AF83" s="2"/>
      <c r="AG83" s="2"/>
      <c r="AH83" s="16" t="s">
        <v>206</v>
      </c>
      <c r="AI83" s="141">
        <f ca="1">IFERROR(AI79+(AI73-AI74)*(AI80-AI79)/(AI75-AI74),AI79)</f>
        <v>6859.1963999999998</v>
      </c>
      <c r="AM83" s="2"/>
      <c r="AN83" s="2"/>
      <c r="AO83" s="2"/>
      <c r="AP83" s="16" t="s">
        <v>206</v>
      </c>
      <c r="AQ83" s="141">
        <f ca="1">IFERROR(AQ79+(AQ73-AQ74)*(AQ80-AQ79)/(AQ75-AQ74),AQ79)</f>
        <v>6747.5060000000003</v>
      </c>
      <c r="AU83" s="2"/>
      <c r="AV83" s="2"/>
      <c r="AW83" s="2"/>
      <c r="AX83" s="16" t="s">
        <v>206</v>
      </c>
      <c r="AY83" s="141" t="e">
        <f ca="1">IFERROR(AY79+(AY73-AY74)*(AY80-AY79)/(AY75-AY74),AY79)</f>
        <v>#N/A</v>
      </c>
    </row>
    <row r="84" spans="1:61" ht="14.25" customHeight="1" x14ac:dyDescent="0.3">
      <c r="B84" s="16" t="s">
        <v>207</v>
      </c>
      <c r="C84" s="141">
        <f ca="1">IFERROR(C81+(C73-C74)*(C82-C81)/(C75-C74),C81)</f>
        <v>7558.95</v>
      </c>
      <c r="G84" s="2"/>
      <c r="H84" s="2"/>
      <c r="I84" s="2"/>
      <c r="J84" s="16" t="s">
        <v>207</v>
      </c>
      <c r="K84" s="141">
        <f ca="1">IFERROR(K81+(K73-K74)*(K82-K81)/(K75-K74),K81)</f>
        <v>7187.32</v>
      </c>
      <c r="O84" s="12"/>
      <c r="P84" s="2"/>
      <c r="Q84" s="2"/>
      <c r="R84" s="16" t="s">
        <v>207</v>
      </c>
      <c r="S84" s="141">
        <f ca="1">IFERROR(S81+(S73-S74)*(S82-S81)/(S75-S74),S81)</f>
        <v>6592.45</v>
      </c>
      <c r="W84" s="2"/>
      <c r="X84" s="2"/>
      <c r="Y84" s="2"/>
      <c r="Z84" s="16" t="s">
        <v>207</v>
      </c>
      <c r="AA84" s="141">
        <f ca="1">IFERROR(AA81+(AA73-AA74)*(AA82-AA81)/(AA75-AA74),AA81)</f>
        <v>6059.58</v>
      </c>
      <c r="AE84" s="2"/>
      <c r="AF84" s="2"/>
      <c r="AG84" s="2"/>
      <c r="AH84" s="16" t="s">
        <v>207</v>
      </c>
      <c r="AI84" s="141">
        <f ca="1">IFERROR(AI81+(AI73-AI74)*(AI82-AI81)/(AI75-AI74),AI81)</f>
        <v>5573.33</v>
      </c>
      <c r="AM84" s="2"/>
      <c r="AN84" s="2"/>
      <c r="AO84" s="2"/>
      <c r="AP84" s="16" t="s">
        <v>207</v>
      </c>
      <c r="AQ84" s="141">
        <f ca="1">IFERROR(AQ81+(AQ73-AQ74)*(AQ82-AQ81)/(AQ75-AQ74),AQ81)</f>
        <v>5470.46</v>
      </c>
      <c r="AU84" s="2"/>
      <c r="AV84" s="2"/>
      <c r="AW84" s="2"/>
      <c r="AX84" s="16" t="s">
        <v>207</v>
      </c>
      <c r="AY84" s="141" t="e">
        <f ca="1">IFERROR(AY81+(AY73-AY74)*(AY82-AY81)/(AY75-AY74),AY81)</f>
        <v>#N/A</v>
      </c>
    </row>
    <row r="85" spans="1:61" ht="14.25" customHeight="1" x14ac:dyDescent="0.3">
      <c r="B85" s="139" t="s">
        <v>208</v>
      </c>
      <c r="C85" s="140">
        <f ca="1">IFERROR(C83+(C76-C77)*(C84-C83)/(C78-C77),C83)</f>
        <v>7938.4996374306365</v>
      </c>
      <c r="G85" s="2"/>
      <c r="H85" s="2"/>
      <c r="I85" s="2"/>
      <c r="J85" s="139" t="s">
        <v>208</v>
      </c>
      <c r="K85" s="140">
        <f ca="1">IFERROR(K83+(K76-K77)*(K84-K83)/(K78-K77),K83)</f>
        <v>7555.7141374258545</v>
      </c>
      <c r="O85" s="12"/>
      <c r="P85" s="2"/>
      <c r="Q85" s="2"/>
      <c r="R85" s="139" t="s">
        <v>208</v>
      </c>
      <c r="S85" s="140">
        <f ca="1">IFERROR(S83+(S76-S77)*(S84-S83)/(S78-S77),S83)</f>
        <v>6934.8933248490048</v>
      </c>
      <c r="W85" s="2"/>
      <c r="X85" s="2"/>
      <c r="Y85" s="2"/>
      <c r="Z85" s="139" t="s">
        <v>208</v>
      </c>
      <c r="AA85" s="140">
        <f ca="1">IFERROR(AA83+(AA76-AA77)*(AA84-AA83)/(AA78-AA77),AA83)</f>
        <v>6378.1741850104754</v>
      </c>
      <c r="AE85" s="2"/>
      <c r="AF85" s="2"/>
      <c r="AG85" s="2"/>
      <c r="AH85" s="139" t="s">
        <v>208</v>
      </c>
      <c r="AI85" s="140">
        <f ca="1">IFERROR(AI83+(AI76-AI77)*(AI84-AI83)/(AI78-AI77),AI83)</f>
        <v>5881.184547297963</v>
      </c>
      <c r="AM85" s="2"/>
      <c r="AN85" s="2"/>
      <c r="AO85" s="2"/>
      <c r="AP85" s="139" t="s">
        <v>208</v>
      </c>
      <c r="AQ85" s="140">
        <f ca="1">IFERROR(AQ83+(AQ76-AQ77)*(AQ84-AQ83)/(AQ78-AQ77),AQ83)</f>
        <v>5776.2028191674308</v>
      </c>
      <c r="AU85" s="2"/>
      <c r="AV85" s="2"/>
      <c r="AW85" s="2"/>
      <c r="AX85" s="139" t="s">
        <v>208</v>
      </c>
      <c r="AY85" s="140" t="e">
        <f ca="1">IFERROR(AY83+(AY76-AY77)*(AY84-AY83)/(AY78-AY77),AY83)</f>
        <v>#N/A</v>
      </c>
    </row>
    <row r="86" spans="1:61" ht="14.25" customHeight="1" x14ac:dyDescent="0.3">
      <c r="B86" s="139"/>
      <c r="C86" s="140"/>
      <c r="G86" s="2"/>
      <c r="H86" s="2"/>
      <c r="I86" s="2"/>
      <c r="J86" s="139"/>
      <c r="K86" s="140"/>
      <c r="O86" s="12"/>
      <c r="P86" s="2"/>
      <c r="Q86" s="2"/>
      <c r="R86" s="139"/>
      <c r="S86" s="140"/>
      <c r="W86" s="2"/>
      <c r="X86" s="2"/>
      <c r="Y86" s="2"/>
      <c r="Z86" s="139"/>
      <c r="AA86" s="140"/>
      <c r="AE86" s="2"/>
      <c r="AF86" s="2"/>
      <c r="AG86" s="2"/>
      <c r="AH86" s="139"/>
      <c r="AI86" s="140"/>
      <c r="AM86" s="2"/>
      <c r="AN86" s="2"/>
      <c r="AO86" s="2"/>
      <c r="AP86" s="139"/>
      <c r="AQ86" s="140"/>
      <c r="AU86" s="2"/>
      <c r="AV86" s="2"/>
      <c r="AW86" s="2"/>
      <c r="AX86" s="139"/>
      <c r="AY86" s="140"/>
    </row>
    <row r="87" spans="1:61" ht="14.25" customHeight="1" x14ac:dyDescent="0.3">
      <c r="A87" t="s">
        <v>223</v>
      </c>
      <c r="B87" s="357" t="s">
        <v>222</v>
      </c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W87" s="2"/>
      <c r="X87" s="2"/>
      <c r="Y87" s="2"/>
      <c r="Z87" s="139"/>
      <c r="AA87" s="140"/>
      <c r="AE87" s="2"/>
      <c r="AF87" s="2"/>
      <c r="AG87" s="2"/>
      <c r="AH87" s="139"/>
      <c r="AI87" s="140"/>
      <c r="AM87" s="2"/>
      <c r="AN87" s="2"/>
      <c r="AO87" s="2"/>
      <c r="AP87" s="139"/>
      <c r="AQ87" s="140"/>
      <c r="AU87" s="2"/>
      <c r="AV87" s="2"/>
      <c r="AW87" s="2"/>
      <c r="AX87" s="139"/>
      <c r="AY87" s="140"/>
    </row>
    <row r="88" spans="1:61" ht="14.25" customHeight="1" x14ac:dyDescent="0.3">
      <c r="A88" t="s">
        <v>224</v>
      </c>
      <c r="B88" s="229">
        <v>3500</v>
      </c>
      <c r="C88" s="229">
        <v>4000</v>
      </c>
      <c r="D88" s="232">
        <v>4500</v>
      </c>
      <c r="E88" s="232">
        <v>5000</v>
      </c>
      <c r="F88" s="232">
        <v>5500</v>
      </c>
      <c r="G88" s="232">
        <v>6000</v>
      </c>
      <c r="H88" s="232">
        <v>6500</v>
      </c>
      <c r="I88" s="230">
        <v>7000</v>
      </c>
      <c r="J88" s="55">
        <v>7500</v>
      </c>
      <c r="K88" s="55">
        <v>8000</v>
      </c>
      <c r="L88" s="55">
        <v>8500</v>
      </c>
      <c r="M88" s="259">
        <v>9000</v>
      </c>
      <c r="N88" s="259">
        <v>9500</v>
      </c>
      <c r="O88" s="55">
        <v>10000</v>
      </c>
      <c r="P88" s="55">
        <v>10500</v>
      </c>
      <c r="Q88" s="259">
        <v>11000</v>
      </c>
      <c r="R88" s="259">
        <v>11500</v>
      </c>
      <c r="S88" s="259">
        <v>12000</v>
      </c>
      <c r="T88" s="72"/>
      <c r="U88" s="140"/>
      <c r="Y88" s="2"/>
      <c r="Z88" s="2"/>
      <c r="AA88" s="2"/>
      <c r="AB88" s="139"/>
      <c r="AC88" s="140"/>
      <c r="AG88" s="2"/>
      <c r="AH88" s="2"/>
      <c r="AI88" s="2"/>
      <c r="AJ88" s="139"/>
      <c r="AK88" s="140"/>
      <c r="AO88" s="2"/>
      <c r="AP88" s="2"/>
      <c r="AQ88" s="2"/>
      <c r="AR88" s="139"/>
      <c r="AS88" s="140"/>
      <c r="AW88" s="2"/>
      <c r="AX88" s="2"/>
      <c r="AY88" s="2"/>
      <c r="AZ88" s="139"/>
      <c r="BA88" s="140"/>
      <c r="BE88" s="2"/>
      <c r="BF88" s="2"/>
      <c r="BG88" s="2"/>
      <c r="BH88" s="139"/>
      <c r="BI88" s="140"/>
    </row>
    <row r="89" spans="1:61" ht="14.25" customHeight="1" x14ac:dyDescent="0.3">
      <c r="A89">
        <v>0</v>
      </c>
      <c r="B89" s="263">
        <v>3500</v>
      </c>
      <c r="C89" s="264">
        <v>3950</v>
      </c>
      <c r="D89" s="264">
        <v>4430</v>
      </c>
      <c r="E89" s="264">
        <v>4900</v>
      </c>
      <c r="F89" s="264">
        <v>5400</v>
      </c>
      <c r="G89" s="264">
        <v>5880</v>
      </c>
      <c r="H89" s="264">
        <v>6360</v>
      </c>
      <c r="I89" s="264">
        <v>6825</v>
      </c>
      <c r="J89" s="264">
        <v>7300</v>
      </c>
      <c r="K89" s="264">
        <v>7800</v>
      </c>
      <c r="L89" s="264">
        <v>8260</v>
      </c>
      <c r="M89" s="264">
        <v>8745</v>
      </c>
      <c r="N89" s="265">
        <v>9250</v>
      </c>
      <c r="O89" s="264">
        <v>9760</v>
      </c>
      <c r="P89" s="264">
        <v>10275</v>
      </c>
      <c r="Q89" s="264">
        <v>10790</v>
      </c>
      <c r="R89" s="264">
        <v>11290</v>
      </c>
      <c r="S89" s="265">
        <v>99999</v>
      </c>
      <c r="T89" s="72"/>
      <c r="U89" s="140"/>
      <c r="Y89" s="2"/>
      <c r="Z89" s="2"/>
      <c r="AA89" s="2"/>
      <c r="AB89" s="139"/>
      <c r="AC89" s="140"/>
      <c r="AG89" s="2"/>
      <c r="AH89" s="2"/>
      <c r="AI89" s="2"/>
      <c r="AJ89" s="139"/>
      <c r="AK89" s="140"/>
      <c r="AO89" s="2"/>
      <c r="AP89" s="2"/>
      <c r="AQ89" s="2"/>
      <c r="AR89" s="139"/>
      <c r="AS89" s="140"/>
      <c r="AW89" s="2"/>
      <c r="AX89" s="2"/>
      <c r="AY89" s="2"/>
      <c r="AZ89" s="139"/>
      <c r="BA89" s="140"/>
      <c r="BE89" s="2"/>
      <c r="BF89" s="2"/>
      <c r="BG89" s="2"/>
      <c r="BH89" s="139"/>
      <c r="BI89" s="140"/>
    </row>
    <row r="90" spans="1:61" ht="14.25" customHeight="1" x14ac:dyDescent="0.3">
      <c r="B90" s="139"/>
      <c r="C90" s="140"/>
      <c r="G90" s="2"/>
      <c r="H90" s="2"/>
      <c r="I90" s="2"/>
      <c r="J90" s="139"/>
      <c r="K90" s="140"/>
      <c r="O90" s="12"/>
      <c r="P90" s="2"/>
      <c r="Q90" s="2"/>
      <c r="R90" s="139"/>
      <c r="S90" s="140"/>
      <c r="W90" s="2"/>
      <c r="X90" s="2"/>
      <c r="Y90" s="2"/>
      <c r="Z90" s="139"/>
      <c r="AA90" s="140"/>
      <c r="AE90" s="2"/>
      <c r="AF90" s="2"/>
      <c r="AG90" s="2"/>
      <c r="AH90" s="139"/>
      <c r="AI90" s="140"/>
      <c r="AM90" s="2"/>
      <c r="AN90" s="2"/>
      <c r="AO90" s="2"/>
      <c r="AP90" s="139"/>
      <c r="AQ90" s="140"/>
      <c r="AU90" s="2"/>
      <c r="AV90" s="2"/>
      <c r="AW90" s="2"/>
      <c r="AX90" s="139"/>
      <c r="AY90" s="140"/>
    </row>
    <row r="91" spans="1:61" ht="14.25" customHeight="1" x14ac:dyDescent="0.3">
      <c r="B91" s="139" t="s">
        <v>146</v>
      </c>
      <c r="C91" s="140">
        <f ca="1">C85</f>
        <v>7938.4996374306365</v>
      </c>
      <c r="D91" s="355" t="s">
        <v>201</v>
      </c>
      <c r="E91" s="355"/>
      <c r="G91" s="2"/>
      <c r="H91" s="2"/>
      <c r="I91" s="2"/>
      <c r="J91" s="139" t="s">
        <v>146</v>
      </c>
      <c r="K91" s="140">
        <f ca="1">K85</f>
        <v>7555.7141374258545</v>
      </c>
      <c r="L91" s="355" t="s">
        <v>201</v>
      </c>
      <c r="M91" s="355"/>
      <c r="O91" s="12"/>
      <c r="P91" s="2"/>
      <c r="Q91" s="2"/>
      <c r="R91" s="139" t="s">
        <v>146</v>
      </c>
      <c r="S91" s="140">
        <f ca="1">S85</f>
        <v>6934.8933248490048</v>
      </c>
      <c r="T91" s="355" t="s">
        <v>201</v>
      </c>
      <c r="U91" s="355"/>
      <c r="W91" s="2"/>
      <c r="X91" s="2"/>
      <c r="Y91" s="2"/>
      <c r="Z91" s="139" t="s">
        <v>146</v>
      </c>
      <c r="AA91" s="140">
        <f ca="1">AA85</f>
        <v>6378.1741850104754</v>
      </c>
      <c r="AB91" s="355" t="s">
        <v>201</v>
      </c>
      <c r="AC91" s="355"/>
      <c r="AE91" s="2"/>
      <c r="AF91" s="2"/>
      <c r="AG91" s="2"/>
      <c r="AH91" s="139" t="s">
        <v>146</v>
      </c>
      <c r="AI91" s="140">
        <f ca="1">AI85</f>
        <v>5881.184547297963</v>
      </c>
      <c r="AJ91" s="355" t="s">
        <v>201</v>
      </c>
      <c r="AK91" s="355"/>
      <c r="AM91" s="2"/>
      <c r="AN91" s="2"/>
      <c r="AO91" s="2"/>
      <c r="AP91" s="139" t="s">
        <v>146</v>
      </c>
      <c r="AQ91" s="140">
        <f ca="1">AQ85</f>
        <v>5776.2028191674308</v>
      </c>
      <c r="AR91" s="355" t="s">
        <v>201</v>
      </c>
      <c r="AS91" s="355"/>
      <c r="AU91" s="2"/>
      <c r="AV91" s="2"/>
      <c r="AW91" s="2"/>
      <c r="AX91" s="139" t="s">
        <v>146</v>
      </c>
      <c r="AY91" s="140" t="e">
        <f ca="1">AY85</f>
        <v>#N/A</v>
      </c>
      <c r="AZ91" s="355" t="s">
        <v>201</v>
      </c>
      <c r="BA91" s="355"/>
    </row>
    <row r="92" spans="1:61" ht="14.25" customHeight="1" x14ac:dyDescent="0.3">
      <c r="B92" s="16" t="s">
        <v>202</v>
      </c>
      <c r="C92" s="141">
        <f t="array" aca="1" ref="C92" ca="1">INDEX($B88:$S88,MATCH(C91,$B88:$S88,1))</f>
        <v>7500</v>
      </c>
      <c r="D92" s="16" t="s">
        <v>144</v>
      </c>
      <c r="E92" s="17">
        <f>MATCH(MAX($A89),$A89,1)</f>
        <v>1</v>
      </c>
      <c r="G92" s="2"/>
      <c r="H92" s="2"/>
      <c r="I92" s="2"/>
      <c r="J92" s="16" t="s">
        <v>202</v>
      </c>
      <c r="K92" s="141">
        <f t="array" aca="1" ref="K92" ca="1">INDEX($B88:$S88,MATCH(K91,$B88:$S88,1))</f>
        <v>7500</v>
      </c>
      <c r="L92" s="16" t="s">
        <v>144</v>
      </c>
      <c r="M92" s="17">
        <f>MATCH(MAX($A89),$A89,1)</f>
        <v>1</v>
      </c>
      <c r="O92" s="12"/>
      <c r="P92" s="2"/>
      <c r="Q92" s="2"/>
      <c r="R92" s="16" t="s">
        <v>202</v>
      </c>
      <c r="S92" s="141">
        <f t="array" aca="1" ref="S92" ca="1">INDEX($B88:$S88,MATCH(S91,$B88:$S88,1))</f>
        <v>6500</v>
      </c>
      <c r="T92" s="16" t="s">
        <v>144</v>
      </c>
      <c r="U92" s="17">
        <f>MATCH(MAX($A89),$A89,1)</f>
        <v>1</v>
      </c>
      <c r="W92" s="2"/>
      <c r="X92" s="2"/>
      <c r="Y92" s="2"/>
      <c r="Z92" s="16" t="s">
        <v>202</v>
      </c>
      <c r="AA92" s="141">
        <f t="array" aca="1" ref="AA92" ca="1">INDEX($B88:$S88,MATCH(AA91,$B88:$S88,1))</f>
        <v>6000</v>
      </c>
      <c r="AB92" s="16" t="s">
        <v>144</v>
      </c>
      <c r="AC92" s="17">
        <f>MATCH(MAX($A89),$A89,1)</f>
        <v>1</v>
      </c>
      <c r="AE92" s="2"/>
      <c r="AF92" s="2"/>
      <c r="AG92" s="2"/>
      <c r="AH92" s="16" t="s">
        <v>202</v>
      </c>
      <c r="AI92" s="141">
        <f t="array" aca="1" ref="AI92" ca="1">INDEX($B88:$S88,MATCH(AI91,$B88:$S88,1))</f>
        <v>5500</v>
      </c>
      <c r="AJ92" s="16" t="s">
        <v>144</v>
      </c>
      <c r="AK92" s="17">
        <f>MATCH(MAX($A89),$A89,1)</f>
        <v>1</v>
      </c>
      <c r="AM92" s="2"/>
      <c r="AN92" s="2"/>
      <c r="AO92" s="2"/>
      <c r="AP92" s="16" t="s">
        <v>202</v>
      </c>
      <c r="AQ92" s="141">
        <f t="array" aca="1" ref="AQ92" ca="1">INDEX($B88:$S88,MATCH(AQ91,$B88:$S88,1))</f>
        <v>5500</v>
      </c>
      <c r="AR92" s="16" t="s">
        <v>144</v>
      </c>
      <c r="AS92" s="17">
        <f>MATCH(MAX($A89),$A89,1)</f>
        <v>1</v>
      </c>
      <c r="AU92" s="2"/>
      <c r="AV92" s="2"/>
      <c r="AW92" s="2"/>
      <c r="AX92" s="16" t="s">
        <v>202</v>
      </c>
      <c r="AY92" s="141" t="e">
        <f t="array" aca="1" ref="AY92" ca="1">INDEX($B88:$S88,MATCH(AY91,$B88:$S88,1))</f>
        <v>#N/A</v>
      </c>
      <c r="AZ92" s="16" t="s">
        <v>144</v>
      </c>
      <c r="BA92" s="17">
        <f>MATCH(MAX($A89),$A89,1)</f>
        <v>1</v>
      </c>
    </row>
    <row r="93" spans="1:61" ht="14.25" customHeight="1" x14ac:dyDescent="0.3">
      <c r="B93" s="16" t="s">
        <v>203</v>
      </c>
      <c r="C93" s="141">
        <f t="array" aca="1" ref="C93" ca="1">INDEX($B88:$S88,IF(MATCH(C91,$B88:$S88,1)&lt;E93,MATCH(C91,$B88:$S88,1)+1,MATCH(C91,$B88:$S88,1)))</f>
        <v>8000</v>
      </c>
      <c r="D93" s="16" t="s">
        <v>145</v>
      </c>
      <c r="E93" s="17">
        <f>MATCH(MAX($B88:$S88),$B88:$S88,0)</f>
        <v>18</v>
      </c>
      <c r="G93" s="2"/>
      <c r="H93" s="2"/>
      <c r="I93" s="2"/>
      <c r="J93" s="16" t="s">
        <v>203</v>
      </c>
      <c r="K93" s="141">
        <f t="array" aca="1" ref="K93" ca="1">INDEX($B88:$S88,IF(MATCH(K91,$B88:$S88,1)&lt;M93,MATCH(K91,$B88:$S88,1)+1,MATCH(K91,$B88:$S88,1)))</f>
        <v>8000</v>
      </c>
      <c r="L93" s="16" t="s">
        <v>145</v>
      </c>
      <c r="M93" s="17">
        <f>MATCH(MAX($B88:$S88),$B88:$S88,0)</f>
        <v>18</v>
      </c>
      <c r="O93" s="12"/>
      <c r="P93" s="2"/>
      <c r="Q93" s="2"/>
      <c r="R93" s="16" t="s">
        <v>203</v>
      </c>
      <c r="S93" s="141">
        <f t="array" aca="1" ref="S93" ca="1">INDEX($B88:$S88,IF(MATCH(S91,$B88:$S88,1)&lt;U93,MATCH(S91,$B88:$S88,1)+1,MATCH(S91,$B88:$S88,1)))</f>
        <v>7000</v>
      </c>
      <c r="T93" s="16" t="s">
        <v>145</v>
      </c>
      <c r="U93" s="17">
        <f>MATCH(MAX($B88:$S88),$B88:$S88,0)</f>
        <v>18</v>
      </c>
      <c r="W93" s="2"/>
      <c r="X93" s="2"/>
      <c r="Y93" s="2"/>
      <c r="Z93" s="16" t="s">
        <v>203</v>
      </c>
      <c r="AA93" s="141">
        <f t="array" aca="1" ref="AA93" ca="1">INDEX($B88:$S88,IF(MATCH(AA91,$B88:$S88,1)&lt;AC93,MATCH(AA91,$B88:$S88,1)+1,MATCH(AA91,$B88:$S88,1)))</f>
        <v>6500</v>
      </c>
      <c r="AB93" s="16" t="s">
        <v>145</v>
      </c>
      <c r="AC93" s="17">
        <f>MATCH(MAX($B88:$S88),$B88:$S88,0)</f>
        <v>18</v>
      </c>
      <c r="AE93" s="2"/>
      <c r="AF93" s="2"/>
      <c r="AG93" s="2"/>
      <c r="AH93" s="16" t="s">
        <v>203</v>
      </c>
      <c r="AI93" s="141">
        <f t="array" aca="1" ref="AI93" ca="1">INDEX($B88:$S88,IF(MATCH(AI91,$B88:$S88,1)&lt;AK93,MATCH(AI91,$B88:$S88,1)+1,MATCH(AI91,$B88:$S88,1)))</f>
        <v>6000</v>
      </c>
      <c r="AJ93" s="16" t="s">
        <v>145</v>
      </c>
      <c r="AK93" s="17">
        <f>MATCH(MAX($B88:$S88),$B88:$S88,0)</f>
        <v>18</v>
      </c>
      <c r="AM93" s="2"/>
      <c r="AN93" s="2"/>
      <c r="AO93" s="2"/>
      <c r="AP93" s="16" t="s">
        <v>203</v>
      </c>
      <c r="AQ93" s="141">
        <f t="array" aca="1" ref="AQ93" ca="1">INDEX($B88:$S88,IF(MATCH(AQ91,$B88:$S88,1)&lt;AS93,MATCH(AQ91,$B88:$S88,1)+1,MATCH(AQ91,$B88:$S88,1)))</f>
        <v>6000</v>
      </c>
      <c r="AR93" s="16" t="s">
        <v>145</v>
      </c>
      <c r="AS93" s="17">
        <f>MATCH(MAX($B88:$S88),$B88:$S88,0)</f>
        <v>18</v>
      </c>
      <c r="AU93" s="2"/>
      <c r="AV93" s="2"/>
      <c r="AW93" s="2"/>
      <c r="AX93" s="16" t="s">
        <v>203</v>
      </c>
      <c r="AY93" s="141" t="e">
        <f t="array" aca="1" ref="AY93" ca="1">INDEX($B88:$S88,IF(MATCH(AY91,$B88:$S88,1)&lt;BA93,MATCH(AY91,$B88:$S88,1)+1,MATCH(AY91,$B88:$S88,1)))</f>
        <v>#N/A</v>
      </c>
      <c r="AZ93" s="16" t="s">
        <v>145</v>
      </c>
      <c r="BA93" s="17">
        <f>MATCH(MAX($B88:$S88),$B88:$S88,0)</f>
        <v>18</v>
      </c>
    </row>
    <row r="94" spans="1:61" ht="14.25" customHeight="1" x14ac:dyDescent="0.3">
      <c r="B94" s="139" t="s">
        <v>147</v>
      </c>
      <c r="C94" s="186">
        <v>0</v>
      </c>
      <c r="D94" s="2"/>
      <c r="E94" s="2"/>
      <c r="G94" s="2"/>
      <c r="H94" s="2"/>
      <c r="I94" s="2"/>
      <c r="J94" s="139" t="s">
        <v>147</v>
      </c>
      <c r="K94" s="186">
        <v>0</v>
      </c>
      <c r="L94" s="2"/>
      <c r="M94" s="2"/>
      <c r="O94" s="12"/>
      <c r="P94" s="2"/>
      <c r="Q94" s="2"/>
      <c r="R94" s="139" t="s">
        <v>147</v>
      </c>
      <c r="S94" s="186">
        <v>0</v>
      </c>
      <c r="T94" s="2"/>
      <c r="U94" s="2"/>
      <c r="W94" s="2"/>
      <c r="X94" s="2"/>
      <c r="Y94" s="2"/>
      <c r="Z94" s="139" t="s">
        <v>147</v>
      </c>
      <c r="AA94" s="186">
        <v>0</v>
      </c>
      <c r="AB94" s="2"/>
      <c r="AC94" s="2"/>
      <c r="AE94" s="2"/>
      <c r="AF94" s="2"/>
      <c r="AG94" s="2"/>
      <c r="AH94" s="139" t="s">
        <v>147</v>
      </c>
      <c r="AI94" s="186">
        <v>0</v>
      </c>
      <c r="AJ94" s="2"/>
      <c r="AK94" s="2"/>
      <c r="AM94" s="2"/>
      <c r="AN94" s="2"/>
      <c r="AO94" s="2"/>
      <c r="AP94" s="139" t="s">
        <v>147</v>
      </c>
      <c r="AQ94" s="186">
        <v>0</v>
      </c>
      <c r="AR94" s="2"/>
      <c r="AS94" s="2"/>
      <c r="AU94" s="2"/>
      <c r="AV94" s="2"/>
      <c r="AW94" s="2"/>
      <c r="AX94" s="139" t="s">
        <v>147</v>
      </c>
      <c r="AY94" s="186">
        <v>0</v>
      </c>
      <c r="AZ94" s="2"/>
      <c r="BA94" s="2"/>
    </row>
    <row r="95" spans="1:61" ht="14.25" customHeight="1" x14ac:dyDescent="0.3">
      <c r="B95" s="16" t="s">
        <v>148</v>
      </c>
      <c r="C95" s="141">
        <f t="array" ref="C95">INDEX($A89,MATCH(C94,$A89,1))</f>
        <v>0</v>
      </c>
      <c r="D95" s="2"/>
      <c r="E95" s="42"/>
      <c r="G95" s="2"/>
      <c r="H95" s="2"/>
      <c r="I95" s="2"/>
      <c r="J95" s="16" t="s">
        <v>148</v>
      </c>
      <c r="K95" s="141">
        <f t="array" ref="K95">INDEX($A89,MATCH(K94,$A89,1))</f>
        <v>0</v>
      </c>
      <c r="L95" s="2"/>
      <c r="M95" s="42"/>
      <c r="O95" s="12"/>
      <c r="P95" s="2"/>
      <c r="Q95" s="2"/>
      <c r="R95" s="16" t="s">
        <v>148</v>
      </c>
      <c r="S95" s="141">
        <f t="array" ref="S95">INDEX($A89,MATCH(S94,$A89,1))</f>
        <v>0</v>
      </c>
      <c r="T95" s="2"/>
      <c r="U95" s="42"/>
      <c r="W95" s="2"/>
      <c r="X95" s="2"/>
      <c r="Y95" s="2"/>
      <c r="Z95" s="16" t="s">
        <v>148</v>
      </c>
      <c r="AA95" s="141">
        <f t="array" ref="AA95">INDEX($A89,MATCH(AA94,$A89,1))</f>
        <v>0</v>
      </c>
      <c r="AB95" s="2"/>
      <c r="AC95" s="42"/>
      <c r="AE95" s="2"/>
      <c r="AF95" s="2"/>
      <c r="AG95" s="2"/>
      <c r="AH95" s="16" t="s">
        <v>148</v>
      </c>
      <c r="AI95" s="141">
        <f t="array" ref="AI95">INDEX($A89,MATCH(AI94,$A89,1))</f>
        <v>0</v>
      </c>
      <c r="AJ95" s="2"/>
      <c r="AK95" s="42"/>
      <c r="AM95" s="2"/>
      <c r="AN95" s="2"/>
      <c r="AO95" s="2"/>
      <c r="AP95" s="16" t="s">
        <v>148</v>
      </c>
      <c r="AQ95" s="141">
        <f t="array" ref="AQ95">INDEX($A89,MATCH(AQ94,$A89,1))</f>
        <v>0</v>
      </c>
      <c r="AR95" s="2"/>
      <c r="AS95" s="42"/>
      <c r="AU95" s="2"/>
      <c r="AV95" s="2"/>
      <c r="AW95" s="2"/>
      <c r="AX95" s="16" t="s">
        <v>148</v>
      </c>
      <c r="AY95" s="141">
        <f t="array" ref="AY95">INDEX($A89,MATCH(AY94,$A89,1))</f>
        <v>0</v>
      </c>
      <c r="AZ95" s="2"/>
      <c r="BA95" s="42"/>
    </row>
    <row r="96" spans="1:61" ht="14.25" customHeight="1" x14ac:dyDescent="0.3">
      <c r="B96" s="16" t="s">
        <v>149</v>
      </c>
      <c r="C96" s="141">
        <f t="array" ref="C96">INDEX($A89,IF(MATCH(C94,$A89,1)&lt;E92,MATCH(C94,$A89,1)+1,MATCH(C94,$A89,1)))</f>
        <v>0</v>
      </c>
      <c r="D96" s="2"/>
      <c r="E96" s="42"/>
      <c r="G96" s="2"/>
      <c r="H96" s="2"/>
      <c r="I96" s="2"/>
      <c r="J96" s="16" t="s">
        <v>149</v>
      </c>
      <c r="K96" s="141">
        <f t="array" ref="K96">INDEX($A89,IF(MATCH(K94,$A89,1)&lt;M92,MATCH(K94,$A89,1)+1,MATCH(K94,$A89,1)))</f>
        <v>0</v>
      </c>
      <c r="L96" s="2"/>
      <c r="M96" s="42"/>
      <c r="O96" s="12"/>
      <c r="P96" s="2"/>
      <c r="Q96" s="2"/>
      <c r="R96" s="16" t="s">
        <v>149</v>
      </c>
      <c r="S96" s="141">
        <f t="array" ref="S96">INDEX($A89,IF(MATCH(S94,$A89,1)&lt;U92,MATCH(S94,$A89,1)+1,MATCH(S94,$A89,1)))</f>
        <v>0</v>
      </c>
      <c r="T96" s="2"/>
      <c r="U96" s="42"/>
      <c r="W96" s="2"/>
      <c r="X96" s="2"/>
      <c r="Y96" s="2"/>
      <c r="Z96" s="16" t="s">
        <v>149</v>
      </c>
      <c r="AA96" s="141">
        <f t="array" ref="AA96">INDEX($A89,IF(MATCH(AA94,$A89,1)&lt;AC92,MATCH(AA94,$A89,1)+1,MATCH(AA94,$A89,1)))</f>
        <v>0</v>
      </c>
      <c r="AB96" s="2"/>
      <c r="AC96" s="42"/>
      <c r="AE96" s="2"/>
      <c r="AF96" s="2"/>
      <c r="AG96" s="2"/>
      <c r="AH96" s="16" t="s">
        <v>149</v>
      </c>
      <c r="AI96" s="141">
        <f t="array" ref="AI96">INDEX($A89,IF(MATCH(AI94,$A89,1)&lt;AK92,MATCH(AI94,$A89,1)+1,MATCH(AI94,$A89,1)))</f>
        <v>0</v>
      </c>
      <c r="AJ96" s="2"/>
      <c r="AK96" s="42"/>
      <c r="AM96" s="2"/>
      <c r="AN96" s="2"/>
      <c r="AO96" s="2"/>
      <c r="AP96" s="16" t="s">
        <v>149</v>
      </c>
      <c r="AQ96" s="141">
        <f t="array" ref="AQ96">INDEX($A89,IF(MATCH(AQ94,$A89,1)&lt;AS92,MATCH(AQ94,$A89,1)+1,MATCH(AQ94,$A89,1)))</f>
        <v>0</v>
      </c>
      <c r="AR96" s="2"/>
      <c r="AS96" s="42"/>
      <c r="AU96" s="2"/>
      <c r="AV96" s="2"/>
      <c r="AW96" s="2"/>
      <c r="AX96" s="16" t="s">
        <v>149</v>
      </c>
      <c r="AY96" s="141">
        <f t="array" ref="AY96">INDEX($A89,IF(MATCH(AY94,$A89,1)&lt;BA92,MATCH(AY94,$A89,1)+1,MATCH(AY94,$A89,1)))</f>
        <v>0</v>
      </c>
      <c r="AZ96" s="2"/>
      <c r="BA96" s="42"/>
    </row>
    <row r="97" spans="1:66" ht="14.25" customHeight="1" x14ac:dyDescent="0.3">
      <c r="B97" s="139" t="s">
        <v>150</v>
      </c>
      <c r="C97" s="140">
        <f t="array" aca="1" ref="C97" ca="1">INDEX($B89:$S89,MATCH(C94,$A89,1),MATCH(C91,$B88:$S88,1))</f>
        <v>7300</v>
      </c>
      <c r="D97" s="2"/>
      <c r="E97" s="42"/>
      <c r="G97" s="2"/>
      <c r="H97" s="2"/>
      <c r="I97" s="2"/>
      <c r="J97" s="139" t="s">
        <v>150</v>
      </c>
      <c r="K97" s="140">
        <f t="array" aca="1" ref="K97" ca="1">INDEX($B89:$S89,MATCH(K94,$A89,1),MATCH(K91,$B88:$S88,1))</f>
        <v>7300</v>
      </c>
      <c r="L97" s="2"/>
      <c r="M97" s="42"/>
      <c r="O97" s="12"/>
      <c r="P97" s="2"/>
      <c r="Q97" s="2"/>
      <c r="R97" s="139" t="s">
        <v>150</v>
      </c>
      <c r="S97" s="140">
        <f t="array" aca="1" ref="S97" ca="1">INDEX($B89:$S89,MATCH(S94,$A89,1),MATCH(S91,$B88:$S88,1))</f>
        <v>6360</v>
      </c>
      <c r="T97" s="2"/>
      <c r="U97" s="42"/>
      <c r="W97" s="2"/>
      <c r="X97" s="2"/>
      <c r="Y97" s="2"/>
      <c r="Z97" s="139" t="s">
        <v>150</v>
      </c>
      <c r="AA97" s="140">
        <f t="array" aca="1" ref="AA97" ca="1">INDEX($B89:$S89,MATCH(AA94,$A89,1),MATCH(AA91,$B88:$S88,1))</f>
        <v>5880</v>
      </c>
      <c r="AB97" s="2"/>
      <c r="AC97" s="42"/>
      <c r="AE97" s="2"/>
      <c r="AF97" s="2"/>
      <c r="AG97" s="2"/>
      <c r="AH97" s="139" t="s">
        <v>150</v>
      </c>
      <c r="AI97" s="140">
        <f t="array" aca="1" ref="AI97" ca="1">INDEX($B89:$S89,MATCH(AI94,$A89,1),MATCH(AI91,$B88:$S88,1))</f>
        <v>5400</v>
      </c>
      <c r="AJ97" s="2"/>
      <c r="AK97" s="42"/>
      <c r="AM97" s="2"/>
      <c r="AN97" s="2"/>
      <c r="AO97" s="2"/>
      <c r="AP97" s="139" t="s">
        <v>150</v>
      </c>
      <c r="AQ97" s="140">
        <f t="array" aca="1" ref="AQ97" ca="1">INDEX($B89:$S89,MATCH(AQ94,$A89,1),MATCH(AQ91,$B88:$S88,1))</f>
        <v>5400</v>
      </c>
      <c r="AR97" s="2"/>
      <c r="AS97" s="42"/>
      <c r="AU97" s="2"/>
      <c r="AV97" s="2"/>
      <c r="AW97" s="2"/>
      <c r="AX97" s="139" t="s">
        <v>150</v>
      </c>
      <c r="AY97" s="140" t="e">
        <f t="array" aca="1" ref="AY97" ca="1">INDEX($B89:$S89,MATCH(AY94,$A89,1),MATCH(AY91,$B88:$S88,1))</f>
        <v>#N/A</v>
      </c>
      <c r="AZ97" s="2"/>
      <c r="BA97" s="42"/>
    </row>
    <row r="98" spans="1:66" ht="14.25" customHeight="1" x14ac:dyDescent="0.3">
      <c r="B98" s="139" t="s">
        <v>204</v>
      </c>
      <c r="C98" s="140">
        <f t="array" aca="1" ref="C98" ca="1">INDEX($B89:$S89,MATCH(C94,$A89,1),IF(MATCH(C91,$B88:$S88,1)&lt;E93,MATCH(C91,$B88:$S88,1)+1,MATCH(C94,$A89,1)))</f>
        <v>7800</v>
      </c>
      <c r="E98" s="42"/>
      <c r="G98" s="2"/>
      <c r="H98" s="2"/>
      <c r="I98" s="2"/>
      <c r="J98" s="139" t="s">
        <v>204</v>
      </c>
      <c r="K98" s="140">
        <f t="array" aca="1" ref="K98" ca="1">INDEX($B89:$S89,MATCH(K94,$A89,1),IF(MATCH(K91,$B88:$S88,1)&lt;M93,MATCH(K91,$B88:$S88,1)+1,MATCH(K94,$A89,1)))</f>
        <v>7800</v>
      </c>
      <c r="M98" s="42"/>
      <c r="O98" s="2"/>
      <c r="P98" s="2"/>
      <c r="Q98" s="2"/>
      <c r="R98" s="139" t="s">
        <v>204</v>
      </c>
      <c r="S98" s="140">
        <f t="array" aca="1" ref="S98" ca="1">INDEX($B89:$S89,MATCH(S94,$A89,1),IF(MATCH(S91,$B88:$S88,1)&lt;U93,MATCH(S91,$B88:$S88,1)+1,MATCH(S94,$A89,1)))</f>
        <v>6825</v>
      </c>
      <c r="U98" s="42"/>
      <c r="W98" s="2"/>
      <c r="X98" s="2"/>
      <c r="Y98" s="2"/>
      <c r="Z98" s="139" t="s">
        <v>204</v>
      </c>
      <c r="AA98" s="140">
        <f t="array" aca="1" ref="AA98" ca="1">INDEX($B89:$S89,MATCH(AA94,$A89,1),IF(MATCH(AA91,$B88:$S88,1)&lt;AC93,MATCH(AA91,$B88:$S88,1)+1,MATCH(AA94,$A89,1)))</f>
        <v>6360</v>
      </c>
      <c r="AC98" s="42"/>
      <c r="AE98" s="2"/>
      <c r="AF98" s="2"/>
      <c r="AG98" s="2"/>
      <c r="AH98" s="139" t="s">
        <v>204</v>
      </c>
      <c r="AI98" s="140">
        <f t="array" aca="1" ref="AI98" ca="1">INDEX($B89:$S89,MATCH(AI94,$A89,1),IF(MATCH(AI91,$B88:$S88,1)&lt;AK93,MATCH(AI91,$B88:$S88,1)+1,MATCH(AI94,$A89,1)))</f>
        <v>5880</v>
      </c>
      <c r="AK98" s="42"/>
      <c r="AM98" s="2"/>
      <c r="AN98" s="2"/>
      <c r="AO98" s="2"/>
      <c r="AP98" s="139" t="s">
        <v>204</v>
      </c>
      <c r="AQ98" s="140">
        <f t="array" aca="1" ref="AQ98" ca="1">INDEX($B89:$S89,MATCH(AQ94,$A89,1),IF(MATCH(AQ91,$B88:$S88,1)&lt;AS93,MATCH(AQ91,$B88:$S88,1)+1,MATCH(AQ94,$A89,1)))</f>
        <v>5880</v>
      </c>
      <c r="AS98" s="42"/>
      <c r="AU98" s="2"/>
      <c r="AV98" s="2"/>
      <c r="AW98" s="2"/>
      <c r="AX98" s="139" t="s">
        <v>204</v>
      </c>
      <c r="AY98" s="140" t="e">
        <f t="array" aca="1" ref="AY98" ca="1">INDEX($B89:$S89,MATCH(AY94,$A89,1),IF(MATCH(AY91,$B88:$S88,1)&lt;BA93,MATCH(AY91,$B88:$S88,1)+1,MATCH(AY94,$A89,1)))</f>
        <v>#N/A</v>
      </c>
      <c r="BA98" s="42"/>
    </row>
    <row r="99" spans="1:66" ht="14.25" customHeight="1" x14ac:dyDescent="0.3">
      <c r="B99" s="139" t="s">
        <v>151</v>
      </c>
      <c r="C99" s="140">
        <f t="array" aca="1" ref="C99" ca="1">INDEX($B89:$S89,IF(MATCH(C94,$A89,1)&lt;E92,MATCH(C94,$A89,1)+1,MATCH(C94,$A89,1)),MATCH(C91,$B88:$S88,1))</f>
        <v>7300</v>
      </c>
      <c r="E99" s="42"/>
      <c r="G99" s="2"/>
      <c r="H99" s="2"/>
      <c r="I99" s="2"/>
      <c r="J99" s="139" t="s">
        <v>151</v>
      </c>
      <c r="K99" s="140">
        <f t="array" aca="1" ref="K99" ca="1">INDEX($B89:$S89,IF(MATCH(K94,$A89,1)&lt;M92,MATCH(K94,$A89,1)+1,MATCH(K94,$A89,1)),MATCH(K91,$B88:$S88,1))</f>
        <v>7300</v>
      </c>
      <c r="M99" s="42"/>
      <c r="O99" s="2"/>
      <c r="P99" s="2"/>
      <c r="Q99" s="2"/>
      <c r="R99" s="139" t="s">
        <v>151</v>
      </c>
      <c r="S99" s="140">
        <f t="array" aca="1" ref="S99" ca="1">INDEX($B89:$S89,IF(MATCH(S94,$A89,1)&lt;U92,MATCH(S94,$A89,1)+1,MATCH(S94,$A89,1)),MATCH(S91,$B88:$S88,1))</f>
        <v>6360</v>
      </c>
      <c r="U99" s="42"/>
      <c r="W99" s="2"/>
      <c r="X99" s="2"/>
      <c r="Y99" s="2"/>
      <c r="Z99" s="139" t="s">
        <v>151</v>
      </c>
      <c r="AA99" s="140">
        <f t="array" aca="1" ref="AA99" ca="1">INDEX($B89:$S89,IF(MATCH(AA94,$A89,1)&lt;AC92,MATCH(AA94,$A89,1)+1,MATCH(AA94,$A89,1)),MATCH(AA91,$B88:$S88,1))</f>
        <v>5880</v>
      </c>
      <c r="AC99" s="42"/>
      <c r="AE99" s="2"/>
      <c r="AF99" s="2"/>
      <c r="AG99" s="2"/>
      <c r="AH99" s="139" t="s">
        <v>151</v>
      </c>
      <c r="AI99" s="140">
        <f t="array" aca="1" ref="AI99" ca="1">INDEX($B89:$S89,IF(MATCH(AI94,$A89,1)&lt;AK92,MATCH(AI94,$A89,1)+1,MATCH(AI94,$A89,1)),MATCH(AI91,$B88:$S88,1))</f>
        <v>5400</v>
      </c>
      <c r="AK99" s="42"/>
      <c r="AM99" s="2"/>
      <c r="AN99" s="2"/>
      <c r="AO99" s="2"/>
      <c r="AP99" s="139" t="s">
        <v>151</v>
      </c>
      <c r="AQ99" s="140">
        <f t="array" aca="1" ref="AQ99" ca="1">INDEX($B89:$S89,IF(MATCH(AQ94,$A89,1)&lt;AS92,MATCH(AQ94,$A89,1)+1,MATCH(AQ94,$A89,1)),MATCH(AQ91,$B88:$S88,1))</f>
        <v>5400</v>
      </c>
      <c r="AS99" s="42"/>
      <c r="AU99" s="2"/>
      <c r="AV99" s="2"/>
      <c r="AW99" s="2"/>
      <c r="AX99" s="139" t="s">
        <v>151</v>
      </c>
      <c r="AY99" s="140" t="e">
        <f t="array" aca="1" ref="AY99" ca="1">INDEX($B89:$S89,IF(MATCH(AY94,$A89,1)&lt;BA92,MATCH(AY94,$A89,1)+1,MATCH(AY94,$A89,1)),MATCH(AY91,$B88:$S88,1))</f>
        <v>#N/A</v>
      </c>
      <c r="BA99" s="42"/>
    </row>
    <row r="100" spans="1:66" ht="14.25" customHeight="1" x14ac:dyDescent="0.3">
      <c r="B100" s="139" t="s">
        <v>205</v>
      </c>
      <c r="C100" s="140">
        <f t="array" aca="1" ref="C100" ca="1">INDEX($B89:$S89,IF(MATCH(C94,$A89,1)&lt;E92,MATCH(C94,$A89,1)+1,MATCH(C94,$A89,1)),IF(MATCH(C91,$B88:$S88,1)&lt;E93,MATCH(C91,$B88:$S88,1)+1,MATCH(C91,$B88:$S88,1)))</f>
        <v>7800</v>
      </c>
      <c r="G100" s="2"/>
      <c r="H100" s="2"/>
      <c r="I100" s="2"/>
      <c r="J100" s="139" t="s">
        <v>205</v>
      </c>
      <c r="K100" s="140">
        <f t="array" aca="1" ref="K100" ca="1">INDEX($B89:$S89,IF(MATCH(K94,$A89,1)&lt;M92,MATCH(K94,$A89,1)+1,MATCH(K94,$A89,1)),IF(MATCH(K91,$B88:$S88,1)&lt;M93,MATCH(K91,$B88:$S88,1)+1,MATCH(K91,$B88:$S88,1)))</f>
        <v>7800</v>
      </c>
      <c r="O100" s="2"/>
      <c r="P100" s="2"/>
      <c r="Q100" s="2"/>
      <c r="R100" s="139" t="s">
        <v>205</v>
      </c>
      <c r="S100" s="140">
        <f t="array" aca="1" ref="S100" ca="1">INDEX($B89:$S89,IF(MATCH(S94,$A89,1)&lt;U92,MATCH(S94,$A89,1)+1,MATCH(S94,$A89,1)),IF(MATCH(S91,$B88:$S88,1)&lt;U93,MATCH(S91,$B88:$S88,1)+1,MATCH(S91,$B88:$S88,1)))</f>
        <v>6825</v>
      </c>
      <c r="W100" s="2"/>
      <c r="X100" s="2"/>
      <c r="Y100" s="2"/>
      <c r="Z100" s="139" t="s">
        <v>205</v>
      </c>
      <c r="AA100" s="140">
        <f t="array" aca="1" ref="AA100" ca="1">INDEX($B89:$S89,IF(MATCH(AA94,$A89,1)&lt;AC92,MATCH(AA94,$A89,1)+1,MATCH(AA94,$A89,1)),IF(MATCH(AA91,$B88:$S88,1)&lt;AC93,MATCH(AA91,$B88:$S88,1)+1,MATCH(AA91,$B88:$S88,1)))</f>
        <v>6360</v>
      </c>
      <c r="AE100" s="2"/>
      <c r="AF100" s="2"/>
      <c r="AG100" s="2"/>
      <c r="AH100" s="139" t="s">
        <v>205</v>
      </c>
      <c r="AI100" s="140">
        <f t="array" aca="1" ref="AI100" ca="1">INDEX($B89:$S89,IF(MATCH(AI94,$A89,1)&lt;AK92,MATCH(AI94,$A89,1)+1,MATCH(AI94,$A89,1)),IF(MATCH(AI91,$B88:$S88,1)&lt;AK93,MATCH(AI91,$B88:$S88,1)+1,MATCH(AI91,$B88:$S88,1)))</f>
        <v>5880</v>
      </c>
      <c r="AM100" s="2"/>
      <c r="AN100" s="2"/>
      <c r="AO100" s="2"/>
      <c r="AP100" s="139" t="s">
        <v>205</v>
      </c>
      <c r="AQ100" s="140">
        <f t="array" aca="1" ref="AQ100" ca="1">INDEX($B89:$S89,IF(MATCH(AQ94,$A89,1)&lt;AS92,MATCH(AQ94,$A89,1)+1,MATCH(AQ94,$A89,1)),IF(MATCH(AQ91,$B88:$S88,1)&lt;AS93,MATCH(AQ91,$B88:$S88,1)+1,MATCH(AQ91,$B88:$S88,1)))</f>
        <v>5880</v>
      </c>
      <c r="AU100" s="2"/>
      <c r="AV100" s="2"/>
      <c r="AW100" s="2"/>
      <c r="AX100" s="139" t="s">
        <v>205</v>
      </c>
      <c r="AY100" s="140" t="e">
        <f t="array" aca="1" ref="AY100" ca="1">INDEX($B89:$S89,IF(MATCH(AY94,$A89,1)&lt;BA92,MATCH(AY94,$A89,1)+1,MATCH(AY94,$A89,1)),IF(MATCH(AY91,$B88:$S88,1)&lt;BA93,MATCH(AY91,$B88:$S88,1)+1,MATCH(AY91,$B88:$S88,1)))</f>
        <v>#N/A</v>
      </c>
    </row>
    <row r="101" spans="1:66" ht="14.25" customHeight="1" x14ac:dyDescent="0.3">
      <c r="B101" s="16" t="s">
        <v>206</v>
      </c>
      <c r="C101" s="141">
        <f ca="1">IFERROR(C97+(C91-C92)*(C98-C97)/(C93-C92),C97)</f>
        <v>7738.4996374306365</v>
      </c>
      <c r="G101" s="2"/>
      <c r="H101" s="2"/>
      <c r="I101" s="2"/>
      <c r="J101" s="16" t="s">
        <v>206</v>
      </c>
      <c r="K101" s="141">
        <f ca="1">IFERROR(K97+(K91-K92)*(K98-K97)/(K93-K92),K97)</f>
        <v>7355.7141374258545</v>
      </c>
      <c r="O101" s="2"/>
      <c r="P101" s="2"/>
      <c r="Q101" s="2"/>
      <c r="R101" s="16" t="s">
        <v>206</v>
      </c>
      <c r="S101" s="141">
        <f ca="1">IFERROR(S97+(S91-S92)*(S98-S97)/(S93-S92),S97)</f>
        <v>6764.4507921095746</v>
      </c>
      <c r="W101" s="2"/>
      <c r="X101" s="2"/>
      <c r="Y101" s="2"/>
      <c r="Z101" s="16" t="s">
        <v>206</v>
      </c>
      <c r="AA101" s="141">
        <f ca="1">IFERROR(AA97+(AA91-AA92)*(AA98-AA97)/(AA93-AA92),AA97)</f>
        <v>6243.0472176100566</v>
      </c>
      <c r="AE101" s="2"/>
      <c r="AF101" s="2"/>
      <c r="AG101" s="2"/>
      <c r="AH101" s="16" t="s">
        <v>206</v>
      </c>
      <c r="AI101" s="141">
        <f ca="1">IFERROR(AI97+(AI91-AI92)*(AI98-AI97)/(AI93-AI92),AI97)</f>
        <v>5765.9371654060442</v>
      </c>
      <c r="AM101" s="2"/>
      <c r="AN101" s="2"/>
      <c r="AO101" s="2"/>
      <c r="AP101" s="16" t="s">
        <v>206</v>
      </c>
      <c r="AQ101" s="141">
        <f ca="1">IFERROR(AQ97+(AQ91-AQ92)*(AQ98-AQ97)/(AQ93-AQ92),AQ97)</f>
        <v>5665.1547064007336</v>
      </c>
      <c r="AU101" s="2"/>
      <c r="AV101" s="2"/>
      <c r="AW101" s="2"/>
      <c r="AX101" s="16" t="s">
        <v>206</v>
      </c>
      <c r="AY101" s="141" t="e">
        <f ca="1">IFERROR(AY97+(AY91-AY92)*(AY98-AY97)/(AY93-AY92),AY97)</f>
        <v>#N/A</v>
      </c>
    </row>
    <row r="102" spans="1:66" ht="14.25" customHeight="1" x14ac:dyDescent="0.3">
      <c r="B102" s="16" t="s">
        <v>207</v>
      </c>
      <c r="C102" s="141">
        <f ca="1">IFERROR(C99+(C91-C92)*(C100-C99)/(C93-C92),C99)</f>
        <v>7738.4996374306365</v>
      </c>
      <c r="G102" s="2"/>
      <c r="H102" s="2"/>
      <c r="I102" s="2"/>
      <c r="J102" s="16" t="s">
        <v>207</v>
      </c>
      <c r="K102" s="141">
        <f ca="1">IFERROR(K99+(K91-K92)*(K100-K99)/(K93-K92),K99)</f>
        <v>7355.7141374258545</v>
      </c>
      <c r="O102" s="2"/>
      <c r="P102" s="2"/>
      <c r="Q102" s="2"/>
      <c r="R102" s="16" t="s">
        <v>207</v>
      </c>
      <c r="S102" s="141">
        <f ca="1">IFERROR(S99+(S91-S92)*(S100-S99)/(S93-S92),S99)</f>
        <v>6764.4507921095746</v>
      </c>
      <c r="W102" s="2"/>
      <c r="X102" s="2"/>
      <c r="Y102" s="2"/>
      <c r="Z102" s="16" t="s">
        <v>207</v>
      </c>
      <c r="AA102" s="141">
        <f ca="1">IFERROR(AA99+(AA91-AA92)*(AA100-AA99)/(AA93-AA92),AA99)</f>
        <v>6243.0472176100566</v>
      </c>
      <c r="AE102" s="2"/>
      <c r="AF102" s="2"/>
      <c r="AG102" s="2"/>
      <c r="AH102" s="16" t="s">
        <v>207</v>
      </c>
      <c r="AI102" s="141">
        <f ca="1">IFERROR(AI99+(AI91-AI92)*(AI100-AI99)/(AI93-AI92),AI99)</f>
        <v>5765.9371654060442</v>
      </c>
      <c r="AM102" s="2"/>
      <c r="AN102" s="2"/>
      <c r="AO102" s="2"/>
      <c r="AP102" s="16" t="s">
        <v>207</v>
      </c>
      <c r="AQ102" s="141">
        <f ca="1">IFERROR(AQ99+(AQ91-AQ92)*(AQ100-AQ99)/(AQ93-AQ92),AQ99)</f>
        <v>5665.1547064007336</v>
      </c>
      <c r="AU102" s="2"/>
      <c r="AV102" s="2"/>
      <c r="AW102" s="2"/>
      <c r="AX102" s="16" t="s">
        <v>207</v>
      </c>
      <c r="AY102" s="141" t="e">
        <f ca="1">IFERROR(AY99+(AY91-AY92)*(AY100-AY99)/(AY93-AY92),AY99)</f>
        <v>#N/A</v>
      </c>
    </row>
    <row r="103" spans="1:66" ht="14.25" customHeight="1" x14ac:dyDescent="0.3">
      <c r="B103" s="139" t="s">
        <v>208</v>
      </c>
      <c r="C103" s="140">
        <f ca="1">IFERROR(C101+(C94-C95)*(C102-C101)/(C96-C95),C101)</f>
        <v>7738.4996374306365</v>
      </c>
      <c r="G103" s="2"/>
      <c r="H103" s="2"/>
      <c r="I103" s="2"/>
      <c r="J103" s="139" t="s">
        <v>208</v>
      </c>
      <c r="K103" s="140">
        <f ca="1">IFERROR(K101+(K94-K95)*(K102-K101)/(K96-K95),K101)</f>
        <v>7355.7141374258545</v>
      </c>
      <c r="O103" s="2"/>
      <c r="P103" s="2"/>
      <c r="Q103" s="2"/>
      <c r="R103" s="139" t="s">
        <v>208</v>
      </c>
      <c r="S103" s="140">
        <f ca="1">IFERROR(S101+(S94-S95)*(S102-S101)/(S96-S95),S101)</f>
        <v>6764.4507921095746</v>
      </c>
      <c r="W103" s="2"/>
      <c r="X103" s="2"/>
      <c r="Y103" s="2"/>
      <c r="Z103" s="139" t="s">
        <v>208</v>
      </c>
      <c r="AA103" s="140">
        <f ca="1">IFERROR(AA101+(AA94-AA95)*(AA102-AA101)/(AA96-AA95),AA101)</f>
        <v>6243.0472176100566</v>
      </c>
      <c r="AE103" s="2"/>
      <c r="AF103" s="2"/>
      <c r="AG103" s="2"/>
      <c r="AH103" s="139" t="s">
        <v>208</v>
      </c>
      <c r="AI103" s="140">
        <f ca="1">IFERROR(AI101+(AI94-AI95)*(AI102-AI101)/(AI96-AI95),AI101)</f>
        <v>5765.9371654060442</v>
      </c>
      <c r="AM103" s="2"/>
      <c r="AN103" s="2"/>
      <c r="AO103" s="2"/>
      <c r="AP103" s="139" t="s">
        <v>208</v>
      </c>
      <c r="AQ103" s="140">
        <f ca="1">IFERROR(AQ101+(AQ94-AQ95)*(AQ102-AQ101)/(AQ96-AQ95),AQ101)</f>
        <v>5665.1547064007336</v>
      </c>
      <c r="AU103" s="2"/>
      <c r="AV103" s="2"/>
      <c r="AW103" s="2"/>
      <c r="AX103" s="139" t="s">
        <v>208</v>
      </c>
      <c r="AY103" s="140" t="e">
        <f ca="1">IFERROR(AY101+(AY94-AY95)*(AY102-AY101)/(AY96-AY95),AY101)</f>
        <v>#N/A</v>
      </c>
    </row>
    <row r="104" spans="1:66" ht="14.25" customHeight="1" x14ac:dyDescent="0.3">
      <c r="B104" s="139"/>
      <c r="C104" s="140"/>
      <c r="G104" s="2"/>
      <c r="H104" s="2"/>
      <c r="I104" s="2"/>
      <c r="J104" s="139"/>
      <c r="K104" s="140"/>
      <c r="O104" s="2"/>
      <c r="P104" s="2"/>
      <c r="Q104" s="2"/>
      <c r="R104" s="139"/>
      <c r="S104" s="140"/>
      <c r="W104" s="2"/>
      <c r="X104" s="2"/>
      <c r="Y104" s="2"/>
      <c r="Z104" s="139"/>
      <c r="AA104" s="140"/>
      <c r="AE104" s="2"/>
      <c r="AF104" s="2"/>
      <c r="AG104" s="2"/>
      <c r="AH104" s="139"/>
      <c r="AI104" s="140"/>
      <c r="AM104" s="2"/>
      <c r="AN104" s="2"/>
      <c r="AO104" s="2"/>
      <c r="AP104" s="139"/>
      <c r="AQ104" s="140"/>
      <c r="AU104" s="2"/>
      <c r="AV104" s="2"/>
      <c r="AW104" s="2"/>
      <c r="AX104" s="139"/>
      <c r="AY104" s="140"/>
    </row>
    <row r="105" spans="1:66" ht="14.25" customHeight="1" x14ac:dyDescent="0.3">
      <c r="A105" t="s">
        <v>225</v>
      </c>
      <c r="B105" s="357" t="s">
        <v>222</v>
      </c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W105" s="2"/>
      <c r="X105" s="2"/>
      <c r="Y105" s="2"/>
      <c r="Z105" s="139"/>
      <c r="AA105" s="140"/>
      <c r="AE105" s="2"/>
      <c r="AF105" s="2"/>
      <c r="AG105" s="2"/>
      <c r="AH105" s="139"/>
      <c r="AI105" s="140"/>
      <c r="AM105" s="2"/>
      <c r="AN105" s="2"/>
      <c r="AO105" s="2"/>
      <c r="AP105" s="139"/>
      <c r="AQ105" s="140"/>
      <c r="AU105" s="2"/>
      <c r="AV105" s="2"/>
      <c r="AW105" s="2"/>
      <c r="AX105" s="139"/>
      <c r="AY105" s="140"/>
    </row>
    <row r="106" spans="1:66" ht="14.25" customHeight="1" x14ac:dyDescent="0.3">
      <c r="A106" t="s">
        <v>47</v>
      </c>
      <c r="B106" s="229">
        <v>3500</v>
      </c>
      <c r="C106" s="229">
        <v>4000</v>
      </c>
      <c r="D106" s="232">
        <v>4500</v>
      </c>
      <c r="E106" s="232">
        <v>5000</v>
      </c>
      <c r="F106" s="232">
        <v>5500</v>
      </c>
      <c r="G106" s="232">
        <v>6000</v>
      </c>
      <c r="H106" s="232">
        <v>6500</v>
      </c>
      <c r="I106" s="230">
        <v>7000</v>
      </c>
      <c r="J106" s="55">
        <v>7500</v>
      </c>
      <c r="K106" s="55">
        <v>8000</v>
      </c>
      <c r="L106" s="55">
        <v>8500</v>
      </c>
      <c r="M106" s="259">
        <v>9000</v>
      </c>
      <c r="N106" s="259">
        <v>9500</v>
      </c>
      <c r="O106" s="55">
        <v>10000</v>
      </c>
      <c r="P106" s="55">
        <v>10500</v>
      </c>
      <c r="Q106" s="259">
        <v>11000</v>
      </c>
      <c r="R106" s="259">
        <v>11500</v>
      </c>
      <c r="S106" s="259">
        <v>12000</v>
      </c>
      <c r="T106" s="231">
        <v>13000</v>
      </c>
      <c r="U106" s="236"/>
      <c r="V106" s="140"/>
      <c r="X106" s="139"/>
      <c r="Y106" s="140"/>
      <c r="AC106" s="2"/>
      <c r="AD106" s="2"/>
      <c r="AE106" s="2"/>
      <c r="AH106" s="2"/>
      <c r="AI106" s="2"/>
      <c r="AJ106" s="2"/>
      <c r="AK106" s="139"/>
      <c r="AL106" s="140"/>
      <c r="AP106" s="2"/>
      <c r="AQ106" s="2"/>
      <c r="AR106" s="2"/>
      <c r="AS106" s="139"/>
      <c r="AT106" s="140"/>
      <c r="AX106" s="2"/>
      <c r="AY106" s="2"/>
      <c r="AZ106" s="2"/>
      <c r="BA106" s="139"/>
      <c r="BB106" s="140"/>
      <c r="BF106" s="2"/>
      <c r="BG106" s="2"/>
      <c r="BH106" s="2"/>
      <c r="BI106" s="139"/>
      <c r="BJ106" s="140"/>
      <c r="BK106" s="2"/>
      <c r="BL106" s="2"/>
      <c r="BM106" s="139"/>
      <c r="BN106" s="140"/>
    </row>
    <row r="107" spans="1:66" ht="14.25" customHeight="1" x14ac:dyDescent="0.3">
      <c r="A107">
        <v>0</v>
      </c>
      <c r="B107" s="229">
        <v>3500</v>
      </c>
      <c r="C107" s="232">
        <v>4000</v>
      </c>
      <c r="D107" s="232">
        <v>4500</v>
      </c>
      <c r="E107" s="232">
        <v>5000</v>
      </c>
      <c r="F107" s="232">
        <v>5500</v>
      </c>
      <c r="G107" s="232">
        <v>6000</v>
      </c>
      <c r="H107" s="232">
        <v>6500</v>
      </c>
      <c r="I107" s="232">
        <v>7000</v>
      </c>
      <c r="J107" s="232">
        <v>7500</v>
      </c>
      <c r="K107" s="232">
        <v>8000</v>
      </c>
      <c r="L107" s="232">
        <v>8500</v>
      </c>
      <c r="M107" s="232">
        <v>9000</v>
      </c>
      <c r="N107" s="232">
        <v>9500</v>
      </c>
      <c r="O107" s="232">
        <v>10000</v>
      </c>
      <c r="P107" s="232">
        <v>10500</v>
      </c>
      <c r="Q107" s="232">
        <v>11000</v>
      </c>
      <c r="R107" s="232">
        <v>11500</v>
      </c>
      <c r="S107" s="232">
        <v>12000</v>
      </c>
      <c r="T107" s="237">
        <v>99999</v>
      </c>
      <c r="U107" s="236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2"/>
      <c r="AH107" s="2"/>
      <c r="AI107" s="2"/>
      <c r="AJ107" s="2"/>
      <c r="AK107" s="139"/>
      <c r="AL107" s="140"/>
      <c r="AP107" s="2"/>
      <c r="AQ107" s="2"/>
      <c r="AR107" s="2"/>
      <c r="AS107" s="139"/>
      <c r="AT107" s="140"/>
      <c r="AX107" s="2"/>
      <c r="AY107" s="2"/>
      <c r="AZ107" s="2"/>
      <c r="BA107" s="139"/>
      <c r="BB107" s="140"/>
      <c r="BF107" s="2"/>
      <c r="BG107" s="2"/>
      <c r="BH107" s="2"/>
      <c r="BI107" s="139"/>
      <c r="BJ107" s="140"/>
      <c r="BK107" s="2"/>
      <c r="BL107" s="2"/>
      <c r="BM107" s="139"/>
      <c r="BN107" s="140"/>
    </row>
    <row r="108" spans="1:66" ht="14.25" customHeight="1" x14ac:dyDescent="0.3">
      <c r="A108">
        <f>25.4*0.25</f>
        <v>6.35</v>
      </c>
      <c r="B108" s="233">
        <v>3510</v>
      </c>
      <c r="C108" s="72">
        <v>4025</v>
      </c>
      <c r="D108" s="72">
        <v>4550</v>
      </c>
      <c r="E108" s="72">
        <v>5080</v>
      </c>
      <c r="F108" s="72">
        <v>5590</v>
      </c>
      <c r="G108" s="72">
        <v>6090</v>
      </c>
      <c r="H108" s="72">
        <v>6600</v>
      </c>
      <c r="I108" s="72">
        <v>7100</v>
      </c>
      <c r="J108" s="72">
        <v>7600</v>
      </c>
      <c r="K108" s="72">
        <v>8100</v>
      </c>
      <c r="L108" s="72">
        <v>8600</v>
      </c>
      <c r="M108" s="72">
        <v>9100</v>
      </c>
      <c r="N108" s="72">
        <v>9700</v>
      </c>
      <c r="O108" s="72">
        <v>10200</v>
      </c>
      <c r="P108" s="72">
        <v>10750</v>
      </c>
      <c r="Q108" s="72">
        <v>99999</v>
      </c>
      <c r="R108" s="72">
        <v>99999</v>
      </c>
      <c r="S108" s="72">
        <v>99999</v>
      </c>
      <c r="T108" s="262">
        <v>99999</v>
      </c>
      <c r="U108" s="236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2"/>
      <c r="AH108" s="2"/>
      <c r="AI108" s="2"/>
      <c r="AJ108" s="2"/>
      <c r="AK108" s="139"/>
      <c r="AL108" s="140"/>
      <c r="AP108" s="2"/>
      <c r="AQ108" s="2"/>
      <c r="AR108" s="2"/>
      <c r="AS108" s="139"/>
      <c r="AT108" s="140"/>
      <c r="AX108" s="2"/>
      <c r="AY108" s="2"/>
      <c r="AZ108" s="2"/>
      <c r="BA108" s="139"/>
      <c r="BB108" s="140"/>
      <c r="BF108" s="2"/>
      <c r="BG108" s="2"/>
      <c r="BH108" s="2"/>
      <c r="BI108" s="139"/>
      <c r="BJ108" s="140"/>
      <c r="BK108" s="2"/>
      <c r="BL108" s="2"/>
      <c r="BM108" s="139"/>
      <c r="BN108" s="140"/>
    </row>
    <row r="109" spans="1:66" ht="14.25" customHeight="1" x14ac:dyDescent="0.3">
      <c r="A109">
        <f>25.4*0.5</f>
        <v>12.7</v>
      </c>
      <c r="B109" s="233">
        <v>3550</v>
      </c>
      <c r="C109" s="72">
        <v>4070</v>
      </c>
      <c r="D109" s="72">
        <v>4600</v>
      </c>
      <c r="E109" s="72">
        <v>5100</v>
      </c>
      <c r="F109" s="72">
        <v>5650</v>
      </c>
      <c r="G109" s="72">
        <v>6200</v>
      </c>
      <c r="H109" s="72">
        <v>6700</v>
      </c>
      <c r="I109" s="72">
        <v>7250</v>
      </c>
      <c r="J109" s="72">
        <v>7750</v>
      </c>
      <c r="K109" s="72">
        <v>8270</v>
      </c>
      <c r="L109" s="72">
        <v>8750</v>
      </c>
      <c r="M109" s="72">
        <v>99999</v>
      </c>
      <c r="N109" s="72">
        <v>99999</v>
      </c>
      <c r="O109" s="72">
        <v>99999</v>
      </c>
      <c r="P109" s="72">
        <v>99999</v>
      </c>
      <c r="Q109" s="72">
        <v>99999</v>
      </c>
      <c r="R109" s="72">
        <v>99999</v>
      </c>
      <c r="S109" s="72">
        <v>99999</v>
      </c>
      <c r="T109" s="262">
        <v>99999</v>
      </c>
      <c r="U109" s="236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2"/>
      <c r="AH109" s="2"/>
      <c r="AI109" s="2"/>
      <c r="AJ109" s="2"/>
      <c r="AK109" s="139"/>
      <c r="AL109" s="140"/>
      <c r="AP109" s="2"/>
      <c r="AQ109" s="2"/>
      <c r="AR109" s="2"/>
      <c r="AS109" s="139"/>
      <c r="AT109" s="140"/>
      <c r="AX109" s="2"/>
      <c r="AY109" s="2"/>
      <c r="AZ109" s="2"/>
      <c r="BA109" s="139"/>
      <c r="BB109" s="140"/>
      <c r="BF109" s="2"/>
      <c r="BG109" s="2"/>
      <c r="BH109" s="2"/>
      <c r="BI109" s="139"/>
      <c r="BJ109" s="140"/>
      <c r="BK109" s="2"/>
      <c r="BL109" s="2"/>
      <c r="BM109" s="139"/>
      <c r="BN109" s="140"/>
    </row>
    <row r="110" spans="1:66" ht="14.25" customHeight="1" x14ac:dyDescent="0.3">
      <c r="A110">
        <f>25.4*0.75</f>
        <v>19.049999999999997</v>
      </c>
      <c r="B110" s="233">
        <v>3560</v>
      </c>
      <c r="C110" s="72">
        <v>4100</v>
      </c>
      <c r="D110" s="72">
        <v>4600</v>
      </c>
      <c r="E110" s="72">
        <v>5150</v>
      </c>
      <c r="F110" s="72">
        <v>5700</v>
      </c>
      <c r="G110" s="72">
        <v>6200</v>
      </c>
      <c r="H110" s="72">
        <v>6750</v>
      </c>
      <c r="I110" s="72">
        <v>7200</v>
      </c>
      <c r="J110" s="72">
        <v>99999</v>
      </c>
      <c r="K110" s="72">
        <v>99999</v>
      </c>
      <c r="L110" s="72">
        <v>99999</v>
      </c>
      <c r="M110" s="72">
        <v>99999</v>
      </c>
      <c r="N110" s="72">
        <v>99999</v>
      </c>
      <c r="O110" s="72">
        <v>99999</v>
      </c>
      <c r="P110" s="72">
        <v>99999</v>
      </c>
      <c r="Q110" s="72">
        <v>99999</v>
      </c>
      <c r="R110" s="72">
        <v>99999</v>
      </c>
      <c r="S110" s="72">
        <v>99999</v>
      </c>
      <c r="T110" s="262">
        <v>99999</v>
      </c>
      <c r="U110" s="236"/>
      <c r="V110" s="140"/>
      <c r="X110" s="139"/>
      <c r="Y110" s="140"/>
      <c r="AC110" s="2"/>
      <c r="AD110" s="2"/>
      <c r="AE110" s="2"/>
      <c r="AH110" s="2"/>
      <c r="AI110" s="2"/>
      <c r="AJ110" s="2"/>
      <c r="AK110" s="139"/>
      <c r="AL110" s="140"/>
      <c r="AP110" s="2"/>
      <c r="AQ110" s="2"/>
      <c r="AR110" s="2"/>
      <c r="AS110" s="139"/>
      <c r="AT110" s="140"/>
      <c r="AX110" s="2"/>
      <c r="AY110" s="2"/>
      <c r="AZ110" s="2"/>
      <c r="BA110" s="139"/>
      <c r="BB110" s="140"/>
      <c r="BF110" s="2"/>
      <c r="BG110" s="2"/>
      <c r="BH110" s="2"/>
      <c r="BI110" s="139"/>
      <c r="BJ110" s="140"/>
      <c r="BK110" s="2"/>
      <c r="BL110" s="2"/>
      <c r="BM110" s="139"/>
      <c r="BN110" s="140"/>
    </row>
    <row r="111" spans="1:66" ht="14.25" customHeight="1" x14ac:dyDescent="0.3">
      <c r="A111">
        <f>25.4*1</f>
        <v>25.4</v>
      </c>
      <c r="B111" s="233">
        <v>3575</v>
      </c>
      <c r="C111" s="72">
        <v>4110</v>
      </c>
      <c r="D111" s="72">
        <v>4650</v>
      </c>
      <c r="E111" s="72">
        <v>5200</v>
      </c>
      <c r="F111" s="72">
        <v>99999</v>
      </c>
      <c r="G111" s="72">
        <v>99999</v>
      </c>
      <c r="H111" s="72">
        <v>99999</v>
      </c>
      <c r="I111" s="72">
        <v>99999</v>
      </c>
      <c r="J111" s="72">
        <v>99999</v>
      </c>
      <c r="K111" s="72">
        <v>99999</v>
      </c>
      <c r="L111" s="72">
        <v>99999</v>
      </c>
      <c r="M111" s="72">
        <v>99999</v>
      </c>
      <c r="N111" s="72">
        <v>99999</v>
      </c>
      <c r="O111" s="72">
        <v>99999</v>
      </c>
      <c r="P111" s="72">
        <v>99999</v>
      </c>
      <c r="Q111" s="72">
        <v>99999</v>
      </c>
      <c r="R111" s="72">
        <v>99999</v>
      </c>
      <c r="S111" s="72">
        <v>99999</v>
      </c>
      <c r="T111" s="262">
        <v>99999</v>
      </c>
      <c r="U111" s="236"/>
      <c r="V111" s="140"/>
      <c r="X111" s="139"/>
      <c r="Y111" s="140"/>
      <c r="AC111" s="2"/>
      <c r="AD111" s="2"/>
      <c r="AE111" s="2"/>
      <c r="AH111" s="2"/>
      <c r="AI111" s="2"/>
      <c r="AJ111" s="2"/>
      <c r="AK111" s="139"/>
      <c r="AL111" s="140"/>
      <c r="AP111" s="2"/>
      <c r="AQ111" s="2"/>
      <c r="AR111" s="2"/>
      <c r="AS111" s="139"/>
      <c r="AT111" s="140"/>
      <c r="AX111" s="2"/>
      <c r="AY111" s="2"/>
      <c r="AZ111" s="2"/>
      <c r="BA111" s="139"/>
      <c r="BB111" s="140"/>
      <c r="BF111" s="2"/>
      <c r="BG111" s="2"/>
      <c r="BH111" s="2"/>
      <c r="BI111" s="139"/>
      <c r="BJ111" s="140"/>
      <c r="BK111" s="2"/>
      <c r="BL111" s="2"/>
      <c r="BM111" s="139"/>
      <c r="BN111" s="140"/>
    </row>
    <row r="112" spans="1:66" ht="14.25" customHeight="1" x14ac:dyDescent="0.3">
      <c r="A112">
        <f>25.4*1.25</f>
        <v>31.75</v>
      </c>
      <c r="B112" s="233">
        <v>3600</v>
      </c>
      <c r="C112" s="72">
        <v>99999</v>
      </c>
      <c r="D112" s="72">
        <v>99999</v>
      </c>
      <c r="E112" s="72">
        <v>99999</v>
      </c>
      <c r="F112" s="72">
        <v>99999</v>
      </c>
      <c r="G112" s="72">
        <v>99999</v>
      </c>
      <c r="H112" s="72">
        <v>99999</v>
      </c>
      <c r="I112" s="72">
        <v>99999</v>
      </c>
      <c r="J112" s="72">
        <v>99999</v>
      </c>
      <c r="K112" s="72">
        <v>99999</v>
      </c>
      <c r="L112" s="72">
        <v>99999</v>
      </c>
      <c r="M112" s="72">
        <v>99999</v>
      </c>
      <c r="N112" s="72">
        <v>99999</v>
      </c>
      <c r="O112" s="72">
        <v>99999</v>
      </c>
      <c r="P112" s="72">
        <v>99999</v>
      </c>
      <c r="Q112" s="72">
        <v>99999</v>
      </c>
      <c r="R112" s="72">
        <v>99999</v>
      </c>
      <c r="S112" s="72">
        <v>99999</v>
      </c>
      <c r="T112" s="262">
        <v>99999</v>
      </c>
      <c r="U112" s="236"/>
      <c r="V112" s="140"/>
      <c r="X112" s="139"/>
      <c r="Y112" s="140"/>
      <c r="AC112" s="2"/>
      <c r="AD112" s="2"/>
      <c r="AE112" s="2"/>
      <c r="AH112" s="2"/>
      <c r="AI112" s="2"/>
      <c r="AJ112" s="2"/>
      <c r="AK112" s="139"/>
      <c r="AL112" s="140"/>
      <c r="AP112" s="2"/>
      <c r="AQ112" s="2"/>
      <c r="AR112" s="2"/>
      <c r="AS112" s="139"/>
      <c r="AT112" s="140"/>
      <c r="AX112" s="2"/>
      <c r="AY112" s="2"/>
      <c r="AZ112" s="2"/>
      <c r="BA112" s="139"/>
      <c r="BB112" s="140"/>
      <c r="BF112" s="2"/>
      <c r="BG112" s="2"/>
      <c r="BH112" s="2"/>
      <c r="BI112" s="139"/>
      <c r="BJ112" s="140"/>
      <c r="BK112" s="2"/>
      <c r="BL112" s="2"/>
      <c r="BM112" s="139"/>
      <c r="BN112" s="140"/>
    </row>
    <row r="113" spans="1:66" ht="14.25" customHeight="1" x14ac:dyDescent="0.3">
      <c r="A113">
        <v>32</v>
      </c>
      <c r="B113" s="234">
        <v>99999</v>
      </c>
      <c r="C113" s="238">
        <v>99999</v>
      </c>
      <c r="D113" s="238">
        <v>99999</v>
      </c>
      <c r="E113" s="238">
        <v>99999</v>
      </c>
      <c r="F113" s="238">
        <v>99999</v>
      </c>
      <c r="G113" s="238">
        <v>99999</v>
      </c>
      <c r="H113" s="238">
        <v>99999</v>
      </c>
      <c r="I113" s="238">
        <v>99999</v>
      </c>
      <c r="J113" s="238">
        <v>99999</v>
      </c>
      <c r="K113" s="238">
        <v>99999</v>
      </c>
      <c r="L113" s="238">
        <v>99999</v>
      </c>
      <c r="M113" s="238">
        <v>99999</v>
      </c>
      <c r="N113" s="238">
        <v>99999</v>
      </c>
      <c r="O113" s="238">
        <v>99999</v>
      </c>
      <c r="P113" s="238">
        <v>99999</v>
      </c>
      <c r="Q113" s="238">
        <v>99999</v>
      </c>
      <c r="R113" s="238">
        <v>99999</v>
      </c>
      <c r="S113" s="238">
        <v>99999</v>
      </c>
      <c r="T113" s="239">
        <v>99999</v>
      </c>
      <c r="U113" s="236"/>
      <c r="V113" s="140"/>
      <c r="X113" s="139"/>
      <c r="Y113" s="140"/>
      <c r="AC113" s="2"/>
      <c r="AD113" s="2"/>
      <c r="AE113" s="2"/>
      <c r="AH113" s="2"/>
      <c r="AI113" s="2"/>
      <c r="AJ113" s="2"/>
      <c r="AK113" s="139"/>
      <c r="AL113" s="140"/>
      <c r="AP113" s="2"/>
      <c r="AQ113" s="2"/>
      <c r="AR113" s="2"/>
      <c r="AS113" s="139"/>
      <c r="AT113" s="140"/>
      <c r="AX113" s="2"/>
      <c r="AY113" s="2"/>
      <c r="AZ113" s="2"/>
      <c r="BA113" s="139"/>
      <c r="BB113" s="140"/>
      <c r="BF113" s="2"/>
      <c r="BG113" s="2"/>
      <c r="BH113" s="2"/>
      <c r="BI113" s="139"/>
      <c r="BJ113" s="140"/>
      <c r="BK113" s="2"/>
      <c r="BL113" s="2"/>
      <c r="BM113" s="139"/>
      <c r="BN113" s="140"/>
    </row>
    <row r="114" spans="1:66" ht="14.25" customHeight="1" x14ac:dyDescent="0.3">
      <c r="B114" s="139"/>
      <c r="C114" s="140"/>
      <c r="G114" s="2"/>
      <c r="H114" s="2"/>
      <c r="I114" s="2"/>
      <c r="J114" s="139"/>
      <c r="K114" s="140"/>
      <c r="O114" s="53"/>
      <c r="P114" s="2"/>
      <c r="Q114" s="2"/>
      <c r="R114" s="139"/>
      <c r="S114" s="140"/>
      <c r="W114" s="2"/>
      <c r="X114" s="2"/>
      <c r="Y114" s="2"/>
      <c r="Z114" s="139"/>
      <c r="AA114" s="140"/>
      <c r="AE114" s="2"/>
      <c r="AF114" s="2"/>
      <c r="AG114" s="2"/>
      <c r="AH114" s="139"/>
      <c r="AI114" s="140"/>
      <c r="AM114" s="2"/>
      <c r="AN114" s="2"/>
      <c r="AO114" s="2"/>
      <c r="AP114" s="139"/>
      <c r="AQ114" s="140"/>
      <c r="AU114" s="2"/>
      <c r="AV114" s="2"/>
      <c r="AW114" s="2"/>
      <c r="AX114" s="139"/>
      <c r="AY114" s="140"/>
      <c r="BF114" s="2"/>
      <c r="BG114" s="2"/>
      <c r="BH114" s="139"/>
      <c r="BI114" s="140"/>
    </row>
    <row r="115" spans="1:66" ht="14.25" customHeight="1" x14ac:dyDescent="0.3">
      <c r="B115" s="139" t="s">
        <v>146</v>
      </c>
      <c r="C115" s="140">
        <f ca="1">C103</f>
        <v>7738.4996374306365</v>
      </c>
      <c r="D115" s="355" t="s">
        <v>201</v>
      </c>
      <c r="E115" s="355"/>
      <c r="G115" s="2"/>
      <c r="H115" s="2"/>
      <c r="I115" s="2"/>
      <c r="J115" s="139" t="s">
        <v>146</v>
      </c>
      <c r="K115" s="140">
        <f ca="1">K103</f>
        <v>7355.7141374258545</v>
      </c>
      <c r="L115" s="355" t="s">
        <v>201</v>
      </c>
      <c r="M115" s="355"/>
      <c r="O115" s="53"/>
      <c r="P115" s="2"/>
      <c r="Q115" s="2"/>
      <c r="R115" s="139" t="s">
        <v>146</v>
      </c>
      <c r="S115" s="140">
        <f ca="1">S103</f>
        <v>6764.4507921095746</v>
      </c>
      <c r="T115" s="355" t="s">
        <v>201</v>
      </c>
      <c r="U115" s="355"/>
      <c r="W115" s="2"/>
      <c r="X115" s="2"/>
      <c r="Y115" s="2"/>
      <c r="Z115" s="139" t="s">
        <v>146</v>
      </c>
      <c r="AA115" s="140">
        <f ca="1">AA103</f>
        <v>6243.0472176100566</v>
      </c>
      <c r="AB115" s="355" t="s">
        <v>201</v>
      </c>
      <c r="AC115" s="355"/>
      <c r="AE115" s="2"/>
      <c r="AF115" s="2"/>
      <c r="AG115" s="2"/>
      <c r="AH115" s="139" t="s">
        <v>146</v>
      </c>
      <c r="AI115" s="140">
        <f ca="1">AI103</f>
        <v>5765.9371654060442</v>
      </c>
      <c r="AJ115" s="355" t="s">
        <v>201</v>
      </c>
      <c r="AK115" s="355"/>
      <c r="AM115" s="2"/>
      <c r="AN115" s="2"/>
      <c r="AO115" s="2"/>
      <c r="AP115" s="139" t="s">
        <v>146</v>
      </c>
      <c r="AQ115" s="140">
        <f ca="1">AQ103</f>
        <v>5665.1547064007336</v>
      </c>
      <c r="AR115" s="355" t="s">
        <v>201</v>
      </c>
      <c r="AS115" s="355"/>
      <c r="AU115" s="2"/>
      <c r="AV115" s="2"/>
      <c r="AW115" s="2"/>
      <c r="AX115" s="139" t="s">
        <v>146</v>
      </c>
      <c r="AY115" s="140" t="e">
        <f ca="1">AY103</f>
        <v>#N/A</v>
      </c>
      <c r="AZ115" s="355" t="s">
        <v>201</v>
      </c>
      <c r="BA115" s="355"/>
    </row>
    <row r="116" spans="1:66" ht="14.25" customHeight="1" x14ac:dyDescent="0.3">
      <c r="B116" s="16" t="s">
        <v>202</v>
      </c>
      <c r="C116" s="141">
        <f t="array" aca="1" ref="C116" ca="1">INDEX($B106:$T106,MATCH(C115,$B106:$T106,1))</f>
        <v>7500</v>
      </c>
      <c r="D116" s="16" t="s">
        <v>144</v>
      </c>
      <c r="E116" s="17">
        <f>MATCH(MAX($A107:$A113),$A107:$A113,1)</f>
        <v>7</v>
      </c>
      <c r="G116" s="2"/>
      <c r="H116" s="2"/>
      <c r="I116" s="2"/>
      <c r="J116" s="16" t="s">
        <v>202</v>
      </c>
      <c r="K116" s="141">
        <f t="array" aca="1" ref="K116" ca="1">INDEX($B106:$T106,MATCH(K115,$B106:$T106,1))</f>
        <v>7000</v>
      </c>
      <c r="L116" s="16" t="s">
        <v>144</v>
      </c>
      <c r="M116" s="17">
        <f>MATCH(MAX($A107:$A113),$A107:$A113,1)</f>
        <v>7</v>
      </c>
      <c r="O116" s="53"/>
      <c r="P116" s="2"/>
      <c r="Q116" s="2"/>
      <c r="R116" s="16" t="s">
        <v>202</v>
      </c>
      <c r="S116" s="141">
        <f t="array" aca="1" ref="S116" ca="1">INDEX($B106:$T106,MATCH(S115,$B106:$T106,1))</f>
        <v>6500</v>
      </c>
      <c r="T116" s="16" t="s">
        <v>144</v>
      </c>
      <c r="U116" s="17">
        <f>MATCH(MAX($A107:$A113),$A107:$A113,1)</f>
        <v>7</v>
      </c>
      <c r="W116" s="2"/>
      <c r="X116" s="2"/>
      <c r="Y116" s="2"/>
      <c r="Z116" s="16" t="s">
        <v>202</v>
      </c>
      <c r="AA116" s="141">
        <f t="array" aca="1" ref="AA116" ca="1">INDEX($B106:$T106,MATCH(AA115,$B106:$T106,1))</f>
        <v>6000</v>
      </c>
      <c r="AB116" s="16" t="s">
        <v>144</v>
      </c>
      <c r="AC116" s="17">
        <f>MATCH(MAX($A107:$A113),$A107:$A113,1)</f>
        <v>7</v>
      </c>
      <c r="AE116" s="2"/>
      <c r="AF116" s="2"/>
      <c r="AG116" s="2"/>
      <c r="AH116" s="16" t="s">
        <v>202</v>
      </c>
      <c r="AI116" s="141">
        <f t="array" aca="1" ref="AI116" ca="1">INDEX($B106:$T106,MATCH(AI115,$B106:$T106,1))</f>
        <v>5500</v>
      </c>
      <c r="AJ116" s="16" t="s">
        <v>144</v>
      </c>
      <c r="AK116" s="17">
        <f>MATCH(MAX($A107:$A113),$A107:$A113,1)</f>
        <v>7</v>
      </c>
      <c r="AM116" s="2"/>
      <c r="AN116" s="2"/>
      <c r="AO116" s="2"/>
      <c r="AP116" s="16" t="s">
        <v>202</v>
      </c>
      <c r="AQ116" s="141">
        <f t="array" aca="1" ref="AQ116" ca="1">INDEX($B106:$T106,MATCH(AQ115,$B106:$T106,1))</f>
        <v>5500</v>
      </c>
      <c r="AR116" s="16" t="s">
        <v>144</v>
      </c>
      <c r="AS116" s="17">
        <f>MATCH(MAX($A107:$A113),$A107:$A113,1)</f>
        <v>7</v>
      </c>
      <c r="AU116" s="2"/>
      <c r="AV116" s="2"/>
      <c r="AW116" s="2"/>
      <c r="AX116" s="16" t="s">
        <v>202</v>
      </c>
      <c r="AY116" s="141" t="e">
        <f t="array" aca="1" ref="AY116" ca="1">INDEX($B106:$T106,MATCH(AY115,$B106:$T106,1))</f>
        <v>#N/A</v>
      </c>
      <c r="AZ116" s="16" t="s">
        <v>144</v>
      </c>
      <c r="BA116" s="17">
        <f>MATCH(MAX($A107:$A113),$A107:$A113,1)</f>
        <v>7</v>
      </c>
    </row>
    <row r="117" spans="1:66" ht="14.25" customHeight="1" x14ac:dyDescent="0.3">
      <c r="B117" s="16" t="s">
        <v>203</v>
      </c>
      <c r="C117" s="141">
        <f t="array" aca="1" ref="C117" ca="1">INDEX($B106:$T106,IF(MATCH(C115,$B106:$T106,1)&lt;E117,MATCH(C115,$B106:$T106,1)+1,MATCH(C115,$B106:$T106,1)))</f>
        <v>8000</v>
      </c>
      <c r="D117" s="16" t="s">
        <v>145</v>
      </c>
      <c r="E117" s="17">
        <f>MATCH(MAX($B106:$T106),$B106:$T106,0)</f>
        <v>19</v>
      </c>
      <c r="G117" s="2"/>
      <c r="H117" s="2"/>
      <c r="I117" s="2"/>
      <c r="J117" s="16" t="s">
        <v>203</v>
      </c>
      <c r="K117" s="141">
        <f t="array" aca="1" ref="K117" ca="1">INDEX($B106:$T106,IF(MATCH(K115,$B106:$T106,1)&lt;M117,MATCH(K115,$B106:$T106,1)+1,MATCH(K115,$B106:$T106,1)))</f>
        <v>7500</v>
      </c>
      <c r="L117" s="16" t="s">
        <v>145</v>
      </c>
      <c r="M117" s="17">
        <f>MATCH(MAX($B106:$T106),$B106:$T106,0)</f>
        <v>19</v>
      </c>
      <c r="O117" s="53"/>
      <c r="P117" s="2"/>
      <c r="Q117" s="2"/>
      <c r="R117" s="16" t="s">
        <v>203</v>
      </c>
      <c r="S117" s="141">
        <f t="array" aca="1" ref="S117" ca="1">INDEX($B106:$T106,IF(MATCH(S115,$B106:$T106,1)&lt;U117,MATCH(S115,$B106:$T106,1)+1,MATCH(S115,$B106:$T106,1)))</f>
        <v>7000</v>
      </c>
      <c r="T117" s="16" t="s">
        <v>145</v>
      </c>
      <c r="U117" s="17">
        <f>MATCH(MAX($B106:$T106),$B106:$T106,0)</f>
        <v>19</v>
      </c>
      <c r="W117" s="2"/>
      <c r="X117" s="2"/>
      <c r="Y117" s="2"/>
      <c r="Z117" s="16" t="s">
        <v>203</v>
      </c>
      <c r="AA117" s="141">
        <f t="array" aca="1" ref="AA117" ca="1">INDEX($B106:$T106,IF(MATCH(AA115,$B106:$T106,1)&lt;AC117,MATCH(AA115,$B106:$T106,1)+1,MATCH(AA115,$B106:$T106,1)))</f>
        <v>6500</v>
      </c>
      <c r="AB117" s="16" t="s">
        <v>145</v>
      </c>
      <c r="AC117" s="17">
        <f>MATCH(MAX($B106:$T106),$B106:$T106,0)</f>
        <v>19</v>
      </c>
      <c r="AE117" s="2"/>
      <c r="AF117" s="2"/>
      <c r="AG117" s="2"/>
      <c r="AH117" s="16" t="s">
        <v>203</v>
      </c>
      <c r="AI117" s="141">
        <f t="array" aca="1" ref="AI117" ca="1">INDEX($B106:$T106,IF(MATCH(AI115,$B106:$T106,1)&lt;AK117,MATCH(AI115,$B106:$T106,1)+1,MATCH(AI115,$B106:$T106,1)))</f>
        <v>6000</v>
      </c>
      <c r="AJ117" s="16" t="s">
        <v>145</v>
      </c>
      <c r="AK117" s="17">
        <f>MATCH(MAX($B106:$T106),$B106:$T106,0)</f>
        <v>19</v>
      </c>
      <c r="AM117" s="2"/>
      <c r="AN117" s="2"/>
      <c r="AO117" s="2"/>
      <c r="AP117" s="16" t="s">
        <v>203</v>
      </c>
      <c r="AQ117" s="141">
        <f t="array" aca="1" ref="AQ117" ca="1">INDEX($B106:$T106,IF(MATCH(AQ115,$B106:$T106,1)&lt;AS117,MATCH(AQ115,$B106:$T106,1)+1,MATCH(AQ115,$B106:$T106,1)))</f>
        <v>6000</v>
      </c>
      <c r="AR117" s="16" t="s">
        <v>145</v>
      </c>
      <c r="AS117" s="17">
        <f>MATCH(MAX($B106:$T106),$B106:$T106,0)</f>
        <v>19</v>
      </c>
      <c r="AU117" s="2"/>
      <c r="AV117" s="2"/>
      <c r="AW117" s="2"/>
      <c r="AX117" s="16" t="s">
        <v>203</v>
      </c>
      <c r="AY117" s="141" t="e">
        <f t="array" aca="1" ref="AY117" ca="1">INDEX($B106:$T106,IF(MATCH(AY115,$B106:$T106,1)&lt;BA117,MATCH(AY115,$B106:$T106,1)+1,MATCH(AY115,$B106:$T106,1)))</f>
        <v>#N/A</v>
      </c>
      <c r="AZ117" s="16" t="s">
        <v>145</v>
      </c>
      <c r="BA117" s="17">
        <f>MATCH(MAX($B106:$T106),$B106:$T106,0)</f>
        <v>19</v>
      </c>
    </row>
    <row r="118" spans="1:66" ht="14.25" customHeight="1" x14ac:dyDescent="0.3">
      <c r="B118" s="139" t="s">
        <v>147</v>
      </c>
      <c r="C118" s="186">
        <f>'Take-off'!$C$12</f>
        <v>3</v>
      </c>
      <c r="D118" s="2"/>
      <c r="E118" s="2"/>
      <c r="G118" s="2"/>
      <c r="H118" s="2"/>
      <c r="I118" s="2"/>
      <c r="J118" s="139" t="s">
        <v>147</v>
      </c>
      <c r="K118" s="186">
        <f>'Take-off'!$C$12</f>
        <v>3</v>
      </c>
      <c r="L118" s="2"/>
      <c r="M118" s="2"/>
      <c r="O118" s="53"/>
      <c r="P118" s="2"/>
      <c r="Q118" s="2"/>
      <c r="R118" s="139" t="s">
        <v>147</v>
      </c>
      <c r="S118" s="186">
        <f>'Take-off'!$C$12</f>
        <v>3</v>
      </c>
      <c r="T118" s="2"/>
      <c r="U118" s="2"/>
      <c r="W118" s="2"/>
      <c r="X118" s="2"/>
      <c r="Y118" s="2"/>
      <c r="Z118" s="139" t="s">
        <v>147</v>
      </c>
      <c r="AA118" s="186">
        <f>'Take-off'!$C$12</f>
        <v>3</v>
      </c>
      <c r="AB118" s="2"/>
      <c r="AC118" s="2"/>
      <c r="AE118" s="2"/>
      <c r="AF118" s="2"/>
      <c r="AG118" s="2"/>
      <c r="AH118" s="139" t="s">
        <v>147</v>
      </c>
      <c r="AI118" s="186">
        <f>'Take-off'!$C$12</f>
        <v>3</v>
      </c>
      <c r="AJ118" s="2"/>
      <c r="AK118" s="2"/>
      <c r="AM118" s="2"/>
      <c r="AN118" s="2"/>
      <c r="AO118" s="2"/>
      <c r="AP118" s="139" t="s">
        <v>147</v>
      </c>
      <c r="AQ118" s="186">
        <f>'Take-off'!$C$12</f>
        <v>3</v>
      </c>
      <c r="AR118" s="2"/>
      <c r="AS118" s="2"/>
      <c r="AU118" s="2"/>
      <c r="AV118" s="2"/>
      <c r="AW118" s="2"/>
      <c r="AX118" s="139" t="s">
        <v>147</v>
      </c>
      <c r="AY118" s="186">
        <f>'Take-off'!$C$12</f>
        <v>3</v>
      </c>
      <c r="AZ118" s="2"/>
      <c r="BA118" s="2"/>
    </row>
    <row r="119" spans="1:66" ht="14.25" customHeight="1" x14ac:dyDescent="0.3">
      <c r="B119" s="16" t="s">
        <v>148</v>
      </c>
      <c r="C119" s="141">
        <f t="array" ref="C119">INDEX($A107:$A113,MATCH(C118,$A107:$A113,1))</f>
        <v>0</v>
      </c>
      <c r="D119" s="2"/>
      <c r="E119" s="42"/>
      <c r="G119" s="2"/>
      <c r="H119" s="2"/>
      <c r="I119" s="2"/>
      <c r="J119" s="16" t="s">
        <v>148</v>
      </c>
      <c r="K119" s="141">
        <f t="array" ref="K119">INDEX($A107:$A113,MATCH(K118,$A107:$A113,1))</f>
        <v>0</v>
      </c>
      <c r="L119" s="2"/>
      <c r="M119" s="42"/>
      <c r="O119" s="53"/>
      <c r="P119" s="2"/>
      <c r="Q119" s="2"/>
      <c r="R119" s="16" t="s">
        <v>148</v>
      </c>
      <c r="S119" s="141">
        <f t="array" ref="S119">INDEX($A107:$A113,MATCH(S118,$A107:$A113,1))</f>
        <v>0</v>
      </c>
      <c r="T119" s="2"/>
      <c r="U119" s="42"/>
      <c r="W119" s="2"/>
      <c r="X119" s="2"/>
      <c r="Y119" s="2"/>
      <c r="Z119" s="16" t="s">
        <v>148</v>
      </c>
      <c r="AA119" s="141">
        <f t="array" ref="AA119">INDEX($A107:$A113,MATCH(AA118,$A107:$A113,1))</f>
        <v>0</v>
      </c>
      <c r="AB119" s="2"/>
      <c r="AC119" s="42"/>
      <c r="AE119" s="2"/>
      <c r="AF119" s="2"/>
      <c r="AG119" s="2"/>
      <c r="AH119" s="16" t="s">
        <v>148</v>
      </c>
      <c r="AI119" s="141">
        <f t="array" ref="AI119">INDEX($A107:$A113,MATCH(AI118,$A107:$A113,1))</f>
        <v>0</v>
      </c>
      <c r="AJ119" s="2"/>
      <c r="AK119" s="42"/>
      <c r="AM119" s="2"/>
      <c r="AN119" s="2"/>
      <c r="AO119" s="2"/>
      <c r="AP119" s="16" t="s">
        <v>148</v>
      </c>
      <c r="AQ119" s="141">
        <f t="array" ref="AQ119">INDEX($A107:$A113,MATCH(AQ118,$A107:$A113,1))</f>
        <v>0</v>
      </c>
      <c r="AR119" s="2"/>
      <c r="AS119" s="42"/>
      <c r="AU119" s="2"/>
      <c r="AV119" s="2"/>
      <c r="AW119" s="2"/>
      <c r="AX119" s="16" t="s">
        <v>148</v>
      </c>
      <c r="AY119" s="141">
        <f t="array" ref="AY119">INDEX($A107:$A113,MATCH(AY118,$A107:$A113,1))</f>
        <v>0</v>
      </c>
      <c r="AZ119" s="2"/>
      <c r="BA119" s="42"/>
    </row>
    <row r="120" spans="1:66" ht="14.25" customHeight="1" x14ac:dyDescent="0.3">
      <c r="B120" s="16" t="s">
        <v>149</v>
      </c>
      <c r="C120" s="141">
        <f t="array" ref="C120">INDEX($A107:$A113,IF(MATCH(C118,$A107:$A113,1)&lt;E116,MATCH(C118,$A107:$A113,1)+1,MATCH(C118,$A107:$A113,1)))</f>
        <v>6.35</v>
      </c>
      <c r="D120" s="2"/>
      <c r="E120" s="42"/>
      <c r="G120" s="2"/>
      <c r="H120" s="2"/>
      <c r="I120" s="2"/>
      <c r="J120" s="16" t="s">
        <v>149</v>
      </c>
      <c r="K120" s="141">
        <f t="array" ref="K120">INDEX($A107:$A113,IF(MATCH(K118,$A107:$A113,1)&lt;M116,MATCH(K118,$A107:$A113,1)+1,MATCH(K118,$A107:$A113,1)))</f>
        <v>6.35</v>
      </c>
      <c r="L120" s="2"/>
      <c r="M120" s="42"/>
      <c r="O120" s="53"/>
      <c r="P120" s="2"/>
      <c r="Q120" s="2"/>
      <c r="R120" s="16" t="s">
        <v>149</v>
      </c>
      <c r="S120" s="141">
        <f t="array" ref="S120">INDEX($A107:$A113,IF(MATCH(S118,$A107:$A113,1)&lt;U116,MATCH(S118,$A107:$A113,1)+1,MATCH(S118,$A107:$A113,1)))</f>
        <v>6.35</v>
      </c>
      <c r="T120" s="2"/>
      <c r="U120" s="42"/>
      <c r="W120" s="2"/>
      <c r="X120" s="2"/>
      <c r="Y120" s="2"/>
      <c r="Z120" s="16" t="s">
        <v>149</v>
      </c>
      <c r="AA120" s="141">
        <f t="array" ref="AA120">INDEX($A107:$A113,IF(MATCH(AA118,$A107:$A113,1)&lt;AC116,MATCH(AA118,$A107:$A113,1)+1,MATCH(AA118,$A107:$A113,1)))</f>
        <v>6.35</v>
      </c>
      <c r="AB120" s="2"/>
      <c r="AC120" s="42"/>
      <c r="AE120" s="2"/>
      <c r="AF120" s="2"/>
      <c r="AG120" s="2"/>
      <c r="AH120" s="16" t="s">
        <v>149</v>
      </c>
      <c r="AI120" s="141">
        <f t="array" ref="AI120">INDEX($A107:$A113,IF(MATCH(AI118,$A107:$A113,1)&lt;AK116,MATCH(AI118,$A107:$A113,1)+1,MATCH(AI118,$A107:$A113,1)))</f>
        <v>6.35</v>
      </c>
      <c r="AJ120" s="2"/>
      <c r="AK120" s="42"/>
      <c r="AM120" s="2"/>
      <c r="AN120" s="2"/>
      <c r="AO120" s="2"/>
      <c r="AP120" s="16" t="s">
        <v>149</v>
      </c>
      <c r="AQ120" s="141">
        <f t="array" ref="AQ120">INDEX($A107:$A113,IF(MATCH(AQ118,$A107:$A113,1)&lt;AS116,MATCH(AQ118,$A107:$A113,1)+1,MATCH(AQ118,$A107:$A113,1)))</f>
        <v>6.35</v>
      </c>
      <c r="AR120" s="2"/>
      <c r="AS120" s="42"/>
      <c r="AU120" s="2"/>
      <c r="AV120" s="2"/>
      <c r="AW120" s="2"/>
      <c r="AX120" s="16" t="s">
        <v>149</v>
      </c>
      <c r="AY120" s="141">
        <f t="array" ref="AY120">INDEX($A107:$A113,IF(MATCH(AY118,$A107:$A113,1)&lt;BA116,MATCH(AY118,$A107:$A113,1)+1,MATCH(AY118,$A107:$A113,1)))</f>
        <v>6.35</v>
      </c>
      <c r="AZ120" s="2"/>
      <c r="BA120" s="42"/>
    </row>
    <row r="121" spans="1:66" ht="14.25" customHeight="1" x14ac:dyDescent="0.3">
      <c r="B121" s="139" t="s">
        <v>150</v>
      </c>
      <c r="C121" s="140">
        <f t="array" aca="1" ref="C121" ca="1">INDEX($B107:$T113,MATCH(C118,$A107:$A113,1),MATCH(C115,$B106:$T106,1))</f>
        <v>7500</v>
      </c>
      <c r="D121" s="2"/>
      <c r="E121" s="42"/>
      <c r="G121" s="2"/>
      <c r="H121" s="2"/>
      <c r="I121" s="2"/>
      <c r="J121" s="139" t="s">
        <v>150</v>
      </c>
      <c r="K121" s="140">
        <f t="array" aca="1" ref="K121" ca="1">INDEX($B107:$T113,MATCH(K118,$A107:$A113,1),MATCH(K115,$B106:$T106,1))</f>
        <v>7000</v>
      </c>
      <c r="L121" s="2"/>
      <c r="M121" s="42"/>
      <c r="O121" s="53"/>
      <c r="P121" s="2"/>
      <c r="Q121" s="2"/>
      <c r="R121" s="139" t="s">
        <v>150</v>
      </c>
      <c r="S121" s="140">
        <f t="array" aca="1" ref="S121" ca="1">INDEX($B107:$T113,MATCH(S118,$A107:$A113,1),MATCH(S115,$B106:$T106,1))</f>
        <v>6500</v>
      </c>
      <c r="T121" s="2"/>
      <c r="U121" s="42"/>
      <c r="W121" s="2"/>
      <c r="X121" s="2"/>
      <c r="Y121" s="2"/>
      <c r="Z121" s="139" t="s">
        <v>150</v>
      </c>
      <c r="AA121" s="140">
        <f t="array" aca="1" ref="AA121" ca="1">INDEX($B107:$T113,MATCH(AA118,$A107:$A113,1),MATCH(AA115,$B106:$T106,1))</f>
        <v>6000</v>
      </c>
      <c r="AB121" s="2"/>
      <c r="AC121" s="42"/>
      <c r="AE121" s="2"/>
      <c r="AF121" s="2"/>
      <c r="AG121" s="2"/>
      <c r="AH121" s="139" t="s">
        <v>150</v>
      </c>
      <c r="AI121" s="140">
        <f t="array" aca="1" ref="AI121" ca="1">INDEX($B107:$T113,MATCH(AI118,$A107:$A113,1),MATCH(AI115,$B106:$T106,1))</f>
        <v>5500</v>
      </c>
      <c r="AJ121" s="2"/>
      <c r="AK121" s="42"/>
      <c r="AM121" s="2"/>
      <c r="AN121" s="2"/>
      <c r="AO121" s="2"/>
      <c r="AP121" s="139" t="s">
        <v>150</v>
      </c>
      <c r="AQ121" s="140">
        <f t="array" aca="1" ref="AQ121" ca="1">INDEX($B107:$T113,MATCH(AQ118,$A107:$A113,1),MATCH(AQ115,$B106:$T106,1))</f>
        <v>5500</v>
      </c>
      <c r="AR121" s="2"/>
      <c r="AS121" s="42"/>
      <c r="AU121" s="2"/>
      <c r="AV121" s="2"/>
      <c r="AW121" s="2"/>
      <c r="AX121" s="139" t="s">
        <v>150</v>
      </c>
      <c r="AY121" s="140" t="e">
        <f t="array" aca="1" ref="AY121" ca="1">INDEX($B107:$T113,MATCH(AY118,$A107:$A113,1),MATCH(AY115,$B106:$T106,1))</f>
        <v>#N/A</v>
      </c>
      <c r="AZ121" s="2"/>
      <c r="BA121" s="42"/>
    </row>
    <row r="122" spans="1:66" ht="14.25" customHeight="1" x14ac:dyDescent="0.3">
      <c r="B122" s="139" t="s">
        <v>204</v>
      </c>
      <c r="C122" s="140">
        <f t="array" aca="1" ref="C122" ca="1">INDEX($B107:$T113,MATCH(C118,$A107:$A113,1),IF(MATCH(C115,$B106:$T106,1)&lt;E117,MATCH(C115,$B106:$T106,1)+1,MATCH(C118,$A107:$A113,1)))</f>
        <v>8000</v>
      </c>
      <c r="E122" s="42"/>
      <c r="G122" s="2"/>
      <c r="H122" s="2"/>
      <c r="I122" s="2"/>
      <c r="J122" s="139" t="s">
        <v>204</v>
      </c>
      <c r="K122" s="140">
        <f t="array" aca="1" ref="K122" ca="1">INDEX($B107:$T113,MATCH(K118,$A107:$A113,1),IF(MATCH(K115,$B106:$T106,1)&lt;M117,MATCH(K115,$B106:$T106,1)+1,MATCH(K118,$A107:$A113,1)))</f>
        <v>7500</v>
      </c>
      <c r="M122" s="42"/>
      <c r="O122" s="12"/>
      <c r="P122" s="2"/>
      <c r="Q122" s="2"/>
      <c r="R122" s="139" t="s">
        <v>204</v>
      </c>
      <c r="S122" s="140">
        <f t="array" aca="1" ref="S122" ca="1">INDEX($B107:$T113,MATCH(S118,$A107:$A113,1),IF(MATCH(S115,$B106:$T106,1)&lt;U117,MATCH(S115,$B106:$T106,1)+1,MATCH(S118,$A107:$A113,1)))</f>
        <v>7000</v>
      </c>
      <c r="U122" s="42"/>
      <c r="W122" s="2"/>
      <c r="X122" s="2"/>
      <c r="Y122" s="2"/>
      <c r="Z122" s="139" t="s">
        <v>204</v>
      </c>
      <c r="AA122" s="140">
        <f t="array" aca="1" ref="AA122" ca="1">INDEX($B107:$T113,MATCH(AA118,$A107:$A113,1),IF(MATCH(AA115,$B106:$T106,1)&lt;AC117,MATCH(AA115,$B106:$T106,1)+1,MATCH(AA118,$A107:$A113,1)))</f>
        <v>6500</v>
      </c>
      <c r="AC122" s="42"/>
      <c r="AE122" s="2"/>
      <c r="AF122" s="2"/>
      <c r="AG122" s="2"/>
      <c r="AH122" s="139" t="s">
        <v>204</v>
      </c>
      <c r="AI122" s="140">
        <f t="array" aca="1" ref="AI122" ca="1">INDEX($B107:$T113,MATCH(AI118,$A107:$A113,1),IF(MATCH(AI115,$B106:$T106,1)&lt;AK117,MATCH(AI115,$B106:$T106,1)+1,MATCH(AI118,$A107:$A113,1)))</f>
        <v>6000</v>
      </c>
      <c r="AK122" s="42"/>
      <c r="AM122" s="2"/>
      <c r="AN122" s="2"/>
      <c r="AO122" s="2"/>
      <c r="AP122" s="139" t="s">
        <v>204</v>
      </c>
      <c r="AQ122" s="140">
        <f t="array" aca="1" ref="AQ122" ca="1">INDEX($B107:$T113,MATCH(AQ118,$A107:$A113,1),IF(MATCH(AQ115,$B106:$T106,1)&lt;AS117,MATCH(AQ115,$B106:$T106,1)+1,MATCH(AQ118,$A107:$A113,1)))</f>
        <v>6000</v>
      </c>
      <c r="AS122" s="42"/>
      <c r="AU122" s="2"/>
      <c r="AV122" s="2"/>
      <c r="AW122" s="2"/>
      <c r="AX122" s="139" t="s">
        <v>204</v>
      </c>
      <c r="AY122" s="140" t="e">
        <f t="array" aca="1" ref="AY122" ca="1">INDEX($B107:$T113,MATCH(AY118,$A107:$A113,1),IF(MATCH(AY115,$B106:$T106,1)&lt;BA117,MATCH(AY115,$B106:$T106,1)+1,MATCH(AY118,$A107:$A113,1)))</f>
        <v>#N/A</v>
      </c>
      <c r="BA122" s="42"/>
    </row>
    <row r="123" spans="1:66" ht="14.25" customHeight="1" x14ac:dyDescent="0.3">
      <c r="B123" s="139" t="s">
        <v>151</v>
      </c>
      <c r="C123" s="140">
        <f t="array" aca="1" ref="C123" ca="1">INDEX($B107:$T113,IF(MATCH(C118,$A107:$A113,1)&lt;E116,MATCH(C118,$A107:$A113,1)+1,MATCH(C118,$A107:$A113,1)),MATCH(C115,$B106:$T106,1))</f>
        <v>7600</v>
      </c>
      <c r="E123" s="42"/>
      <c r="G123" s="2"/>
      <c r="H123" s="2"/>
      <c r="I123" s="2"/>
      <c r="J123" s="139" t="s">
        <v>151</v>
      </c>
      <c r="K123" s="140">
        <f t="array" aca="1" ref="K123" ca="1">INDEX($B107:$T113,IF(MATCH(K118,$A107:$A113,1)&lt;M116,MATCH(K118,$A107:$A113,1)+1,MATCH(K118,$A107:$A113,1)),MATCH(K115,$B106:$T106,1))</f>
        <v>7100</v>
      </c>
      <c r="M123" s="42"/>
      <c r="O123" s="12"/>
      <c r="P123" s="2"/>
      <c r="Q123" s="2"/>
      <c r="R123" s="139" t="s">
        <v>151</v>
      </c>
      <c r="S123" s="140">
        <f t="array" aca="1" ref="S123" ca="1">INDEX($B107:$T113,IF(MATCH(S118,$A107:$A113,1)&lt;U116,MATCH(S118,$A107:$A113,1)+1,MATCH(S118,$A107:$A113,1)),MATCH(S115,$B106:$T106,1))</f>
        <v>6600</v>
      </c>
      <c r="U123" s="42"/>
      <c r="W123" s="2"/>
      <c r="X123" s="2"/>
      <c r="Y123" s="2"/>
      <c r="Z123" s="139" t="s">
        <v>151</v>
      </c>
      <c r="AA123" s="140">
        <f t="array" aca="1" ref="AA123" ca="1">INDEX($B107:$T113,IF(MATCH(AA118,$A107:$A113,1)&lt;AC116,MATCH(AA118,$A107:$A113,1)+1,MATCH(AA118,$A107:$A113,1)),MATCH(AA115,$B106:$T106,1))</f>
        <v>6090</v>
      </c>
      <c r="AC123" s="42"/>
      <c r="AE123" s="2"/>
      <c r="AF123" s="2"/>
      <c r="AG123" s="2"/>
      <c r="AH123" s="139" t="s">
        <v>151</v>
      </c>
      <c r="AI123" s="140">
        <f t="array" aca="1" ref="AI123" ca="1">INDEX($B107:$T113,IF(MATCH(AI118,$A107:$A113,1)&lt;AK116,MATCH(AI118,$A107:$A113,1)+1,MATCH(AI118,$A107:$A113,1)),MATCH(AI115,$B106:$T106,1))</f>
        <v>5590</v>
      </c>
      <c r="AK123" s="42"/>
      <c r="AM123" s="2"/>
      <c r="AN123" s="2"/>
      <c r="AO123" s="2"/>
      <c r="AP123" s="139" t="s">
        <v>151</v>
      </c>
      <c r="AQ123" s="140">
        <f t="array" aca="1" ref="AQ123" ca="1">INDEX($B107:$T113,IF(MATCH(AQ118,$A107:$A113,1)&lt;AS116,MATCH(AQ118,$A107:$A113,1)+1,MATCH(AQ118,$A107:$A113,1)),MATCH(AQ115,$B106:$T106,1))</f>
        <v>5590</v>
      </c>
      <c r="AS123" s="42"/>
      <c r="AU123" s="2"/>
      <c r="AV123" s="2"/>
      <c r="AW123" s="2"/>
      <c r="AX123" s="139" t="s">
        <v>151</v>
      </c>
      <c r="AY123" s="140" t="e">
        <f t="array" aca="1" ref="AY123" ca="1">INDEX($B107:$T113,IF(MATCH(AY118,$A107:$A113,1)&lt;BA116,MATCH(AY118,$A107:$A113,1)+1,MATCH(AY118,$A107:$A113,1)),MATCH(AY115,$B106:$T106,1))</f>
        <v>#N/A</v>
      </c>
      <c r="BA123" s="42"/>
    </row>
    <row r="124" spans="1:66" ht="14.25" customHeight="1" x14ac:dyDescent="0.3">
      <c r="B124" s="139" t="s">
        <v>205</v>
      </c>
      <c r="C124" s="140">
        <f t="array" aca="1" ref="C124" ca="1">INDEX($B107:$T113,IF(MATCH(C118,$A107:$A113,1)&lt;E116,MATCH(C118,$A107:$A113,1)+1,MATCH(C118,$A107:$A113,1)),IF(MATCH(C115,$B106:$T106,1)&lt;E117,MATCH(C115,$B106:$T106,1)+1,MATCH(C115,$B106:$T106,1)))</f>
        <v>8100</v>
      </c>
      <c r="G124" s="2"/>
      <c r="H124" s="2"/>
      <c r="I124" s="2"/>
      <c r="J124" s="139" t="s">
        <v>205</v>
      </c>
      <c r="K124" s="140">
        <f t="array" aca="1" ref="K124" ca="1">INDEX($B107:$T113,IF(MATCH(K118,$A107:$A113,1)&lt;M116,MATCH(K118,$A107:$A113,1)+1,MATCH(K118,$A107:$A113,1)),IF(MATCH(K115,$B106:$T106,1)&lt;M117,MATCH(K115,$B106:$T106,1)+1,MATCH(K115,$B106:$T106,1)))</f>
        <v>7600</v>
      </c>
      <c r="O124" s="12"/>
      <c r="P124" s="2"/>
      <c r="Q124" s="2"/>
      <c r="R124" s="139" t="s">
        <v>205</v>
      </c>
      <c r="S124" s="140">
        <f t="array" aca="1" ref="S124" ca="1">INDEX($B107:$T113,IF(MATCH(S118,$A107:$A113,1)&lt;U116,MATCH(S118,$A107:$A113,1)+1,MATCH(S118,$A107:$A113,1)),IF(MATCH(S115,$B106:$T106,1)&lt;U117,MATCH(S115,$B106:$T106,1)+1,MATCH(S115,$B106:$T106,1)))</f>
        <v>7100</v>
      </c>
      <c r="W124" s="2"/>
      <c r="X124" s="2"/>
      <c r="Y124" s="2"/>
      <c r="Z124" s="139" t="s">
        <v>205</v>
      </c>
      <c r="AA124" s="140">
        <f t="array" aca="1" ref="AA124" ca="1">INDEX($B107:$T113,IF(MATCH(AA118,$A107:$A113,1)&lt;AC116,MATCH(AA118,$A107:$A113,1)+1,MATCH(AA118,$A107:$A113,1)),IF(MATCH(AA115,$B106:$T106,1)&lt;AC117,MATCH(AA115,$B106:$T106,1)+1,MATCH(AA115,$B106:$T106,1)))</f>
        <v>6600</v>
      </c>
      <c r="AE124" s="2"/>
      <c r="AF124" s="2"/>
      <c r="AG124" s="2"/>
      <c r="AH124" s="139" t="s">
        <v>205</v>
      </c>
      <c r="AI124" s="140">
        <f t="array" aca="1" ref="AI124" ca="1">INDEX($B107:$T113,IF(MATCH(AI118,$A107:$A113,1)&lt;AK116,MATCH(AI118,$A107:$A113,1)+1,MATCH(AI118,$A107:$A113,1)),IF(MATCH(AI115,$B106:$T106,1)&lt;AK117,MATCH(AI115,$B106:$T106,1)+1,MATCH(AI115,$B106:$T106,1)))</f>
        <v>6090</v>
      </c>
      <c r="AM124" s="2"/>
      <c r="AN124" s="2"/>
      <c r="AO124" s="2"/>
      <c r="AP124" s="139" t="s">
        <v>205</v>
      </c>
      <c r="AQ124" s="140">
        <f t="array" aca="1" ref="AQ124" ca="1">INDEX($B107:$T113,IF(MATCH(AQ118,$A107:$A113,1)&lt;AS116,MATCH(AQ118,$A107:$A113,1)+1,MATCH(AQ118,$A107:$A113,1)),IF(MATCH(AQ115,$B106:$T106,1)&lt;AS117,MATCH(AQ115,$B106:$T106,1)+1,MATCH(AQ115,$B106:$T106,1)))</f>
        <v>6090</v>
      </c>
      <c r="AU124" s="2"/>
      <c r="AV124" s="2"/>
      <c r="AW124" s="2"/>
      <c r="AX124" s="139" t="s">
        <v>205</v>
      </c>
      <c r="AY124" s="140" t="e">
        <f t="array" aca="1" ref="AY124" ca="1">INDEX($B107:$T113,IF(MATCH(AY118,$A107:$A113,1)&lt;BA116,MATCH(AY118,$A107:$A113,1)+1,MATCH(AY118,$A107:$A113,1)),IF(MATCH(AY115,$B106:$T106,1)&lt;BA117,MATCH(AY115,$B106:$T106,1)+1,MATCH(AY115,$B106:$T106,1)))</f>
        <v>#N/A</v>
      </c>
    </row>
    <row r="125" spans="1:66" ht="14.25" customHeight="1" x14ac:dyDescent="0.3">
      <c r="B125" s="16" t="s">
        <v>206</v>
      </c>
      <c r="C125" s="141">
        <f ca="1">IFERROR(C121+(C115-C116)*(C122-C121)/(C117-C116),C121)</f>
        <v>7738.4996374306365</v>
      </c>
      <c r="G125" s="2"/>
      <c r="H125" s="2"/>
      <c r="I125" s="2"/>
      <c r="J125" s="16" t="s">
        <v>206</v>
      </c>
      <c r="K125" s="141">
        <f ca="1">IFERROR(K121+(K115-K116)*(K122-K121)/(K117-K116),K121)</f>
        <v>7355.7141374258545</v>
      </c>
      <c r="O125" s="12"/>
      <c r="P125" s="2"/>
      <c r="Q125" s="2"/>
      <c r="R125" s="16" t="s">
        <v>206</v>
      </c>
      <c r="S125" s="141">
        <f ca="1">IFERROR(S121+(S115-S116)*(S122-S121)/(S117-S116),S121)</f>
        <v>6764.4507921095746</v>
      </c>
      <c r="V125" s="17"/>
      <c r="W125" s="2"/>
      <c r="X125" s="2"/>
      <c r="Y125" s="2"/>
      <c r="Z125" s="16" t="s">
        <v>206</v>
      </c>
      <c r="AA125" s="141">
        <f ca="1">IFERROR(AA121+(AA115-AA116)*(AA122-AA121)/(AA117-AA116),AA121)</f>
        <v>6243.0472176100566</v>
      </c>
      <c r="AE125" s="2"/>
      <c r="AF125" s="2"/>
      <c r="AG125" s="2"/>
      <c r="AH125" s="16" t="s">
        <v>206</v>
      </c>
      <c r="AI125" s="141">
        <f ca="1">IFERROR(AI121+(AI115-AI116)*(AI122-AI121)/(AI117-AI116),AI121)</f>
        <v>5765.9371654060442</v>
      </c>
      <c r="AM125" s="2"/>
      <c r="AN125" s="2"/>
      <c r="AO125" s="2"/>
      <c r="AP125" s="16" t="s">
        <v>206</v>
      </c>
      <c r="AQ125" s="141">
        <f ca="1">IFERROR(AQ121+(AQ115-AQ116)*(AQ122-AQ121)/(AQ117-AQ116),AQ121)</f>
        <v>5665.1547064007336</v>
      </c>
      <c r="AU125" s="2"/>
      <c r="AV125" s="2"/>
      <c r="AW125" s="2"/>
      <c r="AX125" s="16" t="s">
        <v>206</v>
      </c>
      <c r="AY125" s="141" t="e">
        <f ca="1">IFERROR(AY121+(AY115-AY116)*(AY122-AY121)/(AY117-AY116),AY121)</f>
        <v>#N/A</v>
      </c>
    </row>
    <row r="126" spans="1:66" ht="14.25" customHeight="1" x14ac:dyDescent="0.3">
      <c r="B126" s="16" t="s">
        <v>207</v>
      </c>
      <c r="C126" s="141">
        <f ca="1">IFERROR(C123+(C115-C116)*(C124-C123)/(C117-C116),C123)</f>
        <v>7838.4996374306365</v>
      </c>
      <c r="G126" s="2"/>
      <c r="H126" s="2"/>
      <c r="I126" s="2"/>
      <c r="J126" s="16" t="s">
        <v>207</v>
      </c>
      <c r="K126" s="141">
        <f ca="1">IFERROR(K123+(K115-K116)*(K124-K123)/(K117-K116),K123)</f>
        <v>7455.7141374258545</v>
      </c>
      <c r="O126" s="12"/>
      <c r="P126" s="2"/>
      <c r="Q126" s="2"/>
      <c r="R126" s="16" t="s">
        <v>207</v>
      </c>
      <c r="S126" s="141">
        <f ca="1">IFERROR(S123+(S115-S116)*(S124-S123)/(S117-S116),S123)</f>
        <v>6864.4507921095746</v>
      </c>
      <c r="V126" s="17"/>
      <c r="W126" s="2"/>
      <c r="X126" s="2"/>
      <c r="Y126" s="2"/>
      <c r="Z126" s="16" t="s">
        <v>207</v>
      </c>
      <c r="AA126" s="141">
        <f ca="1">IFERROR(AA123+(AA115-AA116)*(AA124-AA123)/(AA117-AA116),AA123)</f>
        <v>6337.9081619622575</v>
      </c>
      <c r="AE126" s="2"/>
      <c r="AF126" s="2"/>
      <c r="AG126" s="2"/>
      <c r="AH126" s="16" t="s">
        <v>207</v>
      </c>
      <c r="AI126" s="141">
        <f ca="1">IFERROR(AI123+(AI115-AI116)*(AI124-AI123)/(AI117-AI116),AI123)</f>
        <v>5855.9371654060442</v>
      </c>
      <c r="AM126" s="2"/>
      <c r="AN126" s="2"/>
      <c r="AO126" s="2"/>
      <c r="AP126" s="16" t="s">
        <v>207</v>
      </c>
      <c r="AQ126" s="141">
        <f ca="1">IFERROR(AQ123+(AQ115-AQ116)*(AQ124-AQ123)/(AQ117-AQ116),AQ123)</f>
        <v>5755.1547064007336</v>
      </c>
      <c r="AU126" s="2"/>
      <c r="AV126" s="2"/>
      <c r="AW126" s="2"/>
      <c r="AX126" s="16" t="s">
        <v>207</v>
      </c>
      <c r="AY126" s="141" t="e">
        <f ca="1">IFERROR(AY123+(AY115-AY116)*(AY124-AY123)/(AY117-AY116),AY123)</f>
        <v>#N/A</v>
      </c>
    </row>
    <row r="127" spans="1:66" ht="14.25" customHeight="1" x14ac:dyDescent="0.3">
      <c r="B127" s="139" t="s">
        <v>208</v>
      </c>
      <c r="C127" s="140">
        <f ca="1">IFERROR(C125+(C118-C119)*(C126-C125)/(C120-C119),C125)</f>
        <v>7785.7437319188257</v>
      </c>
      <c r="G127" s="2"/>
      <c r="H127" s="2"/>
      <c r="I127" s="2"/>
      <c r="J127" s="139" t="s">
        <v>208</v>
      </c>
      <c r="K127" s="140">
        <f ca="1">IFERROR(K125+(K118-K119)*(K126-K125)/(K120-K119),K125)</f>
        <v>7402.9582319140436</v>
      </c>
      <c r="O127" s="12"/>
      <c r="P127" s="2"/>
      <c r="Q127" s="2"/>
      <c r="R127" s="139" t="s">
        <v>208</v>
      </c>
      <c r="S127" s="140">
        <f ca="1">IFERROR(S125+(S118-S119)*(S126-S125)/(S120-S119),S125)</f>
        <v>6811.6948865977638</v>
      </c>
      <c r="V127" s="17"/>
      <c r="W127" s="2"/>
      <c r="X127" s="2"/>
      <c r="Y127" s="2"/>
      <c r="Z127" s="139" t="s">
        <v>208</v>
      </c>
      <c r="AA127" s="140">
        <f ca="1">IFERROR(AA125+(AA118-AA119)*(AA126-AA125)/(AA120-AA119),AA125)</f>
        <v>6287.8634117921983</v>
      </c>
      <c r="AE127" s="2"/>
      <c r="AF127" s="2"/>
      <c r="AG127" s="2"/>
      <c r="AH127" s="139" t="s">
        <v>208</v>
      </c>
      <c r="AI127" s="140">
        <f ca="1">IFERROR(AI125+(AI118-AI119)*(AI126-AI125)/(AI120-AI119),AI125)</f>
        <v>5808.4568504454146</v>
      </c>
      <c r="AM127" s="2"/>
      <c r="AN127" s="2"/>
      <c r="AO127" s="2"/>
      <c r="AP127" s="139" t="s">
        <v>208</v>
      </c>
      <c r="AQ127" s="140">
        <f ca="1">IFERROR(AQ125+(AQ118-AQ119)*(AQ126-AQ125)/(AQ120-AQ119),AQ125)</f>
        <v>5707.674391440104</v>
      </c>
      <c r="AU127" s="2"/>
      <c r="AV127" s="2"/>
      <c r="AW127" s="2"/>
      <c r="AX127" s="139" t="s">
        <v>208</v>
      </c>
      <c r="AY127" s="140" t="e">
        <f ca="1">IFERROR(AY125+(AY118-AY119)*(AY126-AY125)/(AY120-AY119),AY125)</f>
        <v>#N/A</v>
      </c>
    </row>
    <row r="128" spans="1:66" ht="14.25" customHeight="1" x14ac:dyDescent="0.3">
      <c r="B128" s="139"/>
      <c r="C128" s="140"/>
      <c r="G128" s="2"/>
      <c r="H128" s="2"/>
      <c r="I128" s="2"/>
      <c r="J128" s="139"/>
      <c r="K128" s="140"/>
      <c r="O128" s="2"/>
      <c r="P128" s="2"/>
      <c r="Q128" s="2"/>
      <c r="R128" s="139"/>
      <c r="S128" s="140"/>
      <c r="V128" s="17"/>
      <c r="W128" s="2"/>
      <c r="X128" s="2"/>
      <c r="Y128" s="2"/>
      <c r="Z128" s="139"/>
      <c r="AA128" s="140"/>
      <c r="AE128" s="2"/>
      <c r="AF128" s="2"/>
      <c r="AG128" s="2"/>
      <c r="AH128" s="139"/>
      <c r="AI128" s="140"/>
      <c r="AM128" s="2"/>
      <c r="AN128" s="2"/>
      <c r="AO128" s="2"/>
      <c r="AP128" s="139"/>
      <c r="AQ128" s="140"/>
      <c r="AU128" s="2"/>
      <c r="AV128" s="2"/>
      <c r="AW128" s="2"/>
      <c r="AX128" s="139"/>
      <c r="AY128" s="140"/>
    </row>
    <row r="129" spans="1:61" ht="14.25" customHeight="1" x14ac:dyDescent="0.3">
      <c r="B129" s="139"/>
      <c r="C129" s="140"/>
      <c r="G129" s="2"/>
      <c r="H129" s="2"/>
      <c r="I129" s="2"/>
      <c r="J129" s="139"/>
      <c r="K129" s="140"/>
      <c r="O129" s="2"/>
      <c r="P129" s="2"/>
      <c r="Q129" s="2"/>
      <c r="R129" s="139"/>
      <c r="S129" s="140"/>
      <c r="V129" s="17"/>
      <c r="W129" s="2"/>
      <c r="X129" s="2"/>
      <c r="Y129" s="2"/>
      <c r="Z129" s="139"/>
      <c r="AA129" s="140"/>
      <c r="AE129" s="2"/>
      <c r="AF129" s="2"/>
      <c r="AG129" s="2"/>
      <c r="AH129" s="139"/>
      <c r="AI129" s="140"/>
      <c r="AM129" s="2"/>
      <c r="AN129" s="2"/>
      <c r="AO129" s="2"/>
      <c r="AP129" s="139"/>
      <c r="AQ129" s="140"/>
      <c r="AU129" s="2"/>
      <c r="AV129" s="2"/>
      <c r="AW129" s="2"/>
      <c r="AX129" s="139"/>
      <c r="AY129" s="140"/>
    </row>
    <row r="130" spans="1:61" ht="14.25" customHeight="1" x14ac:dyDescent="0.3">
      <c r="A130" s="416" t="s">
        <v>226</v>
      </c>
      <c r="B130" s="416"/>
      <c r="C130" s="416"/>
      <c r="D130" s="416"/>
      <c r="E130" s="416"/>
      <c r="F130" s="416"/>
      <c r="G130" s="2"/>
      <c r="H130" s="2"/>
      <c r="I130" s="2"/>
      <c r="J130" s="139"/>
      <c r="K130" s="140"/>
      <c r="O130" s="2"/>
      <c r="P130" s="2"/>
      <c r="Q130" s="2"/>
      <c r="R130" s="139"/>
      <c r="S130" s="140"/>
      <c r="V130" s="17"/>
      <c r="W130" s="2"/>
      <c r="X130" s="2"/>
      <c r="Y130" s="2"/>
      <c r="Z130" s="139"/>
      <c r="AA130" s="140"/>
      <c r="AE130" s="2"/>
      <c r="AF130" s="2"/>
      <c r="AG130" s="2"/>
      <c r="AH130" s="139"/>
      <c r="AI130" s="140"/>
      <c r="AM130" s="2"/>
      <c r="AN130" s="2"/>
      <c r="AO130" s="2"/>
      <c r="AP130" s="139"/>
      <c r="AQ130" s="140"/>
      <c r="AU130" s="2"/>
      <c r="AV130" s="2"/>
      <c r="AW130" s="2"/>
      <c r="AX130" s="139"/>
      <c r="AY130" s="140"/>
    </row>
    <row r="131" spans="1:61" ht="15" customHeight="1" x14ac:dyDescent="0.3">
      <c r="B131" s="139"/>
      <c r="C131" s="140"/>
      <c r="G131" s="2"/>
      <c r="H131" s="2"/>
      <c r="I131" s="2"/>
      <c r="J131" s="139"/>
      <c r="K131" s="140"/>
      <c r="O131" s="2"/>
      <c r="P131" s="2"/>
      <c r="Q131" s="2"/>
      <c r="R131" s="139"/>
      <c r="S131" s="140"/>
      <c r="V131" s="17"/>
      <c r="W131" s="2"/>
      <c r="X131" s="2"/>
      <c r="Y131" s="2"/>
      <c r="Z131" s="139"/>
      <c r="AA131" s="140"/>
      <c r="AE131" s="2"/>
      <c r="AF131" s="2"/>
      <c r="AG131" s="2"/>
      <c r="AH131" s="139"/>
      <c r="AI131" s="140"/>
      <c r="AM131" s="2"/>
      <c r="AN131" s="2"/>
      <c r="AO131" s="2"/>
      <c r="AP131" s="139"/>
      <c r="AQ131" s="140"/>
      <c r="AU131" s="2"/>
      <c r="AV131" s="2"/>
      <c r="AW131" s="2"/>
      <c r="AX131" s="139"/>
      <c r="AY131" s="140"/>
    </row>
    <row r="132" spans="1:61" ht="15" customHeight="1" x14ac:dyDescent="0.3">
      <c r="A132" t="s">
        <v>221</v>
      </c>
      <c r="B132" s="357" t="s">
        <v>222</v>
      </c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O132" s="2"/>
      <c r="P132" s="2"/>
      <c r="Q132" s="2"/>
      <c r="R132" s="139"/>
      <c r="S132" s="140"/>
      <c r="V132" s="17"/>
      <c r="W132" s="2"/>
      <c r="X132" s="2"/>
      <c r="Y132" s="2"/>
      <c r="Z132" s="139"/>
      <c r="AA132" s="140"/>
      <c r="AE132" s="2"/>
      <c r="AF132" s="2"/>
      <c r="AG132" s="2"/>
      <c r="AH132" s="139"/>
      <c r="AI132" s="140"/>
      <c r="AM132" s="2"/>
      <c r="AN132" s="2"/>
      <c r="AO132" s="2"/>
      <c r="AP132" s="139"/>
      <c r="AQ132" s="140"/>
      <c r="AU132" s="2"/>
      <c r="AV132" s="2"/>
      <c r="AW132" s="2"/>
      <c r="AX132" s="139"/>
      <c r="AY132" s="140"/>
    </row>
    <row r="133" spans="1:61" ht="15" customHeight="1" x14ac:dyDescent="0.3">
      <c r="A133" t="s">
        <v>35</v>
      </c>
      <c r="B133" s="229">
        <v>4000</v>
      </c>
      <c r="C133" s="230">
        <v>4500</v>
      </c>
      <c r="D133" s="55">
        <v>5000</v>
      </c>
      <c r="E133" s="55">
        <v>5500</v>
      </c>
      <c r="F133" s="55">
        <v>6000</v>
      </c>
      <c r="G133" s="55">
        <v>6500</v>
      </c>
      <c r="H133" s="259">
        <v>7000</v>
      </c>
      <c r="I133" s="259">
        <v>7500</v>
      </c>
      <c r="J133" s="259">
        <v>8000</v>
      </c>
      <c r="K133" s="259">
        <v>8500</v>
      </c>
      <c r="L133" s="231">
        <v>9000</v>
      </c>
      <c r="M133" s="259">
        <v>9500</v>
      </c>
      <c r="N133" s="259">
        <v>10000</v>
      </c>
      <c r="O133" s="259">
        <v>10500</v>
      </c>
      <c r="P133" s="231">
        <v>11000</v>
      </c>
      <c r="Q133" s="231">
        <v>11500</v>
      </c>
      <c r="R133" s="231">
        <v>12000</v>
      </c>
      <c r="S133" s="231">
        <v>12500</v>
      </c>
      <c r="T133" s="139"/>
      <c r="U133" s="140"/>
      <c r="V133" s="17"/>
      <c r="W133" s="139"/>
      <c r="X133" s="140"/>
      <c r="AB133" s="2"/>
      <c r="AC133" s="2"/>
      <c r="AD133" s="2"/>
      <c r="AG133" s="2"/>
      <c r="AH133" s="2"/>
      <c r="AI133" s="2"/>
      <c r="AJ133" s="139"/>
      <c r="AK133" s="140"/>
      <c r="AO133" s="2"/>
      <c r="AP133" s="2"/>
      <c r="AQ133" s="2"/>
      <c r="AR133" s="139"/>
      <c r="AS133" s="140"/>
      <c r="AW133" s="2"/>
      <c r="AX133" s="2"/>
      <c r="AY133" s="2"/>
      <c r="AZ133" s="139"/>
      <c r="BA133" s="140"/>
      <c r="BE133" s="2"/>
      <c r="BF133" s="2"/>
      <c r="BG133" s="2"/>
      <c r="BH133" s="139"/>
      <c r="BI133" s="140"/>
    </row>
    <row r="134" spans="1:61" ht="15" customHeight="1" x14ac:dyDescent="0.3">
      <c r="A134">
        <v>-3</v>
      </c>
      <c r="B134" s="229">
        <v>99999</v>
      </c>
      <c r="C134" s="229">
        <v>99999</v>
      </c>
      <c r="D134" s="229">
        <v>99999</v>
      </c>
      <c r="E134" s="229">
        <v>99999</v>
      </c>
      <c r="F134" s="229">
        <v>99999</v>
      </c>
      <c r="G134" s="229">
        <v>99999</v>
      </c>
      <c r="H134" s="229">
        <v>99999</v>
      </c>
      <c r="I134" s="229">
        <v>99999</v>
      </c>
      <c r="J134" s="229">
        <v>99999</v>
      </c>
      <c r="K134" s="229">
        <v>99999</v>
      </c>
      <c r="L134" s="229">
        <v>99999</v>
      </c>
      <c r="M134" s="229">
        <v>99999</v>
      </c>
      <c r="N134" s="229">
        <v>99999</v>
      </c>
      <c r="O134" s="229">
        <v>99999</v>
      </c>
      <c r="P134" s="229">
        <v>99999</v>
      </c>
      <c r="Q134" s="229">
        <v>99999</v>
      </c>
      <c r="R134" s="229">
        <v>99999</v>
      </c>
      <c r="S134" s="231">
        <v>99999</v>
      </c>
      <c r="T134" s="139"/>
      <c r="U134" s="140"/>
      <c r="V134" s="17"/>
      <c r="W134" s="139"/>
      <c r="X134" s="140"/>
      <c r="AB134" s="2"/>
      <c r="AC134" s="2"/>
      <c r="AD134" s="2"/>
      <c r="AG134" s="2"/>
      <c r="AH134" s="2"/>
      <c r="AI134" s="2"/>
      <c r="AJ134" s="139"/>
      <c r="AK134" s="140"/>
      <c r="AO134" s="2"/>
      <c r="AP134" s="2"/>
      <c r="AQ134" s="2"/>
      <c r="AR134" s="139"/>
      <c r="AS134" s="140"/>
      <c r="AW134" s="2"/>
      <c r="AX134" s="2"/>
      <c r="AY134" s="2"/>
      <c r="AZ134" s="139"/>
      <c r="BA134" s="140"/>
      <c r="BE134" s="2"/>
      <c r="BF134" s="2"/>
      <c r="BG134" s="2"/>
      <c r="BH134" s="139"/>
      <c r="BI134" s="140"/>
    </row>
    <row r="135" spans="1:61" ht="15" customHeight="1" x14ac:dyDescent="0.3">
      <c r="A135">
        <v>-2</v>
      </c>
      <c r="B135" s="229">
        <v>4600</v>
      </c>
      <c r="C135" s="230">
        <v>5100</v>
      </c>
      <c r="D135" s="55">
        <v>5600</v>
      </c>
      <c r="E135" s="55">
        <v>6150</v>
      </c>
      <c r="F135" s="55">
        <v>6700</v>
      </c>
      <c r="G135" s="55">
        <v>7230</v>
      </c>
      <c r="H135" s="55">
        <v>7750</v>
      </c>
      <c r="I135" s="55">
        <v>8275</v>
      </c>
      <c r="J135" s="55">
        <v>8700</v>
      </c>
      <c r="K135" s="55">
        <v>9300</v>
      </c>
      <c r="L135" s="55">
        <v>9800</v>
      </c>
      <c r="M135" s="55">
        <v>10300</v>
      </c>
      <c r="N135" s="259">
        <v>10800</v>
      </c>
      <c r="O135" s="259">
        <v>11300</v>
      </c>
      <c r="P135" s="259">
        <v>11800</v>
      </c>
      <c r="Q135" s="259">
        <v>99999</v>
      </c>
      <c r="R135" s="259">
        <v>99999</v>
      </c>
      <c r="S135" s="231">
        <v>99999</v>
      </c>
      <c r="T135" s="139"/>
      <c r="U135" s="140"/>
      <c r="V135" s="17"/>
      <c r="W135" s="139"/>
      <c r="X135" s="140"/>
      <c r="AB135" s="2"/>
      <c r="AC135" s="2"/>
      <c r="AD135" s="2"/>
      <c r="AG135" s="2"/>
      <c r="AH135" s="2"/>
      <c r="AI135" s="2"/>
      <c r="AJ135" s="139"/>
      <c r="AK135" s="140"/>
      <c r="AO135" s="2"/>
      <c r="AP135" s="2"/>
      <c r="AQ135" s="2"/>
      <c r="AR135" s="139"/>
      <c r="AS135" s="140"/>
      <c r="AW135" s="2"/>
      <c r="AX135" s="2"/>
      <c r="AY135" s="2"/>
      <c r="AZ135" s="139"/>
      <c r="BA135" s="140"/>
      <c r="BE135" s="2"/>
      <c r="BF135" s="2"/>
      <c r="BG135" s="2"/>
      <c r="BH135" s="139"/>
      <c r="BI135" s="140"/>
    </row>
    <row r="136" spans="1:61" ht="15" customHeight="1" x14ac:dyDescent="0.3">
      <c r="A136">
        <v>-1</v>
      </c>
      <c r="B136" s="233">
        <v>4350</v>
      </c>
      <c r="C136" s="203">
        <v>4800</v>
      </c>
      <c r="D136">
        <v>5300</v>
      </c>
      <c r="E136">
        <v>5750</v>
      </c>
      <c r="F136">
        <v>6200</v>
      </c>
      <c r="G136">
        <v>6700</v>
      </c>
      <c r="H136">
        <v>7230</v>
      </c>
      <c r="I136">
        <v>7750</v>
      </c>
      <c r="J136">
        <v>8300</v>
      </c>
      <c r="K136">
        <v>8850</v>
      </c>
      <c r="L136">
        <v>9350</v>
      </c>
      <c r="M136">
        <v>9900</v>
      </c>
      <c r="N136" s="12">
        <v>10400</v>
      </c>
      <c r="O136" s="12">
        <v>10900</v>
      </c>
      <c r="P136" s="12">
        <v>11400</v>
      </c>
      <c r="Q136" s="12">
        <v>11800</v>
      </c>
      <c r="R136" s="259">
        <v>99999</v>
      </c>
      <c r="S136" s="22">
        <v>99999</v>
      </c>
      <c r="T136" s="139"/>
      <c r="U136" s="140"/>
      <c r="V136" s="17"/>
      <c r="W136" s="139"/>
      <c r="X136" s="140"/>
      <c r="AB136" s="2"/>
      <c r="AC136" s="2"/>
      <c r="AD136" s="2"/>
      <c r="AG136" s="2"/>
      <c r="AH136" s="2"/>
      <c r="AI136" s="2"/>
      <c r="AJ136" s="139"/>
      <c r="AK136" s="140"/>
      <c r="AO136" s="2"/>
      <c r="AP136" s="2"/>
      <c r="AQ136" s="2"/>
      <c r="AR136" s="139"/>
      <c r="AS136" s="140"/>
      <c r="AW136" s="2"/>
      <c r="AX136" s="2"/>
      <c r="AY136" s="2"/>
      <c r="AZ136" s="139"/>
      <c r="BA136" s="140"/>
      <c r="BE136" s="2"/>
      <c r="BF136" s="2"/>
      <c r="BG136" s="2"/>
      <c r="BH136" s="139"/>
      <c r="BI136" s="140"/>
    </row>
    <row r="137" spans="1:61" ht="15" customHeight="1" x14ac:dyDescent="0.3">
      <c r="A137">
        <v>0</v>
      </c>
      <c r="B137" s="233">
        <v>4000</v>
      </c>
      <c r="C137" s="203">
        <v>4500</v>
      </c>
      <c r="D137">
        <v>5000</v>
      </c>
      <c r="E137">
        <v>5500</v>
      </c>
      <c r="F137">
        <v>6000</v>
      </c>
      <c r="G137">
        <v>6500</v>
      </c>
      <c r="H137">
        <v>7000</v>
      </c>
      <c r="I137">
        <v>7500</v>
      </c>
      <c r="J137">
        <v>8000</v>
      </c>
      <c r="K137">
        <v>8500</v>
      </c>
      <c r="L137">
        <v>9000</v>
      </c>
      <c r="M137">
        <v>9500</v>
      </c>
      <c r="N137" s="12">
        <v>10000</v>
      </c>
      <c r="O137" s="12">
        <v>10500</v>
      </c>
      <c r="P137" s="12">
        <v>11000</v>
      </c>
      <c r="Q137" s="12">
        <v>11500</v>
      </c>
      <c r="R137" s="22">
        <v>12000</v>
      </c>
      <c r="S137" s="22">
        <v>99999</v>
      </c>
      <c r="T137" s="139"/>
      <c r="U137" s="140"/>
      <c r="V137" s="17"/>
      <c r="W137" s="139"/>
      <c r="X137" s="140"/>
      <c r="AB137" s="2"/>
      <c r="AC137" s="2"/>
      <c r="AD137" s="2"/>
      <c r="AG137" s="2"/>
      <c r="AH137" s="2"/>
      <c r="AI137" s="2"/>
      <c r="AJ137" s="139"/>
      <c r="AK137" s="140"/>
      <c r="AO137" s="2"/>
      <c r="AP137" s="2"/>
      <c r="AQ137" s="2"/>
      <c r="AR137" s="139"/>
      <c r="AS137" s="140"/>
      <c r="AW137" s="2"/>
      <c r="AX137" s="2"/>
      <c r="AY137" s="2"/>
      <c r="AZ137" s="139"/>
      <c r="BA137" s="140"/>
      <c r="BE137" s="2"/>
      <c r="BF137" s="2"/>
      <c r="BG137" s="2"/>
      <c r="BH137" s="139"/>
      <c r="BI137" s="140"/>
    </row>
    <row r="138" spans="1:61" ht="15" customHeight="1" x14ac:dyDescent="0.3">
      <c r="A138">
        <v>1</v>
      </c>
      <c r="B138" s="233">
        <v>3800</v>
      </c>
      <c r="C138" s="203">
        <v>4300</v>
      </c>
      <c r="D138">
        <v>4850</v>
      </c>
      <c r="E138">
        <v>5350</v>
      </c>
      <c r="F138">
        <v>5880</v>
      </c>
      <c r="G138">
        <v>6400</v>
      </c>
      <c r="H138">
        <v>6900</v>
      </c>
      <c r="I138">
        <v>7400</v>
      </c>
      <c r="J138">
        <v>7900</v>
      </c>
      <c r="K138">
        <v>8400</v>
      </c>
      <c r="L138">
        <v>8880</v>
      </c>
      <c r="M138">
        <v>9350</v>
      </c>
      <c r="N138">
        <v>9750</v>
      </c>
      <c r="O138">
        <v>10300</v>
      </c>
      <c r="P138">
        <v>10800</v>
      </c>
      <c r="Q138">
        <v>11250</v>
      </c>
      <c r="R138" s="18">
        <v>11700</v>
      </c>
      <c r="S138" s="22">
        <v>99999</v>
      </c>
      <c r="T138" s="139"/>
      <c r="U138" s="140"/>
      <c r="V138" s="17"/>
      <c r="W138" s="139"/>
      <c r="X138" s="140"/>
      <c r="AG138" s="2"/>
      <c r="AH138" s="2"/>
      <c r="AI138" s="2"/>
      <c r="AJ138" s="139"/>
      <c r="AK138" s="140"/>
      <c r="AO138" s="2"/>
      <c r="AP138" s="2"/>
      <c r="AQ138" s="2"/>
      <c r="AR138" s="139"/>
      <c r="AS138" s="140"/>
      <c r="AW138" s="2"/>
      <c r="AX138" s="2"/>
      <c r="AY138" s="2"/>
      <c r="AZ138" s="139"/>
      <c r="BA138" s="140"/>
      <c r="BE138" s="2"/>
      <c r="BF138" s="2"/>
      <c r="BG138" s="2"/>
      <c r="BH138" s="139"/>
      <c r="BI138" s="140"/>
    </row>
    <row r="139" spans="1:61" ht="15" customHeight="1" x14ac:dyDescent="0.3">
      <c r="A139">
        <v>2</v>
      </c>
      <c r="B139" s="234">
        <v>3600</v>
      </c>
      <c r="C139" s="235">
        <v>4100</v>
      </c>
      <c r="D139" s="68">
        <v>4600</v>
      </c>
      <c r="E139" s="68">
        <v>5100</v>
      </c>
      <c r="F139" s="68">
        <v>5650</v>
      </c>
      <c r="G139" s="68">
        <v>6150</v>
      </c>
      <c r="H139" s="68">
        <v>6650</v>
      </c>
      <c r="I139" s="68">
        <v>7150</v>
      </c>
      <c r="J139" s="68">
        <v>7175</v>
      </c>
      <c r="K139" s="68">
        <v>8150</v>
      </c>
      <c r="L139" s="68">
        <v>8600</v>
      </c>
      <c r="M139" s="68">
        <v>9100</v>
      </c>
      <c r="N139" s="260">
        <v>9550</v>
      </c>
      <c r="O139" s="260">
        <v>10000</v>
      </c>
      <c r="P139" s="260">
        <v>10430</v>
      </c>
      <c r="Q139" s="260">
        <v>10820</v>
      </c>
      <c r="R139" s="261">
        <v>11250</v>
      </c>
      <c r="S139" s="22">
        <v>99999</v>
      </c>
      <c r="T139" s="139"/>
      <c r="U139" s="140"/>
      <c r="V139" s="17"/>
      <c r="W139" s="139"/>
      <c r="X139" s="140"/>
      <c r="AG139" s="2"/>
      <c r="AH139" s="2"/>
      <c r="AI139" s="2"/>
      <c r="AJ139" s="139"/>
      <c r="AK139" s="140"/>
      <c r="AO139" s="2"/>
      <c r="AP139" s="2"/>
      <c r="AQ139" s="2"/>
      <c r="AR139" s="139"/>
      <c r="AS139" s="140"/>
      <c r="AW139" s="2"/>
      <c r="AX139" s="2"/>
      <c r="AY139" s="2"/>
      <c r="AZ139" s="139"/>
      <c r="BA139" s="140"/>
      <c r="BE139" s="2"/>
      <c r="BF139" s="2"/>
      <c r="BG139" s="2"/>
      <c r="BH139" s="139"/>
      <c r="BI139" s="140"/>
    </row>
    <row r="140" spans="1:61" ht="15" customHeight="1" x14ac:dyDescent="0.3">
      <c r="A140">
        <v>3</v>
      </c>
      <c r="B140" s="234">
        <v>99999</v>
      </c>
      <c r="C140" s="235">
        <v>99999</v>
      </c>
      <c r="D140" s="235">
        <v>99999</v>
      </c>
      <c r="E140" s="235">
        <v>99999</v>
      </c>
      <c r="F140" s="235">
        <v>99999</v>
      </c>
      <c r="G140" s="235">
        <v>99999</v>
      </c>
      <c r="H140" s="235">
        <v>99999</v>
      </c>
      <c r="I140" s="235">
        <v>99999</v>
      </c>
      <c r="J140" s="235">
        <v>99999</v>
      </c>
      <c r="K140" s="235">
        <v>99999</v>
      </c>
      <c r="L140" s="235">
        <v>99999</v>
      </c>
      <c r="M140" s="235">
        <v>99999</v>
      </c>
      <c r="N140" s="235">
        <v>99999</v>
      </c>
      <c r="O140" s="235">
        <v>99999</v>
      </c>
      <c r="P140" s="235">
        <v>99999</v>
      </c>
      <c r="Q140" s="235">
        <v>99999</v>
      </c>
      <c r="R140" s="235">
        <v>99999</v>
      </c>
      <c r="S140" s="235">
        <v>99999</v>
      </c>
      <c r="V140" s="53"/>
      <c r="W140" s="2"/>
      <c r="X140" s="2"/>
      <c r="AA140" s="2"/>
      <c r="AB140" s="2"/>
      <c r="AC140" s="2"/>
      <c r="AD140" s="139"/>
      <c r="AE140" s="140"/>
      <c r="AI140" s="2"/>
      <c r="AJ140" s="2"/>
      <c r="AK140" s="2"/>
      <c r="AL140" s="139"/>
      <c r="AM140" s="140"/>
      <c r="AQ140" s="2"/>
      <c r="AR140" s="2"/>
      <c r="AS140" s="2"/>
      <c r="AT140" s="139"/>
      <c r="AU140" s="140"/>
      <c r="AY140" s="2"/>
      <c r="AZ140" s="2"/>
      <c r="BA140" s="2"/>
      <c r="BB140" s="139"/>
      <c r="BC140" s="140"/>
    </row>
    <row r="141" spans="1:61" ht="15" customHeight="1" x14ac:dyDescent="0.3">
      <c r="B141" s="139"/>
      <c r="C141" s="140"/>
      <c r="G141" s="2"/>
      <c r="H141" s="2"/>
      <c r="I141" s="2"/>
      <c r="J141" s="139"/>
      <c r="K141" s="140"/>
      <c r="O141" s="2"/>
      <c r="P141" s="2"/>
      <c r="Q141" s="2"/>
      <c r="R141" s="139"/>
      <c r="S141" s="140"/>
      <c r="V141" s="17"/>
      <c r="W141" s="2"/>
      <c r="X141" s="2"/>
      <c r="Y141" s="2"/>
      <c r="Z141" s="139"/>
      <c r="AA141" s="140"/>
      <c r="AE141" s="2"/>
      <c r="AF141" s="2"/>
      <c r="AG141" s="2"/>
      <c r="AH141" s="139"/>
      <c r="AI141" s="140"/>
      <c r="AM141" s="2"/>
      <c r="AN141" s="2"/>
      <c r="AO141" s="2"/>
      <c r="AP141" s="139"/>
      <c r="AQ141" s="140"/>
      <c r="AU141" s="2"/>
      <c r="AV141" s="2"/>
      <c r="AW141" s="2"/>
      <c r="AX141" s="139"/>
      <c r="AY141" s="140"/>
    </row>
    <row r="142" spans="1:61" ht="15" customHeight="1" x14ac:dyDescent="0.3">
      <c r="B142" s="139" t="s">
        <v>146</v>
      </c>
      <c r="C142" s="140">
        <f ca="1">C38</f>
        <v>7558.95</v>
      </c>
      <c r="D142" s="355" t="s">
        <v>201</v>
      </c>
      <c r="E142" s="355"/>
      <c r="G142" s="2"/>
      <c r="H142" s="2"/>
      <c r="I142" s="2"/>
      <c r="J142" s="139" t="s">
        <v>146</v>
      </c>
      <c r="K142" s="140">
        <f ca="1">K38</f>
        <v>7187.32</v>
      </c>
      <c r="L142" s="355" t="s">
        <v>201</v>
      </c>
      <c r="M142" s="355"/>
      <c r="O142" s="2"/>
      <c r="P142" s="2"/>
      <c r="Q142" s="2"/>
      <c r="R142" s="139" t="s">
        <v>146</v>
      </c>
      <c r="S142" s="140">
        <f ca="1">S38</f>
        <v>6592.45</v>
      </c>
      <c r="T142" s="355" t="s">
        <v>201</v>
      </c>
      <c r="U142" s="355"/>
      <c r="W142" s="2"/>
      <c r="X142" s="2"/>
      <c r="Y142" s="2"/>
      <c r="Z142" s="139" t="s">
        <v>146</v>
      </c>
      <c r="AA142" s="140">
        <f ca="1">AA38</f>
        <v>6059.58</v>
      </c>
      <c r="AB142" s="355" t="s">
        <v>201</v>
      </c>
      <c r="AC142" s="355"/>
      <c r="AE142" s="2"/>
      <c r="AF142" s="2"/>
      <c r="AG142" s="2"/>
      <c r="AH142" s="139" t="s">
        <v>146</v>
      </c>
      <c r="AI142" s="140">
        <f ca="1">AI38</f>
        <v>5573.33</v>
      </c>
      <c r="AJ142" s="355" t="s">
        <v>201</v>
      </c>
      <c r="AK142" s="355"/>
      <c r="AM142" s="2"/>
      <c r="AN142" s="2"/>
      <c r="AO142" s="2"/>
      <c r="AP142" s="139" t="s">
        <v>146</v>
      </c>
      <c r="AQ142" s="140">
        <f ca="1">AQ38</f>
        <v>5470.46</v>
      </c>
      <c r="AR142" s="355" t="s">
        <v>201</v>
      </c>
      <c r="AS142" s="355"/>
      <c r="AU142" s="2"/>
      <c r="AV142" s="2"/>
      <c r="AW142" s="2"/>
      <c r="AX142" s="139" t="s">
        <v>146</v>
      </c>
      <c r="AY142" s="140">
        <f ca="1">AY38</f>
        <v>0</v>
      </c>
      <c r="AZ142" s="355" t="s">
        <v>201</v>
      </c>
      <c r="BA142" s="355"/>
    </row>
    <row r="143" spans="1:61" ht="15" customHeight="1" x14ac:dyDescent="0.3">
      <c r="B143" s="16" t="s">
        <v>202</v>
      </c>
      <c r="C143" s="141">
        <f t="array" aca="1" ref="C143" ca="1">INDEX($B133:$S133,MATCH(C142,$B133:$S133,1))</f>
        <v>7500</v>
      </c>
      <c r="D143" s="16" t="s">
        <v>144</v>
      </c>
      <c r="E143" s="17">
        <f>MATCH(MAX($A134:$A140),$A134:$A140,1)</f>
        <v>7</v>
      </c>
      <c r="G143" s="2"/>
      <c r="H143" s="2"/>
      <c r="I143" s="2"/>
      <c r="J143" s="16" t="s">
        <v>202</v>
      </c>
      <c r="K143" s="141">
        <f t="array" aca="1" ref="K143" ca="1">INDEX($B133:$S133,MATCH(K142,$B133:$S133,1))</f>
        <v>7000</v>
      </c>
      <c r="L143" s="16" t="s">
        <v>144</v>
      </c>
      <c r="M143" s="17">
        <f>MATCH(MAX($A134:$A140),$A134:$A140,1)</f>
        <v>7</v>
      </c>
      <c r="O143" s="2"/>
      <c r="P143" s="2"/>
      <c r="Q143" s="2"/>
      <c r="R143" s="16" t="s">
        <v>202</v>
      </c>
      <c r="S143" s="141">
        <f t="array" aca="1" ref="S143" ca="1">INDEX($B133:$S133,MATCH(S142,$B133:$S133,1))</f>
        <v>6500</v>
      </c>
      <c r="T143" s="16" t="s">
        <v>144</v>
      </c>
      <c r="U143" s="17">
        <f>MATCH(MAX($A134:$A140),$A134:$A140,1)</f>
        <v>7</v>
      </c>
      <c r="W143" s="2"/>
      <c r="X143" s="2"/>
      <c r="Y143" s="2"/>
      <c r="Z143" s="16" t="s">
        <v>202</v>
      </c>
      <c r="AA143" s="141">
        <f t="array" aca="1" ref="AA143" ca="1">INDEX($B133:$S133,MATCH(AA142,$B133:$S133,1))</f>
        <v>6000</v>
      </c>
      <c r="AB143" s="16" t="s">
        <v>144</v>
      </c>
      <c r="AC143" s="17">
        <f>MATCH(MAX($A134:$A140),$A134:$A140,1)</f>
        <v>7</v>
      </c>
      <c r="AE143" s="2"/>
      <c r="AF143" s="2"/>
      <c r="AG143" s="2"/>
      <c r="AH143" s="16" t="s">
        <v>202</v>
      </c>
      <c r="AI143" s="141">
        <f t="array" aca="1" ref="AI143" ca="1">INDEX($B133:$S133,MATCH(AI142,$B133:$S133,1))</f>
        <v>5500</v>
      </c>
      <c r="AJ143" s="16" t="s">
        <v>144</v>
      </c>
      <c r="AK143" s="17">
        <f>MATCH(MAX($A134:$A140),$A134:$A140,1)</f>
        <v>7</v>
      </c>
      <c r="AM143" s="2"/>
      <c r="AN143" s="2"/>
      <c r="AO143" s="2"/>
      <c r="AP143" s="16" t="s">
        <v>202</v>
      </c>
      <c r="AQ143" s="141">
        <f t="array" aca="1" ref="AQ143" ca="1">INDEX($B133:$S133,MATCH(AQ142,$B133:$S133,1))</f>
        <v>5000</v>
      </c>
      <c r="AR143" s="16" t="s">
        <v>144</v>
      </c>
      <c r="AS143" s="17">
        <f>MATCH(MAX($A134:$A140),$A134:$A140,1)</f>
        <v>7</v>
      </c>
      <c r="AU143" s="2"/>
      <c r="AV143" s="2"/>
      <c r="AW143" s="2"/>
      <c r="AX143" s="16" t="s">
        <v>202</v>
      </c>
      <c r="AY143" s="141" t="e">
        <f t="array" aca="1" ref="AY143" ca="1">INDEX($B133:$S133,MATCH(AY142,$B133:$S133,1))</f>
        <v>#N/A</v>
      </c>
      <c r="AZ143" s="16" t="s">
        <v>144</v>
      </c>
      <c r="BA143" s="17">
        <f>MATCH(MAX($A134:$A140),$A134:$A140,1)</f>
        <v>7</v>
      </c>
    </row>
    <row r="144" spans="1:61" ht="15" customHeight="1" x14ac:dyDescent="0.3">
      <c r="B144" s="16" t="s">
        <v>203</v>
      </c>
      <c r="C144" s="141">
        <f t="array" aca="1" ref="C144" ca="1">INDEX($B133:$S133,IF(MATCH(C142,$B133:$S133,1)&lt;E144,MATCH(C142,$B133:$S133,1)+1,MATCH(C142,$B133:$S133,1)))</f>
        <v>8000</v>
      </c>
      <c r="D144" s="16" t="s">
        <v>145</v>
      </c>
      <c r="E144" s="17">
        <f>MATCH(MAX($B133:$S133),$B133:$S133,0)</f>
        <v>18</v>
      </c>
      <c r="G144" s="2"/>
      <c r="H144" s="2"/>
      <c r="I144" s="2"/>
      <c r="J144" s="16" t="s">
        <v>203</v>
      </c>
      <c r="K144" s="141">
        <f t="array" aca="1" ref="K144" ca="1">INDEX($B133:$S133,IF(MATCH(K142,$B133:$S133,1)&lt;M144,MATCH(K142,$B133:$S133,1)+1,MATCH(K142,$B133:$S133,1)))</f>
        <v>7500</v>
      </c>
      <c r="L144" s="16" t="s">
        <v>145</v>
      </c>
      <c r="M144" s="17">
        <f>MATCH(MAX($B133:$S133),$B133:$S133,0)</f>
        <v>18</v>
      </c>
      <c r="O144" s="2"/>
      <c r="P144" s="2"/>
      <c r="Q144" s="2"/>
      <c r="R144" s="16" t="s">
        <v>203</v>
      </c>
      <c r="S144" s="141">
        <f t="array" aca="1" ref="S144" ca="1">INDEX($B133:$S133,IF(MATCH(S142,$B133:$S133,1)&lt;U144,MATCH(S142,$B133:$S133,1)+1,MATCH(S142,$B133:$S133,1)))</f>
        <v>7000</v>
      </c>
      <c r="T144" s="16" t="s">
        <v>145</v>
      </c>
      <c r="U144" s="17">
        <f>MATCH(MAX($B133:$S133),$B133:$S133,0)</f>
        <v>18</v>
      </c>
      <c r="W144" s="2"/>
      <c r="X144" s="2"/>
      <c r="Y144" s="2"/>
      <c r="Z144" s="16" t="s">
        <v>203</v>
      </c>
      <c r="AA144" s="141">
        <f t="array" aca="1" ref="AA144" ca="1">INDEX($B133:$S133,IF(MATCH(AA142,$B133:$S133,1)&lt;AC144,MATCH(AA142,$B133:$S133,1)+1,MATCH(AA142,$B133:$S133,1)))</f>
        <v>6500</v>
      </c>
      <c r="AB144" s="16" t="s">
        <v>145</v>
      </c>
      <c r="AC144" s="17">
        <f>MATCH(MAX($B133:$S133),$B133:$S133,0)</f>
        <v>18</v>
      </c>
      <c r="AE144" s="2"/>
      <c r="AF144" s="2"/>
      <c r="AG144" s="2"/>
      <c r="AH144" s="16" t="s">
        <v>203</v>
      </c>
      <c r="AI144" s="141">
        <f t="array" aca="1" ref="AI144" ca="1">INDEX($B133:$S133,IF(MATCH(AI142,$B133:$S133,1)&lt;AK144,MATCH(AI142,$B133:$S133,1)+1,MATCH(AI142,$B133:$S133,1)))</f>
        <v>6000</v>
      </c>
      <c r="AJ144" s="16" t="s">
        <v>145</v>
      </c>
      <c r="AK144" s="17">
        <f>MATCH(MAX($B133:$S133),$B133:$S133,0)</f>
        <v>18</v>
      </c>
      <c r="AM144" s="2"/>
      <c r="AN144" s="2"/>
      <c r="AO144" s="2"/>
      <c r="AP144" s="16" t="s">
        <v>203</v>
      </c>
      <c r="AQ144" s="141">
        <f t="array" aca="1" ref="AQ144" ca="1">INDEX($B133:$S133,IF(MATCH(AQ142,$B133:$S133,1)&lt;AS144,MATCH(AQ142,$B133:$S133,1)+1,MATCH(AQ142,$B133:$S133,1)))</f>
        <v>5500</v>
      </c>
      <c r="AR144" s="16" t="s">
        <v>145</v>
      </c>
      <c r="AS144" s="17">
        <f>MATCH(MAX($B133:$S133),$B133:$S133,0)</f>
        <v>18</v>
      </c>
      <c r="AU144" s="2"/>
      <c r="AV144" s="2"/>
      <c r="AW144" s="2"/>
      <c r="AX144" s="16" t="s">
        <v>203</v>
      </c>
      <c r="AY144" s="141" t="e">
        <f t="array" aca="1" ref="AY144" ca="1">INDEX($B133:$S133,IF(MATCH(AY142,$B133:$S133,1)&lt;BA144,MATCH(AY142,$B133:$S133,1)+1,MATCH(AY142,$B133:$S133,1)))</f>
        <v>#N/A</v>
      </c>
      <c r="AZ144" s="16" t="s">
        <v>145</v>
      </c>
      <c r="BA144" s="17">
        <f>MATCH(MAX($B133:$S133),$B133:$S133,0)</f>
        <v>18</v>
      </c>
    </row>
    <row r="145" spans="1:61" ht="15" customHeight="1" x14ac:dyDescent="0.3">
      <c r="B145" s="139" t="s">
        <v>147</v>
      </c>
      <c r="C145" s="186">
        <f>'Take-off'!$C$17</f>
        <v>0</v>
      </c>
      <c r="D145" s="2"/>
      <c r="E145" s="2"/>
      <c r="G145" s="2"/>
      <c r="H145" s="2"/>
      <c r="I145" s="2"/>
      <c r="J145" s="139" t="s">
        <v>147</v>
      </c>
      <c r="K145" s="186">
        <f>'Take-off'!$C$17</f>
        <v>0</v>
      </c>
      <c r="L145" s="2"/>
      <c r="M145" s="2"/>
      <c r="O145" s="2"/>
      <c r="P145" s="2"/>
      <c r="Q145" s="2"/>
      <c r="R145" s="139" t="s">
        <v>147</v>
      </c>
      <c r="S145" s="186">
        <f>'Take-off'!$C$17</f>
        <v>0</v>
      </c>
      <c r="T145" s="2"/>
      <c r="U145" s="2"/>
      <c r="W145" s="2"/>
      <c r="X145" s="2"/>
      <c r="Y145" s="2"/>
      <c r="Z145" s="139" t="s">
        <v>147</v>
      </c>
      <c r="AA145" s="186">
        <f>'Take-off'!$C$17</f>
        <v>0</v>
      </c>
      <c r="AB145" s="2"/>
      <c r="AC145" s="2"/>
      <c r="AE145" s="2"/>
      <c r="AF145" s="2"/>
      <c r="AG145" s="2"/>
      <c r="AH145" s="139" t="s">
        <v>147</v>
      </c>
      <c r="AI145" s="186">
        <f>'Take-off'!$C$17</f>
        <v>0</v>
      </c>
      <c r="AJ145" s="2"/>
      <c r="AK145" s="2"/>
      <c r="AM145" s="2"/>
      <c r="AN145" s="2"/>
      <c r="AO145" s="2"/>
      <c r="AP145" s="139" t="s">
        <v>147</v>
      </c>
      <c r="AQ145" s="186">
        <f>'Take-off'!$C$17</f>
        <v>0</v>
      </c>
      <c r="AR145" s="2"/>
      <c r="AS145" s="2"/>
      <c r="AU145" s="2"/>
      <c r="AV145" s="2"/>
      <c r="AW145" s="2"/>
      <c r="AX145" s="139" t="s">
        <v>147</v>
      </c>
      <c r="AY145" s="186">
        <f>'Take-off'!$C$17</f>
        <v>0</v>
      </c>
      <c r="AZ145" s="2"/>
      <c r="BA145" s="2"/>
    </row>
    <row r="146" spans="1:61" ht="15" customHeight="1" x14ac:dyDescent="0.3">
      <c r="B146" s="16" t="s">
        <v>148</v>
      </c>
      <c r="C146" s="141">
        <f t="array" ref="C146">INDEX($A134:$A140,MATCH(C145,$A134:$A140,1))</f>
        <v>0</v>
      </c>
      <c r="D146" s="2"/>
      <c r="E146" s="42"/>
      <c r="G146" s="2"/>
      <c r="H146" s="2"/>
      <c r="I146" s="2"/>
      <c r="J146" s="16" t="s">
        <v>148</v>
      </c>
      <c r="K146" s="141">
        <f t="array" ref="K146">INDEX($A134:$A140,MATCH(K145,$A134:$A140,1))</f>
        <v>0</v>
      </c>
      <c r="L146" s="2"/>
      <c r="M146" s="42"/>
      <c r="O146" s="2"/>
      <c r="P146" s="2"/>
      <c r="Q146" s="2"/>
      <c r="R146" s="16" t="s">
        <v>148</v>
      </c>
      <c r="S146" s="141">
        <f t="array" ref="S146">INDEX($A134:$A140,MATCH(S145,$A134:$A140,1))</f>
        <v>0</v>
      </c>
      <c r="T146" s="2"/>
      <c r="U146" s="42"/>
      <c r="W146" s="2"/>
      <c r="X146" s="2"/>
      <c r="Y146" s="2"/>
      <c r="Z146" s="16" t="s">
        <v>148</v>
      </c>
      <c r="AA146" s="141">
        <f t="array" ref="AA146">INDEX($A134:$A140,MATCH(AA145,$A134:$A140,1))</f>
        <v>0</v>
      </c>
      <c r="AB146" s="2"/>
      <c r="AC146" s="42"/>
      <c r="AE146" s="2"/>
      <c r="AF146" s="2"/>
      <c r="AG146" s="2"/>
      <c r="AH146" s="16" t="s">
        <v>148</v>
      </c>
      <c r="AI146" s="141">
        <f t="array" ref="AI146">INDEX($A134:$A140,MATCH(AI145,$A134:$A140,1))</f>
        <v>0</v>
      </c>
      <c r="AJ146" s="2"/>
      <c r="AK146" s="42"/>
      <c r="AM146" s="2"/>
      <c r="AN146" s="2"/>
      <c r="AO146" s="2"/>
      <c r="AP146" s="16" t="s">
        <v>148</v>
      </c>
      <c r="AQ146" s="141">
        <f t="array" ref="AQ146">INDEX($A134:$A140,MATCH(AQ145,$A134:$A140,1))</f>
        <v>0</v>
      </c>
      <c r="AR146" s="2"/>
      <c r="AS146" s="42"/>
      <c r="AU146" s="2"/>
      <c r="AV146" s="2"/>
      <c r="AW146" s="2"/>
      <c r="AX146" s="16" t="s">
        <v>148</v>
      </c>
      <c r="AY146" s="141">
        <f t="array" ref="AY146">INDEX($A134:$A140,MATCH(AY145,$A134:$A140,1))</f>
        <v>0</v>
      </c>
      <c r="AZ146" s="2"/>
      <c r="BA146" s="42"/>
    </row>
    <row r="147" spans="1:61" ht="15" customHeight="1" x14ac:dyDescent="0.3">
      <c r="B147" s="16" t="s">
        <v>149</v>
      </c>
      <c r="C147" s="141">
        <f t="array" ref="C147">INDEX($A134:$A140,IF(MATCH(C145,$A134:$A140,1)&lt;E143,MATCH(C145,$A134:$A140,1)+1,MATCH(C145,$A134:$A140,1)))</f>
        <v>1</v>
      </c>
      <c r="D147" s="2"/>
      <c r="E147" s="42"/>
      <c r="G147" s="2"/>
      <c r="H147" s="2"/>
      <c r="I147" s="2"/>
      <c r="J147" s="16" t="s">
        <v>149</v>
      </c>
      <c r="K147" s="141">
        <f t="array" ref="K147">INDEX($A134:$A140,IF(MATCH(K145,$A134:$A140,1)&lt;M143,MATCH(K145,$A134:$A140,1)+1,MATCH(K145,$A134:$A140,1)))</f>
        <v>1</v>
      </c>
      <c r="L147" s="2"/>
      <c r="M147" s="42"/>
      <c r="O147" s="2"/>
      <c r="P147" s="2"/>
      <c r="Q147" s="2"/>
      <c r="R147" s="16" t="s">
        <v>149</v>
      </c>
      <c r="S147" s="141">
        <f t="array" ref="S147">INDEX($A134:$A140,IF(MATCH(S145,$A134:$A140,1)&lt;U143,MATCH(S145,$A134:$A140,1)+1,MATCH(S145,$A134:$A140,1)))</f>
        <v>1</v>
      </c>
      <c r="T147" s="2"/>
      <c r="U147" s="42"/>
      <c r="W147" s="2"/>
      <c r="X147" s="2"/>
      <c r="Y147" s="2"/>
      <c r="Z147" s="16" t="s">
        <v>149</v>
      </c>
      <c r="AA147" s="141">
        <f t="array" ref="AA147">INDEX($A134:$A140,IF(MATCH(AA145,$A134:$A140,1)&lt;AC143,MATCH(AA145,$A134:$A140,1)+1,MATCH(AA145,$A134:$A140,1)))</f>
        <v>1</v>
      </c>
      <c r="AB147" s="2"/>
      <c r="AC147" s="42"/>
      <c r="AE147" s="2"/>
      <c r="AF147" s="2"/>
      <c r="AG147" s="2"/>
      <c r="AH147" s="16" t="s">
        <v>149</v>
      </c>
      <c r="AI147" s="141">
        <f t="array" ref="AI147">INDEX($A134:$A140,IF(MATCH(AI145,$A134:$A140,1)&lt;AK143,MATCH(AI145,$A134:$A140,1)+1,MATCH(AI145,$A134:$A140,1)))</f>
        <v>1</v>
      </c>
      <c r="AJ147" s="2"/>
      <c r="AK147" s="42"/>
      <c r="AM147" s="2"/>
      <c r="AN147" s="2"/>
      <c r="AO147" s="2"/>
      <c r="AP147" s="16" t="s">
        <v>149</v>
      </c>
      <c r="AQ147" s="141">
        <f t="array" ref="AQ147">INDEX($A134:$A140,IF(MATCH(AQ145,$A134:$A140,1)&lt;AS143,MATCH(AQ145,$A134:$A140,1)+1,MATCH(AQ145,$A134:$A140,1)))</f>
        <v>1</v>
      </c>
      <c r="AR147" s="2"/>
      <c r="AS147" s="42"/>
      <c r="AU147" s="2"/>
      <c r="AV147" s="2"/>
      <c r="AW147" s="2"/>
      <c r="AX147" s="16" t="s">
        <v>149</v>
      </c>
      <c r="AY147" s="141">
        <f t="array" ref="AY147">INDEX($A134:$A140,IF(MATCH(AY145,$A134:$A140,1)&lt;BA143,MATCH(AY145,$A134:$A140,1)+1,MATCH(AY145,$A134:$A140,1)))</f>
        <v>1</v>
      </c>
      <c r="AZ147" s="2"/>
      <c r="BA147" s="42"/>
    </row>
    <row r="148" spans="1:61" ht="15" customHeight="1" x14ac:dyDescent="0.3">
      <c r="B148" s="139" t="s">
        <v>150</v>
      </c>
      <c r="C148" s="140">
        <f t="array" aca="1" ref="C148" ca="1">INDEX($B134:$S140,MATCH(C145,$A134:$A140,1),MATCH(C142,$B133:$S133,1))</f>
        <v>7500</v>
      </c>
      <c r="D148" s="2"/>
      <c r="E148" s="42"/>
      <c r="G148" s="2"/>
      <c r="H148" s="2"/>
      <c r="I148" s="2"/>
      <c r="J148" s="139" t="s">
        <v>150</v>
      </c>
      <c r="K148" s="140">
        <f t="array" aca="1" ref="K148" ca="1">INDEX($B134:$S140,MATCH(K145,$A134:$A140,1),MATCH(K142,$B133:$S133,1))</f>
        <v>7000</v>
      </c>
      <c r="L148" s="2"/>
      <c r="M148" s="42"/>
      <c r="O148" s="2"/>
      <c r="P148" s="2"/>
      <c r="Q148" s="2"/>
      <c r="R148" s="139" t="s">
        <v>150</v>
      </c>
      <c r="S148" s="140">
        <f t="array" aca="1" ref="S148" ca="1">INDEX($B134:$S140,MATCH(S145,$A134:$A140,1),MATCH(S142,$B133:$S133,1))</f>
        <v>6500</v>
      </c>
      <c r="T148" s="2"/>
      <c r="U148" s="42"/>
      <c r="W148" s="2"/>
      <c r="X148" s="2"/>
      <c r="Y148" s="2"/>
      <c r="Z148" s="139" t="s">
        <v>150</v>
      </c>
      <c r="AA148" s="140">
        <f t="array" aca="1" ref="AA148" ca="1">INDEX($B134:$S140,MATCH(AA145,$A134:$A140,1),MATCH(AA142,$B133:$S133,1))</f>
        <v>6000</v>
      </c>
      <c r="AB148" s="2"/>
      <c r="AC148" s="42"/>
      <c r="AE148" s="2"/>
      <c r="AF148" s="2"/>
      <c r="AG148" s="2"/>
      <c r="AH148" s="139" t="s">
        <v>150</v>
      </c>
      <c r="AI148" s="140">
        <f t="array" aca="1" ref="AI148" ca="1">INDEX($B134:$S140,MATCH(AI145,$A134:$A140,1),MATCH(AI142,$B133:$S133,1))</f>
        <v>5500</v>
      </c>
      <c r="AJ148" s="2"/>
      <c r="AK148" s="42"/>
      <c r="AM148" s="2"/>
      <c r="AN148" s="2"/>
      <c r="AO148" s="2"/>
      <c r="AP148" s="139" t="s">
        <v>150</v>
      </c>
      <c r="AQ148" s="140">
        <f t="array" aca="1" ref="AQ148" ca="1">INDEX($B134:$S140,MATCH(AQ145,$A134:$A140,1),MATCH(AQ142,$B133:$S133,1))</f>
        <v>5000</v>
      </c>
      <c r="AR148" s="2"/>
      <c r="AS148" s="42"/>
      <c r="AU148" s="2"/>
      <c r="AV148" s="2"/>
      <c r="AW148" s="2"/>
      <c r="AX148" s="139" t="s">
        <v>150</v>
      </c>
      <c r="AY148" s="140" t="e">
        <f t="array" aca="1" ref="AY148" ca="1">INDEX($B134:$S140,MATCH(AY145,$A134:$A140,1),MATCH(AY142,$B133:$S133,1))</f>
        <v>#N/A</v>
      </c>
      <c r="AZ148" s="2"/>
      <c r="BA148" s="42"/>
    </row>
    <row r="149" spans="1:61" ht="15" customHeight="1" x14ac:dyDescent="0.3">
      <c r="B149" s="139" t="s">
        <v>204</v>
      </c>
      <c r="C149" s="140">
        <f t="array" aca="1" ref="C149" ca="1">INDEX($B134:$S140,MATCH(C145,$A134:$A140,1),IF(MATCH(C142,$B133:$S133,1)&lt;E144,MATCH(C142,$B133:$S133,1)+1,MATCH(C145,$A134:$A140,1)))</f>
        <v>8000</v>
      </c>
      <c r="E149" s="42"/>
      <c r="G149" s="2"/>
      <c r="H149" s="2"/>
      <c r="I149" s="2"/>
      <c r="J149" s="139" t="s">
        <v>204</v>
      </c>
      <c r="K149" s="140">
        <f t="array" aca="1" ref="K149" ca="1">INDEX($B134:$S140,MATCH(K145,$A134:$A140,1),IF(MATCH(K142,$B133:$S133,1)&lt;M144,MATCH(K142,$B133:$S133,1)+1,MATCH(K145,$A134:$A140,1)))</f>
        <v>7500</v>
      </c>
      <c r="M149" s="42"/>
      <c r="O149" s="2"/>
      <c r="P149" s="2"/>
      <c r="Q149" s="2"/>
      <c r="R149" s="139" t="s">
        <v>204</v>
      </c>
      <c r="S149" s="140">
        <f t="array" aca="1" ref="S149" ca="1">INDEX($B134:$S140,MATCH(S145,$A134:$A140,1),IF(MATCH(S142,$B133:$S133,1)&lt;U144,MATCH(S142,$B133:$S133,1)+1,MATCH(S145,$A134:$A140,1)))</f>
        <v>7000</v>
      </c>
      <c r="U149" s="42"/>
      <c r="W149" s="2"/>
      <c r="X149" s="2"/>
      <c r="Y149" s="2"/>
      <c r="Z149" s="139" t="s">
        <v>204</v>
      </c>
      <c r="AA149" s="140">
        <f t="array" aca="1" ref="AA149" ca="1">INDEX($B134:$S140,MATCH(AA145,$A134:$A140,1),IF(MATCH(AA142,$B133:$S133,1)&lt;AC144,MATCH(AA142,$B133:$S133,1)+1,MATCH(AA145,$A134:$A140,1)))</f>
        <v>6500</v>
      </c>
      <c r="AC149" s="42"/>
      <c r="AE149" s="2"/>
      <c r="AF149" s="2"/>
      <c r="AG149" s="2"/>
      <c r="AH149" s="139" t="s">
        <v>204</v>
      </c>
      <c r="AI149" s="140">
        <f t="array" aca="1" ref="AI149" ca="1">INDEX($B134:$S140,MATCH(AI145,$A134:$A140,1),IF(MATCH(AI142,$B133:$S133,1)&lt;AK144,MATCH(AI142,$B133:$S133,1)+1,MATCH(AI145,$A134:$A140,1)))</f>
        <v>6000</v>
      </c>
      <c r="AK149" s="42"/>
      <c r="AM149" s="2"/>
      <c r="AN149" s="2"/>
      <c r="AO149" s="2"/>
      <c r="AP149" s="139" t="s">
        <v>204</v>
      </c>
      <c r="AQ149" s="140">
        <f t="array" aca="1" ref="AQ149" ca="1">INDEX($B134:$S140,MATCH(AQ145,$A134:$A140,1),IF(MATCH(AQ142,$B133:$S133,1)&lt;AS144,MATCH(AQ142,$B133:$S133,1)+1,MATCH(AQ145,$A134:$A140,1)))</f>
        <v>5500</v>
      </c>
      <c r="AS149" s="42"/>
      <c r="AU149" s="2"/>
      <c r="AV149" s="2"/>
      <c r="AW149" s="2"/>
      <c r="AX149" s="139" t="s">
        <v>204</v>
      </c>
      <c r="AY149" s="140" t="e">
        <f t="array" aca="1" ref="AY149" ca="1">INDEX($B134:$S140,MATCH(AY145,$A134:$A140,1),IF(MATCH(AY142,$B133:$S133,1)&lt;BA144,MATCH(AY142,$B133:$S133,1)+1,MATCH(AY145,$A134:$A140,1)))</f>
        <v>#N/A</v>
      </c>
      <c r="BA149" s="42"/>
    </row>
    <row r="150" spans="1:61" ht="15" customHeight="1" x14ac:dyDescent="0.3">
      <c r="B150" s="139" t="s">
        <v>151</v>
      </c>
      <c r="C150" s="140">
        <f t="array" aca="1" ref="C150" ca="1">INDEX($B134:$S140,IF(MATCH(C145,$A134:$A140,1)&lt;E143,MATCH(C145,$A134:$A140,1)+1,MATCH(C145,$A134:$A140,1)),MATCH(C142,$B133:$S133,1))</f>
        <v>7400</v>
      </c>
      <c r="E150" s="42"/>
      <c r="G150" s="2"/>
      <c r="H150" s="2"/>
      <c r="I150" s="2"/>
      <c r="J150" s="139" t="s">
        <v>151</v>
      </c>
      <c r="K150" s="140">
        <f t="array" aca="1" ref="K150" ca="1">INDEX($B134:$S140,IF(MATCH(K145,$A134:$A140,1)&lt;M143,MATCH(K145,$A134:$A140,1)+1,MATCH(K145,$A134:$A140,1)),MATCH(K142,$B133:$S133,1))</f>
        <v>6900</v>
      </c>
      <c r="M150" s="42"/>
      <c r="O150" s="2"/>
      <c r="P150" s="2"/>
      <c r="Q150" s="2"/>
      <c r="R150" s="139" t="s">
        <v>151</v>
      </c>
      <c r="S150" s="140">
        <f t="array" aca="1" ref="S150" ca="1">INDEX($B134:$S140,IF(MATCH(S145,$A134:$A140,1)&lt;U143,MATCH(S145,$A134:$A140,1)+1,MATCH(S145,$A134:$A140,1)),MATCH(S142,$B133:$S133,1))</f>
        <v>6400</v>
      </c>
      <c r="U150" s="42"/>
      <c r="W150" s="2"/>
      <c r="X150" s="2"/>
      <c r="Y150" s="2"/>
      <c r="Z150" s="139" t="s">
        <v>151</v>
      </c>
      <c r="AA150" s="140">
        <f t="array" aca="1" ref="AA150" ca="1">INDEX($B134:$S140,IF(MATCH(AA145,$A134:$A140,1)&lt;AC143,MATCH(AA145,$A134:$A140,1)+1,MATCH(AA145,$A134:$A140,1)),MATCH(AA142,$B133:$S133,1))</f>
        <v>5880</v>
      </c>
      <c r="AC150" s="42"/>
      <c r="AE150" s="2"/>
      <c r="AF150" s="2"/>
      <c r="AG150" s="2"/>
      <c r="AH150" s="139" t="s">
        <v>151</v>
      </c>
      <c r="AI150" s="140">
        <f t="array" aca="1" ref="AI150" ca="1">INDEX($B134:$S140,IF(MATCH(AI145,$A134:$A140,1)&lt;AK143,MATCH(AI145,$A134:$A140,1)+1,MATCH(AI145,$A134:$A140,1)),MATCH(AI142,$B133:$S133,1))</f>
        <v>5350</v>
      </c>
      <c r="AK150" s="42"/>
      <c r="AM150" s="2"/>
      <c r="AN150" s="2"/>
      <c r="AO150" s="2"/>
      <c r="AP150" s="139" t="s">
        <v>151</v>
      </c>
      <c r="AQ150" s="140">
        <f t="array" aca="1" ref="AQ150" ca="1">INDEX($B134:$S140,IF(MATCH(AQ145,$A134:$A140,1)&lt;AS143,MATCH(AQ145,$A134:$A140,1)+1,MATCH(AQ145,$A134:$A140,1)),MATCH(AQ142,$B133:$S133,1))</f>
        <v>4850</v>
      </c>
      <c r="AS150" s="42"/>
      <c r="AU150" s="2"/>
      <c r="AV150" s="2"/>
      <c r="AW150" s="2"/>
      <c r="AX150" s="139" t="s">
        <v>151</v>
      </c>
      <c r="AY150" s="140" t="e">
        <f t="array" aca="1" ref="AY150" ca="1">INDEX($B134:$S140,IF(MATCH(AY145,$A134:$A140,1)&lt;BA143,MATCH(AY145,$A134:$A140,1)+1,MATCH(AY145,$A134:$A140,1)),MATCH(AY142,$B133:$S133,1))</f>
        <v>#N/A</v>
      </c>
      <c r="BA150" s="42"/>
    </row>
    <row r="151" spans="1:61" ht="15" customHeight="1" x14ac:dyDescent="0.3">
      <c r="B151" s="139" t="s">
        <v>205</v>
      </c>
      <c r="C151" s="140">
        <f t="array" aca="1" ref="C151" ca="1">INDEX($B134:$S140,IF(MATCH(C145,$A134:$A140,1)&lt;E143,MATCH(C145,$A134:$A140,1)+1,MATCH(C145,$A134:$A140,1)),IF(MATCH(C142,$B133:$S133,1)&lt;E144,MATCH(C142,$B133:$S133,1)+1,MATCH(C142,$B133:$S133,1)))</f>
        <v>7900</v>
      </c>
      <c r="G151" s="2"/>
      <c r="H151" s="2"/>
      <c r="I151" s="2"/>
      <c r="J151" s="139" t="s">
        <v>205</v>
      </c>
      <c r="K151" s="140">
        <f t="array" aca="1" ref="K151" ca="1">INDEX($B134:$S140,IF(MATCH(K145,$A134:$A140,1)&lt;M143,MATCH(K145,$A134:$A140,1)+1,MATCH(K145,$A134:$A140,1)),IF(MATCH(K142,$B133:$S133,1)&lt;M144,MATCH(K142,$B133:$S133,1)+1,MATCH(K142,$B133:$S133,1)))</f>
        <v>7400</v>
      </c>
      <c r="O151" s="2"/>
      <c r="P151" s="2"/>
      <c r="Q151" s="2"/>
      <c r="R151" s="139" t="s">
        <v>205</v>
      </c>
      <c r="S151" s="140">
        <f t="array" aca="1" ref="S151" ca="1">INDEX($B134:$S140,IF(MATCH(S145,$A134:$A140,1)&lt;U143,MATCH(S145,$A134:$A140,1)+1,MATCH(S145,$A134:$A140,1)),IF(MATCH(S142,$B133:$S133,1)&lt;U144,MATCH(S142,$B133:$S133,1)+1,MATCH(S142,$B133:$S133,1)))</f>
        <v>6900</v>
      </c>
      <c r="W151" s="2"/>
      <c r="X151" s="2"/>
      <c r="Y151" s="2"/>
      <c r="Z151" s="139" t="s">
        <v>205</v>
      </c>
      <c r="AA151" s="140">
        <f t="array" aca="1" ref="AA151" ca="1">INDEX($B134:$S140,IF(MATCH(AA145,$A134:$A140,1)&lt;AC143,MATCH(AA145,$A134:$A140,1)+1,MATCH(AA145,$A134:$A140,1)),IF(MATCH(AA142,$B133:$S133,1)&lt;AC144,MATCH(AA142,$B133:$S133,1)+1,MATCH(AA142,$B133:$S133,1)))</f>
        <v>6400</v>
      </c>
      <c r="AE151" s="2"/>
      <c r="AF151" s="2"/>
      <c r="AG151" s="2"/>
      <c r="AH151" s="139" t="s">
        <v>205</v>
      </c>
      <c r="AI151" s="140">
        <f t="array" aca="1" ref="AI151" ca="1">INDEX($B134:$S140,IF(MATCH(AI145,$A134:$A140,1)&lt;AK143,MATCH(AI145,$A134:$A140,1)+1,MATCH(AI145,$A134:$A140,1)),IF(MATCH(AI142,$B133:$S133,1)&lt;AK144,MATCH(AI142,$B133:$S133,1)+1,MATCH(AI142,$B133:$S133,1)))</f>
        <v>5880</v>
      </c>
      <c r="AM151" s="2"/>
      <c r="AN151" s="2"/>
      <c r="AO151" s="2"/>
      <c r="AP151" s="139" t="s">
        <v>205</v>
      </c>
      <c r="AQ151" s="140">
        <f t="array" aca="1" ref="AQ151" ca="1">INDEX($B134:$S140,IF(MATCH(AQ145,$A134:$A140,1)&lt;AS143,MATCH(AQ145,$A134:$A140,1)+1,MATCH(AQ145,$A134:$A140,1)),IF(MATCH(AQ142,$B133:$S133,1)&lt;AS144,MATCH(AQ142,$B133:$S133,1)+1,MATCH(AQ142,$B133:$S133,1)))</f>
        <v>5350</v>
      </c>
      <c r="AU151" s="2"/>
      <c r="AV151" s="2"/>
      <c r="AW151" s="2"/>
      <c r="AX151" s="139" t="s">
        <v>205</v>
      </c>
      <c r="AY151" s="140" t="e">
        <f t="array" aca="1" ref="AY151" ca="1">INDEX($B134:$S140,IF(MATCH(AY145,$A134:$A140,1)&lt;BA143,MATCH(AY145,$A134:$A140,1)+1,MATCH(AY145,$A134:$A140,1)),IF(MATCH(AY142,$B133:$S133,1)&lt;BA144,MATCH(AY142,$B133:$S133,1)+1,MATCH(AY142,$B133:$S133,1)))</f>
        <v>#N/A</v>
      </c>
    </row>
    <row r="152" spans="1:61" ht="15" customHeight="1" x14ac:dyDescent="0.3">
      <c r="B152" s="16" t="s">
        <v>206</v>
      </c>
      <c r="C152" s="141">
        <f ca="1">IFERROR(C148+(C142-C143)*(C149-C148)/(C144-C143),C148)</f>
        <v>7558.95</v>
      </c>
      <c r="G152" s="2"/>
      <c r="H152" s="2"/>
      <c r="I152" s="2"/>
      <c r="J152" s="16" t="s">
        <v>206</v>
      </c>
      <c r="K152" s="141">
        <f ca="1">IFERROR(K148+(K142-K143)*(K149-K148)/(K144-K143),K148)</f>
        <v>7187.32</v>
      </c>
      <c r="O152" s="2"/>
      <c r="P152" s="2"/>
      <c r="Q152" s="2"/>
      <c r="R152" s="16" t="s">
        <v>206</v>
      </c>
      <c r="S152" s="141">
        <f ca="1">IFERROR(S148+(S142-S143)*(S149-S148)/(S144-S143),S148)</f>
        <v>6592.45</v>
      </c>
      <c r="W152" s="2"/>
      <c r="X152" s="2"/>
      <c r="Y152" s="2"/>
      <c r="Z152" s="16" t="s">
        <v>206</v>
      </c>
      <c r="AA152" s="141">
        <f ca="1">IFERROR(AA148+(AA142-AA143)*(AA149-AA148)/(AA144-AA143),AA148)</f>
        <v>6059.58</v>
      </c>
      <c r="AE152" s="2"/>
      <c r="AF152" s="2"/>
      <c r="AG152" s="2"/>
      <c r="AH152" s="16" t="s">
        <v>206</v>
      </c>
      <c r="AI152" s="141">
        <f ca="1">IFERROR(AI148+(AI142-AI143)*(AI149-AI148)/(AI144-AI143),AI148)</f>
        <v>5573.33</v>
      </c>
      <c r="AM152" s="2"/>
      <c r="AN152" s="2"/>
      <c r="AO152" s="2"/>
      <c r="AP152" s="16" t="s">
        <v>206</v>
      </c>
      <c r="AQ152" s="141">
        <f ca="1">IFERROR(AQ148+(AQ142-AQ143)*(AQ149-AQ148)/(AQ144-AQ143),AQ148)</f>
        <v>5470.46</v>
      </c>
      <c r="AU152" s="2"/>
      <c r="AV152" s="2"/>
      <c r="AW152" s="2"/>
      <c r="AX152" s="16" t="s">
        <v>206</v>
      </c>
      <c r="AY152" s="141" t="e">
        <f ca="1">IFERROR(AY148+(AY142-AY143)*(AY149-AY148)/(AY144-AY143),AY148)</f>
        <v>#N/A</v>
      </c>
    </row>
    <row r="153" spans="1:61" ht="15" customHeight="1" x14ac:dyDescent="0.3">
      <c r="B153" s="16" t="s">
        <v>207</v>
      </c>
      <c r="C153" s="141">
        <f ca="1">IFERROR(C150+(C142-C143)*(C151-C150)/(C144-C143),C150)</f>
        <v>7458.95</v>
      </c>
      <c r="G153" s="2"/>
      <c r="H153" s="2"/>
      <c r="I153" s="2"/>
      <c r="J153" s="16" t="s">
        <v>207</v>
      </c>
      <c r="K153" s="141">
        <f ca="1">IFERROR(K150+(K142-K143)*(K151-K150)/(K144-K143),K150)</f>
        <v>7087.32</v>
      </c>
      <c r="O153" s="2"/>
      <c r="P153" s="2"/>
      <c r="Q153" s="2"/>
      <c r="R153" s="16" t="s">
        <v>207</v>
      </c>
      <c r="S153" s="141">
        <f ca="1">IFERROR(S150+(S142-S143)*(S151-S150)/(S144-S143),S150)</f>
        <v>6492.45</v>
      </c>
      <c r="W153" s="2"/>
      <c r="X153" s="2"/>
      <c r="Y153" s="2"/>
      <c r="Z153" s="16" t="s">
        <v>207</v>
      </c>
      <c r="AA153" s="141">
        <f ca="1">IFERROR(AA150+(AA142-AA143)*(AA151-AA150)/(AA144-AA143),AA150)</f>
        <v>5941.9632000000001</v>
      </c>
      <c r="AE153" s="2"/>
      <c r="AF153" s="2"/>
      <c r="AG153" s="2"/>
      <c r="AH153" s="16" t="s">
        <v>207</v>
      </c>
      <c r="AI153" s="141">
        <f ca="1">IFERROR(AI150+(AI142-AI143)*(AI151-AI150)/(AI144-AI143),AI150)</f>
        <v>5427.7298000000001</v>
      </c>
      <c r="AM153" s="2"/>
      <c r="AN153" s="2"/>
      <c r="AO153" s="2"/>
      <c r="AP153" s="16" t="s">
        <v>207</v>
      </c>
      <c r="AQ153" s="141">
        <f ca="1">IFERROR(AQ150+(AQ142-AQ143)*(AQ151-AQ150)/(AQ144-AQ143),AQ150)</f>
        <v>5320.46</v>
      </c>
      <c r="AU153" s="2"/>
      <c r="AV153" s="2"/>
      <c r="AW153" s="2"/>
      <c r="AX153" s="16" t="s">
        <v>207</v>
      </c>
      <c r="AY153" s="141" t="e">
        <f ca="1">IFERROR(AY150+(AY142-AY143)*(AY151-AY150)/(AY144-AY143),AY150)</f>
        <v>#N/A</v>
      </c>
    </row>
    <row r="154" spans="1:61" ht="15" customHeight="1" x14ac:dyDescent="0.3">
      <c r="B154" s="139" t="s">
        <v>208</v>
      </c>
      <c r="C154" s="140">
        <f ca="1">IFERROR(C152+(C145-C146)*(C153-C152)/(C147-C146),C152)</f>
        <v>7558.95</v>
      </c>
      <c r="G154" s="2"/>
      <c r="H154" s="2"/>
      <c r="I154" s="2"/>
      <c r="J154" s="139" t="s">
        <v>208</v>
      </c>
      <c r="K154" s="140">
        <f ca="1">IFERROR(K152+(K145-K146)*(K153-K152)/(K147-K146),K152)</f>
        <v>7187.32</v>
      </c>
      <c r="O154" s="2"/>
      <c r="P154" s="2"/>
      <c r="Q154" s="2"/>
      <c r="R154" s="139" t="s">
        <v>208</v>
      </c>
      <c r="S154" s="140">
        <f ca="1">IFERROR(S152+(S145-S146)*(S153-S152)/(S147-S146),S152)</f>
        <v>6592.45</v>
      </c>
      <c r="W154" s="2"/>
      <c r="X154" s="2"/>
      <c r="Y154" s="2"/>
      <c r="Z154" s="139" t="s">
        <v>208</v>
      </c>
      <c r="AA154" s="140">
        <f ca="1">IFERROR(AA152+(AA145-AA146)*(AA153-AA152)/(AA147-AA146),AA152)</f>
        <v>6059.58</v>
      </c>
      <c r="AE154" s="2"/>
      <c r="AF154" s="2"/>
      <c r="AG154" s="2"/>
      <c r="AH154" s="139" t="s">
        <v>208</v>
      </c>
      <c r="AI154" s="140">
        <f ca="1">IFERROR(AI152+(AI145-AI146)*(AI153-AI152)/(AI147-AI146),AI152)</f>
        <v>5573.33</v>
      </c>
      <c r="AM154" s="2"/>
      <c r="AN154" s="2"/>
      <c r="AO154" s="2"/>
      <c r="AP154" s="139" t="s">
        <v>208</v>
      </c>
      <c r="AQ154" s="140">
        <f ca="1">IFERROR(AQ152+(AQ145-AQ146)*(AQ153-AQ152)/(AQ147-AQ146),AQ152)</f>
        <v>5470.46</v>
      </c>
      <c r="AU154" s="2"/>
      <c r="AV154" s="2"/>
      <c r="AW154" s="2"/>
      <c r="AX154" s="139" t="s">
        <v>208</v>
      </c>
      <c r="AY154" s="140" t="e">
        <f ca="1">IFERROR(AY152+(AY145-AY146)*(AY153-AY152)/(AY147-AY146),AY152)</f>
        <v>#N/A</v>
      </c>
    </row>
    <row r="155" spans="1:61" ht="15" customHeight="1" x14ac:dyDescent="0.3">
      <c r="B155" s="139"/>
      <c r="C155" s="140"/>
      <c r="G155" s="2"/>
      <c r="H155" s="2"/>
      <c r="I155" s="2"/>
      <c r="J155" s="139"/>
      <c r="K155" s="140"/>
      <c r="O155" s="2"/>
      <c r="P155" s="2"/>
      <c r="Q155" s="2"/>
      <c r="R155" s="139"/>
      <c r="S155" s="140"/>
      <c r="W155" s="2"/>
      <c r="X155" s="2"/>
      <c r="Y155" s="2"/>
      <c r="Z155" s="139"/>
      <c r="AA155" s="140"/>
      <c r="AE155" s="2"/>
      <c r="AF155" s="2"/>
      <c r="AG155" s="2"/>
      <c r="AH155" s="139"/>
      <c r="AI155" s="140"/>
      <c r="AM155" s="2"/>
      <c r="AN155" s="2"/>
      <c r="AO155" s="2"/>
      <c r="AP155" s="139"/>
      <c r="AQ155" s="140"/>
      <c r="AU155" s="2"/>
      <c r="AV155" s="2"/>
      <c r="AW155" s="2"/>
      <c r="AX155" s="139"/>
      <c r="AY155" s="140"/>
    </row>
    <row r="156" spans="1:61" ht="15" customHeight="1" x14ac:dyDescent="0.3">
      <c r="A156" t="s">
        <v>210</v>
      </c>
      <c r="B156" s="357" t="s">
        <v>222</v>
      </c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2"/>
      <c r="Q156" s="2"/>
      <c r="R156" s="139"/>
      <c r="S156" s="140"/>
      <c r="W156" s="2"/>
      <c r="X156" s="2"/>
      <c r="Y156" s="2"/>
      <c r="Z156" s="139"/>
      <c r="AA156" s="140"/>
      <c r="AE156" s="2"/>
      <c r="AF156" s="2"/>
      <c r="AG156" s="2"/>
      <c r="AH156" s="139"/>
      <c r="AI156" s="140"/>
      <c r="AM156" s="2"/>
      <c r="AN156" s="2"/>
      <c r="AO156" s="2"/>
      <c r="AP156" s="139"/>
      <c r="AQ156" s="140"/>
      <c r="AU156" s="2"/>
      <c r="AV156" s="2"/>
      <c r="AW156" s="2"/>
      <c r="AX156" s="139"/>
      <c r="AY156" s="140"/>
    </row>
    <row r="157" spans="1:61" ht="15" customHeight="1" x14ac:dyDescent="0.3">
      <c r="A157" t="s">
        <v>47</v>
      </c>
      <c r="B157" s="229">
        <v>4000</v>
      </c>
      <c r="C157" s="232">
        <v>4500</v>
      </c>
      <c r="D157" s="232">
        <v>5000</v>
      </c>
      <c r="E157" s="232">
        <v>5500</v>
      </c>
      <c r="F157" s="232">
        <v>6000</v>
      </c>
      <c r="G157" s="232">
        <v>6500</v>
      </c>
      <c r="H157" s="230">
        <v>7000</v>
      </c>
      <c r="I157" s="55">
        <v>7500</v>
      </c>
      <c r="J157" s="55">
        <v>8000</v>
      </c>
      <c r="K157" s="55">
        <v>8500</v>
      </c>
      <c r="L157" s="259">
        <v>9000</v>
      </c>
      <c r="M157" s="259">
        <v>9500</v>
      </c>
      <c r="N157" s="231">
        <v>10000</v>
      </c>
      <c r="O157" s="55">
        <v>10500</v>
      </c>
      <c r="P157" s="259">
        <v>11000</v>
      </c>
      <c r="Q157" s="259">
        <v>11500</v>
      </c>
      <c r="R157" s="231">
        <v>12000</v>
      </c>
      <c r="S157" s="231">
        <v>12500</v>
      </c>
      <c r="T157" s="236"/>
      <c r="U157" s="140"/>
      <c r="W157" s="139"/>
      <c r="X157" s="140"/>
      <c r="AB157" s="2"/>
      <c r="AC157" s="2"/>
      <c r="AD157" s="2"/>
      <c r="AG157" s="2"/>
      <c r="AH157" s="2"/>
      <c r="AI157" s="2"/>
      <c r="AJ157" s="139"/>
      <c r="AK157" s="140"/>
      <c r="AO157" s="2"/>
      <c r="AP157" s="2"/>
      <c r="AQ157" s="2"/>
      <c r="AR157" s="139"/>
      <c r="AS157" s="140"/>
      <c r="AW157" s="2"/>
      <c r="AX157" s="2"/>
      <c r="AY157" s="2"/>
      <c r="AZ157" s="139"/>
      <c r="BA157" s="140"/>
      <c r="BE157" s="2"/>
      <c r="BF157" s="2"/>
      <c r="BG157" s="2"/>
      <c r="BH157" s="139"/>
      <c r="BI157" s="140"/>
    </row>
    <row r="158" spans="1:61" ht="15" customHeight="1" x14ac:dyDescent="0.3">
      <c r="A158">
        <v>-10</v>
      </c>
      <c r="B158" s="229">
        <v>5000</v>
      </c>
      <c r="C158" s="232">
        <v>5600</v>
      </c>
      <c r="D158" s="232">
        <v>6150</v>
      </c>
      <c r="E158" s="232">
        <v>6750</v>
      </c>
      <c r="F158" s="232">
        <v>7300</v>
      </c>
      <c r="G158" s="232">
        <v>7850</v>
      </c>
      <c r="H158" s="232">
        <v>8450</v>
      </c>
      <c r="I158" s="232">
        <v>9050</v>
      </c>
      <c r="J158" s="232">
        <v>9585</v>
      </c>
      <c r="K158" s="232">
        <v>10150</v>
      </c>
      <c r="L158" s="232">
        <v>10800</v>
      </c>
      <c r="M158" s="232">
        <v>11300</v>
      </c>
      <c r="N158" s="232">
        <v>11860</v>
      </c>
      <c r="O158" s="232">
        <v>99999</v>
      </c>
      <c r="P158" s="232">
        <v>99999</v>
      </c>
      <c r="Q158" s="232">
        <v>99999</v>
      </c>
      <c r="R158" s="237">
        <v>99999</v>
      </c>
      <c r="S158" s="237">
        <v>99999</v>
      </c>
      <c r="T158" s="236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2"/>
      <c r="AG158" s="2"/>
      <c r="AH158" s="2"/>
      <c r="AI158" s="2"/>
      <c r="AJ158" s="139"/>
      <c r="AK158" s="140"/>
      <c r="AO158" s="2"/>
      <c r="AP158" s="2"/>
      <c r="AQ158" s="2"/>
      <c r="AR158" s="139"/>
      <c r="AS158" s="140"/>
      <c r="AW158" s="2"/>
      <c r="AX158" s="2"/>
      <c r="AY158" s="2"/>
      <c r="AZ158" s="139"/>
      <c r="BA158" s="140"/>
      <c r="BE158" s="2"/>
      <c r="BF158" s="2"/>
      <c r="BG158" s="2"/>
      <c r="BH158" s="139"/>
      <c r="BI158" s="140"/>
    </row>
    <row r="159" spans="1:61" ht="15" customHeight="1" x14ac:dyDescent="0.3">
      <c r="A159">
        <v>0</v>
      </c>
      <c r="B159" s="233">
        <v>4000</v>
      </c>
      <c r="C159" s="72">
        <v>4500</v>
      </c>
      <c r="D159" s="72">
        <v>5000</v>
      </c>
      <c r="E159" s="72">
        <v>5500</v>
      </c>
      <c r="F159" s="72">
        <v>6000</v>
      </c>
      <c r="G159" s="72">
        <v>6500</v>
      </c>
      <c r="H159" s="72">
        <v>7000</v>
      </c>
      <c r="I159" s="72">
        <v>7500</v>
      </c>
      <c r="J159" s="72">
        <v>8000</v>
      </c>
      <c r="K159" s="72">
        <v>8500</v>
      </c>
      <c r="L159" s="72">
        <v>9000</v>
      </c>
      <c r="M159" s="72">
        <v>9500</v>
      </c>
      <c r="N159" s="72">
        <v>10000</v>
      </c>
      <c r="O159" s="72">
        <v>10500</v>
      </c>
      <c r="P159" s="72">
        <v>11000</v>
      </c>
      <c r="Q159" s="72">
        <v>11500</v>
      </c>
      <c r="R159" s="262">
        <v>12000</v>
      </c>
      <c r="S159" s="237">
        <v>99999</v>
      </c>
      <c r="T159" s="236"/>
      <c r="U159" s="140"/>
      <c r="W159" s="139"/>
      <c r="X159" s="140"/>
      <c r="AB159" s="2"/>
      <c r="AC159" s="2"/>
      <c r="AD159" s="2"/>
      <c r="AG159" s="2"/>
      <c r="AH159" s="2"/>
      <c r="AI159" s="2"/>
      <c r="AJ159" s="139"/>
      <c r="AK159" s="140"/>
      <c r="AO159" s="2"/>
      <c r="AP159" s="2"/>
      <c r="AQ159" s="2"/>
      <c r="AR159" s="139"/>
      <c r="AS159" s="140"/>
      <c r="AW159" s="2"/>
      <c r="AX159" s="2"/>
      <c r="AY159" s="2"/>
      <c r="AZ159" s="139"/>
      <c r="BA159" s="140"/>
      <c r="BE159" s="2"/>
      <c r="BF159" s="2"/>
      <c r="BG159" s="2"/>
      <c r="BH159" s="139"/>
      <c r="BI159" s="140"/>
    </row>
    <row r="160" spans="1:61" ht="15" customHeight="1" x14ac:dyDescent="0.3">
      <c r="A160">
        <v>30</v>
      </c>
      <c r="B160" s="234">
        <v>3250</v>
      </c>
      <c r="C160" s="238">
        <v>3650</v>
      </c>
      <c r="D160" s="238">
        <v>4075</v>
      </c>
      <c r="E160" s="238">
        <v>4500</v>
      </c>
      <c r="F160" s="238">
        <v>4880</v>
      </c>
      <c r="G160" s="238">
        <v>5350</v>
      </c>
      <c r="H160" s="238">
        <v>5775</v>
      </c>
      <c r="I160" s="238">
        <v>6200</v>
      </c>
      <c r="J160" s="238">
        <v>6650</v>
      </c>
      <c r="K160" s="238">
        <v>7100</v>
      </c>
      <c r="L160" s="235">
        <v>7550</v>
      </c>
      <c r="M160" s="68">
        <v>8000</v>
      </c>
      <c r="N160" s="68">
        <v>8450</v>
      </c>
      <c r="O160" s="68">
        <v>8900</v>
      </c>
      <c r="P160" s="260">
        <v>9350</v>
      </c>
      <c r="Q160" s="260">
        <v>9800</v>
      </c>
      <c r="R160" s="261">
        <v>10250</v>
      </c>
      <c r="S160" s="237">
        <v>99999</v>
      </c>
      <c r="T160" s="236"/>
      <c r="U160" s="140"/>
      <c r="W160" s="139"/>
      <c r="X160" s="140"/>
      <c r="AB160" s="2"/>
      <c r="AC160" s="2"/>
      <c r="AD160" s="2"/>
      <c r="AG160" s="2"/>
      <c r="AH160" s="2"/>
      <c r="AI160" s="2"/>
      <c r="AJ160" s="139"/>
      <c r="AK160" s="140"/>
      <c r="AO160" s="2"/>
      <c r="AP160" s="2"/>
      <c r="AQ160" s="2"/>
      <c r="AR160" s="139"/>
      <c r="AS160" s="140"/>
      <c r="AW160" s="2"/>
      <c r="AX160" s="2"/>
      <c r="AY160" s="2"/>
      <c r="AZ160" s="139"/>
      <c r="BA160" s="140"/>
      <c r="BE160" s="2"/>
      <c r="BF160" s="2"/>
      <c r="BG160" s="2"/>
      <c r="BH160" s="139"/>
      <c r="BI160" s="140"/>
    </row>
    <row r="161" spans="1:53" ht="15" customHeight="1" x14ac:dyDescent="0.3">
      <c r="B161" s="139"/>
      <c r="C161" s="140"/>
      <c r="G161" s="2"/>
      <c r="H161" s="2"/>
      <c r="I161" s="2"/>
      <c r="J161" s="139"/>
      <c r="K161" s="140"/>
      <c r="O161" s="53"/>
      <c r="P161" s="2"/>
      <c r="Q161" s="2"/>
      <c r="R161" s="139"/>
      <c r="S161" s="140"/>
      <c r="W161" s="2"/>
      <c r="X161" s="2"/>
      <c r="Y161" s="2"/>
      <c r="Z161" s="139"/>
      <c r="AA161" s="140"/>
      <c r="AE161" s="2"/>
      <c r="AF161" s="2"/>
      <c r="AG161" s="2"/>
      <c r="AH161" s="139"/>
      <c r="AI161" s="140"/>
      <c r="AM161" s="2"/>
      <c r="AN161" s="2"/>
      <c r="AO161" s="2"/>
      <c r="AP161" s="139"/>
      <c r="AQ161" s="140"/>
      <c r="AU161" s="2"/>
      <c r="AV161" s="2"/>
      <c r="AW161" s="2"/>
      <c r="AX161" s="139"/>
      <c r="AY161" s="140"/>
    </row>
    <row r="162" spans="1:53" ht="15" customHeight="1" x14ac:dyDescent="0.3">
      <c r="B162" s="139" t="s">
        <v>146</v>
      </c>
      <c r="C162" s="140">
        <f ca="1">C154</f>
        <v>7558.95</v>
      </c>
      <c r="D162" s="355" t="s">
        <v>201</v>
      </c>
      <c r="E162" s="355"/>
      <c r="G162" s="2"/>
      <c r="H162" s="2"/>
      <c r="I162" s="2"/>
      <c r="J162" s="139" t="s">
        <v>146</v>
      </c>
      <c r="K162" s="140">
        <f ca="1">K154</f>
        <v>7187.32</v>
      </c>
      <c r="L162" s="355" t="s">
        <v>201</v>
      </c>
      <c r="M162" s="355"/>
      <c r="O162" s="53"/>
      <c r="P162" s="2"/>
      <c r="Q162" s="2"/>
      <c r="R162" s="139" t="s">
        <v>146</v>
      </c>
      <c r="S162" s="140">
        <f ca="1">S154</f>
        <v>6592.45</v>
      </c>
      <c r="T162" s="355" t="s">
        <v>201</v>
      </c>
      <c r="U162" s="355"/>
      <c r="W162" s="2"/>
      <c r="X162" s="2"/>
      <c r="Y162" s="2"/>
      <c r="Z162" s="139" t="s">
        <v>146</v>
      </c>
      <c r="AA162" s="140">
        <f ca="1">AA154</f>
        <v>6059.58</v>
      </c>
      <c r="AB162" s="355" t="s">
        <v>201</v>
      </c>
      <c r="AC162" s="355"/>
      <c r="AE162" s="2"/>
      <c r="AF162" s="2"/>
      <c r="AG162" s="2"/>
      <c r="AH162" s="139" t="s">
        <v>146</v>
      </c>
      <c r="AI162" s="140">
        <f ca="1">AI154</f>
        <v>5573.33</v>
      </c>
      <c r="AJ162" s="355" t="s">
        <v>201</v>
      </c>
      <c r="AK162" s="355"/>
      <c r="AM162" s="2"/>
      <c r="AN162" s="2"/>
      <c r="AO162" s="2"/>
      <c r="AP162" s="139" t="s">
        <v>146</v>
      </c>
      <c r="AQ162" s="140">
        <f ca="1">AQ154</f>
        <v>5470.46</v>
      </c>
      <c r="AR162" s="355" t="s">
        <v>201</v>
      </c>
      <c r="AS162" s="355"/>
      <c r="AU162" s="2"/>
      <c r="AV162" s="2"/>
      <c r="AW162" s="2"/>
      <c r="AX162" s="139" t="s">
        <v>146</v>
      </c>
      <c r="AY162" s="140" t="e">
        <f ca="1">AY154</f>
        <v>#N/A</v>
      </c>
      <c r="AZ162" s="355" t="s">
        <v>201</v>
      </c>
      <c r="BA162" s="355"/>
    </row>
    <row r="163" spans="1:53" ht="15" customHeight="1" x14ac:dyDescent="0.3">
      <c r="B163" s="16" t="s">
        <v>202</v>
      </c>
      <c r="C163" s="141">
        <f t="array" aca="1" ref="C163" ca="1">INDEX($B157:$S157,MATCH(C162,$B157:$S157,1))</f>
        <v>7500</v>
      </c>
      <c r="D163" s="16" t="s">
        <v>144</v>
      </c>
      <c r="E163" s="17">
        <f>MATCH(MAX($A158:$A160),$A158:$A160,1)</f>
        <v>3</v>
      </c>
      <c r="G163" s="2"/>
      <c r="H163" s="2"/>
      <c r="I163" s="2"/>
      <c r="J163" s="16" t="s">
        <v>202</v>
      </c>
      <c r="K163" s="141">
        <f t="array" aca="1" ref="K163" ca="1">INDEX($B157:$S157,MATCH(K162,$B157:$S157,1))</f>
        <v>7000</v>
      </c>
      <c r="L163" s="16" t="s">
        <v>144</v>
      </c>
      <c r="M163" s="17">
        <f>MATCH(MAX($A158:$A160),$A158:$A160,1)</f>
        <v>3</v>
      </c>
      <c r="O163" s="53"/>
      <c r="P163" s="2"/>
      <c r="Q163" s="2"/>
      <c r="R163" s="16" t="s">
        <v>202</v>
      </c>
      <c r="S163" s="141">
        <f t="array" aca="1" ref="S163" ca="1">INDEX($B157:$S157,MATCH(S162,$B157:$S157,1))</f>
        <v>6500</v>
      </c>
      <c r="T163" s="16" t="s">
        <v>144</v>
      </c>
      <c r="U163" s="17">
        <f>MATCH(MAX($A158:$A160),$A158:$A160,1)</f>
        <v>3</v>
      </c>
      <c r="W163" s="2"/>
      <c r="X163" s="2"/>
      <c r="Y163" s="2"/>
      <c r="Z163" s="16" t="s">
        <v>202</v>
      </c>
      <c r="AA163" s="141">
        <f t="array" aca="1" ref="AA163" ca="1">INDEX($B157:$S157,MATCH(AA162,$B157:$S157,1))</f>
        <v>6000</v>
      </c>
      <c r="AB163" s="16" t="s">
        <v>144</v>
      </c>
      <c r="AC163" s="17">
        <f>MATCH(MAX($A158:$A160),$A158:$A160,1)</f>
        <v>3</v>
      </c>
      <c r="AE163" s="2"/>
      <c r="AF163" s="2"/>
      <c r="AG163" s="2"/>
      <c r="AH163" s="16" t="s">
        <v>202</v>
      </c>
      <c r="AI163" s="141">
        <f t="array" aca="1" ref="AI163" ca="1">INDEX($B157:$S157,MATCH(AI162,$B157:$S157,1))</f>
        <v>5500</v>
      </c>
      <c r="AJ163" s="16" t="s">
        <v>144</v>
      </c>
      <c r="AK163" s="17">
        <f>MATCH(MAX($A158:$A160),$A158:$A160,1)</f>
        <v>3</v>
      </c>
      <c r="AM163" s="2"/>
      <c r="AN163" s="2"/>
      <c r="AO163" s="2"/>
      <c r="AP163" s="16" t="s">
        <v>202</v>
      </c>
      <c r="AQ163" s="141">
        <f t="array" aca="1" ref="AQ163" ca="1">INDEX($B157:$S157,MATCH(AQ162,$B157:$S157,1))</f>
        <v>5000</v>
      </c>
      <c r="AR163" s="16" t="s">
        <v>144</v>
      </c>
      <c r="AS163" s="17">
        <f>MATCH(MAX($A158:$A160),$A158:$A160,1)</f>
        <v>3</v>
      </c>
      <c r="AU163" s="2"/>
      <c r="AV163" s="2"/>
      <c r="AW163" s="2"/>
      <c r="AX163" s="16" t="s">
        <v>202</v>
      </c>
      <c r="AY163" s="141" t="e">
        <f t="array" aca="1" ref="AY163" ca="1">INDEX($B157:$S157,MATCH(AY162,$B157:$S157,1))</f>
        <v>#N/A</v>
      </c>
      <c r="AZ163" s="16" t="s">
        <v>144</v>
      </c>
      <c r="BA163" s="17">
        <f>MATCH(MAX($A158:$A160),$A158:$A160,1)</f>
        <v>3</v>
      </c>
    </row>
    <row r="164" spans="1:53" ht="15" customHeight="1" x14ac:dyDescent="0.3">
      <c r="B164" s="16" t="s">
        <v>203</v>
      </c>
      <c r="C164" s="141">
        <f t="array" aca="1" ref="C164" ca="1">INDEX($B157:$S157,IF(MATCH(C162,$B157:$S157,1)&lt;E164,MATCH(C162,$B157:$S157,1)+1,MATCH(C162,$B157:$S157,1)))</f>
        <v>8000</v>
      </c>
      <c r="D164" s="16" t="s">
        <v>145</v>
      </c>
      <c r="E164" s="17">
        <f>MATCH(MAX($B157:$S157),$B157:$S157,0)</f>
        <v>18</v>
      </c>
      <c r="G164" s="2"/>
      <c r="H164" s="2"/>
      <c r="I164" s="2"/>
      <c r="J164" s="16" t="s">
        <v>203</v>
      </c>
      <c r="K164" s="141">
        <f t="array" aca="1" ref="K164" ca="1">INDEX($B157:$S157,IF(MATCH(K162,$B157:$S157,1)&lt;M164,MATCH(K162,$B157:$S157,1)+1,MATCH(K162,$B157:$S157,1)))</f>
        <v>7500</v>
      </c>
      <c r="L164" s="16" t="s">
        <v>145</v>
      </c>
      <c r="M164" s="17">
        <f>MATCH(MAX($B157:$S157),$B157:$S157,0)</f>
        <v>18</v>
      </c>
      <c r="O164" s="53"/>
      <c r="P164" s="2"/>
      <c r="Q164" s="2"/>
      <c r="R164" s="16" t="s">
        <v>203</v>
      </c>
      <c r="S164" s="141">
        <f t="array" aca="1" ref="S164" ca="1">INDEX($B157:$S157,IF(MATCH(S162,$B157:$S157,1)&lt;U164,MATCH(S162,$B157:$S157,1)+1,MATCH(S162,$B157:$S157,1)))</f>
        <v>7000</v>
      </c>
      <c r="T164" s="16" t="s">
        <v>145</v>
      </c>
      <c r="U164" s="17">
        <f>MATCH(MAX($B157:$S157),$B157:$S157,0)</f>
        <v>18</v>
      </c>
      <c r="W164" s="2"/>
      <c r="X164" s="2"/>
      <c r="Y164" s="2"/>
      <c r="Z164" s="16" t="s">
        <v>203</v>
      </c>
      <c r="AA164" s="141">
        <f t="array" aca="1" ref="AA164" ca="1">INDEX($B157:$S157,IF(MATCH(AA162,$B157:$S157,1)&lt;AC164,MATCH(AA162,$B157:$S157,1)+1,MATCH(AA162,$B157:$S157,1)))</f>
        <v>6500</v>
      </c>
      <c r="AB164" s="16" t="s">
        <v>145</v>
      </c>
      <c r="AC164" s="17">
        <f>MATCH(MAX($B157:$S157),$B157:$S157,0)</f>
        <v>18</v>
      </c>
      <c r="AE164" s="2"/>
      <c r="AF164" s="2"/>
      <c r="AG164" s="2"/>
      <c r="AH164" s="16" t="s">
        <v>203</v>
      </c>
      <c r="AI164" s="141">
        <f t="array" aca="1" ref="AI164" ca="1">INDEX($B157:$S157,IF(MATCH(AI162,$B157:$S157,1)&lt;AK164,MATCH(AI162,$B157:$S157,1)+1,MATCH(AI162,$B157:$S157,1)))</f>
        <v>6000</v>
      </c>
      <c r="AJ164" s="16" t="s">
        <v>145</v>
      </c>
      <c r="AK164" s="17">
        <f>MATCH(MAX($B157:$S157),$B157:$S157,0)</f>
        <v>18</v>
      </c>
      <c r="AM164" s="2"/>
      <c r="AN164" s="2"/>
      <c r="AO164" s="2"/>
      <c r="AP164" s="16" t="s">
        <v>203</v>
      </c>
      <c r="AQ164" s="141">
        <f t="array" aca="1" ref="AQ164" ca="1">INDEX($B157:$S157,IF(MATCH(AQ162,$B157:$S157,1)&lt;AS164,MATCH(AQ162,$B157:$S157,1)+1,MATCH(AQ162,$B157:$S157,1)))</f>
        <v>5500</v>
      </c>
      <c r="AR164" s="16" t="s">
        <v>145</v>
      </c>
      <c r="AS164" s="17">
        <f>MATCH(MAX($B157:$S157),$B157:$S157,0)</f>
        <v>18</v>
      </c>
      <c r="AU164" s="2"/>
      <c r="AV164" s="2"/>
      <c r="AW164" s="2"/>
      <c r="AX164" s="16" t="s">
        <v>203</v>
      </c>
      <c r="AY164" s="141" t="e">
        <f t="array" aca="1" ref="AY164" ca="1">INDEX($B157:$S157,IF(MATCH(AY162,$B157:$S157,1)&lt;BA164,MATCH(AY162,$B157:$S157,1)+1,MATCH(AY162,$B157:$S157,1)))</f>
        <v>#N/A</v>
      </c>
      <c r="AZ164" s="16" t="s">
        <v>145</v>
      </c>
      <c r="BA164" s="17">
        <f>MATCH(MAX($B157:$S157),$B157:$S157,0)</f>
        <v>18</v>
      </c>
    </row>
    <row r="165" spans="1:53" ht="15" customHeight="1" x14ac:dyDescent="0.3">
      <c r="B165" s="139" t="s">
        <v>147</v>
      </c>
      <c r="C165" s="186">
        <f ca="1">'Take-off'!$C$24</f>
        <v>-2.3941410032796808</v>
      </c>
      <c r="D165" s="2"/>
      <c r="E165" s="2"/>
      <c r="G165" s="2"/>
      <c r="H165" s="2"/>
      <c r="I165" s="2"/>
      <c r="J165" s="139" t="s">
        <v>147</v>
      </c>
      <c r="K165" s="186">
        <f ca="1">'Take-off'!$C$24</f>
        <v>-2.3941410032796808</v>
      </c>
      <c r="L165" s="2"/>
      <c r="M165" s="2"/>
      <c r="O165" s="53"/>
      <c r="P165" s="2"/>
      <c r="Q165" s="2"/>
      <c r="R165" s="139" t="s">
        <v>147</v>
      </c>
      <c r="S165" s="186">
        <f ca="1">'Take-off'!$C$24</f>
        <v>-2.3941410032796808</v>
      </c>
      <c r="T165" s="2"/>
      <c r="U165" s="2"/>
      <c r="W165" s="2"/>
      <c r="X165" s="2"/>
      <c r="Y165" s="2"/>
      <c r="Z165" s="139" t="s">
        <v>147</v>
      </c>
      <c r="AA165" s="186">
        <f ca="1">'Take-off'!$C$24</f>
        <v>-2.3941410032796808</v>
      </c>
      <c r="AB165" s="2"/>
      <c r="AC165" s="2"/>
      <c r="AE165" s="2"/>
      <c r="AF165" s="2"/>
      <c r="AG165" s="2"/>
      <c r="AH165" s="139" t="s">
        <v>147</v>
      </c>
      <c r="AI165" s="186">
        <f ca="1">'Take-off'!$C$24</f>
        <v>-2.3941410032796808</v>
      </c>
      <c r="AJ165" s="2"/>
      <c r="AK165" s="2"/>
      <c r="AM165" s="2"/>
      <c r="AN165" s="2"/>
      <c r="AO165" s="2"/>
      <c r="AP165" s="139" t="s">
        <v>147</v>
      </c>
      <c r="AQ165" s="186">
        <f ca="1">'Take-off'!$C$24</f>
        <v>-2.3941410032796808</v>
      </c>
      <c r="AR165" s="2"/>
      <c r="AS165" s="2"/>
      <c r="AU165" s="2"/>
      <c r="AV165" s="2"/>
      <c r="AW165" s="2"/>
      <c r="AX165" s="139" t="s">
        <v>147</v>
      </c>
      <c r="AY165" s="186">
        <f ca="1">'Take-off'!$C$24</f>
        <v>-2.3941410032796808</v>
      </c>
      <c r="AZ165" s="2"/>
      <c r="BA165" s="2"/>
    </row>
    <row r="166" spans="1:53" ht="15" customHeight="1" x14ac:dyDescent="0.3">
      <c r="B166" s="16" t="s">
        <v>148</v>
      </c>
      <c r="C166" s="141">
        <f t="array" aca="1" ref="C166" ca="1">INDEX($A158:$A160,MATCH(C165,$A158:$A160,1))</f>
        <v>-10</v>
      </c>
      <c r="D166" s="2"/>
      <c r="E166" s="42"/>
      <c r="G166" s="2"/>
      <c r="H166" s="2"/>
      <c r="I166" s="2"/>
      <c r="J166" s="16" t="s">
        <v>148</v>
      </c>
      <c r="K166" s="141">
        <f t="array" aca="1" ref="K166" ca="1">INDEX($A158:$A160,MATCH(K165,$A158:$A160,1))</f>
        <v>-10</v>
      </c>
      <c r="L166" s="2"/>
      <c r="M166" s="42"/>
      <c r="O166" s="53"/>
      <c r="P166" s="2"/>
      <c r="Q166" s="2"/>
      <c r="R166" s="16" t="s">
        <v>148</v>
      </c>
      <c r="S166" s="141">
        <f t="array" aca="1" ref="S166" ca="1">INDEX($A158:$A160,MATCH(S165,$A158:$A160,1))</f>
        <v>-10</v>
      </c>
      <c r="T166" s="2"/>
      <c r="U166" s="42"/>
      <c r="W166" s="2"/>
      <c r="X166" s="2"/>
      <c r="Y166" s="2"/>
      <c r="Z166" s="16" t="s">
        <v>148</v>
      </c>
      <c r="AA166" s="141">
        <f t="array" aca="1" ref="AA166" ca="1">INDEX($A158:$A160,MATCH(AA165,$A158:$A160,1))</f>
        <v>-10</v>
      </c>
      <c r="AB166" s="2"/>
      <c r="AC166" s="42"/>
      <c r="AE166" s="2"/>
      <c r="AF166" s="2"/>
      <c r="AG166" s="2"/>
      <c r="AH166" s="16" t="s">
        <v>148</v>
      </c>
      <c r="AI166" s="141">
        <f t="array" aca="1" ref="AI166" ca="1">INDEX($A158:$A160,MATCH(AI165,$A158:$A160,1))</f>
        <v>-10</v>
      </c>
      <c r="AJ166" s="2"/>
      <c r="AK166" s="42"/>
      <c r="AM166" s="2"/>
      <c r="AN166" s="2"/>
      <c r="AO166" s="2"/>
      <c r="AP166" s="16" t="s">
        <v>148</v>
      </c>
      <c r="AQ166" s="141">
        <f t="array" aca="1" ref="AQ166" ca="1">INDEX($A158:$A160,MATCH(AQ165,$A158:$A160,1))</f>
        <v>-10</v>
      </c>
      <c r="AR166" s="2"/>
      <c r="AS166" s="42"/>
      <c r="AU166" s="2"/>
      <c r="AV166" s="2"/>
      <c r="AW166" s="2"/>
      <c r="AX166" s="16" t="s">
        <v>148</v>
      </c>
      <c r="AY166" s="141">
        <f t="array" aca="1" ref="AY166" ca="1">INDEX($A158:$A160,MATCH(AY165,$A158:$A160,1))</f>
        <v>-10</v>
      </c>
      <c r="AZ166" s="2"/>
      <c r="BA166" s="42"/>
    </row>
    <row r="167" spans="1:53" ht="15" customHeight="1" x14ac:dyDescent="0.3">
      <c r="B167" s="16" t="s">
        <v>149</v>
      </c>
      <c r="C167" s="141">
        <f t="array" aca="1" ref="C167" ca="1">INDEX($A158:$A160,IF(MATCH(C165,$A158:$A160,1)&lt;E163,MATCH(C165,$A158:$A160,1)+1,MATCH(C165,$A158:$A160,1)))</f>
        <v>0</v>
      </c>
      <c r="D167" s="2"/>
      <c r="E167" s="42"/>
      <c r="G167" s="2"/>
      <c r="H167" s="2"/>
      <c r="I167" s="2"/>
      <c r="J167" s="16" t="s">
        <v>149</v>
      </c>
      <c r="K167" s="141">
        <f t="array" aca="1" ref="K167" ca="1">INDEX($A158:$A160,IF(MATCH(K165,$A158:$A160,1)&lt;M163,MATCH(K165,$A158:$A160,1)+1,MATCH(K165,$A158:$A160,1)))</f>
        <v>0</v>
      </c>
      <c r="L167" s="2"/>
      <c r="M167" s="42"/>
      <c r="O167" s="53"/>
      <c r="P167" s="2"/>
      <c r="Q167" s="2"/>
      <c r="R167" s="16" t="s">
        <v>149</v>
      </c>
      <c r="S167" s="141">
        <f t="array" aca="1" ref="S167" ca="1">INDEX($A158:$A160,IF(MATCH(S165,$A158:$A160,1)&lt;U163,MATCH(S165,$A158:$A160,1)+1,MATCH(S165,$A158:$A160,1)))</f>
        <v>0</v>
      </c>
      <c r="T167" s="2"/>
      <c r="U167" s="42"/>
      <c r="W167" s="2"/>
      <c r="X167" s="2"/>
      <c r="Y167" s="2"/>
      <c r="Z167" s="16" t="s">
        <v>149</v>
      </c>
      <c r="AA167" s="141">
        <f t="array" aca="1" ref="AA167" ca="1">INDEX($A158:$A160,IF(MATCH(AA165,$A158:$A160,1)&lt;AC163,MATCH(AA165,$A158:$A160,1)+1,MATCH(AA165,$A158:$A160,1)))</f>
        <v>0</v>
      </c>
      <c r="AB167" s="2"/>
      <c r="AC167" s="42"/>
      <c r="AE167" s="2"/>
      <c r="AF167" s="2"/>
      <c r="AG167" s="2"/>
      <c r="AH167" s="16" t="s">
        <v>149</v>
      </c>
      <c r="AI167" s="141">
        <f t="array" aca="1" ref="AI167" ca="1">INDEX($A158:$A160,IF(MATCH(AI165,$A158:$A160,1)&lt;AK163,MATCH(AI165,$A158:$A160,1)+1,MATCH(AI165,$A158:$A160,1)))</f>
        <v>0</v>
      </c>
      <c r="AJ167" s="2"/>
      <c r="AK167" s="42"/>
      <c r="AM167" s="2"/>
      <c r="AN167" s="2"/>
      <c r="AO167" s="2"/>
      <c r="AP167" s="16" t="s">
        <v>149</v>
      </c>
      <c r="AQ167" s="141">
        <f t="array" aca="1" ref="AQ167" ca="1">INDEX($A158:$A160,IF(MATCH(AQ165,$A158:$A160,1)&lt;AS163,MATCH(AQ165,$A158:$A160,1)+1,MATCH(AQ165,$A158:$A160,1)))</f>
        <v>0</v>
      </c>
      <c r="AR167" s="2"/>
      <c r="AS167" s="42"/>
      <c r="AU167" s="2"/>
      <c r="AV167" s="2"/>
      <c r="AW167" s="2"/>
      <c r="AX167" s="16" t="s">
        <v>149</v>
      </c>
      <c r="AY167" s="141">
        <f t="array" aca="1" ref="AY167" ca="1">INDEX($A158:$A160,IF(MATCH(AY165,$A158:$A160,1)&lt;BA163,MATCH(AY165,$A158:$A160,1)+1,MATCH(AY165,$A158:$A160,1)))</f>
        <v>0</v>
      </c>
      <c r="AZ167" s="2"/>
      <c r="BA167" s="42"/>
    </row>
    <row r="168" spans="1:53" ht="15" customHeight="1" x14ac:dyDescent="0.3">
      <c r="B168" s="139" t="s">
        <v>150</v>
      </c>
      <c r="C168" s="140">
        <f t="array" aca="1" ref="C168" ca="1">INDEX($B158:$S160,MATCH(C165,$A158:$A160,1),MATCH(C162,$B157:$S157,1))</f>
        <v>9050</v>
      </c>
      <c r="D168" s="2"/>
      <c r="E168" s="42"/>
      <c r="G168" s="2"/>
      <c r="H168" s="2"/>
      <c r="I168" s="2"/>
      <c r="J168" s="139" t="s">
        <v>150</v>
      </c>
      <c r="K168" s="140">
        <f t="array" aca="1" ref="K168" ca="1">INDEX($B158:$S160,MATCH(K165,$A158:$A160,1),MATCH(K162,$B157:$S157,1))</f>
        <v>8450</v>
      </c>
      <c r="L168" s="2"/>
      <c r="M168" s="42"/>
      <c r="O168" s="53"/>
      <c r="P168" s="2"/>
      <c r="Q168" s="2"/>
      <c r="R168" s="139" t="s">
        <v>150</v>
      </c>
      <c r="S168" s="140">
        <f t="array" aca="1" ref="S168" ca="1">INDEX($B158:$S160,MATCH(S165,$A158:$A160,1),MATCH(S162,$B157:$S157,1))</f>
        <v>7850</v>
      </c>
      <c r="T168" s="2"/>
      <c r="U168" s="42"/>
      <c r="W168" s="2"/>
      <c r="X168" s="2"/>
      <c r="Y168" s="2"/>
      <c r="Z168" s="139" t="s">
        <v>150</v>
      </c>
      <c r="AA168" s="140">
        <f t="array" aca="1" ref="AA168" ca="1">INDEX($B158:$S160,MATCH(AA165,$A158:$A160,1),MATCH(AA162,$B157:$S157,1))</f>
        <v>7300</v>
      </c>
      <c r="AB168" s="2"/>
      <c r="AC168" s="42"/>
      <c r="AE168" s="2"/>
      <c r="AF168" s="2"/>
      <c r="AG168" s="2"/>
      <c r="AH168" s="139" t="s">
        <v>150</v>
      </c>
      <c r="AI168" s="140">
        <f t="array" aca="1" ref="AI168" ca="1">INDEX($B158:$S160,MATCH(AI165,$A158:$A160,1),MATCH(AI162,$B157:$S157,1))</f>
        <v>6750</v>
      </c>
      <c r="AJ168" s="2"/>
      <c r="AK168" s="42"/>
      <c r="AM168" s="2"/>
      <c r="AN168" s="2"/>
      <c r="AO168" s="2"/>
      <c r="AP168" s="139" t="s">
        <v>150</v>
      </c>
      <c r="AQ168" s="140">
        <f t="array" aca="1" ref="AQ168" ca="1">INDEX($B158:$S160,MATCH(AQ165,$A158:$A160,1),MATCH(AQ162,$B157:$S157,1))</f>
        <v>6150</v>
      </c>
      <c r="AR168" s="2"/>
      <c r="AS168" s="42"/>
      <c r="AU168" s="2"/>
      <c r="AV168" s="2"/>
      <c r="AW168" s="2"/>
      <c r="AX168" s="139" t="s">
        <v>150</v>
      </c>
      <c r="AY168" s="140" t="e">
        <f t="array" aca="1" ref="AY168" ca="1">INDEX($B158:$S160,MATCH(AY165,$A158:$A160,1),MATCH(AY162,$B157:$S157,1))</f>
        <v>#N/A</v>
      </c>
      <c r="AZ168" s="2"/>
      <c r="BA168" s="42"/>
    </row>
    <row r="169" spans="1:53" ht="15" customHeight="1" x14ac:dyDescent="0.3">
      <c r="B169" s="139" t="s">
        <v>204</v>
      </c>
      <c r="C169" s="140">
        <f t="array" aca="1" ref="C169" ca="1">INDEX($B158:$S160,MATCH(C165,$A158:$A160,1),IF(MATCH(C162,$B157:$S157,1)&lt;E164,MATCH(C162,$B157:$S157,1)+1,MATCH(C165,$A158:$A160,1)))</f>
        <v>9585</v>
      </c>
      <c r="E169" s="42"/>
      <c r="G169" s="2"/>
      <c r="H169" s="2"/>
      <c r="I169" s="2"/>
      <c r="J169" s="139" t="s">
        <v>204</v>
      </c>
      <c r="K169" s="140">
        <f t="array" aca="1" ref="K169" ca="1">INDEX($B158:$S160,MATCH(K165,$A158:$A160,1),IF(MATCH(K162,$B157:$S157,1)&lt;M164,MATCH(K162,$B157:$S157,1)+1,MATCH(K165,$A158:$A160,1)))</f>
        <v>9050</v>
      </c>
      <c r="M169" s="42"/>
      <c r="O169" s="12"/>
      <c r="P169" s="2"/>
      <c r="Q169" s="2"/>
      <c r="R169" s="139" t="s">
        <v>204</v>
      </c>
      <c r="S169" s="140">
        <f t="array" aca="1" ref="S169" ca="1">INDEX($B158:$S160,MATCH(S165,$A158:$A160,1),IF(MATCH(S162,$B157:$S157,1)&lt;U164,MATCH(S162,$B157:$S157,1)+1,MATCH(S165,$A158:$A160,1)))</f>
        <v>8450</v>
      </c>
      <c r="U169" s="42"/>
      <c r="W169" s="2"/>
      <c r="X169" s="2"/>
      <c r="Y169" s="2"/>
      <c r="Z169" s="139" t="s">
        <v>204</v>
      </c>
      <c r="AA169" s="140">
        <f t="array" aca="1" ref="AA169" ca="1">INDEX($B158:$S160,MATCH(AA165,$A158:$A160,1),IF(MATCH(AA162,$B157:$S157,1)&lt;AC164,MATCH(AA162,$B157:$S157,1)+1,MATCH(AA165,$A158:$A160,1)))</f>
        <v>7850</v>
      </c>
      <c r="AC169" s="42"/>
      <c r="AE169" s="2"/>
      <c r="AF169" s="2"/>
      <c r="AG169" s="2"/>
      <c r="AH169" s="139" t="s">
        <v>204</v>
      </c>
      <c r="AI169" s="140">
        <f t="array" aca="1" ref="AI169" ca="1">INDEX($B158:$S160,MATCH(AI165,$A158:$A160,1),IF(MATCH(AI162,$B157:$S157,1)&lt;AK164,MATCH(AI162,$B157:$S157,1)+1,MATCH(AI165,$A158:$A160,1)))</f>
        <v>7300</v>
      </c>
      <c r="AK169" s="42"/>
      <c r="AM169" s="2"/>
      <c r="AN169" s="2"/>
      <c r="AO169" s="2"/>
      <c r="AP169" s="139" t="s">
        <v>204</v>
      </c>
      <c r="AQ169" s="140">
        <f t="array" aca="1" ref="AQ169" ca="1">INDEX($B158:$S160,MATCH(AQ165,$A158:$A160,1),IF(MATCH(AQ162,$B157:$S157,1)&lt;AS164,MATCH(AQ162,$B157:$S157,1)+1,MATCH(AQ165,$A158:$A160,1)))</f>
        <v>6750</v>
      </c>
      <c r="AS169" s="42"/>
      <c r="AU169" s="2"/>
      <c r="AV169" s="2"/>
      <c r="AW169" s="2"/>
      <c r="AX169" s="139" t="s">
        <v>204</v>
      </c>
      <c r="AY169" s="140" t="e">
        <f t="array" aca="1" ref="AY169" ca="1">INDEX($B158:$S160,MATCH(AY165,$A158:$A160,1),IF(MATCH(AY162,$B157:$S157,1)&lt;BA164,MATCH(AY162,$B157:$S157,1)+1,MATCH(AY165,$A158:$A160,1)))</f>
        <v>#N/A</v>
      </c>
      <c r="BA169" s="42"/>
    </row>
    <row r="170" spans="1:53" ht="15" customHeight="1" x14ac:dyDescent="0.3">
      <c r="B170" s="139" t="s">
        <v>151</v>
      </c>
      <c r="C170" s="140">
        <f t="array" aca="1" ref="C170" ca="1">INDEX($B158:$S160,IF(MATCH(C165,$A158:$A160,1)&lt;E163,MATCH(C165,$A158:$A160,1)+1,MATCH(C165,$A158:$A160,1)),MATCH(C162,$B157:$S157,1))</f>
        <v>7500</v>
      </c>
      <c r="E170" s="42"/>
      <c r="G170" s="2"/>
      <c r="H170" s="2"/>
      <c r="I170" s="2"/>
      <c r="J170" s="139" t="s">
        <v>151</v>
      </c>
      <c r="K170" s="140">
        <f t="array" aca="1" ref="K170" ca="1">INDEX($B158:$S160,IF(MATCH(K165,$A158:$A160,1)&lt;M163,MATCH(K165,$A158:$A160,1)+1,MATCH(K165,$A158:$A160,1)),MATCH(K162,$B157:$S157,1))</f>
        <v>7000</v>
      </c>
      <c r="M170" s="42"/>
      <c r="O170" s="12"/>
      <c r="P170" s="2"/>
      <c r="Q170" s="2"/>
      <c r="R170" s="139" t="s">
        <v>151</v>
      </c>
      <c r="S170" s="140">
        <f t="array" aca="1" ref="S170" ca="1">INDEX($B158:$S160,IF(MATCH(S165,$A158:$A160,1)&lt;U163,MATCH(S165,$A158:$A160,1)+1,MATCH(S165,$A158:$A160,1)),MATCH(S162,$B157:$S157,1))</f>
        <v>6500</v>
      </c>
      <c r="U170" s="42"/>
      <c r="W170" s="2"/>
      <c r="X170" s="2"/>
      <c r="Y170" s="2"/>
      <c r="Z170" s="139" t="s">
        <v>151</v>
      </c>
      <c r="AA170" s="140">
        <f t="array" aca="1" ref="AA170" ca="1">INDEX($B158:$S160,IF(MATCH(AA165,$A158:$A160,1)&lt;AC163,MATCH(AA165,$A158:$A160,1)+1,MATCH(AA165,$A158:$A160,1)),MATCH(AA162,$B157:$S157,1))</f>
        <v>6000</v>
      </c>
      <c r="AC170" s="42"/>
      <c r="AE170" s="2"/>
      <c r="AF170" s="2"/>
      <c r="AG170" s="2"/>
      <c r="AH170" s="139" t="s">
        <v>151</v>
      </c>
      <c r="AI170" s="140">
        <f t="array" aca="1" ref="AI170" ca="1">INDEX($B158:$S160,IF(MATCH(AI165,$A158:$A160,1)&lt;AK163,MATCH(AI165,$A158:$A160,1)+1,MATCH(AI165,$A158:$A160,1)),MATCH(AI162,$B157:$S157,1))</f>
        <v>5500</v>
      </c>
      <c r="AK170" s="42"/>
      <c r="AM170" s="2"/>
      <c r="AN170" s="2"/>
      <c r="AO170" s="2"/>
      <c r="AP170" s="139" t="s">
        <v>151</v>
      </c>
      <c r="AQ170" s="140">
        <f t="array" aca="1" ref="AQ170" ca="1">INDEX($B158:$S160,IF(MATCH(AQ165,$A158:$A160,1)&lt;AS163,MATCH(AQ165,$A158:$A160,1)+1,MATCH(AQ165,$A158:$A160,1)),MATCH(AQ162,$B157:$S157,1))</f>
        <v>5000</v>
      </c>
      <c r="AS170" s="42"/>
      <c r="AU170" s="2"/>
      <c r="AV170" s="2"/>
      <c r="AW170" s="2"/>
      <c r="AX170" s="139" t="s">
        <v>151</v>
      </c>
      <c r="AY170" s="140" t="e">
        <f t="array" aca="1" ref="AY170" ca="1">INDEX($B158:$S160,IF(MATCH(AY165,$A158:$A160,1)&lt;BA163,MATCH(AY165,$A158:$A160,1)+1,MATCH(AY165,$A158:$A160,1)),MATCH(AY162,$B157:$S157,1))</f>
        <v>#N/A</v>
      </c>
      <c r="BA170" s="42"/>
    </row>
    <row r="171" spans="1:53" ht="15" customHeight="1" x14ac:dyDescent="0.3">
      <c r="B171" s="139" t="s">
        <v>205</v>
      </c>
      <c r="C171" s="140">
        <f t="array" aca="1" ref="C171" ca="1">INDEX($B158:$S160,IF(MATCH(C165,$A158:$A160,1)&lt;E163,MATCH(C165,$A158:$A160,1)+1,MATCH(C165,$A158:$A160,1)),IF(MATCH(C162,$B157:$S157,1)&lt;E164,MATCH(C162,$B157:$S157,1)+1,MATCH(C162,$B157:$S157,1)))</f>
        <v>8000</v>
      </c>
      <c r="G171" s="2"/>
      <c r="H171" s="2"/>
      <c r="I171" s="2"/>
      <c r="J171" s="139" t="s">
        <v>205</v>
      </c>
      <c r="K171" s="140">
        <f t="array" aca="1" ref="K171" ca="1">INDEX($B158:$S160,IF(MATCH(K165,$A158:$A160,1)&lt;M163,MATCH(K165,$A158:$A160,1)+1,MATCH(K165,$A158:$A160,1)),IF(MATCH(K162,$B157:$S157,1)&lt;M164,MATCH(K162,$B157:$S157,1)+1,MATCH(K162,$B157:$S157,1)))</f>
        <v>7500</v>
      </c>
      <c r="O171" s="12"/>
      <c r="P171" s="2"/>
      <c r="Q171" s="2"/>
      <c r="R171" s="139" t="s">
        <v>205</v>
      </c>
      <c r="S171" s="140">
        <f t="array" aca="1" ref="S171" ca="1">INDEX($B158:$S160,IF(MATCH(S165,$A158:$A160,1)&lt;U163,MATCH(S165,$A158:$A160,1)+1,MATCH(S165,$A158:$A160,1)),IF(MATCH(S162,$B157:$S157,1)&lt;U164,MATCH(S162,$B157:$S157,1)+1,MATCH(S162,$B157:$S157,1)))</f>
        <v>7000</v>
      </c>
      <c r="W171" s="2"/>
      <c r="X171" s="2"/>
      <c r="Y171" s="2"/>
      <c r="Z171" s="139" t="s">
        <v>205</v>
      </c>
      <c r="AA171" s="140">
        <f t="array" aca="1" ref="AA171" ca="1">INDEX($B158:$S160,IF(MATCH(AA165,$A158:$A160,1)&lt;AC163,MATCH(AA165,$A158:$A160,1)+1,MATCH(AA165,$A158:$A160,1)),IF(MATCH(AA162,$B157:$S157,1)&lt;AC164,MATCH(AA162,$B157:$S157,1)+1,MATCH(AA162,$B157:$S157,1)))</f>
        <v>6500</v>
      </c>
      <c r="AE171" s="2"/>
      <c r="AF171" s="2"/>
      <c r="AG171" s="2"/>
      <c r="AH171" s="139" t="s">
        <v>205</v>
      </c>
      <c r="AI171" s="140">
        <f t="array" aca="1" ref="AI171" ca="1">INDEX($B158:$S160,IF(MATCH(AI165,$A158:$A160,1)&lt;AK163,MATCH(AI165,$A158:$A160,1)+1,MATCH(AI165,$A158:$A160,1)),IF(MATCH(AI162,$B157:$S157,1)&lt;AK164,MATCH(AI162,$B157:$S157,1)+1,MATCH(AI162,$B157:$S157,1)))</f>
        <v>6000</v>
      </c>
      <c r="AM171" s="2"/>
      <c r="AN171" s="2"/>
      <c r="AO171" s="2"/>
      <c r="AP171" s="139" t="s">
        <v>205</v>
      </c>
      <c r="AQ171" s="140">
        <f t="array" aca="1" ref="AQ171" ca="1">INDEX($B158:$S160,IF(MATCH(AQ165,$A158:$A160,1)&lt;AS163,MATCH(AQ165,$A158:$A160,1)+1,MATCH(AQ165,$A158:$A160,1)),IF(MATCH(AQ162,$B157:$S157,1)&lt;AS164,MATCH(AQ162,$B157:$S157,1)+1,MATCH(AQ162,$B157:$S157,1)))</f>
        <v>5500</v>
      </c>
      <c r="AU171" s="2"/>
      <c r="AV171" s="2"/>
      <c r="AW171" s="2"/>
      <c r="AX171" s="139" t="s">
        <v>205</v>
      </c>
      <c r="AY171" s="140" t="e">
        <f t="array" aca="1" ref="AY171" ca="1">INDEX($B158:$S160,IF(MATCH(AY165,$A158:$A160,1)&lt;BA163,MATCH(AY165,$A158:$A160,1)+1,MATCH(AY165,$A158:$A160,1)),IF(MATCH(AY162,$B157:$S157,1)&lt;BA164,MATCH(AY162,$B157:$S157,1)+1,MATCH(AY162,$B157:$S157,1)))</f>
        <v>#N/A</v>
      </c>
    </row>
    <row r="172" spans="1:53" ht="15" customHeight="1" x14ac:dyDescent="0.3">
      <c r="B172" s="16" t="s">
        <v>206</v>
      </c>
      <c r="C172" s="141">
        <f ca="1">IFERROR(C168+(C162-C163)*(C169-C168)/(C164-C163),C168)</f>
        <v>9113.0764999999992</v>
      </c>
      <c r="G172" s="2"/>
      <c r="H172" s="2"/>
      <c r="I172" s="2"/>
      <c r="J172" s="16" t="s">
        <v>206</v>
      </c>
      <c r="K172" s="141">
        <f ca="1">IFERROR(K168+(K162-K163)*(K169-K168)/(K164-K163),K168)</f>
        <v>8674.7839999999997</v>
      </c>
      <c r="O172" s="12"/>
      <c r="P172" s="2"/>
      <c r="Q172" s="2"/>
      <c r="R172" s="16" t="s">
        <v>206</v>
      </c>
      <c r="S172" s="141">
        <f ca="1">IFERROR(S168+(S162-S163)*(S169-S168)/(S164-S163),S168)</f>
        <v>7960.94</v>
      </c>
      <c r="W172" s="2"/>
      <c r="X172" s="2"/>
      <c r="Y172" s="2"/>
      <c r="Z172" s="16" t="s">
        <v>206</v>
      </c>
      <c r="AA172" s="141">
        <f ca="1">IFERROR(AA168+(AA162-AA163)*(AA169-AA168)/(AA164-AA163),AA168)</f>
        <v>7365.5379999999996</v>
      </c>
      <c r="AE172" s="2"/>
      <c r="AF172" s="2"/>
      <c r="AG172" s="2"/>
      <c r="AH172" s="16" t="s">
        <v>206</v>
      </c>
      <c r="AI172" s="141">
        <f ca="1">IFERROR(AI168+(AI162-AI163)*(AI169-AI168)/(AI164-AI163),AI168)</f>
        <v>6830.6629999999996</v>
      </c>
      <c r="AM172" s="2"/>
      <c r="AN172" s="2"/>
      <c r="AO172" s="2"/>
      <c r="AP172" s="16" t="s">
        <v>206</v>
      </c>
      <c r="AQ172" s="141">
        <f ca="1">IFERROR(AQ168+(AQ162-AQ163)*(AQ169-AQ168)/(AQ164-AQ163),AQ168)</f>
        <v>6714.5519999999997</v>
      </c>
      <c r="AU172" s="2"/>
      <c r="AV172" s="2"/>
      <c r="AW172" s="2"/>
      <c r="AX172" s="16" t="s">
        <v>206</v>
      </c>
      <c r="AY172" s="141" t="e">
        <f ca="1">IFERROR(AY168+(AY162-AY163)*(AY169-AY168)/(AY164-AY163),AY168)</f>
        <v>#N/A</v>
      </c>
    </row>
    <row r="173" spans="1:53" ht="15" customHeight="1" x14ac:dyDescent="0.3">
      <c r="B173" s="16" t="s">
        <v>207</v>
      </c>
      <c r="C173" s="141">
        <f ca="1">IFERROR(C170+(C162-C163)*(C171-C170)/(C164-C163),C170)</f>
        <v>7558.95</v>
      </c>
      <c r="G173" s="2"/>
      <c r="H173" s="2"/>
      <c r="I173" s="2"/>
      <c r="J173" s="16" t="s">
        <v>207</v>
      </c>
      <c r="K173" s="141">
        <f ca="1">IFERROR(K170+(K162-K163)*(K171-K170)/(K164-K163),K170)</f>
        <v>7187.32</v>
      </c>
      <c r="O173" s="12"/>
      <c r="P173" s="2"/>
      <c r="Q173" s="2"/>
      <c r="R173" s="16" t="s">
        <v>207</v>
      </c>
      <c r="S173" s="141">
        <f ca="1">IFERROR(S170+(S162-S163)*(S171-S170)/(S164-S163),S170)</f>
        <v>6592.45</v>
      </c>
      <c r="W173" s="2"/>
      <c r="X173" s="2"/>
      <c r="Y173" s="2"/>
      <c r="Z173" s="16" t="s">
        <v>207</v>
      </c>
      <c r="AA173" s="141">
        <f ca="1">IFERROR(AA170+(AA162-AA163)*(AA171-AA170)/(AA164-AA163),AA170)</f>
        <v>6059.58</v>
      </c>
      <c r="AE173" s="2"/>
      <c r="AF173" s="2"/>
      <c r="AG173" s="2"/>
      <c r="AH173" s="16" t="s">
        <v>207</v>
      </c>
      <c r="AI173" s="141">
        <f ca="1">IFERROR(AI170+(AI162-AI163)*(AI171-AI170)/(AI164-AI163),AI170)</f>
        <v>5573.33</v>
      </c>
      <c r="AM173" s="2"/>
      <c r="AN173" s="2"/>
      <c r="AO173" s="2"/>
      <c r="AP173" s="16" t="s">
        <v>207</v>
      </c>
      <c r="AQ173" s="141">
        <f ca="1">IFERROR(AQ170+(AQ162-AQ163)*(AQ171-AQ170)/(AQ164-AQ163),AQ170)</f>
        <v>5470.46</v>
      </c>
      <c r="AU173" s="2"/>
      <c r="AV173" s="2"/>
      <c r="AW173" s="2"/>
      <c r="AX173" s="16" t="s">
        <v>207</v>
      </c>
      <c r="AY173" s="141" t="e">
        <f ca="1">IFERROR(AY170+(AY162-AY163)*(AY171-AY170)/(AY164-AY163),AY170)</f>
        <v>#N/A</v>
      </c>
    </row>
    <row r="174" spans="1:53" ht="15" customHeight="1" x14ac:dyDescent="0.3">
      <c r="B174" s="139" t="s">
        <v>208</v>
      </c>
      <c r="C174" s="140">
        <f ca="1">IFERROR(C172+(C165-C166)*(C173-C172)/(C167-C166),C172)</f>
        <v>7931.0297977933533</v>
      </c>
      <c r="G174" s="2"/>
      <c r="H174" s="2"/>
      <c r="I174" s="2"/>
      <c r="J174" s="139" t="s">
        <v>208</v>
      </c>
      <c r="K174" s="140">
        <f ca="1">IFERROR(K172+(K165-K166)*(K173-K172)/(K167-K166),K172)</f>
        <v>7543.4398553302399</v>
      </c>
      <c r="O174" s="12"/>
      <c r="P174" s="2"/>
      <c r="Q174" s="2"/>
      <c r="R174" s="139" t="s">
        <v>208</v>
      </c>
      <c r="S174" s="140">
        <f ca="1">IFERROR(S172+(S165-S166)*(S173-S172)/(S167-S166),S172)</f>
        <v>6920.0858021578206</v>
      </c>
      <c r="W174" s="2"/>
      <c r="X174" s="2"/>
      <c r="Y174" s="2"/>
      <c r="Z174" s="139" t="s">
        <v>208</v>
      </c>
      <c r="AA174" s="140">
        <f ca="1">IFERROR(AA172+(AA165-AA166)*(AA173-AA172)/(AA167-AA166),AA172)</f>
        <v>6372.2447596361126</v>
      </c>
      <c r="AE174" s="2"/>
      <c r="AF174" s="2"/>
      <c r="AG174" s="2"/>
      <c r="AH174" s="139" t="s">
        <v>208</v>
      </c>
      <c r="AI174" s="140">
        <f ca="1">IFERROR(AI172+(AI165-AI166)*(AI173-AI172)/(AI167-AI166),AI172)</f>
        <v>5874.353249007665</v>
      </c>
      <c r="AM174" s="2"/>
      <c r="AN174" s="2"/>
      <c r="AO174" s="2"/>
      <c r="AP174" s="139" t="s">
        <v>208</v>
      </c>
      <c r="AQ174" s="140">
        <f ca="1">IFERROR(AQ172+(AQ165-AQ166)*(AQ173-AQ172)/(AQ167-AQ166),AQ172)</f>
        <v>5768.3131669052227</v>
      </c>
      <c r="AU174" s="2"/>
      <c r="AV174" s="2"/>
      <c r="AW174" s="2"/>
      <c r="AX174" s="139" t="s">
        <v>208</v>
      </c>
      <c r="AY174" s="140" t="e">
        <f ca="1">IFERROR(AY172+(AY165-AY166)*(AY173-AY172)/(AY167-AY166),AY172)</f>
        <v>#N/A</v>
      </c>
    </row>
    <row r="175" spans="1:53" ht="15" customHeight="1" x14ac:dyDescent="0.3">
      <c r="B175" s="139"/>
      <c r="C175" s="140"/>
      <c r="G175" s="2"/>
      <c r="H175" s="2"/>
      <c r="I175" s="2"/>
      <c r="J175" s="139"/>
      <c r="K175" s="140"/>
      <c r="O175" s="12"/>
      <c r="P175" s="2"/>
      <c r="Q175" s="2"/>
      <c r="R175" s="139"/>
      <c r="S175" s="140"/>
      <c r="W175" s="2"/>
      <c r="X175" s="2"/>
      <c r="Y175" s="2"/>
      <c r="Z175" s="139"/>
      <c r="AA175" s="140"/>
      <c r="AE175" s="2"/>
      <c r="AF175" s="2"/>
      <c r="AG175" s="2"/>
      <c r="AH175" s="139"/>
      <c r="AI175" s="140"/>
      <c r="AM175" s="2"/>
      <c r="AN175" s="2"/>
      <c r="AO175" s="2"/>
      <c r="AP175" s="139"/>
      <c r="AQ175" s="140"/>
      <c r="AU175" s="2"/>
      <c r="AV175" s="2"/>
      <c r="AW175" s="2"/>
      <c r="AX175" s="139"/>
      <c r="AY175" s="140"/>
    </row>
    <row r="176" spans="1:53" ht="15" customHeight="1" x14ac:dyDescent="0.3">
      <c r="A176" t="s">
        <v>223</v>
      </c>
      <c r="B176" s="357" t="s">
        <v>222</v>
      </c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W176" s="2"/>
      <c r="X176" s="2"/>
      <c r="Y176" s="2"/>
      <c r="Z176" s="139"/>
      <c r="AA176" s="140"/>
      <c r="AE176" s="2"/>
      <c r="AF176" s="2"/>
      <c r="AG176" s="2"/>
      <c r="AH176" s="139"/>
      <c r="AI176" s="140"/>
      <c r="AM176" s="2"/>
      <c r="AN176" s="2"/>
      <c r="AO176" s="2"/>
      <c r="AP176" s="139"/>
      <c r="AQ176" s="140"/>
      <c r="AU176" s="2"/>
      <c r="AV176" s="2"/>
      <c r="AW176" s="2"/>
      <c r="AX176" s="139"/>
      <c r="AY176" s="140"/>
    </row>
    <row r="177" spans="1:61" ht="15" customHeight="1" x14ac:dyDescent="0.3">
      <c r="A177" t="s">
        <v>224</v>
      </c>
      <c r="B177" s="229">
        <v>3500</v>
      </c>
      <c r="C177" s="229">
        <v>4000</v>
      </c>
      <c r="D177" s="232">
        <v>4500</v>
      </c>
      <c r="E177" s="232">
        <v>5000</v>
      </c>
      <c r="F177" s="232">
        <v>5500</v>
      </c>
      <c r="G177" s="232">
        <v>6000</v>
      </c>
      <c r="H177" s="232">
        <v>6500</v>
      </c>
      <c r="I177" s="230">
        <v>7000</v>
      </c>
      <c r="J177" s="55">
        <v>7500</v>
      </c>
      <c r="K177" s="55">
        <v>8000</v>
      </c>
      <c r="L177" s="55">
        <v>8500</v>
      </c>
      <c r="M177" s="259">
        <v>9000</v>
      </c>
      <c r="N177" s="259">
        <v>9500</v>
      </c>
      <c r="O177" s="55">
        <v>10000</v>
      </c>
      <c r="P177" s="55">
        <v>10500</v>
      </c>
      <c r="Q177" s="259">
        <v>11000</v>
      </c>
      <c r="R177" s="259">
        <v>11500</v>
      </c>
      <c r="S177" s="259">
        <v>12000</v>
      </c>
      <c r="T177" s="72"/>
      <c r="U177" s="140"/>
      <c r="Y177" s="2"/>
      <c r="Z177" s="2"/>
      <c r="AA177" s="2"/>
      <c r="AB177" s="139"/>
      <c r="AC177" s="140"/>
      <c r="AG177" s="2"/>
      <c r="AH177" s="2"/>
      <c r="AI177" s="2"/>
      <c r="AJ177" s="139"/>
      <c r="AK177" s="140"/>
      <c r="AO177" s="2"/>
      <c r="AP177" s="2"/>
      <c r="AQ177" s="2"/>
      <c r="AR177" s="139"/>
      <c r="AS177" s="140"/>
      <c r="AW177" s="2"/>
      <c r="AX177" s="2"/>
      <c r="AY177" s="2"/>
      <c r="AZ177" s="139"/>
      <c r="BA177" s="140"/>
      <c r="BE177" s="2"/>
      <c r="BF177" s="2"/>
      <c r="BG177" s="2"/>
      <c r="BH177" s="139"/>
      <c r="BI177" s="140"/>
    </row>
    <row r="178" spans="1:61" ht="15" customHeight="1" x14ac:dyDescent="0.3">
      <c r="A178">
        <v>0</v>
      </c>
      <c r="B178" s="263">
        <v>3500</v>
      </c>
      <c r="C178" s="264">
        <v>3974</v>
      </c>
      <c r="D178" s="264">
        <v>4475</v>
      </c>
      <c r="E178" s="264">
        <v>4975</v>
      </c>
      <c r="F178" s="264">
        <v>5475</v>
      </c>
      <c r="G178" s="264">
        <v>5950</v>
      </c>
      <c r="H178" s="264">
        <v>6430</v>
      </c>
      <c r="I178" s="264">
        <v>6900</v>
      </c>
      <c r="J178" s="264">
        <v>7400</v>
      </c>
      <c r="K178" s="264">
        <v>7900</v>
      </c>
      <c r="L178" s="264">
        <v>8400</v>
      </c>
      <c r="M178" s="264">
        <v>8890</v>
      </c>
      <c r="N178" s="265">
        <v>9390</v>
      </c>
      <c r="O178" s="264">
        <v>9880</v>
      </c>
      <c r="P178" s="264">
        <v>10375</v>
      </c>
      <c r="Q178" s="264">
        <v>10875</v>
      </c>
      <c r="R178" s="264">
        <v>11400</v>
      </c>
      <c r="S178" s="265">
        <v>99999</v>
      </c>
      <c r="T178" s="72"/>
      <c r="U178" s="140"/>
      <c r="Y178" s="2"/>
      <c r="Z178" s="2"/>
      <c r="AA178" s="2"/>
      <c r="AB178" s="139"/>
      <c r="AC178" s="140"/>
      <c r="AG178" s="2"/>
      <c r="AH178" s="2"/>
      <c r="AI178" s="2"/>
      <c r="AJ178" s="139"/>
      <c r="AK178" s="140"/>
      <c r="AO178" s="2"/>
      <c r="AP178" s="2"/>
      <c r="AQ178" s="2"/>
      <c r="AR178" s="139"/>
      <c r="AS178" s="140"/>
      <c r="AW178" s="2"/>
      <c r="AX178" s="2"/>
      <c r="AY178" s="2"/>
      <c r="AZ178" s="139"/>
      <c r="BA178" s="140"/>
      <c r="BE178" s="2"/>
      <c r="BF178" s="2"/>
      <c r="BG178" s="2"/>
      <c r="BH178" s="139"/>
      <c r="BI178" s="140"/>
    </row>
    <row r="179" spans="1:61" ht="15" customHeight="1" x14ac:dyDescent="0.3">
      <c r="B179" s="139"/>
      <c r="C179" s="140"/>
      <c r="G179" s="2"/>
      <c r="H179" s="2"/>
      <c r="I179" s="2"/>
      <c r="J179" s="139"/>
      <c r="K179" s="140"/>
      <c r="O179" s="12"/>
      <c r="P179" s="2"/>
      <c r="Q179" s="2"/>
      <c r="R179" s="139"/>
      <c r="S179" s="140"/>
      <c r="W179" s="2"/>
      <c r="X179" s="2"/>
      <c r="Y179" s="2"/>
      <c r="Z179" s="139"/>
      <c r="AA179" s="140"/>
      <c r="AE179" s="2"/>
      <c r="AF179" s="2"/>
      <c r="AG179" s="2"/>
      <c r="AH179" s="139"/>
      <c r="AI179" s="140"/>
      <c r="AM179" s="2"/>
      <c r="AN179" s="2"/>
      <c r="AO179" s="2"/>
      <c r="AP179" s="139"/>
      <c r="AQ179" s="140"/>
      <c r="AU179" s="2"/>
      <c r="AV179" s="2"/>
      <c r="AW179" s="2"/>
      <c r="AX179" s="139"/>
      <c r="AY179" s="140"/>
    </row>
    <row r="180" spans="1:61" ht="15" customHeight="1" x14ac:dyDescent="0.3">
      <c r="B180" s="139" t="s">
        <v>146</v>
      </c>
      <c r="C180" s="140">
        <f ca="1">C174</f>
        <v>7931.0297977933533</v>
      </c>
      <c r="D180" s="355" t="s">
        <v>201</v>
      </c>
      <c r="E180" s="355"/>
      <c r="G180" s="2"/>
      <c r="H180" s="2"/>
      <c r="I180" s="2"/>
      <c r="J180" s="139" t="s">
        <v>146</v>
      </c>
      <c r="K180" s="140">
        <f ca="1">K174</f>
        <v>7543.4398553302399</v>
      </c>
      <c r="L180" s="355" t="s">
        <v>201</v>
      </c>
      <c r="M180" s="355"/>
      <c r="O180" s="12"/>
      <c r="P180" s="2"/>
      <c r="Q180" s="2"/>
      <c r="R180" s="139" t="s">
        <v>146</v>
      </c>
      <c r="S180" s="140">
        <f ca="1">S174</f>
        <v>6920.0858021578206</v>
      </c>
      <c r="T180" s="355" t="s">
        <v>201</v>
      </c>
      <c r="U180" s="355"/>
      <c r="W180" s="2"/>
      <c r="X180" s="2"/>
      <c r="Y180" s="2"/>
      <c r="Z180" s="139" t="s">
        <v>146</v>
      </c>
      <c r="AA180" s="140">
        <f ca="1">AA174</f>
        <v>6372.2447596361126</v>
      </c>
      <c r="AB180" s="355" t="s">
        <v>201</v>
      </c>
      <c r="AC180" s="355"/>
      <c r="AE180" s="2"/>
      <c r="AF180" s="2"/>
      <c r="AG180" s="2"/>
      <c r="AH180" s="139" t="s">
        <v>146</v>
      </c>
      <c r="AI180" s="140">
        <f ca="1">AI174</f>
        <v>5874.353249007665</v>
      </c>
      <c r="AJ180" s="355" t="s">
        <v>201</v>
      </c>
      <c r="AK180" s="355"/>
      <c r="AM180" s="2"/>
      <c r="AN180" s="2"/>
      <c r="AO180" s="2"/>
      <c r="AP180" s="139" t="s">
        <v>146</v>
      </c>
      <c r="AQ180" s="140">
        <f ca="1">AQ174</f>
        <v>5768.3131669052227</v>
      </c>
      <c r="AR180" s="355" t="s">
        <v>201</v>
      </c>
      <c r="AS180" s="355"/>
      <c r="AU180" s="2"/>
      <c r="AV180" s="2"/>
      <c r="AW180" s="2"/>
      <c r="AX180" s="139" t="s">
        <v>146</v>
      </c>
      <c r="AY180" s="140" t="e">
        <f ca="1">AY174</f>
        <v>#N/A</v>
      </c>
      <c r="AZ180" s="355" t="s">
        <v>201</v>
      </c>
      <c r="BA180" s="355"/>
    </row>
    <row r="181" spans="1:61" ht="15" customHeight="1" x14ac:dyDescent="0.3">
      <c r="B181" s="16" t="s">
        <v>202</v>
      </c>
      <c r="C181" s="141">
        <f t="array" aca="1" ref="C181" ca="1">INDEX($B177:$S177,MATCH(C180,$B177:$S177,1))</f>
        <v>7500</v>
      </c>
      <c r="D181" s="16" t="s">
        <v>144</v>
      </c>
      <c r="E181" s="17">
        <f>MATCH(MAX($A178),$A178,1)</f>
        <v>1</v>
      </c>
      <c r="G181" s="2"/>
      <c r="H181" s="2"/>
      <c r="I181" s="2"/>
      <c r="J181" s="16" t="s">
        <v>202</v>
      </c>
      <c r="K181" s="141">
        <f t="array" aca="1" ref="K181" ca="1">INDEX($B177:$S177,MATCH(K180,$B177:$S177,1))</f>
        <v>7500</v>
      </c>
      <c r="L181" s="16" t="s">
        <v>144</v>
      </c>
      <c r="M181" s="17">
        <f>MATCH(MAX($A178),$A178,1)</f>
        <v>1</v>
      </c>
      <c r="O181" s="12"/>
      <c r="P181" s="2"/>
      <c r="Q181" s="2"/>
      <c r="R181" s="16" t="s">
        <v>202</v>
      </c>
      <c r="S181" s="141">
        <f t="array" aca="1" ref="S181" ca="1">INDEX($B177:$S177,MATCH(S180,$B177:$S177,1))</f>
        <v>6500</v>
      </c>
      <c r="T181" s="16" t="s">
        <v>144</v>
      </c>
      <c r="U181" s="17">
        <f>MATCH(MAX($A178),$A178,1)</f>
        <v>1</v>
      </c>
      <c r="W181" s="2"/>
      <c r="X181" s="2"/>
      <c r="Y181" s="2"/>
      <c r="Z181" s="16" t="s">
        <v>202</v>
      </c>
      <c r="AA181" s="141">
        <f t="array" aca="1" ref="AA181" ca="1">INDEX($B177:$S177,MATCH(AA180,$B177:$S177,1))</f>
        <v>6000</v>
      </c>
      <c r="AB181" s="16" t="s">
        <v>144</v>
      </c>
      <c r="AC181" s="17">
        <f>MATCH(MAX($A178),$A178,1)</f>
        <v>1</v>
      </c>
      <c r="AE181" s="2"/>
      <c r="AF181" s="2"/>
      <c r="AG181" s="2"/>
      <c r="AH181" s="16" t="s">
        <v>202</v>
      </c>
      <c r="AI181" s="141">
        <f t="array" aca="1" ref="AI181" ca="1">INDEX($B177:$S177,MATCH(AI180,$B177:$S177,1))</f>
        <v>5500</v>
      </c>
      <c r="AJ181" s="16" t="s">
        <v>144</v>
      </c>
      <c r="AK181" s="17">
        <f>MATCH(MAX($A178),$A178,1)</f>
        <v>1</v>
      </c>
      <c r="AM181" s="2"/>
      <c r="AN181" s="2"/>
      <c r="AO181" s="2"/>
      <c r="AP181" s="16" t="s">
        <v>202</v>
      </c>
      <c r="AQ181" s="141">
        <f t="array" aca="1" ref="AQ181" ca="1">INDEX($B177:$S177,MATCH(AQ180,$B177:$S177,1))</f>
        <v>5500</v>
      </c>
      <c r="AR181" s="16" t="s">
        <v>144</v>
      </c>
      <c r="AS181" s="17">
        <f>MATCH(MAX($A178),$A178,1)</f>
        <v>1</v>
      </c>
      <c r="AU181" s="2"/>
      <c r="AV181" s="2"/>
      <c r="AW181" s="2"/>
      <c r="AX181" s="16" t="s">
        <v>202</v>
      </c>
      <c r="AY181" s="141" t="e">
        <f t="array" aca="1" ref="AY181" ca="1">INDEX($B177:$S177,MATCH(AY180,$B177:$S177,1))</f>
        <v>#N/A</v>
      </c>
      <c r="AZ181" s="16" t="s">
        <v>144</v>
      </c>
      <c r="BA181" s="17">
        <f>MATCH(MAX($A178),$A178,1)</f>
        <v>1</v>
      </c>
    </row>
    <row r="182" spans="1:61" ht="15" customHeight="1" x14ac:dyDescent="0.3">
      <c r="B182" s="16" t="s">
        <v>203</v>
      </c>
      <c r="C182" s="141">
        <f t="array" aca="1" ref="C182" ca="1">INDEX($B177:$S177,IF(MATCH(C180,$B177:$S177,1)&lt;E182,MATCH(C180,$B177:$S177,1)+1,MATCH(C180,$B177:$S177,1)))</f>
        <v>8000</v>
      </c>
      <c r="D182" s="16" t="s">
        <v>145</v>
      </c>
      <c r="E182" s="17">
        <f>MATCH(MAX($B177:$S177),$B177:$S177,0)</f>
        <v>18</v>
      </c>
      <c r="G182" s="2"/>
      <c r="H182" s="2"/>
      <c r="I182" s="2"/>
      <c r="J182" s="16" t="s">
        <v>203</v>
      </c>
      <c r="K182" s="141">
        <f t="array" aca="1" ref="K182" ca="1">INDEX($B177:$S177,IF(MATCH(K180,$B177:$S177,1)&lt;M182,MATCH(K180,$B177:$S177,1)+1,MATCH(K180,$B177:$S177,1)))</f>
        <v>8000</v>
      </c>
      <c r="L182" s="16" t="s">
        <v>145</v>
      </c>
      <c r="M182" s="17">
        <f>MATCH(MAX($B177:$S177),$B177:$S177,0)</f>
        <v>18</v>
      </c>
      <c r="O182" s="12"/>
      <c r="P182" s="2"/>
      <c r="Q182" s="2"/>
      <c r="R182" s="16" t="s">
        <v>203</v>
      </c>
      <c r="S182" s="141">
        <f t="array" aca="1" ref="S182" ca="1">INDEX($B177:$S177,IF(MATCH(S180,$B177:$S177,1)&lt;U182,MATCH(S180,$B177:$S177,1)+1,MATCH(S180,$B177:$S177,1)))</f>
        <v>7000</v>
      </c>
      <c r="T182" s="16" t="s">
        <v>145</v>
      </c>
      <c r="U182" s="17">
        <f>MATCH(MAX($B177:$S177),$B177:$S177,0)</f>
        <v>18</v>
      </c>
      <c r="W182" s="2"/>
      <c r="X182" s="2"/>
      <c r="Y182" s="2"/>
      <c r="Z182" s="16" t="s">
        <v>203</v>
      </c>
      <c r="AA182" s="141">
        <f t="array" aca="1" ref="AA182" ca="1">INDEX($B177:$S177,IF(MATCH(AA180,$B177:$S177,1)&lt;AC182,MATCH(AA180,$B177:$S177,1)+1,MATCH(AA180,$B177:$S177,1)))</f>
        <v>6500</v>
      </c>
      <c r="AB182" s="16" t="s">
        <v>145</v>
      </c>
      <c r="AC182" s="17">
        <f>MATCH(MAX($B177:$S177),$B177:$S177,0)</f>
        <v>18</v>
      </c>
      <c r="AE182" s="2"/>
      <c r="AF182" s="2"/>
      <c r="AG182" s="2"/>
      <c r="AH182" s="16" t="s">
        <v>203</v>
      </c>
      <c r="AI182" s="141">
        <f t="array" aca="1" ref="AI182" ca="1">INDEX($B177:$S177,IF(MATCH(AI180,$B177:$S177,1)&lt;AK182,MATCH(AI180,$B177:$S177,1)+1,MATCH(AI180,$B177:$S177,1)))</f>
        <v>6000</v>
      </c>
      <c r="AJ182" s="16" t="s">
        <v>145</v>
      </c>
      <c r="AK182" s="17">
        <f>MATCH(MAX($B177:$S177),$B177:$S177,0)</f>
        <v>18</v>
      </c>
      <c r="AM182" s="2"/>
      <c r="AN182" s="2"/>
      <c r="AO182" s="2"/>
      <c r="AP182" s="16" t="s">
        <v>203</v>
      </c>
      <c r="AQ182" s="141">
        <f t="array" aca="1" ref="AQ182" ca="1">INDEX($B177:$S177,IF(MATCH(AQ180,$B177:$S177,1)&lt;AS182,MATCH(AQ180,$B177:$S177,1)+1,MATCH(AQ180,$B177:$S177,1)))</f>
        <v>6000</v>
      </c>
      <c r="AR182" s="16" t="s">
        <v>145</v>
      </c>
      <c r="AS182" s="17">
        <f>MATCH(MAX($B177:$S177),$B177:$S177,0)</f>
        <v>18</v>
      </c>
      <c r="AU182" s="2"/>
      <c r="AV182" s="2"/>
      <c r="AW182" s="2"/>
      <c r="AX182" s="16" t="s">
        <v>203</v>
      </c>
      <c r="AY182" s="141" t="e">
        <f t="array" aca="1" ref="AY182" ca="1">INDEX($B177:$S177,IF(MATCH(AY180,$B177:$S177,1)&lt;BA182,MATCH(AY180,$B177:$S177,1)+1,MATCH(AY180,$B177:$S177,1)))</f>
        <v>#N/A</v>
      </c>
      <c r="AZ182" s="16" t="s">
        <v>145</v>
      </c>
      <c r="BA182" s="17">
        <f>MATCH(MAX($B177:$S177),$B177:$S177,0)</f>
        <v>18</v>
      </c>
    </row>
    <row r="183" spans="1:61" ht="15" customHeight="1" x14ac:dyDescent="0.3">
      <c r="B183" s="139" t="s">
        <v>147</v>
      </c>
      <c r="C183" s="186">
        <v>0</v>
      </c>
      <c r="D183" s="2"/>
      <c r="E183" s="2"/>
      <c r="G183" s="2"/>
      <c r="H183" s="2"/>
      <c r="I183" s="2"/>
      <c r="J183" s="139" t="s">
        <v>147</v>
      </c>
      <c r="K183" s="186">
        <v>0</v>
      </c>
      <c r="L183" s="2"/>
      <c r="M183" s="2"/>
      <c r="O183" s="12"/>
      <c r="P183" s="2"/>
      <c r="Q183" s="2"/>
      <c r="R183" s="139" t="s">
        <v>147</v>
      </c>
      <c r="S183" s="186">
        <v>0</v>
      </c>
      <c r="T183" s="2"/>
      <c r="U183" s="2"/>
      <c r="W183" s="2"/>
      <c r="X183" s="2"/>
      <c r="Y183" s="2"/>
      <c r="Z183" s="139" t="s">
        <v>147</v>
      </c>
      <c r="AA183" s="186">
        <v>0</v>
      </c>
      <c r="AB183" s="2"/>
      <c r="AC183" s="2"/>
      <c r="AE183" s="2"/>
      <c r="AF183" s="2"/>
      <c r="AG183" s="2"/>
      <c r="AH183" s="139" t="s">
        <v>147</v>
      </c>
      <c r="AI183" s="186">
        <v>0</v>
      </c>
      <c r="AJ183" s="2"/>
      <c r="AK183" s="2"/>
      <c r="AM183" s="2"/>
      <c r="AN183" s="2"/>
      <c r="AO183" s="2"/>
      <c r="AP183" s="139" t="s">
        <v>147</v>
      </c>
      <c r="AQ183" s="186">
        <v>0</v>
      </c>
      <c r="AR183" s="2"/>
      <c r="AS183" s="2"/>
      <c r="AU183" s="2"/>
      <c r="AV183" s="2"/>
      <c r="AW183" s="2"/>
      <c r="AX183" s="139" t="s">
        <v>147</v>
      </c>
      <c r="AY183" s="186">
        <v>0</v>
      </c>
      <c r="AZ183" s="2"/>
      <c r="BA183" s="2"/>
    </row>
    <row r="184" spans="1:61" ht="15" customHeight="1" x14ac:dyDescent="0.3">
      <c r="B184" s="16" t="s">
        <v>148</v>
      </c>
      <c r="C184" s="141">
        <f t="array" ref="C184">INDEX($A178,MATCH(C183,$A178,1))</f>
        <v>0</v>
      </c>
      <c r="D184" s="2"/>
      <c r="E184" s="42"/>
      <c r="G184" s="2"/>
      <c r="H184" s="2"/>
      <c r="I184" s="2"/>
      <c r="J184" s="16" t="s">
        <v>148</v>
      </c>
      <c r="K184" s="141">
        <f t="array" ref="K184">INDEX($A178,MATCH(K183,$A178,1))</f>
        <v>0</v>
      </c>
      <c r="L184" s="2"/>
      <c r="M184" s="42"/>
      <c r="O184" s="12"/>
      <c r="P184" s="2"/>
      <c r="Q184" s="2"/>
      <c r="R184" s="16" t="s">
        <v>148</v>
      </c>
      <c r="S184" s="141">
        <f t="array" ref="S184">INDEX($A178,MATCH(S183,$A178,1))</f>
        <v>0</v>
      </c>
      <c r="T184" s="2"/>
      <c r="U184" s="42"/>
      <c r="W184" s="2"/>
      <c r="X184" s="2"/>
      <c r="Y184" s="2"/>
      <c r="Z184" s="16" t="s">
        <v>148</v>
      </c>
      <c r="AA184" s="141">
        <f t="array" ref="AA184">INDEX($A178,MATCH(AA183,$A178,1))</f>
        <v>0</v>
      </c>
      <c r="AB184" s="2"/>
      <c r="AC184" s="42"/>
      <c r="AE184" s="2"/>
      <c r="AF184" s="2"/>
      <c r="AG184" s="2"/>
      <c r="AH184" s="16" t="s">
        <v>148</v>
      </c>
      <c r="AI184" s="141">
        <f t="array" ref="AI184">INDEX($A178,MATCH(AI183,$A178,1))</f>
        <v>0</v>
      </c>
      <c r="AJ184" s="2"/>
      <c r="AK184" s="42"/>
      <c r="AM184" s="2"/>
      <c r="AN184" s="2"/>
      <c r="AO184" s="2"/>
      <c r="AP184" s="16" t="s">
        <v>148</v>
      </c>
      <c r="AQ184" s="141">
        <f t="array" ref="AQ184">INDEX($A178,MATCH(AQ183,$A178,1))</f>
        <v>0</v>
      </c>
      <c r="AR184" s="2"/>
      <c r="AS184" s="42"/>
      <c r="AU184" s="2"/>
      <c r="AV184" s="2"/>
      <c r="AW184" s="2"/>
      <c r="AX184" s="16" t="s">
        <v>148</v>
      </c>
      <c r="AY184" s="141">
        <f t="array" ref="AY184">INDEX($A178,MATCH(AY183,$A178,1))</f>
        <v>0</v>
      </c>
      <c r="AZ184" s="2"/>
      <c r="BA184" s="42"/>
    </row>
    <row r="185" spans="1:61" ht="15" customHeight="1" x14ac:dyDescent="0.3">
      <c r="B185" s="16" t="s">
        <v>149</v>
      </c>
      <c r="C185" s="141">
        <f t="array" ref="C185">INDEX($A178,IF(MATCH(C183,$A178,1)&lt;E181,MATCH(C183,$A178,1)+1,MATCH(C183,$A178,1)))</f>
        <v>0</v>
      </c>
      <c r="D185" s="2"/>
      <c r="E185" s="42"/>
      <c r="G185" s="2"/>
      <c r="H185" s="2"/>
      <c r="I185" s="2"/>
      <c r="J185" s="16" t="s">
        <v>149</v>
      </c>
      <c r="K185" s="141">
        <f t="array" ref="K185">INDEX($A178,IF(MATCH(K183,$A178,1)&lt;M181,MATCH(K183,$A178,1)+1,MATCH(K183,$A178,1)))</f>
        <v>0</v>
      </c>
      <c r="L185" s="2"/>
      <c r="M185" s="42"/>
      <c r="O185" s="12"/>
      <c r="P185" s="2"/>
      <c r="Q185" s="2"/>
      <c r="R185" s="16" t="s">
        <v>149</v>
      </c>
      <c r="S185" s="141">
        <f t="array" ref="S185">INDEX($A178,IF(MATCH(S183,$A178,1)&lt;U181,MATCH(S183,$A178,1)+1,MATCH(S183,$A178,1)))</f>
        <v>0</v>
      </c>
      <c r="T185" s="2"/>
      <c r="U185" s="42"/>
      <c r="W185" s="2"/>
      <c r="X185" s="2"/>
      <c r="Y185" s="2"/>
      <c r="Z185" s="16" t="s">
        <v>149</v>
      </c>
      <c r="AA185" s="141">
        <f t="array" ref="AA185">INDEX($A178,IF(MATCH(AA183,$A178,1)&lt;AC181,MATCH(AA183,$A178,1)+1,MATCH(AA183,$A178,1)))</f>
        <v>0</v>
      </c>
      <c r="AB185" s="2"/>
      <c r="AC185" s="42"/>
      <c r="AE185" s="2"/>
      <c r="AF185" s="2"/>
      <c r="AG185" s="2"/>
      <c r="AH185" s="16" t="s">
        <v>149</v>
      </c>
      <c r="AI185" s="141">
        <f t="array" ref="AI185">INDEX($A178,IF(MATCH(AI183,$A178,1)&lt;AK181,MATCH(AI183,$A178,1)+1,MATCH(AI183,$A178,1)))</f>
        <v>0</v>
      </c>
      <c r="AJ185" s="2"/>
      <c r="AK185" s="42"/>
      <c r="AM185" s="2"/>
      <c r="AN185" s="2"/>
      <c r="AO185" s="2"/>
      <c r="AP185" s="16" t="s">
        <v>149</v>
      </c>
      <c r="AQ185" s="141">
        <f t="array" ref="AQ185">INDEX($A178,IF(MATCH(AQ183,$A178,1)&lt;AS181,MATCH(AQ183,$A178,1)+1,MATCH(AQ183,$A178,1)))</f>
        <v>0</v>
      </c>
      <c r="AR185" s="2"/>
      <c r="AS185" s="42"/>
      <c r="AU185" s="2"/>
      <c r="AV185" s="2"/>
      <c r="AW185" s="2"/>
      <c r="AX185" s="16" t="s">
        <v>149</v>
      </c>
      <c r="AY185" s="141">
        <f t="array" ref="AY185">INDEX($A178,IF(MATCH(AY183,$A178,1)&lt;BA181,MATCH(AY183,$A178,1)+1,MATCH(AY183,$A178,1)))</f>
        <v>0</v>
      </c>
      <c r="AZ185" s="2"/>
      <c r="BA185" s="42"/>
    </row>
    <row r="186" spans="1:61" ht="15" customHeight="1" x14ac:dyDescent="0.3">
      <c r="B186" s="139" t="s">
        <v>150</v>
      </c>
      <c r="C186" s="140">
        <f t="array" aca="1" ref="C186" ca="1">INDEX($B178:$S178,MATCH(C183,$A178,1),MATCH(C180,$B177:$S177,1))</f>
        <v>7400</v>
      </c>
      <c r="D186" s="2"/>
      <c r="E186" s="42"/>
      <c r="G186" s="2"/>
      <c r="H186" s="2"/>
      <c r="I186" s="2"/>
      <c r="J186" s="139" t="s">
        <v>150</v>
      </c>
      <c r="K186" s="140">
        <f t="array" aca="1" ref="K186" ca="1">INDEX($B178:$S178,MATCH(K183,$A178,1),MATCH(K180,$B177:$S177,1))</f>
        <v>7400</v>
      </c>
      <c r="L186" s="2"/>
      <c r="M186" s="42"/>
      <c r="O186" s="12"/>
      <c r="P186" s="2"/>
      <c r="Q186" s="2"/>
      <c r="R186" s="139" t="s">
        <v>150</v>
      </c>
      <c r="S186" s="140">
        <f t="array" aca="1" ref="S186" ca="1">INDEX($B178:$S178,MATCH(S183,$A178,1),MATCH(S180,$B177:$S177,1))</f>
        <v>6430</v>
      </c>
      <c r="T186" s="2"/>
      <c r="U186" s="42"/>
      <c r="W186" s="2"/>
      <c r="X186" s="2"/>
      <c r="Y186" s="2"/>
      <c r="Z186" s="139" t="s">
        <v>150</v>
      </c>
      <c r="AA186" s="140">
        <f t="array" aca="1" ref="AA186" ca="1">INDEX($B178:$S178,MATCH(AA183,$A178,1),MATCH(AA180,$B177:$S177,1))</f>
        <v>5950</v>
      </c>
      <c r="AB186" s="2"/>
      <c r="AC186" s="42"/>
      <c r="AE186" s="2"/>
      <c r="AF186" s="2"/>
      <c r="AG186" s="2"/>
      <c r="AH186" s="139" t="s">
        <v>150</v>
      </c>
      <c r="AI186" s="140">
        <f t="array" aca="1" ref="AI186" ca="1">INDEX($B178:$S178,MATCH(AI183,$A178,1),MATCH(AI180,$B177:$S177,1))</f>
        <v>5475</v>
      </c>
      <c r="AJ186" s="2"/>
      <c r="AK186" s="42"/>
      <c r="AM186" s="2"/>
      <c r="AN186" s="2"/>
      <c r="AO186" s="2"/>
      <c r="AP186" s="139" t="s">
        <v>150</v>
      </c>
      <c r="AQ186" s="140">
        <f t="array" aca="1" ref="AQ186" ca="1">INDEX($B178:$S178,MATCH(AQ183,$A178,1),MATCH(AQ180,$B177:$S177,1))</f>
        <v>5475</v>
      </c>
      <c r="AR186" s="2"/>
      <c r="AS186" s="42"/>
      <c r="AU186" s="2"/>
      <c r="AV186" s="2"/>
      <c r="AW186" s="2"/>
      <c r="AX186" s="139" t="s">
        <v>150</v>
      </c>
      <c r="AY186" s="140" t="e">
        <f t="array" aca="1" ref="AY186" ca="1">INDEX($B178:$S178,MATCH(AY183,$A178,1),MATCH(AY180,$B177:$S177,1))</f>
        <v>#N/A</v>
      </c>
      <c r="AZ186" s="2"/>
      <c r="BA186" s="42"/>
    </row>
    <row r="187" spans="1:61" ht="15" customHeight="1" x14ac:dyDescent="0.3">
      <c r="B187" s="139" t="s">
        <v>204</v>
      </c>
      <c r="C187" s="140">
        <f t="array" aca="1" ref="C187" ca="1">INDEX($B178:$S178,MATCH(C183,$A178,1),IF(MATCH(C180,$B177:$S177,1)&lt;E182,MATCH(C180,$B177:$S177,1)+1,MATCH(C183,$A178,1)))</f>
        <v>7900</v>
      </c>
      <c r="E187" s="42"/>
      <c r="G187" s="2"/>
      <c r="H187" s="2"/>
      <c r="I187" s="2"/>
      <c r="J187" s="139" t="s">
        <v>204</v>
      </c>
      <c r="K187" s="140">
        <f t="array" aca="1" ref="K187" ca="1">INDEX($B178:$S178,MATCH(K183,$A178,1),IF(MATCH(K180,$B177:$S177,1)&lt;M182,MATCH(K180,$B177:$S177,1)+1,MATCH(K183,$A178,1)))</f>
        <v>7900</v>
      </c>
      <c r="M187" s="42"/>
      <c r="O187" s="2"/>
      <c r="P187" s="2"/>
      <c r="Q187" s="2"/>
      <c r="R187" s="139" t="s">
        <v>204</v>
      </c>
      <c r="S187" s="140">
        <f t="array" aca="1" ref="S187" ca="1">INDEX($B178:$S178,MATCH(S183,$A178,1),IF(MATCH(S180,$B177:$S177,1)&lt;U182,MATCH(S180,$B177:$S177,1)+1,MATCH(S183,$A178,1)))</f>
        <v>6900</v>
      </c>
      <c r="U187" s="42"/>
      <c r="W187" s="2"/>
      <c r="X187" s="2"/>
      <c r="Y187" s="2"/>
      <c r="Z187" s="139" t="s">
        <v>204</v>
      </c>
      <c r="AA187" s="140">
        <f t="array" aca="1" ref="AA187" ca="1">INDEX($B178:$S178,MATCH(AA183,$A178,1),IF(MATCH(AA180,$B177:$S177,1)&lt;AC182,MATCH(AA180,$B177:$S177,1)+1,MATCH(AA183,$A178,1)))</f>
        <v>6430</v>
      </c>
      <c r="AC187" s="42"/>
      <c r="AE187" s="2"/>
      <c r="AF187" s="2"/>
      <c r="AG187" s="2"/>
      <c r="AH187" s="139" t="s">
        <v>204</v>
      </c>
      <c r="AI187" s="140">
        <f t="array" aca="1" ref="AI187" ca="1">INDEX($B178:$S178,MATCH(AI183,$A178,1),IF(MATCH(AI180,$B177:$S177,1)&lt;AK182,MATCH(AI180,$B177:$S177,1)+1,MATCH(AI183,$A178,1)))</f>
        <v>5950</v>
      </c>
      <c r="AK187" s="42"/>
      <c r="AM187" s="2"/>
      <c r="AN187" s="2"/>
      <c r="AO187" s="2"/>
      <c r="AP187" s="139" t="s">
        <v>204</v>
      </c>
      <c r="AQ187" s="140">
        <f t="array" aca="1" ref="AQ187" ca="1">INDEX($B178:$S178,MATCH(AQ183,$A178,1),IF(MATCH(AQ180,$B177:$S177,1)&lt;AS182,MATCH(AQ180,$B177:$S177,1)+1,MATCH(AQ183,$A178,1)))</f>
        <v>5950</v>
      </c>
      <c r="AS187" s="42"/>
      <c r="AU187" s="2"/>
      <c r="AV187" s="2"/>
      <c r="AW187" s="2"/>
      <c r="AX187" s="139" t="s">
        <v>204</v>
      </c>
      <c r="AY187" s="140" t="e">
        <f t="array" aca="1" ref="AY187" ca="1">INDEX($B178:$S178,MATCH(AY183,$A178,1),IF(MATCH(AY180,$B177:$S177,1)&lt;BA182,MATCH(AY180,$B177:$S177,1)+1,MATCH(AY183,$A178,1)))</f>
        <v>#N/A</v>
      </c>
      <c r="BA187" s="42"/>
    </row>
    <row r="188" spans="1:61" ht="15" customHeight="1" x14ac:dyDescent="0.3">
      <c r="B188" s="139" t="s">
        <v>151</v>
      </c>
      <c r="C188" s="140">
        <f t="array" aca="1" ref="C188" ca="1">INDEX($B178:$S178,IF(MATCH(C183,$A178,1)&lt;E181,MATCH(C183,$A178,1)+1,MATCH(C183,$A178,1)),MATCH(C180,$B177:$S177,1))</f>
        <v>7400</v>
      </c>
      <c r="E188" s="42"/>
      <c r="G188" s="2"/>
      <c r="H188" s="2"/>
      <c r="I188" s="2"/>
      <c r="J188" s="139" t="s">
        <v>151</v>
      </c>
      <c r="K188" s="140">
        <f t="array" aca="1" ref="K188" ca="1">INDEX($B178:$S178,IF(MATCH(K183,$A178,1)&lt;M181,MATCH(K183,$A178,1)+1,MATCH(K183,$A178,1)),MATCH(K180,$B177:$S177,1))</f>
        <v>7400</v>
      </c>
      <c r="M188" s="42"/>
      <c r="O188" s="2"/>
      <c r="P188" s="2"/>
      <c r="Q188" s="2"/>
      <c r="R188" s="139" t="s">
        <v>151</v>
      </c>
      <c r="S188" s="140">
        <f t="array" aca="1" ref="S188" ca="1">INDEX($B178:$S178,IF(MATCH(S183,$A178,1)&lt;U181,MATCH(S183,$A178,1)+1,MATCH(S183,$A178,1)),MATCH(S180,$B177:$S177,1))</f>
        <v>6430</v>
      </c>
      <c r="U188" s="42"/>
      <c r="W188" s="2"/>
      <c r="X188" s="2"/>
      <c r="Y188" s="2"/>
      <c r="Z188" s="139" t="s">
        <v>151</v>
      </c>
      <c r="AA188" s="140">
        <f t="array" aca="1" ref="AA188" ca="1">INDEX($B178:$S178,IF(MATCH(AA183,$A178,1)&lt;AC181,MATCH(AA183,$A178,1)+1,MATCH(AA183,$A178,1)),MATCH(AA180,$B177:$S177,1))</f>
        <v>5950</v>
      </c>
      <c r="AC188" s="42"/>
      <c r="AE188" s="2"/>
      <c r="AF188" s="2"/>
      <c r="AG188" s="2"/>
      <c r="AH188" s="139" t="s">
        <v>151</v>
      </c>
      <c r="AI188" s="140">
        <f t="array" aca="1" ref="AI188" ca="1">INDEX($B178:$S178,IF(MATCH(AI183,$A178,1)&lt;AK181,MATCH(AI183,$A178,1)+1,MATCH(AI183,$A178,1)),MATCH(AI180,$B177:$S177,1))</f>
        <v>5475</v>
      </c>
      <c r="AK188" s="42"/>
      <c r="AM188" s="2"/>
      <c r="AN188" s="2"/>
      <c r="AO188" s="2"/>
      <c r="AP188" s="139" t="s">
        <v>151</v>
      </c>
      <c r="AQ188" s="140">
        <f t="array" aca="1" ref="AQ188" ca="1">INDEX($B178:$S178,IF(MATCH(AQ183,$A178,1)&lt;AS181,MATCH(AQ183,$A178,1)+1,MATCH(AQ183,$A178,1)),MATCH(AQ180,$B177:$S177,1))</f>
        <v>5475</v>
      </c>
      <c r="AS188" s="42"/>
      <c r="AU188" s="2"/>
      <c r="AV188" s="2"/>
      <c r="AW188" s="2"/>
      <c r="AX188" s="139" t="s">
        <v>151</v>
      </c>
      <c r="AY188" s="140" t="e">
        <f t="array" aca="1" ref="AY188" ca="1">INDEX($B178:$S178,IF(MATCH(AY183,$A178,1)&lt;BA181,MATCH(AY183,$A178,1)+1,MATCH(AY183,$A178,1)),MATCH(AY180,$B177:$S177,1))</f>
        <v>#N/A</v>
      </c>
      <c r="BA188" s="42"/>
    </row>
    <row r="189" spans="1:61" ht="15" customHeight="1" x14ac:dyDescent="0.3">
      <c r="B189" s="139" t="s">
        <v>205</v>
      </c>
      <c r="C189" s="140">
        <f t="array" aca="1" ref="C189" ca="1">INDEX($B178:$S178,IF(MATCH(C183,$A178,1)&lt;E181,MATCH(C183,$A178,1)+1,MATCH(C183,$A178,1)),IF(MATCH(C180,$B177:$S177,1)&lt;E182,MATCH(C180,$B177:$S177,1)+1,MATCH(C180,$B177:$S177,1)))</f>
        <v>7900</v>
      </c>
      <c r="G189" s="2"/>
      <c r="H189" s="2"/>
      <c r="I189" s="2"/>
      <c r="J189" s="139" t="s">
        <v>205</v>
      </c>
      <c r="K189" s="140">
        <f t="array" aca="1" ref="K189" ca="1">INDEX($B178:$S178,IF(MATCH(K183,$A178,1)&lt;M181,MATCH(K183,$A178,1)+1,MATCH(K183,$A178,1)),IF(MATCH(K180,$B177:$S177,1)&lt;M182,MATCH(K180,$B177:$S177,1)+1,MATCH(K180,$B177:$S177,1)))</f>
        <v>7900</v>
      </c>
      <c r="O189" s="2"/>
      <c r="P189" s="2"/>
      <c r="Q189" s="2"/>
      <c r="R189" s="139" t="s">
        <v>205</v>
      </c>
      <c r="S189" s="140">
        <f t="array" aca="1" ref="S189" ca="1">INDEX($B178:$S178,IF(MATCH(S183,$A178,1)&lt;U181,MATCH(S183,$A178,1)+1,MATCH(S183,$A178,1)),IF(MATCH(S180,$B177:$S177,1)&lt;U182,MATCH(S180,$B177:$S177,1)+1,MATCH(S180,$B177:$S177,1)))</f>
        <v>6900</v>
      </c>
      <c r="W189" s="2"/>
      <c r="X189" s="2"/>
      <c r="Y189" s="2"/>
      <c r="Z189" s="139" t="s">
        <v>205</v>
      </c>
      <c r="AA189" s="140">
        <f t="array" aca="1" ref="AA189" ca="1">INDEX($B178:$S178,IF(MATCH(AA183,$A178,1)&lt;AC181,MATCH(AA183,$A178,1)+1,MATCH(AA183,$A178,1)),IF(MATCH(AA180,$B177:$S177,1)&lt;AC182,MATCH(AA180,$B177:$S177,1)+1,MATCH(AA180,$B177:$S177,1)))</f>
        <v>6430</v>
      </c>
      <c r="AE189" s="2"/>
      <c r="AF189" s="2"/>
      <c r="AG189" s="2"/>
      <c r="AH189" s="139" t="s">
        <v>205</v>
      </c>
      <c r="AI189" s="140">
        <f t="array" aca="1" ref="AI189" ca="1">INDEX($B178:$S178,IF(MATCH(AI183,$A178,1)&lt;AK181,MATCH(AI183,$A178,1)+1,MATCH(AI183,$A178,1)),IF(MATCH(AI180,$B177:$S177,1)&lt;AK182,MATCH(AI180,$B177:$S177,1)+1,MATCH(AI180,$B177:$S177,1)))</f>
        <v>5950</v>
      </c>
      <c r="AM189" s="2"/>
      <c r="AN189" s="2"/>
      <c r="AO189" s="2"/>
      <c r="AP189" s="139" t="s">
        <v>205</v>
      </c>
      <c r="AQ189" s="140">
        <f t="array" aca="1" ref="AQ189" ca="1">INDEX($B178:$S178,IF(MATCH(AQ183,$A178,1)&lt;AS181,MATCH(AQ183,$A178,1)+1,MATCH(AQ183,$A178,1)),IF(MATCH(AQ180,$B177:$S177,1)&lt;AS182,MATCH(AQ180,$B177:$S177,1)+1,MATCH(AQ180,$B177:$S177,1)))</f>
        <v>5950</v>
      </c>
      <c r="AU189" s="2"/>
      <c r="AV189" s="2"/>
      <c r="AW189" s="2"/>
      <c r="AX189" s="139" t="s">
        <v>205</v>
      </c>
      <c r="AY189" s="140" t="e">
        <f t="array" aca="1" ref="AY189" ca="1">INDEX($B178:$S178,IF(MATCH(AY183,$A178,1)&lt;BA181,MATCH(AY183,$A178,1)+1,MATCH(AY183,$A178,1)),IF(MATCH(AY180,$B177:$S177,1)&lt;BA182,MATCH(AY180,$B177:$S177,1)+1,MATCH(AY180,$B177:$S177,1)))</f>
        <v>#N/A</v>
      </c>
    </row>
    <row r="190" spans="1:61" ht="15" customHeight="1" x14ac:dyDescent="0.3">
      <c r="B190" s="16" t="s">
        <v>206</v>
      </c>
      <c r="C190" s="141">
        <f ca="1">IFERROR(C186+(C180-C181)*(C187-C186)/(C182-C181),C186)</f>
        <v>7831.0297977933533</v>
      </c>
      <c r="G190" s="2"/>
      <c r="H190" s="2"/>
      <c r="I190" s="2"/>
      <c r="J190" s="16" t="s">
        <v>206</v>
      </c>
      <c r="K190" s="141">
        <f ca="1">IFERROR(K186+(K180-K181)*(K187-K186)/(K182-K181),K186)</f>
        <v>7443.4398553302399</v>
      </c>
      <c r="O190" s="2"/>
      <c r="P190" s="2"/>
      <c r="Q190" s="2"/>
      <c r="R190" s="16" t="s">
        <v>206</v>
      </c>
      <c r="S190" s="141">
        <f ca="1">IFERROR(S186+(S180-S181)*(S187-S186)/(S182-S181),S186)</f>
        <v>6824.8806540283513</v>
      </c>
      <c r="W190" s="2"/>
      <c r="X190" s="2"/>
      <c r="Y190" s="2"/>
      <c r="Z190" s="16" t="s">
        <v>206</v>
      </c>
      <c r="AA190" s="141">
        <f ca="1">IFERROR(AA186+(AA180-AA181)*(AA187-AA186)/(AA182-AA181),AA186)</f>
        <v>6307.3549692506676</v>
      </c>
      <c r="AE190" s="2"/>
      <c r="AF190" s="2"/>
      <c r="AG190" s="2"/>
      <c r="AH190" s="16" t="s">
        <v>206</v>
      </c>
      <c r="AI190" s="141">
        <f ca="1">IFERROR(AI186+(AI180-AI181)*(AI187-AI186)/(AI182-AI181),AI186)</f>
        <v>5830.6355865572814</v>
      </c>
      <c r="AM190" s="2"/>
      <c r="AN190" s="2"/>
      <c r="AO190" s="2"/>
      <c r="AP190" s="16" t="s">
        <v>206</v>
      </c>
      <c r="AQ190" s="141">
        <f ca="1">IFERROR(AQ186+(AQ180-AQ181)*(AQ187-AQ186)/(AQ182-AQ181),AQ186)</f>
        <v>5729.8975085599614</v>
      </c>
      <c r="AU190" s="2"/>
      <c r="AV190" s="2"/>
      <c r="AW190" s="2"/>
      <c r="AX190" s="16" t="s">
        <v>206</v>
      </c>
      <c r="AY190" s="141" t="e">
        <f ca="1">IFERROR(AY186+(AY180-AY181)*(AY187-AY186)/(AY182-AY181),AY186)</f>
        <v>#N/A</v>
      </c>
    </row>
    <row r="191" spans="1:61" ht="15" customHeight="1" x14ac:dyDescent="0.3">
      <c r="B191" s="16" t="s">
        <v>207</v>
      </c>
      <c r="C191" s="141">
        <f ca="1">IFERROR(C188+(C180-C181)*(C189-C188)/(C182-C181),C188)</f>
        <v>7831.0297977933533</v>
      </c>
      <c r="G191" s="2"/>
      <c r="H191" s="2"/>
      <c r="I191" s="2"/>
      <c r="J191" s="16" t="s">
        <v>207</v>
      </c>
      <c r="K191" s="141">
        <f ca="1">IFERROR(K188+(K180-K181)*(K189-K188)/(K182-K181),K188)</f>
        <v>7443.4398553302399</v>
      </c>
      <c r="O191" s="2"/>
      <c r="P191" s="2"/>
      <c r="Q191" s="2"/>
      <c r="R191" s="16" t="s">
        <v>207</v>
      </c>
      <c r="S191" s="141">
        <f ca="1">IFERROR(S188+(S180-S181)*(S189-S188)/(S182-S181),S188)</f>
        <v>6824.8806540283513</v>
      </c>
      <c r="W191" s="2"/>
      <c r="X191" s="2"/>
      <c r="Y191" s="2"/>
      <c r="Z191" s="16" t="s">
        <v>207</v>
      </c>
      <c r="AA191" s="141">
        <f ca="1">IFERROR(AA188+(AA180-AA181)*(AA189-AA188)/(AA182-AA181),AA188)</f>
        <v>6307.3549692506676</v>
      </c>
      <c r="AE191" s="2"/>
      <c r="AF191" s="2"/>
      <c r="AG191" s="2"/>
      <c r="AH191" s="16" t="s">
        <v>207</v>
      </c>
      <c r="AI191" s="141">
        <f ca="1">IFERROR(AI188+(AI180-AI181)*(AI189-AI188)/(AI182-AI181),AI188)</f>
        <v>5830.6355865572814</v>
      </c>
      <c r="AM191" s="2"/>
      <c r="AN191" s="2"/>
      <c r="AO191" s="2"/>
      <c r="AP191" s="16" t="s">
        <v>207</v>
      </c>
      <c r="AQ191" s="141">
        <f ca="1">IFERROR(AQ188+(AQ180-AQ181)*(AQ189-AQ188)/(AQ182-AQ181),AQ188)</f>
        <v>5729.8975085599614</v>
      </c>
      <c r="AU191" s="2"/>
      <c r="AV191" s="2"/>
      <c r="AW191" s="2"/>
      <c r="AX191" s="16" t="s">
        <v>207</v>
      </c>
      <c r="AY191" s="141" t="e">
        <f ca="1">IFERROR(AY188+(AY180-AY181)*(AY189-AY188)/(AY182-AY181),AY188)</f>
        <v>#N/A</v>
      </c>
    </row>
    <row r="192" spans="1:61" ht="15" customHeight="1" x14ac:dyDescent="0.3">
      <c r="B192" s="139" t="s">
        <v>208</v>
      </c>
      <c r="C192" s="140">
        <f ca="1">IFERROR(C190+(C183-C184)*(C191-C190)/(C185-C184),C190)</f>
        <v>7831.0297977933533</v>
      </c>
      <c r="G192" s="2"/>
      <c r="H192" s="2"/>
      <c r="I192" s="2"/>
      <c r="J192" s="139" t="s">
        <v>208</v>
      </c>
      <c r="K192" s="140">
        <f ca="1">IFERROR(K190+(K183-K184)*(K191-K190)/(K185-K184),K190)</f>
        <v>7443.4398553302399</v>
      </c>
      <c r="O192" s="2"/>
      <c r="P192" s="2"/>
      <c r="Q192" s="2"/>
      <c r="R192" s="139" t="s">
        <v>208</v>
      </c>
      <c r="S192" s="140">
        <f ca="1">IFERROR(S190+(S183-S184)*(S191-S190)/(S185-S184),S190)</f>
        <v>6824.8806540283513</v>
      </c>
      <c r="W192" s="2"/>
      <c r="X192" s="2"/>
      <c r="Y192" s="2"/>
      <c r="Z192" s="139" t="s">
        <v>208</v>
      </c>
      <c r="AA192" s="140">
        <f ca="1">IFERROR(AA190+(AA183-AA184)*(AA191-AA190)/(AA185-AA184),AA190)</f>
        <v>6307.3549692506676</v>
      </c>
      <c r="AE192" s="2"/>
      <c r="AF192" s="2"/>
      <c r="AG192" s="2"/>
      <c r="AH192" s="139" t="s">
        <v>208</v>
      </c>
      <c r="AI192" s="140">
        <f ca="1">IFERROR(AI190+(AI183-AI184)*(AI191-AI190)/(AI185-AI184),AI190)</f>
        <v>5830.6355865572814</v>
      </c>
      <c r="AM192" s="2"/>
      <c r="AN192" s="2"/>
      <c r="AO192" s="2"/>
      <c r="AP192" s="139" t="s">
        <v>208</v>
      </c>
      <c r="AQ192" s="140">
        <f ca="1">IFERROR(AQ190+(AQ183-AQ184)*(AQ191-AQ190)/(AQ185-AQ184),AQ190)</f>
        <v>5729.8975085599614</v>
      </c>
      <c r="AU192" s="2"/>
      <c r="AV192" s="2"/>
      <c r="AW192" s="2"/>
      <c r="AX192" s="139" t="s">
        <v>208</v>
      </c>
      <c r="AY192" s="140" t="e">
        <f ca="1">IFERROR(AY190+(AY183-AY184)*(AY191-AY190)/(AY185-AY184),AY190)</f>
        <v>#N/A</v>
      </c>
    </row>
    <row r="193" spans="1:66" ht="15" customHeight="1" x14ac:dyDescent="0.3">
      <c r="B193" s="139"/>
      <c r="C193" s="140"/>
      <c r="G193" s="2"/>
      <c r="H193" s="2"/>
      <c r="I193" s="2"/>
      <c r="J193" s="139"/>
      <c r="K193" s="140"/>
      <c r="O193" s="2"/>
      <c r="P193" s="2"/>
      <c r="Q193" s="2"/>
      <c r="R193" s="139"/>
      <c r="S193" s="140"/>
      <c r="W193" s="2"/>
      <c r="X193" s="2"/>
      <c r="Y193" s="2"/>
      <c r="Z193" s="139"/>
      <c r="AA193" s="140"/>
      <c r="AE193" s="2"/>
      <c r="AF193" s="2"/>
      <c r="AG193" s="2"/>
      <c r="AH193" s="139"/>
      <c r="AI193" s="140"/>
      <c r="AM193" s="2"/>
      <c r="AN193" s="2"/>
      <c r="AO193" s="2"/>
      <c r="AP193" s="139"/>
      <c r="AQ193" s="140"/>
      <c r="AU193" s="2"/>
      <c r="AV193" s="2"/>
      <c r="AW193" s="2"/>
      <c r="AX193" s="139"/>
      <c r="AY193" s="140"/>
    </row>
    <row r="194" spans="1:66" ht="15" customHeight="1" x14ac:dyDescent="0.3">
      <c r="A194" t="s">
        <v>225</v>
      </c>
      <c r="B194" s="357" t="s">
        <v>222</v>
      </c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W194" s="2"/>
      <c r="X194" s="2"/>
      <c r="Y194" s="2"/>
      <c r="Z194" s="139"/>
      <c r="AA194" s="140"/>
      <c r="AE194" s="2"/>
      <c r="AF194" s="2"/>
      <c r="AG194" s="2"/>
      <c r="AH194" s="139"/>
      <c r="AI194" s="140"/>
      <c r="AM194" s="2"/>
      <c r="AN194" s="2"/>
      <c r="AO194" s="2"/>
      <c r="AP194" s="139"/>
      <c r="AQ194" s="140"/>
      <c r="AU194" s="2"/>
      <c r="AV194" s="2"/>
      <c r="AW194" s="2"/>
      <c r="AX194" s="139"/>
      <c r="AY194" s="140"/>
    </row>
    <row r="195" spans="1:66" ht="15" customHeight="1" x14ac:dyDescent="0.3">
      <c r="A195" t="s">
        <v>47</v>
      </c>
      <c r="B195" s="229">
        <v>3500</v>
      </c>
      <c r="C195" s="229">
        <v>4000</v>
      </c>
      <c r="D195" s="232">
        <v>4500</v>
      </c>
      <c r="E195" s="232">
        <v>5000</v>
      </c>
      <c r="F195" s="232">
        <v>5500</v>
      </c>
      <c r="G195" s="232">
        <v>6000</v>
      </c>
      <c r="H195" s="232">
        <v>6500</v>
      </c>
      <c r="I195" s="230">
        <v>7000</v>
      </c>
      <c r="J195" s="55">
        <v>7500</v>
      </c>
      <c r="K195" s="55">
        <v>8000</v>
      </c>
      <c r="L195" s="55">
        <v>8500</v>
      </c>
      <c r="M195" s="259">
        <v>9000</v>
      </c>
      <c r="N195" s="259">
        <v>9500</v>
      </c>
      <c r="O195" s="55">
        <v>10000</v>
      </c>
      <c r="P195" s="55">
        <v>10500</v>
      </c>
      <c r="Q195" s="259">
        <v>11000</v>
      </c>
      <c r="R195" s="259">
        <v>11500</v>
      </c>
      <c r="S195" s="259">
        <v>12000</v>
      </c>
      <c r="T195" s="231">
        <v>13000</v>
      </c>
      <c r="U195" s="236"/>
      <c r="V195" s="140"/>
      <c r="X195" s="139"/>
      <c r="Y195" s="140"/>
      <c r="AC195" s="2"/>
      <c r="AD195" s="2"/>
      <c r="AE195" s="2"/>
      <c r="AH195" s="2"/>
      <c r="AI195" s="2"/>
      <c r="AJ195" s="2"/>
      <c r="AK195" s="139"/>
      <c r="AL195" s="140"/>
      <c r="AP195" s="2"/>
      <c r="AQ195" s="2"/>
      <c r="AR195" s="2"/>
      <c r="AS195" s="139"/>
      <c r="AT195" s="140"/>
      <c r="AX195" s="2"/>
      <c r="AY195" s="2"/>
      <c r="AZ195" s="2"/>
      <c r="BA195" s="139"/>
      <c r="BB195" s="140"/>
      <c r="BF195" s="2"/>
      <c r="BG195" s="2"/>
      <c r="BH195" s="2"/>
      <c r="BI195" s="139"/>
      <c r="BJ195" s="140"/>
      <c r="BK195" s="2"/>
      <c r="BL195" s="2"/>
      <c r="BM195" s="139"/>
      <c r="BN195" s="140"/>
    </row>
    <row r="196" spans="1:66" ht="15" customHeight="1" x14ac:dyDescent="0.3">
      <c r="A196">
        <v>0</v>
      </c>
      <c r="B196" s="229">
        <v>3500</v>
      </c>
      <c r="C196" s="232">
        <v>4000</v>
      </c>
      <c r="D196" s="232">
        <v>4500</v>
      </c>
      <c r="E196" s="232">
        <v>5000</v>
      </c>
      <c r="F196" s="232">
        <v>5500</v>
      </c>
      <c r="G196" s="232">
        <v>6000</v>
      </c>
      <c r="H196" s="232">
        <v>6500</v>
      </c>
      <c r="I196" s="232">
        <v>7000</v>
      </c>
      <c r="J196" s="232">
        <v>7500</v>
      </c>
      <c r="K196" s="232">
        <v>8000</v>
      </c>
      <c r="L196" s="232">
        <v>8500</v>
      </c>
      <c r="M196" s="232">
        <v>9000</v>
      </c>
      <c r="N196" s="232">
        <v>9500</v>
      </c>
      <c r="O196" s="232">
        <v>10000</v>
      </c>
      <c r="P196" s="232">
        <v>10500</v>
      </c>
      <c r="Q196" s="232">
        <v>11000</v>
      </c>
      <c r="R196" s="232">
        <v>11500</v>
      </c>
      <c r="S196" s="232">
        <v>12000</v>
      </c>
      <c r="T196" s="237">
        <v>99999</v>
      </c>
      <c r="U196" s="236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2"/>
      <c r="AH196" s="2"/>
      <c r="AI196" s="2"/>
      <c r="AJ196" s="2"/>
      <c r="AK196" s="139"/>
      <c r="AL196" s="140"/>
      <c r="AP196" s="2"/>
      <c r="AQ196" s="2"/>
      <c r="AR196" s="2"/>
      <c r="AS196" s="139"/>
      <c r="AT196" s="140"/>
      <c r="AX196" s="2"/>
      <c r="AY196" s="2"/>
      <c r="AZ196" s="2"/>
      <c r="BA196" s="139"/>
      <c r="BB196" s="140"/>
      <c r="BF196" s="2"/>
      <c r="BG196" s="2"/>
      <c r="BH196" s="2"/>
      <c r="BI196" s="139"/>
      <c r="BJ196" s="140"/>
      <c r="BK196" s="2"/>
      <c r="BL196" s="2"/>
      <c r="BM196" s="139"/>
      <c r="BN196" s="140"/>
    </row>
    <row r="197" spans="1:66" ht="15" customHeight="1" x14ac:dyDescent="0.3">
      <c r="A197">
        <f>25.4*0.2</f>
        <v>5.08</v>
      </c>
      <c r="B197" s="233">
        <v>3510</v>
      </c>
      <c r="C197" s="72">
        <v>4050</v>
      </c>
      <c r="D197" s="72">
        <v>4550</v>
      </c>
      <c r="E197" s="72">
        <v>5100</v>
      </c>
      <c r="F197" s="72">
        <v>5600</v>
      </c>
      <c r="G197" s="72">
        <v>6100</v>
      </c>
      <c r="H197" s="72">
        <v>6600</v>
      </c>
      <c r="I197" s="72">
        <v>7130</v>
      </c>
      <c r="J197" s="72">
        <v>7150</v>
      </c>
      <c r="K197" s="72">
        <v>8150</v>
      </c>
      <c r="L197" s="72">
        <v>8175</v>
      </c>
      <c r="M197" s="72">
        <v>9175</v>
      </c>
      <c r="N197" s="72">
        <v>9650</v>
      </c>
      <c r="O197" s="72">
        <v>10150</v>
      </c>
      <c r="P197" s="72">
        <v>10650</v>
      </c>
      <c r="Q197" s="72">
        <v>11180</v>
      </c>
      <c r="R197" s="72">
        <v>11700</v>
      </c>
      <c r="S197" s="72">
        <v>99999</v>
      </c>
      <c r="T197" s="262">
        <v>99999</v>
      </c>
      <c r="U197" s="236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2"/>
      <c r="AH197" s="2"/>
      <c r="AI197" s="2"/>
      <c r="AJ197" s="2"/>
      <c r="AK197" s="139"/>
      <c r="AL197" s="140"/>
      <c r="AP197" s="2"/>
      <c r="AQ197" s="2"/>
      <c r="AR197" s="2"/>
      <c r="AS197" s="139"/>
      <c r="AT197" s="140"/>
      <c r="AX197" s="2"/>
      <c r="AY197" s="2"/>
      <c r="AZ197" s="2"/>
      <c r="BA197" s="139"/>
      <c r="BB197" s="140"/>
      <c r="BF197" s="2"/>
      <c r="BG197" s="2"/>
      <c r="BH197" s="2"/>
      <c r="BI197" s="139"/>
      <c r="BJ197" s="140"/>
      <c r="BK197" s="2"/>
      <c r="BL197" s="2"/>
      <c r="BM197" s="139"/>
      <c r="BN197" s="140"/>
    </row>
    <row r="198" spans="1:66" ht="15" customHeight="1" x14ac:dyDescent="0.3">
      <c r="A198">
        <f>25.4*0.4</f>
        <v>10.16</v>
      </c>
      <c r="B198" s="233">
        <v>3550</v>
      </c>
      <c r="C198" s="72">
        <v>4100</v>
      </c>
      <c r="D198" s="72">
        <v>4600</v>
      </c>
      <c r="E198" s="72">
        <v>5150</v>
      </c>
      <c r="F198" s="72">
        <v>5700</v>
      </c>
      <c r="G198" s="72">
        <v>6250</v>
      </c>
      <c r="H198" s="72">
        <v>6800</v>
      </c>
      <c r="I198" s="72">
        <v>7300</v>
      </c>
      <c r="J198" s="72">
        <v>7850</v>
      </c>
      <c r="K198" s="72">
        <v>8400</v>
      </c>
      <c r="L198" s="72">
        <v>8950</v>
      </c>
      <c r="M198" s="72">
        <v>9500</v>
      </c>
      <c r="N198" s="72">
        <v>10000</v>
      </c>
      <c r="O198" s="72">
        <v>10530</v>
      </c>
      <c r="P198" s="72">
        <v>11100</v>
      </c>
      <c r="Q198" s="72">
        <v>99999</v>
      </c>
      <c r="R198" s="72">
        <v>99999</v>
      </c>
      <c r="S198" s="72">
        <v>99999</v>
      </c>
      <c r="T198" s="262">
        <v>99999</v>
      </c>
      <c r="U198" s="236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2"/>
      <c r="AH198" s="2"/>
      <c r="AI198" s="2"/>
      <c r="AJ198" s="2"/>
      <c r="AK198" s="139"/>
      <c r="AL198" s="140"/>
      <c r="AP198" s="2"/>
      <c r="AQ198" s="2"/>
      <c r="AR198" s="2"/>
      <c r="AS198" s="139"/>
      <c r="AT198" s="140"/>
      <c r="AX198" s="2"/>
      <c r="AY198" s="2"/>
      <c r="AZ198" s="2"/>
      <c r="BA198" s="139"/>
      <c r="BB198" s="140"/>
      <c r="BF198" s="2"/>
      <c r="BG198" s="2"/>
      <c r="BH198" s="2"/>
      <c r="BI198" s="139"/>
      <c r="BJ198" s="140"/>
      <c r="BK198" s="2"/>
      <c r="BL198" s="2"/>
      <c r="BM198" s="139"/>
      <c r="BN198" s="140"/>
    </row>
    <row r="199" spans="1:66" ht="15" customHeight="1" x14ac:dyDescent="0.3">
      <c r="A199">
        <f>25.4*0.6</f>
        <v>15.239999999999998</v>
      </c>
      <c r="B199" s="233">
        <v>3560</v>
      </c>
      <c r="C199" s="72">
        <v>4100</v>
      </c>
      <c r="D199" s="72">
        <v>4650</v>
      </c>
      <c r="E199" s="72">
        <v>5200</v>
      </c>
      <c r="F199" s="72">
        <v>5700</v>
      </c>
      <c r="G199" s="72">
        <v>6300</v>
      </c>
      <c r="H199" s="72">
        <v>6800</v>
      </c>
      <c r="I199" s="72">
        <v>7400</v>
      </c>
      <c r="J199" s="72">
        <v>99999</v>
      </c>
      <c r="K199" s="72">
        <v>99999</v>
      </c>
      <c r="L199" s="72">
        <v>99999</v>
      </c>
      <c r="M199" s="72">
        <v>99999</v>
      </c>
      <c r="N199" s="72">
        <v>99999</v>
      </c>
      <c r="O199" s="72">
        <v>99999</v>
      </c>
      <c r="P199" s="72">
        <v>99999</v>
      </c>
      <c r="Q199" s="72">
        <v>99999</v>
      </c>
      <c r="R199" s="72">
        <v>99999</v>
      </c>
      <c r="S199" s="72">
        <v>99999</v>
      </c>
      <c r="T199" s="262">
        <v>99999</v>
      </c>
      <c r="U199" s="236"/>
      <c r="V199" s="140"/>
      <c r="X199" s="139"/>
      <c r="Y199" s="140"/>
      <c r="AC199" s="2"/>
      <c r="AD199" s="2"/>
      <c r="AE199" s="2"/>
      <c r="AH199" s="2"/>
      <c r="AI199" s="2"/>
      <c r="AJ199" s="2"/>
      <c r="AK199" s="139"/>
      <c r="AL199" s="140"/>
      <c r="AP199" s="2"/>
      <c r="AQ199" s="2"/>
      <c r="AR199" s="2"/>
      <c r="AS199" s="139"/>
      <c r="AT199" s="140"/>
      <c r="AX199" s="2"/>
      <c r="AY199" s="2"/>
      <c r="AZ199" s="2"/>
      <c r="BA199" s="139"/>
      <c r="BB199" s="140"/>
      <c r="BF199" s="2"/>
      <c r="BG199" s="2"/>
      <c r="BH199" s="2"/>
      <c r="BI199" s="139"/>
      <c r="BJ199" s="140"/>
      <c r="BK199" s="2"/>
      <c r="BL199" s="2"/>
      <c r="BM199" s="139"/>
      <c r="BN199" s="140"/>
    </row>
    <row r="200" spans="1:66" ht="15" customHeight="1" x14ac:dyDescent="0.3">
      <c r="A200">
        <f>25.4*0.8</f>
        <v>20.32</v>
      </c>
      <c r="B200" s="233">
        <v>3575</v>
      </c>
      <c r="C200" s="72">
        <v>99999</v>
      </c>
      <c r="D200" s="72">
        <v>99999</v>
      </c>
      <c r="E200" s="72">
        <v>99999</v>
      </c>
      <c r="F200" s="72">
        <v>99999</v>
      </c>
      <c r="G200" s="72">
        <v>99999</v>
      </c>
      <c r="H200" s="72">
        <v>99999</v>
      </c>
      <c r="I200" s="72">
        <v>99999</v>
      </c>
      <c r="J200" s="72">
        <v>99999</v>
      </c>
      <c r="K200" s="72">
        <v>99999</v>
      </c>
      <c r="L200" s="72">
        <v>99999</v>
      </c>
      <c r="M200" s="72">
        <v>99999</v>
      </c>
      <c r="N200" s="72">
        <v>99999</v>
      </c>
      <c r="O200" s="72">
        <v>99999</v>
      </c>
      <c r="P200" s="72">
        <v>99999</v>
      </c>
      <c r="Q200" s="72">
        <v>99999</v>
      </c>
      <c r="R200" s="72">
        <v>99999</v>
      </c>
      <c r="S200" s="72">
        <v>99999</v>
      </c>
      <c r="T200" s="262">
        <v>99999</v>
      </c>
      <c r="U200" s="236"/>
      <c r="V200" s="140"/>
      <c r="X200" s="139"/>
      <c r="Y200" s="140"/>
      <c r="AC200" s="2"/>
      <c r="AD200" s="2"/>
      <c r="AE200" s="2"/>
      <c r="AH200" s="2"/>
      <c r="AI200" s="2"/>
      <c r="AJ200" s="2"/>
      <c r="AK200" s="139"/>
      <c r="AL200" s="140"/>
      <c r="AP200" s="2"/>
      <c r="AQ200" s="2"/>
      <c r="AR200" s="2"/>
      <c r="AS200" s="139"/>
      <c r="AT200" s="140"/>
      <c r="AX200" s="2"/>
      <c r="AY200" s="2"/>
      <c r="AZ200" s="2"/>
      <c r="BA200" s="139"/>
      <c r="BB200" s="140"/>
      <c r="BF200" s="2"/>
      <c r="BG200" s="2"/>
      <c r="BH200" s="2"/>
      <c r="BI200" s="139"/>
      <c r="BJ200" s="140"/>
      <c r="BK200" s="2"/>
      <c r="BL200" s="2"/>
      <c r="BM200" s="139"/>
      <c r="BN200" s="140"/>
    </row>
    <row r="201" spans="1:66" ht="15" customHeight="1" x14ac:dyDescent="0.3">
      <c r="A201">
        <v>20.5</v>
      </c>
      <c r="B201" s="234">
        <v>99999</v>
      </c>
      <c r="C201" s="238">
        <v>99999</v>
      </c>
      <c r="D201" s="238">
        <v>99999</v>
      </c>
      <c r="E201" s="238">
        <v>99999</v>
      </c>
      <c r="F201" s="238">
        <v>99999</v>
      </c>
      <c r="G201" s="238">
        <v>99999</v>
      </c>
      <c r="H201" s="238">
        <v>99999</v>
      </c>
      <c r="I201" s="238">
        <v>99999</v>
      </c>
      <c r="J201" s="238">
        <v>99999</v>
      </c>
      <c r="K201" s="238">
        <v>99999</v>
      </c>
      <c r="L201" s="238">
        <v>99999</v>
      </c>
      <c r="M201" s="238">
        <v>99999</v>
      </c>
      <c r="N201" s="238">
        <v>99999</v>
      </c>
      <c r="O201" s="238">
        <v>99999</v>
      </c>
      <c r="P201" s="238">
        <v>99999</v>
      </c>
      <c r="Q201" s="238">
        <v>99999</v>
      </c>
      <c r="R201" s="238">
        <v>99999</v>
      </c>
      <c r="S201" s="238">
        <v>99999</v>
      </c>
      <c r="T201" s="239">
        <v>99999</v>
      </c>
      <c r="U201" s="236"/>
      <c r="V201" s="140"/>
      <c r="X201" s="139"/>
      <c r="Y201" s="140"/>
      <c r="AC201" s="2"/>
      <c r="AD201" s="2"/>
      <c r="AE201" s="2"/>
      <c r="AH201" s="2"/>
      <c r="AI201" s="2"/>
      <c r="AJ201" s="2"/>
      <c r="AK201" s="139"/>
      <c r="AL201" s="140"/>
      <c r="AP201" s="2"/>
      <c r="AQ201" s="2"/>
      <c r="AR201" s="2"/>
      <c r="AS201" s="139"/>
      <c r="AT201" s="140"/>
      <c r="AX201" s="2"/>
      <c r="AY201" s="2"/>
      <c r="AZ201" s="2"/>
      <c r="BA201" s="139"/>
      <c r="BB201" s="140"/>
      <c r="BF201" s="2"/>
      <c r="BG201" s="2"/>
      <c r="BH201" s="2"/>
      <c r="BI201" s="139"/>
      <c r="BJ201" s="140"/>
      <c r="BK201" s="2"/>
      <c r="BL201" s="2"/>
      <c r="BM201" s="139"/>
      <c r="BN201" s="140"/>
    </row>
    <row r="202" spans="1:66" ht="15" customHeight="1" x14ac:dyDescent="0.3">
      <c r="B202" s="139"/>
      <c r="C202" s="140"/>
      <c r="G202" s="2"/>
      <c r="H202" s="2"/>
      <c r="I202" s="2"/>
      <c r="J202" s="139"/>
      <c r="K202" s="140"/>
      <c r="O202" s="53"/>
      <c r="P202" s="2"/>
      <c r="Q202" s="2"/>
      <c r="R202" s="139"/>
      <c r="S202" s="140"/>
      <c r="W202" s="2"/>
      <c r="X202" s="2"/>
      <c r="Y202" s="2"/>
      <c r="Z202" s="139"/>
      <c r="AA202" s="140"/>
      <c r="AE202" s="2"/>
      <c r="AF202" s="2"/>
      <c r="AG202" s="2"/>
      <c r="AH202" s="139"/>
      <c r="AI202" s="140"/>
      <c r="AM202" s="2"/>
      <c r="AN202" s="2"/>
      <c r="AO202" s="2"/>
      <c r="AP202" s="139"/>
      <c r="AQ202" s="140"/>
      <c r="AU202" s="2"/>
      <c r="AV202" s="2"/>
      <c r="AW202" s="2"/>
      <c r="AX202" s="139"/>
      <c r="AY202" s="140"/>
      <c r="BF202" s="2"/>
      <c r="BG202" s="2"/>
      <c r="BH202" s="139"/>
      <c r="BI202" s="140"/>
    </row>
    <row r="203" spans="1:66" ht="15" customHeight="1" x14ac:dyDescent="0.3">
      <c r="B203" s="139" t="s">
        <v>146</v>
      </c>
      <c r="C203" s="140">
        <f ca="1">C192</f>
        <v>7831.0297977933533</v>
      </c>
      <c r="D203" s="355" t="s">
        <v>201</v>
      </c>
      <c r="E203" s="355"/>
      <c r="G203" s="2"/>
      <c r="H203" s="2"/>
      <c r="I203" s="2"/>
      <c r="J203" s="139" t="s">
        <v>146</v>
      </c>
      <c r="K203" s="140">
        <f ca="1">K192</f>
        <v>7443.4398553302399</v>
      </c>
      <c r="L203" s="355" t="s">
        <v>201</v>
      </c>
      <c r="M203" s="355"/>
      <c r="O203" s="53"/>
      <c r="P203" s="2"/>
      <c r="Q203" s="2"/>
      <c r="R203" s="139" t="s">
        <v>146</v>
      </c>
      <c r="S203" s="140">
        <f ca="1">S192</f>
        <v>6824.8806540283513</v>
      </c>
      <c r="T203" s="355" t="s">
        <v>201</v>
      </c>
      <c r="U203" s="355"/>
      <c r="W203" s="2"/>
      <c r="X203" s="2"/>
      <c r="Y203" s="2"/>
      <c r="Z203" s="139" t="s">
        <v>146</v>
      </c>
      <c r="AA203" s="140">
        <f ca="1">AA192</f>
        <v>6307.3549692506676</v>
      </c>
      <c r="AB203" s="355" t="s">
        <v>201</v>
      </c>
      <c r="AC203" s="355"/>
      <c r="AE203" s="2"/>
      <c r="AF203" s="2"/>
      <c r="AG203" s="2"/>
      <c r="AH203" s="139" t="s">
        <v>146</v>
      </c>
      <c r="AI203" s="140">
        <f ca="1">AI192</f>
        <v>5830.6355865572814</v>
      </c>
      <c r="AJ203" s="355" t="s">
        <v>201</v>
      </c>
      <c r="AK203" s="355"/>
      <c r="AM203" s="2"/>
      <c r="AN203" s="2"/>
      <c r="AO203" s="2"/>
      <c r="AP203" s="139" t="s">
        <v>146</v>
      </c>
      <c r="AQ203" s="140">
        <f ca="1">AQ192</f>
        <v>5729.8975085599614</v>
      </c>
      <c r="AR203" s="355" t="s">
        <v>201</v>
      </c>
      <c r="AS203" s="355"/>
      <c r="AU203" s="2"/>
      <c r="AV203" s="2"/>
      <c r="AW203" s="2"/>
      <c r="AX203" s="139" t="s">
        <v>146</v>
      </c>
      <c r="AY203" s="140" t="e">
        <f ca="1">AY192</f>
        <v>#N/A</v>
      </c>
      <c r="AZ203" s="355" t="s">
        <v>201</v>
      </c>
      <c r="BA203" s="355"/>
    </row>
    <row r="204" spans="1:66" ht="15" customHeight="1" x14ac:dyDescent="0.3">
      <c r="B204" s="16" t="s">
        <v>202</v>
      </c>
      <c r="C204" s="141">
        <f t="array" aca="1" ref="C204" ca="1">INDEX($B195:$T195,MATCH(C203,$B195:$T195,1))</f>
        <v>7500</v>
      </c>
      <c r="D204" s="16" t="s">
        <v>144</v>
      </c>
      <c r="E204" s="17">
        <f>MATCH(MAX($A196:$A201),$A196:$A201,1)</f>
        <v>6</v>
      </c>
      <c r="G204" s="2"/>
      <c r="H204" s="2"/>
      <c r="I204" s="2"/>
      <c r="J204" s="16" t="s">
        <v>202</v>
      </c>
      <c r="K204" s="141">
        <f t="array" aca="1" ref="K204" ca="1">INDEX($B195:$T195,MATCH(K203,$B195:$T195,1))</f>
        <v>7000</v>
      </c>
      <c r="L204" s="16" t="s">
        <v>144</v>
      </c>
      <c r="M204" s="17">
        <f>MATCH(MAX($A196:$A201),$A196:$A201,1)</f>
        <v>6</v>
      </c>
      <c r="O204" s="53"/>
      <c r="P204" s="2"/>
      <c r="Q204" s="2"/>
      <c r="R204" s="16" t="s">
        <v>202</v>
      </c>
      <c r="S204" s="141">
        <f t="array" aca="1" ref="S204" ca="1">INDEX($B195:$T195,MATCH(S203,$B195:$T195,1))</f>
        <v>6500</v>
      </c>
      <c r="T204" s="16" t="s">
        <v>144</v>
      </c>
      <c r="U204" s="17">
        <f>MATCH(MAX($A196:$A201),$A196:$A201,1)</f>
        <v>6</v>
      </c>
      <c r="W204" s="2"/>
      <c r="X204" s="2"/>
      <c r="Y204" s="2"/>
      <c r="Z204" s="16" t="s">
        <v>202</v>
      </c>
      <c r="AA204" s="141">
        <f t="array" aca="1" ref="AA204" ca="1">INDEX($B195:$T195,MATCH(AA203,$B195:$T195,1))</f>
        <v>6000</v>
      </c>
      <c r="AB204" s="16" t="s">
        <v>144</v>
      </c>
      <c r="AC204" s="17">
        <f>MATCH(MAX($A196:$A201),$A196:$A201,1)</f>
        <v>6</v>
      </c>
      <c r="AE204" s="2"/>
      <c r="AF204" s="2"/>
      <c r="AG204" s="2"/>
      <c r="AH204" s="16" t="s">
        <v>202</v>
      </c>
      <c r="AI204" s="141">
        <f t="array" aca="1" ref="AI204" ca="1">INDEX($B195:$T195,MATCH(AI203,$B195:$T195,1))</f>
        <v>5500</v>
      </c>
      <c r="AJ204" s="16" t="s">
        <v>144</v>
      </c>
      <c r="AK204" s="17">
        <f>MATCH(MAX($A196:$A201),$A196:$A201,1)</f>
        <v>6</v>
      </c>
      <c r="AM204" s="2"/>
      <c r="AN204" s="2"/>
      <c r="AO204" s="2"/>
      <c r="AP204" s="16" t="s">
        <v>202</v>
      </c>
      <c r="AQ204" s="141">
        <f t="array" aca="1" ref="AQ204" ca="1">INDEX($B195:$T195,MATCH(AQ203,$B195:$T195,1))</f>
        <v>5500</v>
      </c>
      <c r="AR204" s="16" t="s">
        <v>144</v>
      </c>
      <c r="AS204" s="17">
        <f>MATCH(MAX($A196:$A201),$A196:$A201,1)</f>
        <v>6</v>
      </c>
      <c r="AU204" s="2"/>
      <c r="AV204" s="2"/>
      <c r="AW204" s="2"/>
      <c r="AX204" s="16" t="s">
        <v>202</v>
      </c>
      <c r="AY204" s="141" t="e">
        <f t="array" aca="1" ref="AY204" ca="1">INDEX($B195:$T195,MATCH(AY203,$B195:$T195,1))</f>
        <v>#N/A</v>
      </c>
      <c r="AZ204" s="16" t="s">
        <v>144</v>
      </c>
      <c r="BA204" s="17">
        <f>MATCH(MAX($A196:$A201),$A196:$A201,1)</f>
        <v>6</v>
      </c>
    </row>
    <row r="205" spans="1:66" ht="15" customHeight="1" x14ac:dyDescent="0.3">
      <c r="B205" s="16" t="s">
        <v>203</v>
      </c>
      <c r="C205" s="141">
        <f t="array" aca="1" ref="C205" ca="1">INDEX($B195:$T195,IF(MATCH(C203,$B195:$T195,1)&lt;E205,MATCH(C203,$B195:$T195,1)+1,MATCH(C203,$B195:$T195,1)))</f>
        <v>8000</v>
      </c>
      <c r="D205" s="16" t="s">
        <v>145</v>
      </c>
      <c r="E205" s="17">
        <f>MATCH(MAX($B195:$T195),$B195:$T195,0)</f>
        <v>19</v>
      </c>
      <c r="G205" s="2"/>
      <c r="H205" s="2"/>
      <c r="I205" s="2"/>
      <c r="J205" s="16" t="s">
        <v>203</v>
      </c>
      <c r="K205" s="141">
        <f t="array" aca="1" ref="K205" ca="1">INDEX($B195:$T195,IF(MATCH(K203,$B195:$T195,1)&lt;M205,MATCH(K203,$B195:$T195,1)+1,MATCH(K203,$B195:$T195,1)))</f>
        <v>7500</v>
      </c>
      <c r="L205" s="16" t="s">
        <v>145</v>
      </c>
      <c r="M205" s="17">
        <f>MATCH(MAX($B195:$T195),$B195:$T195,0)</f>
        <v>19</v>
      </c>
      <c r="O205" s="53"/>
      <c r="P205" s="2"/>
      <c r="Q205" s="2"/>
      <c r="R205" s="16" t="s">
        <v>203</v>
      </c>
      <c r="S205" s="141">
        <f t="array" aca="1" ref="S205" ca="1">INDEX($B195:$T195,IF(MATCH(S203,$B195:$T195,1)&lt;U205,MATCH(S203,$B195:$T195,1)+1,MATCH(S203,$B195:$T195,1)))</f>
        <v>7000</v>
      </c>
      <c r="T205" s="16" t="s">
        <v>145</v>
      </c>
      <c r="U205" s="17">
        <f>MATCH(MAX($B195:$T195),$B195:$T195,0)</f>
        <v>19</v>
      </c>
      <c r="W205" s="2"/>
      <c r="X205" s="2"/>
      <c r="Y205" s="2"/>
      <c r="Z205" s="16" t="s">
        <v>203</v>
      </c>
      <c r="AA205" s="141">
        <f t="array" aca="1" ref="AA205" ca="1">INDEX($B195:$T195,IF(MATCH(AA203,$B195:$T195,1)&lt;AC205,MATCH(AA203,$B195:$T195,1)+1,MATCH(AA203,$B195:$T195,1)))</f>
        <v>6500</v>
      </c>
      <c r="AB205" s="16" t="s">
        <v>145</v>
      </c>
      <c r="AC205" s="17">
        <f>MATCH(MAX($B195:$T195),$B195:$T195,0)</f>
        <v>19</v>
      </c>
      <c r="AE205" s="2"/>
      <c r="AF205" s="2"/>
      <c r="AG205" s="2"/>
      <c r="AH205" s="16" t="s">
        <v>203</v>
      </c>
      <c r="AI205" s="141">
        <f t="array" aca="1" ref="AI205" ca="1">INDEX($B195:$T195,IF(MATCH(AI203,$B195:$T195,1)&lt;AK205,MATCH(AI203,$B195:$T195,1)+1,MATCH(AI203,$B195:$T195,1)))</f>
        <v>6000</v>
      </c>
      <c r="AJ205" s="16" t="s">
        <v>145</v>
      </c>
      <c r="AK205" s="17">
        <f>MATCH(MAX($B195:$T195),$B195:$T195,0)</f>
        <v>19</v>
      </c>
      <c r="AM205" s="2"/>
      <c r="AN205" s="2"/>
      <c r="AO205" s="2"/>
      <c r="AP205" s="16" t="s">
        <v>203</v>
      </c>
      <c r="AQ205" s="141">
        <f t="array" aca="1" ref="AQ205" ca="1">INDEX($B195:$T195,IF(MATCH(AQ203,$B195:$T195,1)&lt;AS205,MATCH(AQ203,$B195:$T195,1)+1,MATCH(AQ203,$B195:$T195,1)))</f>
        <v>6000</v>
      </c>
      <c r="AR205" s="16" t="s">
        <v>145</v>
      </c>
      <c r="AS205" s="17">
        <f>MATCH(MAX($B195:$T195),$B195:$T195,0)</f>
        <v>19</v>
      </c>
      <c r="AU205" s="2"/>
      <c r="AV205" s="2"/>
      <c r="AW205" s="2"/>
      <c r="AX205" s="16" t="s">
        <v>203</v>
      </c>
      <c r="AY205" s="141" t="e">
        <f t="array" aca="1" ref="AY205" ca="1">INDEX($B195:$T195,IF(MATCH(AY203,$B195:$T195,1)&lt;BA205,MATCH(AY203,$B195:$T195,1)+1,MATCH(AY203,$B195:$T195,1)))</f>
        <v>#N/A</v>
      </c>
      <c r="AZ205" s="16" t="s">
        <v>145</v>
      </c>
      <c r="BA205" s="17">
        <f>MATCH(MAX($B195:$T195),$B195:$T195,0)</f>
        <v>19</v>
      </c>
    </row>
    <row r="206" spans="1:66" ht="15" customHeight="1" x14ac:dyDescent="0.3">
      <c r="B206" s="139" t="s">
        <v>147</v>
      </c>
      <c r="C206" s="186">
        <f>'Take-off'!$C$12</f>
        <v>3</v>
      </c>
      <c r="D206" s="2"/>
      <c r="E206" s="2"/>
      <c r="G206" s="2"/>
      <c r="H206" s="2"/>
      <c r="I206" s="2"/>
      <c r="J206" s="139" t="s">
        <v>147</v>
      </c>
      <c r="K206" s="186">
        <f>'Take-off'!$C$12</f>
        <v>3</v>
      </c>
      <c r="L206" s="2"/>
      <c r="M206" s="2"/>
      <c r="O206" s="53"/>
      <c r="P206" s="2"/>
      <c r="Q206" s="2"/>
      <c r="R206" s="139" t="s">
        <v>147</v>
      </c>
      <c r="S206" s="186">
        <f>'Take-off'!$C$12</f>
        <v>3</v>
      </c>
      <c r="T206" s="2"/>
      <c r="U206" s="2"/>
      <c r="W206" s="2"/>
      <c r="X206" s="2"/>
      <c r="Y206" s="2"/>
      <c r="Z206" s="139" t="s">
        <v>147</v>
      </c>
      <c r="AA206" s="186">
        <f>'Take-off'!$C$12</f>
        <v>3</v>
      </c>
      <c r="AB206" s="2"/>
      <c r="AC206" s="2"/>
      <c r="AE206" s="2"/>
      <c r="AF206" s="2"/>
      <c r="AG206" s="2"/>
      <c r="AH206" s="139" t="s">
        <v>147</v>
      </c>
      <c r="AI206" s="186">
        <f>'Take-off'!$C$12</f>
        <v>3</v>
      </c>
      <c r="AJ206" s="2"/>
      <c r="AK206" s="2"/>
      <c r="AM206" s="2"/>
      <c r="AN206" s="2"/>
      <c r="AO206" s="2"/>
      <c r="AP206" s="139" t="s">
        <v>147</v>
      </c>
      <c r="AQ206" s="186">
        <f>'Take-off'!$C$12</f>
        <v>3</v>
      </c>
      <c r="AR206" s="2"/>
      <c r="AS206" s="2"/>
      <c r="AU206" s="2"/>
      <c r="AV206" s="2"/>
      <c r="AW206" s="2"/>
      <c r="AX206" s="139" t="s">
        <v>147</v>
      </c>
      <c r="AY206" s="186">
        <f>'Take-off'!$C$12</f>
        <v>3</v>
      </c>
      <c r="AZ206" s="2"/>
      <c r="BA206" s="2"/>
    </row>
    <row r="207" spans="1:66" ht="15" customHeight="1" x14ac:dyDescent="0.3">
      <c r="B207" s="16" t="s">
        <v>148</v>
      </c>
      <c r="C207" s="141">
        <f t="array" ref="C207">INDEX($A196:$A201,MATCH(C206,$A196:$A201,1))</f>
        <v>0</v>
      </c>
      <c r="D207" s="2"/>
      <c r="E207" s="42"/>
      <c r="G207" s="2"/>
      <c r="H207" s="2"/>
      <c r="I207" s="2"/>
      <c r="J207" s="16" t="s">
        <v>148</v>
      </c>
      <c r="K207" s="141">
        <f t="array" ref="K207">INDEX($A196:$A201,MATCH(K206,$A196:$A201,1))</f>
        <v>0</v>
      </c>
      <c r="L207" s="2"/>
      <c r="M207" s="42"/>
      <c r="O207" s="53"/>
      <c r="P207" s="2"/>
      <c r="Q207" s="2"/>
      <c r="R207" s="16" t="s">
        <v>148</v>
      </c>
      <c r="S207" s="141">
        <f t="array" ref="S207">INDEX($A196:$A201,MATCH(S206,$A196:$A201,1))</f>
        <v>0</v>
      </c>
      <c r="T207" s="2"/>
      <c r="U207" s="42"/>
      <c r="W207" s="2"/>
      <c r="X207" s="2"/>
      <c r="Y207" s="2"/>
      <c r="Z207" s="16" t="s">
        <v>148</v>
      </c>
      <c r="AA207" s="141">
        <f t="array" ref="AA207">INDEX($A196:$A201,MATCH(AA206,$A196:$A201,1))</f>
        <v>0</v>
      </c>
      <c r="AB207" s="2"/>
      <c r="AC207" s="42"/>
      <c r="AE207" s="2"/>
      <c r="AF207" s="2"/>
      <c r="AG207" s="2"/>
      <c r="AH207" s="16" t="s">
        <v>148</v>
      </c>
      <c r="AI207" s="141">
        <f t="array" ref="AI207">INDEX($A196:$A201,MATCH(AI206,$A196:$A201,1))</f>
        <v>0</v>
      </c>
      <c r="AJ207" s="2"/>
      <c r="AK207" s="42"/>
      <c r="AM207" s="2"/>
      <c r="AN207" s="2"/>
      <c r="AO207" s="2"/>
      <c r="AP207" s="16" t="s">
        <v>148</v>
      </c>
      <c r="AQ207" s="141">
        <f t="array" ref="AQ207">INDEX($A196:$A201,MATCH(AQ206,$A196:$A201,1))</f>
        <v>0</v>
      </c>
      <c r="AR207" s="2"/>
      <c r="AS207" s="42"/>
      <c r="AU207" s="2"/>
      <c r="AV207" s="2"/>
      <c r="AW207" s="2"/>
      <c r="AX207" s="16" t="s">
        <v>148</v>
      </c>
      <c r="AY207" s="141">
        <f t="array" ref="AY207">INDEX($A196:$A201,MATCH(AY206,$A196:$A201,1))</f>
        <v>0</v>
      </c>
      <c r="AZ207" s="2"/>
      <c r="BA207" s="42"/>
    </row>
    <row r="208" spans="1:66" ht="15" customHeight="1" x14ac:dyDescent="0.3">
      <c r="B208" s="16" t="s">
        <v>149</v>
      </c>
      <c r="C208" s="141">
        <f t="array" ref="C208">INDEX($A196:$A201,IF(MATCH(C206,$A196:$A201,1)&lt;E204,MATCH(C206,$A196:$A201,1)+1,MATCH(C206,$A196:$A201,1)))</f>
        <v>5.08</v>
      </c>
      <c r="D208" s="2"/>
      <c r="E208" s="42"/>
      <c r="G208" s="2"/>
      <c r="H208" s="2"/>
      <c r="I208" s="2"/>
      <c r="J208" s="16" t="s">
        <v>149</v>
      </c>
      <c r="K208" s="141">
        <f t="array" ref="K208">INDEX($A196:$A201,IF(MATCH(K206,$A196:$A201,1)&lt;M204,MATCH(K206,$A196:$A201,1)+1,MATCH(K206,$A196:$A201,1)))</f>
        <v>5.08</v>
      </c>
      <c r="L208" s="2"/>
      <c r="M208" s="42"/>
      <c r="O208" s="53"/>
      <c r="P208" s="2"/>
      <c r="Q208" s="2"/>
      <c r="R208" s="16" t="s">
        <v>149</v>
      </c>
      <c r="S208" s="141">
        <f t="array" ref="S208">INDEX($A196:$A201,IF(MATCH(S206,$A196:$A201,1)&lt;U204,MATCH(S206,$A196:$A201,1)+1,MATCH(S206,$A196:$A201,1)))</f>
        <v>5.08</v>
      </c>
      <c r="T208" s="2"/>
      <c r="U208" s="42"/>
      <c r="W208" s="2"/>
      <c r="X208" s="2"/>
      <c r="Y208" s="2"/>
      <c r="Z208" s="16" t="s">
        <v>149</v>
      </c>
      <c r="AA208" s="141">
        <f t="array" ref="AA208">INDEX($A196:$A201,IF(MATCH(AA206,$A196:$A201,1)&lt;AC204,MATCH(AA206,$A196:$A201,1)+1,MATCH(AA206,$A196:$A201,1)))</f>
        <v>5.08</v>
      </c>
      <c r="AB208" s="2"/>
      <c r="AC208" s="42"/>
      <c r="AE208" s="2"/>
      <c r="AF208" s="2"/>
      <c r="AG208" s="2"/>
      <c r="AH208" s="16" t="s">
        <v>149</v>
      </c>
      <c r="AI208" s="141">
        <f t="array" ref="AI208">INDEX($A196:$A201,IF(MATCH(AI206,$A196:$A201,1)&lt;AK204,MATCH(AI206,$A196:$A201,1)+1,MATCH(AI206,$A196:$A201,1)))</f>
        <v>5.08</v>
      </c>
      <c r="AJ208" s="2"/>
      <c r="AK208" s="42"/>
      <c r="AM208" s="2"/>
      <c r="AN208" s="2"/>
      <c r="AO208" s="2"/>
      <c r="AP208" s="16" t="s">
        <v>149</v>
      </c>
      <c r="AQ208" s="141">
        <f t="array" ref="AQ208">INDEX($A196:$A201,IF(MATCH(AQ206,$A196:$A201,1)&lt;AS204,MATCH(AQ206,$A196:$A201,1)+1,MATCH(AQ206,$A196:$A201,1)))</f>
        <v>5.08</v>
      </c>
      <c r="AR208" s="2"/>
      <c r="AS208" s="42"/>
      <c r="AU208" s="2"/>
      <c r="AV208" s="2"/>
      <c r="AW208" s="2"/>
      <c r="AX208" s="16" t="s">
        <v>149</v>
      </c>
      <c r="AY208" s="141">
        <f t="array" ref="AY208">INDEX($A196:$A201,IF(MATCH(AY206,$A196:$A201,1)&lt;BA204,MATCH(AY206,$A196:$A201,1)+1,MATCH(AY206,$A196:$A201,1)))</f>
        <v>5.08</v>
      </c>
      <c r="AZ208" s="2"/>
      <c r="BA208" s="42"/>
    </row>
    <row r="209" spans="1:61" ht="15" customHeight="1" x14ac:dyDescent="0.3">
      <c r="B209" s="139" t="s">
        <v>150</v>
      </c>
      <c r="C209" s="140">
        <f t="array" aca="1" ref="C209" ca="1">INDEX($B196:$T201,MATCH(C206,$A196:$A201,1),MATCH(C203,$B195:$T195,1))</f>
        <v>7500</v>
      </c>
      <c r="D209" s="2"/>
      <c r="E209" s="42"/>
      <c r="G209" s="2"/>
      <c r="H209" s="2"/>
      <c r="I209" s="2"/>
      <c r="J209" s="139" t="s">
        <v>150</v>
      </c>
      <c r="K209" s="140">
        <f t="array" aca="1" ref="K209" ca="1">INDEX($B196:$T201,MATCH(K206,$A196:$A201,1),MATCH(K203,$B195:$T195,1))</f>
        <v>7000</v>
      </c>
      <c r="L209" s="2"/>
      <c r="M209" s="42"/>
      <c r="O209" s="53"/>
      <c r="P209" s="2"/>
      <c r="Q209" s="2"/>
      <c r="R209" s="139" t="s">
        <v>150</v>
      </c>
      <c r="S209" s="140">
        <f t="array" aca="1" ref="S209" ca="1">INDEX($B196:$T201,MATCH(S206,$A196:$A201,1),MATCH(S203,$B195:$T195,1))</f>
        <v>6500</v>
      </c>
      <c r="T209" s="2"/>
      <c r="U209" s="42"/>
      <c r="W209" s="2"/>
      <c r="X209" s="2"/>
      <c r="Y209" s="2"/>
      <c r="Z209" s="139" t="s">
        <v>150</v>
      </c>
      <c r="AA209" s="140">
        <f t="array" aca="1" ref="AA209" ca="1">INDEX($B196:$T201,MATCH(AA206,$A196:$A201,1),MATCH(AA203,$B195:$T195,1))</f>
        <v>6000</v>
      </c>
      <c r="AB209" s="2"/>
      <c r="AC209" s="42"/>
      <c r="AE209" s="2"/>
      <c r="AF209" s="2"/>
      <c r="AG209" s="2"/>
      <c r="AH209" s="139" t="s">
        <v>150</v>
      </c>
      <c r="AI209" s="140">
        <f t="array" aca="1" ref="AI209" ca="1">INDEX($B196:$T201,MATCH(AI206,$A196:$A201,1),MATCH(AI203,$B195:$T195,1))</f>
        <v>5500</v>
      </c>
      <c r="AJ209" s="2"/>
      <c r="AK209" s="42"/>
      <c r="AM209" s="2"/>
      <c r="AN209" s="2"/>
      <c r="AO209" s="2"/>
      <c r="AP209" s="139" t="s">
        <v>150</v>
      </c>
      <c r="AQ209" s="140">
        <f t="array" aca="1" ref="AQ209" ca="1">INDEX($B196:$T201,MATCH(AQ206,$A196:$A201,1),MATCH(AQ203,$B195:$T195,1))</f>
        <v>5500</v>
      </c>
      <c r="AR209" s="2"/>
      <c r="AS209" s="42"/>
      <c r="AU209" s="2"/>
      <c r="AV209" s="2"/>
      <c r="AW209" s="2"/>
      <c r="AX209" s="139" t="s">
        <v>150</v>
      </c>
      <c r="AY209" s="140" t="e">
        <f t="array" aca="1" ref="AY209" ca="1">INDEX($B196:$T201,MATCH(AY206,$A196:$A201,1),MATCH(AY203,$B195:$T195,1))</f>
        <v>#N/A</v>
      </c>
      <c r="AZ209" s="2"/>
      <c r="BA209" s="42"/>
    </row>
    <row r="210" spans="1:61" ht="15" customHeight="1" x14ac:dyDescent="0.3">
      <c r="B210" s="139" t="s">
        <v>204</v>
      </c>
      <c r="C210" s="140">
        <f t="array" aca="1" ref="C210" ca="1">INDEX($B196:$T201,MATCH(C206,$A196:$A201,1),IF(MATCH(C203,$B195:$T195,1)&lt;E205,MATCH(C203,$B195:$T195,1)+1,MATCH(C206,$A196:$A201,1)))</f>
        <v>8000</v>
      </c>
      <c r="E210" s="42"/>
      <c r="G210" s="2"/>
      <c r="H210" s="2"/>
      <c r="I210" s="2"/>
      <c r="J210" s="139" t="s">
        <v>204</v>
      </c>
      <c r="K210" s="140">
        <f t="array" aca="1" ref="K210" ca="1">INDEX($B196:$T201,MATCH(K206,$A196:$A201,1),IF(MATCH(K203,$B195:$T195,1)&lt;M205,MATCH(K203,$B195:$T195,1)+1,MATCH(K206,$A196:$A201,1)))</f>
        <v>7500</v>
      </c>
      <c r="M210" s="42"/>
      <c r="O210" s="12"/>
      <c r="P210" s="2"/>
      <c r="Q210" s="2"/>
      <c r="R210" s="139" t="s">
        <v>204</v>
      </c>
      <c r="S210" s="140">
        <f t="array" aca="1" ref="S210" ca="1">INDEX($B196:$T201,MATCH(S206,$A196:$A201,1),IF(MATCH(S203,$B195:$T195,1)&lt;U205,MATCH(S203,$B195:$T195,1)+1,MATCH(S206,$A196:$A201,1)))</f>
        <v>7000</v>
      </c>
      <c r="U210" s="42"/>
      <c r="W210" s="2"/>
      <c r="X210" s="2"/>
      <c r="Y210" s="2"/>
      <c r="Z210" s="139" t="s">
        <v>204</v>
      </c>
      <c r="AA210" s="140">
        <f t="array" aca="1" ref="AA210" ca="1">INDEX($B196:$T201,MATCH(AA206,$A196:$A201,1),IF(MATCH(AA203,$B195:$T195,1)&lt;AC205,MATCH(AA203,$B195:$T195,1)+1,MATCH(AA206,$A196:$A201,1)))</f>
        <v>6500</v>
      </c>
      <c r="AC210" s="42"/>
      <c r="AE210" s="2"/>
      <c r="AF210" s="2"/>
      <c r="AG210" s="2"/>
      <c r="AH210" s="139" t="s">
        <v>204</v>
      </c>
      <c r="AI210" s="140">
        <f t="array" aca="1" ref="AI210" ca="1">INDEX($B196:$T201,MATCH(AI206,$A196:$A201,1),IF(MATCH(AI203,$B195:$T195,1)&lt;AK205,MATCH(AI203,$B195:$T195,1)+1,MATCH(AI206,$A196:$A201,1)))</f>
        <v>6000</v>
      </c>
      <c r="AK210" s="42"/>
      <c r="AM210" s="2"/>
      <c r="AN210" s="2"/>
      <c r="AO210" s="2"/>
      <c r="AP210" s="139" t="s">
        <v>204</v>
      </c>
      <c r="AQ210" s="140">
        <f t="array" aca="1" ref="AQ210" ca="1">INDEX($B196:$T201,MATCH(AQ206,$A196:$A201,1),IF(MATCH(AQ203,$B195:$T195,1)&lt;AS205,MATCH(AQ203,$B195:$T195,1)+1,MATCH(AQ206,$A196:$A201,1)))</f>
        <v>6000</v>
      </c>
      <c r="AS210" s="42"/>
      <c r="AU210" s="2"/>
      <c r="AV210" s="2"/>
      <c r="AW210" s="2"/>
      <c r="AX210" s="139" t="s">
        <v>204</v>
      </c>
      <c r="AY210" s="140" t="e">
        <f t="array" aca="1" ref="AY210" ca="1">INDEX($B196:$T201,MATCH(AY206,$A196:$A201,1),IF(MATCH(AY203,$B195:$T195,1)&lt;BA205,MATCH(AY203,$B195:$T195,1)+1,MATCH(AY206,$A196:$A201,1)))</f>
        <v>#N/A</v>
      </c>
      <c r="BA210" s="42"/>
    </row>
    <row r="211" spans="1:61" ht="15" customHeight="1" x14ac:dyDescent="0.3">
      <c r="B211" s="139" t="s">
        <v>151</v>
      </c>
      <c r="C211" s="140">
        <f t="array" aca="1" ref="C211" ca="1">INDEX($B196:$T201,IF(MATCH(C206,$A196:$A201,1)&lt;E204,MATCH(C206,$A196:$A201,1)+1,MATCH(C206,$A196:$A201,1)),MATCH(C203,$B195:$T195,1))</f>
        <v>7150</v>
      </c>
      <c r="E211" s="42"/>
      <c r="G211" s="2"/>
      <c r="H211" s="2"/>
      <c r="I211" s="2"/>
      <c r="J211" s="139" t="s">
        <v>151</v>
      </c>
      <c r="K211" s="140">
        <f t="array" aca="1" ref="K211" ca="1">INDEX($B196:$T201,IF(MATCH(K206,$A196:$A201,1)&lt;M204,MATCH(K206,$A196:$A201,1)+1,MATCH(K206,$A196:$A201,1)),MATCH(K203,$B195:$T195,1))</f>
        <v>7130</v>
      </c>
      <c r="M211" s="42"/>
      <c r="O211" s="12"/>
      <c r="P211" s="2"/>
      <c r="Q211" s="2"/>
      <c r="R211" s="139" t="s">
        <v>151</v>
      </c>
      <c r="S211" s="140">
        <f t="array" aca="1" ref="S211" ca="1">INDEX($B196:$T201,IF(MATCH(S206,$A196:$A201,1)&lt;U204,MATCH(S206,$A196:$A201,1)+1,MATCH(S206,$A196:$A201,1)),MATCH(S203,$B195:$T195,1))</f>
        <v>6600</v>
      </c>
      <c r="U211" s="42"/>
      <c r="W211" s="2"/>
      <c r="X211" s="2"/>
      <c r="Y211" s="2"/>
      <c r="Z211" s="139" t="s">
        <v>151</v>
      </c>
      <c r="AA211" s="140">
        <f t="array" aca="1" ref="AA211" ca="1">INDEX($B196:$T201,IF(MATCH(AA206,$A196:$A201,1)&lt;AC204,MATCH(AA206,$A196:$A201,1)+1,MATCH(AA206,$A196:$A201,1)),MATCH(AA203,$B195:$T195,1))</f>
        <v>6100</v>
      </c>
      <c r="AC211" s="42"/>
      <c r="AE211" s="2"/>
      <c r="AF211" s="2"/>
      <c r="AG211" s="2"/>
      <c r="AH211" s="139" t="s">
        <v>151</v>
      </c>
      <c r="AI211" s="140">
        <f t="array" aca="1" ref="AI211" ca="1">INDEX($B196:$T201,IF(MATCH(AI206,$A196:$A201,1)&lt;AK204,MATCH(AI206,$A196:$A201,1)+1,MATCH(AI206,$A196:$A201,1)),MATCH(AI203,$B195:$T195,1))</f>
        <v>5600</v>
      </c>
      <c r="AK211" s="42"/>
      <c r="AM211" s="2"/>
      <c r="AN211" s="2"/>
      <c r="AO211" s="2"/>
      <c r="AP211" s="139" t="s">
        <v>151</v>
      </c>
      <c r="AQ211" s="140">
        <f t="array" aca="1" ref="AQ211" ca="1">INDEX($B196:$T201,IF(MATCH(AQ206,$A196:$A201,1)&lt;AS204,MATCH(AQ206,$A196:$A201,1)+1,MATCH(AQ206,$A196:$A201,1)),MATCH(AQ203,$B195:$T195,1))</f>
        <v>5600</v>
      </c>
      <c r="AS211" s="42"/>
      <c r="AU211" s="2"/>
      <c r="AV211" s="2"/>
      <c r="AW211" s="2"/>
      <c r="AX211" s="139" t="s">
        <v>151</v>
      </c>
      <c r="AY211" s="140" t="e">
        <f t="array" aca="1" ref="AY211" ca="1">INDEX($B196:$T201,IF(MATCH(AY206,$A196:$A201,1)&lt;BA204,MATCH(AY206,$A196:$A201,1)+1,MATCH(AY206,$A196:$A201,1)),MATCH(AY203,$B195:$T195,1))</f>
        <v>#N/A</v>
      </c>
      <c r="BA211" s="42"/>
    </row>
    <row r="212" spans="1:61" ht="15" customHeight="1" x14ac:dyDescent="0.3">
      <c r="B212" s="139" t="s">
        <v>205</v>
      </c>
      <c r="C212" s="140">
        <f t="array" aca="1" ref="C212" ca="1">INDEX($B196:$T201,IF(MATCH(C206,$A196:$A201,1)&lt;E204,MATCH(C206,$A196:$A201,1)+1,MATCH(C206,$A196:$A201,1)),IF(MATCH(C203,$B195:$T195,1)&lt;E205,MATCH(C203,$B195:$T195,1)+1,MATCH(C203,$B195:$T195,1)))</f>
        <v>8150</v>
      </c>
      <c r="G212" s="2"/>
      <c r="H212" s="2"/>
      <c r="I212" s="2"/>
      <c r="J212" s="139" t="s">
        <v>205</v>
      </c>
      <c r="K212" s="140">
        <f t="array" aca="1" ref="K212" ca="1">INDEX($B196:$T201,IF(MATCH(K206,$A196:$A201,1)&lt;M204,MATCH(K206,$A196:$A201,1)+1,MATCH(K206,$A196:$A201,1)),IF(MATCH(K203,$B195:$T195,1)&lt;M205,MATCH(K203,$B195:$T195,1)+1,MATCH(K203,$B195:$T195,1)))</f>
        <v>7150</v>
      </c>
      <c r="O212" s="12"/>
      <c r="P212" s="2"/>
      <c r="Q212" s="2"/>
      <c r="R212" s="139" t="s">
        <v>205</v>
      </c>
      <c r="S212" s="140">
        <f t="array" aca="1" ref="S212" ca="1">INDEX($B196:$T201,IF(MATCH(S206,$A196:$A201,1)&lt;U204,MATCH(S206,$A196:$A201,1)+1,MATCH(S206,$A196:$A201,1)),IF(MATCH(S203,$B195:$T195,1)&lt;U205,MATCH(S203,$B195:$T195,1)+1,MATCH(S203,$B195:$T195,1)))</f>
        <v>7130</v>
      </c>
      <c r="W212" s="2"/>
      <c r="X212" s="2"/>
      <c r="Y212" s="2"/>
      <c r="Z212" s="139" t="s">
        <v>205</v>
      </c>
      <c r="AA212" s="140">
        <f t="array" aca="1" ref="AA212" ca="1">INDEX($B196:$T201,IF(MATCH(AA206,$A196:$A201,1)&lt;AC204,MATCH(AA206,$A196:$A201,1)+1,MATCH(AA206,$A196:$A201,1)),IF(MATCH(AA203,$B195:$T195,1)&lt;AC205,MATCH(AA203,$B195:$T195,1)+1,MATCH(AA203,$B195:$T195,1)))</f>
        <v>6600</v>
      </c>
      <c r="AE212" s="2"/>
      <c r="AF212" s="2"/>
      <c r="AG212" s="2"/>
      <c r="AH212" s="139" t="s">
        <v>205</v>
      </c>
      <c r="AI212" s="140">
        <f t="array" aca="1" ref="AI212" ca="1">INDEX($B196:$T201,IF(MATCH(AI206,$A196:$A201,1)&lt;AK204,MATCH(AI206,$A196:$A201,1)+1,MATCH(AI206,$A196:$A201,1)),IF(MATCH(AI203,$B195:$T195,1)&lt;AK205,MATCH(AI203,$B195:$T195,1)+1,MATCH(AI203,$B195:$T195,1)))</f>
        <v>6100</v>
      </c>
      <c r="AM212" s="2"/>
      <c r="AN212" s="2"/>
      <c r="AO212" s="2"/>
      <c r="AP212" s="139" t="s">
        <v>205</v>
      </c>
      <c r="AQ212" s="140">
        <f t="array" aca="1" ref="AQ212" ca="1">INDEX($B196:$T201,IF(MATCH(AQ206,$A196:$A201,1)&lt;AS204,MATCH(AQ206,$A196:$A201,1)+1,MATCH(AQ206,$A196:$A201,1)),IF(MATCH(AQ203,$B195:$T195,1)&lt;AS205,MATCH(AQ203,$B195:$T195,1)+1,MATCH(AQ203,$B195:$T195,1)))</f>
        <v>6100</v>
      </c>
      <c r="AU212" s="2"/>
      <c r="AV212" s="2"/>
      <c r="AW212" s="2"/>
      <c r="AX212" s="139" t="s">
        <v>205</v>
      </c>
      <c r="AY212" s="140" t="e">
        <f t="array" aca="1" ref="AY212" ca="1">INDEX($B196:$T201,IF(MATCH(AY206,$A196:$A201,1)&lt;BA204,MATCH(AY206,$A196:$A201,1)+1,MATCH(AY206,$A196:$A201,1)),IF(MATCH(AY203,$B195:$T195,1)&lt;BA205,MATCH(AY203,$B195:$T195,1)+1,MATCH(AY203,$B195:$T195,1)))</f>
        <v>#N/A</v>
      </c>
    </row>
    <row r="213" spans="1:61" ht="15" customHeight="1" x14ac:dyDescent="0.3">
      <c r="B213" s="16" t="s">
        <v>206</v>
      </c>
      <c r="C213" s="141">
        <f ca="1">IFERROR(C209+(C203-C204)*(C210-C209)/(C205-C204),C209)</f>
        <v>7831.0297977933533</v>
      </c>
      <c r="G213" s="2"/>
      <c r="H213" s="2"/>
      <c r="I213" s="2"/>
      <c r="J213" s="16" t="s">
        <v>206</v>
      </c>
      <c r="K213" s="141">
        <f ca="1">IFERROR(K209+(K203-K204)*(K210-K209)/(K205-K204),K209)</f>
        <v>7443.4398553302399</v>
      </c>
      <c r="O213" s="12"/>
      <c r="P213" s="2"/>
      <c r="Q213" s="2"/>
      <c r="R213" s="16" t="s">
        <v>206</v>
      </c>
      <c r="S213" s="141">
        <f ca="1">IFERROR(S209+(S203-S204)*(S210-S209)/(S205-S204),S209)</f>
        <v>6824.8806540283513</v>
      </c>
      <c r="W213" s="2"/>
      <c r="X213" s="2"/>
      <c r="Y213" s="2"/>
      <c r="Z213" s="16" t="s">
        <v>206</v>
      </c>
      <c r="AA213" s="141">
        <f ca="1">IFERROR(AA209+(AA203-AA204)*(AA210-AA209)/(AA205-AA204),AA209)</f>
        <v>6307.3549692506676</v>
      </c>
      <c r="AE213" s="2"/>
      <c r="AF213" s="2"/>
      <c r="AG213" s="2"/>
      <c r="AH213" s="16" t="s">
        <v>206</v>
      </c>
      <c r="AI213" s="141">
        <f ca="1">IFERROR(AI209+(AI203-AI204)*(AI210-AI209)/(AI205-AI204),AI209)</f>
        <v>5830.6355865572814</v>
      </c>
      <c r="AM213" s="2"/>
      <c r="AN213" s="2"/>
      <c r="AO213" s="2"/>
      <c r="AP213" s="16" t="s">
        <v>206</v>
      </c>
      <c r="AQ213" s="141">
        <f ca="1">IFERROR(AQ209+(AQ203-AQ204)*(AQ210-AQ209)/(AQ205-AQ204),AQ209)</f>
        <v>5729.8975085599614</v>
      </c>
      <c r="AU213" s="2"/>
      <c r="AV213" s="2"/>
      <c r="AW213" s="2"/>
      <c r="AX213" s="16" t="s">
        <v>206</v>
      </c>
      <c r="AY213" s="141" t="e">
        <f ca="1">IFERROR(AY209+(AY203-AY204)*(AY210-AY209)/(AY205-AY204),AY209)</f>
        <v>#N/A</v>
      </c>
    </row>
    <row r="214" spans="1:61" ht="15" customHeight="1" x14ac:dyDescent="0.3">
      <c r="B214" s="16" t="s">
        <v>207</v>
      </c>
      <c r="C214" s="141">
        <f ca="1">IFERROR(C211+(C203-C204)*(C212-C211)/(C205-C204),C211)</f>
        <v>7812.0595955867066</v>
      </c>
      <c r="G214" s="2"/>
      <c r="H214" s="2"/>
      <c r="I214" s="2"/>
      <c r="J214" s="16" t="s">
        <v>207</v>
      </c>
      <c r="K214" s="141">
        <f ca="1">IFERROR(K211+(K203-K204)*(K212-K211)/(K205-K204),K211)</f>
        <v>7147.7375942132094</v>
      </c>
      <c r="O214" s="12"/>
      <c r="P214" s="2"/>
      <c r="Q214" s="2"/>
      <c r="R214" s="16" t="s">
        <v>207</v>
      </c>
      <c r="S214" s="141">
        <f ca="1">IFERROR(S211+(S203-S204)*(S212-S211)/(S205-S204),S211)</f>
        <v>6944.3734932700527</v>
      </c>
      <c r="W214" s="2"/>
      <c r="X214" s="2"/>
      <c r="Y214" s="2"/>
      <c r="Z214" s="16" t="s">
        <v>207</v>
      </c>
      <c r="AA214" s="141">
        <f ca="1">IFERROR(AA211+(AA203-AA204)*(AA212-AA211)/(AA205-AA204),AA211)</f>
        <v>6407.3549692506676</v>
      </c>
      <c r="AE214" s="2"/>
      <c r="AF214" s="2"/>
      <c r="AG214" s="2"/>
      <c r="AH214" s="16" t="s">
        <v>207</v>
      </c>
      <c r="AI214" s="141">
        <f ca="1">IFERROR(AI211+(AI203-AI204)*(AI212-AI211)/(AI205-AI204),AI211)</f>
        <v>5930.6355865572814</v>
      </c>
      <c r="AM214" s="2"/>
      <c r="AN214" s="2"/>
      <c r="AO214" s="2"/>
      <c r="AP214" s="16" t="s">
        <v>207</v>
      </c>
      <c r="AQ214" s="141">
        <f ca="1">IFERROR(AQ211+(AQ203-AQ204)*(AQ212-AQ211)/(AQ205-AQ204),AQ211)</f>
        <v>5829.8975085599614</v>
      </c>
      <c r="AU214" s="2"/>
      <c r="AV214" s="2"/>
      <c r="AW214" s="2"/>
      <c r="AX214" s="16" t="s">
        <v>207</v>
      </c>
      <c r="AY214" s="141" t="e">
        <f ca="1">IFERROR(AY211+(AY203-AY204)*(AY212-AY211)/(AY205-AY204),AY211)</f>
        <v>#N/A</v>
      </c>
    </row>
    <row r="215" spans="1:61" ht="15" customHeight="1" x14ac:dyDescent="0.3">
      <c r="B215" s="139" t="s">
        <v>208</v>
      </c>
      <c r="C215" s="140">
        <f ca="1">IFERROR(C213+(C206-C207)*(C214-C213)/(C208-C207),C213)</f>
        <v>7819.8269224744672</v>
      </c>
      <c r="G215" s="2"/>
      <c r="H215" s="2"/>
      <c r="I215" s="2"/>
      <c r="J215" s="139" t="s">
        <v>208</v>
      </c>
      <c r="K215" s="140">
        <f ca="1">IFERROR(K213+(K206-K207)*(K214-K213)/(K208-K207),K213)</f>
        <v>7268.8125357729386</v>
      </c>
      <c r="O215" s="12"/>
      <c r="P215" s="2"/>
      <c r="Q215" s="2"/>
      <c r="R215" s="139" t="s">
        <v>208</v>
      </c>
      <c r="S215" s="140">
        <f ca="1">IFERROR(S213+(S206-S207)*(S214-S213)/(S208-S207),S213)</f>
        <v>6895.4472913758127</v>
      </c>
      <c r="W215" s="2"/>
      <c r="X215" s="2"/>
      <c r="Y215" s="2"/>
      <c r="Z215" s="139" t="s">
        <v>208</v>
      </c>
      <c r="AA215" s="140">
        <f ca="1">IFERROR(AA213+(AA206-AA207)*(AA214-AA213)/(AA208-AA207),AA213)</f>
        <v>6366.4100873609041</v>
      </c>
      <c r="AE215" s="2"/>
      <c r="AF215" s="2"/>
      <c r="AG215" s="2"/>
      <c r="AH215" s="139" t="s">
        <v>208</v>
      </c>
      <c r="AI215" s="140">
        <f ca="1">IFERROR(AI213+(AI206-AI207)*(AI214-AI213)/(AI208-AI207),AI213)</f>
        <v>5889.6907046675178</v>
      </c>
      <c r="AM215" s="2"/>
      <c r="AN215" s="2"/>
      <c r="AO215" s="2"/>
      <c r="AP215" s="139" t="s">
        <v>208</v>
      </c>
      <c r="AQ215" s="140">
        <f ca="1">IFERROR(AQ213+(AQ206-AQ207)*(AQ214-AQ213)/(AQ208-AQ207),AQ213)</f>
        <v>5788.9526266701978</v>
      </c>
      <c r="AU215" s="2"/>
      <c r="AV215" s="2"/>
      <c r="AW215" s="2"/>
      <c r="AX215" s="139" t="s">
        <v>208</v>
      </c>
      <c r="AY215" s="140" t="e">
        <f ca="1">IFERROR(AY213+(AY206-AY207)*(AY214-AY213)/(AY208-AY207),AY213)</f>
        <v>#N/A</v>
      </c>
    </row>
    <row r="216" spans="1:61" ht="15.75" customHeight="1" x14ac:dyDescent="0.3"/>
    <row r="217" spans="1:61" ht="15" customHeight="1" x14ac:dyDescent="0.3">
      <c r="A217" s="415" t="s">
        <v>132</v>
      </c>
      <c r="B217" s="415"/>
      <c r="C217" s="415"/>
      <c r="D217" s="415"/>
      <c r="E217" s="415"/>
      <c r="F217" s="415"/>
      <c r="G217" s="2"/>
      <c r="H217" s="2"/>
      <c r="I217" s="2"/>
      <c r="J217" s="139"/>
      <c r="K217" s="140"/>
      <c r="O217" s="2"/>
      <c r="P217" s="2"/>
      <c r="Q217" s="2"/>
      <c r="R217" s="139"/>
      <c r="S217" s="140"/>
      <c r="V217" s="17"/>
      <c r="W217" s="2"/>
      <c r="X217" s="2"/>
      <c r="Y217" s="2"/>
      <c r="Z217" s="139"/>
      <c r="AA217" s="140"/>
      <c r="AE217" s="2"/>
      <c r="AF217" s="2"/>
      <c r="AG217" s="2"/>
      <c r="AH217" s="139"/>
      <c r="AI217" s="140"/>
      <c r="AM217" s="2"/>
      <c r="AN217" s="2"/>
      <c r="AO217" s="2"/>
      <c r="AP217" s="139"/>
      <c r="AQ217" s="140"/>
      <c r="AU217" s="2"/>
      <c r="AV217" s="2"/>
      <c r="AW217" s="2"/>
      <c r="AX217" s="139"/>
      <c r="AY217" s="140"/>
    </row>
    <row r="218" spans="1:61" ht="15" customHeight="1" x14ac:dyDescent="0.3">
      <c r="B218" s="139"/>
      <c r="C218" s="140"/>
      <c r="G218" s="2"/>
      <c r="H218" s="2"/>
      <c r="I218" s="2"/>
      <c r="J218" s="139"/>
      <c r="K218" s="140"/>
      <c r="O218" s="2"/>
      <c r="P218" s="2"/>
      <c r="Q218" s="2"/>
      <c r="R218" s="139"/>
      <c r="S218" s="140"/>
      <c r="V218" s="17"/>
      <c r="W218" s="2"/>
      <c r="X218" s="2"/>
      <c r="Y218" s="2"/>
      <c r="Z218" s="139"/>
      <c r="AA218" s="140"/>
      <c r="AE218" s="2"/>
      <c r="AF218" s="2"/>
      <c r="AG218" s="2"/>
      <c r="AH218" s="139"/>
      <c r="AI218" s="140"/>
      <c r="AM218" s="2"/>
      <c r="AN218" s="2"/>
      <c r="AO218" s="2"/>
      <c r="AP218" s="139"/>
      <c r="AQ218" s="140"/>
      <c r="AU218" s="2"/>
      <c r="AV218" s="2"/>
      <c r="AW218" s="2"/>
      <c r="AX218" s="139"/>
      <c r="AY218" s="140"/>
    </row>
    <row r="219" spans="1:61" ht="15" customHeight="1" x14ac:dyDescent="0.3">
      <c r="A219" t="s">
        <v>221</v>
      </c>
      <c r="B219" s="357" t="s">
        <v>222</v>
      </c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O219" s="2"/>
      <c r="P219" s="2"/>
      <c r="Q219" s="2"/>
      <c r="R219" s="139"/>
      <c r="S219" s="140"/>
      <c r="V219" s="17"/>
      <c r="W219" s="2"/>
      <c r="X219" s="2"/>
      <c r="Y219" s="2"/>
      <c r="Z219" s="139"/>
      <c r="AA219" s="140"/>
      <c r="AE219" s="2"/>
      <c r="AF219" s="2"/>
      <c r="AG219" s="2"/>
      <c r="AH219" s="139"/>
      <c r="AI219" s="140"/>
      <c r="AM219" s="2"/>
      <c r="AN219" s="2"/>
      <c r="AO219" s="2"/>
      <c r="AP219" s="139"/>
      <c r="AQ219" s="140"/>
      <c r="AU219" s="2"/>
      <c r="AV219" s="2"/>
      <c r="AW219" s="2"/>
      <c r="AX219" s="139"/>
      <c r="AY219" s="140"/>
    </row>
    <row r="220" spans="1:61" ht="15" customHeight="1" x14ac:dyDescent="0.3">
      <c r="A220" t="s">
        <v>35</v>
      </c>
      <c r="B220" s="229">
        <v>4000</v>
      </c>
      <c r="C220" s="230">
        <v>4500</v>
      </c>
      <c r="D220" s="55">
        <v>5000</v>
      </c>
      <c r="E220" s="55">
        <v>5500</v>
      </c>
      <c r="F220" s="55">
        <v>6000</v>
      </c>
      <c r="G220" s="55">
        <v>6500</v>
      </c>
      <c r="H220" s="259">
        <v>7000</v>
      </c>
      <c r="I220" s="259">
        <v>7500</v>
      </c>
      <c r="J220" s="259">
        <v>8000</v>
      </c>
      <c r="K220" s="259">
        <v>8500</v>
      </c>
      <c r="L220" s="231">
        <v>9000</v>
      </c>
      <c r="M220" s="259">
        <v>9500</v>
      </c>
      <c r="N220" s="259">
        <v>10000</v>
      </c>
      <c r="O220" s="259">
        <v>10500</v>
      </c>
      <c r="P220" s="231">
        <v>11000</v>
      </c>
      <c r="Q220" s="231">
        <v>11500</v>
      </c>
      <c r="R220" s="231">
        <v>12000</v>
      </c>
      <c r="S220" s="231">
        <v>12500</v>
      </c>
      <c r="T220" s="139"/>
      <c r="U220" s="140"/>
      <c r="V220" s="17"/>
      <c r="W220" s="139"/>
      <c r="X220" s="140"/>
      <c r="AB220" s="2"/>
      <c r="AC220" s="2"/>
      <c r="AD220" s="2"/>
      <c r="AG220" s="2"/>
      <c r="AH220" s="2"/>
      <c r="AI220" s="2"/>
      <c r="AJ220" s="139"/>
      <c r="AK220" s="140"/>
      <c r="AO220" s="2"/>
      <c r="AP220" s="2"/>
      <c r="AQ220" s="2"/>
      <c r="AR220" s="139"/>
      <c r="AS220" s="140"/>
      <c r="AW220" s="2"/>
      <c r="AX220" s="2"/>
      <c r="AY220" s="2"/>
      <c r="AZ220" s="139"/>
      <c r="BA220" s="140"/>
      <c r="BE220" s="2"/>
      <c r="BF220" s="2"/>
      <c r="BG220" s="2"/>
      <c r="BH220" s="139"/>
      <c r="BI220" s="140"/>
    </row>
    <row r="221" spans="1:61" ht="15" customHeight="1" x14ac:dyDescent="0.3">
      <c r="A221">
        <v>-3</v>
      </c>
      <c r="B221" s="229">
        <v>99999</v>
      </c>
      <c r="C221" s="229">
        <v>99999</v>
      </c>
      <c r="D221" s="229">
        <v>99999</v>
      </c>
      <c r="E221" s="229">
        <v>99999</v>
      </c>
      <c r="F221" s="229">
        <v>99999</v>
      </c>
      <c r="G221" s="229">
        <v>99999</v>
      </c>
      <c r="H221" s="229">
        <v>99999</v>
      </c>
      <c r="I221" s="229">
        <v>99999</v>
      </c>
      <c r="J221" s="229">
        <v>99999</v>
      </c>
      <c r="K221" s="229">
        <v>99999</v>
      </c>
      <c r="L221" s="229">
        <v>99999</v>
      </c>
      <c r="M221" s="229">
        <v>99999</v>
      </c>
      <c r="N221" s="229">
        <v>99999</v>
      </c>
      <c r="O221" s="229">
        <v>99999</v>
      </c>
      <c r="P221" s="229">
        <v>99999</v>
      </c>
      <c r="Q221" s="229">
        <v>99999</v>
      </c>
      <c r="R221" s="229">
        <v>99999</v>
      </c>
      <c r="S221" s="231">
        <v>99999</v>
      </c>
      <c r="T221" s="139"/>
      <c r="U221" s="140"/>
      <c r="V221" s="17"/>
      <c r="W221" s="139"/>
      <c r="X221" s="140"/>
      <c r="AB221" s="2"/>
      <c r="AC221" s="2"/>
      <c r="AD221" s="2"/>
      <c r="AG221" s="2"/>
      <c r="AH221" s="2"/>
      <c r="AI221" s="2"/>
      <c r="AJ221" s="139"/>
      <c r="AK221" s="140"/>
      <c r="AO221" s="2"/>
      <c r="AP221" s="2"/>
      <c r="AQ221" s="2"/>
      <c r="AR221" s="139"/>
      <c r="AS221" s="140"/>
      <c r="AW221" s="2"/>
      <c r="AX221" s="2"/>
      <c r="AY221" s="2"/>
      <c r="AZ221" s="139"/>
      <c r="BA221" s="140"/>
      <c r="BE221" s="2"/>
      <c r="BF221" s="2"/>
      <c r="BG221" s="2"/>
      <c r="BH221" s="139"/>
      <c r="BI221" s="140"/>
    </row>
    <row r="222" spans="1:61" ht="15" customHeight="1" x14ac:dyDescent="0.3">
      <c r="A222">
        <v>-2</v>
      </c>
      <c r="B222" s="229">
        <v>4600</v>
      </c>
      <c r="C222" s="230">
        <v>5100</v>
      </c>
      <c r="D222" s="55">
        <v>5600</v>
      </c>
      <c r="E222" s="55">
        <v>6150</v>
      </c>
      <c r="F222" s="55">
        <v>6700</v>
      </c>
      <c r="G222" s="55">
        <v>7250</v>
      </c>
      <c r="H222" s="55">
        <v>7750</v>
      </c>
      <c r="I222" s="55">
        <v>8300</v>
      </c>
      <c r="J222" s="55">
        <v>8800</v>
      </c>
      <c r="K222" s="55">
        <v>9300</v>
      </c>
      <c r="L222" s="55">
        <v>9800</v>
      </c>
      <c r="M222" s="55">
        <v>10300</v>
      </c>
      <c r="N222" s="259">
        <v>10800</v>
      </c>
      <c r="O222" s="259">
        <v>11300</v>
      </c>
      <c r="P222" s="259">
        <v>11800</v>
      </c>
      <c r="Q222" s="259">
        <v>99999</v>
      </c>
      <c r="R222" s="259">
        <v>99999</v>
      </c>
      <c r="S222" s="231">
        <v>99999</v>
      </c>
      <c r="T222" s="139"/>
      <c r="U222" s="140"/>
      <c r="V222" s="17"/>
      <c r="W222" s="139"/>
      <c r="X222" s="140"/>
      <c r="AB222" s="2"/>
      <c r="AC222" s="2"/>
      <c r="AD222" s="2"/>
      <c r="AG222" s="2"/>
      <c r="AH222" s="2"/>
      <c r="AI222" s="2"/>
      <c r="AJ222" s="139"/>
      <c r="AK222" s="140"/>
      <c r="AO222" s="2"/>
      <c r="AP222" s="2"/>
      <c r="AQ222" s="2"/>
      <c r="AR222" s="139"/>
      <c r="AS222" s="140"/>
      <c r="AW222" s="2"/>
      <c r="AX222" s="2"/>
      <c r="AY222" s="2"/>
      <c r="AZ222" s="139"/>
      <c r="BA222" s="140"/>
      <c r="BE222" s="2"/>
      <c r="BF222" s="2"/>
      <c r="BG222" s="2"/>
      <c r="BH222" s="139"/>
      <c r="BI222" s="140"/>
    </row>
    <row r="223" spans="1:61" ht="15" customHeight="1" x14ac:dyDescent="0.3">
      <c r="A223">
        <v>-1</v>
      </c>
      <c r="B223" s="233">
        <v>4350</v>
      </c>
      <c r="C223" s="203">
        <v>4800</v>
      </c>
      <c r="D223">
        <v>5250</v>
      </c>
      <c r="E223">
        <v>5700</v>
      </c>
      <c r="F223">
        <v>6200</v>
      </c>
      <c r="G223">
        <v>6700</v>
      </c>
      <c r="H223">
        <v>7200</v>
      </c>
      <c r="I223">
        <v>7750</v>
      </c>
      <c r="J223">
        <v>8300</v>
      </c>
      <c r="K223">
        <v>8800</v>
      </c>
      <c r="L223">
        <v>9350</v>
      </c>
      <c r="M223">
        <v>9900</v>
      </c>
      <c r="N223" s="12">
        <v>10450</v>
      </c>
      <c r="O223" s="12">
        <v>10950</v>
      </c>
      <c r="P223" s="12">
        <v>11400</v>
      </c>
      <c r="Q223" s="12">
        <v>11850</v>
      </c>
      <c r="R223" s="259">
        <v>99999</v>
      </c>
      <c r="S223" s="22">
        <v>99999</v>
      </c>
      <c r="T223" s="139"/>
      <c r="U223" s="140"/>
      <c r="V223" s="17"/>
      <c r="W223" s="139"/>
      <c r="X223" s="140"/>
      <c r="AB223" s="2"/>
      <c r="AC223" s="2"/>
      <c r="AD223" s="2"/>
      <c r="AG223" s="2"/>
      <c r="AH223" s="2"/>
      <c r="AI223" s="2"/>
      <c r="AJ223" s="139"/>
      <c r="AK223" s="140"/>
      <c r="AO223" s="2"/>
      <c r="AP223" s="2"/>
      <c r="AQ223" s="2"/>
      <c r="AR223" s="139"/>
      <c r="AS223" s="140"/>
      <c r="AW223" s="2"/>
      <c r="AX223" s="2"/>
      <c r="AY223" s="2"/>
      <c r="AZ223" s="139"/>
      <c r="BA223" s="140"/>
      <c r="BE223" s="2"/>
      <c r="BF223" s="2"/>
      <c r="BG223" s="2"/>
      <c r="BH223" s="139"/>
      <c r="BI223" s="140"/>
    </row>
    <row r="224" spans="1:61" ht="15" customHeight="1" x14ac:dyDescent="0.3">
      <c r="A224">
        <v>0</v>
      </c>
      <c r="B224" s="233">
        <v>4000</v>
      </c>
      <c r="C224" s="203">
        <v>4500</v>
      </c>
      <c r="D224">
        <v>5000</v>
      </c>
      <c r="E224">
        <v>5500</v>
      </c>
      <c r="F224">
        <v>6000</v>
      </c>
      <c r="G224">
        <v>6500</v>
      </c>
      <c r="H224">
        <v>7000</v>
      </c>
      <c r="I224">
        <v>7500</v>
      </c>
      <c r="J224">
        <v>8000</v>
      </c>
      <c r="K224">
        <v>8500</v>
      </c>
      <c r="L224">
        <v>9000</v>
      </c>
      <c r="M224">
        <v>9500</v>
      </c>
      <c r="N224" s="12">
        <v>10000</v>
      </c>
      <c r="O224" s="12">
        <v>10500</v>
      </c>
      <c r="P224" s="12">
        <v>11000</v>
      </c>
      <c r="Q224" s="12">
        <v>11500</v>
      </c>
      <c r="R224" s="22">
        <v>12000</v>
      </c>
      <c r="S224" s="22">
        <v>99999</v>
      </c>
      <c r="T224" s="139"/>
      <c r="U224" s="140"/>
      <c r="V224" s="17"/>
      <c r="W224" s="139"/>
      <c r="X224" s="140"/>
      <c r="AB224" s="2"/>
      <c r="AC224" s="2"/>
      <c r="AD224" s="2"/>
      <c r="AG224" s="2"/>
      <c r="AH224" s="2"/>
      <c r="AI224" s="2"/>
      <c r="AJ224" s="139"/>
      <c r="AK224" s="140"/>
      <c r="AO224" s="2"/>
      <c r="AP224" s="2"/>
      <c r="AQ224" s="2"/>
      <c r="AR224" s="139"/>
      <c r="AS224" s="140"/>
      <c r="AW224" s="2"/>
      <c r="AX224" s="2"/>
      <c r="AY224" s="2"/>
      <c r="AZ224" s="139"/>
      <c r="BA224" s="140"/>
      <c r="BE224" s="2"/>
      <c r="BF224" s="2"/>
      <c r="BG224" s="2"/>
      <c r="BH224" s="139"/>
      <c r="BI224" s="140"/>
    </row>
    <row r="225" spans="1:61" ht="15" customHeight="1" x14ac:dyDescent="0.3">
      <c r="A225">
        <v>1</v>
      </c>
      <c r="B225" s="233">
        <v>3800</v>
      </c>
      <c r="C225" s="203">
        <v>4300</v>
      </c>
      <c r="D225">
        <v>4800</v>
      </c>
      <c r="E225">
        <v>5350</v>
      </c>
      <c r="F225">
        <v>5900</v>
      </c>
      <c r="G225">
        <v>6400</v>
      </c>
      <c r="H225">
        <v>6880</v>
      </c>
      <c r="I225">
        <v>7400</v>
      </c>
      <c r="J225">
        <v>7900</v>
      </c>
      <c r="K225">
        <v>8370</v>
      </c>
      <c r="L225">
        <v>8850</v>
      </c>
      <c r="M225">
        <v>9350</v>
      </c>
      <c r="N225">
        <v>9850</v>
      </c>
      <c r="O225">
        <v>10300</v>
      </c>
      <c r="P225">
        <v>10750</v>
      </c>
      <c r="Q225">
        <v>11250</v>
      </c>
      <c r="R225" s="18">
        <v>11700</v>
      </c>
      <c r="S225" s="22">
        <v>99999</v>
      </c>
      <c r="T225" s="139"/>
      <c r="U225" s="140"/>
      <c r="V225" s="17"/>
      <c r="W225" s="139"/>
      <c r="X225" s="140"/>
      <c r="AG225" s="2"/>
      <c r="AH225" s="2"/>
      <c r="AI225" s="2"/>
      <c r="AJ225" s="139"/>
      <c r="AK225" s="140"/>
      <c r="AO225" s="2"/>
      <c r="AP225" s="2"/>
      <c r="AQ225" s="2"/>
      <c r="AR225" s="139"/>
      <c r="AS225" s="140"/>
      <c r="AW225" s="2"/>
      <c r="AX225" s="2"/>
      <c r="AY225" s="2"/>
      <c r="AZ225" s="139"/>
      <c r="BA225" s="140"/>
      <c r="BE225" s="2"/>
      <c r="BF225" s="2"/>
      <c r="BG225" s="2"/>
      <c r="BH225" s="139"/>
      <c r="BI225" s="140"/>
    </row>
    <row r="226" spans="1:61" ht="15" customHeight="1" x14ac:dyDescent="0.3">
      <c r="A226">
        <v>2</v>
      </c>
      <c r="B226" s="234">
        <v>3600</v>
      </c>
      <c r="C226" s="235">
        <v>4100</v>
      </c>
      <c r="D226" s="68">
        <v>4650</v>
      </c>
      <c r="E226" s="68">
        <v>5150</v>
      </c>
      <c r="F226" s="68">
        <v>5650</v>
      </c>
      <c r="G226" s="68">
        <v>6150</v>
      </c>
      <c r="H226" s="68">
        <v>6650</v>
      </c>
      <c r="I226" s="68">
        <v>7150</v>
      </c>
      <c r="J226" s="68">
        <v>8650</v>
      </c>
      <c r="K226" s="68">
        <v>8150</v>
      </c>
      <c r="L226" s="68">
        <v>8630</v>
      </c>
      <c r="M226" s="68">
        <v>9100</v>
      </c>
      <c r="N226" s="260">
        <v>9550</v>
      </c>
      <c r="O226" s="260">
        <v>10000</v>
      </c>
      <c r="P226" s="260">
        <v>10450</v>
      </c>
      <c r="Q226" s="260">
        <v>10850</v>
      </c>
      <c r="R226" s="261">
        <v>11250</v>
      </c>
      <c r="S226" s="22">
        <v>99999</v>
      </c>
      <c r="T226" s="139"/>
      <c r="U226" s="140"/>
      <c r="V226" s="17"/>
      <c r="W226" s="139"/>
      <c r="X226" s="140"/>
      <c r="AG226" s="2"/>
      <c r="AH226" s="2"/>
      <c r="AI226" s="2"/>
      <c r="AJ226" s="139"/>
      <c r="AK226" s="140"/>
      <c r="AO226" s="2"/>
      <c r="AP226" s="2"/>
      <c r="AQ226" s="2"/>
      <c r="AR226" s="139"/>
      <c r="AS226" s="140"/>
      <c r="AW226" s="2"/>
      <c r="AX226" s="2"/>
      <c r="AY226" s="2"/>
      <c r="AZ226" s="139"/>
      <c r="BA226" s="140"/>
      <c r="BE226" s="2"/>
      <c r="BF226" s="2"/>
      <c r="BG226" s="2"/>
      <c r="BH226" s="139"/>
      <c r="BI226" s="140"/>
    </row>
    <row r="227" spans="1:61" ht="15" customHeight="1" x14ac:dyDescent="0.3">
      <c r="A227">
        <v>3</v>
      </c>
      <c r="B227" s="234">
        <v>99999</v>
      </c>
      <c r="C227" s="235">
        <v>99999</v>
      </c>
      <c r="D227" s="235">
        <v>99999</v>
      </c>
      <c r="E227" s="235">
        <v>99999</v>
      </c>
      <c r="F227" s="235">
        <v>99999</v>
      </c>
      <c r="G227" s="235">
        <v>99999</v>
      </c>
      <c r="H227" s="235">
        <v>99999</v>
      </c>
      <c r="I227" s="235">
        <v>99999</v>
      </c>
      <c r="J227" s="235">
        <v>99999</v>
      </c>
      <c r="K227" s="235">
        <v>99999</v>
      </c>
      <c r="L227" s="235">
        <v>99999</v>
      </c>
      <c r="M227" s="235">
        <v>99999</v>
      </c>
      <c r="N227" s="235">
        <v>99999</v>
      </c>
      <c r="O227" s="235">
        <v>99999</v>
      </c>
      <c r="P227" s="235">
        <v>99999</v>
      </c>
      <c r="Q227" s="235">
        <v>99999</v>
      </c>
      <c r="R227" s="235">
        <v>99999</v>
      </c>
      <c r="S227" s="235">
        <v>99999</v>
      </c>
      <c r="V227" s="53"/>
      <c r="W227" s="2"/>
      <c r="X227" s="2"/>
      <c r="AA227" s="2"/>
      <c r="AB227" s="2"/>
      <c r="AC227" s="2"/>
      <c r="AD227" s="139"/>
      <c r="AE227" s="140"/>
      <c r="AI227" s="2"/>
      <c r="AJ227" s="2"/>
      <c r="AK227" s="2"/>
      <c r="AL227" s="139"/>
      <c r="AM227" s="140"/>
      <c r="AQ227" s="2"/>
      <c r="AR227" s="2"/>
      <c r="AS227" s="2"/>
      <c r="AT227" s="139"/>
      <c r="AU227" s="140"/>
      <c r="AY227" s="2"/>
      <c r="AZ227" s="2"/>
      <c r="BA227" s="2"/>
      <c r="BB227" s="139"/>
      <c r="BC227" s="140"/>
    </row>
    <row r="228" spans="1:61" ht="15" customHeight="1" x14ac:dyDescent="0.3">
      <c r="B228" s="139"/>
      <c r="C228" s="140"/>
      <c r="G228" s="2"/>
      <c r="H228" s="2"/>
      <c r="I228" s="2"/>
      <c r="J228" s="139"/>
      <c r="K228" s="140"/>
      <c r="O228" s="2"/>
      <c r="P228" s="2"/>
      <c r="Q228" s="2"/>
      <c r="R228" s="139"/>
      <c r="S228" s="140"/>
      <c r="V228" s="17"/>
      <c r="W228" s="2"/>
      <c r="X228" s="2"/>
      <c r="Y228" s="2"/>
      <c r="Z228" s="139"/>
      <c r="AA228" s="140"/>
      <c r="AE228" s="2"/>
      <c r="AF228" s="2"/>
      <c r="AG228" s="2"/>
      <c r="AH228" s="139"/>
      <c r="AI228" s="140"/>
      <c r="AM228" s="2"/>
      <c r="AN228" s="2"/>
      <c r="AO228" s="2"/>
      <c r="AP228" s="139"/>
      <c r="AQ228" s="140"/>
      <c r="AU228" s="2"/>
      <c r="AV228" s="2"/>
      <c r="AW228" s="2"/>
      <c r="AX228" s="139"/>
      <c r="AY228" s="140"/>
    </row>
    <row r="229" spans="1:61" ht="15" customHeight="1" x14ac:dyDescent="0.3">
      <c r="B229" s="139" t="s">
        <v>146</v>
      </c>
      <c r="C229" s="140">
        <f ca="1">C38</f>
        <v>7558.95</v>
      </c>
      <c r="D229" s="355" t="s">
        <v>201</v>
      </c>
      <c r="E229" s="355"/>
      <c r="G229" s="2"/>
      <c r="H229" s="2"/>
      <c r="I229" s="2"/>
      <c r="J229" s="139" t="s">
        <v>146</v>
      </c>
      <c r="K229" s="140">
        <f ca="1">K38</f>
        <v>7187.32</v>
      </c>
      <c r="L229" s="355" t="s">
        <v>201</v>
      </c>
      <c r="M229" s="355"/>
      <c r="O229" s="2"/>
      <c r="P229" s="2"/>
      <c r="Q229" s="2"/>
      <c r="R229" s="139" t="s">
        <v>146</v>
      </c>
      <c r="S229" s="140">
        <f ca="1">S38</f>
        <v>6592.45</v>
      </c>
      <c r="T229" s="355" t="s">
        <v>201</v>
      </c>
      <c r="U229" s="355"/>
      <c r="W229" s="2"/>
      <c r="X229" s="2"/>
      <c r="Y229" s="2"/>
      <c r="Z229" s="139" t="s">
        <v>146</v>
      </c>
      <c r="AA229" s="140">
        <f ca="1">AA38</f>
        <v>6059.58</v>
      </c>
      <c r="AB229" s="355" t="s">
        <v>201</v>
      </c>
      <c r="AC229" s="355"/>
      <c r="AE229" s="2"/>
      <c r="AF229" s="2"/>
      <c r="AG229" s="2"/>
      <c r="AH229" s="139" t="s">
        <v>146</v>
      </c>
      <c r="AI229" s="140">
        <f ca="1">AI38</f>
        <v>5573.33</v>
      </c>
      <c r="AJ229" s="355" t="s">
        <v>201</v>
      </c>
      <c r="AK229" s="355"/>
      <c r="AM229" s="2"/>
      <c r="AN229" s="2"/>
      <c r="AO229" s="2"/>
      <c r="AP229" s="139" t="s">
        <v>146</v>
      </c>
      <c r="AQ229" s="140">
        <f ca="1">AQ38</f>
        <v>5470.46</v>
      </c>
      <c r="AR229" s="355" t="s">
        <v>201</v>
      </c>
      <c r="AS229" s="355"/>
      <c r="AU229" s="2"/>
      <c r="AV229" s="2"/>
      <c r="AW229" s="2"/>
      <c r="AX229" s="139" t="s">
        <v>146</v>
      </c>
      <c r="AY229" s="140">
        <f ca="1">AY38</f>
        <v>0</v>
      </c>
      <c r="AZ229" s="355" t="s">
        <v>201</v>
      </c>
      <c r="BA229" s="355"/>
    </row>
    <row r="230" spans="1:61" ht="15" customHeight="1" x14ac:dyDescent="0.3">
      <c r="B230" s="16" t="s">
        <v>202</v>
      </c>
      <c r="C230" s="141">
        <f t="array" aca="1" ref="C230" ca="1">INDEX($B220:$S220,MATCH(C229,$B220:$S220,1))</f>
        <v>7500</v>
      </c>
      <c r="D230" s="16" t="s">
        <v>144</v>
      </c>
      <c r="E230" s="17">
        <f>MATCH(MAX($A221:$A227),$A221:$A227,1)</f>
        <v>7</v>
      </c>
      <c r="G230" s="2"/>
      <c r="H230" s="2"/>
      <c r="I230" s="2"/>
      <c r="J230" s="16" t="s">
        <v>202</v>
      </c>
      <c r="K230" s="141">
        <f t="array" aca="1" ref="K230" ca="1">INDEX($B220:$S220,MATCH(K229,$B220:$S220,1))</f>
        <v>7000</v>
      </c>
      <c r="L230" s="16" t="s">
        <v>144</v>
      </c>
      <c r="M230" s="17">
        <f>MATCH(MAX($A221:$A227),$A221:$A227,1)</f>
        <v>7</v>
      </c>
      <c r="O230" s="2"/>
      <c r="P230" s="2"/>
      <c r="Q230" s="2"/>
      <c r="R230" s="16" t="s">
        <v>202</v>
      </c>
      <c r="S230" s="141">
        <f t="array" aca="1" ref="S230" ca="1">INDEX($B220:$S220,MATCH(S229,$B220:$S220,1))</f>
        <v>6500</v>
      </c>
      <c r="T230" s="16" t="s">
        <v>144</v>
      </c>
      <c r="U230" s="17">
        <f>MATCH(MAX($A221:$A227),$A221:$A227,1)</f>
        <v>7</v>
      </c>
      <c r="W230" s="2"/>
      <c r="X230" s="2"/>
      <c r="Y230" s="2"/>
      <c r="Z230" s="16" t="s">
        <v>202</v>
      </c>
      <c r="AA230" s="141">
        <f t="array" aca="1" ref="AA230" ca="1">INDEX($B220:$S220,MATCH(AA229,$B220:$S220,1))</f>
        <v>6000</v>
      </c>
      <c r="AB230" s="16" t="s">
        <v>144</v>
      </c>
      <c r="AC230" s="17">
        <f>MATCH(MAX($A221:$A227),$A221:$A227,1)</f>
        <v>7</v>
      </c>
      <c r="AE230" s="2"/>
      <c r="AF230" s="2"/>
      <c r="AG230" s="2"/>
      <c r="AH230" s="16" t="s">
        <v>202</v>
      </c>
      <c r="AI230" s="141">
        <f t="array" aca="1" ref="AI230" ca="1">INDEX($B220:$S220,MATCH(AI229,$B220:$S220,1))</f>
        <v>5500</v>
      </c>
      <c r="AJ230" s="16" t="s">
        <v>144</v>
      </c>
      <c r="AK230" s="17">
        <f>MATCH(MAX($A221:$A227),$A221:$A227,1)</f>
        <v>7</v>
      </c>
      <c r="AM230" s="2"/>
      <c r="AN230" s="2"/>
      <c r="AO230" s="2"/>
      <c r="AP230" s="16" t="s">
        <v>202</v>
      </c>
      <c r="AQ230" s="141">
        <f t="array" aca="1" ref="AQ230" ca="1">INDEX($B220:$S220,MATCH(AQ229,$B220:$S220,1))</f>
        <v>5000</v>
      </c>
      <c r="AR230" s="16" t="s">
        <v>144</v>
      </c>
      <c r="AS230" s="17">
        <f>MATCH(MAX($A221:$A227),$A221:$A227,1)</f>
        <v>7</v>
      </c>
      <c r="AU230" s="2"/>
      <c r="AV230" s="2"/>
      <c r="AW230" s="2"/>
      <c r="AX230" s="16" t="s">
        <v>202</v>
      </c>
      <c r="AY230" s="141" t="e">
        <f t="array" aca="1" ref="AY230" ca="1">INDEX($B220:$S220,MATCH(AY229,$B220:$S220,1))</f>
        <v>#N/A</v>
      </c>
      <c r="AZ230" s="16" t="s">
        <v>144</v>
      </c>
      <c r="BA230" s="17">
        <f>MATCH(MAX($A221:$A227),$A221:$A227,1)</f>
        <v>7</v>
      </c>
    </row>
    <row r="231" spans="1:61" ht="15" customHeight="1" x14ac:dyDescent="0.3">
      <c r="B231" s="16" t="s">
        <v>203</v>
      </c>
      <c r="C231" s="141">
        <f t="array" aca="1" ref="C231" ca="1">INDEX($B220:$S220,IF(MATCH(C229,$B220:$S220,1)&lt;E231,MATCH(C229,$B220:$S220,1)+1,MATCH(C229,$B220:$S220,1)))</f>
        <v>8000</v>
      </c>
      <c r="D231" s="16" t="s">
        <v>145</v>
      </c>
      <c r="E231" s="17">
        <f>MATCH(MAX($B220:$S220),$B220:$S220,0)</f>
        <v>18</v>
      </c>
      <c r="G231" s="2"/>
      <c r="H231" s="2"/>
      <c r="I231" s="2"/>
      <c r="J231" s="16" t="s">
        <v>203</v>
      </c>
      <c r="K231" s="141">
        <f t="array" aca="1" ref="K231" ca="1">INDEX($B220:$S220,IF(MATCH(K229,$B220:$S220,1)&lt;M231,MATCH(K229,$B220:$S220,1)+1,MATCH(K229,$B220:$S220,1)))</f>
        <v>7500</v>
      </c>
      <c r="L231" s="16" t="s">
        <v>145</v>
      </c>
      <c r="M231" s="17">
        <f>MATCH(MAX($B220:$S220),$B220:$S220,0)</f>
        <v>18</v>
      </c>
      <c r="O231" s="2"/>
      <c r="P231" s="2"/>
      <c r="Q231" s="2"/>
      <c r="R231" s="16" t="s">
        <v>203</v>
      </c>
      <c r="S231" s="141">
        <f t="array" aca="1" ref="S231" ca="1">INDEX($B220:$S220,IF(MATCH(S229,$B220:$S220,1)&lt;U231,MATCH(S229,$B220:$S220,1)+1,MATCH(S229,$B220:$S220,1)))</f>
        <v>7000</v>
      </c>
      <c r="T231" s="16" t="s">
        <v>145</v>
      </c>
      <c r="U231" s="17">
        <f>MATCH(MAX($B220:$S220),$B220:$S220,0)</f>
        <v>18</v>
      </c>
      <c r="W231" s="2"/>
      <c r="X231" s="2"/>
      <c r="Y231" s="2"/>
      <c r="Z231" s="16" t="s">
        <v>203</v>
      </c>
      <c r="AA231" s="141">
        <f t="array" aca="1" ref="AA231" ca="1">INDEX($B220:$S220,IF(MATCH(AA229,$B220:$S220,1)&lt;AC231,MATCH(AA229,$B220:$S220,1)+1,MATCH(AA229,$B220:$S220,1)))</f>
        <v>6500</v>
      </c>
      <c r="AB231" s="16" t="s">
        <v>145</v>
      </c>
      <c r="AC231" s="17">
        <f>MATCH(MAX($B220:$S220),$B220:$S220,0)</f>
        <v>18</v>
      </c>
      <c r="AE231" s="2"/>
      <c r="AF231" s="2"/>
      <c r="AG231" s="2"/>
      <c r="AH231" s="16" t="s">
        <v>203</v>
      </c>
      <c r="AI231" s="141">
        <f t="array" aca="1" ref="AI231" ca="1">INDEX($B220:$S220,IF(MATCH(AI229,$B220:$S220,1)&lt;AK231,MATCH(AI229,$B220:$S220,1)+1,MATCH(AI229,$B220:$S220,1)))</f>
        <v>6000</v>
      </c>
      <c r="AJ231" s="16" t="s">
        <v>145</v>
      </c>
      <c r="AK231" s="17">
        <f>MATCH(MAX($B220:$S220),$B220:$S220,0)</f>
        <v>18</v>
      </c>
      <c r="AM231" s="2"/>
      <c r="AN231" s="2"/>
      <c r="AO231" s="2"/>
      <c r="AP231" s="16" t="s">
        <v>203</v>
      </c>
      <c r="AQ231" s="141">
        <f t="array" aca="1" ref="AQ231" ca="1">INDEX($B220:$S220,IF(MATCH(AQ229,$B220:$S220,1)&lt;AS231,MATCH(AQ229,$B220:$S220,1)+1,MATCH(AQ229,$B220:$S220,1)))</f>
        <v>5500</v>
      </c>
      <c r="AR231" s="16" t="s">
        <v>145</v>
      </c>
      <c r="AS231" s="17">
        <f>MATCH(MAX($B220:$S220),$B220:$S220,0)</f>
        <v>18</v>
      </c>
      <c r="AU231" s="2"/>
      <c r="AV231" s="2"/>
      <c r="AW231" s="2"/>
      <c r="AX231" s="16" t="s">
        <v>203</v>
      </c>
      <c r="AY231" s="141" t="e">
        <f t="array" aca="1" ref="AY231" ca="1">INDEX($B220:$S220,IF(MATCH(AY229,$B220:$S220,1)&lt;BA231,MATCH(AY229,$B220:$S220,1)+1,MATCH(AY229,$B220:$S220,1)))</f>
        <v>#N/A</v>
      </c>
      <c r="AZ231" s="16" t="s">
        <v>145</v>
      </c>
      <c r="BA231" s="17">
        <f>MATCH(MAX($B220:$S220),$B220:$S220,0)</f>
        <v>18</v>
      </c>
    </row>
    <row r="232" spans="1:61" ht="15" customHeight="1" x14ac:dyDescent="0.3">
      <c r="B232" s="139" t="s">
        <v>147</v>
      </c>
      <c r="C232" s="186">
        <f>'Take-off'!$C$17</f>
        <v>0</v>
      </c>
      <c r="D232" s="2"/>
      <c r="E232" s="2"/>
      <c r="G232" s="2"/>
      <c r="H232" s="2"/>
      <c r="I232" s="2"/>
      <c r="J232" s="139" t="s">
        <v>147</v>
      </c>
      <c r="K232" s="186">
        <f>'Take-off'!$C$17</f>
        <v>0</v>
      </c>
      <c r="L232" s="2"/>
      <c r="M232" s="2"/>
      <c r="O232" s="2"/>
      <c r="P232" s="2"/>
      <c r="Q232" s="2"/>
      <c r="R232" s="139" t="s">
        <v>147</v>
      </c>
      <c r="S232" s="186">
        <f>'Take-off'!$C$17</f>
        <v>0</v>
      </c>
      <c r="T232" s="2"/>
      <c r="U232" s="2"/>
      <c r="W232" s="2"/>
      <c r="X232" s="2"/>
      <c r="Y232" s="2"/>
      <c r="Z232" s="139" t="s">
        <v>147</v>
      </c>
      <c r="AA232" s="186">
        <f>'Take-off'!$C$17</f>
        <v>0</v>
      </c>
      <c r="AB232" s="2"/>
      <c r="AC232" s="2"/>
      <c r="AE232" s="2"/>
      <c r="AF232" s="2"/>
      <c r="AG232" s="2"/>
      <c r="AH232" s="139" t="s">
        <v>147</v>
      </c>
      <c r="AI232" s="186">
        <f>'Take-off'!$C$17</f>
        <v>0</v>
      </c>
      <c r="AJ232" s="2"/>
      <c r="AK232" s="2"/>
      <c r="AM232" s="2"/>
      <c r="AN232" s="2"/>
      <c r="AO232" s="2"/>
      <c r="AP232" s="139" t="s">
        <v>147</v>
      </c>
      <c r="AQ232" s="186">
        <f>'Take-off'!$C$17</f>
        <v>0</v>
      </c>
      <c r="AR232" s="2"/>
      <c r="AS232" s="2"/>
      <c r="AU232" s="2"/>
      <c r="AV232" s="2"/>
      <c r="AW232" s="2"/>
      <c r="AX232" s="139" t="s">
        <v>147</v>
      </c>
      <c r="AY232" s="186">
        <f>'Take-off'!$C$17</f>
        <v>0</v>
      </c>
      <c r="AZ232" s="2"/>
      <c r="BA232" s="2"/>
    </row>
    <row r="233" spans="1:61" ht="15" customHeight="1" x14ac:dyDescent="0.3">
      <c r="B233" s="16" t="s">
        <v>148</v>
      </c>
      <c r="C233" s="141">
        <f t="array" ref="C233">INDEX($A221:$A227,MATCH(C232,$A221:$A227,1))</f>
        <v>0</v>
      </c>
      <c r="D233" s="2"/>
      <c r="E233" s="42"/>
      <c r="G233" s="2"/>
      <c r="H233" s="2"/>
      <c r="I233" s="2"/>
      <c r="J233" s="16" t="s">
        <v>148</v>
      </c>
      <c r="K233" s="141">
        <f t="array" ref="K233">INDEX($A221:$A227,MATCH(K232,$A221:$A227,1))</f>
        <v>0</v>
      </c>
      <c r="L233" s="2"/>
      <c r="M233" s="42"/>
      <c r="O233" s="2"/>
      <c r="P233" s="2"/>
      <c r="Q233" s="2"/>
      <c r="R233" s="16" t="s">
        <v>148</v>
      </c>
      <c r="S233" s="141">
        <f t="array" ref="S233">INDEX($A221:$A227,MATCH(S232,$A221:$A227,1))</f>
        <v>0</v>
      </c>
      <c r="T233" s="2"/>
      <c r="U233" s="42"/>
      <c r="W233" s="2"/>
      <c r="X233" s="2"/>
      <c r="Y233" s="2"/>
      <c r="Z233" s="16" t="s">
        <v>148</v>
      </c>
      <c r="AA233" s="141">
        <f t="array" ref="AA233">INDEX($A221:$A227,MATCH(AA232,$A221:$A227,1))</f>
        <v>0</v>
      </c>
      <c r="AB233" s="2"/>
      <c r="AC233" s="42"/>
      <c r="AE233" s="2"/>
      <c r="AF233" s="2"/>
      <c r="AG233" s="2"/>
      <c r="AH233" s="16" t="s">
        <v>148</v>
      </c>
      <c r="AI233" s="141">
        <f t="array" ref="AI233">INDEX($A221:$A227,MATCH(AI232,$A221:$A227,1))</f>
        <v>0</v>
      </c>
      <c r="AJ233" s="2"/>
      <c r="AK233" s="42"/>
      <c r="AM233" s="2"/>
      <c r="AN233" s="2"/>
      <c r="AO233" s="2"/>
      <c r="AP233" s="16" t="s">
        <v>148</v>
      </c>
      <c r="AQ233" s="141">
        <f t="array" ref="AQ233">INDEX($A221:$A227,MATCH(AQ232,$A221:$A227,1))</f>
        <v>0</v>
      </c>
      <c r="AR233" s="2"/>
      <c r="AS233" s="42"/>
      <c r="AU233" s="2"/>
      <c r="AV233" s="2"/>
      <c r="AW233" s="2"/>
      <c r="AX233" s="16" t="s">
        <v>148</v>
      </c>
      <c r="AY233" s="141">
        <f t="array" ref="AY233">INDEX($A221:$A227,MATCH(AY232,$A221:$A227,1))</f>
        <v>0</v>
      </c>
      <c r="AZ233" s="2"/>
      <c r="BA233" s="42"/>
    </row>
    <row r="234" spans="1:61" ht="15" customHeight="1" x14ac:dyDescent="0.3">
      <c r="B234" s="16" t="s">
        <v>149</v>
      </c>
      <c r="C234" s="141">
        <f t="array" ref="C234">INDEX($A221:$A227,IF(MATCH(C232,$A221:$A227,1)&lt;E230,MATCH(C232,$A221:$A227,1)+1,MATCH(C232,$A221:$A227,1)))</f>
        <v>1</v>
      </c>
      <c r="D234" s="2"/>
      <c r="E234" s="42"/>
      <c r="G234" s="2"/>
      <c r="H234" s="2"/>
      <c r="I234" s="2"/>
      <c r="J234" s="16" t="s">
        <v>149</v>
      </c>
      <c r="K234" s="141">
        <f t="array" ref="K234">INDEX($A221:$A227,IF(MATCH(K232,$A221:$A227,1)&lt;M230,MATCH(K232,$A221:$A227,1)+1,MATCH(K232,$A221:$A227,1)))</f>
        <v>1</v>
      </c>
      <c r="L234" s="2"/>
      <c r="M234" s="42"/>
      <c r="O234" s="2"/>
      <c r="P234" s="2"/>
      <c r="Q234" s="2"/>
      <c r="R234" s="16" t="s">
        <v>149</v>
      </c>
      <c r="S234" s="141">
        <f t="array" ref="S234">INDEX($A221:$A227,IF(MATCH(S232,$A221:$A227,1)&lt;U230,MATCH(S232,$A221:$A227,1)+1,MATCH(S232,$A221:$A227,1)))</f>
        <v>1</v>
      </c>
      <c r="T234" s="2"/>
      <c r="U234" s="42"/>
      <c r="W234" s="2"/>
      <c r="X234" s="2"/>
      <c r="Y234" s="2"/>
      <c r="Z234" s="16" t="s">
        <v>149</v>
      </c>
      <c r="AA234" s="141">
        <f t="array" ref="AA234">INDEX($A221:$A227,IF(MATCH(AA232,$A221:$A227,1)&lt;AC230,MATCH(AA232,$A221:$A227,1)+1,MATCH(AA232,$A221:$A227,1)))</f>
        <v>1</v>
      </c>
      <c r="AB234" s="2"/>
      <c r="AC234" s="42"/>
      <c r="AE234" s="2"/>
      <c r="AF234" s="2"/>
      <c r="AG234" s="2"/>
      <c r="AH234" s="16" t="s">
        <v>149</v>
      </c>
      <c r="AI234" s="141">
        <f t="array" ref="AI234">INDEX($A221:$A227,IF(MATCH(AI232,$A221:$A227,1)&lt;AK230,MATCH(AI232,$A221:$A227,1)+1,MATCH(AI232,$A221:$A227,1)))</f>
        <v>1</v>
      </c>
      <c r="AJ234" s="2"/>
      <c r="AK234" s="42"/>
      <c r="AM234" s="2"/>
      <c r="AN234" s="2"/>
      <c r="AO234" s="2"/>
      <c r="AP234" s="16" t="s">
        <v>149</v>
      </c>
      <c r="AQ234" s="141">
        <f t="array" ref="AQ234">INDEX($A221:$A227,IF(MATCH(AQ232,$A221:$A227,1)&lt;AS230,MATCH(AQ232,$A221:$A227,1)+1,MATCH(AQ232,$A221:$A227,1)))</f>
        <v>1</v>
      </c>
      <c r="AR234" s="2"/>
      <c r="AS234" s="42"/>
      <c r="AU234" s="2"/>
      <c r="AV234" s="2"/>
      <c r="AW234" s="2"/>
      <c r="AX234" s="16" t="s">
        <v>149</v>
      </c>
      <c r="AY234" s="141">
        <f t="array" ref="AY234">INDEX($A221:$A227,IF(MATCH(AY232,$A221:$A227,1)&lt;BA230,MATCH(AY232,$A221:$A227,1)+1,MATCH(AY232,$A221:$A227,1)))</f>
        <v>1</v>
      </c>
      <c r="AZ234" s="2"/>
      <c r="BA234" s="42"/>
    </row>
    <row r="235" spans="1:61" ht="15" customHeight="1" x14ac:dyDescent="0.3">
      <c r="B235" s="139" t="s">
        <v>150</v>
      </c>
      <c r="C235" s="140">
        <f t="array" aca="1" ref="C235" ca="1">INDEX($B221:$S227,MATCH(C232,$A221:$A227,1),MATCH(C229,$B220:$S220,1))</f>
        <v>7500</v>
      </c>
      <c r="D235" s="2"/>
      <c r="E235" s="42"/>
      <c r="G235" s="2"/>
      <c r="H235" s="2"/>
      <c r="I235" s="2"/>
      <c r="J235" s="139" t="s">
        <v>150</v>
      </c>
      <c r="K235" s="140">
        <f t="array" aca="1" ref="K235" ca="1">INDEX($B221:$S227,MATCH(K232,$A221:$A227,1),MATCH(K229,$B220:$S220,1))</f>
        <v>7000</v>
      </c>
      <c r="L235" s="2"/>
      <c r="M235" s="42"/>
      <c r="O235" s="2"/>
      <c r="P235" s="2"/>
      <c r="Q235" s="2"/>
      <c r="R235" s="139" t="s">
        <v>150</v>
      </c>
      <c r="S235" s="140">
        <f t="array" aca="1" ref="S235" ca="1">INDEX($B221:$S227,MATCH(S232,$A221:$A227,1),MATCH(S229,$B220:$S220,1))</f>
        <v>6500</v>
      </c>
      <c r="T235" s="2"/>
      <c r="U235" s="42"/>
      <c r="W235" s="2"/>
      <c r="X235" s="2"/>
      <c r="Y235" s="2"/>
      <c r="Z235" s="139" t="s">
        <v>150</v>
      </c>
      <c r="AA235" s="140">
        <f t="array" aca="1" ref="AA235" ca="1">INDEX($B221:$S227,MATCH(AA232,$A221:$A227,1),MATCH(AA229,$B220:$S220,1))</f>
        <v>6000</v>
      </c>
      <c r="AB235" s="2"/>
      <c r="AC235" s="42"/>
      <c r="AE235" s="2"/>
      <c r="AF235" s="2"/>
      <c r="AG235" s="2"/>
      <c r="AH235" s="139" t="s">
        <v>150</v>
      </c>
      <c r="AI235" s="140">
        <f t="array" aca="1" ref="AI235" ca="1">INDEX($B221:$S227,MATCH(AI232,$A221:$A227,1),MATCH(AI229,$B220:$S220,1))</f>
        <v>5500</v>
      </c>
      <c r="AJ235" s="2"/>
      <c r="AK235" s="42"/>
      <c r="AM235" s="2"/>
      <c r="AN235" s="2"/>
      <c r="AO235" s="2"/>
      <c r="AP235" s="139" t="s">
        <v>150</v>
      </c>
      <c r="AQ235" s="140">
        <f t="array" aca="1" ref="AQ235" ca="1">INDEX($B221:$S227,MATCH(AQ232,$A221:$A227,1),MATCH(AQ229,$B220:$S220,1))</f>
        <v>5000</v>
      </c>
      <c r="AR235" s="2"/>
      <c r="AS235" s="42"/>
      <c r="AU235" s="2"/>
      <c r="AV235" s="2"/>
      <c r="AW235" s="2"/>
      <c r="AX235" s="139" t="s">
        <v>150</v>
      </c>
      <c r="AY235" s="140" t="e">
        <f t="array" aca="1" ref="AY235" ca="1">INDEX($B221:$S227,MATCH(AY232,$A221:$A227,1),MATCH(AY229,$B220:$S220,1))</f>
        <v>#N/A</v>
      </c>
      <c r="AZ235" s="2"/>
      <c r="BA235" s="42"/>
    </row>
    <row r="236" spans="1:61" ht="15" customHeight="1" x14ac:dyDescent="0.3">
      <c r="B236" s="139" t="s">
        <v>204</v>
      </c>
      <c r="C236" s="140">
        <f t="array" aca="1" ref="C236" ca="1">INDEX($B221:$S227,MATCH(C232,$A221:$A227,1),IF(MATCH(C229,$B220:$S220,1)&lt;E231,MATCH(C229,$B220:$S220,1)+1,MATCH(C232,$A221:$A227,1)))</f>
        <v>8000</v>
      </c>
      <c r="E236" s="42"/>
      <c r="G236" s="2"/>
      <c r="H236" s="2"/>
      <c r="I236" s="2"/>
      <c r="J236" s="139" t="s">
        <v>204</v>
      </c>
      <c r="K236" s="140">
        <f t="array" aca="1" ref="K236" ca="1">INDEX($B221:$S227,MATCH(K232,$A221:$A227,1),IF(MATCH(K229,$B220:$S220,1)&lt;M231,MATCH(K229,$B220:$S220,1)+1,MATCH(K232,$A221:$A227,1)))</f>
        <v>7500</v>
      </c>
      <c r="M236" s="42"/>
      <c r="O236" s="2"/>
      <c r="P236" s="2"/>
      <c r="Q236" s="2"/>
      <c r="R236" s="139" t="s">
        <v>204</v>
      </c>
      <c r="S236" s="140">
        <f t="array" aca="1" ref="S236" ca="1">INDEX($B221:$S227,MATCH(S232,$A221:$A227,1),IF(MATCH(S229,$B220:$S220,1)&lt;U231,MATCH(S229,$B220:$S220,1)+1,MATCH(S232,$A221:$A227,1)))</f>
        <v>7000</v>
      </c>
      <c r="U236" s="42"/>
      <c r="W236" s="2"/>
      <c r="X236" s="2"/>
      <c r="Y236" s="2"/>
      <c r="Z236" s="139" t="s">
        <v>204</v>
      </c>
      <c r="AA236" s="140">
        <f t="array" aca="1" ref="AA236" ca="1">INDEX($B221:$S227,MATCH(AA232,$A221:$A227,1),IF(MATCH(AA229,$B220:$S220,1)&lt;AC231,MATCH(AA229,$B220:$S220,1)+1,MATCH(AA232,$A221:$A227,1)))</f>
        <v>6500</v>
      </c>
      <c r="AC236" s="42"/>
      <c r="AE236" s="2"/>
      <c r="AF236" s="2"/>
      <c r="AG236" s="2"/>
      <c r="AH236" s="139" t="s">
        <v>204</v>
      </c>
      <c r="AI236" s="140">
        <f t="array" aca="1" ref="AI236" ca="1">INDEX($B221:$S227,MATCH(AI232,$A221:$A227,1),IF(MATCH(AI229,$B220:$S220,1)&lt;AK231,MATCH(AI229,$B220:$S220,1)+1,MATCH(AI232,$A221:$A227,1)))</f>
        <v>6000</v>
      </c>
      <c r="AK236" s="42"/>
      <c r="AM236" s="2"/>
      <c r="AN236" s="2"/>
      <c r="AO236" s="2"/>
      <c r="AP236" s="139" t="s">
        <v>204</v>
      </c>
      <c r="AQ236" s="140">
        <f t="array" aca="1" ref="AQ236" ca="1">INDEX($B221:$S227,MATCH(AQ232,$A221:$A227,1),IF(MATCH(AQ229,$B220:$S220,1)&lt;AS231,MATCH(AQ229,$B220:$S220,1)+1,MATCH(AQ232,$A221:$A227,1)))</f>
        <v>5500</v>
      </c>
      <c r="AS236" s="42"/>
      <c r="AU236" s="2"/>
      <c r="AV236" s="2"/>
      <c r="AW236" s="2"/>
      <c r="AX236" s="139" t="s">
        <v>204</v>
      </c>
      <c r="AY236" s="140" t="e">
        <f t="array" aca="1" ref="AY236" ca="1">INDEX($B221:$S227,MATCH(AY232,$A221:$A227,1),IF(MATCH(AY229,$B220:$S220,1)&lt;BA231,MATCH(AY229,$B220:$S220,1)+1,MATCH(AY232,$A221:$A227,1)))</f>
        <v>#N/A</v>
      </c>
      <c r="BA236" s="42"/>
    </row>
    <row r="237" spans="1:61" ht="15" customHeight="1" x14ac:dyDescent="0.3">
      <c r="B237" s="139" t="s">
        <v>151</v>
      </c>
      <c r="C237" s="140">
        <f t="array" aca="1" ref="C237" ca="1">INDEX($B221:$S227,IF(MATCH(C232,$A221:$A227,1)&lt;E230,MATCH(C232,$A221:$A227,1)+1,MATCH(C232,$A221:$A227,1)),MATCH(C229,$B220:$S220,1))</f>
        <v>7400</v>
      </c>
      <c r="E237" s="42"/>
      <c r="G237" s="2"/>
      <c r="H237" s="2"/>
      <c r="I237" s="2"/>
      <c r="J237" s="139" t="s">
        <v>151</v>
      </c>
      <c r="K237" s="140">
        <f t="array" aca="1" ref="K237" ca="1">INDEX($B221:$S227,IF(MATCH(K232,$A221:$A227,1)&lt;M230,MATCH(K232,$A221:$A227,1)+1,MATCH(K232,$A221:$A227,1)),MATCH(K229,$B220:$S220,1))</f>
        <v>6880</v>
      </c>
      <c r="M237" s="42"/>
      <c r="O237" s="2"/>
      <c r="P237" s="2"/>
      <c r="Q237" s="2"/>
      <c r="R237" s="139" t="s">
        <v>151</v>
      </c>
      <c r="S237" s="140">
        <f t="array" aca="1" ref="S237" ca="1">INDEX($B221:$S227,IF(MATCH(S232,$A221:$A227,1)&lt;U230,MATCH(S232,$A221:$A227,1)+1,MATCH(S232,$A221:$A227,1)),MATCH(S229,$B220:$S220,1))</f>
        <v>6400</v>
      </c>
      <c r="U237" s="42"/>
      <c r="W237" s="2"/>
      <c r="X237" s="2"/>
      <c r="Y237" s="2"/>
      <c r="Z237" s="139" t="s">
        <v>151</v>
      </c>
      <c r="AA237" s="140">
        <f t="array" aca="1" ref="AA237" ca="1">INDEX($B221:$S227,IF(MATCH(AA232,$A221:$A227,1)&lt;AC230,MATCH(AA232,$A221:$A227,1)+1,MATCH(AA232,$A221:$A227,1)),MATCH(AA229,$B220:$S220,1))</f>
        <v>5900</v>
      </c>
      <c r="AC237" s="42"/>
      <c r="AE237" s="2"/>
      <c r="AF237" s="2"/>
      <c r="AG237" s="2"/>
      <c r="AH237" s="139" t="s">
        <v>151</v>
      </c>
      <c r="AI237" s="140">
        <f t="array" aca="1" ref="AI237" ca="1">INDEX($B221:$S227,IF(MATCH(AI232,$A221:$A227,1)&lt;AK230,MATCH(AI232,$A221:$A227,1)+1,MATCH(AI232,$A221:$A227,1)),MATCH(AI229,$B220:$S220,1))</f>
        <v>5350</v>
      </c>
      <c r="AK237" s="42"/>
      <c r="AM237" s="2"/>
      <c r="AN237" s="2"/>
      <c r="AO237" s="2"/>
      <c r="AP237" s="139" t="s">
        <v>151</v>
      </c>
      <c r="AQ237" s="140">
        <f t="array" aca="1" ref="AQ237" ca="1">INDEX($B221:$S227,IF(MATCH(AQ232,$A221:$A227,1)&lt;AS230,MATCH(AQ232,$A221:$A227,1)+1,MATCH(AQ232,$A221:$A227,1)),MATCH(AQ229,$B220:$S220,1))</f>
        <v>4800</v>
      </c>
      <c r="AS237" s="42"/>
      <c r="AU237" s="2"/>
      <c r="AV237" s="2"/>
      <c r="AW237" s="2"/>
      <c r="AX237" s="139" t="s">
        <v>151</v>
      </c>
      <c r="AY237" s="140" t="e">
        <f t="array" aca="1" ref="AY237" ca="1">INDEX($B221:$S227,IF(MATCH(AY232,$A221:$A227,1)&lt;BA230,MATCH(AY232,$A221:$A227,1)+1,MATCH(AY232,$A221:$A227,1)),MATCH(AY229,$B220:$S220,1))</f>
        <v>#N/A</v>
      </c>
      <c r="BA237" s="42"/>
    </row>
    <row r="238" spans="1:61" ht="15" customHeight="1" x14ac:dyDescent="0.3">
      <c r="B238" s="139" t="s">
        <v>205</v>
      </c>
      <c r="C238" s="140">
        <f t="array" aca="1" ref="C238" ca="1">INDEX($B221:$S227,IF(MATCH(C232,$A221:$A227,1)&lt;E230,MATCH(C232,$A221:$A227,1)+1,MATCH(C232,$A221:$A227,1)),IF(MATCH(C229,$B220:$S220,1)&lt;E231,MATCH(C229,$B220:$S220,1)+1,MATCH(C229,$B220:$S220,1)))</f>
        <v>7900</v>
      </c>
      <c r="G238" s="2"/>
      <c r="H238" s="2"/>
      <c r="I238" s="2"/>
      <c r="J238" s="139" t="s">
        <v>205</v>
      </c>
      <c r="K238" s="140">
        <f t="array" aca="1" ref="K238" ca="1">INDEX($B221:$S227,IF(MATCH(K232,$A221:$A227,1)&lt;M230,MATCH(K232,$A221:$A227,1)+1,MATCH(K232,$A221:$A227,1)),IF(MATCH(K229,$B220:$S220,1)&lt;M231,MATCH(K229,$B220:$S220,1)+1,MATCH(K229,$B220:$S220,1)))</f>
        <v>7400</v>
      </c>
      <c r="O238" s="2"/>
      <c r="P238" s="2"/>
      <c r="Q238" s="2"/>
      <c r="R238" s="139" t="s">
        <v>205</v>
      </c>
      <c r="S238" s="140">
        <f t="array" aca="1" ref="S238" ca="1">INDEX($B221:$S227,IF(MATCH(S232,$A221:$A227,1)&lt;U230,MATCH(S232,$A221:$A227,1)+1,MATCH(S232,$A221:$A227,1)),IF(MATCH(S229,$B220:$S220,1)&lt;U231,MATCH(S229,$B220:$S220,1)+1,MATCH(S229,$B220:$S220,1)))</f>
        <v>6880</v>
      </c>
      <c r="W238" s="2"/>
      <c r="X238" s="2"/>
      <c r="Y238" s="2"/>
      <c r="Z238" s="139" t="s">
        <v>205</v>
      </c>
      <c r="AA238" s="140">
        <f t="array" aca="1" ref="AA238" ca="1">INDEX($B221:$S227,IF(MATCH(AA232,$A221:$A227,1)&lt;AC230,MATCH(AA232,$A221:$A227,1)+1,MATCH(AA232,$A221:$A227,1)),IF(MATCH(AA229,$B220:$S220,1)&lt;AC231,MATCH(AA229,$B220:$S220,1)+1,MATCH(AA229,$B220:$S220,1)))</f>
        <v>6400</v>
      </c>
      <c r="AE238" s="2"/>
      <c r="AF238" s="2"/>
      <c r="AG238" s="2"/>
      <c r="AH238" s="139" t="s">
        <v>205</v>
      </c>
      <c r="AI238" s="140">
        <f t="array" aca="1" ref="AI238" ca="1">INDEX($B221:$S227,IF(MATCH(AI232,$A221:$A227,1)&lt;AK230,MATCH(AI232,$A221:$A227,1)+1,MATCH(AI232,$A221:$A227,1)),IF(MATCH(AI229,$B220:$S220,1)&lt;AK231,MATCH(AI229,$B220:$S220,1)+1,MATCH(AI229,$B220:$S220,1)))</f>
        <v>5900</v>
      </c>
      <c r="AM238" s="2"/>
      <c r="AN238" s="2"/>
      <c r="AO238" s="2"/>
      <c r="AP238" s="139" t="s">
        <v>205</v>
      </c>
      <c r="AQ238" s="140">
        <f t="array" aca="1" ref="AQ238" ca="1">INDEX($B221:$S227,IF(MATCH(AQ232,$A221:$A227,1)&lt;AS230,MATCH(AQ232,$A221:$A227,1)+1,MATCH(AQ232,$A221:$A227,1)),IF(MATCH(AQ229,$B220:$S220,1)&lt;AS231,MATCH(AQ229,$B220:$S220,1)+1,MATCH(AQ229,$B220:$S220,1)))</f>
        <v>5350</v>
      </c>
      <c r="AU238" s="2"/>
      <c r="AV238" s="2"/>
      <c r="AW238" s="2"/>
      <c r="AX238" s="139" t="s">
        <v>205</v>
      </c>
      <c r="AY238" s="140" t="e">
        <f t="array" aca="1" ref="AY238" ca="1">INDEX($B221:$S227,IF(MATCH(AY232,$A221:$A227,1)&lt;BA230,MATCH(AY232,$A221:$A227,1)+1,MATCH(AY232,$A221:$A227,1)),IF(MATCH(AY229,$B220:$S220,1)&lt;BA231,MATCH(AY229,$B220:$S220,1)+1,MATCH(AY229,$B220:$S220,1)))</f>
        <v>#N/A</v>
      </c>
    </row>
    <row r="239" spans="1:61" ht="15" customHeight="1" x14ac:dyDescent="0.3">
      <c r="B239" s="16" t="s">
        <v>206</v>
      </c>
      <c r="C239" s="141">
        <f ca="1">IFERROR(C235+(C229-C230)*(C236-C235)/(C231-C230),C235)</f>
        <v>7558.95</v>
      </c>
      <c r="G239" s="2"/>
      <c r="H239" s="2"/>
      <c r="I239" s="2"/>
      <c r="J239" s="16" t="s">
        <v>206</v>
      </c>
      <c r="K239" s="141">
        <f ca="1">IFERROR(K235+(K229-K230)*(K236-K235)/(K231-K230),K235)</f>
        <v>7187.32</v>
      </c>
      <c r="O239" s="2"/>
      <c r="P239" s="2"/>
      <c r="Q239" s="2"/>
      <c r="R239" s="16" t="s">
        <v>206</v>
      </c>
      <c r="S239" s="141">
        <f ca="1">IFERROR(S235+(S229-S230)*(S236-S235)/(S231-S230),S235)</f>
        <v>6592.45</v>
      </c>
      <c r="W239" s="2"/>
      <c r="X239" s="2"/>
      <c r="Y239" s="2"/>
      <c r="Z239" s="16" t="s">
        <v>206</v>
      </c>
      <c r="AA239" s="141">
        <f ca="1">IFERROR(AA235+(AA229-AA230)*(AA236-AA235)/(AA231-AA230),AA235)</f>
        <v>6059.58</v>
      </c>
      <c r="AE239" s="2"/>
      <c r="AF239" s="2"/>
      <c r="AG239" s="2"/>
      <c r="AH239" s="16" t="s">
        <v>206</v>
      </c>
      <c r="AI239" s="141">
        <f ca="1">IFERROR(AI235+(AI229-AI230)*(AI236-AI235)/(AI231-AI230),AI235)</f>
        <v>5573.33</v>
      </c>
      <c r="AM239" s="2"/>
      <c r="AN239" s="2"/>
      <c r="AO239" s="2"/>
      <c r="AP239" s="16" t="s">
        <v>206</v>
      </c>
      <c r="AQ239" s="141">
        <f ca="1">IFERROR(AQ235+(AQ229-AQ230)*(AQ236-AQ235)/(AQ231-AQ230),AQ235)</f>
        <v>5470.46</v>
      </c>
      <c r="AU239" s="2"/>
      <c r="AV239" s="2"/>
      <c r="AW239" s="2"/>
      <c r="AX239" s="16" t="s">
        <v>206</v>
      </c>
      <c r="AY239" s="141" t="e">
        <f ca="1">IFERROR(AY235+(AY229-AY230)*(AY236-AY235)/(AY231-AY230),AY235)</f>
        <v>#N/A</v>
      </c>
    </row>
    <row r="240" spans="1:61" ht="15" customHeight="1" x14ac:dyDescent="0.3">
      <c r="B240" s="16" t="s">
        <v>207</v>
      </c>
      <c r="C240" s="141">
        <f ca="1">IFERROR(C237+(C229-C230)*(C238-C237)/(C231-C230),C237)</f>
        <v>7458.95</v>
      </c>
      <c r="G240" s="2"/>
      <c r="H240" s="2"/>
      <c r="I240" s="2"/>
      <c r="J240" s="16" t="s">
        <v>207</v>
      </c>
      <c r="K240" s="141">
        <f ca="1">IFERROR(K237+(K229-K230)*(K238-K237)/(K231-K230),K237)</f>
        <v>7074.8127999999997</v>
      </c>
      <c r="O240" s="2"/>
      <c r="P240" s="2"/>
      <c r="Q240" s="2"/>
      <c r="R240" s="16" t="s">
        <v>207</v>
      </c>
      <c r="S240" s="141">
        <f ca="1">IFERROR(S237+(S229-S230)*(S238-S237)/(S231-S230),S237)</f>
        <v>6488.7519999999995</v>
      </c>
      <c r="W240" s="2"/>
      <c r="X240" s="2"/>
      <c r="Y240" s="2"/>
      <c r="Z240" s="16" t="s">
        <v>207</v>
      </c>
      <c r="AA240" s="141">
        <f ca="1">IFERROR(AA237+(AA229-AA230)*(AA238-AA237)/(AA231-AA230),AA237)</f>
        <v>5959.58</v>
      </c>
      <c r="AE240" s="2"/>
      <c r="AF240" s="2"/>
      <c r="AG240" s="2"/>
      <c r="AH240" s="16" t="s">
        <v>207</v>
      </c>
      <c r="AI240" s="141">
        <f ca="1">IFERROR(AI237+(AI229-AI230)*(AI238-AI237)/(AI231-AI230),AI237)</f>
        <v>5430.6629999999996</v>
      </c>
      <c r="AM240" s="2"/>
      <c r="AN240" s="2"/>
      <c r="AO240" s="2"/>
      <c r="AP240" s="16" t="s">
        <v>207</v>
      </c>
      <c r="AQ240" s="141">
        <f ca="1">IFERROR(AQ237+(AQ229-AQ230)*(AQ238-AQ237)/(AQ231-AQ230),AQ237)</f>
        <v>5317.5060000000003</v>
      </c>
      <c r="AU240" s="2"/>
      <c r="AV240" s="2"/>
      <c r="AW240" s="2"/>
      <c r="AX240" s="16" t="s">
        <v>207</v>
      </c>
      <c r="AY240" s="141" t="e">
        <f ca="1">IFERROR(AY237+(AY229-AY230)*(AY238-AY237)/(AY231-AY230),AY237)</f>
        <v>#N/A</v>
      </c>
    </row>
    <row r="241" spans="1:61" ht="15" customHeight="1" x14ac:dyDescent="0.3">
      <c r="B241" s="139" t="s">
        <v>208</v>
      </c>
      <c r="C241" s="140">
        <f ca="1">IFERROR(C239+(C232-C233)*(C240-C239)/(C234-C233),C239)</f>
        <v>7558.95</v>
      </c>
      <c r="G241" s="2"/>
      <c r="H241" s="2"/>
      <c r="I241" s="2"/>
      <c r="J241" s="139" t="s">
        <v>208</v>
      </c>
      <c r="K241" s="140">
        <f ca="1">IFERROR(K239+(K232-K233)*(K240-K239)/(K234-K233),K239)</f>
        <v>7187.32</v>
      </c>
      <c r="O241" s="2"/>
      <c r="P241" s="2"/>
      <c r="Q241" s="2"/>
      <c r="R241" s="139" t="s">
        <v>208</v>
      </c>
      <c r="S241" s="140">
        <f ca="1">IFERROR(S239+(S232-S233)*(S240-S239)/(S234-S233),S239)</f>
        <v>6592.45</v>
      </c>
      <c r="W241" s="2"/>
      <c r="X241" s="2"/>
      <c r="Y241" s="2"/>
      <c r="Z241" s="139" t="s">
        <v>208</v>
      </c>
      <c r="AA241" s="140">
        <f ca="1">IFERROR(AA239+(AA232-AA233)*(AA240-AA239)/(AA234-AA233),AA239)</f>
        <v>6059.58</v>
      </c>
      <c r="AE241" s="2"/>
      <c r="AF241" s="2"/>
      <c r="AG241" s="2"/>
      <c r="AH241" s="139" t="s">
        <v>208</v>
      </c>
      <c r="AI241" s="140">
        <f ca="1">IFERROR(AI239+(AI232-AI233)*(AI240-AI239)/(AI234-AI233),AI239)</f>
        <v>5573.33</v>
      </c>
      <c r="AM241" s="2"/>
      <c r="AN241" s="2"/>
      <c r="AO241" s="2"/>
      <c r="AP241" s="139" t="s">
        <v>208</v>
      </c>
      <c r="AQ241" s="140">
        <f ca="1">IFERROR(AQ239+(AQ232-AQ233)*(AQ240-AQ239)/(AQ234-AQ233),AQ239)</f>
        <v>5470.46</v>
      </c>
      <c r="AU241" s="2"/>
      <c r="AV241" s="2"/>
      <c r="AW241" s="2"/>
      <c r="AX241" s="139" t="s">
        <v>208</v>
      </c>
      <c r="AY241" s="140" t="e">
        <f ca="1">IFERROR(AY239+(AY232-AY233)*(AY240-AY239)/(AY234-AY233),AY239)</f>
        <v>#N/A</v>
      </c>
    </row>
    <row r="242" spans="1:61" ht="15" customHeight="1" x14ac:dyDescent="0.3">
      <c r="B242" s="139"/>
      <c r="C242" s="140"/>
      <c r="G242" s="2"/>
      <c r="H242" s="2"/>
      <c r="I242" s="2"/>
      <c r="J242" s="139"/>
      <c r="K242" s="140"/>
      <c r="O242" s="2"/>
      <c r="P242" s="2"/>
      <c r="Q242" s="2"/>
      <c r="R242" s="139"/>
      <c r="S242" s="140"/>
      <c r="W242" s="2"/>
      <c r="X242" s="2"/>
      <c r="Y242" s="2"/>
      <c r="Z242" s="139"/>
      <c r="AA242" s="140"/>
      <c r="AE242" s="2"/>
      <c r="AF242" s="2"/>
      <c r="AG242" s="2"/>
      <c r="AH242" s="139"/>
      <c r="AI242" s="140"/>
      <c r="AM242" s="2"/>
      <c r="AN242" s="2"/>
      <c r="AO242" s="2"/>
      <c r="AP242" s="139"/>
      <c r="AQ242" s="140"/>
      <c r="AU242" s="2"/>
      <c r="AV242" s="2"/>
      <c r="AW242" s="2"/>
      <c r="AX242" s="139"/>
      <c r="AY242" s="140"/>
    </row>
    <row r="243" spans="1:61" ht="15" customHeight="1" x14ac:dyDescent="0.3">
      <c r="A243" t="s">
        <v>210</v>
      </c>
      <c r="B243" s="357" t="s">
        <v>222</v>
      </c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2"/>
      <c r="Q243" s="2"/>
      <c r="R243" s="139"/>
      <c r="S243" s="140"/>
      <c r="W243" s="2"/>
      <c r="X243" s="2"/>
      <c r="Y243" s="2"/>
      <c r="Z243" s="139"/>
      <c r="AA243" s="140"/>
      <c r="AE243" s="2"/>
      <c r="AF243" s="2"/>
      <c r="AG243" s="2"/>
      <c r="AH243" s="139"/>
      <c r="AI243" s="140"/>
      <c r="AM243" s="2"/>
      <c r="AN243" s="2"/>
      <c r="AO243" s="2"/>
      <c r="AP243" s="139"/>
      <c r="AQ243" s="140"/>
      <c r="AU243" s="2"/>
      <c r="AV243" s="2"/>
      <c r="AW243" s="2"/>
      <c r="AX243" s="139"/>
      <c r="AY243" s="140"/>
    </row>
    <row r="244" spans="1:61" ht="15" customHeight="1" x14ac:dyDescent="0.3">
      <c r="A244" t="s">
        <v>47</v>
      </c>
      <c r="B244" s="229">
        <v>4000</v>
      </c>
      <c r="C244" s="232">
        <v>4500</v>
      </c>
      <c r="D244" s="232">
        <v>5000</v>
      </c>
      <c r="E244" s="232">
        <v>5500</v>
      </c>
      <c r="F244" s="232">
        <v>6000</v>
      </c>
      <c r="G244" s="232">
        <v>6500</v>
      </c>
      <c r="H244" s="230">
        <v>7000</v>
      </c>
      <c r="I244" s="55">
        <v>7500</v>
      </c>
      <c r="J244" s="55">
        <v>8000</v>
      </c>
      <c r="K244" s="55">
        <v>8500</v>
      </c>
      <c r="L244" s="259">
        <v>9000</v>
      </c>
      <c r="M244" s="259">
        <v>9500</v>
      </c>
      <c r="N244" s="231">
        <v>10000</v>
      </c>
      <c r="O244" s="55">
        <v>10500</v>
      </c>
      <c r="P244" s="259">
        <v>11000</v>
      </c>
      <c r="Q244" s="259">
        <v>11500</v>
      </c>
      <c r="R244" s="231">
        <v>12000</v>
      </c>
      <c r="S244" s="231">
        <v>12500</v>
      </c>
      <c r="T244" s="236"/>
      <c r="U244" s="140"/>
      <c r="W244" s="139"/>
      <c r="X244" s="140"/>
      <c r="AB244" s="2"/>
      <c r="AC244" s="2"/>
      <c r="AD244" s="2"/>
      <c r="AG244" s="2"/>
      <c r="AH244" s="2"/>
      <c r="AI244" s="2"/>
      <c r="AJ244" s="139"/>
      <c r="AK244" s="140"/>
      <c r="AO244" s="2"/>
      <c r="AP244" s="2"/>
      <c r="AQ244" s="2"/>
      <c r="AR244" s="139"/>
      <c r="AS244" s="140"/>
      <c r="AW244" s="2"/>
      <c r="AX244" s="2"/>
      <c r="AY244" s="2"/>
      <c r="AZ244" s="139"/>
      <c r="BA244" s="140"/>
      <c r="BE244" s="2"/>
      <c r="BF244" s="2"/>
      <c r="BG244" s="2"/>
      <c r="BH244" s="139"/>
      <c r="BI244" s="140"/>
    </row>
    <row r="245" spans="1:61" ht="15" customHeight="1" x14ac:dyDescent="0.3">
      <c r="A245">
        <v>-10</v>
      </c>
      <c r="B245" s="229">
        <v>5000</v>
      </c>
      <c r="C245" s="232">
        <v>5550</v>
      </c>
      <c r="D245" s="232">
        <v>6150</v>
      </c>
      <c r="E245" s="232">
        <v>6750</v>
      </c>
      <c r="F245" s="232">
        <v>7300</v>
      </c>
      <c r="G245" s="232">
        <v>7900</v>
      </c>
      <c r="H245" s="232">
        <v>8500</v>
      </c>
      <c r="I245" s="232">
        <v>9000</v>
      </c>
      <c r="J245" s="232">
        <v>9600</v>
      </c>
      <c r="K245" s="232">
        <v>10200</v>
      </c>
      <c r="L245" s="232">
        <v>10800</v>
      </c>
      <c r="M245" s="232">
        <v>11300</v>
      </c>
      <c r="N245" s="232">
        <v>11850</v>
      </c>
      <c r="O245" s="232">
        <v>99999</v>
      </c>
      <c r="P245" s="232">
        <v>99999</v>
      </c>
      <c r="Q245" s="232">
        <v>99999</v>
      </c>
      <c r="R245" s="237">
        <v>99999</v>
      </c>
      <c r="S245" s="237">
        <v>99999</v>
      </c>
      <c r="T245" s="236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2"/>
      <c r="AG245" s="2"/>
      <c r="AH245" s="2"/>
      <c r="AI245" s="2"/>
      <c r="AJ245" s="139"/>
      <c r="AK245" s="140"/>
      <c r="AO245" s="2"/>
      <c r="AP245" s="2"/>
      <c r="AQ245" s="2"/>
      <c r="AR245" s="139"/>
      <c r="AS245" s="140"/>
      <c r="AW245" s="2"/>
      <c r="AX245" s="2"/>
      <c r="AY245" s="2"/>
      <c r="AZ245" s="139"/>
      <c r="BA245" s="140"/>
      <c r="BE245" s="2"/>
      <c r="BF245" s="2"/>
      <c r="BG245" s="2"/>
      <c r="BH245" s="139"/>
      <c r="BI245" s="140"/>
    </row>
    <row r="246" spans="1:61" ht="15" customHeight="1" x14ac:dyDescent="0.3">
      <c r="A246">
        <v>0</v>
      </c>
      <c r="B246" s="233">
        <v>4000</v>
      </c>
      <c r="C246" s="72">
        <v>4500</v>
      </c>
      <c r="D246" s="72">
        <v>5000</v>
      </c>
      <c r="E246" s="72">
        <v>5500</v>
      </c>
      <c r="F246" s="72">
        <v>6000</v>
      </c>
      <c r="G246" s="72">
        <v>6500</v>
      </c>
      <c r="H246" s="72">
        <v>7000</v>
      </c>
      <c r="I246" s="72">
        <v>7500</v>
      </c>
      <c r="J246" s="72">
        <v>8000</v>
      </c>
      <c r="K246" s="72">
        <v>8500</v>
      </c>
      <c r="L246" s="72">
        <v>9000</v>
      </c>
      <c r="M246" s="72">
        <v>9500</v>
      </c>
      <c r="N246" s="72">
        <v>10000</v>
      </c>
      <c r="O246" s="72">
        <v>10500</v>
      </c>
      <c r="P246" s="72">
        <v>11000</v>
      </c>
      <c r="Q246" s="72">
        <v>11500</v>
      </c>
      <c r="R246" s="262">
        <v>12000</v>
      </c>
      <c r="S246" s="237">
        <v>99999</v>
      </c>
      <c r="T246" s="236"/>
      <c r="U246" s="140"/>
      <c r="W246" s="139"/>
      <c r="X246" s="140"/>
      <c r="AB246" s="2"/>
      <c r="AC246" s="2"/>
      <c r="AD246" s="2"/>
      <c r="AG246" s="2"/>
      <c r="AH246" s="2"/>
      <c r="AI246" s="2"/>
      <c r="AJ246" s="139"/>
      <c r="AK246" s="140"/>
      <c r="AO246" s="2"/>
      <c r="AP246" s="2"/>
      <c r="AQ246" s="2"/>
      <c r="AR246" s="139"/>
      <c r="AS246" s="140"/>
      <c r="AW246" s="2"/>
      <c r="AX246" s="2"/>
      <c r="AY246" s="2"/>
      <c r="AZ246" s="139"/>
      <c r="BA246" s="140"/>
      <c r="BE246" s="2"/>
      <c r="BF246" s="2"/>
      <c r="BG246" s="2"/>
      <c r="BH246" s="139"/>
      <c r="BI246" s="140"/>
    </row>
    <row r="247" spans="1:61" ht="15" customHeight="1" x14ac:dyDescent="0.3">
      <c r="A247">
        <v>30</v>
      </c>
      <c r="B247" s="234">
        <v>3250</v>
      </c>
      <c r="C247" s="238">
        <v>3650</v>
      </c>
      <c r="D247" s="238">
        <v>4100</v>
      </c>
      <c r="E247" s="238">
        <v>4500</v>
      </c>
      <c r="F247" s="238">
        <v>4900</v>
      </c>
      <c r="G247" s="238">
        <v>5350</v>
      </c>
      <c r="H247" s="238">
        <v>5750</v>
      </c>
      <c r="I247" s="238">
        <v>6200</v>
      </c>
      <c r="J247" s="238">
        <v>6650</v>
      </c>
      <c r="K247" s="238">
        <v>7100</v>
      </c>
      <c r="L247" s="235">
        <v>7550</v>
      </c>
      <c r="M247" s="68">
        <v>8000</v>
      </c>
      <c r="N247" s="68">
        <v>8450</v>
      </c>
      <c r="O247" s="68">
        <v>8900</v>
      </c>
      <c r="P247" s="260">
        <v>9350</v>
      </c>
      <c r="Q247" s="260">
        <v>9700</v>
      </c>
      <c r="R247" s="261">
        <v>10250</v>
      </c>
      <c r="S247" s="237">
        <v>99999</v>
      </c>
      <c r="T247" s="236"/>
      <c r="U247" s="140"/>
      <c r="W247" s="139"/>
      <c r="X247" s="140"/>
      <c r="AB247" s="2"/>
      <c r="AC247" s="2"/>
      <c r="AD247" s="2"/>
      <c r="AG247" s="2"/>
      <c r="AH247" s="2"/>
      <c r="AI247" s="2"/>
      <c r="AJ247" s="139"/>
      <c r="AK247" s="140"/>
      <c r="AO247" s="2"/>
      <c r="AP247" s="2"/>
      <c r="AQ247" s="2"/>
      <c r="AR247" s="139"/>
      <c r="AS247" s="140"/>
      <c r="AW247" s="2"/>
      <c r="AX247" s="2"/>
      <c r="AY247" s="2"/>
      <c r="AZ247" s="139"/>
      <c r="BA247" s="140"/>
      <c r="BE247" s="2"/>
      <c r="BF247" s="2"/>
      <c r="BG247" s="2"/>
      <c r="BH247" s="139"/>
      <c r="BI247" s="140"/>
    </row>
    <row r="248" spans="1:61" ht="15" customHeight="1" x14ac:dyDescent="0.3">
      <c r="B248" s="139"/>
      <c r="C248" s="140"/>
      <c r="G248" s="2"/>
      <c r="H248" s="2"/>
      <c r="I248" s="2"/>
      <c r="J248" s="139"/>
      <c r="K248" s="140"/>
      <c r="O248" s="53"/>
      <c r="P248" s="2"/>
      <c r="Q248" s="2"/>
      <c r="R248" s="139"/>
      <c r="S248" s="140"/>
      <c r="W248" s="2"/>
      <c r="X248" s="2"/>
      <c r="Y248" s="2"/>
      <c r="Z248" s="139"/>
      <c r="AA248" s="140"/>
      <c r="AE248" s="2"/>
      <c r="AF248" s="2"/>
      <c r="AG248" s="2"/>
      <c r="AH248" s="139"/>
      <c r="AI248" s="140"/>
      <c r="AM248" s="2"/>
      <c r="AN248" s="2"/>
      <c r="AO248" s="2"/>
      <c r="AP248" s="139"/>
      <c r="AQ248" s="140"/>
      <c r="AU248" s="2"/>
      <c r="AV248" s="2"/>
      <c r="AW248" s="2"/>
      <c r="AX248" s="139"/>
      <c r="AY248" s="140"/>
    </row>
    <row r="249" spans="1:61" ht="15" customHeight="1" x14ac:dyDescent="0.3">
      <c r="B249" s="139" t="s">
        <v>146</v>
      </c>
      <c r="C249" s="140">
        <f ca="1">C241</f>
        <v>7558.95</v>
      </c>
      <c r="D249" s="355" t="s">
        <v>201</v>
      </c>
      <c r="E249" s="355"/>
      <c r="G249" s="2"/>
      <c r="H249" s="2"/>
      <c r="I249" s="2"/>
      <c r="J249" s="139" t="s">
        <v>146</v>
      </c>
      <c r="K249" s="140">
        <f ca="1">K241</f>
        <v>7187.32</v>
      </c>
      <c r="L249" s="355" t="s">
        <v>201</v>
      </c>
      <c r="M249" s="355"/>
      <c r="O249" s="53"/>
      <c r="P249" s="2"/>
      <c r="Q249" s="2"/>
      <c r="R249" s="139" t="s">
        <v>146</v>
      </c>
      <c r="S249" s="140">
        <f ca="1">S241</f>
        <v>6592.45</v>
      </c>
      <c r="T249" s="355" t="s">
        <v>201</v>
      </c>
      <c r="U249" s="355"/>
      <c r="W249" s="2"/>
      <c r="X249" s="2"/>
      <c r="Y249" s="2"/>
      <c r="Z249" s="139" t="s">
        <v>146</v>
      </c>
      <c r="AA249" s="140">
        <f ca="1">AA241</f>
        <v>6059.58</v>
      </c>
      <c r="AB249" s="355" t="s">
        <v>201</v>
      </c>
      <c r="AC249" s="355"/>
      <c r="AE249" s="2"/>
      <c r="AF249" s="2"/>
      <c r="AG249" s="2"/>
      <c r="AH249" s="139" t="s">
        <v>146</v>
      </c>
      <c r="AI249" s="140">
        <f ca="1">AI241</f>
        <v>5573.33</v>
      </c>
      <c r="AJ249" s="355" t="s">
        <v>201</v>
      </c>
      <c r="AK249" s="355"/>
      <c r="AM249" s="2"/>
      <c r="AN249" s="2"/>
      <c r="AO249" s="2"/>
      <c r="AP249" s="139" t="s">
        <v>146</v>
      </c>
      <c r="AQ249" s="140">
        <f ca="1">AQ241</f>
        <v>5470.46</v>
      </c>
      <c r="AR249" s="355" t="s">
        <v>201</v>
      </c>
      <c r="AS249" s="355"/>
      <c r="AU249" s="2"/>
      <c r="AV249" s="2"/>
      <c r="AW249" s="2"/>
      <c r="AX249" s="139" t="s">
        <v>146</v>
      </c>
      <c r="AY249" s="140" t="e">
        <f ca="1">AY241</f>
        <v>#N/A</v>
      </c>
      <c r="AZ249" s="355" t="s">
        <v>201</v>
      </c>
      <c r="BA249" s="355"/>
    </row>
    <row r="250" spans="1:61" ht="15" customHeight="1" x14ac:dyDescent="0.3">
      <c r="B250" s="16" t="s">
        <v>202</v>
      </c>
      <c r="C250" s="141">
        <f t="array" aca="1" ref="C250" ca="1">INDEX($B244:$S244,MATCH(C249,$B244:$S244,1))</f>
        <v>7500</v>
      </c>
      <c r="D250" s="16" t="s">
        <v>144</v>
      </c>
      <c r="E250" s="17">
        <f>MATCH(MAX($A245:$A247),$A245:$A247,1)</f>
        <v>3</v>
      </c>
      <c r="G250" s="2"/>
      <c r="H250" s="2"/>
      <c r="I250" s="2"/>
      <c r="J250" s="16" t="s">
        <v>202</v>
      </c>
      <c r="K250" s="141">
        <f t="array" aca="1" ref="K250" ca="1">INDEX($B244:$S244,MATCH(K249,$B244:$S244,1))</f>
        <v>7000</v>
      </c>
      <c r="L250" s="16" t="s">
        <v>144</v>
      </c>
      <c r="M250" s="17">
        <f>MATCH(MAX($A245:$A247),$A245:$A247,1)</f>
        <v>3</v>
      </c>
      <c r="O250" s="53"/>
      <c r="P250" s="2"/>
      <c r="Q250" s="2"/>
      <c r="R250" s="16" t="s">
        <v>202</v>
      </c>
      <c r="S250" s="141">
        <f t="array" aca="1" ref="S250" ca="1">INDEX($B244:$S244,MATCH(S249,$B244:$S244,1))</f>
        <v>6500</v>
      </c>
      <c r="T250" s="16" t="s">
        <v>144</v>
      </c>
      <c r="U250" s="17">
        <f>MATCH(MAX($A245:$A247),$A245:$A247,1)</f>
        <v>3</v>
      </c>
      <c r="W250" s="2"/>
      <c r="X250" s="2"/>
      <c r="Y250" s="2"/>
      <c r="Z250" s="16" t="s">
        <v>202</v>
      </c>
      <c r="AA250" s="141">
        <f t="array" aca="1" ref="AA250" ca="1">INDEX($B244:$S244,MATCH(AA249,$B244:$S244,1))</f>
        <v>6000</v>
      </c>
      <c r="AB250" s="16" t="s">
        <v>144</v>
      </c>
      <c r="AC250" s="17">
        <f>MATCH(MAX($A245:$A247),$A245:$A247,1)</f>
        <v>3</v>
      </c>
      <c r="AE250" s="2"/>
      <c r="AF250" s="2"/>
      <c r="AG250" s="2"/>
      <c r="AH250" s="16" t="s">
        <v>202</v>
      </c>
      <c r="AI250" s="141">
        <f t="array" aca="1" ref="AI250" ca="1">INDEX($B244:$S244,MATCH(AI249,$B244:$S244,1))</f>
        <v>5500</v>
      </c>
      <c r="AJ250" s="16" t="s">
        <v>144</v>
      </c>
      <c r="AK250" s="17">
        <f>MATCH(MAX($A245:$A247),$A245:$A247,1)</f>
        <v>3</v>
      </c>
      <c r="AM250" s="2"/>
      <c r="AN250" s="2"/>
      <c r="AO250" s="2"/>
      <c r="AP250" s="16" t="s">
        <v>202</v>
      </c>
      <c r="AQ250" s="141">
        <f t="array" aca="1" ref="AQ250" ca="1">INDEX($B244:$S244,MATCH(AQ249,$B244:$S244,1))</f>
        <v>5000</v>
      </c>
      <c r="AR250" s="16" t="s">
        <v>144</v>
      </c>
      <c r="AS250" s="17">
        <f>MATCH(MAX($A245:$A247),$A245:$A247,1)</f>
        <v>3</v>
      </c>
      <c r="AU250" s="2"/>
      <c r="AV250" s="2"/>
      <c r="AW250" s="2"/>
      <c r="AX250" s="16" t="s">
        <v>202</v>
      </c>
      <c r="AY250" s="141" t="e">
        <f t="array" aca="1" ref="AY250" ca="1">INDEX($B244:$S244,MATCH(AY249,$B244:$S244,1))</f>
        <v>#N/A</v>
      </c>
      <c r="AZ250" s="16" t="s">
        <v>144</v>
      </c>
      <c r="BA250" s="17">
        <f>MATCH(MAX($A245:$A247),$A245:$A247,1)</f>
        <v>3</v>
      </c>
    </row>
    <row r="251" spans="1:61" ht="15" customHeight="1" x14ac:dyDescent="0.3">
      <c r="B251" s="16" t="s">
        <v>203</v>
      </c>
      <c r="C251" s="141">
        <f t="array" aca="1" ref="C251" ca="1">INDEX($B244:$S244,IF(MATCH(C249,$B244:$S244,1)&lt;E251,MATCH(C249,$B244:$S244,1)+1,MATCH(C249,$B244:$S244,1)))</f>
        <v>8000</v>
      </c>
      <c r="D251" s="16" t="s">
        <v>145</v>
      </c>
      <c r="E251" s="17">
        <f>MATCH(MAX($B244:$S244),$B244:$S244,0)</f>
        <v>18</v>
      </c>
      <c r="G251" s="2"/>
      <c r="H251" s="2"/>
      <c r="I251" s="2"/>
      <c r="J251" s="16" t="s">
        <v>203</v>
      </c>
      <c r="K251" s="141">
        <f t="array" aca="1" ref="K251" ca="1">INDEX($B244:$S244,IF(MATCH(K249,$B244:$S244,1)&lt;M251,MATCH(K249,$B244:$S244,1)+1,MATCH(K249,$B244:$S244,1)))</f>
        <v>7500</v>
      </c>
      <c r="L251" s="16" t="s">
        <v>145</v>
      </c>
      <c r="M251" s="17">
        <f>MATCH(MAX($B244:$S244),$B244:$S244,0)</f>
        <v>18</v>
      </c>
      <c r="O251" s="53"/>
      <c r="P251" s="2"/>
      <c r="Q251" s="2"/>
      <c r="R251" s="16" t="s">
        <v>203</v>
      </c>
      <c r="S251" s="141">
        <f t="array" aca="1" ref="S251" ca="1">INDEX($B244:$S244,IF(MATCH(S249,$B244:$S244,1)&lt;U251,MATCH(S249,$B244:$S244,1)+1,MATCH(S249,$B244:$S244,1)))</f>
        <v>7000</v>
      </c>
      <c r="T251" s="16" t="s">
        <v>145</v>
      </c>
      <c r="U251" s="17">
        <f>MATCH(MAX($B244:$S244),$B244:$S244,0)</f>
        <v>18</v>
      </c>
      <c r="W251" s="2"/>
      <c r="X251" s="2"/>
      <c r="Y251" s="2"/>
      <c r="Z251" s="16" t="s">
        <v>203</v>
      </c>
      <c r="AA251" s="141">
        <f t="array" aca="1" ref="AA251" ca="1">INDEX($B244:$S244,IF(MATCH(AA249,$B244:$S244,1)&lt;AC251,MATCH(AA249,$B244:$S244,1)+1,MATCH(AA249,$B244:$S244,1)))</f>
        <v>6500</v>
      </c>
      <c r="AB251" s="16" t="s">
        <v>145</v>
      </c>
      <c r="AC251" s="17">
        <f>MATCH(MAX($B244:$S244),$B244:$S244,0)</f>
        <v>18</v>
      </c>
      <c r="AE251" s="2"/>
      <c r="AF251" s="2"/>
      <c r="AG251" s="2"/>
      <c r="AH251" s="16" t="s">
        <v>203</v>
      </c>
      <c r="AI251" s="141">
        <f t="array" aca="1" ref="AI251" ca="1">INDEX($B244:$S244,IF(MATCH(AI249,$B244:$S244,1)&lt;AK251,MATCH(AI249,$B244:$S244,1)+1,MATCH(AI249,$B244:$S244,1)))</f>
        <v>6000</v>
      </c>
      <c r="AJ251" s="16" t="s">
        <v>145</v>
      </c>
      <c r="AK251" s="17">
        <f>MATCH(MAX($B244:$S244),$B244:$S244,0)</f>
        <v>18</v>
      </c>
      <c r="AM251" s="2"/>
      <c r="AN251" s="2"/>
      <c r="AO251" s="2"/>
      <c r="AP251" s="16" t="s">
        <v>203</v>
      </c>
      <c r="AQ251" s="141">
        <f t="array" aca="1" ref="AQ251" ca="1">INDEX($B244:$S244,IF(MATCH(AQ249,$B244:$S244,1)&lt;AS251,MATCH(AQ249,$B244:$S244,1)+1,MATCH(AQ249,$B244:$S244,1)))</f>
        <v>5500</v>
      </c>
      <c r="AR251" s="16" t="s">
        <v>145</v>
      </c>
      <c r="AS251" s="17">
        <f>MATCH(MAX($B244:$S244),$B244:$S244,0)</f>
        <v>18</v>
      </c>
      <c r="AU251" s="2"/>
      <c r="AV251" s="2"/>
      <c r="AW251" s="2"/>
      <c r="AX251" s="16" t="s">
        <v>203</v>
      </c>
      <c r="AY251" s="141" t="e">
        <f t="array" aca="1" ref="AY251" ca="1">INDEX($B244:$S244,IF(MATCH(AY249,$B244:$S244,1)&lt;BA251,MATCH(AY249,$B244:$S244,1)+1,MATCH(AY249,$B244:$S244,1)))</f>
        <v>#N/A</v>
      </c>
      <c r="AZ251" s="16" t="s">
        <v>145</v>
      </c>
      <c r="BA251" s="17">
        <f>MATCH(MAX($B244:$S244),$B244:$S244,0)</f>
        <v>18</v>
      </c>
    </row>
    <row r="252" spans="1:61" ht="15" customHeight="1" x14ac:dyDescent="0.3">
      <c r="B252" s="139" t="s">
        <v>147</v>
      </c>
      <c r="C252" s="186">
        <f ca="1">'Take-off'!$C$24</f>
        <v>-2.3941410032796808</v>
      </c>
      <c r="D252" s="2"/>
      <c r="E252" s="2"/>
      <c r="G252" s="2"/>
      <c r="H252" s="2"/>
      <c r="I252" s="2"/>
      <c r="J252" s="139" t="s">
        <v>147</v>
      </c>
      <c r="K252" s="186">
        <f ca="1">'Take-off'!$C$24</f>
        <v>-2.3941410032796808</v>
      </c>
      <c r="L252" s="2"/>
      <c r="M252" s="2"/>
      <c r="O252" s="53"/>
      <c r="P252" s="2"/>
      <c r="Q252" s="2"/>
      <c r="R252" s="139" t="s">
        <v>147</v>
      </c>
      <c r="S252" s="186">
        <f ca="1">'Take-off'!$C$24</f>
        <v>-2.3941410032796808</v>
      </c>
      <c r="T252" s="2"/>
      <c r="U252" s="2"/>
      <c r="W252" s="2"/>
      <c r="X252" s="2"/>
      <c r="Y252" s="2"/>
      <c r="Z252" s="139" t="s">
        <v>147</v>
      </c>
      <c r="AA252" s="186">
        <f ca="1">'Take-off'!$C$24</f>
        <v>-2.3941410032796808</v>
      </c>
      <c r="AB252" s="2"/>
      <c r="AC252" s="2"/>
      <c r="AE252" s="2"/>
      <c r="AF252" s="2"/>
      <c r="AG252" s="2"/>
      <c r="AH252" s="139" t="s">
        <v>147</v>
      </c>
      <c r="AI252" s="186">
        <f ca="1">'Take-off'!$C$24</f>
        <v>-2.3941410032796808</v>
      </c>
      <c r="AJ252" s="2"/>
      <c r="AK252" s="2"/>
      <c r="AM252" s="2"/>
      <c r="AN252" s="2"/>
      <c r="AO252" s="2"/>
      <c r="AP252" s="139" t="s">
        <v>147</v>
      </c>
      <c r="AQ252" s="186">
        <f ca="1">'Take-off'!$C$24</f>
        <v>-2.3941410032796808</v>
      </c>
      <c r="AR252" s="2"/>
      <c r="AS252" s="2"/>
      <c r="AU252" s="2"/>
      <c r="AV252" s="2"/>
      <c r="AW252" s="2"/>
      <c r="AX252" s="139" t="s">
        <v>147</v>
      </c>
      <c r="AY252" s="186">
        <f ca="1">'Take-off'!$C$24</f>
        <v>-2.3941410032796808</v>
      </c>
      <c r="AZ252" s="2"/>
      <c r="BA252" s="2"/>
    </row>
    <row r="253" spans="1:61" ht="15" customHeight="1" x14ac:dyDescent="0.3">
      <c r="B253" s="16" t="s">
        <v>148</v>
      </c>
      <c r="C253" s="141">
        <f t="array" aca="1" ref="C253" ca="1">INDEX($A245:$A247,MATCH(C252,$A245:$A247,1))</f>
        <v>-10</v>
      </c>
      <c r="D253" s="2"/>
      <c r="E253" s="42"/>
      <c r="G253" s="2"/>
      <c r="H253" s="2"/>
      <c r="I253" s="2"/>
      <c r="J253" s="16" t="s">
        <v>148</v>
      </c>
      <c r="K253" s="141">
        <f t="array" aca="1" ref="K253" ca="1">INDEX($A245:$A247,MATCH(K252,$A245:$A247,1))</f>
        <v>-10</v>
      </c>
      <c r="L253" s="2"/>
      <c r="M253" s="42"/>
      <c r="O253" s="53"/>
      <c r="P253" s="2"/>
      <c r="Q253" s="2"/>
      <c r="R253" s="16" t="s">
        <v>148</v>
      </c>
      <c r="S253" s="141">
        <f t="array" aca="1" ref="S253" ca="1">INDEX($A245:$A247,MATCH(S252,$A245:$A247,1))</f>
        <v>-10</v>
      </c>
      <c r="T253" s="2"/>
      <c r="U253" s="42"/>
      <c r="W253" s="2"/>
      <c r="X253" s="2"/>
      <c r="Y253" s="2"/>
      <c r="Z253" s="16" t="s">
        <v>148</v>
      </c>
      <c r="AA253" s="141">
        <f t="array" aca="1" ref="AA253" ca="1">INDEX($A245:$A247,MATCH(AA252,$A245:$A247,1))</f>
        <v>-10</v>
      </c>
      <c r="AB253" s="2"/>
      <c r="AC253" s="42"/>
      <c r="AE253" s="2"/>
      <c r="AF253" s="2"/>
      <c r="AG253" s="2"/>
      <c r="AH253" s="16" t="s">
        <v>148</v>
      </c>
      <c r="AI253" s="141">
        <f t="array" aca="1" ref="AI253" ca="1">INDEX($A245:$A247,MATCH(AI252,$A245:$A247,1))</f>
        <v>-10</v>
      </c>
      <c r="AJ253" s="2"/>
      <c r="AK253" s="42"/>
      <c r="AM253" s="2"/>
      <c r="AN253" s="2"/>
      <c r="AO253" s="2"/>
      <c r="AP253" s="16" t="s">
        <v>148</v>
      </c>
      <c r="AQ253" s="141">
        <f t="array" aca="1" ref="AQ253" ca="1">INDEX($A245:$A247,MATCH(AQ252,$A245:$A247,1))</f>
        <v>-10</v>
      </c>
      <c r="AR253" s="2"/>
      <c r="AS253" s="42"/>
      <c r="AU253" s="2"/>
      <c r="AV253" s="2"/>
      <c r="AW253" s="2"/>
      <c r="AX253" s="16" t="s">
        <v>148</v>
      </c>
      <c r="AY253" s="141">
        <f t="array" aca="1" ref="AY253" ca="1">INDEX($A245:$A247,MATCH(AY252,$A245:$A247,1))</f>
        <v>-10</v>
      </c>
      <c r="AZ253" s="2"/>
      <c r="BA253" s="42"/>
    </row>
    <row r="254" spans="1:61" ht="15" customHeight="1" x14ac:dyDescent="0.3">
      <c r="B254" s="16" t="s">
        <v>149</v>
      </c>
      <c r="C254" s="141">
        <f t="array" aca="1" ref="C254" ca="1">INDEX($A245:$A247,IF(MATCH(C252,$A245:$A247,1)&lt;E250,MATCH(C252,$A245:$A247,1)+1,MATCH(C252,$A245:$A247,1)))</f>
        <v>0</v>
      </c>
      <c r="D254" s="2"/>
      <c r="E254" s="42"/>
      <c r="G254" s="2"/>
      <c r="H254" s="2"/>
      <c r="I254" s="2"/>
      <c r="J254" s="16" t="s">
        <v>149</v>
      </c>
      <c r="K254" s="141">
        <f t="array" aca="1" ref="K254" ca="1">INDEX($A245:$A247,IF(MATCH(K252,$A245:$A247,1)&lt;M250,MATCH(K252,$A245:$A247,1)+1,MATCH(K252,$A245:$A247,1)))</f>
        <v>0</v>
      </c>
      <c r="L254" s="2"/>
      <c r="M254" s="42"/>
      <c r="O254" s="53"/>
      <c r="P254" s="2"/>
      <c r="Q254" s="2"/>
      <c r="R254" s="16" t="s">
        <v>149</v>
      </c>
      <c r="S254" s="141">
        <f t="array" aca="1" ref="S254" ca="1">INDEX($A245:$A247,IF(MATCH(S252,$A245:$A247,1)&lt;U250,MATCH(S252,$A245:$A247,1)+1,MATCH(S252,$A245:$A247,1)))</f>
        <v>0</v>
      </c>
      <c r="T254" s="2"/>
      <c r="U254" s="42"/>
      <c r="W254" s="2"/>
      <c r="X254" s="2"/>
      <c r="Y254" s="2"/>
      <c r="Z254" s="16" t="s">
        <v>149</v>
      </c>
      <c r="AA254" s="141">
        <f t="array" aca="1" ref="AA254" ca="1">INDEX($A245:$A247,IF(MATCH(AA252,$A245:$A247,1)&lt;AC250,MATCH(AA252,$A245:$A247,1)+1,MATCH(AA252,$A245:$A247,1)))</f>
        <v>0</v>
      </c>
      <c r="AB254" s="2"/>
      <c r="AC254" s="42"/>
      <c r="AE254" s="2"/>
      <c r="AF254" s="2"/>
      <c r="AG254" s="2"/>
      <c r="AH254" s="16" t="s">
        <v>149</v>
      </c>
      <c r="AI254" s="141">
        <f t="array" aca="1" ref="AI254" ca="1">INDEX($A245:$A247,IF(MATCH(AI252,$A245:$A247,1)&lt;AK250,MATCH(AI252,$A245:$A247,1)+1,MATCH(AI252,$A245:$A247,1)))</f>
        <v>0</v>
      </c>
      <c r="AJ254" s="2"/>
      <c r="AK254" s="42"/>
      <c r="AM254" s="2"/>
      <c r="AN254" s="2"/>
      <c r="AO254" s="2"/>
      <c r="AP254" s="16" t="s">
        <v>149</v>
      </c>
      <c r="AQ254" s="141">
        <f t="array" aca="1" ref="AQ254" ca="1">INDEX($A245:$A247,IF(MATCH(AQ252,$A245:$A247,1)&lt;AS250,MATCH(AQ252,$A245:$A247,1)+1,MATCH(AQ252,$A245:$A247,1)))</f>
        <v>0</v>
      </c>
      <c r="AR254" s="2"/>
      <c r="AS254" s="42"/>
      <c r="AU254" s="2"/>
      <c r="AV254" s="2"/>
      <c r="AW254" s="2"/>
      <c r="AX254" s="16" t="s">
        <v>149</v>
      </c>
      <c r="AY254" s="141">
        <f t="array" aca="1" ref="AY254" ca="1">INDEX($A245:$A247,IF(MATCH(AY252,$A245:$A247,1)&lt;BA250,MATCH(AY252,$A245:$A247,1)+1,MATCH(AY252,$A245:$A247,1)))</f>
        <v>0</v>
      </c>
      <c r="AZ254" s="2"/>
      <c r="BA254" s="42"/>
    </row>
    <row r="255" spans="1:61" ht="15" customHeight="1" x14ac:dyDescent="0.3">
      <c r="B255" s="139" t="s">
        <v>150</v>
      </c>
      <c r="C255" s="140">
        <f t="array" aca="1" ref="C255" ca="1">INDEX($B245:$S247,MATCH(C252,$A245:$A247,1),MATCH(C249,$B244:$S244,1))</f>
        <v>9000</v>
      </c>
      <c r="D255" s="2"/>
      <c r="E255" s="42"/>
      <c r="G255" s="2"/>
      <c r="H255" s="2"/>
      <c r="I255" s="2"/>
      <c r="J255" s="139" t="s">
        <v>150</v>
      </c>
      <c r="K255" s="140">
        <f t="array" aca="1" ref="K255" ca="1">INDEX($B245:$S247,MATCH(K252,$A245:$A247,1),MATCH(K249,$B244:$S244,1))</f>
        <v>8500</v>
      </c>
      <c r="L255" s="2"/>
      <c r="M255" s="42"/>
      <c r="O255" s="53"/>
      <c r="P255" s="2"/>
      <c r="Q255" s="2"/>
      <c r="R255" s="139" t="s">
        <v>150</v>
      </c>
      <c r="S255" s="140">
        <f t="array" aca="1" ref="S255" ca="1">INDEX($B245:$S247,MATCH(S252,$A245:$A247,1),MATCH(S249,$B244:$S244,1))</f>
        <v>7900</v>
      </c>
      <c r="T255" s="2"/>
      <c r="U255" s="42"/>
      <c r="W255" s="2"/>
      <c r="X255" s="2"/>
      <c r="Y255" s="2"/>
      <c r="Z255" s="139" t="s">
        <v>150</v>
      </c>
      <c r="AA255" s="140">
        <f t="array" aca="1" ref="AA255" ca="1">INDEX($B245:$S247,MATCH(AA252,$A245:$A247,1),MATCH(AA249,$B244:$S244,1))</f>
        <v>7300</v>
      </c>
      <c r="AB255" s="2"/>
      <c r="AC255" s="42"/>
      <c r="AE255" s="2"/>
      <c r="AF255" s="2"/>
      <c r="AG255" s="2"/>
      <c r="AH255" s="139" t="s">
        <v>150</v>
      </c>
      <c r="AI255" s="140">
        <f t="array" aca="1" ref="AI255" ca="1">INDEX($B245:$S247,MATCH(AI252,$A245:$A247,1),MATCH(AI249,$B244:$S244,1))</f>
        <v>6750</v>
      </c>
      <c r="AJ255" s="2"/>
      <c r="AK255" s="42"/>
      <c r="AM255" s="2"/>
      <c r="AN255" s="2"/>
      <c r="AO255" s="2"/>
      <c r="AP255" s="139" t="s">
        <v>150</v>
      </c>
      <c r="AQ255" s="140">
        <f t="array" aca="1" ref="AQ255" ca="1">INDEX($B245:$S247,MATCH(AQ252,$A245:$A247,1),MATCH(AQ249,$B244:$S244,1))</f>
        <v>6150</v>
      </c>
      <c r="AR255" s="2"/>
      <c r="AS255" s="42"/>
      <c r="AU255" s="2"/>
      <c r="AV255" s="2"/>
      <c r="AW255" s="2"/>
      <c r="AX255" s="139" t="s">
        <v>150</v>
      </c>
      <c r="AY255" s="140" t="e">
        <f t="array" aca="1" ref="AY255" ca="1">INDEX($B245:$S247,MATCH(AY252,$A245:$A247,1),MATCH(AY249,$B244:$S244,1))</f>
        <v>#N/A</v>
      </c>
      <c r="AZ255" s="2"/>
      <c r="BA255" s="42"/>
    </row>
    <row r="256" spans="1:61" ht="15" customHeight="1" x14ac:dyDescent="0.3">
      <c r="B256" s="139" t="s">
        <v>204</v>
      </c>
      <c r="C256" s="140">
        <f t="array" aca="1" ref="C256" ca="1">INDEX($B245:$S247,MATCH(C252,$A245:$A247,1),IF(MATCH(C249,$B244:$S244,1)&lt;E251,MATCH(C249,$B244:$S244,1)+1,MATCH(C252,$A245:$A247,1)))</f>
        <v>9600</v>
      </c>
      <c r="E256" s="42"/>
      <c r="G256" s="2"/>
      <c r="H256" s="2"/>
      <c r="I256" s="2"/>
      <c r="J256" s="139" t="s">
        <v>204</v>
      </c>
      <c r="K256" s="140">
        <f t="array" aca="1" ref="K256" ca="1">INDEX($B245:$S247,MATCH(K252,$A245:$A247,1),IF(MATCH(K249,$B244:$S244,1)&lt;M251,MATCH(K249,$B244:$S244,1)+1,MATCH(K252,$A245:$A247,1)))</f>
        <v>9000</v>
      </c>
      <c r="M256" s="42"/>
      <c r="O256" s="12"/>
      <c r="P256" s="2"/>
      <c r="Q256" s="2"/>
      <c r="R256" s="139" t="s">
        <v>204</v>
      </c>
      <c r="S256" s="140">
        <f t="array" aca="1" ref="S256" ca="1">INDEX($B245:$S247,MATCH(S252,$A245:$A247,1),IF(MATCH(S249,$B244:$S244,1)&lt;U251,MATCH(S249,$B244:$S244,1)+1,MATCH(S252,$A245:$A247,1)))</f>
        <v>8500</v>
      </c>
      <c r="U256" s="42"/>
      <c r="W256" s="2"/>
      <c r="X256" s="2"/>
      <c r="Y256" s="2"/>
      <c r="Z256" s="139" t="s">
        <v>204</v>
      </c>
      <c r="AA256" s="140">
        <f t="array" aca="1" ref="AA256" ca="1">INDEX($B245:$S247,MATCH(AA252,$A245:$A247,1),IF(MATCH(AA249,$B244:$S244,1)&lt;AC251,MATCH(AA249,$B244:$S244,1)+1,MATCH(AA252,$A245:$A247,1)))</f>
        <v>7900</v>
      </c>
      <c r="AC256" s="42"/>
      <c r="AE256" s="2"/>
      <c r="AF256" s="2"/>
      <c r="AG256" s="2"/>
      <c r="AH256" s="139" t="s">
        <v>204</v>
      </c>
      <c r="AI256" s="140">
        <f t="array" aca="1" ref="AI256" ca="1">INDEX($B245:$S247,MATCH(AI252,$A245:$A247,1),IF(MATCH(AI249,$B244:$S244,1)&lt;AK251,MATCH(AI249,$B244:$S244,1)+1,MATCH(AI252,$A245:$A247,1)))</f>
        <v>7300</v>
      </c>
      <c r="AK256" s="42"/>
      <c r="AM256" s="2"/>
      <c r="AN256" s="2"/>
      <c r="AO256" s="2"/>
      <c r="AP256" s="139" t="s">
        <v>204</v>
      </c>
      <c r="AQ256" s="140">
        <f t="array" aca="1" ref="AQ256" ca="1">INDEX($B245:$S247,MATCH(AQ252,$A245:$A247,1),IF(MATCH(AQ249,$B244:$S244,1)&lt;AS251,MATCH(AQ249,$B244:$S244,1)+1,MATCH(AQ252,$A245:$A247,1)))</f>
        <v>6750</v>
      </c>
      <c r="AS256" s="42"/>
      <c r="AU256" s="2"/>
      <c r="AV256" s="2"/>
      <c r="AW256" s="2"/>
      <c r="AX256" s="139" t="s">
        <v>204</v>
      </c>
      <c r="AY256" s="140" t="e">
        <f t="array" aca="1" ref="AY256" ca="1">INDEX($B245:$S247,MATCH(AY252,$A245:$A247,1),IF(MATCH(AY249,$B244:$S244,1)&lt;BA251,MATCH(AY249,$B244:$S244,1)+1,MATCH(AY252,$A245:$A247,1)))</f>
        <v>#N/A</v>
      </c>
      <c r="BA256" s="42"/>
    </row>
    <row r="257" spans="1:61" ht="15" customHeight="1" x14ac:dyDescent="0.3">
      <c r="B257" s="139" t="s">
        <v>151</v>
      </c>
      <c r="C257" s="140">
        <f t="array" aca="1" ref="C257" ca="1">INDEX($B245:$S247,IF(MATCH(C252,$A245:$A247,1)&lt;E250,MATCH(C252,$A245:$A247,1)+1,MATCH(C252,$A245:$A247,1)),MATCH(C249,$B244:$S244,1))</f>
        <v>7500</v>
      </c>
      <c r="E257" s="42"/>
      <c r="G257" s="2"/>
      <c r="H257" s="2"/>
      <c r="I257" s="2"/>
      <c r="J257" s="139" t="s">
        <v>151</v>
      </c>
      <c r="K257" s="140">
        <f t="array" aca="1" ref="K257" ca="1">INDEX($B245:$S247,IF(MATCH(K252,$A245:$A247,1)&lt;M250,MATCH(K252,$A245:$A247,1)+1,MATCH(K252,$A245:$A247,1)),MATCH(K249,$B244:$S244,1))</f>
        <v>7000</v>
      </c>
      <c r="M257" s="42"/>
      <c r="O257" s="12"/>
      <c r="P257" s="2"/>
      <c r="Q257" s="2"/>
      <c r="R257" s="139" t="s">
        <v>151</v>
      </c>
      <c r="S257" s="140">
        <f t="array" aca="1" ref="S257" ca="1">INDEX($B245:$S247,IF(MATCH(S252,$A245:$A247,1)&lt;U250,MATCH(S252,$A245:$A247,1)+1,MATCH(S252,$A245:$A247,1)),MATCH(S249,$B244:$S244,1))</f>
        <v>6500</v>
      </c>
      <c r="U257" s="42"/>
      <c r="W257" s="2"/>
      <c r="X257" s="2"/>
      <c r="Y257" s="2"/>
      <c r="Z257" s="139" t="s">
        <v>151</v>
      </c>
      <c r="AA257" s="140">
        <f t="array" aca="1" ref="AA257" ca="1">INDEX($B245:$S247,IF(MATCH(AA252,$A245:$A247,1)&lt;AC250,MATCH(AA252,$A245:$A247,1)+1,MATCH(AA252,$A245:$A247,1)),MATCH(AA249,$B244:$S244,1))</f>
        <v>6000</v>
      </c>
      <c r="AC257" s="42"/>
      <c r="AE257" s="2"/>
      <c r="AF257" s="2"/>
      <c r="AG257" s="2"/>
      <c r="AH257" s="139" t="s">
        <v>151</v>
      </c>
      <c r="AI257" s="140">
        <f t="array" aca="1" ref="AI257" ca="1">INDEX($B245:$S247,IF(MATCH(AI252,$A245:$A247,1)&lt;AK250,MATCH(AI252,$A245:$A247,1)+1,MATCH(AI252,$A245:$A247,1)),MATCH(AI249,$B244:$S244,1))</f>
        <v>5500</v>
      </c>
      <c r="AK257" s="42"/>
      <c r="AM257" s="2"/>
      <c r="AN257" s="2"/>
      <c r="AO257" s="2"/>
      <c r="AP257" s="139" t="s">
        <v>151</v>
      </c>
      <c r="AQ257" s="140">
        <f t="array" aca="1" ref="AQ257" ca="1">INDEX($B245:$S247,IF(MATCH(AQ252,$A245:$A247,1)&lt;AS250,MATCH(AQ252,$A245:$A247,1)+1,MATCH(AQ252,$A245:$A247,1)),MATCH(AQ249,$B244:$S244,1))</f>
        <v>5000</v>
      </c>
      <c r="AS257" s="42"/>
      <c r="AU257" s="2"/>
      <c r="AV257" s="2"/>
      <c r="AW257" s="2"/>
      <c r="AX257" s="139" t="s">
        <v>151</v>
      </c>
      <c r="AY257" s="140" t="e">
        <f t="array" aca="1" ref="AY257" ca="1">INDEX($B245:$S247,IF(MATCH(AY252,$A245:$A247,1)&lt;BA250,MATCH(AY252,$A245:$A247,1)+1,MATCH(AY252,$A245:$A247,1)),MATCH(AY249,$B244:$S244,1))</f>
        <v>#N/A</v>
      </c>
      <c r="BA257" s="42"/>
    </row>
    <row r="258" spans="1:61" ht="15" customHeight="1" x14ac:dyDescent="0.3">
      <c r="B258" s="139" t="s">
        <v>205</v>
      </c>
      <c r="C258" s="140">
        <f t="array" aca="1" ref="C258" ca="1">INDEX($B245:$S247,IF(MATCH(C252,$A245:$A247,1)&lt;E250,MATCH(C252,$A245:$A247,1)+1,MATCH(C252,$A245:$A247,1)),IF(MATCH(C249,$B244:$S244,1)&lt;E251,MATCH(C249,$B244:$S244,1)+1,MATCH(C249,$B244:$S244,1)))</f>
        <v>8000</v>
      </c>
      <c r="G258" s="2"/>
      <c r="H258" s="2"/>
      <c r="I258" s="2"/>
      <c r="J258" s="139" t="s">
        <v>205</v>
      </c>
      <c r="K258" s="140">
        <f t="array" aca="1" ref="K258" ca="1">INDEX($B245:$S247,IF(MATCH(K252,$A245:$A247,1)&lt;M250,MATCH(K252,$A245:$A247,1)+1,MATCH(K252,$A245:$A247,1)),IF(MATCH(K249,$B244:$S244,1)&lt;M251,MATCH(K249,$B244:$S244,1)+1,MATCH(K249,$B244:$S244,1)))</f>
        <v>7500</v>
      </c>
      <c r="O258" s="12"/>
      <c r="P258" s="2"/>
      <c r="Q258" s="2"/>
      <c r="R258" s="139" t="s">
        <v>205</v>
      </c>
      <c r="S258" s="140">
        <f t="array" aca="1" ref="S258" ca="1">INDEX($B245:$S247,IF(MATCH(S252,$A245:$A247,1)&lt;U250,MATCH(S252,$A245:$A247,1)+1,MATCH(S252,$A245:$A247,1)),IF(MATCH(S249,$B244:$S244,1)&lt;U251,MATCH(S249,$B244:$S244,1)+1,MATCH(S249,$B244:$S244,1)))</f>
        <v>7000</v>
      </c>
      <c r="W258" s="2"/>
      <c r="X258" s="2"/>
      <c r="Y258" s="2"/>
      <c r="Z258" s="139" t="s">
        <v>205</v>
      </c>
      <c r="AA258" s="140">
        <f t="array" aca="1" ref="AA258" ca="1">INDEX($B245:$S247,IF(MATCH(AA252,$A245:$A247,1)&lt;AC250,MATCH(AA252,$A245:$A247,1)+1,MATCH(AA252,$A245:$A247,1)),IF(MATCH(AA249,$B244:$S244,1)&lt;AC251,MATCH(AA249,$B244:$S244,1)+1,MATCH(AA249,$B244:$S244,1)))</f>
        <v>6500</v>
      </c>
      <c r="AE258" s="2"/>
      <c r="AF258" s="2"/>
      <c r="AG258" s="2"/>
      <c r="AH258" s="139" t="s">
        <v>205</v>
      </c>
      <c r="AI258" s="140">
        <f t="array" aca="1" ref="AI258" ca="1">INDEX($B245:$S247,IF(MATCH(AI252,$A245:$A247,1)&lt;AK250,MATCH(AI252,$A245:$A247,1)+1,MATCH(AI252,$A245:$A247,1)),IF(MATCH(AI249,$B244:$S244,1)&lt;AK251,MATCH(AI249,$B244:$S244,1)+1,MATCH(AI249,$B244:$S244,1)))</f>
        <v>6000</v>
      </c>
      <c r="AM258" s="2"/>
      <c r="AN258" s="2"/>
      <c r="AO258" s="2"/>
      <c r="AP258" s="139" t="s">
        <v>205</v>
      </c>
      <c r="AQ258" s="140">
        <f t="array" aca="1" ref="AQ258" ca="1">INDEX($B245:$S247,IF(MATCH(AQ252,$A245:$A247,1)&lt;AS250,MATCH(AQ252,$A245:$A247,1)+1,MATCH(AQ252,$A245:$A247,1)),IF(MATCH(AQ249,$B244:$S244,1)&lt;AS251,MATCH(AQ249,$B244:$S244,1)+1,MATCH(AQ249,$B244:$S244,1)))</f>
        <v>5500</v>
      </c>
      <c r="AU258" s="2"/>
      <c r="AV258" s="2"/>
      <c r="AW258" s="2"/>
      <c r="AX258" s="139" t="s">
        <v>205</v>
      </c>
      <c r="AY258" s="140" t="e">
        <f t="array" aca="1" ref="AY258" ca="1">INDEX($B245:$S247,IF(MATCH(AY252,$A245:$A247,1)&lt;BA250,MATCH(AY252,$A245:$A247,1)+1,MATCH(AY252,$A245:$A247,1)),IF(MATCH(AY249,$B244:$S244,1)&lt;BA251,MATCH(AY249,$B244:$S244,1)+1,MATCH(AY249,$B244:$S244,1)))</f>
        <v>#N/A</v>
      </c>
    </row>
    <row r="259" spans="1:61" ht="15" customHeight="1" x14ac:dyDescent="0.3">
      <c r="B259" s="16" t="s">
        <v>206</v>
      </c>
      <c r="C259" s="141">
        <f ca="1">IFERROR(C255+(C249-C250)*(C256-C255)/(C251-C250),C255)</f>
        <v>9070.74</v>
      </c>
      <c r="G259" s="2"/>
      <c r="H259" s="2"/>
      <c r="I259" s="2"/>
      <c r="J259" s="16" t="s">
        <v>206</v>
      </c>
      <c r="K259" s="141">
        <f ca="1">IFERROR(K255+(K249-K250)*(K256-K255)/(K251-K250),K255)</f>
        <v>8687.32</v>
      </c>
      <c r="O259" s="12"/>
      <c r="P259" s="2"/>
      <c r="Q259" s="2"/>
      <c r="R259" s="16" t="s">
        <v>206</v>
      </c>
      <c r="S259" s="141">
        <f ca="1">IFERROR(S255+(S249-S250)*(S256-S255)/(S251-S250),S255)</f>
        <v>8010.94</v>
      </c>
      <c r="W259" s="2"/>
      <c r="X259" s="2"/>
      <c r="Y259" s="2"/>
      <c r="Z259" s="16" t="s">
        <v>206</v>
      </c>
      <c r="AA259" s="141">
        <f ca="1">IFERROR(AA255+(AA249-AA250)*(AA256-AA255)/(AA251-AA250),AA255)</f>
        <v>7371.4960000000001</v>
      </c>
      <c r="AE259" s="2"/>
      <c r="AF259" s="2"/>
      <c r="AG259" s="2"/>
      <c r="AH259" s="16" t="s">
        <v>206</v>
      </c>
      <c r="AI259" s="141">
        <f ca="1">IFERROR(AI255+(AI249-AI250)*(AI256-AI255)/(AI251-AI250),AI255)</f>
        <v>6830.6629999999996</v>
      </c>
      <c r="AM259" s="2"/>
      <c r="AN259" s="2"/>
      <c r="AO259" s="2"/>
      <c r="AP259" s="16" t="s">
        <v>206</v>
      </c>
      <c r="AQ259" s="141">
        <f ca="1">IFERROR(AQ255+(AQ249-AQ250)*(AQ256-AQ255)/(AQ251-AQ250),AQ255)</f>
        <v>6714.5519999999997</v>
      </c>
      <c r="AU259" s="2"/>
      <c r="AV259" s="2"/>
      <c r="AW259" s="2"/>
      <c r="AX259" s="16" t="s">
        <v>206</v>
      </c>
      <c r="AY259" s="141" t="e">
        <f ca="1">IFERROR(AY255+(AY249-AY250)*(AY256-AY255)/(AY251-AY250),AY255)</f>
        <v>#N/A</v>
      </c>
    </row>
    <row r="260" spans="1:61" ht="15" customHeight="1" x14ac:dyDescent="0.3">
      <c r="B260" s="16" t="s">
        <v>207</v>
      </c>
      <c r="C260" s="141">
        <f ca="1">IFERROR(C257+(C249-C250)*(C258-C257)/(C251-C250),C257)</f>
        <v>7558.95</v>
      </c>
      <c r="G260" s="2"/>
      <c r="H260" s="2"/>
      <c r="I260" s="2"/>
      <c r="J260" s="16" t="s">
        <v>207</v>
      </c>
      <c r="K260" s="141">
        <f ca="1">IFERROR(K257+(K249-K250)*(K258-K257)/(K251-K250),K257)</f>
        <v>7187.32</v>
      </c>
      <c r="O260" s="12"/>
      <c r="P260" s="2"/>
      <c r="Q260" s="2"/>
      <c r="R260" s="16" t="s">
        <v>207</v>
      </c>
      <c r="S260" s="141">
        <f ca="1">IFERROR(S257+(S249-S250)*(S258-S257)/(S251-S250),S257)</f>
        <v>6592.45</v>
      </c>
      <c r="W260" s="2"/>
      <c r="X260" s="2"/>
      <c r="Y260" s="2"/>
      <c r="Z260" s="16" t="s">
        <v>207</v>
      </c>
      <c r="AA260" s="141">
        <f ca="1">IFERROR(AA257+(AA249-AA250)*(AA258-AA257)/(AA251-AA250),AA257)</f>
        <v>6059.58</v>
      </c>
      <c r="AE260" s="2"/>
      <c r="AF260" s="2"/>
      <c r="AG260" s="2"/>
      <c r="AH260" s="16" t="s">
        <v>207</v>
      </c>
      <c r="AI260" s="141">
        <f ca="1">IFERROR(AI257+(AI249-AI250)*(AI258-AI257)/(AI251-AI250),AI257)</f>
        <v>5573.33</v>
      </c>
      <c r="AM260" s="2"/>
      <c r="AN260" s="2"/>
      <c r="AO260" s="2"/>
      <c r="AP260" s="16" t="s">
        <v>207</v>
      </c>
      <c r="AQ260" s="141">
        <f ca="1">IFERROR(AQ257+(AQ249-AQ250)*(AQ258-AQ257)/(AQ251-AQ250),AQ257)</f>
        <v>5470.46</v>
      </c>
      <c r="AU260" s="2"/>
      <c r="AV260" s="2"/>
      <c r="AW260" s="2"/>
      <c r="AX260" s="16" t="s">
        <v>207</v>
      </c>
      <c r="AY260" s="141" t="e">
        <f ca="1">IFERROR(AY257+(AY249-AY250)*(AY258-AY257)/(AY251-AY250),AY257)</f>
        <v>#N/A</v>
      </c>
    </row>
    <row r="261" spans="1:61" ht="15" customHeight="1" x14ac:dyDescent="0.3">
      <c r="B261" s="139" t="s">
        <v>208</v>
      </c>
      <c r="C261" s="140">
        <f ca="1">IFERROR(C259+(C252-C253)*(C260-C259)/(C254-C253),C259)</f>
        <v>7920.8938427348185</v>
      </c>
      <c r="G261" s="2"/>
      <c r="H261" s="2"/>
      <c r="I261" s="2"/>
      <c r="J261" s="139" t="s">
        <v>208</v>
      </c>
      <c r="K261" s="140">
        <f ca="1">IFERROR(K259+(K252-K253)*(K260-K259)/(K254-K253),K259)</f>
        <v>7546.4411504919517</v>
      </c>
      <c r="O261" s="12"/>
      <c r="P261" s="2"/>
      <c r="Q261" s="2"/>
      <c r="R261" s="139" t="s">
        <v>208</v>
      </c>
      <c r="S261" s="140">
        <f ca="1">IFERROR(S259+(S252-S253)*(S260-S259)/(S254-S253),S259)</f>
        <v>6932.0565071742194</v>
      </c>
      <c r="W261" s="2"/>
      <c r="X261" s="2"/>
      <c r="Y261" s="2"/>
      <c r="Z261" s="139" t="s">
        <v>208</v>
      </c>
      <c r="AA261" s="140">
        <f ca="1">IFERROR(AA259+(AA252-AA253)*(AA260-AA259)/(AA254-AA253),AA259)</f>
        <v>6373.6711888458667</v>
      </c>
      <c r="AE261" s="2"/>
      <c r="AF261" s="2"/>
      <c r="AG261" s="2"/>
      <c r="AH261" s="139" t="s">
        <v>208</v>
      </c>
      <c r="AI261" s="140">
        <f ca="1">IFERROR(AI259+(AI252-AI253)*(AI260-AI259)/(AI254-AI253),AI259)</f>
        <v>5874.353249007665</v>
      </c>
      <c r="AM261" s="2"/>
      <c r="AN261" s="2"/>
      <c r="AO261" s="2"/>
      <c r="AP261" s="139" t="s">
        <v>208</v>
      </c>
      <c r="AQ261" s="140">
        <f ca="1">IFERROR(AQ259+(AQ252-AQ253)*(AQ260-AQ259)/(AQ254-AQ253),AQ259)</f>
        <v>5768.3131669052227</v>
      </c>
      <c r="AU261" s="2"/>
      <c r="AV261" s="2"/>
      <c r="AW261" s="2"/>
      <c r="AX261" s="139" t="s">
        <v>208</v>
      </c>
      <c r="AY261" s="140" t="e">
        <f ca="1">IFERROR(AY259+(AY252-AY253)*(AY260-AY259)/(AY254-AY253),AY259)</f>
        <v>#N/A</v>
      </c>
    </row>
    <row r="262" spans="1:61" ht="15" customHeight="1" x14ac:dyDescent="0.3">
      <c r="B262" s="139"/>
      <c r="C262" s="140"/>
      <c r="G262" s="2"/>
      <c r="H262" s="2"/>
      <c r="I262" s="2"/>
      <c r="J262" s="139"/>
      <c r="K262" s="140"/>
      <c r="O262" s="12"/>
      <c r="P262" s="2"/>
      <c r="Q262" s="2"/>
      <c r="R262" s="139"/>
      <c r="S262" s="140"/>
      <c r="W262" s="2"/>
      <c r="X262" s="2"/>
      <c r="Y262" s="2"/>
      <c r="Z262" s="139"/>
      <c r="AA262" s="140"/>
      <c r="AE262" s="2"/>
      <c r="AF262" s="2"/>
      <c r="AG262" s="2"/>
      <c r="AH262" s="139"/>
      <c r="AI262" s="140"/>
      <c r="AM262" s="2"/>
      <c r="AN262" s="2"/>
      <c r="AO262" s="2"/>
      <c r="AP262" s="139"/>
      <c r="AQ262" s="140"/>
      <c r="AU262" s="2"/>
      <c r="AV262" s="2"/>
      <c r="AW262" s="2"/>
      <c r="AX262" s="139"/>
      <c r="AY262" s="140"/>
    </row>
    <row r="263" spans="1:61" ht="15" customHeight="1" x14ac:dyDescent="0.3">
      <c r="A263" t="s">
        <v>223</v>
      </c>
      <c r="B263" s="357" t="s">
        <v>222</v>
      </c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W263" s="2"/>
      <c r="X263" s="2"/>
      <c r="Y263" s="2"/>
      <c r="Z263" s="139"/>
      <c r="AA263" s="140"/>
      <c r="AE263" s="2"/>
      <c r="AF263" s="2"/>
      <c r="AG263" s="2"/>
      <c r="AH263" s="139"/>
      <c r="AI263" s="140"/>
      <c r="AM263" s="2"/>
      <c r="AN263" s="2"/>
      <c r="AO263" s="2"/>
      <c r="AP263" s="139"/>
      <c r="AQ263" s="140"/>
      <c r="AU263" s="2"/>
      <c r="AV263" s="2"/>
      <c r="AW263" s="2"/>
      <c r="AX263" s="139"/>
      <c r="AY263" s="140"/>
    </row>
    <row r="264" spans="1:61" ht="15" customHeight="1" x14ac:dyDescent="0.3">
      <c r="A264" t="s">
        <v>224</v>
      </c>
      <c r="B264" s="229">
        <v>3500</v>
      </c>
      <c r="C264" s="229">
        <v>4000</v>
      </c>
      <c r="D264" s="232">
        <v>4500</v>
      </c>
      <c r="E264" s="232">
        <v>5000</v>
      </c>
      <c r="F264" s="232">
        <v>5500</v>
      </c>
      <c r="G264" s="232">
        <v>6000</v>
      </c>
      <c r="H264" s="232">
        <v>6500</v>
      </c>
      <c r="I264" s="230">
        <v>7000</v>
      </c>
      <c r="J264" s="55">
        <v>7500</v>
      </c>
      <c r="K264" s="55">
        <v>8000</v>
      </c>
      <c r="L264" s="55">
        <v>8500</v>
      </c>
      <c r="M264" s="259">
        <v>9000</v>
      </c>
      <c r="N264" s="259">
        <v>9500</v>
      </c>
      <c r="O264" s="55">
        <v>10000</v>
      </c>
      <c r="P264" s="55">
        <v>10500</v>
      </c>
      <c r="Q264" s="259">
        <v>11000</v>
      </c>
      <c r="R264" s="259">
        <v>11500</v>
      </c>
      <c r="S264" s="259">
        <v>12000</v>
      </c>
      <c r="T264" s="72"/>
      <c r="U264" s="140"/>
      <c r="Y264" s="2"/>
      <c r="Z264" s="2"/>
      <c r="AA264" s="2"/>
      <c r="AB264" s="139"/>
      <c r="AC264" s="140"/>
      <c r="AG264" s="2"/>
      <c r="AH264" s="2"/>
      <c r="AI264" s="2"/>
      <c r="AJ264" s="139"/>
      <c r="AK264" s="140"/>
      <c r="AO264" s="2"/>
      <c r="AP264" s="2"/>
      <c r="AQ264" s="2"/>
      <c r="AR264" s="139"/>
      <c r="AS264" s="140"/>
      <c r="AW264" s="2"/>
      <c r="AX264" s="2"/>
      <c r="AY264" s="2"/>
      <c r="AZ264" s="139"/>
      <c r="BA264" s="140"/>
      <c r="BE264" s="2"/>
      <c r="BF264" s="2"/>
      <c r="BG264" s="2"/>
      <c r="BH264" s="139"/>
      <c r="BI264" s="140"/>
    </row>
    <row r="265" spans="1:61" ht="15" customHeight="1" x14ac:dyDescent="0.3">
      <c r="A265">
        <v>0</v>
      </c>
      <c r="B265" s="263">
        <v>3500</v>
      </c>
      <c r="C265" s="264">
        <v>4000</v>
      </c>
      <c r="D265" s="264">
        <v>4500</v>
      </c>
      <c r="E265" s="264">
        <v>5000</v>
      </c>
      <c r="F265" s="264">
        <v>5500</v>
      </c>
      <c r="G265" s="264">
        <v>6000</v>
      </c>
      <c r="H265" s="264">
        <v>6500</v>
      </c>
      <c r="I265" s="264">
        <v>7000</v>
      </c>
      <c r="J265" s="264">
        <v>7500</v>
      </c>
      <c r="K265" s="264">
        <v>8000</v>
      </c>
      <c r="L265" s="264">
        <v>8500</v>
      </c>
      <c r="M265" s="264">
        <v>9000</v>
      </c>
      <c r="N265" s="265">
        <v>9500</v>
      </c>
      <c r="O265" s="264">
        <v>10000</v>
      </c>
      <c r="P265" s="264">
        <v>10520</v>
      </c>
      <c r="Q265" s="264">
        <v>11050</v>
      </c>
      <c r="R265" s="264">
        <v>11550</v>
      </c>
      <c r="S265" s="265">
        <v>99999</v>
      </c>
      <c r="T265" s="72"/>
      <c r="U265" s="140"/>
      <c r="Y265" s="2"/>
      <c r="Z265" s="2"/>
      <c r="AA265" s="2"/>
      <c r="AB265" s="139"/>
      <c r="AC265" s="140"/>
      <c r="AG265" s="2"/>
      <c r="AH265" s="2"/>
      <c r="AI265" s="2"/>
      <c r="AJ265" s="139"/>
      <c r="AK265" s="140"/>
      <c r="AO265" s="2"/>
      <c r="AP265" s="2"/>
      <c r="AQ265" s="2"/>
      <c r="AR265" s="139"/>
      <c r="AS265" s="140"/>
      <c r="AW265" s="2"/>
      <c r="AX265" s="2"/>
      <c r="AY265" s="2"/>
      <c r="AZ265" s="139"/>
      <c r="BA265" s="140"/>
      <c r="BE265" s="2"/>
      <c r="BF265" s="2"/>
      <c r="BG265" s="2"/>
      <c r="BH265" s="139"/>
      <c r="BI265" s="140"/>
    </row>
    <row r="266" spans="1:61" ht="15" customHeight="1" x14ac:dyDescent="0.3">
      <c r="B266" s="139"/>
      <c r="C266" s="140"/>
      <c r="G266" s="2"/>
      <c r="H266" s="2"/>
      <c r="I266" s="2"/>
      <c r="J266" s="139"/>
      <c r="K266" s="140"/>
      <c r="O266" s="12"/>
      <c r="P266" s="2"/>
      <c r="Q266" s="2"/>
      <c r="R266" s="139"/>
      <c r="S266" s="140"/>
      <c r="W266" s="2"/>
      <c r="X266" s="2"/>
      <c r="Y266" s="2"/>
      <c r="Z266" s="139"/>
      <c r="AA266" s="140"/>
      <c r="AE266" s="2"/>
      <c r="AF266" s="2"/>
      <c r="AG266" s="2"/>
      <c r="AH266" s="139"/>
      <c r="AI266" s="140"/>
      <c r="AM266" s="2"/>
      <c r="AN266" s="2"/>
      <c r="AO266" s="2"/>
      <c r="AP266" s="139"/>
      <c r="AQ266" s="140"/>
      <c r="AU266" s="2"/>
      <c r="AV266" s="2"/>
      <c r="AW266" s="2"/>
      <c r="AX266" s="139"/>
      <c r="AY266" s="140"/>
    </row>
    <row r="267" spans="1:61" ht="15" customHeight="1" x14ac:dyDescent="0.3">
      <c r="B267" s="139" t="s">
        <v>146</v>
      </c>
      <c r="C267" s="140">
        <f ca="1">C261</f>
        <v>7920.8938427348185</v>
      </c>
      <c r="D267" s="355" t="s">
        <v>201</v>
      </c>
      <c r="E267" s="355"/>
      <c r="G267" s="2"/>
      <c r="H267" s="2"/>
      <c r="I267" s="2"/>
      <c r="J267" s="139" t="s">
        <v>146</v>
      </c>
      <c r="K267" s="140">
        <f ca="1">K261</f>
        <v>7546.4411504919517</v>
      </c>
      <c r="L267" s="355" t="s">
        <v>201</v>
      </c>
      <c r="M267" s="355"/>
      <c r="O267" s="12"/>
      <c r="P267" s="2"/>
      <c r="Q267" s="2"/>
      <c r="R267" s="139" t="s">
        <v>146</v>
      </c>
      <c r="S267" s="140">
        <f ca="1">S261</f>
        <v>6932.0565071742194</v>
      </c>
      <c r="T267" s="355" t="s">
        <v>201</v>
      </c>
      <c r="U267" s="355"/>
      <c r="W267" s="2"/>
      <c r="X267" s="2"/>
      <c r="Y267" s="2"/>
      <c r="Z267" s="139" t="s">
        <v>146</v>
      </c>
      <c r="AA267" s="140">
        <f ca="1">AA261</f>
        <v>6373.6711888458667</v>
      </c>
      <c r="AB267" s="355" t="s">
        <v>201</v>
      </c>
      <c r="AC267" s="355"/>
      <c r="AE267" s="2"/>
      <c r="AF267" s="2"/>
      <c r="AG267" s="2"/>
      <c r="AH267" s="139" t="s">
        <v>146</v>
      </c>
      <c r="AI267" s="140">
        <f ca="1">AI261</f>
        <v>5874.353249007665</v>
      </c>
      <c r="AJ267" s="355" t="s">
        <v>201</v>
      </c>
      <c r="AK267" s="355"/>
      <c r="AM267" s="2"/>
      <c r="AN267" s="2"/>
      <c r="AO267" s="2"/>
      <c r="AP267" s="139" t="s">
        <v>146</v>
      </c>
      <c r="AQ267" s="140">
        <f ca="1">AQ261</f>
        <v>5768.3131669052227</v>
      </c>
      <c r="AR267" s="355" t="s">
        <v>201</v>
      </c>
      <c r="AS267" s="355"/>
      <c r="AU267" s="2"/>
      <c r="AV267" s="2"/>
      <c r="AW267" s="2"/>
      <c r="AX267" s="139" t="s">
        <v>146</v>
      </c>
      <c r="AY267" s="140" t="e">
        <f ca="1">AY261</f>
        <v>#N/A</v>
      </c>
      <c r="AZ267" s="355" t="s">
        <v>201</v>
      </c>
      <c r="BA267" s="355"/>
    </row>
    <row r="268" spans="1:61" ht="15" customHeight="1" x14ac:dyDescent="0.3">
      <c r="B268" s="16" t="s">
        <v>202</v>
      </c>
      <c r="C268" s="141">
        <f t="array" aca="1" ref="C268" ca="1">INDEX($B264:$S264,MATCH(C267,$B264:$S264,1))</f>
        <v>7500</v>
      </c>
      <c r="D268" s="16" t="s">
        <v>144</v>
      </c>
      <c r="E268" s="17">
        <f>MATCH(MAX($A265),$A265,1)</f>
        <v>1</v>
      </c>
      <c r="G268" s="2"/>
      <c r="H268" s="2"/>
      <c r="I268" s="2"/>
      <c r="J268" s="16" t="s">
        <v>202</v>
      </c>
      <c r="K268" s="141">
        <f t="array" aca="1" ref="K268" ca="1">INDEX($B264:$S264,MATCH(K267,$B264:$S264,1))</f>
        <v>7500</v>
      </c>
      <c r="L268" s="16" t="s">
        <v>144</v>
      </c>
      <c r="M268" s="17">
        <f>MATCH(MAX($A265),$A265,1)</f>
        <v>1</v>
      </c>
      <c r="O268" s="12"/>
      <c r="P268" s="2"/>
      <c r="Q268" s="2"/>
      <c r="R268" s="16" t="s">
        <v>202</v>
      </c>
      <c r="S268" s="141">
        <f t="array" aca="1" ref="S268" ca="1">INDEX($B264:$S264,MATCH(S267,$B264:$S264,1))</f>
        <v>6500</v>
      </c>
      <c r="T268" s="16" t="s">
        <v>144</v>
      </c>
      <c r="U268" s="17">
        <f>MATCH(MAX($A265),$A265,1)</f>
        <v>1</v>
      </c>
      <c r="W268" s="2"/>
      <c r="X268" s="2"/>
      <c r="Y268" s="2"/>
      <c r="Z268" s="16" t="s">
        <v>202</v>
      </c>
      <c r="AA268" s="141">
        <f t="array" aca="1" ref="AA268" ca="1">INDEX($B264:$S264,MATCH(AA267,$B264:$S264,1))</f>
        <v>6000</v>
      </c>
      <c r="AB268" s="16" t="s">
        <v>144</v>
      </c>
      <c r="AC268" s="17">
        <f>MATCH(MAX($A265),$A265,1)</f>
        <v>1</v>
      </c>
      <c r="AE268" s="2"/>
      <c r="AF268" s="2"/>
      <c r="AG268" s="2"/>
      <c r="AH268" s="16" t="s">
        <v>202</v>
      </c>
      <c r="AI268" s="141">
        <f t="array" aca="1" ref="AI268" ca="1">INDEX($B264:$S264,MATCH(AI267,$B264:$S264,1))</f>
        <v>5500</v>
      </c>
      <c r="AJ268" s="16" t="s">
        <v>144</v>
      </c>
      <c r="AK268" s="17">
        <f>MATCH(MAX($A265),$A265,1)</f>
        <v>1</v>
      </c>
      <c r="AM268" s="2"/>
      <c r="AN268" s="2"/>
      <c r="AO268" s="2"/>
      <c r="AP268" s="16" t="s">
        <v>202</v>
      </c>
      <c r="AQ268" s="141">
        <f t="array" aca="1" ref="AQ268" ca="1">INDEX($B264:$S264,MATCH(AQ267,$B264:$S264,1))</f>
        <v>5500</v>
      </c>
      <c r="AR268" s="16" t="s">
        <v>144</v>
      </c>
      <c r="AS268" s="17">
        <f>MATCH(MAX($A265),$A265,1)</f>
        <v>1</v>
      </c>
      <c r="AU268" s="2"/>
      <c r="AV268" s="2"/>
      <c r="AW268" s="2"/>
      <c r="AX268" s="16" t="s">
        <v>202</v>
      </c>
      <c r="AY268" s="141" t="e">
        <f t="array" aca="1" ref="AY268" ca="1">INDEX($B264:$S264,MATCH(AY267,$B264:$S264,1))</f>
        <v>#N/A</v>
      </c>
      <c r="AZ268" s="16" t="s">
        <v>144</v>
      </c>
      <c r="BA268" s="17">
        <f>MATCH(MAX($A265),$A265,1)</f>
        <v>1</v>
      </c>
    </row>
    <row r="269" spans="1:61" ht="15" customHeight="1" x14ac:dyDescent="0.3">
      <c r="B269" s="16" t="s">
        <v>203</v>
      </c>
      <c r="C269" s="141">
        <f t="array" aca="1" ref="C269" ca="1">INDEX($B264:$S264,IF(MATCH(C267,$B264:$S264,1)&lt;E269,MATCH(C267,$B264:$S264,1)+1,MATCH(C267,$B264:$S264,1)))</f>
        <v>8000</v>
      </c>
      <c r="D269" s="16" t="s">
        <v>145</v>
      </c>
      <c r="E269" s="17">
        <f>MATCH(MAX($B264:$S264),$B264:$S264,0)</f>
        <v>18</v>
      </c>
      <c r="G269" s="2"/>
      <c r="H269" s="2"/>
      <c r="I269" s="2"/>
      <c r="J269" s="16" t="s">
        <v>203</v>
      </c>
      <c r="K269" s="141">
        <f t="array" aca="1" ref="K269" ca="1">INDEX($B264:$S264,IF(MATCH(K267,$B264:$S264,1)&lt;M269,MATCH(K267,$B264:$S264,1)+1,MATCH(K267,$B264:$S264,1)))</f>
        <v>8000</v>
      </c>
      <c r="L269" s="16" t="s">
        <v>145</v>
      </c>
      <c r="M269" s="17">
        <f>MATCH(MAX($B264:$S264),$B264:$S264,0)</f>
        <v>18</v>
      </c>
      <c r="O269" s="12"/>
      <c r="P269" s="2"/>
      <c r="Q269" s="2"/>
      <c r="R269" s="16" t="s">
        <v>203</v>
      </c>
      <c r="S269" s="141">
        <f t="array" aca="1" ref="S269" ca="1">INDEX($B264:$S264,IF(MATCH(S267,$B264:$S264,1)&lt;U269,MATCH(S267,$B264:$S264,1)+1,MATCH(S267,$B264:$S264,1)))</f>
        <v>7000</v>
      </c>
      <c r="T269" s="16" t="s">
        <v>145</v>
      </c>
      <c r="U269" s="17">
        <f>MATCH(MAX($B264:$S264),$B264:$S264,0)</f>
        <v>18</v>
      </c>
      <c r="W269" s="2"/>
      <c r="X269" s="2"/>
      <c r="Y269" s="2"/>
      <c r="Z269" s="16" t="s">
        <v>203</v>
      </c>
      <c r="AA269" s="141">
        <f t="array" aca="1" ref="AA269" ca="1">INDEX($B264:$S264,IF(MATCH(AA267,$B264:$S264,1)&lt;AC269,MATCH(AA267,$B264:$S264,1)+1,MATCH(AA267,$B264:$S264,1)))</f>
        <v>6500</v>
      </c>
      <c r="AB269" s="16" t="s">
        <v>145</v>
      </c>
      <c r="AC269" s="17">
        <f>MATCH(MAX($B264:$S264),$B264:$S264,0)</f>
        <v>18</v>
      </c>
      <c r="AE269" s="2"/>
      <c r="AF269" s="2"/>
      <c r="AG269" s="2"/>
      <c r="AH269" s="16" t="s">
        <v>203</v>
      </c>
      <c r="AI269" s="141">
        <f t="array" aca="1" ref="AI269" ca="1">INDEX($B264:$S264,IF(MATCH(AI267,$B264:$S264,1)&lt;AK269,MATCH(AI267,$B264:$S264,1)+1,MATCH(AI267,$B264:$S264,1)))</f>
        <v>6000</v>
      </c>
      <c r="AJ269" s="16" t="s">
        <v>145</v>
      </c>
      <c r="AK269" s="17">
        <f>MATCH(MAX($B264:$S264),$B264:$S264,0)</f>
        <v>18</v>
      </c>
      <c r="AM269" s="2"/>
      <c r="AN269" s="2"/>
      <c r="AO269" s="2"/>
      <c r="AP269" s="16" t="s">
        <v>203</v>
      </c>
      <c r="AQ269" s="141">
        <f t="array" aca="1" ref="AQ269" ca="1">INDEX($B264:$S264,IF(MATCH(AQ267,$B264:$S264,1)&lt;AS269,MATCH(AQ267,$B264:$S264,1)+1,MATCH(AQ267,$B264:$S264,1)))</f>
        <v>6000</v>
      </c>
      <c r="AR269" s="16" t="s">
        <v>145</v>
      </c>
      <c r="AS269" s="17">
        <f>MATCH(MAX($B264:$S264),$B264:$S264,0)</f>
        <v>18</v>
      </c>
      <c r="AU269" s="2"/>
      <c r="AV269" s="2"/>
      <c r="AW269" s="2"/>
      <c r="AX269" s="16" t="s">
        <v>203</v>
      </c>
      <c r="AY269" s="141" t="e">
        <f t="array" aca="1" ref="AY269" ca="1">INDEX($B264:$S264,IF(MATCH(AY267,$B264:$S264,1)&lt;BA269,MATCH(AY267,$B264:$S264,1)+1,MATCH(AY267,$B264:$S264,1)))</f>
        <v>#N/A</v>
      </c>
      <c r="AZ269" s="16" t="s">
        <v>145</v>
      </c>
      <c r="BA269" s="17">
        <f>MATCH(MAX($B264:$S264),$B264:$S264,0)</f>
        <v>18</v>
      </c>
    </row>
    <row r="270" spans="1:61" ht="15" customHeight="1" x14ac:dyDescent="0.3">
      <c r="B270" s="139" t="s">
        <v>147</v>
      </c>
      <c r="C270" s="186">
        <v>0</v>
      </c>
      <c r="D270" s="2"/>
      <c r="E270" s="2"/>
      <c r="G270" s="2"/>
      <c r="H270" s="2"/>
      <c r="I270" s="2"/>
      <c r="J270" s="139" t="s">
        <v>147</v>
      </c>
      <c r="K270" s="186">
        <v>0</v>
      </c>
      <c r="L270" s="2"/>
      <c r="M270" s="2"/>
      <c r="O270" s="12"/>
      <c r="P270" s="2"/>
      <c r="Q270" s="2"/>
      <c r="R270" s="139" t="s">
        <v>147</v>
      </c>
      <c r="S270" s="186">
        <v>0</v>
      </c>
      <c r="T270" s="2"/>
      <c r="U270" s="2"/>
      <c r="W270" s="2"/>
      <c r="X270" s="2"/>
      <c r="Y270" s="2"/>
      <c r="Z270" s="139" t="s">
        <v>147</v>
      </c>
      <c r="AA270" s="186">
        <v>0</v>
      </c>
      <c r="AB270" s="2"/>
      <c r="AC270" s="2"/>
      <c r="AE270" s="2"/>
      <c r="AF270" s="2"/>
      <c r="AG270" s="2"/>
      <c r="AH270" s="139" t="s">
        <v>147</v>
      </c>
      <c r="AI270" s="186">
        <v>0</v>
      </c>
      <c r="AJ270" s="2"/>
      <c r="AK270" s="2"/>
      <c r="AM270" s="2"/>
      <c r="AN270" s="2"/>
      <c r="AO270" s="2"/>
      <c r="AP270" s="139" t="s">
        <v>147</v>
      </c>
      <c r="AQ270" s="186">
        <v>0</v>
      </c>
      <c r="AR270" s="2"/>
      <c r="AS270" s="2"/>
      <c r="AU270" s="2"/>
      <c r="AV270" s="2"/>
      <c r="AW270" s="2"/>
      <c r="AX270" s="139" t="s">
        <v>147</v>
      </c>
      <c r="AY270" s="186">
        <v>0</v>
      </c>
      <c r="AZ270" s="2"/>
      <c r="BA270" s="2"/>
    </row>
    <row r="271" spans="1:61" ht="15" customHeight="1" x14ac:dyDescent="0.3">
      <c r="B271" s="16" t="s">
        <v>148</v>
      </c>
      <c r="C271" s="141">
        <f t="array" ref="C271">INDEX($A265,MATCH(C270,$A265,1))</f>
        <v>0</v>
      </c>
      <c r="D271" s="2"/>
      <c r="E271" s="42"/>
      <c r="G271" s="2"/>
      <c r="H271" s="2"/>
      <c r="I271" s="2"/>
      <c r="J271" s="16" t="s">
        <v>148</v>
      </c>
      <c r="K271" s="141">
        <f t="array" ref="K271">INDEX($A265,MATCH(K270,$A265,1))</f>
        <v>0</v>
      </c>
      <c r="L271" s="2"/>
      <c r="M271" s="42"/>
      <c r="O271" s="12"/>
      <c r="P271" s="2"/>
      <c r="Q271" s="2"/>
      <c r="R271" s="16" t="s">
        <v>148</v>
      </c>
      <c r="S271" s="141">
        <f t="array" ref="S271">INDEX($A265,MATCH(S270,$A265,1))</f>
        <v>0</v>
      </c>
      <c r="T271" s="2"/>
      <c r="U271" s="42"/>
      <c r="W271" s="2"/>
      <c r="X271" s="2"/>
      <c r="Y271" s="2"/>
      <c r="Z271" s="16" t="s">
        <v>148</v>
      </c>
      <c r="AA271" s="141">
        <f t="array" ref="AA271">INDEX($A265,MATCH(AA270,$A265,1))</f>
        <v>0</v>
      </c>
      <c r="AB271" s="2"/>
      <c r="AC271" s="42"/>
      <c r="AE271" s="2"/>
      <c r="AF271" s="2"/>
      <c r="AG271" s="2"/>
      <c r="AH271" s="16" t="s">
        <v>148</v>
      </c>
      <c r="AI271" s="141">
        <f t="array" ref="AI271">INDEX($A265,MATCH(AI270,$A265,1))</f>
        <v>0</v>
      </c>
      <c r="AJ271" s="2"/>
      <c r="AK271" s="42"/>
      <c r="AM271" s="2"/>
      <c r="AN271" s="2"/>
      <c r="AO271" s="2"/>
      <c r="AP271" s="16" t="s">
        <v>148</v>
      </c>
      <c r="AQ271" s="141">
        <f t="array" ref="AQ271">INDEX($A265,MATCH(AQ270,$A265,1))</f>
        <v>0</v>
      </c>
      <c r="AR271" s="2"/>
      <c r="AS271" s="42"/>
      <c r="AU271" s="2"/>
      <c r="AV271" s="2"/>
      <c r="AW271" s="2"/>
      <c r="AX271" s="16" t="s">
        <v>148</v>
      </c>
      <c r="AY271" s="141">
        <f t="array" ref="AY271">INDEX($A265,MATCH(AY270,$A265,1))</f>
        <v>0</v>
      </c>
      <c r="AZ271" s="2"/>
      <c r="BA271" s="42"/>
    </row>
    <row r="272" spans="1:61" ht="15" customHeight="1" x14ac:dyDescent="0.3">
      <c r="B272" s="16" t="s">
        <v>149</v>
      </c>
      <c r="C272" s="141">
        <f t="array" ref="C272">INDEX($A265,IF(MATCH(C270,$A265,1)&lt;E268,MATCH(C270,$A265,1)+1,MATCH(C270,$A265,1)))</f>
        <v>0</v>
      </c>
      <c r="D272" s="2"/>
      <c r="E272" s="42"/>
      <c r="G272" s="2"/>
      <c r="H272" s="2"/>
      <c r="I272" s="2"/>
      <c r="J272" s="16" t="s">
        <v>149</v>
      </c>
      <c r="K272" s="141">
        <f t="array" ref="K272">INDEX($A265,IF(MATCH(K270,$A265,1)&lt;M268,MATCH(K270,$A265,1)+1,MATCH(K270,$A265,1)))</f>
        <v>0</v>
      </c>
      <c r="L272" s="2"/>
      <c r="M272" s="42"/>
      <c r="O272" s="12"/>
      <c r="P272" s="2"/>
      <c r="Q272" s="2"/>
      <c r="R272" s="16" t="s">
        <v>149</v>
      </c>
      <c r="S272" s="141">
        <f t="array" ref="S272">INDEX($A265,IF(MATCH(S270,$A265,1)&lt;U268,MATCH(S270,$A265,1)+1,MATCH(S270,$A265,1)))</f>
        <v>0</v>
      </c>
      <c r="T272" s="2"/>
      <c r="U272" s="42"/>
      <c r="W272" s="2"/>
      <c r="X272" s="2"/>
      <c r="Y272" s="2"/>
      <c r="Z272" s="16" t="s">
        <v>149</v>
      </c>
      <c r="AA272" s="141">
        <f t="array" ref="AA272">INDEX($A265,IF(MATCH(AA270,$A265,1)&lt;AC268,MATCH(AA270,$A265,1)+1,MATCH(AA270,$A265,1)))</f>
        <v>0</v>
      </c>
      <c r="AB272" s="2"/>
      <c r="AC272" s="42"/>
      <c r="AE272" s="2"/>
      <c r="AF272" s="2"/>
      <c r="AG272" s="2"/>
      <c r="AH272" s="16" t="s">
        <v>149</v>
      </c>
      <c r="AI272" s="141">
        <f t="array" ref="AI272">INDEX($A265,IF(MATCH(AI270,$A265,1)&lt;AK268,MATCH(AI270,$A265,1)+1,MATCH(AI270,$A265,1)))</f>
        <v>0</v>
      </c>
      <c r="AJ272" s="2"/>
      <c r="AK272" s="42"/>
      <c r="AM272" s="2"/>
      <c r="AN272" s="2"/>
      <c r="AO272" s="2"/>
      <c r="AP272" s="16" t="s">
        <v>149</v>
      </c>
      <c r="AQ272" s="141">
        <f t="array" ref="AQ272">INDEX($A265,IF(MATCH(AQ270,$A265,1)&lt;AS268,MATCH(AQ270,$A265,1)+1,MATCH(AQ270,$A265,1)))</f>
        <v>0</v>
      </c>
      <c r="AR272" s="2"/>
      <c r="AS272" s="42"/>
      <c r="AU272" s="2"/>
      <c r="AV272" s="2"/>
      <c r="AW272" s="2"/>
      <c r="AX272" s="16" t="s">
        <v>149</v>
      </c>
      <c r="AY272" s="141">
        <f t="array" ref="AY272">INDEX($A265,IF(MATCH(AY270,$A265,1)&lt;BA268,MATCH(AY270,$A265,1)+1,MATCH(AY270,$A265,1)))</f>
        <v>0</v>
      </c>
      <c r="AZ272" s="2"/>
      <c r="BA272" s="42"/>
    </row>
    <row r="273" spans="1:66" ht="15" customHeight="1" x14ac:dyDescent="0.3">
      <c r="B273" s="139" t="s">
        <v>150</v>
      </c>
      <c r="C273" s="140">
        <f t="array" aca="1" ref="C273" ca="1">INDEX($B265:$S265,MATCH(C270,$A265,1),MATCH(C267,$B264:$S264,1))</f>
        <v>7500</v>
      </c>
      <c r="D273" s="2"/>
      <c r="E273" s="42"/>
      <c r="G273" s="2"/>
      <c r="H273" s="2"/>
      <c r="I273" s="2"/>
      <c r="J273" s="139" t="s">
        <v>150</v>
      </c>
      <c r="K273" s="140">
        <f t="array" aca="1" ref="K273" ca="1">INDEX($B265:$S265,MATCH(K270,$A265,1),MATCH(K267,$B264:$S264,1))</f>
        <v>7500</v>
      </c>
      <c r="L273" s="2"/>
      <c r="M273" s="42"/>
      <c r="O273" s="12"/>
      <c r="P273" s="2"/>
      <c r="Q273" s="2"/>
      <c r="R273" s="139" t="s">
        <v>150</v>
      </c>
      <c r="S273" s="140">
        <f t="array" aca="1" ref="S273" ca="1">INDEX($B265:$S265,MATCH(S270,$A265,1),MATCH(S267,$B264:$S264,1))</f>
        <v>6500</v>
      </c>
      <c r="T273" s="2"/>
      <c r="U273" s="42"/>
      <c r="W273" s="2"/>
      <c r="X273" s="2"/>
      <c r="Y273" s="2"/>
      <c r="Z273" s="139" t="s">
        <v>150</v>
      </c>
      <c r="AA273" s="140">
        <f t="array" aca="1" ref="AA273" ca="1">INDEX($B265:$S265,MATCH(AA270,$A265,1),MATCH(AA267,$B264:$S264,1))</f>
        <v>6000</v>
      </c>
      <c r="AB273" s="2"/>
      <c r="AC273" s="42"/>
      <c r="AE273" s="2"/>
      <c r="AF273" s="2"/>
      <c r="AG273" s="2"/>
      <c r="AH273" s="139" t="s">
        <v>150</v>
      </c>
      <c r="AI273" s="140">
        <f t="array" aca="1" ref="AI273" ca="1">INDEX($B265:$S265,MATCH(AI270,$A265,1),MATCH(AI267,$B264:$S264,1))</f>
        <v>5500</v>
      </c>
      <c r="AJ273" s="2"/>
      <c r="AK273" s="42"/>
      <c r="AM273" s="2"/>
      <c r="AN273" s="2"/>
      <c r="AO273" s="2"/>
      <c r="AP273" s="139" t="s">
        <v>150</v>
      </c>
      <c r="AQ273" s="140">
        <f t="array" aca="1" ref="AQ273" ca="1">INDEX($B265:$S265,MATCH(AQ270,$A265,1),MATCH(AQ267,$B264:$S264,1))</f>
        <v>5500</v>
      </c>
      <c r="AR273" s="2"/>
      <c r="AS273" s="42"/>
      <c r="AU273" s="2"/>
      <c r="AV273" s="2"/>
      <c r="AW273" s="2"/>
      <c r="AX273" s="139" t="s">
        <v>150</v>
      </c>
      <c r="AY273" s="140" t="e">
        <f t="array" aca="1" ref="AY273" ca="1">INDEX($B265:$S265,MATCH(AY270,$A265,1),MATCH(AY267,$B264:$S264,1))</f>
        <v>#N/A</v>
      </c>
      <c r="AZ273" s="2"/>
      <c r="BA273" s="42"/>
    </row>
    <row r="274" spans="1:66" ht="15" customHeight="1" x14ac:dyDescent="0.3">
      <c r="B274" s="139" t="s">
        <v>204</v>
      </c>
      <c r="C274" s="140">
        <f t="array" aca="1" ref="C274" ca="1">INDEX($B265:$S265,MATCH(C270,$A265,1),IF(MATCH(C267,$B264:$S264,1)&lt;E269,MATCH(C267,$B264:$S264,1)+1,MATCH(C270,$A265,1)))</f>
        <v>8000</v>
      </c>
      <c r="E274" s="42"/>
      <c r="G274" s="2"/>
      <c r="H274" s="2"/>
      <c r="I274" s="2"/>
      <c r="J274" s="139" t="s">
        <v>204</v>
      </c>
      <c r="K274" s="140">
        <f t="array" aca="1" ref="K274" ca="1">INDEX($B265:$S265,MATCH(K270,$A265,1),IF(MATCH(K267,$B264:$S264,1)&lt;M269,MATCH(K267,$B264:$S264,1)+1,MATCH(K270,$A265,1)))</f>
        <v>8000</v>
      </c>
      <c r="M274" s="42"/>
      <c r="O274" s="2"/>
      <c r="P274" s="2"/>
      <c r="Q274" s="2"/>
      <c r="R274" s="139" t="s">
        <v>204</v>
      </c>
      <c r="S274" s="140">
        <f t="array" aca="1" ref="S274" ca="1">INDEX($B265:$S265,MATCH(S270,$A265,1),IF(MATCH(S267,$B264:$S264,1)&lt;U269,MATCH(S267,$B264:$S264,1)+1,MATCH(S270,$A265,1)))</f>
        <v>7000</v>
      </c>
      <c r="U274" s="42"/>
      <c r="W274" s="2"/>
      <c r="X274" s="2"/>
      <c r="Y274" s="2"/>
      <c r="Z274" s="139" t="s">
        <v>204</v>
      </c>
      <c r="AA274" s="140">
        <f t="array" aca="1" ref="AA274" ca="1">INDEX($B265:$S265,MATCH(AA270,$A265,1),IF(MATCH(AA267,$B264:$S264,1)&lt;AC269,MATCH(AA267,$B264:$S264,1)+1,MATCH(AA270,$A265,1)))</f>
        <v>6500</v>
      </c>
      <c r="AC274" s="42"/>
      <c r="AE274" s="2"/>
      <c r="AF274" s="2"/>
      <c r="AG274" s="2"/>
      <c r="AH274" s="139" t="s">
        <v>204</v>
      </c>
      <c r="AI274" s="140">
        <f t="array" aca="1" ref="AI274" ca="1">INDEX($B265:$S265,MATCH(AI270,$A265,1),IF(MATCH(AI267,$B264:$S264,1)&lt;AK269,MATCH(AI267,$B264:$S264,1)+1,MATCH(AI270,$A265,1)))</f>
        <v>6000</v>
      </c>
      <c r="AK274" s="42"/>
      <c r="AM274" s="2"/>
      <c r="AN274" s="2"/>
      <c r="AO274" s="2"/>
      <c r="AP274" s="139" t="s">
        <v>204</v>
      </c>
      <c r="AQ274" s="140">
        <f t="array" aca="1" ref="AQ274" ca="1">INDEX($B265:$S265,MATCH(AQ270,$A265,1),IF(MATCH(AQ267,$B264:$S264,1)&lt;AS269,MATCH(AQ267,$B264:$S264,1)+1,MATCH(AQ270,$A265,1)))</f>
        <v>6000</v>
      </c>
      <c r="AS274" s="42"/>
      <c r="AU274" s="2"/>
      <c r="AV274" s="2"/>
      <c r="AW274" s="2"/>
      <c r="AX274" s="139" t="s">
        <v>204</v>
      </c>
      <c r="AY274" s="140" t="e">
        <f t="array" aca="1" ref="AY274" ca="1">INDEX($B265:$S265,MATCH(AY270,$A265,1),IF(MATCH(AY267,$B264:$S264,1)&lt;BA269,MATCH(AY267,$B264:$S264,1)+1,MATCH(AY270,$A265,1)))</f>
        <v>#N/A</v>
      </c>
      <c r="BA274" s="42"/>
    </row>
    <row r="275" spans="1:66" ht="15" customHeight="1" x14ac:dyDescent="0.3">
      <c r="B275" s="139" t="s">
        <v>151</v>
      </c>
      <c r="C275" s="140">
        <f t="array" aca="1" ref="C275" ca="1">INDEX($B265:$S265,IF(MATCH(C270,$A265,1)&lt;E268,MATCH(C270,$A265,1)+1,MATCH(C270,$A265,1)),MATCH(C267,$B264:$S264,1))</f>
        <v>7500</v>
      </c>
      <c r="E275" s="42"/>
      <c r="G275" s="2"/>
      <c r="H275" s="2"/>
      <c r="I275" s="2"/>
      <c r="J275" s="139" t="s">
        <v>151</v>
      </c>
      <c r="K275" s="140">
        <f t="array" aca="1" ref="K275" ca="1">INDEX($B265:$S265,IF(MATCH(K270,$A265,1)&lt;M268,MATCH(K270,$A265,1)+1,MATCH(K270,$A265,1)),MATCH(K267,$B264:$S264,1))</f>
        <v>7500</v>
      </c>
      <c r="M275" s="42"/>
      <c r="O275" s="2"/>
      <c r="P275" s="2"/>
      <c r="Q275" s="2"/>
      <c r="R275" s="139" t="s">
        <v>151</v>
      </c>
      <c r="S275" s="140">
        <f t="array" aca="1" ref="S275" ca="1">INDEX($B265:$S265,IF(MATCH(S270,$A265,1)&lt;U268,MATCH(S270,$A265,1)+1,MATCH(S270,$A265,1)),MATCH(S267,$B264:$S264,1))</f>
        <v>6500</v>
      </c>
      <c r="U275" s="42"/>
      <c r="W275" s="2"/>
      <c r="X275" s="2"/>
      <c r="Y275" s="2"/>
      <c r="Z275" s="139" t="s">
        <v>151</v>
      </c>
      <c r="AA275" s="140">
        <f t="array" aca="1" ref="AA275" ca="1">INDEX($B265:$S265,IF(MATCH(AA270,$A265,1)&lt;AC268,MATCH(AA270,$A265,1)+1,MATCH(AA270,$A265,1)),MATCH(AA267,$B264:$S264,1))</f>
        <v>6000</v>
      </c>
      <c r="AC275" s="42"/>
      <c r="AE275" s="2"/>
      <c r="AF275" s="2"/>
      <c r="AG275" s="2"/>
      <c r="AH275" s="139" t="s">
        <v>151</v>
      </c>
      <c r="AI275" s="140">
        <f t="array" aca="1" ref="AI275" ca="1">INDEX($B265:$S265,IF(MATCH(AI270,$A265,1)&lt;AK268,MATCH(AI270,$A265,1)+1,MATCH(AI270,$A265,1)),MATCH(AI267,$B264:$S264,1))</f>
        <v>5500</v>
      </c>
      <c r="AK275" s="42"/>
      <c r="AM275" s="2"/>
      <c r="AN275" s="2"/>
      <c r="AO275" s="2"/>
      <c r="AP275" s="139" t="s">
        <v>151</v>
      </c>
      <c r="AQ275" s="140">
        <f t="array" aca="1" ref="AQ275" ca="1">INDEX($B265:$S265,IF(MATCH(AQ270,$A265,1)&lt;AS268,MATCH(AQ270,$A265,1)+1,MATCH(AQ270,$A265,1)),MATCH(AQ267,$B264:$S264,1))</f>
        <v>5500</v>
      </c>
      <c r="AS275" s="42"/>
      <c r="AU275" s="2"/>
      <c r="AV275" s="2"/>
      <c r="AW275" s="2"/>
      <c r="AX275" s="139" t="s">
        <v>151</v>
      </c>
      <c r="AY275" s="140" t="e">
        <f t="array" aca="1" ref="AY275" ca="1">INDEX($B265:$S265,IF(MATCH(AY270,$A265,1)&lt;BA268,MATCH(AY270,$A265,1)+1,MATCH(AY270,$A265,1)),MATCH(AY267,$B264:$S264,1))</f>
        <v>#N/A</v>
      </c>
      <c r="BA275" s="42"/>
    </row>
    <row r="276" spans="1:66" ht="15" customHeight="1" x14ac:dyDescent="0.3">
      <c r="B276" s="139" t="s">
        <v>205</v>
      </c>
      <c r="C276" s="140">
        <f t="array" aca="1" ref="C276" ca="1">INDEX($B265:$S265,IF(MATCH(C270,$A265,1)&lt;E268,MATCH(C270,$A265,1)+1,MATCH(C270,$A265,1)),IF(MATCH(C267,$B264:$S264,1)&lt;E269,MATCH(C267,$B264:$S264,1)+1,MATCH(C267,$B264:$S264,1)))</f>
        <v>8000</v>
      </c>
      <c r="G276" s="2"/>
      <c r="H276" s="2"/>
      <c r="I276" s="2"/>
      <c r="J276" s="139" t="s">
        <v>205</v>
      </c>
      <c r="K276" s="140">
        <f t="array" aca="1" ref="K276" ca="1">INDEX($B265:$S265,IF(MATCH(K270,$A265,1)&lt;M268,MATCH(K270,$A265,1)+1,MATCH(K270,$A265,1)),IF(MATCH(K267,$B264:$S264,1)&lt;M269,MATCH(K267,$B264:$S264,1)+1,MATCH(K267,$B264:$S264,1)))</f>
        <v>8000</v>
      </c>
      <c r="O276" s="2"/>
      <c r="P276" s="2"/>
      <c r="Q276" s="2"/>
      <c r="R276" s="139" t="s">
        <v>205</v>
      </c>
      <c r="S276" s="140">
        <f t="array" aca="1" ref="S276" ca="1">INDEX($B265:$S265,IF(MATCH(S270,$A265,1)&lt;U268,MATCH(S270,$A265,1)+1,MATCH(S270,$A265,1)),IF(MATCH(S267,$B264:$S264,1)&lt;U269,MATCH(S267,$B264:$S264,1)+1,MATCH(S267,$B264:$S264,1)))</f>
        <v>7000</v>
      </c>
      <c r="W276" s="2"/>
      <c r="X276" s="2"/>
      <c r="Y276" s="2"/>
      <c r="Z276" s="139" t="s">
        <v>205</v>
      </c>
      <c r="AA276" s="140">
        <f t="array" aca="1" ref="AA276" ca="1">INDEX($B265:$S265,IF(MATCH(AA270,$A265,1)&lt;AC268,MATCH(AA270,$A265,1)+1,MATCH(AA270,$A265,1)),IF(MATCH(AA267,$B264:$S264,1)&lt;AC269,MATCH(AA267,$B264:$S264,1)+1,MATCH(AA267,$B264:$S264,1)))</f>
        <v>6500</v>
      </c>
      <c r="AE276" s="2"/>
      <c r="AF276" s="2"/>
      <c r="AG276" s="2"/>
      <c r="AH276" s="139" t="s">
        <v>205</v>
      </c>
      <c r="AI276" s="140">
        <f t="array" aca="1" ref="AI276" ca="1">INDEX($B265:$S265,IF(MATCH(AI270,$A265,1)&lt;AK268,MATCH(AI270,$A265,1)+1,MATCH(AI270,$A265,1)),IF(MATCH(AI267,$B264:$S264,1)&lt;AK269,MATCH(AI267,$B264:$S264,1)+1,MATCH(AI267,$B264:$S264,1)))</f>
        <v>6000</v>
      </c>
      <c r="AM276" s="2"/>
      <c r="AN276" s="2"/>
      <c r="AO276" s="2"/>
      <c r="AP276" s="139" t="s">
        <v>205</v>
      </c>
      <c r="AQ276" s="140">
        <f t="array" aca="1" ref="AQ276" ca="1">INDEX($B265:$S265,IF(MATCH(AQ270,$A265,1)&lt;AS268,MATCH(AQ270,$A265,1)+1,MATCH(AQ270,$A265,1)),IF(MATCH(AQ267,$B264:$S264,1)&lt;AS269,MATCH(AQ267,$B264:$S264,1)+1,MATCH(AQ267,$B264:$S264,1)))</f>
        <v>6000</v>
      </c>
      <c r="AU276" s="2"/>
      <c r="AV276" s="2"/>
      <c r="AW276" s="2"/>
      <c r="AX276" s="139" t="s">
        <v>205</v>
      </c>
      <c r="AY276" s="140" t="e">
        <f t="array" aca="1" ref="AY276" ca="1">INDEX($B265:$S265,IF(MATCH(AY270,$A265,1)&lt;BA268,MATCH(AY270,$A265,1)+1,MATCH(AY270,$A265,1)),IF(MATCH(AY267,$B264:$S264,1)&lt;BA269,MATCH(AY267,$B264:$S264,1)+1,MATCH(AY267,$B264:$S264,1)))</f>
        <v>#N/A</v>
      </c>
    </row>
    <row r="277" spans="1:66" ht="15" customHeight="1" x14ac:dyDescent="0.3">
      <c r="B277" s="16" t="s">
        <v>206</v>
      </c>
      <c r="C277" s="141">
        <f ca="1">IFERROR(C273+(C267-C268)*(C274-C273)/(C269-C268),C273)</f>
        <v>7920.8938427348185</v>
      </c>
      <c r="G277" s="2"/>
      <c r="H277" s="2"/>
      <c r="I277" s="2"/>
      <c r="J277" s="16" t="s">
        <v>206</v>
      </c>
      <c r="K277" s="141">
        <f ca="1">IFERROR(K273+(K267-K268)*(K274-K273)/(K269-K268),K273)</f>
        <v>7546.4411504919517</v>
      </c>
      <c r="O277" s="2"/>
      <c r="P277" s="2"/>
      <c r="Q277" s="2"/>
      <c r="R277" s="16" t="s">
        <v>206</v>
      </c>
      <c r="S277" s="141">
        <f ca="1">IFERROR(S273+(S267-S268)*(S274-S273)/(S269-S268),S273)</f>
        <v>6932.0565071742194</v>
      </c>
      <c r="W277" s="2"/>
      <c r="X277" s="2"/>
      <c r="Y277" s="2"/>
      <c r="Z277" s="16" t="s">
        <v>206</v>
      </c>
      <c r="AA277" s="141">
        <f ca="1">IFERROR(AA273+(AA267-AA268)*(AA274-AA273)/(AA269-AA268),AA273)</f>
        <v>6373.6711888458667</v>
      </c>
      <c r="AE277" s="2"/>
      <c r="AF277" s="2"/>
      <c r="AG277" s="2"/>
      <c r="AH277" s="16" t="s">
        <v>206</v>
      </c>
      <c r="AI277" s="141">
        <f ca="1">IFERROR(AI273+(AI267-AI268)*(AI274-AI273)/(AI269-AI268),AI273)</f>
        <v>5874.353249007665</v>
      </c>
      <c r="AM277" s="2"/>
      <c r="AN277" s="2"/>
      <c r="AO277" s="2"/>
      <c r="AP277" s="16" t="s">
        <v>206</v>
      </c>
      <c r="AQ277" s="141">
        <f ca="1">IFERROR(AQ273+(AQ267-AQ268)*(AQ274-AQ273)/(AQ269-AQ268),AQ273)</f>
        <v>5768.3131669052227</v>
      </c>
      <c r="AU277" s="2"/>
      <c r="AV277" s="2"/>
      <c r="AW277" s="2"/>
      <c r="AX277" s="16" t="s">
        <v>206</v>
      </c>
      <c r="AY277" s="141" t="e">
        <f ca="1">IFERROR(AY273+(AY267-AY268)*(AY274-AY273)/(AY269-AY268),AY273)</f>
        <v>#N/A</v>
      </c>
    </row>
    <row r="278" spans="1:66" ht="15" customHeight="1" x14ac:dyDescent="0.3">
      <c r="B278" s="16" t="s">
        <v>207</v>
      </c>
      <c r="C278" s="141">
        <f ca="1">IFERROR(C275+(C267-C268)*(C276-C275)/(C269-C268),C275)</f>
        <v>7920.8938427348185</v>
      </c>
      <c r="G278" s="2"/>
      <c r="H278" s="2"/>
      <c r="I278" s="2"/>
      <c r="J278" s="16" t="s">
        <v>207</v>
      </c>
      <c r="K278" s="141">
        <f ca="1">IFERROR(K275+(K267-K268)*(K276-K275)/(K269-K268),K275)</f>
        <v>7546.4411504919517</v>
      </c>
      <c r="O278" s="2"/>
      <c r="P278" s="2"/>
      <c r="Q278" s="2"/>
      <c r="R278" s="16" t="s">
        <v>207</v>
      </c>
      <c r="S278" s="141">
        <f ca="1">IFERROR(S275+(S267-S268)*(S276-S275)/(S269-S268),S275)</f>
        <v>6932.0565071742194</v>
      </c>
      <c r="W278" s="2"/>
      <c r="X278" s="2"/>
      <c r="Y278" s="2"/>
      <c r="Z278" s="16" t="s">
        <v>207</v>
      </c>
      <c r="AA278" s="141">
        <f ca="1">IFERROR(AA275+(AA267-AA268)*(AA276-AA275)/(AA269-AA268),AA275)</f>
        <v>6373.6711888458667</v>
      </c>
      <c r="AE278" s="2"/>
      <c r="AF278" s="2"/>
      <c r="AG278" s="2"/>
      <c r="AH278" s="16" t="s">
        <v>207</v>
      </c>
      <c r="AI278" s="141">
        <f ca="1">IFERROR(AI275+(AI267-AI268)*(AI276-AI275)/(AI269-AI268),AI275)</f>
        <v>5874.353249007665</v>
      </c>
      <c r="AM278" s="2"/>
      <c r="AN278" s="2"/>
      <c r="AO278" s="2"/>
      <c r="AP278" s="16" t="s">
        <v>207</v>
      </c>
      <c r="AQ278" s="141">
        <f ca="1">IFERROR(AQ275+(AQ267-AQ268)*(AQ276-AQ275)/(AQ269-AQ268),AQ275)</f>
        <v>5768.3131669052227</v>
      </c>
      <c r="AU278" s="2"/>
      <c r="AV278" s="2"/>
      <c r="AW278" s="2"/>
      <c r="AX278" s="16" t="s">
        <v>207</v>
      </c>
      <c r="AY278" s="141" t="e">
        <f ca="1">IFERROR(AY275+(AY267-AY268)*(AY276-AY275)/(AY269-AY268),AY275)</f>
        <v>#N/A</v>
      </c>
    </row>
    <row r="279" spans="1:66" ht="15" customHeight="1" x14ac:dyDescent="0.3">
      <c r="B279" s="139" t="s">
        <v>208</v>
      </c>
      <c r="C279" s="140">
        <f ca="1">IFERROR(C277+(C270-C271)*(C278-C277)/(C272-C271),C277)</f>
        <v>7920.8938427348185</v>
      </c>
      <c r="G279" s="2"/>
      <c r="H279" s="2"/>
      <c r="I279" s="2"/>
      <c r="J279" s="139" t="s">
        <v>208</v>
      </c>
      <c r="K279" s="140">
        <f ca="1">IFERROR(K277+(K270-K271)*(K278-K277)/(K272-K271),K277)</f>
        <v>7546.4411504919517</v>
      </c>
      <c r="O279" s="2"/>
      <c r="P279" s="2"/>
      <c r="Q279" s="2"/>
      <c r="R279" s="139" t="s">
        <v>208</v>
      </c>
      <c r="S279" s="140">
        <f ca="1">IFERROR(S277+(S270-S271)*(S278-S277)/(S272-S271),S277)</f>
        <v>6932.0565071742194</v>
      </c>
      <c r="W279" s="2"/>
      <c r="X279" s="2"/>
      <c r="Y279" s="2"/>
      <c r="Z279" s="139" t="s">
        <v>208</v>
      </c>
      <c r="AA279" s="140">
        <f ca="1">IFERROR(AA277+(AA270-AA271)*(AA278-AA277)/(AA272-AA271),AA277)</f>
        <v>6373.6711888458667</v>
      </c>
      <c r="AE279" s="2"/>
      <c r="AF279" s="2"/>
      <c r="AG279" s="2"/>
      <c r="AH279" s="139" t="s">
        <v>208</v>
      </c>
      <c r="AI279" s="140">
        <f ca="1">IFERROR(AI277+(AI270-AI271)*(AI278-AI277)/(AI272-AI271),AI277)</f>
        <v>5874.353249007665</v>
      </c>
      <c r="AM279" s="2"/>
      <c r="AN279" s="2"/>
      <c r="AO279" s="2"/>
      <c r="AP279" s="139" t="s">
        <v>208</v>
      </c>
      <c r="AQ279" s="140">
        <f ca="1">IFERROR(AQ277+(AQ270-AQ271)*(AQ278-AQ277)/(AQ272-AQ271),AQ277)</f>
        <v>5768.3131669052227</v>
      </c>
      <c r="AU279" s="2"/>
      <c r="AV279" s="2"/>
      <c r="AW279" s="2"/>
      <c r="AX279" s="139" t="s">
        <v>208</v>
      </c>
      <c r="AY279" s="140" t="e">
        <f ca="1">IFERROR(AY277+(AY270-AY271)*(AY278-AY277)/(AY272-AY271),AY277)</f>
        <v>#N/A</v>
      </c>
    </row>
    <row r="280" spans="1:66" ht="15" customHeight="1" x14ac:dyDescent="0.3">
      <c r="B280" s="139"/>
      <c r="C280" s="140"/>
      <c r="G280" s="2"/>
      <c r="H280" s="2"/>
      <c r="I280" s="2"/>
      <c r="J280" s="139"/>
      <c r="K280" s="140"/>
      <c r="O280" s="2"/>
      <c r="P280" s="2"/>
      <c r="Q280" s="2"/>
      <c r="R280" s="139"/>
      <c r="S280" s="140"/>
      <c r="W280" s="2"/>
      <c r="X280" s="2"/>
      <c r="Y280" s="2"/>
      <c r="Z280" s="139"/>
      <c r="AA280" s="140"/>
      <c r="AE280" s="2"/>
      <c r="AF280" s="2"/>
      <c r="AG280" s="2"/>
      <c r="AH280" s="139"/>
      <c r="AI280" s="140"/>
      <c r="AM280" s="2"/>
      <c r="AN280" s="2"/>
      <c r="AO280" s="2"/>
      <c r="AP280" s="139"/>
      <c r="AQ280" s="140"/>
      <c r="AU280" s="2"/>
      <c r="AV280" s="2"/>
      <c r="AW280" s="2"/>
      <c r="AX280" s="139"/>
      <c r="AY280" s="140"/>
    </row>
    <row r="281" spans="1:66" ht="15" customHeight="1" x14ac:dyDescent="0.3">
      <c r="A281" t="s">
        <v>225</v>
      </c>
      <c r="B281" s="357" t="s">
        <v>222</v>
      </c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W281" s="2"/>
      <c r="X281" s="2"/>
      <c r="Y281" s="2"/>
      <c r="Z281" s="139"/>
      <c r="AA281" s="140"/>
      <c r="AE281" s="2"/>
      <c r="AF281" s="2"/>
      <c r="AG281" s="2"/>
      <c r="AH281" s="139"/>
      <c r="AI281" s="140"/>
      <c r="AM281" s="2"/>
      <c r="AN281" s="2"/>
      <c r="AO281" s="2"/>
      <c r="AP281" s="139"/>
      <c r="AQ281" s="140"/>
      <c r="AU281" s="2"/>
      <c r="AV281" s="2"/>
      <c r="AW281" s="2"/>
      <c r="AX281" s="139"/>
      <c r="AY281" s="140"/>
    </row>
    <row r="282" spans="1:66" ht="15" customHeight="1" x14ac:dyDescent="0.3">
      <c r="A282" t="s">
        <v>47</v>
      </c>
      <c r="B282" s="229">
        <v>3500</v>
      </c>
      <c r="C282" s="229">
        <v>4000</v>
      </c>
      <c r="D282" s="232">
        <v>4500</v>
      </c>
      <c r="E282" s="232">
        <v>5000</v>
      </c>
      <c r="F282" s="232">
        <v>5500</v>
      </c>
      <c r="G282" s="232">
        <v>6000</v>
      </c>
      <c r="H282" s="232">
        <v>6500</v>
      </c>
      <c r="I282" s="230">
        <v>7000</v>
      </c>
      <c r="J282" s="55">
        <v>7500</v>
      </c>
      <c r="K282" s="55">
        <v>8000</v>
      </c>
      <c r="L282" s="55">
        <v>8500</v>
      </c>
      <c r="M282" s="259">
        <v>9000</v>
      </c>
      <c r="N282" s="259">
        <v>9500</v>
      </c>
      <c r="O282" s="55">
        <v>10000</v>
      </c>
      <c r="P282" s="55">
        <v>10500</v>
      </c>
      <c r="Q282" s="259">
        <v>11000</v>
      </c>
      <c r="R282" s="259">
        <v>11500</v>
      </c>
      <c r="S282" s="259">
        <v>12000</v>
      </c>
      <c r="T282" s="231">
        <v>13000</v>
      </c>
      <c r="U282" s="236"/>
      <c r="V282" s="140"/>
      <c r="X282" s="139"/>
      <c r="Y282" s="140"/>
      <c r="AC282" s="2"/>
      <c r="AD282" s="2"/>
      <c r="AE282" s="2"/>
      <c r="AH282" s="2"/>
      <c r="AI282" s="2"/>
      <c r="AJ282" s="2"/>
      <c r="AK282" s="139"/>
      <c r="AL282" s="140"/>
      <c r="AP282" s="2"/>
      <c r="AQ282" s="2"/>
      <c r="AR282" s="2"/>
      <c r="AS282" s="139"/>
      <c r="AT282" s="140"/>
      <c r="AX282" s="2"/>
      <c r="AY282" s="2"/>
      <c r="AZ282" s="2"/>
      <c r="BA282" s="139"/>
      <c r="BB282" s="140"/>
      <c r="BF282" s="2"/>
      <c r="BG282" s="2"/>
      <c r="BH282" s="2"/>
      <c r="BI282" s="139"/>
      <c r="BJ282" s="140"/>
      <c r="BK282" s="2"/>
      <c r="BL282" s="2"/>
      <c r="BM282" s="139"/>
      <c r="BN282" s="140"/>
    </row>
    <row r="283" spans="1:66" ht="15" customHeight="1" x14ac:dyDescent="0.3">
      <c r="A283">
        <v>0</v>
      </c>
      <c r="B283" s="229">
        <v>3500</v>
      </c>
      <c r="C283" s="232">
        <v>4000</v>
      </c>
      <c r="D283" s="232">
        <v>4500</v>
      </c>
      <c r="E283" s="232">
        <v>5000</v>
      </c>
      <c r="F283" s="232">
        <v>5500</v>
      </c>
      <c r="G283" s="232">
        <v>6000</v>
      </c>
      <c r="H283" s="232">
        <v>6500</v>
      </c>
      <c r="I283" s="232">
        <v>7000</v>
      </c>
      <c r="J283" s="232">
        <v>7500</v>
      </c>
      <c r="K283" s="232">
        <v>8000</v>
      </c>
      <c r="L283" s="232">
        <v>8500</v>
      </c>
      <c r="M283" s="232">
        <v>9000</v>
      </c>
      <c r="N283" s="232">
        <v>9500</v>
      </c>
      <c r="O283" s="232">
        <v>10000</v>
      </c>
      <c r="P283" s="232">
        <v>10500</v>
      </c>
      <c r="Q283" s="232">
        <v>11000</v>
      </c>
      <c r="R283" s="232">
        <v>11500</v>
      </c>
      <c r="S283" s="232">
        <v>12000</v>
      </c>
      <c r="T283" s="237">
        <v>99999</v>
      </c>
      <c r="U283" s="236"/>
      <c r="V283" s="140"/>
      <c r="W283" s="140"/>
      <c r="X283" s="140"/>
      <c r="Y283" s="140"/>
      <c r="Z283" s="140"/>
      <c r="AA283" s="140"/>
      <c r="AB283" s="140"/>
      <c r="AC283" s="140"/>
      <c r="AD283" s="140"/>
      <c r="AE283" s="2"/>
      <c r="AH283" s="2"/>
      <c r="AI283" s="2"/>
      <c r="AJ283" s="2"/>
      <c r="AK283" s="139"/>
      <c r="AL283" s="140"/>
      <c r="AP283" s="2"/>
      <c r="AQ283" s="2"/>
      <c r="AR283" s="2"/>
      <c r="AS283" s="139"/>
      <c r="AT283" s="140"/>
      <c r="AX283" s="2"/>
      <c r="AY283" s="2"/>
      <c r="AZ283" s="2"/>
      <c r="BA283" s="139"/>
      <c r="BB283" s="140"/>
      <c r="BF283" s="2"/>
      <c r="BG283" s="2"/>
      <c r="BH283" s="2"/>
      <c r="BI283" s="139"/>
      <c r="BJ283" s="140"/>
      <c r="BK283" s="2"/>
      <c r="BL283" s="2"/>
      <c r="BM283" s="139"/>
      <c r="BN283" s="140"/>
    </row>
    <row r="284" spans="1:66" ht="15" customHeight="1" x14ac:dyDescent="0.3">
      <c r="A284">
        <f>25.4*0.1</f>
        <v>2.54</v>
      </c>
      <c r="B284" s="233">
        <v>3500</v>
      </c>
      <c r="C284" s="72">
        <v>4000</v>
      </c>
      <c r="D284" s="72">
        <v>4500</v>
      </c>
      <c r="E284" s="72">
        <v>5000</v>
      </c>
      <c r="F284" s="72">
        <v>5500</v>
      </c>
      <c r="G284" s="72">
        <v>6000</v>
      </c>
      <c r="H284" s="72">
        <v>6500</v>
      </c>
      <c r="I284" s="72">
        <v>7000</v>
      </c>
      <c r="J284" s="72">
        <v>7500</v>
      </c>
      <c r="K284" s="72">
        <v>8000</v>
      </c>
      <c r="L284" s="72">
        <v>8500</v>
      </c>
      <c r="M284" s="72">
        <v>9000</v>
      </c>
      <c r="N284" s="72">
        <v>9500</v>
      </c>
      <c r="O284" s="72">
        <v>10000</v>
      </c>
      <c r="P284" s="72">
        <v>10500</v>
      </c>
      <c r="Q284" s="72">
        <v>11000</v>
      </c>
      <c r="R284" s="72">
        <v>11500</v>
      </c>
      <c r="S284" s="72">
        <v>12000</v>
      </c>
      <c r="T284" s="262">
        <v>99999</v>
      </c>
      <c r="U284" s="236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2"/>
      <c r="AH284" s="2"/>
      <c r="AI284" s="2"/>
      <c r="AJ284" s="2"/>
      <c r="AK284" s="139"/>
      <c r="AL284" s="140"/>
      <c r="AP284" s="2"/>
      <c r="AQ284" s="2"/>
      <c r="AR284" s="2"/>
      <c r="AS284" s="139"/>
      <c r="AT284" s="140"/>
      <c r="AX284" s="2"/>
      <c r="AY284" s="2"/>
      <c r="AZ284" s="2"/>
      <c r="BA284" s="139"/>
      <c r="BB284" s="140"/>
      <c r="BF284" s="2"/>
      <c r="BG284" s="2"/>
      <c r="BH284" s="2"/>
      <c r="BI284" s="139"/>
      <c r="BJ284" s="140"/>
      <c r="BK284" s="2"/>
      <c r="BL284" s="2"/>
      <c r="BM284" s="139"/>
      <c r="BN284" s="140"/>
    </row>
    <row r="285" spans="1:66" ht="15" customHeight="1" x14ac:dyDescent="0.3">
      <c r="A285">
        <f>25.4*0.2</f>
        <v>5.08</v>
      </c>
      <c r="B285" s="233">
        <v>3510</v>
      </c>
      <c r="C285" s="72">
        <v>4030</v>
      </c>
      <c r="D285" s="72">
        <v>4550</v>
      </c>
      <c r="E285" s="72">
        <v>5100</v>
      </c>
      <c r="F285" s="72">
        <v>5600</v>
      </c>
      <c r="G285" s="72">
        <v>6100</v>
      </c>
      <c r="H285" s="72">
        <v>6650</v>
      </c>
      <c r="I285" s="72">
        <v>7150</v>
      </c>
      <c r="J285" s="72">
        <v>7700</v>
      </c>
      <c r="K285" s="72">
        <v>8200</v>
      </c>
      <c r="L285" s="72">
        <v>8700</v>
      </c>
      <c r="M285" s="72">
        <v>9250</v>
      </c>
      <c r="N285" s="72">
        <v>9750</v>
      </c>
      <c r="O285" s="72">
        <v>10250</v>
      </c>
      <c r="P285" s="72">
        <v>10800</v>
      </c>
      <c r="Q285" s="72">
        <v>11300</v>
      </c>
      <c r="R285" s="72">
        <v>12350</v>
      </c>
      <c r="S285" s="72">
        <v>99999</v>
      </c>
      <c r="T285" s="262">
        <v>99999</v>
      </c>
      <c r="U285" s="236"/>
      <c r="V285" s="140"/>
      <c r="W285" s="140"/>
      <c r="X285" s="140"/>
      <c r="Y285" s="140"/>
      <c r="Z285" s="140"/>
      <c r="AA285" s="140"/>
      <c r="AB285" s="140"/>
      <c r="AC285" s="140"/>
      <c r="AD285" s="140"/>
      <c r="AE285" s="2"/>
      <c r="AH285" s="2"/>
      <c r="AI285" s="2"/>
      <c r="AJ285" s="2"/>
      <c r="AK285" s="139"/>
      <c r="AL285" s="140"/>
      <c r="AP285" s="2"/>
      <c r="AQ285" s="2"/>
      <c r="AR285" s="2"/>
      <c r="AS285" s="139"/>
      <c r="AT285" s="140"/>
      <c r="AX285" s="2"/>
      <c r="AY285" s="2"/>
      <c r="AZ285" s="2"/>
      <c r="BA285" s="139"/>
      <c r="BB285" s="140"/>
      <c r="BF285" s="2"/>
      <c r="BG285" s="2"/>
      <c r="BH285" s="2"/>
      <c r="BI285" s="139"/>
      <c r="BJ285" s="140"/>
      <c r="BK285" s="2"/>
      <c r="BL285" s="2"/>
      <c r="BM285" s="139"/>
      <c r="BN285" s="140"/>
    </row>
    <row r="286" spans="1:66" ht="15" customHeight="1" x14ac:dyDescent="0.3">
      <c r="A286">
        <f>25.4*0.3</f>
        <v>7.6199999999999992</v>
      </c>
      <c r="B286" s="233">
        <v>3550</v>
      </c>
      <c r="C286" s="72">
        <v>4100</v>
      </c>
      <c r="D286" s="72">
        <v>4700</v>
      </c>
      <c r="E286" s="72">
        <v>5200</v>
      </c>
      <c r="F286" s="72">
        <v>5800</v>
      </c>
      <c r="G286" s="72">
        <v>6330</v>
      </c>
      <c r="H286" s="72">
        <v>6900</v>
      </c>
      <c r="I286" s="72">
        <v>7430</v>
      </c>
      <c r="J286" s="72">
        <v>8000</v>
      </c>
      <c r="K286" s="72">
        <v>8550</v>
      </c>
      <c r="L286" s="72">
        <v>9100</v>
      </c>
      <c r="M286" s="72">
        <v>9650</v>
      </c>
      <c r="N286" s="72">
        <v>10200</v>
      </c>
      <c r="O286" s="72">
        <v>10800</v>
      </c>
      <c r="P286" s="72">
        <v>11350</v>
      </c>
      <c r="Q286" s="72">
        <v>11900</v>
      </c>
      <c r="R286" s="72">
        <v>99999</v>
      </c>
      <c r="S286" s="72">
        <v>99999</v>
      </c>
      <c r="T286" s="262">
        <v>99999</v>
      </c>
      <c r="U286" s="236"/>
      <c r="V286" s="140"/>
      <c r="W286" s="140"/>
      <c r="X286" s="140"/>
      <c r="Y286" s="140"/>
      <c r="Z286" s="140"/>
      <c r="AA286" s="140"/>
      <c r="AB286" s="140"/>
      <c r="AC286" s="140"/>
      <c r="AD286" s="140"/>
      <c r="AE286" s="2"/>
      <c r="AH286" s="2"/>
      <c r="AI286" s="2"/>
      <c r="AJ286" s="2"/>
      <c r="AK286" s="139"/>
      <c r="AL286" s="140"/>
      <c r="AP286" s="2"/>
      <c r="AQ286" s="2"/>
      <c r="AR286" s="2"/>
      <c r="AS286" s="139"/>
      <c r="AT286" s="140"/>
      <c r="AX286" s="2"/>
      <c r="AY286" s="2"/>
      <c r="AZ286" s="2"/>
      <c r="BA286" s="139"/>
      <c r="BB286" s="140"/>
      <c r="BF286" s="2"/>
      <c r="BG286" s="2"/>
      <c r="BH286" s="2"/>
      <c r="BI286" s="139"/>
      <c r="BJ286" s="140"/>
      <c r="BK286" s="2"/>
      <c r="BL286" s="2"/>
      <c r="BM286" s="139"/>
      <c r="BN286" s="140"/>
    </row>
    <row r="287" spans="1:66" ht="15" customHeight="1" x14ac:dyDescent="0.3">
      <c r="A287">
        <f>25.4*0.4</f>
        <v>10.16</v>
      </c>
      <c r="B287" s="233">
        <v>3600</v>
      </c>
      <c r="C287" s="72">
        <v>4200</v>
      </c>
      <c r="D287" s="72">
        <v>4800</v>
      </c>
      <c r="E287" s="72">
        <v>5430</v>
      </c>
      <c r="F287" s="72">
        <v>6050</v>
      </c>
      <c r="G287" s="72">
        <v>6650</v>
      </c>
      <c r="H287" s="72">
        <v>7250</v>
      </c>
      <c r="I287" s="72">
        <v>7900</v>
      </c>
      <c r="J287" s="72">
        <v>8450</v>
      </c>
      <c r="K287" s="72">
        <v>9100</v>
      </c>
      <c r="L287" s="72">
        <v>9650</v>
      </c>
      <c r="M287" s="72">
        <v>10300</v>
      </c>
      <c r="N287" s="72">
        <v>10900</v>
      </c>
      <c r="O287" s="72">
        <v>11500</v>
      </c>
      <c r="P287" s="72">
        <v>12000</v>
      </c>
      <c r="Q287" s="72">
        <v>99999</v>
      </c>
      <c r="R287" s="72">
        <v>99999</v>
      </c>
      <c r="S287" s="72">
        <v>99999</v>
      </c>
      <c r="T287" s="262">
        <v>99999</v>
      </c>
      <c r="U287" s="236"/>
      <c r="V287" s="140"/>
      <c r="X287" s="139"/>
      <c r="Y287" s="140"/>
      <c r="AC287" s="2"/>
      <c r="AD287" s="2"/>
      <c r="AE287" s="2"/>
      <c r="AH287" s="2"/>
      <c r="AI287" s="2"/>
      <c r="AJ287" s="2"/>
      <c r="AK287" s="139"/>
      <c r="AL287" s="140"/>
      <c r="AP287" s="2"/>
      <c r="AQ287" s="2"/>
      <c r="AR287" s="2"/>
      <c r="AS287" s="139"/>
      <c r="AT287" s="140"/>
      <c r="AX287" s="2"/>
      <c r="AY287" s="2"/>
      <c r="AZ287" s="2"/>
      <c r="BA287" s="139"/>
      <c r="BB287" s="140"/>
      <c r="BF287" s="2"/>
      <c r="BG287" s="2"/>
      <c r="BH287" s="2"/>
      <c r="BI287" s="139"/>
      <c r="BJ287" s="140"/>
      <c r="BK287" s="2"/>
      <c r="BL287" s="2"/>
      <c r="BM287" s="139"/>
      <c r="BN287" s="140"/>
    </row>
    <row r="288" spans="1:66" ht="15" customHeight="1" x14ac:dyDescent="0.3">
      <c r="A288">
        <f>25.4*0.5</f>
        <v>12.7</v>
      </c>
      <c r="B288" s="233">
        <v>3700</v>
      </c>
      <c r="C288" s="72">
        <v>4350</v>
      </c>
      <c r="D288" s="72">
        <v>5000</v>
      </c>
      <c r="E288" s="72">
        <v>5650</v>
      </c>
      <c r="F288" s="72">
        <v>6370</v>
      </c>
      <c r="G288" s="72">
        <v>7000</v>
      </c>
      <c r="H288" s="72">
        <v>7700</v>
      </c>
      <c r="I288" s="72">
        <v>8400</v>
      </c>
      <c r="J288" s="72">
        <v>9000</v>
      </c>
      <c r="K288" s="72">
        <v>9700</v>
      </c>
      <c r="L288" s="72">
        <v>10400</v>
      </c>
      <c r="M288" s="72">
        <v>11050</v>
      </c>
      <c r="N288" s="72">
        <v>11700</v>
      </c>
      <c r="O288" s="72">
        <v>99999</v>
      </c>
      <c r="P288" s="72">
        <v>99999</v>
      </c>
      <c r="Q288" s="72">
        <v>99999</v>
      </c>
      <c r="R288" s="72">
        <v>99999</v>
      </c>
      <c r="S288" s="72">
        <v>99999</v>
      </c>
      <c r="T288" s="262">
        <v>99999</v>
      </c>
      <c r="U288" s="236"/>
      <c r="V288" s="140"/>
      <c r="X288" s="139"/>
      <c r="Y288" s="140"/>
      <c r="AC288" s="2"/>
      <c r="AD288" s="2"/>
      <c r="AE288" s="2"/>
      <c r="AH288" s="2"/>
      <c r="AI288" s="2"/>
      <c r="AJ288" s="2"/>
      <c r="AK288" s="139"/>
      <c r="AL288" s="140"/>
      <c r="AP288" s="2"/>
      <c r="AQ288" s="2"/>
      <c r="AR288" s="2"/>
      <c r="AS288" s="139"/>
      <c r="AT288" s="140"/>
      <c r="AX288" s="2"/>
      <c r="AY288" s="2"/>
      <c r="AZ288" s="2"/>
      <c r="BA288" s="139"/>
      <c r="BB288" s="140"/>
      <c r="BF288" s="2"/>
      <c r="BG288" s="2"/>
      <c r="BH288" s="2"/>
      <c r="BI288" s="139"/>
      <c r="BJ288" s="140"/>
      <c r="BK288" s="2"/>
      <c r="BL288" s="2"/>
      <c r="BM288" s="139"/>
      <c r="BN288" s="140"/>
    </row>
    <row r="289" spans="1:66" ht="15" customHeight="1" x14ac:dyDescent="0.3">
      <c r="A289">
        <f>25.4*0.6</f>
        <v>15.239999999999998</v>
      </c>
      <c r="B289" s="233">
        <v>3730</v>
      </c>
      <c r="C289" s="72">
        <v>4450</v>
      </c>
      <c r="D289" s="72">
        <v>5200</v>
      </c>
      <c r="E289" s="72">
        <v>5900</v>
      </c>
      <c r="F289" s="72">
        <v>6650</v>
      </c>
      <c r="G289" s="72">
        <v>7400</v>
      </c>
      <c r="H289" s="72">
        <v>8100</v>
      </c>
      <c r="I289" s="72">
        <v>8850</v>
      </c>
      <c r="J289" s="72">
        <v>9600</v>
      </c>
      <c r="K289" s="72">
        <v>10350</v>
      </c>
      <c r="L289" s="72">
        <v>11050</v>
      </c>
      <c r="M289" s="72">
        <v>11750</v>
      </c>
      <c r="N289" s="72">
        <v>99999</v>
      </c>
      <c r="O289" s="72">
        <v>99999</v>
      </c>
      <c r="P289" s="72">
        <v>99999</v>
      </c>
      <c r="Q289" s="72">
        <v>99999</v>
      </c>
      <c r="R289" s="72">
        <v>99999</v>
      </c>
      <c r="S289" s="72">
        <v>99999</v>
      </c>
      <c r="T289" s="262">
        <v>99999</v>
      </c>
      <c r="U289" s="236"/>
      <c r="V289" s="140"/>
      <c r="X289" s="139"/>
      <c r="Y289" s="140"/>
      <c r="AC289" s="2"/>
      <c r="AD289" s="2"/>
      <c r="AE289" s="2"/>
      <c r="AH289" s="2"/>
      <c r="AI289" s="2"/>
      <c r="AJ289" s="2"/>
      <c r="AK289" s="139"/>
      <c r="AL289" s="140"/>
      <c r="AP289" s="2"/>
      <c r="AQ289" s="2"/>
      <c r="AR289" s="2"/>
      <c r="AS289" s="139"/>
      <c r="AT289" s="140"/>
      <c r="AX289" s="2"/>
      <c r="AY289" s="2"/>
      <c r="AZ289" s="2"/>
      <c r="BA289" s="139"/>
      <c r="BB289" s="140"/>
      <c r="BF289" s="2"/>
      <c r="BG289" s="2"/>
      <c r="BH289" s="2"/>
      <c r="BI289" s="139"/>
      <c r="BJ289" s="140"/>
      <c r="BK289" s="2"/>
      <c r="BL289" s="2"/>
      <c r="BM289" s="139"/>
      <c r="BN289" s="140"/>
    </row>
    <row r="290" spans="1:66" ht="15" customHeight="1" x14ac:dyDescent="0.3">
      <c r="A290">
        <v>16</v>
      </c>
      <c r="B290" s="234">
        <v>99999</v>
      </c>
      <c r="C290" s="238">
        <v>99999</v>
      </c>
      <c r="D290" s="238">
        <v>99999</v>
      </c>
      <c r="E290" s="238">
        <v>99999</v>
      </c>
      <c r="F290" s="238">
        <v>99999</v>
      </c>
      <c r="G290" s="238">
        <v>99999</v>
      </c>
      <c r="H290" s="238">
        <v>99999</v>
      </c>
      <c r="I290" s="238">
        <v>99999</v>
      </c>
      <c r="J290" s="238">
        <v>99999</v>
      </c>
      <c r="K290" s="238">
        <v>99999</v>
      </c>
      <c r="L290" s="238">
        <v>99999</v>
      </c>
      <c r="M290" s="238">
        <v>99999</v>
      </c>
      <c r="N290" s="238">
        <v>99999</v>
      </c>
      <c r="O290" s="238">
        <v>99999</v>
      </c>
      <c r="P290" s="238">
        <v>99999</v>
      </c>
      <c r="Q290" s="238">
        <v>99999</v>
      </c>
      <c r="R290" s="238">
        <v>99999</v>
      </c>
      <c r="S290" s="238">
        <v>99999</v>
      </c>
      <c r="T290" s="239">
        <v>99999</v>
      </c>
      <c r="U290" s="236"/>
      <c r="V290" s="140"/>
      <c r="X290" s="139"/>
      <c r="Y290" s="140"/>
      <c r="AC290" s="2"/>
      <c r="AD290" s="2"/>
      <c r="AE290" s="2"/>
      <c r="AH290" s="2"/>
      <c r="AI290" s="2"/>
      <c r="AJ290" s="2"/>
      <c r="AK290" s="139"/>
      <c r="AL290" s="140"/>
      <c r="AP290" s="2"/>
      <c r="AQ290" s="2"/>
      <c r="AR290" s="2"/>
      <c r="AS290" s="139"/>
      <c r="AT290" s="140"/>
      <c r="AX290" s="2"/>
      <c r="AY290" s="2"/>
      <c r="AZ290" s="2"/>
      <c r="BA290" s="139"/>
      <c r="BB290" s="140"/>
      <c r="BF290" s="2"/>
      <c r="BG290" s="2"/>
      <c r="BH290" s="2"/>
      <c r="BI290" s="139"/>
      <c r="BJ290" s="140"/>
      <c r="BK290" s="2"/>
      <c r="BL290" s="2"/>
      <c r="BM290" s="139"/>
      <c r="BN290" s="140"/>
    </row>
    <row r="291" spans="1:66" ht="15" customHeight="1" x14ac:dyDescent="0.3">
      <c r="B291" s="139"/>
      <c r="C291" s="140"/>
      <c r="G291" s="2"/>
      <c r="H291" s="2"/>
      <c r="I291" s="2"/>
      <c r="J291" s="139"/>
      <c r="K291" s="140"/>
      <c r="O291" s="53"/>
      <c r="P291" s="2"/>
      <c r="Q291" s="2"/>
      <c r="R291" s="139"/>
      <c r="S291" s="140"/>
      <c r="W291" s="2"/>
      <c r="X291" s="2"/>
      <c r="Y291" s="2"/>
      <c r="Z291" s="139"/>
      <c r="AA291" s="140"/>
      <c r="AE291" s="2"/>
      <c r="AF291" s="2"/>
      <c r="AG291" s="2"/>
      <c r="AH291" s="139"/>
      <c r="AI291" s="140"/>
      <c r="AM291" s="2"/>
      <c r="AN291" s="2"/>
      <c r="AO291" s="2"/>
      <c r="AP291" s="139"/>
      <c r="AQ291" s="140"/>
      <c r="AU291" s="2"/>
      <c r="AV291" s="2"/>
      <c r="AW291" s="2"/>
      <c r="AX291" s="139"/>
      <c r="AY291" s="140"/>
      <c r="BF291" s="2"/>
      <c r="BG291" s="2"/>
      <c r="BH291" s="139"/>
      <c r="BI291" s="140"/>
    </row>
    <row r="292" spans="1:66" ht="15" customHeight="1" x14ac:dyDescent="0.3">
      <c r="B292" s="139" t="s">
        <v>146</v>
      </c>
      <c r="C292" s="140">
        <f ca="1">C279</f>
        <v>7920.8938427348185</v>
      </c>
      <c r="D292" s="355" t="s">
        <v>201</v>
      </c>
      <c r="E292" s="355"/>
      <c r="G292" s="2"/>
      <c r="H292" s="2"/>
      <c r="I292" s="2"/>
      <c r="J292" s="139" t="s">
        <v>146</v>
      </c>
      <c r="K292" s="140">
        <f ca="1">K279</f>
        <v>7546.4411504919517</v>
      </c>
      <c r="L292" s="355" t="s">
        <v>201</v>
      </c>
      <c r="M292" s="355"/>
      <c r="O292" s="53"/>
      <c r="P292" s="2"/>
      <c r="Q292" s="2"/>
      <c r="R292" s="139" t="s">
        <v>146</v>
      </c>
      <c r="S292" s="140">
        <f ca="1">S279</f>
        <v>6932.0565071742194</v>
      </c>
      <c r="T292" s="355" t="s">
        <v>201</v>
      </c>
      <c r="U292" s="355"/>
      <c r="W292" s="2"/>
      <c r="X292" s="2"/>
      <c r="Y292" s="2"/>
      <c r="Z292" s="139" t="s">
        <v>146</v>
      </c>
      <c r="AA292" s="140">
        <f ca="1">AA279</f>
        <v>6373.6711888458667</v>
      </c>
      <c r="AB292" s="355" t="s">
        <v>201</v>
      </c>
      <c r="AC292" s="355"/>
      <c r="AE292" s="2"/>
      <c r="AF292" s="2"/>
      <c r="AG292" s="2"/>
      <c r="AH292" s="139" t="s">
        <v>146</v>
      </c>
      <c r="AI292" s="140">
        <f ca="1">AI279</f>
        <v>5874.353249007665</v>
      </c>
      <c r="AJ292" s="355" t="s">
        <v>201</v>
      </c>
      <c r="AK292" s="355"/>
      <c r="AM292" s="2"/>
      <c r="AN292" s="2"/>
      <c r="AO292" s="2"/>
      <c r="AP292" s="139" t="s">
        <v>146</v>
      </c>
      <c r="AQ292" s="140">
        <f ca="1">AQ279</f>
        <v>5768.3131669052227</v>
      </c>
      <c r="AR292" s="355" t="s">
        <v>201</v>
      </c>
      <c r="AS292" s="355"/>
      <c r="AU292" s="2"/>
      <c r="AV292" s="2"/>
      <c r="AW292" s="2"/>
      <c r="AX292" s="139" t="s">
        <v>146</v>
      </c>
      <c r="AY292" s="140" t="e">
        <f ca="1">AY279</f>
        <v>#N/A</v>
      </c>
      <c r="AZ292" s="355" t="s">
        <v>201</v>
      </c>
      <c r="BA292" s="355"/>
    </row>
    <row r="293" spans="1:66" ht="15" customHeight="1" x14ac:dyDescent="0.3">
      <c r="B293" s="16" t="s">
        <v>202</v>
      </c>
      <c r="C293" s="141">
        <f t="array" aca="1" ref="C293" ca="1">INDEX($B282:$T282,MATCH(C292,$B282:$T282,1))</f>
        <v>7500</v>
      </c>
      <c r="D293" s="16" t="s">
        <v>144</v>
      </c>
      <c r="E293" s="17">
        <f>MATCH(MAX($A283:$A290),$A283:$A290,1)</f>
        <v>8</v>
      </c>
      <c r="G293" s="2"/>
      <c r="H293" s="2"/>
      <c r="I293" s="2"/>
      <c r="J293" s="16" t="s">
        <v>202</v>
      </c>
      <c r="K293" s="141">
        <f t="array" aca="1" ref="K293" ca="1">INDEX($B282:$T282,MATCH(K292,$B282:$T282,1))</f>
        <v>7500</v>
      </c>
      <c r="L293" s="16" t="s">
        <v>144</v>
      </c>
      <c r="M293" s="17">
        <f>MATCH(MAX($A283:$A290),$A283:$A290,1)</f>
        <v>8</v>
      </c>
      <c r="O293" s="53"/>
      <c r="P293" s="2"/>
      <c r="Q293" s="2"/>
      <c r="R293" s="16" t="s">
        <v>202</v>
      </c>
      <c r="S293" s="141">
        <f t="array" aca="1" ref="S293" ca="1">INDEX($B282:$T282,MATCH(S292,$B282:$T282,1))</f>
        <v>6500</v>
      </c>
      <c r="T293" s="16" t="s">
        <v>144</v>
      </c>
      <c r="U293" s="17">
        <f>MATCH(MAX($A283:$A290),$A283:$A290,1)</f>
        <v>8</v>
      </c>
      <c r="W293" s="2"/>
      <c r="X293" s="2"/>
      <c r="Y293" s="2"/>
      <c r="Z293" s="16" t="s">
        <v>202</v>
      </c>
      <c r="AA293" s="141">
        <f t="array" aca="1" ref="AA293" ca="1">INDEX($B282:$T282,MATCH(AA292,$B282:$T282,1))</f>
        <v>6000</v>
      </c>
      <c r="AB293" s="16" t="s">
        <v>144</v>
      </c>
      <c r="AC293" s="17">
        <f>MATCH(MAX($A283:$A290),$A283:$A290,1)</f>
        <v>8</v>
      </c>
      <c r="AE293" s="2"/>
      <c r="AF293" s="2"/>
      <c r="AG293" s="2"/>
      <c r="AH293" s="16" t="s">
        <v>202</v>
      </c>
      <c r="AI293" s="141">
        <f t="array" aca="1" ref="AI293" ca="1">INDEX($B282:$T282,MATCH(AI292,$B282:$T282,1))</f>
        <v>5500</v>
      </c>
      <c r="AJ293" s="16" t="s">
        <v>144</v>
      </c>
      <c r="AK293" s="17">
        <f>MATCH(MAX($A283:$A290),$A283:$A290,1)</f>
        <v>8</v>
      </c>
      <c r="AM293" s="2"/>
      <c r="AN293" s="2"/>
      <c r="AO293" s="2"/>
      <c r="AP293" s="16" t="s">
        <v>202</v>
      </c>
      <c r="AQ293" s="141">
        <f t="array" aca="1" ref="AQ293" ca="1">INDEX($B282:$T282,MATCH(AQ292,$B282:$T282,1))</f>
        <v>5500</v>
      </c>
      <c r="AR293" s="16" t="s">
        <v>144</v>
      </c>
      <c r="AS293" s="17">
        <f>MATCH(MAX($A283:$A290),$A283:$A290,1)</f>
        <v>8</v>
      </c>
      <c r="AU293" s="2"/>
      <c r="AV293" s="2"/>
      <c r="AW293" s="2"/>
      <c r="AX293" s="16" t="s">
        <v>202</v>
      </c>
      <c r="AY293" s="141" t="e">
        <f t="array" aca="1" ref="AY293" ca="1">INDEX($B282:$T282,MATCH(AY292,$B282:$T282,1))</f>
        <v>#N/A</v>
      </c>
      <c r="AZ293" s="16" t="s">
        <v>144</v>
      </c>
      <c r="BA293" s="17">
        <f>MATCH(MAX($A283:$A290),$A283:$A290,1)</f>
        <v>8</v>
      </c>
    </row>
    <row r="294" spans="1:66" ht="15" customHeight="1" x14ac:dyDescent="0.3">
      <c r="B294" s="16" t="s">
        <v>203</v>
      </c>
      <c r="C294" s="141">
        <f t="array" aca="1" ref="C294" ca="1">INDEX($B282:$T282,IF(MATCH(C292,$B282:$T282,1)&lt;E294,MATCH(C292,$B282:$T282,1)+1,MATCH(C292,$B282:$T282,1)))</f>
        <v>8000</v>
      </c>
      <c r="D294" s="16" t="s">
        <v>145</v>
      </c>
      <c r="E294" s="17">
        <f>MATCH(MAX($B282:$T282),$B282:$T282,0)</f>
        <v>19</v>
      </c>
      <c r="G294" s="2"/>
      <c r="H294" s="2"/>
      <c r="I294" s="2"/>
      <c r="J294" s="16" t="s">
        <v>203</v>
      </c>
      <c r="K294" s="141">
        <f t="array" aca="1" ref="K294" ca="1">INDEX($B282:$T282,IF(MATCH(K292,$B282:$T282,1)&lt;M294,MATCH(K292,$B282:$T282,1)+1,MATCH(K292,$B282:$T282,1)))</f>
        <v>8000</v>
      </c>
      <c r="L294" s="16" t="s">
        <v>145</v>
      </c>
      <c r="M294" s="17">
        <f>MATCH(MAX($B282:$T282),$B282:$T282,0)</f>
        <v>19</v>
      </c>
      <c r="O294" s="53"/>
      <c r="P294" s="2"/>
      <c r="Q294" s="2"/>
      <c r="R294" s="16" t="s">
        <v>203</v>
      </c>
      <c r="S294" s="141">
        <f t="array" aca="1" ref="S294" ca="1">INDEX($B282:$T282,IF(MATCH(S292,$B282:$T282,1)&lt;U294,MATCH(S292,$B282:$T282,1)+1,MATCH(S292,$B282:$T282,1)))</f>
        <v>7000</v>
      </c>
      <c r="T294" s="16" t="s">
        <v>145</v>
      </c>
      <c r="U294" s="17">
        <f>MATCH(MAX($B282:$T282),$B282:$T282,0)</f>
        <v>19</v>
      </c>
      <c r="W294" s="2"/>
      <c r="X294" s="2"/>
      <c r="Y294" s="2"/>
      <c r="Z294" s="16" t="s">
        <v>203</v>
      </c>
      <c r="AA294" s="141">
        <f t="array" aca="1" ref="AA294" ca="1">INDEX($B282:$T282,IF(MATCH(AA292,$B282:$T282,1)&lt;AC294,MATCH(AA292,$B282:$T282,1)+1,MATCH(AA292,$B282:$T282,1)))</f>
        <v>6500</v>
      </c>
      <c r="AB294" s="16" t="s">
        <v>145</v>
      </c>
      <c r="AC294" s="17">
        <f>MATCH(MAX($B282:$T282),$B282:$T282,0)</f>
        <v>19</v>
      </c>
      <c r="AE294" s="2"/>
      <c r="AF294" s="2"/>
      <c r="AG294" s="2"/>
      <c r="AH294" s="16" t="s">
        <v>203</v>
      </c>
      <c r="AI294" s="141">
        <f t="array" aca="1" ref="AI294" ca="1">INDEX($B282:$T282,IF(MATCH(AI292,$B282:$T282,1)&lt;AK294,MATCH(AI292,$B282:$T282,1)+1,MATCH(AI292,$B282:$T282,1)))</f>
        <v>6000</v>
      </c>
      <c r="AJ294" s="16" t="s">
        <v>145</v>
      </c>
      <c r="AK294" s="17">
        <f>MATCH(MAX($B282:$T282),$B282:$T282,0)</f>
        <v>19</v>
      </c>
      <c r="AM294" s="2"/>
      <c r="AN294" s="2"/>
      <c r="AO294" s="2"/>
      <c r="AP294" s="16" t="s">
        <v>203</v>
      </c>
      <c r="AQ294" s="141">
        <f t="array" aca="1" ref="AQ294" ca="1">INDEX($B282:$T282,IF(MATCH(AQ292,$B282:$T282,1)&lt;AS294,MATCH(AQ292,$B282:$T282,1)+1,MATCH(AQ292,$B282:$T282,1)))</f>
        <v>6000</v>
      </c>
      <c r="AR294" s="16" t="s">
        <v>145</v>
      </c>
      <c r="AS294" s="17">
        <f>MATCH(MAX($B282:$T282),$B282:$T282,0)</f>
        <v>19</v>
      </c>
      <c r="AU294" s="2"/>
      <c r="AV294" s="2"/>
      <c r="AW294" s="2"/>
      <c r="AX294" s="16" t="s">
        <v>203</v>
      </c>
      <c r="AY294" s="141" t="e">
        <f t="array" aca="1" ref="AY294" ca="1">INDEX($B282:$T282,IF(MATCH(AY292,$B282:$T282,1)&lt;BA294,MATCH(AY292,$B282:$T282,1)+1,MATCH(AY292,$B282:$T282,1)))</f>
        <v>#N/A</v>
      </c>
      <c r="AZ294" s="16" t="s">
        <v>145</v>
      </c>
      <c r="BA294" s="17">
        <f>MATCH(MAX($B282:$T282),$B282:$T282,0)</f>
        <v>19</v>
      </c>
    </row>
    <row r="295" spans="1:66" ht="15" customHeight="1" x14ac:dyDescent="0.3">
      <c r="B295" s="139" t="s">
        <v>147</v>
      </c>
      <c r="C295" s="186">
        <f>'Take-off'!$C$12</f>
        <v>3</v>
      </c>
      <c r="D295" s="2"/>
      <c r="E295" s="2"/>
      <c r="G295" s="2"/>
      <c r="H295" s="2"/>
      <c r="I295" s="2"/>
      <c r="J295" s="139" t="s">
        <v>147</v>
      </c>
      <c r="K295" s="186">
        <f>'Take-off'!$C$12</f>
        <v>3</v>
      </c>
      <c r="L295" s="2"/>
      <c r="M295" s="2"/>
      <c r="O295" s="53"/>
      <c r="P295" s="2"/>
      <c r="Q295" s="2"/>
      <c r="R295" s="139" t="s">
        <v>147</v>
      </c>
      <c r="S295" s="186">
        <f>'Take-off'!$C$12</f>
        <v>3</v>
      </c>
      <c r="T295" s="2"/>
      <c r="U295" s="2"/>
      <c r="W295" s="2"/>
      <c r="X295" s="2"/>
      <c r="Y295" s="2"/>
      <c r="Z295" s="139" t="s">
        <v>147</v>
      </c>
      <c r="AA295" s="186">
        <f>'Take-off'!$C$12</f>
        <v>3</v>
      </c>
      <c r="AB295" s="2"/>
      <c r="AC295" s="2"/>
      <c r="AE295" s="2"/>
      <c r="AF295" s="2"/>
      <c r="AG295" s="2"/>
      <c r="AH295" s="139" t="s">
        <v>147</v>
      </c>
      <c r="AI295" s="186">
        <f>'Take-off'!$C$12</f>
        <v>3</v>
      </c>
      <c r="AJ295" s="2"/>
      <c r="AK295" s="2"/>
      <c r="AM295" s="2"/>
      <c r="AN295" s="2"/>
      <c r="AO295" s="2"/>
      <c r="AP295" s="139" t="s">
        <v>147</v>
      </c>
      <c r="AQ295" s="186">
        <f>'Take-off'!$C$12</f>
        <v>3</v>
      </c>
      <c r="AR295" s="2"/>
      <c r="AS295" s="2"/>
      <c r="AU295" s="2"/>
      <c r="AV295" s="2"/>
      <c r="AW295" s="2"/>
      <c r="AX295" s="139" t="s">
        <v>147</v>
      </c>
      <c r="AY295" s="186">
        <f>'Take-off'!$C$12</f>
        <v>3</v>
      </c>
      <c r="AZ295" s="2"/>
      <c r="BA295" s="2"/>
    </row>
    <row r="296" spans="1:66" ht="15" customHeight="1" x14ac:dyDescent="0.3">
      <c r="B296" s="16" t="s">
        <v>148</v>
      </c>
      <c r="C296" s="141">
        <f t="array" ref="C296">INDEX($A283:$A290,MATCH(C295,$A283:$A290,1))</f>
        <v>2.54</v>
      </c>
      <c r="D296" s="2"/>
      <c r="E296" s="42"/>
      <c r="G296" s="2"/>
      <c r="H296" s="2"/>
      <c r="I296" s="2"/>
      <c r="J296" s="16" t="s">
        <v>148</v>
      </c>
      <c r="K296" s="141">
        <f t="array" ref="K296">INDEX($A283:$A290,MATCH(K295,$A283:$A290,1))</f>
        <v>2.54</v>
      </c>
      <c r="L296" s="2"/>
      <c r="M296" s="42"/>
      <c r="O296" s="53"/>
      <c r="P296" s="2"/>
      <c r="Q296" s="2"/>
      <c r="R296" s="16" t="s">
        <v>148</v>
      </c>
      <c r="S296" s="141">
        <f t="array" ref="S296">INDEX($A283:$A290,MATCH(S295,$A283:$A290,1))</f>
        <v>2.54</v>
      </c>
      <c r="T296" s="2"/>
      <c r="U296" s="42"/>
      <c r="W296" s="2"/>
      <c r="X296" s="2"/>
      <c r="Y296" s="2"/>
      <c r="Z296" s="16" t="s">
        <v>148</v>
      </c>
      <c r="AA296" s="141">
        <f t="array" ref="AA296">INDEX($A283:$A290,MATCH(AA295,$A283:$A290,1))</f>
        <v>2.54</v>
      </c>
      <c r="AB296" s="2"/>
      <c r="AC296" s="42"/>
      <c r="AE296" s="2"/>
      <c r="AF296" s="2"/>
      <c r="AG296" s="2"/>
      <c r="AH296" s="16" t="s">
        <v>148</v>
      </c>
      <c r="AI296" s="141">
        <f t="array" ref="AI296">INDEX($A283:$A290,MATCH(AI295,$A283:$A290,1))</f>
        <v>2.54</v>
      </c>
      <c r="AJ296" s="2"/>
      <c r="AK296" s="42"/>
      <c r="AM296" s="2"/>
      <c r="AN296" s="2"/>
      <c r="AO296" s="2"/>
      <c r="AP296" s="16" t="s">
        <v>148</v>
      </c>
      <c r="AQ296" s="141">
        <f t="array" ref="AQ296">INDEX($A283:$A290,MATCH(AQ295,$A283:$A290,1))</f>
        <v>2.54</v>
      </c>
      <c r="AR296" s="2"/>
      <c r="AS296" s="42"/>
      <c r="AU296" s="2"/>
      <c r="AV296" s="2"/>
      <c r="AW296" s="2"/>
      <c r="AX296" s="16" t="s">
        <v>148</v>
      </c>
      <c r="AY296" s="141">
        <f t="array" ref="AY296">INDEX($A283:$A290,MATCH(AY295,$A283:$A290,1))</f>
        <v>2.54</v>
      </c>
      <c r="AZ296" s="2"/>
      <c r="BA296" s="42"/>
    </row>
    <row r="297" spans="1:66" ht="15" customHeight="1" x14ac:dyDescent="0.3">
      <c r="B297" s="16" t="s">
        <v>149</v>
      </c>
      <c r="C297" s="141">
        <f t="array" ref="C297">INDEX($A283:$A290,IF(MATCH(C295,$A283:$A290,1)&lt;E293,MATCH(C295,$A283:$A290,1)+1,MATCH(C295,$A283:$A290,1)))</f>
        <v>5.08</v>
      </c>
      <c r="D297" s="2"/>
      <c r="E297" s="42"/>
      <c r="G297" s="2"/>
      <c r="H297" s="2"/>
      <c r="I297" s="2"/>
      <c r="J297" s="16" t="s">
        <v>149</v>
      </c>
      <c r="K297" s="141">
        <f t="array" ref="K297">INDEX($A283:$A290,IF(MATCH(K295,$A283:$A290,1)&lt;M293,MATCH(K295,$A283:$A290,1)+1,MATCH(K295,$A283:$A290,1)))</f>
        <v>5.08</v>
      </c>
      <c r="L297" s="2"/>
      <c r="M297" s="42"/>
      <c r="O297" s="53"/>
      <c r="P297" s="2"/>
      <c r="Q297" s="2"/>
      <c r="R297" s="16" t="s">
        <v>149</v>
      </c>
      <c r="S297" s="141">
        <f t="array" ref="S297">INDEX($A283:$A290,IF(MATCH(S295,$A283:$A290,1)&lt;U293,MATCH(S295,$A283:$A290,1)+1,MATCH(S295,$A283:$A290,1)))</f>
        <v>5.08</v>
      </c>
      <c r="T297" s="2"/>
      <c r="U297" s="42"/>
      <c r="W297" s="2"/>
      <c r="X297" s="2"/>
      <c r="Y297" s="2"/>
      <c r="Z297" s="16" t="s">
        <v>149</v>
      </c>
      <c r="AA297" s="141">
        <f t="array" ref="AA297">INDEX($A283:$A290,IF(MATCH(AA295,$A283:$A290,1)&lt;AC293,MATCH(AA295,$A283:$A290,1)+1,MATCH(AA295,$A283:$A290,1)))</f>
        <v>5.08</v>
      </c>
      <c r="AB297" s="2"/>
      <c r="AC297" s="42"/>
      <c r="AE297" s="2"/>
      <c r="AF297" s="2"/>
      <c r="AG297" s="2"/>
      <c r="AH297" s="16" t="s">
        <v>149</v>
      </c>
      <c r="AI297" s="141">
        <f t="array" ref="AI297">INDEX($A283:$A290,IF(MATCH(AI295,$A283:$A290,1)&lt;AK293,MATCH(AI295,$A283:$A290,1)+1,MATCH(AI295,$A283:$A290,1)))</f>
        <v>5.08</v>
      </c>
      <c r="AJ297" s="2"/>
      <c r="AK297" s="42"/>
      <c r="AM297" s="2"/>
      <c r="AN297" s="2"/>
      <c r="AO297" s="2"/>
      <c r="AP297" s="16" t="s">
        <v>149</v>
      </c>
      <c r="AQ297" s="141">
        <f t="array" ref="AQ297">INDEX($A283:$A290,IF(MATCH(AQ295,$A283:$A290,1)&lt;AS293,MATCH(AQ295,$A283:$A290,1)+1,MATCH(AQ295,$A283:$A290,1)))</f>
        <v>5.08</v>
      </c>
      <c r="AR297" s="2"/>
      <c r="AS297" s="42"/>
      <c r="AU297" s="2"/>
      <c r="AV297" s="2"/>
      <c r="AW297" s="2"/>
      <c r="AX297" s="16" t="s">
        <v>149</v>
      </c>
      <c r="AY297" s="141">
        <f t="array" ref="AY297">INDEX($A283:$A290,IF(MATCH(AY295,$A283:$A290,1)&lt;BA293,MATCH(AY295,$A283:$A290,1)+1,MATCH(AY295,$A283:$A290,1)))</f>
        <v>5.08</v>
      </c>
      <c r="AZ297" s="2"/>
      <c r="BA297" s="42"/>
    </row>
    <row r="298" spans="1:66" ht="15" customHeight="1" x14ac:dyDescent="0.3">
      <c r="B298" s="139" t="s">
        <v>150</v>
      </c>
      <c r="C298" s="140">
        <f t="array" aca="1" ref="C298" ca="1">INDEX($B283:$T290,MATCH(C295,$A283:$A290,1),MATCH(C292,$B282:$T282,1))</f>
        <v>7500</v>
      </c>
      <c r="D298" s="2"/>
      <c r="E298" s="42"/>
      <c r="G298" s="2"/>
      <c r="H298" s="2"/>
      <c r="I298" s="2"/>
      <c r="J298" s="139" t="s">
        <v>150</v>
      </c>
      <c r="K298" s="140">
        <f t="array" aca="1" ref="K298" ca="1">INDEX($B283:$T290,MATCH(K295,$A283:$A290,1),MATCH(K292,$B282:$T282,1))</f>
        <v>7500</v>
      </c>
      <c r="L298" s="2"/>
      <c r="M298" s="42"/>
      <c r="O298" s="53"/>
      <c r="P298" s="2"/>
      <c r="Q298" s="2"/>
      <c r="R298" s="139" t="s">
        <v>150</v>
      </c>
      <c r="S298" s="140">
        <f t="array" aca="1" ref="S298" ca="1">INDEX($B283:$T290,MATCH(S295,$A283:$A290,1),MATCH(S292,$B282:$T282,1))</f>
        <v>6500</v>
      </c>
      <c r="T298" s="2"/>
      <c r="U298" s="42"/>
      <c r="W298" s="2"/>
      <c r="X298" s="2"/>
      <c r="Y298" s="2"/>
      <c r="Z298" s="139" t="s">
        <v>150</v>
      </c>
      <c r="AA298" s="140">
        <f t="array" aca="1" ref="AA298" ca="1">INDEX($B283:$T290,MATCH(AA295,$A283:$A290,1),MATCH(AA292,$B282:$T282,1))</f>
        <v>6000</v>
      </c>
      <c r="AB298" s="2"/>
      <c r="AC298" s="42"/>
      <c r="AE298" s="2"/>
      <c r="AF298" s="2"/>
      <c r="AG298" s="2"/>
      <c r="AH298" s="139" t="s">
        <v>150</v>
      </c>
      <c r="AI298" s="140">
        <f t="array" aca="1" ref="AI298" ca="1">INDEX($B283:$T290,MATCH(AI295,$A283:$A290,1),MATCH(AI292,$B282:$T282,1))</f>
        <v>5500</v>
      </c>
      <c r="AJ298" s="2"/>
      <c r="AK298" s="42"/>
      <c r="AM298" s="2"/>
      <c r="AN298" s="2"/>
      <c r="AO298" s="2"/>
      <c r="AP298" s="139" t="s">
        <v>150</v>
      </c>
      <c r="AQ298" s="140">
        <f t="array" aca="1" ref="AQ298" ca="1">INDEX($B283:$T290,MATCH(AQ295,$A283:$A290,1),MATCH(AQ292,$B282:$T282,1))</f>
        <v>5500</v>
      </c>
      <c r="AR298" s="2"/>
      <c r="AS298" s="42"/>
      <c r="AU298" s="2"/>
      <c r="AV298" s="2"/>
      <c r="AW298" s="2"/>
      <c r="AX298" s="139" t="s">
        <v>150</v>
      </c>
      <c r="AY298" s="140" t="e">
        <f t="array" aca="1" ref="AY298" ca="1">INDEX($B283:$T290,MATCH(AY295,$A283:$A290,1),MATCH(AY292,$B282:$T282,1))</f>
        <v>#N/A</v>
      </c>
      <c r="AZ298" s="2"/>
      <c r="BA298" s="42"/>
    </row>
    <row r="299" spans="1:66" ht="15" customHeight="1" x14ac:dyDescent="0.3">
      <c r="B299" s="139" t="s">
        <v>204</v>
      </c>
      <c r="C299" s="140">
        <f t="array" aca="1" ref="C299" ca="1">INDEX($B283:$T290,MATCH(C295,$A283:$A290,1),IF(MATCH(C292,$B282:$T282,1)&lt;E294,MATCH(C292,$B282:$T282,1)+1,MATCH(C295,$A283:$A290,1)))</f>
        <v>8000</v>
      </c>
      <c r="E299" s="42"/>
      <c r="G299" s="2"/>
      <c r="H299" s="2"/>
      <c r="I299" s="2"/>
      <c r="J299" s="139" t="s">
        <v>204</v>
      </c>
      <c r="K299" s="140">
        <f t="array" aca="1" ref="K299" ca="1">INDEX($B283:$T290,MATCH(K295,$A283:$A290,1),IF(MATCH(K292,$B282:$T282,1)&lt;M294,MATCH(K292,$B282:$T282,1)+1,MATCH(K295,$A283:$A290,1)))</f>
        <v>8000</v>
      </c>
      <c r="M299" s="42"/>
      <c r="O299" s="12"/>
      <c r="P299" s="2"/>
      <c r="Q299" s="2"/>
      <c r="R299" s="139" t="s">
        <v>204</v>
      </c>
      <c r="S299" s="140">
        <f t="array" aca="1" ref="S299" ca="1">INDEX($B283:$T290,MATCH(S295,$A283:$A290,1),IF(MATCH(S292,$B282:$T282,1)&lt;U294,MATCH(S292,$B282:$T282,1)+1,MATCH(S295,$A283:$A290,1)))</f>
        <v>7000</v>
      </c>
      <c r="U299" s="42"/>
      <c r="W299" s="2"/>
      <c r="X299" s="2"/>
      <c r="Y299" s="2"/>
      <c r="Z299" s="139" t="s">
        <v>204</v>
      </c>
      <c r="AA299" s="140">
        <f t="array" aca="1" ref="AA299" ca="1">INDEX($B283:$T290,MATCH(AA295,$A283:$A290,1),IF(MATCH(AA292,$B282:$T282,1)&lt;AC294,MATCH(AA292,$B282:$T282,1)+1,MATCH(AA295,$A283:$A290,1)))</f>
        <v>6500</v>
      </c>
      <c r="AC299" s="42"/>
      <c r="AE299" s="2"/>
      <c r="AF299" s="2"/>
      <c r="AG299" s="2"/>
      <c r="AH299" s="139" t="s">
        <v>204</v>
      </c>
      <c r="AI299" s="140">
        <f t="array" aca="1" ref="AI299" ca="1">INDEX($B283:$T290,MATCH(AI295,$A283:$A290,1),IF(MATCH(AI292,$B282:$T282,1)&lt;AK294,MATCH(AI292,$B282:$T282,1)+1,MATCH(AI295,$A283:$A290,1)))</f>
        <v>6000</v>
      </c>
      <c r="AK299" s="42"/>
      <c r="AM299" s="2"/>
      <c r="AN299" s="2"/>
      <c r="AO299" s="2"/>
      <c r="AP299" s="139" t="s">
        <v>204</v>
      </c>
      <c r="AQ299" s="140">
        <f t="array" aca="1" ref="AQ299" ca="1">INDEX($B283:$T290,MATCH(AQ295,$A283:$A290,1),IF(MATCH(AQ292,$B282:$T282,1)&lt;AS294,MATCH(AQ292,$B282:$T282,1)+1,MATCH(AQ295,$A283:$A290,1)))</f>
        <v>6000</v>
      </c>
      <c r="AS299" s="42"/>
      <c r="AU299" s="2"/>
      <c r="AV299" s="2"/>
      <c r="AW299" s="2"/>
      <c r="AX299" s="139" t="s">
        <v>204</v>
      </c>
      <c r="AY299" s="140" t="e">
        <f t="array" aca="1" ref="AY299" ca="1">INDEX($B283:$T290,MATCH(AY295,$A283:$A290,1),IF(MATCH(AY292,$B282:$T282,1)&lt;BA294,MATCH(AY292,$B282:$T282,1)+1,MATCH(AY295,$A283:$A290,1)))</f>
        <v>#N/A</v>
      </c>
      <c r="BA299" s="42"/>
    </row>
    <row r="300" spans="1:66" ht="15" customHeight="1" x14ac:dyDescent="0.3">
      <c r="B300" s="139" t="s">
        <v>151</v>
      </c>
      <c r="C300" s="140">
        <f t="array" aca="1" ref="C300" ca="1">INDEX($B283:$T290,IF(MATCH(C295,$A283:$A290,1)&lt;E293,MATCH(C295,$A283:$A290,1)+1,MATCH(C295,$A283:$A290,1)),MATCH(C292,$B282:$T282,1))</f>
        <v>7700</v>
      </c>
      <c r="E300" s="42"/>
      <c r="G300" s="2"/>
      <c r="H300" s="2"/>
      <c r="I300" s="2"/>
      <c r="J300" s="139" t="s">
        <v>151</v>
      </c>
      <c r="K300" s="140">
        <f t="array" aca="1" ref="K300" ca="1">INDEX($B283:$T290,IF(MATCH(K295,$A283:$A290,1)&lt;M293,MATCH(K295,$A283:$A290,1)+1,MATCH(K295,$A283:$A290,1)),MATCH(K292,$B282:$T282,1))</f>
        <v>7700</v>
      </c>
      <c r="M300" s="42"/>
      <c r="O300" s="12"/>
      <c r="P300" s="2"/>
      <c r="Q300" s="2"/>
      <c r="R300" s="139" t="s">
        <v>151</v>
      </c>
      <c r="S300" s="140">
        <f t="array" aca="1" ref="S300" ca="1">INDEX($B283:$T290,IF(MATCH(S295,$A283:$A290,1)&lt;U293,MATCH(S295,$A283:$A290,1)+1,MATCH(S295,$A283:$A290,1)),MATCH(S292,$B282:$T282,1))</f>
        <v>6650</v>
      </c>
      <c r="U300" s="42"/>
      <c r="W300" s="2"/>
      <c r="X300" s="2"/>
      <c r="Y300" s="2"/>
      <c r="Z300" s="139" t="s">
        <v>151</v>
      </c>
      <c r="AA300" s="140">
        <f t="array" aca="1" ref="AA300" ca="1">INDEX($B283:$T290,IF(MATCH(AA295,$A283:$A290,1)&lt;AC293,MATCH(AA295,$A283:$A290,1)+1,MATCH(AA295,$A283:$A290,1)),MATCH(AA292,$B282:$T282,1))</f>
        <v>6100</v>
      </c>
      <c r="AC300" s="42"/>
      <c r="AE300" s="2"/>
      <c r="AF300" s="2"/>
      <c r="AG300" s="2"/>
      <c r="AH300" s="139" t="s">
        <v>151</v>
      </c>
      <c r="AI300" s="140">
        <f t="array" aca="1" ref="AI300" ca="1">INDEX($B283:$T290,IF(MATCH(AI295,$A283:$A290,1)&lt;AK293,MATCH(AI295,$A283:$A290,1)+1,MATCH(AI295,$A283:$A290,1)),MATCH(AI292,$B282:$T282,1))</f>
        <v>5600</v>
      </c>
      <c r="AK300" s="42"/>
      <c r="AM300" s="2"/>
      <c r="AN300" s="2"/>
      <c r="AO300" s="2"/>
      <c r="AP300" s="139" t="s">
        <v>151</v>
      </c>
      <c r="AQ300" s="140">
        <f t="array" aca="1" ref="AQ300" ca="1">INDEX($B283:$T290,IF(MATCH(AQ295,$A283:$A290,1)&lt;AS293,MATCH(AQ295,$A283:$A290,1)+1,MATCH(AQ295,$A283:$A290,1)),MATCH(AQ292,$B282:$T282,1))</f>
        <v>5600</v>
      </c>
      <c r="AS300" s="42"/>
      <c r="AU300" s="2"/>
      <c r="AV300" s="2"/>
      <c r="AW300" s="2"/>
      <c r="AX300" s="139" t="s">
        <v>151</v>
      </c>
      <c r="AY300" s="140" t="e">
        <f t="array" aca="1" ref="AY300" ca="1">INDEX($B283:$T290,IF(MATCH(AY295,$A283:$A290,1)&lt;BA293,MATCH(AY295,$A283:$A290,1)+1,MATCH(AY295,$A283:$A290,1)),MATCH(AY292,$B282:$T282,1))</f>
        <v>#N/A</v>
      </c>
      <c r="BA300" s="42"/>
    </row>
    <row r="301" spans="1:66" ht="15" customHeight="1" x14ac:dyDescent="0.3">
      <c r="B301" s="139" t="s">
        <v>205</v>
      </c>
      <c r="C301" s="140">
        <f t="array" aca="1" ref="C301" ca="1">INDEX($B283:$T290,IF(MATCH(C295,$A283:$A290,1)&lt;E293,MATCH(C295,$A283:$A290,1)+1,MATCH(C295,$A283:$A290,1)),IF(MATCH(C292,$B282:$T282,1)&lt;E294,MATCH(C292,$B282:$T282,1)+1,MATCH(C292,$B282:$T282,1)))</f>
        <v>8200</v>
      </c>
      <c r="G301" s="2"/>
      <c r="H301" s="2"/>
      <c r="I301" s="2"/>
      <c r="J301" s="139" t="s">
        <v>205</v>
      </c>
      <c r="K301" s="140">
        <f t="array" aca="1" ref="K301" ca="1">INDEX($B283:$T290,IF(MATCH(K295,$A283:$A290,1)&lt;M293,MATCH(K295,$A283:$A290,1)+1,MATCH(K295,$A283:$A290,1)),IF(MATCH(K292,$B282:$T282,1)&lt;M294,MATCH(K292,$B282:$T282,1)+1,MATCH(K292,$B282:$T282,1)))</f>
        <v>8200</v>
      </c>
      <c r="O301" s="12"/>
      <c r="P301" s="2"/>
      <c r="Q301" s="2"/>
      <c r="R301" s="139" t="s">
        <v>205</v>
      </c>
      <c r="S301" s="140">
        <f t="array" aca="1" ref="S301" ca="1">INDEX($B283:$T290,IF(MATCH(S295,$A283:$A290,1)&lt;U293,MATCH(S295,$A283:$A290,1)+1,MATCH(S295,$A283:$A290,1)),IF(MATCH(S292,$B282:$T282,1)&lt;U294,MATCH(S292,$B282:$T282,1)+1,MATCH(S292,$B282:$T282,1)))</f>
        <v>7150</v>
      </c>
      <c r="W301" s="2"/>
      <c r="X301" s="2"/>
      <c r="Y301" s="2"/>
      <c r="Z301" s="139" t="s">
        <v>205</v>
      </c>
      <c r="AA301" s="140">
        <f t="array" aca="1" ref="AA301" ca="1">INDEX($B283:$T290,IF(MATCH(AA295,$A283:$A290,1)&lt;AC293,MATCH(AA295,$A283:$A290,1)+1,MATCH(AA295,$A283:$A290,1)),IF(MATCH(AA292,$B282:$T282,1)&lt;AC294,MATCH(AA292,$B282:$T282,1)+1,MATCH(AA292,$B282:$T282,1)))</f>
        <v>6650</v>
      </c>
      <c r="AE301" s="2"/>
      <c r="AF301" s="2"/>
      <c r="AG301" s="2"/>
      <c r="AH301" s="139" t="s">
        <v>205</v>
      </c>
      <c r="AI301" s="140">
        <f t="array" aca="1" ref="AI301" ca="1">INDEX($B283:$T290,IF(MATCH(AI295,$A283:$A290,1)&lt;AK293,MATCH(AI295,$A283:$A290,1)+1,MATCH(AI295,$A283:$A290,1)),IF(MATCH(AI292,$B282:$T282,1)&lt;AK294,MATCH(AI292,$B282:$T282,1)+1,MATCH(AI292,$B282:$T282,1)))</f>
        <v>6100</v>
      </c>
      <c r="AM301" s="2"/>
      <c r="AN301" s="2"/>
      <c r="AO301" s="2"/>
      <c r="AP301" s="139" t="s">
        <v>205</v>
      </c>
      <c r="AQ301" s="140">
        <f t="array" aca="1" ref="AQ301" ca="1">INDEX($B283:$T290,IF(MATCH(AQ295,$A283:$A290,1)&lt;AS293,MATCH(AQ295,$A283:$A290,1)+1,MATCH(AQ295,$A283:$A290,1)),IF(MATCH(AQ292,$B282:$T282,1)&lt;AS294,MATCH(AQ292,$B282:$T282,1)+1,MATCH(AQ292,$B282:$T282,1)))</f>
        <v>6100</v>
      </c>
      <c r="AU301" s="2"/>
      <c r="AV301" s="2"/>
      <c r="AW301" s="2"/>
      <c r="AX301" s="139" t="s">
        <v>205</v>
      </c>
      <c r="AY301" s="140" t="e">
        <f t="array" aca="1" ref="AY301" ca="1">INDEX($B283:$T290,IF(MATCH(AY295,$A283:$A290,1)&lt;BA293,MATCH(AY295,$A283:$A290,1)+1,MATCH(AY295,$A283:$A290,1)),IF(MATCH(AY292,$B282:$T282,1)&lt;BA294,MATCH(AY292,$B282:$T282,1)+1,MATCH(AY292,$B282:$T282,1)))</f>
        <v>#N/A</v>
      </c>
    </row>
    <row r="302" spans="1:66" ht="15" customHeight="1" x14ac:dyDescent="0.3">
      <c r="B302" s="16" t="s">
        <v>206</v>
      </c>
      <c r="C302" s="141">
        <f ca="1">IFERROR(C298+(C292-C293)*(C299-C298)/(C294-C293),C298)</f>
        <v>7920.8938427348185</v>
      </c>
      <c r="G302" s="2"/>
      <c r="H302" s="2"/>
      <c r="I302" s="2"/>
      <c r="J302" s="16" t="s">
        <v>206</v>
      </c>
      <c r="K302" s="141">
        <f ca="1">IFERROR(K298+(K292-K293)*(K299-K298)/(K294-K293),K298)</f>
        <v>7546.4411504919517</v>
      </c>
      <c r="O302" s="12"/>
      <c r="P302" s="2"/>
      <c r="Q302" s="2"/>
      <c r="R302" s="16" t="s">
        <v>206</v>
      </c>
      <c r="S302" s="141">
        <f ca="1">IFERROR(S298+(S292-S293)*(S299-S298)/(S294-S293),S298)</f>
        <v>6932.0565071742194</v>
      </c>
      <c r="W302" s="2"/>
      <c r="X302" s="2"/>
      <c r="Y302" s="2"/>
      <c r="Z302" s="16" t="s">
        <v>206</v>
      </c>
      <c r="AA302" s="141">
        <f ca="1">IFERROR(AA298+(AA292-AA293)*(AA299-AA298)/(AA294-AA293),AA298)</f>
        <v>6373.6711888458667</v>
      </c>
      <c r="AE302" s="2"/>
      <c r="AF302" s="2"/>
      <c r="AG302" s="2"/>
      <c r="AH302" s="16" t="s">
        <v>206</v>
      </c>
      <c r="AI302" s="141">
        <f ca="1">IFERROR(AI298+(AI292-AI293)*(AI299-AI298)/(AI294-AI293),AI298)</f>
        <v>5874.353249007665</v>
      </c>
      <c r="AM302" s="2"/>
      <c r="AN302" s="2"/>
      <c r="AO302" s="2"/>
      <c r="AP302" s="16" t="s">
        <v>206</v>
      </c>
      <c r="AQ302" s="141">
        <f ca="1">IFERROR(AQ298+(AQ292-AQ293)*(AQ299-AQ298)/(AQ294-AQ293),AQ298)</f>
        <v>5768.3131669052227</v>
      </c>
      <c r="AU302" s="2"/>
      <c r="AV302" s="2"/>
      <c r="AW302" s="2"/>
      <c r="AX302" s="16" t="s">
        <v>206</v>
      </c>
      <c r="AY302" s="141" t="e">
        <f ca="1">IFERROR(AY298+(AY292-AY293)*(AY299-AY298)/(AY294-AY293),AY298)</f>
        <v>#N/A</v>
      </c>
    </row>
    <row r="303" spans="1:66" ht="15" customHeight="1" x14ac:dyDescent="0.3">
      <c r="B303" s="16" t="s">
        <v>207</v>
      </c>
      <c r="C303" s="141">
        <f ca="1">IFERROR(C300+(C292-C293)*(C301-C300)/(C294-C293),C300)</f>
        <v>8120.8938427348185</v>
      </c>
      <c r="G303" s="2"/>
      <c r="H303" s="2"/>
      <c r="I303" s="2"/>
      <c r="J303" s="16" t="s">
        <v>207</v>
      </c>
      <c r="K303" s="141">
        <f ca="1">IFERROR(K300+(K292-K293)*(K301-K300)/(K294-K293),K300)</f>
        <v>7746.4411504919517</v>
      </c>
      <c r="O303" s="12"/>
      <c r="P303" s="2"/>
      <c r="Q303" s="2"/>
      <c r="R303" s="16" t="s">
        <v>207</v>
      </c>
      <c r="S303" s="141">
        <f ca="1">IFERROR(S300+(S292-S293)*(S301-S300)/(S294-S293),S300)</f>
        <v>7082.0565071742194</v>
      </c>
      <c r="W303" s="2"/>
      <c r="X303" s="2"/>
      <c r="Y303" s="2"/>
      <c r="Z303" s="16" t="s">
        <v>207</v>
      </c>
      <c r="AA303" s="141">
        <f ca="1">IFERROR(AA300+(AA292-AA293)*(AA301-AA300)/(AA294-AA293),AA300)</f>
        <v>6511.0383077304532</v>
      </c>
      <c r="AE303" s="2"/>
      <c r="AF303" s="2"/>
      <c r="AG303" s="2"/>
      <c r="AH303" s="16" t="s">
        <v>207</v>
      </c>
      <c r="AI303" s="141">
        <f ca="1">IFERROR(AI300+(AI292-AI293)*(AI301-AI300)/(AI294-AI293),AI300)</f>
        <v>5974.353249007665</v>
      </c>
      <c r="AM303" s="2"/>
      <c r="AN303" s="2"/>
      <c r="AO303" s="2"/>
      <c r="AP303" s="16" t="s">
        <v>207</v>
      </c>
      <c r="AQ303" s="141">
        <f ca="1">IFERROR(AQ300+(AQ292-AQ293)*(AQ301-AQ300)/(AQ294-AQ293),AQ300)</f>
        <v>5868.3131669052227</v>
      </c>
      <c r="AU303" s="2"/>
      <c r="AV303" s="2"/>
      <c r="AW303" s="2"/>
      <c r="AX303" s="16" t="s">
        <v>207</v>
      </c>
      <c r="AY303" s="141" t="e">
        <f ca="1">IFERROR(AY300+(AY292-AY293)*(AY301-AY300)/(AY294-AY293),AY300)</f>
        <v>#N/A</v>
      </c>
    </row>
    <row r="304" spans="1:66" ht="15" customHeight="1" x14ac:dyDescent="0.3">
      <c r="B304" s="139" t="s">
        <v>208</v>
      </c>
      <c r="C304" s="140">
        <f ca="1">IFERROR(C302+(C295-C296)*(C303-C302)/(C297-C296),C302)</f>
        <v>7957.1143151757633</v>
      </c>
      <c r="G304" s="2"/>
      <c r="H304" s="2"/>
      <c r="I304" s="2"/>
      <c r="J304" s="139" t="s">
        <v>208</v>
      </c>
      <c r="K304" s="140">
        <f ca="1">IFERROR(K302+(K295-K296)*(K303-K302)/(K297-K296),K302)</f>
        <v>7582.6616229328965</v>
      </c>
      <c r="O304" s="12"/>
      <c r="P304" s="2"/>
      <c r="Q304" s="2"/>
      <c r="R304" s="139" t="s">
        <v>208</v>
      </c>
      <c r="S304" s="140">
        <f ca="1">IFERROR(S302+(S295-S296)*(S303-S302)/(S297-S296),S302)</f>
        <v>6959.2218615049278</v>
      </c>
      <c r="W304" s="2"/>
      <c r="X304" s="2"/>
      <c r="Y304" s="2"/>
      <c r="Z304" s="139" t="s">
        <v>208</v>
      </c>
      <c r="AA304" s="140">
        <f ca="1">IFERROR(AA302+(AA295-AA296)*(AA303-AA302)/(AA297-AA296),AA302)</f>
        <v>6398.5486985651223</v>
      </c>
      <c r="AE304" s="2"/>
      <c r="AF304" s="2"/>
      <c r="AG304" s="2"/>
      <c r="AH304" s="139" t="s">
        <v>208</v>
      </c>
      <c r="AI304" s="140">
        <f ca="1">IFERROR(AI302+(AI295-AI296)*(AI303-AI302)/(AI297-AI296),AI302)</f>
        <v>5892.4634852281379</v>
      </c>
      <c r="AM304" s="2"/>
      <c r="AN304" s="2"/>
      <c r="AO304" s="2"/>
      <c r="AP304" s="139" t="s">
        <v>208</v>
      </c>
      <c r="AQ304" s="140">
        <f ca="1">IFERROR(AQ302+(AQ295-AQ296)*(AQ303-AQ302)/(AQ297-AQ296),AQ302)</f>
        <v>5786.4234031256956</v>
      </c>
      <c r="AU304" s="2"/>
      <c r="AV304" s="2"/>
      <c r="AW304" s="2"/>
      <c r="AX304" s="139" t="s">
        <v>208</v>
      </c>
      <c r="AY304" s="140" t="e">
        <f ca="1">IFERROR(AY302+(AY295-AY296)*(AY303-AY302)/(AY297-AY296),AY302)</f>
        <v>#N/A</v>
      </c>
    </row>
    <row r="305" spans="1:55" ht="15.75" customHeight="1" x14ac:dyDescent="0.3"/>
    <row r="306" spans="1:55" ht="15" customHeight="1" x14ac:dyDescent="0.3">
      <c r="A306" s="414" t="s">
        <v>133</v>
      </c>
      <c r="B306" s="414"/>
      <c r="C306" s="414"/>
      <c r="D306" s="414"/>
      <c r="E306" s="414"/>
      <c r="F306" s="414"/>
      <c r="G306" s="2"/>
      <c r="H306" s="2"/>
      <c r="I306" s="2"/>
      <c r="J306" s="139"/>
      <c r="K306" s="140"/>
      <c r="O306" s="2"/>
      <c r="P306" s="2"/>
      <c r="Q306" s="2"/>
      <c r="R306" s="139"/>
      <c r="S306" s="140"/>
      <c r="V306" s="17"/>
      <c r="W306" s="2"/>
      <c r="X306" s="2"/>
      <c r="Y306" s="2"/>
      <c r="Z306" s="139"/>
      <c r="AA306" s="140"/>
      <c r="AE306" s="2"/>
      <c r="AF306" s="2"/>
      <c r="AG306" s="2"/>
      <c r="AH306" s="139"/>
      <c r="AI306" s="140"/>
      <c r="AM306" s="2"/>
      <c r="AN306" s="2"/>
      <c r="AO306" s="2"/>
      <c r="AP306" s="139"/>
      <c r="AQ306" s="140"/>
      <c r="AU306" s="2"/>
      <c r="AV306" s="2"/>
      <c r="AW306" s="2"/>
      <c r="AX306" s="139"/>
      <c r="AY306" s="140"/>
    </row>
    <row r="307" spans="1:55" ht="15" customHeight="1" x14ac:dyDescent="0.3">
      <c r="B307" s="139"/>
      <c r="C307" s="140"/>
      <c r="G307" s="2"/>
      <c r="H307" s="2"/>
      <c r="I307" s="2"/>
      <c r="J307" s="139"/>
      <c r="K307" s="140"/>
      <c r="O307" s="2"/>
      <c r="P307" s="2"/>
      <c r="Q307" s="2"/>
      <c r="R307" s="139"/>
      <c r="S307" s="140"/>
      <c r="V307" s="17"/>
      <c r="W307" s="2"/>
      <c r="X307" s="2"/>
      <c r="Y307" s="2"/>
      <c r="Z307" s="139"/>
      <c r="AA307" s="140"/>
      <c r="AE307" s="2"/>
      <c r="AF307" s="2"/>
      <c r="AG307" s="2"/>
      <c r="AH307" s="139"/>
      <c r="AI307" s="140"/>
      <c r="AM307" s="2"/>
      <c r="AN307" s="2"/>
      <c r="AO307" s="2"/>
      <c r="AP307" s="139"/>
      <c r="AQ307" s="140"/>
      <c r="AU307" s="2"/>
      <c r="AV307" s="2"/>
      <c r="AW307" s="2"/>
      <c r="AX307" s="139"/>
      <c r="AY307" s="140"/>
    </row>
    <row r="308" spans="1:55" ht="15" customHeight="1" x14ac:dyDescent="0.3">
      <c r="A308" t="s">
        <v>221</v>
      </c>
      <c r="B308" s="357" t="s">
        <v>222</v>
      </c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O308" s="2"/>
      <c r="P308" s="2"/>
      <c r="Q308" s="2"/>
      <c r="R308" s="139"/>
      <c r="S308" s="140"/>
      <c r="V308" s="17"/>
      <c r="W308" s="2"/>
      <c r="X308" s="2"/>
      <c r="Y308" s="2"/>
      <c r="Z308" s="139"/>
      <c r="AA308" s="140"/>
      <c r="AE308" s="2"/>
      <c r="AF308" s="2"/>
      <c r="AG308" s="2"/>
      <c r="AH308" s="139"/>
      <c r="AI308" s="140"/>
      <c r="AM308" s="2"/>
      <c r="AN308" s="2"/>
      <c r="AO308" s="2"/>
      <c r="AP308" s="139"/>
      <c r="AQ308" s="140"/>
      <c r="AU308" s="2"/>
      <c r="AV308" s="2"/>
      <c r="AW308" s="2"/>
      <c r="AX308" s="139"/>
      <c r="AY308" s="140"/>
    </row>
    <row r="309" spans="1:55" ht="15" customHeight="1" x14ac:dyDescent="0.3">
      <c r="A309" t="s">
        <v>35</v>
      </c>
      <c r="B309" s="229">
        <v>4000</v>
      </c>
      <c r="C309" s="230">
        <v>4500</v>
      </c>
      <c r="D309" s="55">
        <v>5000</v>
      </c>
      <c r="E309" s="55">
        <v>5500</v>
      </c>
      <c r="F309" s="55">
        <v>6000</v>
      </c>
      <c r="G309" s="55">
        <v>6500</v>
      </c>
      <c r="H309" s="259">
        <v>7000</v>
      </c>
      <c r="I309" s="259">
        <v>7500</v>
      </c>
      <c r="J309" s="259">
        <v>8000</v>
      </c>
      <c r="K309" s="259">
        <v>8500</v>
      </c>
      <c r="L309" s="231">
        <v>9000</v>
      </c>
      <c r="M309" s="231">
        <v>9500</v>
      </c>
      <c r="N309" s="139"/>
      <c r="O309" s="140"/>
      <c r="P309" s="17"/>
      <c r="Q309" s="139"/>
      <c r="R309" s="140"/>
      <c r="V309" s="2"/>
      <c r="W309" s="2"/>
      <c r="X309" s="2"/>
      <c r="AA309" s="2"/>
      <c r="AB309" s="2"/>
      <c r="AC309" s="2"/>
      <c r="AD309" s="139"/>
      <c r="AE309" s="140"/>
      <c r="AI309" s="2"/>
      <c r="AJ309" s="2"/>
      <c r="AK309" s="2"/>
      <c r="AL309" s="139"/>
      <c r="AM309" s="140"/>
      <c r="AQ309" s="2"/>
      <c r="AR309" s="2"/>
      <c r="AS309" s="2"/>
      <c r="AT309" s="139"/>
      <c r="AU309" s="140"/>
      <c r="AY309" s="2"/>
      <c r="AZ309" s="2"/>
      <c r="BA309" s="2"/>
      <c r="BB309" s="139"/>
      <c r="BC309" s="140"/>
    </row>
    <row r="310" spans="1:55" ht="15" customHeight="1" x14ac:dyDescent="0.3">
      <c r="A310">
        <v>-3</v>
      </c>
      <c r="B310" s="229">
        <v>99999</v>
      </c>
      <c r="C310" s="229">
        <v>99999</v>
      </c>
      <c r="D310" s="229">
        <v>99999</v>
      </c>
      <c r="E310" s="229">
        <v>99999</v>
      </c>
      <c r="F310" s="229">
        <v>99999</v>
      </c>
      <c r="G310" s="229">
        <v>99999</v>
      </c>
      <c r="H310" s="229">
        <v>99999</v>
      </c>
      <c r="I310" s="229">
        <v>99999</v>
      </c>
      <c r="J310" s="229">
        <v>99999</v>
      </c>
      <c r="K310" s="229">
        <v>99999</v>
      </c>
      <c r="L310" s="229">
        <v>99999</v>
      </c>
      <c r="M310" s="231">
        <v>99999</v>
      </c>
      <c r="N310" s="139"/>
      <c r="O310" s="140"/>
      <c r="P310" s="17"/>
      <c r="Q310" s="139"/>
      <c r="R310" s="140"/>
      <c r="V310" s="2"/>
      <c r="W310" s="2"/>
      <c r="X310" s="2"/>
      <c r="AA310" s="2"/>
      <c r="AB310" s="2"/>
      <c r="AC310" s="2"/>
      <c r="AD310" s="139"/>
      <c r="AE310" s="140"/>
      <c r="AI310" s="2"/>
      <c r="AJ310" s="2"/>
      <c r="AK310" s="2"/>
      <c r="AL310" s="139"/>
      <c r="AM310" s="140"/>
      <c r="AQ310" s="2"/>
      <c r="AR310" s="2"/>
      <c r="AS310" s="2"/>
      <c r="AT310" s="139"/>
      <c r="AU310" s="140"/>
      <c r="AY310" s="2"/>
      <c r="AZ310" s="2"/>
      <c r="BA310" s="2"/>
      <c r="BB310" s="139"/>
      <c r="BC310" s="140"/>
    </row>
    <row r="311" spans="1:55" ht="15" customHeight="1" x14ac:dyDescent="0.3">
      <c r="A311">
        <v>-2</v>
      </c>
      <c r="B311" s="229">
        <v>4600</v>
      </c>
      <c r="C311" s="230">
        <v>5100</v>
      </c>
      <c r="D311" s="55">
        <v>5600</v>
      </c>
      <c r="E311" s="55">
        <v>6175</v>
      </c>
      <c r="F311" s="55">
        <v>6700</v>
      </c>
      <c r="G311" s="55">
        <v>7250</v>
      </c>
      <c r="H311" s="55">
        <v>7780</v>
      </c>
      <c r="I311" s="55">
        <v>8300</v>
      </c>
      <c r="J311" s="55">
        <v>8800</v>
      </c>
      <c r="K311" s="55">
        <v>9300</v>
      </c>
      <c r="L311" s="55">
        <v>9800</v>
      </c>
      <c r="M311" s="231">
        <v>99999</v>
      </c>
      <c r="N311" s="139"/>
      <c r="O311" s="140"/>
      <c r="P311" s="17"/>
      <c r="Q311" s="139"/>
      <c r="R311" s="140"/>
      <c r="V311" s="2"/>
      <c r="W311" s="2"/>
      <c r="X311" s="2"/>
      <c r="AA311" s="2"/>
      <c r="AB311" s="2"/>
      <c r="AC311" s="2"/>
      <c r="AD311" s="139"/>
      <c r="AE311" s="140"/>
      <c r="AI311" s="2"/>
      <c r="AJ311" s="2"/>
      <c r="AK311" s="2"/>
      <c r="AL311" s="139"/>
      <c r="AM311" s="140"/>
      <c r="AQ311" s="2"/>
      <c r="AR311" s="2"/>
      <c r="AS311" s="2"/>
      <c r="AT311" s="139"/>
      <c r="AU311" s="140"/>
      <c r="AY311" s="2"/>
      <c r="AZ311" s="2"/>
      <c r="BA311" s="2"/>
      <c r="BB311" s="139"/>
      <c r="BC311" s="140"/>
    </row>
    <row r="312" spans="1:55" ht="15" customHeight="1" x14ac:dyDescent="0.3">
      <c r="A312">
        <v>-1</v>
      </c>
      <c r="B312" s="233">
        <v>4350</v>
      </c>
      <c r="C312" s="203">
        <v>4800</v>
      </c>
      <c r="D312">
        <v>5250</v>
      </c>
      <c r="E312">
        <v>5730</v>
      </c>
      <c r="F312">
        <v>6200</v>
      </c>
      <c r="G312">
        <v>6700</v>
      </c>
      <c r="H312">
        <v>7200</v>
      </c>
      <c r="I312">
        <v>7780</v>
      </c>
      <c r="J312">
        <v>8300</v>
      </c>
      <c r="K312">
        <v>8830</v>
      </c>
      <c r="L312">
        <v>9400</v>
      </c>
      <c r="M312" s="22">
        <v>99999</v>
      </c>
      <c r="N312" s="139"/>
      <c r="O312" s="140"/>
      <c r="P312" s="17"/>
      <c r="Q312" s="139"/>
      <c r="R312" s="140"/>
      <c r="V312" s="2"/>
      <c r="W312" s="2"/>
      <c r="X312" s="2"/>
      <c r="AA312" s="2"/>
      <c r="AB312" s="2"/>
      <c r="AC312" s="2"/>
      <c r="AD312" s="139"/>
      <c r="AE312" s="140"/>
      <c r="AI312" s="2"/>
      <c r="AJ312" s="2"/>
      <c r="AK312" s="2"/>
      <c r="AL312" s="139"/>
      <c r="AM312" s="140"/>
      <c r="AQ312" s="2"/>
      <c r="AR312" s="2"/>
      <c r="AS312" s="2"/>
      <c r="AT312" s="139"/>
      <c r="AU312" s="140"/>
      <c r="AY312" s="2"/>
      <c r="AZ312" s="2"/>
      <c r="BA312" s="2"/>
      <c r="BB312" s="139"/>
      <c r="BC312" s="140"/>
    </row>
    <row r="313" spans="1:55" ht="15" customHeight="1" x14ac:dyDescent="0.3">
      <c r="A313">
        <v>0</v>
      </c>
      <c r="B313" s="233">
        <v>4000</v>
      </c>
      <c r="C313" s="203">
        <v>4500</v>
      </c>
      <c r="D313">
        <v>5000</v>
      </c>
      <c r="E313">
        <v>5500</v>
      </c>
      <c r="F313">
        <v>6000</v>
      </c>
      <c r="G313">
        <v>6500</v>
      </c>
      <c r="H313">
        <v>7000</v>
      </c>
      <c r="I313">
        <v>7500</v>
      </c>
      <c r="J313">
        <v>8000</v>
      </c>
      <c r="K313">
        <v>8500</v>
      </c>
      <c r="L313">
        <v>9000</v>
      </c>
      <c r="M313" s="22">
        <v>99999</v>
      </c>
      <c r="N313" s="139"/>
      <c r="O313" s="140"/>
      <c r="P313" s="17"/>
      <c r="Q313" s="139"/>
      <c r="R313" s="140"/>
      <c r="V313" s="2"/>
      <c r="W313" s="2"/>
      <c r="X313" s="2"/>
      <c r="AA313" s="2"/>
      <c r="AB313" s="2"/>
      <c r="AC313" s="2"/>
      <c r="AD313" s="139"/>
      <c r="AE313" s="140"/>
      <c r="AI313" s="2"/>
      <c r="AJ313" s="2"/>
      <c r="AK313" s="2"/>
      <c r="AL313" s="139"/>
      <c r="AM313" s="140"/>
      <c r="AQ313" s="2"/>
      <c r="AR313" s="2"/>
      <c r="AS313" s="2"/>
      <c r="AT313" s="139"/>
      <c r="AU313" s="140"/>
      <c r="AY313" s="2"/>
      <c r="AZ313" s="2"/>
      <c r="BA313" s="2"/>
      <c r="BB313" s="139"/>
      <c r="BC313" s="140"/>
    </row>
    <row r="314" spans="1:55" ht="15" customHeight="1" x14ac:dyDescent="0.3">
      <c r="A314">
        <v>1</v>
      </c>
      <c r="B314" s="233">
        <v>3800</v>
      </c>
      <c r="C314" s="203">
        <v>4300</v>
      </c>
      <c r="D314">
        <v>4830</v>
      </c>
      <c r="E314">
        <v>5350</v>
      </c>
      <c r="F314">
        <v>5880</v>
      </c>
      <c r="G314">
        <v>6380</v>
      </c>
      <c r="H314">
        <v>6900</v>
      </c>
      <c r="I314">
        <v>7400</v>
      </c>
      <c r="J314">
        <v>7900</v>
      </c>
      <c r="K314">
        <v>8400</v>
      </c>
      <c r="L314">
        <v>8880</v>
      </c>
      <c r="M314" s="22">
        <v>99999</v>
      </c>
      <c r="N314" s="139"/>
      <c r="O314" s="140"/>
      <c r="P314" s="17"/>
      <c r="Q314" s="139"/>
      <c r="R314" s="140"/>
      <c r="AA314" s="2"/>
      <c r="AB314" s="2"/>
      <c r="AC314" s="2"/>
      <c r="AD314" s="139"/>
      <c r="AE314" s="140"/>
      <c r="AI314" s="2"/>
      <c r="AJ314" s="2"/>
      <c r="AK314" s="2"/>
      <c r="AL314" s="139"/>
      <c r="AM314" s="140"/>
      <c r="AQ314" s="2"/>
      <c r="AR314" s="2"/>
      <c r="AS314" s="2"/>
      <c r="AT314" s="139"/>
      <c r="AU314" s="140"/>
      <c r="AY314" s="2"/>
      <c r="AZ314" s="2"/>
      <c r="BA314" s="2"/>
      <c r="BB314" s="139"/>
      <c r="BC314" s="140"/>
    </row>
    <row r="315" spans="1:55" ht="15" customHeight="1" x14ac:dyDescent="0.3">
      <c r="A315">
        <v>2</v>
      </c>
      <c r="B315" s="234">
        <v>3600</v>
      </c>
      <c r="C315" s="235">
        <v>4100</v>
      </c>
      <c r="D315" s="68">
        <v>4640</v>
      </c>
      <c r="E315" s="68">
        <v>5150</v>
      </c>
      <c r="F315" s="68">
        <v>5650</v>
      </c>
      <c r="G315" s="68">
        <v>6170</v>
      </c>
      <c r="H315" s="68">
        <v>6700</v>
      </c>
      <c r="I315" s="68">
        <v>7200</v>
      </c>
      <c r="J315" s="68">
        <v>7700</v>
      </c>
      <c r="K315" s="68">
        <v>8150</v>
      </c>
      <c r="L315" s="68">
        <v>8620</v>
      </c>
      <c r="M315" s="22">
        <v>99999</v>
      </c>
      <c r="N315" s="139"/>
      <c r="O315" s="140"/>
      <c r="P315" s="17"/>
      <c r="Q315" s="139"/>
      <c r="R315" s="140"/>
      <c r="AA315" s="2"/>
      <c r="AB315" s="2"/>
      <c r="AC315" s="2"/>
      <c r="AD315" s="139"/>
      <c r="AE315" s="140"/>
      <c r="AI315" s="2"/>
      <c r="AJ315" s="2"/>
      <c r="AK315" s="2"/>
      <c r="AL315" s="139"/>
      <c r="AM315" s="140"/>
      <c r="AQ315" s="2"/>
      <c r="AR315" s="2"/>
      <c r="AS315" s="2"/>
      <c r="AT315" s="139"/>
      <c r="AU315" s="140"/>
      <c r="AY315" s="2"/>
      <c r="AZ315" s="2"/>
      <c r="BA315" s="2"/>
      <c r="BB315" s="139"/>
      <c r="BC315" s="140"/>
    </row>
    <row r="316" spans="1:55" ht="15" customHeight="1" x14ac:dyDescent="0.3">
      <c r="A316">
        <v>3</v>
      </c>
      <c r="B316" s="234">
        <v>99999</v>
      </c>
      <c r="C316" s="235">
        <v>99999</v>
      </c>
      <c r="D316" s="235">
        <v>99999</v>
      </c>
      <c r="E316" s="235">
        <v>99999</v>
      </c>
      <c r="F316" s="235">
        <v>99999</v>
      </c>
      <c r="G316" s="235">
        <v>99999</v>
      </c>
      <c r="H316" s="235">
        <v>99999</v>
      </c>
      <c r="I316" s="235">
        <v>99999</v>
      </c>
      <c r="J316" s="235">
        <v>99999</v>
      </c>
      <c r="K316" s="235">
        <v>99999</v>
      </c>
      <c r="L316" s="235">
        <v>99999</v>
      </c>
      <c r="M316" s="235">
        <v>99999</v>
      </c>
      <c r="P316" s="53"/>
      <c r="Q316" s="2"/>
      <c r="R316" s="2"/>
      <c r="U316" s="2"/>
      <c r="V316" s="2"/>
      <c r="W316" s="2"/>
      <c r="X316" s="139"/>
      <c r="Y316" s="140"/>
      <c r="AC316" s="2"/>
      <c r="AD316" s="2"/>
      <c r="AE316" s="2"/>
      <c r="AF316" s="139"/>
      <c r="AG316" s="140"/>
      <c r="AK316" s="2"/>
      <c r="AL316" s="2"/>
      <c r="AM316" s="2"/>
      <c r="AN316" s="139"/>
      <c r="AO316" s="140"/>
      <c r="AS316" s="2"/>
      <c r="AT316" s="2"/>
      <c r="AU316" s="2"/>
      <c r="AV316" s="139"/>
      <c r="AW316" s="140"/>
    </row>
    <row r="317" spans="1:55" ht="15" customHeight="1" x14ac:dyDescent="0.3">
      <c r="B317" s="139"/>
      <c r="C317" s="140"/>
      <c r="G317" s="2"/>
      <c r="H317" s="2"/>
      <c r="I317" s="2"/>
      <c r="J317" s="139"/>
      <c r="K317" s="140"/>
      <c r="O317" s="2"/>
      <c r="P317" s="2"/>
      <c r="Q317" s="2"/>
      <c r="R317" s="139"/>
      <c r="S317" s="140"/>
      <c r="V317" s="17"/>
      <c r="W317" s="2"/>
      <c r="X317" s="2"/>
      <c r="Y317" s="2"/>
      <c r="Z317" s="139"/>
      <c r="AA317" s="140"/>
      <c r="AE317" s="2"/>
      <c r="AF317" s="2"/>
      <c r="AG317" s="2"/>
      <c r="AH317" s="139"/>
      <c r="AI317" s="140"/>
      <c r="AM317" s="2"/>
      <c r="AN317" s="2"/>
      <c r="AO317" s="2"/>
      <c r="AP317" s="139"/>
      <c r="AQ317" s="140"/>
      <c r="AU317" s="2"/>
      <c r="AV317" s="2"/>
      <c r="AW317" s="2"/>
      <c r="AX317" s="139"/>
      <c r="AY317" s="140"/>
    </row>
    <row r="318" spans="1:55" ht="15" customHeight="1" x14ac:dyDescent="0.3">
      <c r="B318" s="139" t="s">
        <v>146</v>
      </c>
      <c r="C318" s="140">
        <f ca="1">C38</f>
        <v>7558.95</v>
      </c>
      <c r="D318" s="355" t="s">
        <v>201</v>
      </c>
      <c r="E318" s="355"/>
      <c r="G318" s="2"/>
      <c r="H318" s="2"/>
      <c r="I318" s="2"/>
      <c r="J318" s="139" t="s">
        <v>146</v>
      </c>
      <c r="K318" s="140">
        <f ca="1">K38</f>
        <v>7187.32</v>
      </c>
      <c r="L318" s="355" t="s">
        <v>201</v>
      </c>
      <c r="M318" s="355"/>
      <c r="O318" s="2"/>
      <c r="P318" s="2"/>
      <c r="Q318" s="2"/>
      <c r="R318" s="139" t="s">
        <v>146</v>
      </c>
      <c r="S318" s="140">
        <f ca="1">S38</f>
        <v>6592.45</v>
      </c>
      <c r="T318" s="355" t="s">
        <v>201</v>
      </c>
      <c r="U318" s="355"/>
      <c r="W318" s="2"/>
      <c r="X318" s="2"/>
      <c r="Y318" s="2"/>
      <c r="Z318" s="139" t="s">
        <v>146</v>
      </c>
      <c r="AA318" s="140">
        <f ca="1">AA38</f>
        <v>6059.58</v>
      </c>
      <c r="AB318" s="355" t="s">
        <v>201</v>
      </c>
      <c r="AC318" s="355"/>
      <c r="AE318" s="2"/>
      <c r="AF318" s="2"/>
      <c r="AG318" s="2"/>
      <c r="AH318" s="139" t="s">
        <v>146</v>
      </c>
      <c r="AI318" s="140">
        <f ca="1">AI38</f>
        <v>5573.33</v>
      </c>
      <c r="AJ318" s="355" t="s">
        <v>201</v>
      </c>
      <c r="AK318" s="355"/>
      <c r="AM318" s="2"/>
      <c r="AN318" s="2"/>
      <c r="AO318" s="2"/>
      <c r="AP318" s="139" t="s">
        <v>146</v>
      </c>
      <c r="AQ318" s="140">
        <f ca="1">AQ38</f>
        <v>5470.46</v>
      </c>
      <c r="AR318" s="355" t="s">
        <v>201</v>
      </c>
      <c r="AS318" s="355"/>
      <c r="AU318" s="2"/>
      <c r="AV318" s="2"/>
      <c r="AW318" s="2"/>
      <c r="AX318" s="139" t="s">
        <v>146</v>
      </c>
      <c r="AY318" s="140">
        <f ca="1">AY38</f>
        <v>0</v>
      </c>
      <c r="AZ318" s="355" t="s">
        <v>201</v>
      </c>
      <c r="BA318" s="355"/>
    </row>
    <row r="319" spans="1:55" ht="15" customHeight="1" x14ac:dyDescent="0.3">
      <c r="B319" s="16" t="s">
        <v>202</v>
      </c>
      <c r="C319" s="141">
        <f t="array" aca="1" ref="C319" ca="1">INDEX($B309:$M309,MATCH(C318,$B309:$M309,1))</f>
        <v>7500</v>
      </c>
      <c r="D319" s="16" t="s">
        <v>144</v>
      </c>
      <c r="E319" s="17">
        <f>MATCH(MAX($A310:$A316),$A310:$A316,1)</f>
        <v>7</v>
      </c>
      <c r="G319" s="2"/>
      <c r="H319" s="2"/>
      <c r="I319" s="2"/>
      <c r="J319" s="16" t="s">
        <v>202</v>
      </c>
      <c r="K319" s="141">
        <f t="array" aca="1" ref="K319" ca="1">INDEX($B309:$M309,MATCH(K318,$B309:$M309,1))</f>
        <v>7000</v>
      </c>
      <c r="L319" s="16" t="s">
        <v>144</v>
      </c>
      <c r="M319" s="17">
        <f>MATCH(MAX($A310:$A316),$A310:$A316,1)</f>
        <v>7</v>
      </c>
      <c r="O319" s="2"/>
      <c r="P319" s="2"/>
      <c r="Q319" s="2"/>
      <c r="R319" s="16" t="s">
        <v>202</v>
      </c>
      <c r="S319" s="141">
        <f t="array" aca="1" ref="S319" ca="1">INDEX($B309:$M309,MATCH(S318,$B309:$M309,1))</f>
        <v>6500</v>
      </c>
      <c r="T319" s="16" t="s">
        <v>144</v>
      </c>
      <c r="U319" s="17">
        <f>MATCH(MAX($A310:$A316),$A310:$A316,1)</f>
        <v>7</v>
      </c>
      <c r="W319" s="2"/>
      <c r="X319" s="2"/>
      <c r="Y319" s="2"/>
      <c r="Z319" s="16" t="s">
        <v>202</v>
      </c>
      <c r="AA319" s="141">
        <f t="array" aca="1" ref="AA319" ca="1">INDEX($B309:$M309,MATCH(AA318,$B309:$M309,1))</f>
        <v>6000</v>
      </c>
      <c r="AB319" s="16" t="s">
        <v>144</v>
      </c>
      <c r="AC319" s="17">
        <f>MATCH(MAX($A310:$A316),$A310:$A316,1)</f>
        <v>7</v>
      </c>
      <c r="AE319" s="2"/>
      <c r="AF319" s="2"/>
      <c r="AG319" s="2"/>
      <c r="AH319" s="16" t="s">
        <v>202</v>
      </c>
      <c r="AI319" s="141">
        <f t="array" aca="1" ref="AI319" ca="1">INDEX($B309:$M309,MATCH(AI318,$B309:$M309,1))</f>
        <v>5500</v>
      </c>
      <c r="AJ319" s="16" t="s">
        <v>144</v>
      </c>
      <c r="AK319" s="17">
        <f>MATCH(MAX($A310:$A316),$A310:$A316,1)</f>
        <v>7</v>
      </c>
      <c r="AM319" s="2"/>
      <c r="AN319" s="2"/>
      <c r="AO319" s="2"/>
      <c r="AP319" s="16" t="s">
        <v>202</v>
      </c>
      <c r="AQ319" s="141">
        <f t="array" aca="1" ref="AQ319" ca="1">INDEX($B309:$M309,MATCH(AQ318,$B309:$M309,1))</f>
        <v>5000</v>
      </c>
      <c r="AR319" s="16" t="s">
        <v>144</v>
      </c>
      <c r="AS319" s="17">
        <f>MATCH(MAX($A310:$A316),$A310:$A316,1)</f>
        <v>7</v>
      </c>
      <c r="AU319" s="2"/>
      <c r="AV319" s="2"/>
      <c r="AW319" s="2"/>
      <c r="AX319" s="16" t="s">
        <v>202</v>
      </c>
      <c r="AY319" s="141" t="e">
        <f t="array" aca="1" ref="AY319" ca="1">INDEX($B309:$M309,MATCH(AY318,$B309:$M309,1))</f>
        <v>#N/A</v>
      </c>
      <c r="AZ319" s="16" t="s">
        <v>144</v>
      </c>
      <c r="BA319" s="17">
        <f>MATCH(MAX($A310:$A316),$A310:$A316,1)</f>
        <v>7</v>
      </c>
    </row>
    <row r="320" spans="1:55" ht="15" customHeight="1" x14ac:dyDescent="0.3">
      <c r="B320" s="16" t="s">
        <v>203</v>
      </c>
      <c r="C320" s="141">
        <f t="array" aca="1" ref="C320" ca="1">INDEX($B309:$M309,IF(MATCH(C318,$B309:$M309,1)&lt;E320,MATCH(C318,$B309:$M309,1)+1,MATCH(C318,$B309:$M309,1)))</f>
        <v>8000</v>
      </c>
      <c r="D320" s="16" t="s">
        <v>145</v>
      </c>
      <c r="E320" s="17">
        <f>MATCH(MAX($B309:$M309),$B309:$M309,0)</f>
        <v>12</v>
      </c>
      <c r="G320" s="2"/>
      <c r="H320" s="2"/>
      <c r="I320" s="2"/>
      <c r="J320" s="16" t="s">
        <v>203</v>
      </c>
      <c r="K320" s="141">
        <f t="array" aca="1" ref="K320" ca="1">INDEX($B309:$M309,IF(MATCH(K318,$B309:$M309,1)&lt;M320,MATCH(K318,$B309:$M309,1)+1,MATCH(K318,$B309:$M309,1)))</f>
        <v>7500</v>
      </c>
      <c r="L320" s="16" t="s">
        <v>145</v>
      </c>
      <c r="M320" s="17">
        <f>MATCH(MAX($B309:$M309),$B309:$M309,0)</f>
        <v>12</v>
      </c>
      <c r="O320" s="2"/>
      <c r="P320" s="2"/>
      <c r="Q320" s="2"/>
      <c r="R320" s="16" t="s">
        <v>203</v>
      </c>
      <c r="S320" s="141">
        <f t="array" aca="1" ref="S320" ca="1">INDEX($B309:$M309,IF(MATCH(S318,$B309:$M309,1)&lt;U320,MATCH(S318,$B309:$M309,1)+1,MATCH(S318,$B309:$M309,1)))</f>
        <v>7000</v>
      </c>
      <c r="T320" s="16" t="s">
        <v>145</v>
      </c>
      <c r="U320" s="17">
        <f>MATCH(MAX($B309:$M309),$B309:$M309,0)</f>
        <v>12</v>
      </c>
      <c r="W320" s="2"/>
      <c r="X320" s="2"/>
      <c r="Y320" s="2"/>
      <c r="Z320" s="16" t="s">
        <v>203</v>
      </c>
      <c r="AA320" s="141">
        <f t="array" aca="1" ref="AA320" ca="1">INDEX($B309:$M309,IF(MATCH(AA318,$B309:$M309,1)&lt;AC320,MATCH(AA318,$B309:$M309,1)+1,MATCH(AA318,$B309:$M309,1)))</f>
        <v>6500</v>
      </c>
      <c r="AB320" s="16" t="s">
        <v>145</v>
      </c>
      <c r="AC320" s="17">
        <f>MATCH(MAX($B309:$M309),$B309:$M309,0)</f>
        <v>12</v>
      </c>
      <c r="AE320" s="2"/>
      <c r="AF320" s="2"/>
      <c r="AG320" s="2"/>
      <c r="AH320" s="16" t="s">
        <v>203</v>
      </c>
      <c r="AI320" s="141">
        <f t="array" aca="1" ref="AI320" ca="1">INDEX($B309:$M309,IF(MATCH(AI318,$B309:$M309,1)&lt;AK320,MATCH(AI318,$B309:$M309,1)+1,MATCH(AI318,$B309:$M309,1)))</f>
        <v>6000</v>
      </c>
      <c r="AJ320" s="16" t="s">
        <v>145</v>
      </c>
      <c r="AK320" s="17">
        <f>MATCH(MAX($B309:$M309),$B309:$M309,0)</f>
        <v>12</v>
      </c>
      <c r="AM320" s="2"/>
      <c r="AN320" s="2"/>
      <c r="AO320" s="2"/>
      <c r="AP320" s="16" t="s">
        <v>203</v>
      </c>
      <c r="AQ320" s="141">
        <f t="array" aca="1" ref="AQ320" ca="1">INDEX($B309:$M309,IF(MATCH(AQ318,$B309:$M309,1)&lt;AS320,MATCH(AQ318,$B309:$M309,1)+1,MATCH(AQ318,$B309:$M309,1)))</f>
        <v>5500</v>
      </c>
      <c r="AR320" s="16" t="s">
        <v>145</v>
      </c>
      <c r="AS320" s="17">
        <f>MATCH(MAX($B309:$M309),$B309:$M309,0)</f>
        <v>12</v>
      </c>
      <c r="AU320" s="2"/>
      <c r="AV320" s="2"/>
      <c r="AW320" s="2"/>
      <c r="AX320" s="16" t="s">
        <v>203</v>
      </c>
      <c r="AY320" s="141" t="e">
        <f t="array" aca="1" ref="AY320" ca="1">INDEX($B309:$M309,IF(MATCH(AY318,$B309:$M309,1)&lt;BA320,MATCH(AY318,$B309:$M309,1)+1,MATCH(AY318,$B309:$M309,1)))</f>
        <v>#N/A</v>
      </c>
      <c r="AZ320" s="16" t="s">
        <v>145</v>
      </c>
      <c r="BA320" s="17">
        <f>MATCH(MAX($B309:$M309),$B309:$M309,0)</f>
        <v>12</v>
      </c>
    </row>
    <row r="321" spans="1:57" ht="15" customHeight="1" x14ac:dyDescent="0.3">
      <c r="B321" s="139" t="s">
        <v>147</v>
      </c>
      <c r="C321" s="186">
        <f>'Take-off'!$C$17</f>
        <v>0</v>
      </c>
      <c r="D321" s="2"/>
      <c r="E321" s="2"/>
      <c r="G321" s="2"/>
      <c r="H321" s="2"/>
      <c r="I321" s="2"/>
      <c r="J321" s="139" t="s">
        <v>147</v>
      </c>
      <c r="K321" s="186">
        <f>'Take-off'!$C$17</f>
        <v>0</v>
      </c>
      <c r="L321" s="2"/>
      <c r="M321" s="2"/>
      <c r="O321" s="2"/>
      <c r="P321" s="2"/>
      <c r="Q321" s="2"/>
      <c r="R321" s="139" t="s">
        <v>147</v>
      </c>
      <c r="S321" s="186">
        <f>'Take-off'!$C$17</f>
        <v>0</v>
      </c>
      <c r="T321" s="2"/>
      <c r="U321" s="2"/>
      <c r="W321" s="2"/>
      <c r="X321" s="2"/>
      <c r="Y321" s="2"/>
      <c r="Z321" s="139" t="s">
        <v>147</v>
      </c>
      <c r="AA321" s="186">
        <f>'Take-off'!$C$17</f>
        <v>0</v>
      </c>
      <c r="AB321" s="2"/>
      <c r="AC321" s="2"/>
      <c r="AE321" s="2"/>
      <c r="AF321" s="2"/>
      <c r="AG321" s="2"/>
      <c r="AH321" s="139" t="s">
        <v>147</v>
      </c>
      <c r="AI321" s="186">
        <f>'Take-off'!$C$17</f>
        <v>0</v>
      </c>
      <c r="AJ321" s="2"/>
      <c r="AK321" s="2"/>
      <c r="AM321" s="2"/>
      <c r="AN321" s="2"/>
      <c r="AO321" s="2"/>
      <c r="AP321" s="139" t="s">
        <v>147</v>
      </c>
      <c r="AQ321" s="186">
        <f>'Take-off'!$C$17</f>
        <v>0</v>
      </c>
      <c r="AR321" s="2"/>
      <c r="AS321" s="2"/>
      <c r="AU321" s="2"/>
      <c r="AV321" s="2"/>
      <c r="AW321" s="2"/>
      <c r="AX321" s="139" t="s">
        <v>147</v>
      </c>
      <c r="AY321" s="186">
        <f>'Take-off'!$C$17</f>
        <v>0</v>
      </c>
      <c r="AZ321" s="2"/>
      <c r="BA321" s="2"/>
    </row>
    <row r="322" spans="1:57" ht="15" customHeight="1" x14ac:dyDescent="0.3">
      <c r="B322" s="16" t="s">
        <v>148</v>
      </c>
      <c r="C322" s="141">
        <f t="array" ref="C322">INDEX($A310:$A316,MATCH(C321,$A310:$A316,1))</f>
        <v>0</v>
      </c>
      <c r="D322" s="2"/>
      <c r="E322" s="42"/>
      <c r="G322" s="2"/>
      <c r="H322" s="2"/>
      <c r="I322" s="2"/>
      <c r="J322" s="16" t="s">
        <v>148</v>
      </c>
      <c r="K322" s="141">
        <f t="array" ref="K322">INDEX($A310:$A316,MATCH(K321,$A310:$A316,1))</f>
        <v>0</v>
      </c>
      <c r="L322" s="2"/>
      <c r="M322" s="42"/>
      <c r="O322" s="2"/>
      <c r="P322" s="2"/>
      <c r="Q322" s="2"/>
      <c r="R322" s="16" t="s">
        <v>148</v>
      </c>
      <c r="S322" s="141">
        <f t="array" ref="S322">INDEX($A310:$A316,MATCH(S321,$A310:$A316,1))</f>
        <v>0</v>
      </c>
      <c r="T322" s="2"/>
      <c r="U322" s="42"/>
      <c r="W322" s="2"/>
      <c r="X322" s="2"/>
      <c r="Y322" s="2"/>
      <c r="Z322" s="16" t="s">
        <v>148</v>
      </c>
      <c r="AA322" s="141">
        <f t="array" ref="AA322">INDEX($A310:$A316,MATCH(AA321,$A310:$A316,1))</f>
        <v>0</v>
      </c>
      <c r="AB322" s="2"/>
      <c r="AC322" s="42"/>
      <c r="AE322" s="2"/>
      <c r="AF322" s="2"/>
      <c r="AG322" s="2"/>
      <c r="AH322" s="16" t="s">
        <v>148</v>
      </c>
      <c r="AI322" s="141">
        <f t="array" ref="AI322">INDEX($A310:$A316,MATCH(AI321,$A310:$A316,1))</f>
        <v>0</v>
      </c>
      <c r="AJ322" s="2"/>
      <c r="AK322" s="42"/>
      <c r="AM322" s="2"/>
      <c r="AN322" s="2"/>
      <c r="AO322" s="2"/>
      <c r="AP322" s="16" t="s">
        <v>148</v>
      </c>
      <c r="AQ322" s="141">
        <f t="array" ref="AQ322">INDEX($A310:$A316,MATCH(AQ321,$A310:$A316,1))</f>
        <v>0</v>
      </c>
      <c r="AR322" s="2"/>
      <c r="AS322" s="42"/>
      <c r="AU322" s="2"/>
      <c r="AV322" s="2"/>
      <c r="AW322" s="2"/>
      <c r="AX322" s="16" t="s">
        <v>148</v>
      </c>
      <c r="AY322" s="141">
        <f t="array" ref="AY322">INDEX($A310:$A316,MATCH(AY321,$A310:$A316,1))</f>
        <v>0</v>
      </c>
      <c r="AZ322" s="2"/>
      <c r="BA322" s="42"/>
    </row>
    <row r="323" spans="1:57" ht="15" customHeight="1" x14ac:dyDescent="0.3">
      <c r="B323" s="16" t="s">
        <v>149</v>
      </c>
      <c r="C323" s="141">
        <f t="array" ref="C323">INDEX($A310:$A316,IF(MATCH(C321,$A310:$A316,1)&lt;E319,MATCH(C321,$A310:$A316,1)+1,MATCH(C321,$A310:$A316,1)))</f>
        <v>1</v>
      </c>
      <c r="D323" s="2"/>
      <c r="E323" s="42"/>
      <c r="G323" s="2"/>
      <c r="H323" s="2"/>
      <c r="I323" s="2"/>
      <c r="J323" s="16" t="s">
        <v>149</v>
      </c>
      <c r="K323" s="141">
        <f t="array" ref="K323">INDEX($A310:$A316,IF(MATCH(K321,$A310:$A316,1)&lt;M319,MATCH(K321,$A310:$A316,1)+1,MATCH(K321,$A310:$A316,1)))</f>
        <v>1</v>
      </c>
      <c r="L323" s="2"/>
      <c r="M323" s="42"/>
      <c r="O323" s="2"/>
      <c r="P323" s="2"/>
      <c r="Q323" s="2"/>
      <c r="R323" s="16" t="s">
        <v>149</v>
      </c>
      <c r="S323" s="141">
        <f t="array" ref="S323">INDEX($A310:$A316,IF(MATCH(S321,$A310:$A316,1)&lt;U319,MATCH(S321,$A310:$A316,1)+1,MATCH(S321,$A310:$A316,1)))</f>
        <v>1</v>
      </c>
      <c r="T323" s="2"/>
      <c r="U323" s="42"/>
      <c r="W323" s="2"/>
      <c r="X323" s="2"/>
      <c r="Y323" s="2"/>
      <c r="Z323" s="16" t="s">
        <v>149</v>
      </c>
      <c r="AA323" s="141">
        <f t="array" ref="AA323">INDEX($A310:$A316,IF(MATCH(AA321,$A310:$A316,1)&lt;AC319,MATCH(AA321,$A310:$A316,1)+1,MATCH(AA321,$A310:$A316,1)))</f>
        <v>1</v>
      </c>
      <c r="AB323" s="2"/>
      <c r="AC323" s="42"/>
      <c r="AE323" s="2"/>
      <c r="AF323" s="2"/>
      <c r="AG323" s="2"/>
      <c r="AH323" s="16" t="s">
        <v>149</v>
      </c>
      <c r="AI323" s="141">
        <f t="array" ref="AI323">INDEX($A310:$A316,IF(MATCH(AI321,$A310:$A316,1)&lt;AK319,MATCH(AI321,$A310:$A316,1)+1,MATCH(AI321,$A310:$A316,1)))</f>
        <v>1</v>
      </c>
      <c r="AJ323" s="2"/>
      <c r="AK323" s="42"/>
      <c r="AM323" s="2"/>
      <c r="AN323" s="2"/>
      <c r="AO323" s="2"/>
      <c r="AP323" s="16" t="s">
        <v>149</v>
      </c>
      <c r="AQ323" s="141">
        <f t="array" ref="AQ323">INDEX($A310:$A316,IF(MATCH(AQ321,$A310:$A316,1)&lt;AS319,MATCH(AQ321,$A310:$A316,1)+1,MATCH(AQ321,$A310:$A316,1)))</f>
        <v>1</v>
      </c>
      <c r="AR323" s="2"/>
      <c r="AS323" s="42"/>
      <c r="AU323" s="2"/>
      <c r="AV323" s="2"/>
      <c r="AW323" s="2"/>
      <c r="AX323" s="16" t="s">
        <v>149</v>
      </c>
      <c r="AY323" s="141">
        <f t="array" ref="AY323">INDEX($A310:$A316,IF(MATCH(AY321,$A310:$A316,1)&lt;BA319,MATCH(AY321,$A310:$A316,1)+1,MATCH(AY321,$A310:$A316,1)))</f>
        <v>1</v>
      </c>
      <c r="AZ323" s="2"/>
      <c r="BA323" s="42"/>
    </row>
    <row r="324" spans="1:57" ht="15" customHeight="1" x14ac:dyDescent="0.3">
      <c r="B324" s="139" t="s">
        <v>150</v>
      </c>
      <c r="C324" s="140">
        <f t="array" aca="1" ref="C324" ca="1">INDEX($B310:$M316,MATCH(C321,$A310:$A316,1),MATCH(C318,$B309:$M309,1))</f>
        <v>7500</v>
      </c>
      <c r="D324" s="2"/>
      <c r="E324" s="42"/>
      <c r="G324" s="2"/>
      <c r="H324" s="2"/>
      <c r="I324" s="2"/>
      <c r="J324" s="139" t="s">
        <v>150</v>
      </c>
      <c r="K324" s="140">
        <f t="array" aca="1" ref="K324" ca="1">INDEX($B310:$M316,MATCH(K321,$A310:$A316,1),MATCH(K318,$B309:$M309,1))</f>
        <v>7000</v>
      </c>
      <c r="L324" s="2"/>
      <c r="M324" s="42"/>
      <c r="O324" s="2"/>
      <c r="P324" s="2"/>
      <c r="Q324" s="2"/>
      <c r="R324" s="139" t="s">
        <v>150</v>
      </c>
      <c r="S324" s="140">
        <f t="array" aca="1" ref="S324" ca="1">INDEX($B310:$M316,MATCH(S321,$A310:$A316,1),MATCH(S318,$B309:$M309,1))</f>
        <v>6500</v>
      </c>
      <c r="T324" s="2"/>
      <c r="U324" s="42"/>
      <c r="W324" s="2"/>
      <c r="X324" s="2"/>
      <c r="Y324" s="2"/>
      <c r="Z324" s="139" t="s">
        <v>150</v>
      </c>
      <c r="AA324" s="140">
        <f t="array" aca="1" ref="AA324" ca="1">INDEX($B310:$M316,MATCH(AA321,$A310:$A316,1),MATCH(AA318,$B309:$M309,1))</f>
        <v>6000</v>
      </c>
      <c r="AB324" s="2"/>
      <c r="AC324" s="42"/>
      <c r="AE324" s="2"/>
      <c r="AF324" s="2"/>
      <c r="AG324" s="2"/>
      <c r="AH324" s="139" t="s">
        <v>150</v>
      </c>
      <c r="AI324" s="140">
        <f t="array" aca="1" ref="AI324" ca="1">INDEX($B310:$M316,MATCH(AI321,$A310:$A316,1),MATCH(AI318,$B309:$M309,1))</f>
        <v>5500</v>
      </c>
      <c r="AJ324" s="2"/>
      <c r="AK324" s="42"/>
      <c r="AM324" s="2"/>
      <c r="AN324" s="2"/>
      <c r="AO324" s="2"/>
      <c r="AP324" s="139" t="s">
        <v>150</v>
      </c>
      <c r="AQ324" s="140">
        <f t="array" aca="1" ref="AQ324" ca="1">INDEX($B310:$M316,MATCH(AQ321,$A310:$A316,1),MATCH(AQ318,$B309:$M309,1))</f>
        <v>5000</v>
      </c>
      <c r="AR324" s="2"/>
      <c r="AS324" s="42"/>
      <c r="AU324" s="2"/>
      <c r="AV324" s="2"/>
      <c r="AW324" s="2"/>
      <c r="AX324" s="139" t="s">
        <v>150</v>
      </c>
      <c r="AY324" s="140" t="e">
        <f t="array" aca="1" ref="AY324" ca="1">INDEX($B310:$M316,MATCH(AY321,$A310:$A316,1),MATCH(AY318,$B309:$M309,1))</f>
        <v>#N/A</v>
      </c>
      <c r="AZ324" s="2"/>
      <c r="BA324" s="42"/>
    </row>
    <row r="325" spans="1:57" ht="15" customHeight="1" x14ac:dyDescent="0.3">
      <c r="B325" s="139" t="s">
        <v>204</v>
      </c>
      <c r="C325" s="140">
        <f t="array" aca="1" ref="C325" ca="1">INDEX($B310:$M316,MATCH(C321,$A310:$A316,1),IF(MATCH(C318,$B309:$M309,1)&lt;E320,MATCH(C318,$B309:$M309,1)+1,MATCH(C321,$A310:$A316,1)))</f>
        <v>8000</v>
      </c>
      <c r="E325" s="42"/>
      <c r="G325" s="2"/>
      <c r="H325" s="2"/>
      <c r="I325" s="2"/>
      <c r="J325" s="139" t="s">
        <v>204</v>
      </c>
      <c r="K325" s="140">
        <f t="array" aca="1" ref="K325" ca="1">INDEX($B310:$M316,MATCH(K321,$A310:$A316,1),IF(MATCH(K318,$B309:$M309,1)&lt;M320,MATCH(K318,$B309:$M309,1)+1,MATCH(K321,$A310:$A316,1)))</f>
        <v>7500</v>
      </c>
      <c r="M325" s="42"/>
      <c r="O325" s="2"/>
      <c r="P325" s="2"/>
      <c r="Q325" s="2"/>
      <c r="R325" s="139" t="s">
        <v>204</v>
      </c>
      <c r="S325" s="140">
        <f t="array" aca="1" ref="S325" ca="1">INDEX($B310:$M316,MATCH(S321,$A310:$A316,1),IF(MATCH(S318,$B309:$M309,1)&lt;U320,MATCH(S318,$B309:$M309,1)+1,MATCH(S321,$A310:$A316,1)))</f>
        <v>7000</v>
      </c>
      <c r="U325" s="42"/>
      <c r="W325" s="2"/>
      <c r="X325" s="2"/>
      <c r="Y325" s="2"/>
      <c r="Z325" s="139" t="s">
        <v>204</v>
      </c>
      <c r="AA325" s="140">
        <f t="array" aca="1" ref="AA325" ca="1">INDEX($B310:$M316,MATCH(AA321,$A310:$A316,1),IF(MATCH(AA318,$B309:$M309,1)&lt;AC320,MATCH(AA318,$B309:$M309,1)+1,MATCH(AA321,$A310:$A316,1)))</f>
        <v>6500</v>
      </c>
      <c r="AC325" s="42"/>
      <c r="AE325" s="2"/>
      <c r="AF325" s="2"/>
      <c r="AG325" s="2"/>
      <c r="AH325" s="139" t="s">
        <v>204</v>
      </c>
      <c r="AI325" s="140">
        <f t="array" aca="1" ref="AI325" ca="1">INDEX($B310:$M316,MATCH(AI321,$A310:$A316,1),IF(MATCH(AI318,$B309:$M309,1)&lt;AK320,MATCH(AI318,$B309:$M309,1)+1,MATCH(AI321,$A310:$A316,1)))</f>
        <v>6000</v>
      </c>
      <c r="AK325" s="42"/>
      <c r="AM325" s="2"/>
      <c r="AN325" s="2"/>
      <c r="AO325" s="2"/>
      <c r="AP325" s="139" t="s">
        <v>204</v>
      </c>
      <c r="AQ325" s="140">
        <f t="array" aca="1" ref="AQ325" ca="1">INDEX($B310:$M316,MATCH(AQ321,$A310:$A316,1),IF(MATCH(AQ318,$B309:$M309,1)&lt;AS320,MATCH(AQ318,$B309:$M309,1)+1,MATCH(AQ321,$A310:$A316,1)))</f>
        <v>5500</v>
      </c>
      <c r="AS325" s="42"/>
      <c r="AU325" s="2"/>
      <c r="AV325" s="2"/>
      <c r="AW325" s="2"/>
      <c r="AX325" s="139" t="s">
        <v>204</v>
      </c>
      <c r="AY325" s="140" t="e">
        <f t="array" aca="1" ref="AY325" ca="1">INDEX($B310:$M316,MATCH(AY321,$A310:$A316,1),IF(MATCH(AY318,$B309:$M309,1)&lt;BA320,MATCH(AY318,$B309:$M309,1)+1,MATCH(AY321,$A310:$A316,1)))</f>
        <v>#N/A</v>
      </c>
      <c r="BA325" s="42"/>
    </row>
    <row r="326" spans="1:57" ht="15" customHeight="1" x14ac:dyDescent="0.3">
      <c r="B326" s="139" t="s">
        <v>151</v>
      </c>
      <c r="C326" s="140">
        <f t="array" aca="1" ref="C326" ca="1">INDEX($B310:$M316,IF(MATCH(C321,$A310:$A316,1)&lt;E319,MATCH(C321,$A310:$A316,1)+1,MATCH(C321,$A310:$A316,1)),MATCH(C318,$B309:$M309,1))</f>
        <v>7400</v>
      </c>
      <c r="E326" s="42"/>
      <c r="G326" s="2"/>
      <c r="H326" s="2"/>
      <c r="I326" s="2"/>
      <c r="J326" s="139" t="s">
        <v>151</v>
      </c>
      <c r="K326" s="140">
        <f t="array" aca="1" ref="K326" ca="1">INDEX($B310:$M316,IF(MATCH(K321,$A310:$A316,1)&lt;M319,MATCH(K321,$A310:$A316,1)+1,MATCH(K321,$A310:$A316,1)),MATCH(K318,$B309:$M309,1))</f>
        <v>6900</v>
      </c>
      <c r="M326" s="42"/>
      <c r="O326" s="2"/>
      <c r="P326" s="2"/>
      <c r="Q326" s="2"/>
      <c r="R326" s="139" t="s">
        <v>151</v>
      </c>
      <c r="S326" s="140">
        <f t="array" aca="1" ref="S326" ca="1">INDEX($B310:$M316,IF(MATCH(S321,$A310:$A316,1)&lt;U319,MATCH(S321,$A310:$A316,1)+1,MATCH(S321,$A310:$A316,1)),MATCH(S318,$B309:$M309,1))</f>
        <v>6380</v>
      </c>
      <c r="U326" s="42"/>
      <c r="W326" s="2"/>
      <c r="X326" s="2"/>
      <c r="Y326" s="2"/>
      <c r="Z326" s="139" t="s">
        <v>151</v>
      </c>
      <c r="AA326" s="140">
        <f t="array" aca="1" ref="AA326" ca="1">INDEX($B310:$M316,IF(MATCH(AA321,$A310:$A316,1)&lt;AC319,MATCH(AA321,$A310:$A316,1)+1,MATCH(AA321,$A310:$A316,1)),MATCH(AA318,$B309:$M309,1))</f>
        <v>5880</v>
      </c>
      <c r="AC326" s="42"/>
      <c r="AE326" s="2"/>
      <c r="AF326" s="2"/>
      <c r="AG326" s="2"/>
      <c r="AH326" s="139" t="s">
        <v>151</v>
      </c>
      <c r="AI326" s="140">
        <f t="array" aca="1" ref="AI326" ca="1">INDEX($B310:$M316,IF(MATCH(AI321,$A310:$A316,1)&lt;AK319,MATCH(AI321,$A310:$A316,1)+1,MATCH(AI321,$A310:$A316,1)),MATCH(AI318,$B309:$M309,1))</f>
        <v>5350</v>
      </c>
      <c r="AK326" s="42"/>
      <c r="AM326" s="2"/>
      <c r="AN326" s="2"/>
      <c r="AO326" s="2"/>
      <c r="AP326" s="139" t="s">
        <v>151</v>
      </c>
      <c r="AQ326" s="140">
        <f t="array" aca="1" ref="AQ326" ca="1">INDEX($B310:$M316,IF(MATCH(AQ321,$A310:$A316,1)&lt;AS319,MATCH(AQ321,$A310:$A316,1)+1,MATCH(AQ321,$A310:$A316,1)),MATCH(AQ318,$B309:$M309,1))</f>
        <v>4830</v>
      </c>
      <c r="AS326" s="42"/>
      <c r="AU326" s="2"/>
      <c r="AV326" s="2"/>
      <c r="AW326" s="2"/>
      <c r="AX326" s="139" t="s">
        <v>151</v>
      </c>
      <c r="AY326" s="140" t="e">
        <f t="array" aca="1" ref="AY326" ca="1">INDEX($B310:$M316,IF(MATCH(AY321,$A310:$A316,1)&lt;BA319,MATCH(AY321,$A310:$A316,1)+1,MATCH(AY321,$A310:$A316,1)),MATCH(AY318,$B309:$M309,1))</f>
        <v>#N/A</v>
      </c>
      <c r="BA326" s="42"/>
    </row>
    <row r="327" spans="1:57" ht="15" customHeight="1" x14ac:dyDescent="0.3">
      <c r="B327" s="139" t="s">
        <v>205</v>
      </c>
      <c r="C327" s="140">
        <f t="array" aca="1" ref="C327" ca="1">INDEX($B310:$M316,IF(MATCH(C321,$A310:$A316,1)&lt;E319,MATCH(C321,$A310:$A316,1)+1,MATCH(C321,$A310:$A316,1)),IF(MATCH(C318,$B309:$M309,1)&lt;E320,MATCH(C318,$B309:$M309,1)+1,MATCH(C318,$B309:$M309,1)))</f>
        <v>7900</v>
      </c>
      <c r="G327" s="2"/>
      <c r="H327" s="2"/>
      <c r="I327" s="2"/>
      <c r="J327" s="139" t="s">
        <v>205</v>
      </c>
      <c r="K327" s="140">
        <f t="array" aca="1" ref="K327" ca="1">INDEX($B310:$M316,IF(MATCH(K321,$A310:$A316,1)&lt;M319,MATCH(K321,$A310:$A316,1)+1,MATCH(K321,$A310:$A316,1)),IF(MATCH(K318,$B309:$M309,1)&lt;M320,MATCH(K318,$B309:$M309,1)+1,MATCH(K318,$B309:$M309,1)))</f>
        <v>7400</v>
      </c>
      <c r="O327" s="2"/>
      <c r="P327" s="2"/>
      <c r="Q327" s="2"/>
      <c r="R327" s="139" t="s">
        <v>205</v>
      </c>
      <c r="S327" s="140">
        <f t="array" aca="1" ref="S327" ca="1">INDEX($B310:$M316,IF(MATCH(S321,$A310:$A316,1)&lt;U319,MATCH(S321,$A310:$A316,1)+1,MATCH(S321,$A310:$A316,1)),IF(MATCH(S318,$B309:$M309,1)&lt;U320,MATCH(S318,$B309:$M309,1)+1,MATCH(S318,$B309:$M309,1)))</f>
        <v>6900</v>
      </c>
      <c r="W327" s="2"/>
      <c r="X327" s="2"/>
      <c r="Y327" s="2"/>
      <c r="Z327" s="139" t="s">
        <v>205</v>
      </c>
      <c r="AA327" s="140">
        <f t="array" aca="1" ref="AA327" ca="1">INDEX($B310:$M316,IF(MATCH(AA321,$A310:$A316,1)&lt;AC319,MATCH(AA321,$A310:$A316,1)+1,MATCH(AA321,$A310:$A316,1)),IF(MATCH(AA318,$B309:$M309,1)&lt;AC320,MATCH(AA318,$B309:$M309,1)+1,MATCH(AA318,$B309:$M309,1)))</f>
        <v>6380</v>
      </c>
      <c r="AE327" s="2"/>
      <c r="AF327" s="2"/>
      <c r="AG327" s="2"/>
      <c r="AH327" s="139" t="s">
        <v>205</v>
      </c>
      <c r="AI327" s="140">
        <f t="array" aca="1" ref="AI327" ca="1">INDEX($B310:$M316,IF(MATCH(AI321,$A310:$A316,1)&lt;AK319,MATCH(AI321,$A310:$A316,1)+1,MATCH(AI321,$A310:$A316,1)),IF(MATCH(AI318,$B309:$M309,1)&lt;AK320,MATCH(AI318,$B309:$M309,1)+1,MATCH(AI318,$B309:$M309,1)))</f>
        <v>5880</v>
      </c>
      <c r="AM327" s="2"/>
      <c r="AN327" s="2"/>
      <c r="AO327" s="2"/>
      <c r="AP327" s="139" t="s">
        <v>205</v>
      </c>
      <c r="AQ327" s="140">
        <f t="array" aca="1" ref="AQ327" ca="1">INDEX($B310:$M316,IF(MATCH(AQ321,$A310:$A316,1)&lt;AS319,MATCH(AQ321,$A310:$A316,1)+1,MATCH(AQ321,$A310:$A316,1)),IF(MATCH(AQ318,$B309:$M309,1)&lt;AS320,MATCH(AQ318,$B309:$M309,1)+1,MATCH(AQ318,$B309:$M309,1)))</f>
        <v>5350</v>
      </c>
      <c r="AU327" s="2"/>
      <c r="AV327" s="2"/>
      <c r="AW327" s="2"/>
      <c r="AX327" s="139" t="s">
        <v>205</v>
      </c>
      <c r="AY327" s="140" t="e">
        <f t="array" aca="1" ref="AY327" ca="1">INDEX($B310:$M316,IF(MATCH(AY321,$A310:$A316,1)&lt;BA319,MATCH(AY321,$A310:$A316,1)+1,MATCH(AY321,$A310:$A316,1)),IF(MATCH(AY318,$B309:$M309,1)&lt;BA320,MATCH(AY318,$B309:$M309,1)+1,MATCH(AY318,$B309:$M309,1)))</f>
        <v>#N/A</v>
      </c>
    </row>
    <row r="328" spans="1:57" ht="15" customHeight="1" x14ac:dyDescent="0.3">
      <c r="B328" s="16" t="s">
        <v>206</v>
      </c>
      <c r="C328" s="141">
        <f ca="1">IFERROR(C324+(C318-C319)*(C325-C324)/(C320-C319),C324)</f>
        <v>7558.95</v>
      </c>
      <c r="G328" s="2"/>
      <c r="H328" s="2"/>
      <c r="I328" s="2"/>
      <c r="J328" s="16" t="s">
        <v>206</v>
      </c>
      <c r="K328" s="141">
        <f ca="1">IFERROR(K324+(K318-K319)*(K325-K324)/(K320-K319),K324)</f>
        <v>7187.32</v>
      </c>
      <c r="O328" s="2"/>
      <c r="P328" s="2"/>
      <c r="Q328" s="2"/>
      <c r="R328" s="16" t="s">
        <v>206</v>
      </c>
      <c r="S328" s="141">
        <f ca="1">IFERROR(S324+(S318-S319)*(S325-S324)/(S320-S319),S324)</f>
        <v>6592.45</v>
      </c>
      <c r="W328" s="2"/>
      <c r="X328" s="2"/>
      <c r="Y328" s="2"/>
      <c r="Z328" s="16" t="s">
        <v>206</v>
      </c>
      <c r="AA328" s="141">
        <f ca="1">IFERROR(AA324+(AA318-AA319)*(AA325-AA324)/(AA320-AA319),AA324)</f>
        <v>6059.58</v>
      </c>
      <c r="AE328" s="2"/>
      <c r="AF328" s="2"/>
      <c r="AG328" s="2"/>
      <c r="AH328" s="16" t="s">
        <v>206</v>
      </c>
      <c r="AI328" s="141">
        <f ca="1">IFERROR(AI324+(AI318-AI319)*(AI325-AI324)/(AI320-AI319),AI324)</f>
        <v>5573.33</v>
      </c>
      <c r="AM328" s="2"/>
      <c r="AN328" s="2"/>
      <c r="AO328" s="2"/>
      <c r="AP328" s="16" t="s">
        <v>206</v>
      </c>
      <c r="AQ328" s="141">
        <f ca="1">IFERROR(AQ324+(AQ318-AQ319)*(AQ325-AQ324)/(AQ320-AQ319),AQ324)</f>
        <v>5470.46</v>
      </c>
      <c r="AU328" s="2"/>
      <c r="AV328" s="2"/>
      <c r="AW328" s="2"/>
      <c r="AX328" s="16" t="s">
        <v>206</v>
      </c>
      <c r="AY328" s="141" t="e">
        <f ca="1">IFERROR(AY324+(AY318-AY319)*(AY325-AY324)/(AY320-AY319),AY324)</f>
        <v>#N/A</v>
      </c>
    </row>
    <row r="329" spans="1:57" ht="15" customHeight="1" x14ac:dyDescent="0.3">
      <c r="B329" s="16" t="s">
        <v>207</v>
      </c>
      <c r="C329" s="141">
        <f ca="1">IFERROR(C326+(C318-C319)*(C327-C326)/(C320-C319),C326)</f>
        <v>7458.95</v>
      </c>
      <c r="G329" s="2"/>
      <c r="H329" s="2"/>
      <c r="I329" s="2"/>
      <c r="J329" s="16" t="s">
        <v>207</v>
      </c>
      <c r="K329" s="141">
        <f ca="1">IFERROR(K326+(K318-K319)*(K327-K326)/(K320-K319),K326)</f>
        <v>7087.32</v>
      </c>
      <c r="O329" s="2"/>
      <c r="P329" s="2"/>
      <c r="Q329" s="2"/>
      <c r="R329" s="16" t="s">
        <v>207</v>
      </c>
      <c r="S329" s="141">
        <f ca="1">IFERROR(S326+(S318-S319)*(S327-S326)/(S320-S319),S326)</f>
        <v>6476.1480000000001</v>
      </c>
      <c r="W329" s="2"/>
      <c r="X329" s="2"/>
      <c r="Y329" s="2"/>
      <c r="Z329" s="16" t="s">
        <v>207</v>
      </c>
      <c r="AA329" s="141">
        <f ca="1">IFERROR(AA326+(AA318-AA319)*(AA327-AA326)/(AA320-AA319),AA326)</f>
        <v>5939.58</v>
      </c>
      <c r="AE329" s="2"/>
      <c r="AF329" s="2"/>
      <c r="AG329" s="2"/>
      <c r="AH329" s="16" t="s">
        <v>207</v>
      </c>
      <c r="AI329" s="141">
        <f ca="1">IFERROR(AI326+(AI318-AI319)*(AI327-AI326)/(AI320-AI319),AI326)</f>
        <v>5427.7298000000001</v>
      </c>
      <c r="AM329" s="2"/>
      <c r="AN329" s="2"/>
      <c r="AO329" s="2"/>
      <c r="AP329" s="16" t="s">
        <v>207</v>
      </c>
      <c r="AQ329" s="141">
        <f ca="1">IFERROR(AQ326+(AQ318-AQ319)*(AQ327-AQ326)/(AQ320-AQ319),AQ326)</f>
        <v>5319.2784000000001</v>
      </c>
      <c r="AU329" s="2"/>
      <c r="AV329" s="2"/>
      <c r="AW329" s="2"/>
      <c r="AX329" s="16" t="s">
        <v>207</v>
      </c>
      <c r="AY329" s="141" t="e">
        <f ca="1">IFERROR(AY326+(AY318-AY319)*(AY327-AY326)/(AY320-AY319),AY326)</f>
        <v>#N/A</v>
      </c>
    </row>
    <row r="330" spans="1:57" ht="15" customHeight="1" x14ac:dyDescent="0.3">
      <c r="B330" s="139" t="s">
        <v>208</v>
      </c>
      <c r="C330" s="140">
        <f ca="1">IFERROR(C328+(C321-C322)*(C329-C328)/(C323-C322),C328)</f>
        <v>7558.95</v>
      </c>
      <c r="G330" s="2"/>
      <c r="H330" s="2"/>
      <c r="I330" s="2"/>
      <c r="J330" s="139" t="s">
        <v>208</v>
      </c>
      <c r="K330" s="140">
        <f ca="1">IFERROR(K328+(K321-K322)*(K329-K328)/(K323-K322),K328)</f>
        <v>7187.32</v>
      </c>
      <c r="O330" s="2"/>
      <c r="P330" s="2"/>
      <c r="Q330" s="2"/>
      <c r="R330" s="139" t="s">
        <v>208</v>
      </c>
      <c r="S330" s="140">
        <f ca="1">IFERROR(S328+(S321-S322)*(S329-S328)/(S323-S322),S328)</f>
        <v>6592.45</v>
      </c>
      <c r="W330" s="2"/>
      <c r="X330" s="2"/>
      <c r="Y330" s="2"/>
      <c r="Z330" s="139" t="s">
        <v>208</v>
      </c>
      <c r="AA330" s="140">
        <f ca="1">IFERROR(AA328+(AA321-AA322)*(AA329-AA328)/(AA323-AA322),AA328)</f>
        <v>6059.58</v>
      </c>
      <c r="AE330" s="2"/>
      <c r="AF330" s="2"/>
      <c r="AG330" s="2"/>
      <c r="AH330" s="139" t="s">
        <v>208</v>
      </c>
      <c r="AI330" s="140">
        <f ca="1">IFERROR(AI328+(AI321-AI322)*(AI329-AI328)/(AI323-AI322),AI328)</f>
        <v>5573.33</v>
      </c>
      <c r="AM330" s="2"/>
      <c r="AN330" s="2"/>
      <c r="AO330" s="2"/>
      <c r="AP330" s="139" t="s">
        <v>208</v>
      </c>
      <c r="AQ330" s="140">
        <f ca="1">IFERROR(AQ328+(AQ321-AQ322)*(AQ329-AQ328)/(AQ323-AQ322),AQ328)</f>
        <v>5470.46</v>
      </c>
      <c r="AU330" s="2"/>
      <c r="AV330" s="2"/>
      <c r="AW330" s="2"/>
      <c r="AX330" s="139" t="s">
        <v>208</v>
      </c>
      <c r="AY330" s="140" t="e">
        <f ca="1">IFERROR(AY328+(AY321-AY322)*(AY329-AY328)/(AY323-AY322),AY328)</f>
        <v>#N/A</v>
      </c>
    </row>
    <row r="331" spans="1:57" ht="15" customHeight="1" x14ac:dyDescent="0.3">
      <c r="B331" s="139"/>
      <c r="C331" s="140"/>
      <c r="G331" s="2"/>
      <c r="H331" s="2"/>
      <c r="I331" s="2"/>
      <c r="J331" s="139"/>
      <c r="K331" s="140"/>
      <c r="O331" s="2"/>
      <c r="P331" s="2"/>
      <c r="Q331" s="2"/>
      <c r="R331" s="139"/>
      <c r="S331" s="140"/>
      <c r="W331" s="2"/>
      <c r="X331" s="2"/>
      <c r="Y331" s="2"/>
      <c r="Z331" s="139"/>
      <c r="AA331" s="140"/>
      <c r="AE331" s="2"/>
      <c r="AF331" s="2"/>
      <c r="AG331" s="2"/>
      <c r="AH331" s="139"/>
      <c r="AI331" s="140"/>
      <c r="AM331" s="2"/>
      <c r="AN331" s="2"/>
      <c r="AO331" s="2"/>
      <c r="AP331" s="139"/>
      <c r="AQ331" s="140"/>
      <c r="AU331" s="2"/>
      <c r="AV331" s="2"/>
      <c r="AW331" s="2"/>
      <c r="AX331" s="139"/>
      <c r="AY331" s="140"/>
    </row>
    <row r="332" spans="1:57" ht="15" customHeight="1" x14ac:dyDescent="0.3">
      <c r="A332" t="s">
        <v>210</v>
      </c>
      <c r="B332" s="357" t="s">
        <v>222</v>
      </c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2"/>
      <c r="Q332" s="2"/>
      <c r="R332" s="139"/>
      <c r="S332" s="140"/>
      <c r="W332" s="2"/>
      <c r="X332" s="2"/>
      <c r="Y332" s="2"/>
      <c r="Z332" s="139"/>
      <c r="AA332" s="140"/>
      <c r="AE332" s="2"/>
      <c r="AF332" s="2"/>
      <c r="AG332" s="2"/>
      <c r="AH332" s="139"/>
      <c r="AI332" s="140"/>
      <c r="AM332" s="2"/>
      <c r="AN332" s="2"/>
      <c r="AO332" s="2"/>
      <c r="AP332" s="139"/>
      <c r="AQ332" s="140"/>
      <c r="AU332" s="2"/>
      <c r="AV332" s="2"/>
      <c r="AW332" s="2"/>
      <c r="AX332" s="139"/>
      <c r="AY332" s="140"/>
    </row>
    <row r="333" spans="1:57" ht="15" customHeight="1" x14ac:dyDescent="0.3">
      <c r="A333" t="s">
        <v>47</v>
      </c>
      <c r="B333" s="229">
        <v>4000</v>
      </c>
      <c r="C333" s="232">
        <v>4500</v>
      </c>
      <c r="D333" s="232">
        <v>5000</v>
      </c>
      <c r="E333" s="232">
        <v>5500</v>
      </c>
      <c r="F333" s="232">
        <v>6000</v>
      </c>
      <c r="G333" s="232">
        <v>6500</v>
      </c>
      <c r="H333" s="230">
        <v>7000</v>
      </c>
      <c r="I333" s="55">
        <v>7500</v>
      </c>
      <c r="J333" s="55">
        <v>8000</v>
      </c>
      <c r="K333" s="55">
        <v>8500</v>
      </c>
      <c r="L333" s="259">
        <v>9000</v>
      </c>
      <c r="M333" s="259">
        <v>9500</v>
      </c>
      <c r="N333" s="231">
        <v>10000</v>
      </c>
      <c r="O333" s="231">
        <v>10500</v>
      </c>
      <c r="P333" s="236"/>
      <c r="Q333" s="140"/>
      <c r="S333" s="139"/>
      <c r="T333" s="140"/>
      <c r="X333" s="2"/>
      <c r="Y333" s="2"/>
      <c r="Z333" s="2"/>
      <c r="AC333" s="2"/>
      <c r="AD333" s="2"/>
      <c r="AE333" s="2"/>
      <c r="AF333" s="139"/>
      <c r="AG333" s="140"/>
      <c r="AK333" s="2"/>
      <c r="AL333" s="2"/>
      <c r="AM333" s="2"/>
      <c r="AN333" s="139"/>
      <c r="AO333" s="140"/>
      <c r="AS333" s="2"/>
      <c r="AT333" s="2"/>
      <c r="AU333" s="2"/>
      <c r="AV333" s="139"/>
      <c r="AW333" s="140"/>
      <c r="BA333" s="2"/>
      <c r="BB333" s="2"/>
      <c r="BC333" s="2"/>
      <c r="BD333" s="139"/>
      <c r="BE333" s="140"/>
    </row>
    <row r="334" spans="1:57" ht="15" customHeight="1" x14ac:dyDescent="0.3">
      <c r="A334">
        <v>-10</v>
      </c>
      <c r="B334" s="229">
        <v>5000</v>
      </c>
      <c r="C334" s="232">
        <v>5550</v>
      </c>
      <c r="D334" s="232">
        <v>6150</v>
      </c>
      <c r="E334" s="232">
        <v>6750</v>
      </c>
      <c r="F334" s="232">
        <v>7300</v>
      </c>
      <c r="G334" s="232">
        <v>7900</v>
      </c>
      <c r="H334" s="232">
        <v>8500</v>
      </c>
      <c r="I334" s="232">
        <v>9100</v>
      </c>
      <c r="J334" s="232">
        <v>9600</v>
      </c>
      <c r="K334" s="232">
        <v>10100</v>
      </c>
      <c r="L334" s="232">
        <v>10700</v>
      </c>
      <c r="M334" s="232">
        <v>11300</v>
      </c>
      <c r="N334" s="232">
        <v>11850</v>
      </c>
      <c r="O334" s="237">
        <v>99999</v>
      </c>
      <c r="P334" s="236"/>
      <c r="Q334" s="140"/>
      <c r="R334" s="140"/>
      <c r="S334" s="140"/>
      <c r="T334" s="140"/>
      <c r="U334" s="140"/>
      <c r="V334" s="140"/>
      <c r="W334" s="140"/>
      <c r="X334" s="140"/>
      <c r="Y334" s="140"/>
      <c r="Z334" s="2"/>
      <c r="AC334" s="2"/>
      <c r="AD334" s="2"/>
      <c r="AE334" s="2"/>
      <c r="AF334" s="139"/>
      <c r="AG334" s="140"/>
      <c r="AK334" s="2"/>
      <c r="AL334" s="2"/>
      <c r="AM334" s="2"/>
      <c r="AN334" s="139"/>
      <c r="AO334" s="140"/>
      <c r="AS334" s="2"/>
      <c r="AT334" s="2"/>
      <c r="AU334" s="2"/>
      <c r="AV334" s="139"/>
      <c r="AW334" s="140"/>
      <c r="BA334" s="2"/>
      <c r="BB334" s="2"/>
      <c r="BC334" s="2"/>
      <c r="BD334" s="139"/>
      <c r="BE334" s="140"/>
    </row>
    <row r="335" spans="1:57" ht="15" customHeight="1" x14ac:dyDescent="0.3">
      <c r="A335">
        <v>0</v>
      </c>
      <c r="B335" s="233">
        <v>4000</v>
      </c>
      <c r="C335" s="72">
        <v>4500</v>
      </c>
      <c r="D335" s="72">
        <v>5000</v>
      </c>
      <c r="E335" s="72">
        <v>5500</v>
      </c>
      <c r="F335" s="72">
        <v>6000</v>
      </c>
      <c r="G335" s="72">
        <v>6500</v>
      </c>
      <c r="H335" s="72">
        <v>7000</v>
      </c>
      <c r="I335" s="72">
        <v>7500</v>
      </c>
      <c r="J335" s="72">
        <v>8000</v>
      </c>
      <c r="K335" s="72">
        <v>8500</v>
      </c>
      <c r="L335" s="72">
        <v>9000</v>
      </c>
      <c r="M335" s="72">
        <v>9500</v>
      </c>
      <c r="N335" s="72">
        <v>10000</v>
      </c>
      <c r="O335" s="237">
        <v>99999</v>
      </c>
      <c r="P335" s="236"/>
      <c r="Q335" s="140"/>
      <c r="S335" s="139"/>
      <c r="T335" s="140"/>
      <c r="X335" s="2"/>
      <c r="Y335" s="2"/>
      <c r="Z335" s="2"/>
      <c r="AC335" s="2"/>
      <c r="AD335" s="2"/>
      <c r="AE335" s="2"/>
      <c r="AF335" s="139"/>
      <c r="AG335" s="140"/>
      <c r="AK335" s="2"/>
      <c r="AL335" s="2"/>
      <c r="AM335" s="2"/>
      <c r="AN335" s="139"/>
      <c r="AO335" s="140"/>
      <c r="AS335" s="2"/>
      <c r="AT335" s="2"/>
      <c r="AU335" s="2"/>
      <c r="AV335" s="139"/>
      <c r="AW335" s="140"/>
      <c r="BA335" s="2"/>
      <c r="BB335" s="2"/>
      <c r="BC335" s="2"/>
      <c r="BD335" s="139"/>
      <c r="BE335" s="140"/>
    </row>
    <row r="336" spans="1:57" ht="15" customHeight="1" x14ac:dyDescent="0.3">
      <c r="A336">
        <v>30</v>
      </c>
      <c r="B336" s="234">
        <v>3250</v>
      </c>
      <c r="C336" s="238">
        <v>3650</v>
      </c>
      <c r="D336" s="238">
        <v>4100</v>
      </c>
      <c r="E336" s="238">
        <v>4500</v>
      </c>
      <c r="F336" s="238">
        <v>4900</v>
      </c>
      <c r="G336" s="238">
        <v>5350</v>
      </c>
      <c r="H336" s="238">
        <v>5800</v>
      </c>
      <c r="I336" s="238">
        <v>6200</v>
      </c>
      <c r="J336" s="238">
        <v>6550</v>
      </c>
      <c r="K336" s="238">
        <v>7100</v>
      </c>
      <c r="L336" s="235">
        <v>7550</v>
      </c>
      <c r="M336" s="68">
        <v>8000</v>
      </c>
      <c r="N336" s="68">
        <v>8450</v>
      </c>
      <c r="O336" s="237">
        <v>99999</v>
      </c>
      <c r="P336" s="236"/>
      <c r="Q336" s="140"/>
      <c r="S336" s="139"/>
      <c r="T336" s="140"/>
      <c r="X336" s="2"/>
      <c r="Y336" s="2"/>
      <c r="Z336" s="2"/>
      <c r="AC336" s="2"/>
      <c r="AD336" s="2"/>
      <c r="AE336" s="2"/>
      <c r="AF336" s="139"/>
      <c r="AG336" s="140"/>
      <c r="AK336" s="2"/>
      <c r="AL336" s="2"/>
      <c r="AM336" s="2"/>
      <c r="AN336" s="139"/>
      <c r="AO336" s="140"/>
      <c r="AS336" s="2"/>
      <c r="AT336" s="2"/>
      <c r="AU336" s="2"/>
      <c r="AV336" s="139"/>
      <c r="AW336" s="140"/>
      <c r="BA336" s="2"/>
      <c r="BB336" s="2"/>
      <c r="BC336" s="2"/>
      <c r="BD336" s="139"/>
      <c r="BE336" s="140"/>
    </row>
    <row r="337" spans="1:53" ht="15" customHeight="1" x14ac:dyDescent="0.3">
      <c r="B337" s="139"/>
      <c r="C337" s="140"/>
      <c r="G337" s="2"/>
      <c r="H337" s="2"/>
      <c r="I337" s="2"/>
      <c r="J337" s="139"/>
      <c r="K337" s="140"/>
      <c r="O337" s="53"/>
      <c r="P337" s="2"/>
      <c r="Q337" s="2"/>
      <c r="R337" s="139"/>
      <c r="S337" s="140"/>
      <c r="W337" s="2"/>
      <c r="X337" s="2"/>
      <c r="Y337" s="2"/>
      <c r="Z337" s="139"/>
      <c r="AA337" s="140"/>
      <c r="AE337" s="2"/>
      <c r="AF337" s="2"/>
      <c r="AG337" s="2"/>
      <c r="AH337" s="139"/>
      <c r="AI337" s="140"/>
      <c r="AM337" s="2"/>
      <c r="AN337" s="2"/>
      <c r="AO337" s="2"/>
      <c r="AP337" s="139"/>
      <c r="AQ337" s="140"/>
      <c r="AU337" s="2"/>
      <c r="AV337" s="2"/>
      <c r="AW337" s="2"/>
      <c r="AX337" s="139"/>
      <c r="AY337" s="140"/>
    </row>
    <row r="338" spans="1:53" ht="15" customHeight="1" x14ac:dyDescent="0.3">
      <c r="B338" s="139" t="s">
        <v>146</v>
      </c>
      <c r="C338" s="140">
        <f ca="1">C330</f>
        <v>7558.95</v>
      </c>
      <c r="D338" s="355" t="s">
        <v>201</v>
      </c>
      <c r="E338" s="355"/>
      <c r="G338" s="2"/>
      <c r="H338" s="2"/>
      <c r="I338" s="2"/>
      <c r="J338" s="139" t="s">
        <v>146</v>
      </c>
      <c r="K338" s="140">
        <f ca="1">K330</f>
        <v>7187.32</v>
      </c>
      <c r="L338" s="355" t="s">
        <v>201</v>
      </c>
      <c r="M338" s="355"/>
      <c r="O338" s="53"/>
      <c r="P338" s="2"/>
      <c r="Q338" s="2"/>
      <c r="R338" s="139" t="s">
        <v>146</v>
      </c>
      <c r="S338" s="140">
        <f ca="1">S330</f>
        <v>6592.45</v>
      </c>
      <c r="T338" s="355" t="s">
        <v>201</v>
      </c>
      <c r="U338" s="355"/>
      <c r="W338" s="2"/>
      <c r="X338" s="2"/>
      <c r="Y338" s="2"/>
      <c r="Z338" s="139" t="s">
        <v>146</v>
      </c>
      <c r="AA338" s="140">
        <f ca="1">AA330</f>
        <v>6059.58</v>
      </c>
      <c r="AB338" s="355" t="s">
        <v>201</v>
      </c>
      <c r="AC338" s="355"/>
      <c r="AE338" s="2"/>
      <c r="AF338" s="2"/>
      <c r="AG338" s="2"/>
      <c r="AH338" s="139" t="s">
        <v>146</v>
      </c>
      <c r="AI338" s="140">
        <f ca="1">AI330</f>
        <v>5573.33</v>
      </c>
      <c r="AJ338" s="355" t="s">
        <v>201</v>
      </c>
      <c r="AK338" s="355"/>
      <c r="AM338" s="2"/>
      <c r="AN338" s="2"/>
      <c r="AO338" s="2"/>
      <c r="AP338" s="139" t="s">
        <v>146</v>
      </c>
      <c r="AQ338" s="140">
        <f ca="1">AQ330</f>
        <v>5470.46</v>
      </c>
      <c r="AR338" s="355" t="s">
        <v>201</v>
      </c>
      <c r="AS338" s="355"/>
      <c r="AU338" s="2"/>
      <c r="AV338" s="2"/>
      <c r="AW338" s="2"/>
      <c r="AX338" s="139" t="s">
        <v>146</v>
      </c>
      <c r="AY338" s="140" t="e">
        <f ca="1">AY330</f>
        <v>#N/A</v>
      </c>
      <c r="AZ338" s="355" t="s">
        <v>201</v>
      </c>
      <c r="BA338" s="355"/>
    </row>
    <row r="339" spans="1:53" ht="15" customHeight="1" x14ac:dyDescent="0.3">
      <c r="B339" s="16" t="s">
        <v>202</v>
      </c>
      <c r="C339" s="141">
        <f t="array" aca="1" ref="C339" ca="1">INDEX($B333:$O333,MATCH(C338,$B333:$O333,1))</f>
        <v>7500</v>
      </c>
      <c r="D339" s="16" t="s">
        <v>144</v>
      </c>
      <c r="E339" s="17">
        <f>MATCH(MAX($A334:$A336),$A334:$A336,1)</f>
        <v>3</v>
      </c>
      <c r="G339" s="2"/>
      <c r="H339" s="2"/>
      <c r="I339" s="2"/>
      <c r="J339" s="16" t="s">
        <v>202</v>
      </c>
      <c r="K339" s="141">
        <f t="array" aca="1" ref="K339" ca="1">INDEX($B333:$O333,MATCH(K338,$B333:$O333,1))</f>
        <v>7000</v>
      </c>
      <c r="L339" s="16" t="s">
        <v>144</v>
      </c>
      <c r="M339" s="17">
        <f>MATCH(MAX($A334:$A336),$A334:$A336,1)</f>
        <v>3</v>
      </c>
      <c r="O339" s="53"/>
      <c r="P339" s="2"/>
      <c r="Q339" s="2"/>
      <c r="R339" s="16" t="s">
        <v>202</v>
      </c>
      <c r="S339" s="141">
        <f t="array" aca="1" ref="S339" ca="1">INDEX($B333:$O333,MATCH(S338,$B333:$O333,1))</f>
        <v>6500</v>
      </c>
      <c r="T339" s="16" t="s">
        <v>144</v>
      </c>
      <c r="U339" s="17">
        <f>MATCH(MAX($A334:$A336),$A334:$A336,1)</f>
        <v>3</v>
      </c>
      <c r="W339" s="2"/>
      <c r="X339" s="2"/>
      <c r="Y339" s="2"/>
      <c r="Z339" s="16" t="s">
        <v>202</v>
      </c>
      <c r="AA339" s="141">
        <f t="array" aca="1" ref="AA339" ca="1">INDEX($B333:$O333,MATCH(AA338,$B333:$O333,1))</f>
        <v>6000</v>
      </c>
      <c r="AB339" s="16" t="s">
        <v>144</v>
      </c>
      <c r="AC339" s="17">
        <f>MATCH(MAX($A334:$A336),$A334:$A336,1)</f>
        <v>3</v>
      </c>
      <c r="AE339" s="2"/>
      <c r="AF339" s="2"/>
      <c r="AG339" s="2"/>
      <c r="AH339" s="16" t="s">
        <v>202</v>
      </c>
      <c r="AI339" s="141">
        <f t="array" aca="1" ref="AI339" ca="1">INDEX($B333:$O333,MATCH(AI338,$B333:$O333,1))</f>
        <v>5500</v>
      </c>
      <c r="AJ339" s="16" t="s">
        <v>144</v>
      </c>
      <c r="AK339" s="17">
        <f>MATCH(MAX($A334:$A336),$A334:$A336,1)</f>
        <v>3</v>
      </c>
      <c r="AM339" s="2"/>
      <c r="AN339" s="2"/>
      <c r="AO339" s="2"/>
      <c r="AP339" s="16" t="s">
        <v>202</v>
      </c>
      <c r="AQ339" s="141">
        <f t="array" aca="1" ref="AQ339" ca="1">INDEX($B333:$O333,MATCH(AQ338,$B333:$O333,1))</f>
        <v>5000</v>
      </c>
      <c r="AR339" s="16" t="s">
        <v>144</v>
      </c>
      <c r="AS339" s="17">
        <f>MATCH(MAX($A334:$A336),$A334:$A336,1)</f>
        <v>3</v>
      </c>
      <c r="AU339" s="2"/>
      <c r="AV339" s="2"/>
      <c r="AW339" s="2"/>
      <c r="AX339" s="16" t="s">
        <v>202</v>
      </c>
      <c r="AY339" s="141" t="e">
        <f t="array" aca="1" ref="AY339" ca="1">INDEX($B333:$O333,MATCH(AY338,$B333:$O333,1))</f>
        <v>#N/A</v>
      </c>
      <c r="AZ339" s="16" t="s">
        <v>144</v>
      </c>
      <c r="BA339" s="17">
        <f>MATCH(MAX($A334:$A336),$A334:$A336,1)</f>
        <v>3</v>
      </c>
    </row>
    <row r="340" spans="1:53" ht="15" customHeight="1" x14ac:dyDescent="0.3">
      <c r="B340" s="16" t="s">
        <v>203</v>
      </c>
      <c r="C340" s="141">
        <f t="array" aca="1" ref="C340" ca="1">INDEX($B333:$O333,IF(MATCH(C338,$B333:$O333,1)&lt;E340,MATCH(C338,$B333:$O333,1)+1,MATCH(C338,$B333:$O333,1)))</f>
        <v>8000</v>
      </c>
      <c r="D340" s="16" t="s">
        <v>145</v>
      </c>
      <c r="E340" s="17">
        <f>MATCH(MAX($B333:$O333),$B333:$O333,0)</f>
        <v>14</v>
      </c>
      <c r="G340" s="2"/>
      <c r="H340" s="2"/>
      <c r="I340" s="2"/>
      <c r="J340" s="16" t="s">
        <v>203</v>
      </c>
      <c r="K340" s="141">
        <f t="array" aca="1" ref="K340" ca="1">INDEX($B333:$O333,IF(MATCH(K338,$B333:$O333,1)&lt;M340,MATCH(K338,$B333:$O333,1)+1,MATCH(K338,$B333:$O333,1)))</f>
        <v>7500</v>
      </c>
      <c r="L340" s="16" t="s">
        <v>145</v>
      </c>
      <c r="M340" s="17">
        <f>MATCH(MAX($B333:$O333),$B333:$O333,0)</f>
        <v>14</v>
      </c>
      <c r="O340" s="53"/>
      <c r="P340" s="2"/>
      <c r="Q340" s="2"/>
      <c r="R340" s="16" t="s">
        <v>203</v>
      </c>
      <c r="S340" s="141">
        <f t="array" aca="1" ref="S340" ca="1">INDEX($B333:$O333,IF(MATCH(S338,$B333:$O333,1)&lt;U340,MATCH(S338,$B333:$O333,1)+1,MATCH(S338,$B333:$O333,1)))</f>
        <v>7000</v>
      </c>
      <c r="T340" s="16" t="s">
        <v>145</v>
      </c>
      <c r="U340" s="17">
        <f>MATCH(MAX($B333:$O333),$B333:$O333,0)</f>
        <v>14</v>
      </c>
      <c r="W340" s="2"/>
      <c r="X340" s="2"/>
      <c r="Y340" s="2"/>
      <c r="Z340" s="16" t="s">
        <v>203</v>
      </c>
      <c r="AA340" s="141">
        <f t="array" aca="1" ref="AA340" ca="1">INDEX($B333:$O333,IF(MATCH(AA338,$B333:$O333,1)&lt;AC340,MATCH(AA338,$B333:$O333,1)+1,MATCH(AA338,$B333:$O333,1)))</f>
        <v>6500</v>
      </c>
      <c r="AB340" s="16" t="s">
        <v>145</v>
      </c>
      <c r="AC340" s="17">
        <f>MATCH(MAX($B333:$O333),$B333:$O333,0)</f>
        <v>14</v>
      </c>
      <c r="AE340" s="2"/>
      <c r="AF340" s="2"/>
      <c r="AG340" s="2"/>
      <c r="AH340" s="16" t="s">
        <v>203</v>
      </c>
      <c r="AI340" s="141">
        <f t="array" aca="1" ref="AI340" ca="1">INDEX($B333:$O333,IF(MATCH(AI338,$B333:$O333,1)&lt;AK340,MATCH(AI338,$B333:$O333,1)+1,MATCH(AI338,$B333:$O333,1)))</f>
        <v>6000</v>
      </c>
      <c r="AJ340" s="16" t="s">
        <v>145</v>
      </c>
      <c r="AK340" s="17">
        <f>MATCH(MAX($B333:$O333),$B333:$O333,0)</f>
        <v>14</v>
      </c>
      <c r="AM340" s="2"/>
      <c r="AN340" s="2"/>
      <c r="AO340" s="2"/>
      <c r="AP340" s="16" t="s">
        <v>203</v>
      </c>
      <c r="AQ340" s="141">
        <f t="array" aca="1" ref="AQ340" ca="1">INDEX($B333:$O333,IF(MATCH(AQ338,$B333:$O333,1)&lt;AS340,MATCH(AQ338,$B333:$O333,1)+1,MATCH(AQ338,$B333:$O333,1)))</f>
        <v>5500</v>
      </c>
      <c r="AR340" s="16" t="s">
        <v>145</v>
      </c>
      <c r="AS340" s="17">
        <f>MATCH(MAX($B333:$O333),$B333:$O333,0)</f>
        <v>14</v>
      </c>
      <c r="AU340" s="2"/>
      <c r="AV340" s="2"/>
      <c r="AW340" s="2"/>
      <c r="AX340" s="16" t="s">
        <v>203</v>
      </c>
      <c r="AY340" s="141" t="e">
        <f t="array" aca="1" ref="AY340" ca="1">INDEX($B333:$O333,IF(MATCH(AY338,$B333:$O333,1)&lt;BA340,MATCH(AY338,$B333:$O333,1)+1,MATCH(AY338,$B333:$O333,1)))</f>
        <v>#N/A</v>
      </c>
      <c r="AZ340" s="16" t="s">
        <v>145</v>
      </c>
      <c r="BA340" s="17">
        <f>MATCH(MAX($B333:$O333),$B333:$O333,0)</f>
        <v>14</v>
      </c>
    </row>
    <row r="341" spans="1:53" ht="15" customHeight="1" x14ac:dyDescent="0.3">
      <c r="B341" s="139" t="s">
        <v>147</v>
      </c>
      <c r="C341" s="186">
        <f ca="1">'Take-off'!$C$24</f>
        <v>-2.3941410032796808</v>
      </c>
      <c r="D341" s="2"/>
      <c r="E341" s="2"/>
      <c r="G341" s="2"/>
      <c r="H341" s="2"/>
      <c r="I341" s="2"/>
      <c r="J341" s="139" t="s">
        <v>147</v>
      </c>
      <c r="K341" s="186">
        <f ca="1">'Take-off'!$C$24</f>
        <v>-2.3941410032796808</v>
      </c>
      <c r="L341" s="2"/>
      <c r="M341" s="2"/>
      <c r="O341" s="53"/>
      <c r="P341" s="2"/>
      <c r="Q341" s="2"/>
      <c r="R341" s="139" t="s">
        <v>147</v>
      </c>
      <c r="S341" s="186">
        <f ca="1">'Take-off'!$C$24</f>
        <v>-2.3941410032796808</v>
      </c>
      <c r="T341" s="2"/>
      <c r="U341" s="2"/>
      <c r="W341" s="2"/>
      <c r="X341" s="2"/>
      <c r="Y341" s="2"/>
      <c r="Z341" s="139" t="s">
        <v>147</v>
      </c>
      <c r="AA341" s="186">
        <f ca="1">'Take-off'!$C$24</f>
        <v>-2.3941410032796808</v>
      </c>
      <c r="AB341" s="2"/>
      <c r="AC341" s="2"/>
      <c r="AE341" s="2"/>
      <c r="AF341" s="2"/>
      <c r="AG341" s="2"/>
      <c r="AH341" s="139" t="s">
        <v>147</v>
      </c>
      <c r="AI341" s="186">
        <f ca="1">'Take-off'!$C$24</f>
        <v>-2.3941410032796808</v>
      </c>
      <c r="AJ341" s="2"/>
      <c r="AK341" s="2"/>
      <c r="AM341" s="2"/>
      <c r="AN341" s="2"/>
      <c r="AO341" s="2"/>
      <c r="AP341" s="139" t="s">
        <v>147</v>
      </c>
      <c r="AQ341" s="186">
        <f ca="1">'Take-off'!$C$24</f>
        <v>-2.3941410032796808</v>
      </c>
      <c r="AR341" s="2"/>
      <c r="AS341" s="2"/>
      <c r="AU341" s="2"/>
      <c r="AV341" s="2"/>
      <c r="AW341" s="2"/>
      <c r="AX341" s="139" t="s">
        <v>147</v>
      </c>
      <c r="AY341" s="186">
        <f ca="1">'Take-off'!$C$24</f>
        <v>-2.3941410032796808</v>
      </c>
      <c r="AZ341" s="2"/>
      <c r="BA341" s="2"/>
    </row>
    <row r="342" spans="1:53" ht="15" customHeight="1" x14ac:dyDescent="0.3">
      <c r="B342" s="16" t="s">
        <v>148</v>
      </c>
      <c r="C342" s="141">
        <f t="array" aca="1" ref="C342" ca="1">INDEX($A334:$A336,MATCH(C341,$A334:$A336,1))</f>
        <v>-10</v>
      </c>
      <c r="D342" s="2"/>
      <c r="E342" s="42"/>
      <c r="G342" s="2"/>
      <c r="H342" s="2"/>
      <c r="I342" s="2"/>
      <c r="J342" s="16" t="s">
        <v>148</v>
      </c>
      <c r="K342" s="141">
        <f t="array" aca="1" ref="K342" ca="1">INDEX($A334:$A336,MATCH(K341,$A334:$A336,1))</f>
        <v>-10</v>
      </c>
      <c r="L342" s="2"/>
      <c r="M342" s="42"/>
      <c r="O342" s="53"/>
      <c r="P342" s="2"/>
      <c r="Q342" s="2"/>
      <c r="R342" s="16" t="s">
        <v>148</v>
      </c>
      <c r="S342" s="141">
        <f t="array" aca="1" ref="S342" ca="1">INDEX($A334:$A336,MATCH(S341,$A334:$A336,1))</f>
        <v>-10</v>
      </c>
      <c r="T342" s="2"/>
      <c r="U342" s="42"/>
      <c r="W342" s="2"/>
      <c r="X342" s="2"/>
      <c r="Y342" s="2"/>
      <c r="Z342" s="16" t="s">
        <v>148</v>
      </c>
      <c r="AA342" s="141">
        <f t="array" aca="1" ref="AA342" ca="1">INDEX($A334:$A336,MATCH(AA341,$A334:$A336,1))</f>
        <v>-10</v>
      </c>
      <c r="AB342" s="2"/>
      <c r="AC342" s="42"/>
      <c r="AE342" s="2"/>
      <c r="AF342" s="2"/>
      <c r="AG342" s="2"/>
      <c r="AH342" s="16" t="s">
        <v>148</v>
      </c>
      <c r="AI342" s="141">
        <f t="array" aca="1" ref="AI342" ca="1">INDEX($A334:$A336,MATCH(AI341,$A334:$A336,1))</f>
        <v>-10</v>
      </c>
      <c r="AJ342" s="2"/>
      <c r="AK342" s="42"/>
      <c r="AM342" s="2"/>
      <c r="AN342" s="2"/>
      <c r="AO342" s="2"/>
      <c r="AP342" s="16" t="s">
        <v>148</v>
      </c>
      <c r="AQ342" s="141">
        <f t="array" aca="1" ref="AQ342" ca="1">INDEX($A334:$A336,MATCH(AQ341,$A334:$A336,1))</f>
        <v>-10</v>
      </c>
      <c r="AR342" s="2"/>
      <c r="AS342" s="42"/>
      <c r="AU342" s="2"/>
      <c r="AV342" s="2"/>
      <c r="AW342" s="2"/>
      <c r="AX342" s="16" t="s">
        <v>148</v>
      </c>
      <c r="AY342" s="141">
        <f t="array" aca="1" ref="AY342" ca="1">INDEX($A334:$A336,MATCH(AY341,$A334:$A336,1))</f>
        <v>-10</v>
      </c>
      <c r="AZ342" s="2"/>
      <c r="BA342" s="42"/>
    </row>
    <row r="343" spans="1:53" ht="15" customHeight="1" x14ac:dyDescent="0.3">
      <c r="B343" s="16" t="s">
        <v>149</v>
      </c>
      <c r="C343" s="141">
        <f t="array" aca="1" ref="C343" ca="1">INDEX($A334:$A336,IF(MATCH(C341,$A334:$A336,1)&lt;E339,MATCH(C341,$A334:$A336,1)+1,MATCH(C341,$A334:$A336,1)))</f>
        <v>0</v>
      </c>
      <c r="D343" s="2"/>
      <c r="E343" s="42"/>
      <c r="G343" s="2"/>
      <c r="H343" s="2"/>
      <c r="I343" s="2"/>
      <c r="J343" s="16" t="s">
        <v>149</v>
      </c>
      <c r="K343" s="141">
        <f t="array" aca="1" ref="K343" ca="1">INDEX($A334:$A336,IF(MATCH(K341,$A334:$A336,1)&lt;M339,MATCH(K341,$A334:$A336,1)+1,MATCH(K341,$A334:$A336,1)))</f>
        <v>0</v>
      </c>
      <c r="L343" s="2"/>
      <c r="M343" s="42"/>
      <c r="O343" s="53"/>
      <c r="P343" s="2"/>
      <c r="Q343" s="2"/>
      <c r="R343" s="16" t="s">
        <v>149</v>
      </c>
      <c r="S343" s="141">
        <f t="array" aca="1" ref="S343" ca="1">INDEX($A334:$A336,IF(MATCH(S341,$A334:$A336,1)&lt;U339,MATCH(S341,$A334:$A336,1)+1,MATCH(S341,$A334:$A336,1)))</f>
        <v>0</v>
      </c>
      <c r="T343" s="2"/>
      <c r="U343" s="42"/>
      <c r="W343" s="2"/>
      <c r="X343" s="2"/>
      <c r="Y343" s="2"/>
      <c r="Z343" s="16" t="s">
        <v>149</v>
      </c>
      <c r="AA343" s="141">
        <f t="array" aca="1" ref="AA343" ca="1">INDEX($A334:$A336,IF(MATCH(AA341,$A334:$A336,1)&lt;AC339,MATCH(AA341,$A334:$A336,1)+1,MATCH(AA341,$A334:$A336,1)))</f>
        <v>0</v>
      </c>
      <c r="AB343" s="2"/>
      <c r="AC343" s="42"/>
      <c r="AE343" s="2"/>
      <c r="AF343" s="2"/>
      <c r="AG343" s="2"/>
      <c r="AH343" s="16" t="s">
        <v>149</v>
      </c>
      <c r="AI343" s="141">
        <f t="array" aca="1" ref="AI343" ca="1">INDEX($A334:$A336,IF(MATCH(AI341,$A334:$A336,1)&lt;AK339,MATCH(AI341,$A334:$A336,1)+1,MATCH(AI341,$A334:$A336,1)))</f>
        <v>0</v>
      </c>
      <c r="AJ343" s="2"/>
      <c r="AK343" s="42"/>
      <c r="AM343" s="2"/>
      <c r="AN343" s="2"/>
      <c r="AO343" s="2"/>
      <c r="AP343" s="16" t="s">
        <v>149</v>
      </c>
      <c r="AQ343" s="141">
        <f t="array" aca="1" ref="AQ343" ca="1">INDEX($A334:$A336,IF(MATCH(AQ341,$A334:$A336,1)&lt;AS339,MATCH(AQ341,$A334:$A336,1)+1,MATCH(AQ341,$A334:$A336,1)))</f>
        <v>0</v>
      </c>
      <c r="AR343" s="2"/>
      <c r="AS343" s="42"/>
      <c r="AU343" s="2"/>
      <c r="AV343" s="2"/>
      <c r="AW343" s="2"/>
      <c r="AX343" s="16" t="s">
        <v>149</v>
      </c>
      <c r="AY343" s="141">
        <f t="array" aca="1" ref="AY343" ca="1">INDEX($A334:$A336,IF(MATCH(AY341,$A334:$A336,1)&lt;BA339,MATCH(AY341,$A334:$A336,1)+1,MATCH(AY341,$A334:$A336,1)))</f>
        <v>0</v>
      </c>
      <c r="AZ343" s="2"/>
      <c r="BA343" s="42"/>
    </row>
    <row r="344" spans="1:53" ht="15" customHeight="1" x14ac:dyDescent="0.3">
      <c r="B344" s="139" t="s">
        <v>150</v>
      </c>
      <c r="C344" s="140">
        <f t="array" aca="1" ref="C344" ca="1">INDEX($B334:$O336,MATCH(C341,$A334:$A336,1),MATCH(C338,$B333:$O333,1))</f>
        <v>9100</v>
      </c>
      <c r="D344" s="2"/>
      <c r="E344" s="42"/>
      <c r="G344" s="2"/>
      <c r="H344" s="2"/>
      <c r="I344" s="2"/>
      <c r="J344" s="139" t="s">
        <v>150</v>
      </c>
      <c r="K344" s="140">
        <f t="array" aca="1" ref="K344" ca="1">INDEX($B334:$O336,MATCH(K341,$A334:$A336,1),MATCH(K338,$B333:$O333,1))</f>
        <v>8500</v>
      </c>
      <c r="L344" s="2"/>
      <c r="M344" s="42"/>
      <c r="O344" s="53"/>
      <c r="P344" s="2"/>
      <c r="Q344" s="2"/>
      <c r="R344" s="139" t="s">
        <v>150</v>
      </c>
      <c r="S344" s="140">
        <f t="array" aca="1" ref="S344" ca="1">INDEX($B334:$O336,MATCH(S341,$A334:$A336,1),MATCH(S338,$B333:$O333,1))</f>
        <v>7900</v>
      </c>
      <c r="T344" s="2"/>
      <c r="U344" s="42"/>
      <c r="W344" s="2"/>
      <c r="X344" s="2"/>
      <c r="Y344" s="2"/>
      <c r="Z344" s="139" t="s">
        <v>150</v>
      </c>
      <c r="AA344" s="140">
        <f t="array" aca="1" ref="AA344" ca="1">INDEX($B334:$O336,MATCH(AA341,$A334:$A336,1),MATCH(AA338,$B333:$O333,1))</f>
        <v>7300</v>
      </c>
      <c r="AB344" s="2"/>
      <c r="AC344" s="42"/>
      <c r="AE344" s="2"/>
      <c r="AF344" s="2"/>
      <c r="AG344" s="2"/>
      <c r="AH344" s="139" t="s">
        <v>150</v>
      </c>
      <c r="AI344" s="140">
        <f t="array" aca="1" ref="AI344" ca="1">INDEX($B334:$O336,MATCH(AI341,$A334:$A336,1),MATCH(AI338,$B333:$O333,1))</f>
        <v>6750</v>
      </c>
      <c r="AJ344" s="2"/>
      <c r="AK344" s="42"/>
      <c r="AM344" s="2"/>
      <c r="AN344" s="2"/>
      <c r="AO344" s="2"/>
      <c r="AP344" s="139" t="s">
        <v>150</v>
      </c>
      <c r="AQ344" s="140">
        <f t="array" aca="1" ref="AQ344" ca="1">INDEX($B334:$O336,MATCH(AQ341,$A334:$A336,1),MATCH(AQ338,$B333:$O333,1))</f>
        <v>6150</v>
      </c>
      <c r="AR344" s="2"/>
      <c r="AS344" s="42"/>
      <c r="AU344" s="2"/>
      <c r="AV344" s="2"/>
      <c r="AW344" s="2"/>
      <c r="AX344" s="139" t="s">
        <v>150</v>
      </c>
      <c r="AY344" s="140" t="e">
        <f t="array" aca="1" ref="AY344" ca="1">INDEX($B334:$O336,MATCH(AY341,$A334:$A336,1),MATCH(AY338,$B333:$O333,1))</f>
        <v>#N/A</v>
      </c>
      <c r="AZ344" s="2"/>
      <c r="BA344" s="42"/>
    </row>
    <row r="345" spans="1:53" ht="15" customHeight="1" x14ac:dyDescent="0.3">
      <c r="B345" s="139" t="s">
        <v>204</v>
      </c>
      <c r="C345" s="140">
        <f t="array" aca="1" ref="C345" ca="1">INDEX($B334:$O336,MATCH(C341,$A334:$A336,1),IF(MATCH(C338,$B333:$O333,1)&lt;E340,MATCH(C338,$B333:$O333,1)+1,MATCH(C341,$A334:$A336,1)))</f>
        <v>9600</v>
      </c>
      <c r="E345" s="42"/>
      <c r="G345" s="2"/>
      <c r="H345" s="2"/>
      <c r="I345" s="2"/>
      <c r="J345" s="139" t="s">
        <v>204</v>
      </c>
      <c r="K345" s="140">
        <f t="array" aca="1" ref="K345" ca="1">INDEX($B334:$O336,MATCH(K341,$A334:$A336,1),IF(MATCH(K338,$B333:$O333,1)&lt;M340,MATCH(K338,$B333:$O333,1)+1,MATCH(K341,$A334:$A336,1)))</f>
        <v>9100</v>
      </c>
      <c r="M345" s="42"/>
      <c r="O345" s="12"/>
      <c r="P345" s="2"/>
      <c r="Q345" s="2"/>
      <c r="R345" s="139" t="s">
        <v>204</v>
      </c>
      <c r="S345" s="140">
        <f t="array" aca="1" ref="S345" ca="1">INDEX($B334:$O336,MATCH(S341,$A334:$A336,1),IF(MATCH(S338,$B333:$O333,1)&lt;U340,MATCH(S338,$B333:$O333,1)+1,MATCH(S341,$A334:$A336,1)))</f>
        <v>8500</v>
      </c>
      <c r="U345" s="42"/>
      <c r="W345" s="2"/>
      <c r="X345" s="2"/>
      <c r="Y345" s="2"/>
      <c r="Z345" s="139" t="s">
        <v>204</v>
      </c>
      <c r="AA345" s="140">
        <f t="array" aca="1" ref="AA345" ca="1">INDEX($B334:$O336,MATCH(AA341,$A334:$A336,1),IF(MATCH(AA338,$B333:$O333,1)&lt;AC340,MATCH(AA338,$B333:$O333,1)+1,MATCH(AA341,$A334:$A336,1)))</f>
        <v>7900</v>
      </c>
      <c r="AC345" s="42"/>
      <c r="AE345" s="2"/>
      <c r="AF345" s="2"/>
      <c r="AG345" s="2"/>
      <c r="AH345" s="139" t="s">
        <v>204</v>
      </c>
      <c r="AI345" s="140">
        <f t="array" aca="1" ref="AI345" ca="1">INDEX($B334:$O336,MATCH(AI341,$A334:$A336,1),IF(MATCH(AI338,$B333:$O333,1)&lt;AK340,MATCH(AI338,$B333:$O333,1)+1,MATCH(AI341,$A334:$A336,1)))</f>
        <v>7300</v>
      </c>
      <c r="AK345" s="42"/>
      <c r="AM345" s="2"/>
      <c r="AN345" s="2"/>
      <c r="AO345" s="2"/>
      <c r="AP345" s="139" t="s">
        <v>204</v>
      </c>
      <c r="AQ345" s="140">
        <f t="array" aca="1" ref="AQ345" ca="1">INDEX($B334:$O336,MATCH(AQ341,$A334:$A336,1),IF(MATCH(AQ338,$B333:$O333,1)&lt;AS340,MATCH(AQ338,$B333:$O333,1)+1,MATCH(AQ341,$A334:$A336,1)))</f>
        <v>6750</v>
      </c>
      <c r="AS345" s="42"/>
      <c r="AU345" s="2"/>
      <c r="AV345" s="2"/>
      <c r="AW345" s="2"/>
      <c r="AX345" s="139" t="s">
        <v>204</v>
      </c>
      <c r="AY345" s="140" t="e">
        <f t="array" aca="1" ref="AY345" ca="1">INDEX($B334:$O336,MATCH(AY341,$A334:$A336,1),IF(MATCH(AY338,$B333:$O333,1)&lt;BA340,MATCH(AY338,$B333:$O333,1)+1,MATCH(AY341,$A334:$A336,1)))</f>
        <v>#N/A</v>
      </c>
      <c r="BA345" s="42"/>
    </row>
    <row r="346" spans="1:53" ht="15" customHeight="1" x14ac:dyDescent="0.3">
      <c r="B346" s="139" t="s">
        <v>151</v>
      </c>
      <c r="C346" s="140">
        <f t="array" aca="1" ref="C346" ca="1">INDEX($B334:$O336,IF(MATCH(C341,$A334:$A336,1)&lt;E339,MATCH(C341,$A334:$A336,1)+1,MATCH(C341,$A334:$A336,1)),MATCH(C338,$B333:$O333,1))</f>
        <v>7500</v>
      </c>
      <c r="E346" s="42"/>
      <c r="G346" s="2"/>
      <c r="H346" s="2"/>
      <c r="I346" s="2"/>
      <c r="J346" s="139" t="s">
        <v>151</v>
      </c>
      <c r="K346" s="140">
        <f t="array" aca="1" ref="K346" ca="1">INDEX($B334:$O336,IF(MATCH(K341,$A334:$A336,1)&lt;M339,MATCH(K341,$A334:$A336,1)+1,MATCH(K341,$A334:$A336,1)),MATCH(K338,$B333:$O333,1))</f>
        <v>7000</v>
      </c>
      <c r="M346" s="42"/>
      <c r="O346" s="12"/>
      <c r="P346" s="2"/>
      <c r="Q346" s="2"/>
      <c r="R346" s="139" t="s">
        <v>151</v>
      </c>
      <c r="S346" s="140">
        <f t="array" aca="1" ref="S346" ca="1">INDEX($B334:$O336,IF(MATCH(S341,$A334:$A336,1)&lt;U339,MATCH(S341,$A334:$A336,1)+1,MATCH(S341,$A334:$A336,1)),MATCH(S338,$B333:$O333,1))</f>
        <v>6500</v>
      </c>
      <c r="U346" s="42"/>
      <c r="W346" s="2"/>
      <c r="X346" s="2"/>
      <c r="Y346" s="2"/>
      <c r="Z346" s="139" t="s">
        <v>151</v>
      </c>
      <c r="AA346" s="140">
        <f t="array" aca="1" ref="AA346" ca="1">INDEX($B334:$O336,IF(MATCH(AA341,$A334:$A336,1)&lt;AC339,MATCH(AA341,$A334:$A336,1)+1,MATCH(AA341,$A334:$A336,1)),MATCH(AA338,$B333:$O333,1))</f>
        <v>6000</v>
      </c>
      <c r="AC346" s="42"/>
      <c r="AE346" s="2"/>
      <c r="AF346" s="2"/>
      <c r="AG346" s="2"/>
      <c r="AH346" s="139" t="s">
        <v>151</v>
      </c>
      <c r="AI346" s="140">
        <f t="array" aca="1" ref="AI346" ca="1">INDEX($B334:$O336,IF(MATCH(AI341,$A334:$A336,1)&lt;AK339,MATCH(AI341,$A334:$A336,1)+1,MATCH(AI341,$A334:$A336,1)),MATCH(AI338,$B333:$O333,1))</f>
        <v>5500</v>
      </c>
      <c r="AK346" s="42"/>
      <c r="AM346" s="2"/>
      <c r="AN346" s="2"/>
      <c r="AO346" s="2"/>
      <c r="AP346" s="139" t="s">
        <v>151</v>
      </c>
      <c r="AQ346" s="140">
        <f t="array" aca="1" ref="AQ346" ca="1">INDEX($B334:$O336,IF(MATCH(AQ341,$A334:$A336,1)&lt;AS339,MATCH(AQ341,$A334:$A336,1)+1,MATCH(AQ341,$A334:$A336,1)),MATCH(AQ338,$B333:$O333,1))</f>
        <v>5000</v>
      </c>
      <c r="AS346" s="42"/>
      <c r="AU346" s="2"/>
      <c r="AV346" s="2"/>
      <c r="AW346" s="2"/>
      <c r="AX346" s="139" t="s">
        <v>151</v>
      </c>
      <c r="AY346" s="140" t="e">
        <f t="array" aca="1" ref="AY346" ca="1">INDEX($B334:$O336,IF(MATCH(AY341,$A334:$A336,1)&lt;BA339,MATCH(AY341,$A334:$A336,1)+1,MATCH(AY341,$A334:$A336,1)),MATCH(AY338,$B333:$O333,1))</f>
        <v>#N/A</v>
      </c>
      <c r="BA346" s="42"/>
    </row>
    <row r="347" spans="1:53" ht="15" customHeight="1" x14ac:dyDescent="0.3">
      <c r="B347" s="139" t="s">
        <v>205</v>
      </c>
      <c r="C347" s="140">
        <f t="array" aca="1" ref="C347" ca="1">INDEX($B334:$O336,IF(MATCH(C341,$A334:$A336,1)&lt;E339,MATCH(C341,$A334:$A336,1)+1,MATCH(C341,$A334:$A336,1)),IF(MATCH(C338,$B333:$O333,1)&lt;E340,MATCH(C338,$B333:$O333,1)+1,MATCH(C338,$B333:$O333,1)))</f>
        <v>8000</v>
      </c>
      <c r="G347" s="2"/>
      <c r="H347" s="2"/>
      <c r="I347" s="2"/>
      <c r="J347" s="139" t="s">
        <v>205</v>
      </c>
      <c r="K347" s="140">
        <f t="array" aca="1" ref="K347" ca="1">INDEX($B334:$O336,IF(MATCH(K341,$A334:$A336,1)&lt;M339,MATCH(K341,$A334:$A336,1)+1,MATCH(K341,$A334:$A336,1)),IF(MATCH(K338,$B333:$O333,1)&lt;M340,MATCH(K338,$B333:$O333,1)+1,MATCH(K338,$B333:$O333,1)))</f>
        <v>7500</v>
      </c>
      <c r="O347" s="12"/>
      <c r="P347" s="2"/>
      <c r="Q347" s="2"/>
      <c r="R347" s="139" t="s">
        <v>205</v>
      </c>
      <c r="S347" s="140">
        <f t="array" aca="1" ref="S347" ca="1">INDEX($B334:$O336,IF(MATCH(S341,$A334:$A336,1)&lt;U339,MATCH(S341,$A334:$A336,1)+1,MATCH(S341,$A334:$A336,1)),IF(MATCH(S338,$B333:$O333,1)&lt;U340,MATCH(S338,$B333:$O333,1)+1,MATCH(S338,$B333:$O333,1)))</f>
        <v>7000</v>
      </c>
      <c r="W347" s="2"/>
      <c r="X347" s="2"/>
      <c r="Y347" s="2"/>
      <c r="Z347" s="139" t="s">
        <v>205</v>
      </c>
      <c r="AA347" s="140">
        <f t="array" aca="1" ref="AA347" ca="1">INDEX($B334:$O336,IF(MATCH(AA341,$A334:$A336,1)&lt;AC339,MATCH(AA341,$A334:$A336,1)+1,MATCH(AA341,$A334:$A336,1)),IF(MATCH(AA338,$B333:$O333,1)&lt;AC340,MATCH(AA338,$B333:$O333,1)+1,MATCH(AA338,$B333:$O333,1)))</f>
        <v>6500</v>
      </c>
      <c r="AE347" s="2"/>
      <c r="AF347" s="2"/>
      <c r="AG347" s="2"/>
      <c r="AH347" s="139" t="s">
        <v>205</v>
      </c>
      <c r="AI347" s="140">
        <f t="array" aca="1" ref="AI347" ca="1">INDEX($B334:$O336,IF(MATCH(AI341,$A334:$A336,1)&lt;AK339,MATCH(AI341,$A334:$A336,1)+1,MATCH(AI341,$A334:$A336,1)),IF(MATCH(AI338,$B333:$O333,1)&lt;AK340,MATCH(AI338,$B333:$O333,1)+1,MATCH(AI338,$B333:$O333,1)))</f>
        <v>6000</v>
      </c>
      <c r="AM347" s="2"/>
      <c r="AN347" s="2"/>
      <c r="AO347" s="2"/>
      <c r="AP347" s="139" t="s">
        <v>205</v>
      </c>
      <c r="AQ347" s="140">
        <f t="array" aca="1" ref="AQ347" ca="1">INDEX($B334:$O336,IF(MATCH(AQ341,$A334:$A336,1)&lt;AS339,MATCH(AQ341,$A334:$A336,1)+1,MATCH(AQ341,$A334:$A336,1)),IF(MATCH(AQ338,$B333:$O333,1)&lt;AS340,MATCH(AQ338,$B333:$O333,1)+1,MATCH(AQ338,$B333:$O333,1)))</f>
        <v>5500</v>
      </c>
      <c r="AU347" s="2"/>
      <c r="AV347" s="2"/>
      <c r="AW347" s="2"/>
      <c r="AX347" s="139" t="s">
        <v>205</v>
      </c>
      <c r="AY347" s="140" t="e">
        <f t="array" aca="1" ref="AY347" ca="1">INDEX($B334:$O336,IF(MATCH(AY341,$A334:$A336,1)&lt;BA339,MATCH(AY341,$A334:$A336,1)+1,MATCH(AY341,$A334:$A336,1)),IF(MATCH(AY338,$B333:$O333,1)&lt;BA340,MATCH(AY338,$B333:$O333,1)+1,MATCH(AY338,$B333:$O333,1)))</f>
        <v>#N/A</v>
      </c>
    </row>
    <row r="348" spans="1:53" ht="15" customHeight="1" x14ac:dyDescent="0.3">
      <c r="B348" s="16" t="s">
        <v>206</v>
      </c>
      <c r="C348" s="141">
        <f ca="1">IFERROR(C344+(C338-C339)*(C345-C344)/(C340-C339),C344)</f>
        <v>9158.9500000000007</v>
      </c>
      <c r="G348" s="2"/>
      <c r="H348" s="2"/>
      <c r="I348" s="2"/>
      <c r="J348" s="16" t="s">
        <v>206</v>
      </c>
      <c r="K348" s="141">
        <f ca="1">IFERROR(K344+(K338-K339)*(K345-K344)/(K340-K339),K344)</f>
        <v>8724.7839999999997</v>
      </c>
      <c r="O348" s="12"/>
      <c r="P348" s="2"/>
      <c r="Q348" s="2"/>
      <c r="R348" s="16" t="s">
        <v>206</v>
      </c>
      <c r="S348" s="141">
        <f ca="1">IFERROR(S344+(S338-S339)*(S345-S344)/(S340-S339),S344)</f>
        <v>8010.94</v>
      </c>
      <c r="W348" s="2"/>
      <c r="X348" s="2"/>
      <c r="Y348" s="2"/>
      <c r="Z348" s="16" t="s">
        <v>206</v>
      </c>
      <c r="AA348" s="141">
        <f ca="1">IFERROR(AA344+(AA338-AA339)*(AA345-AA344)/(AA340-AA339),AA344)</f>
        <v>7371.4960000000001</v>
      </c>
      <c r="AE348" s="2"/>
      <c r="AF348" s="2"/>
      <c r="AG348" s="2"/>
      <c r="AH348" s="16" t="s">
        <v>206</v>
      </c>
      <c r="AI348" s="141">
        <f ca="1">IFERROR(AI344+(AI338-AI339)*(AI345-AI344)/(AI340-AI339),AI344)</f>
        <v>6830.6629999999996</v>
      </c>
      <c r="AM348" s="2"/>
      <c r="AN348" s="2"/>
      <c r="AO348" s="2"/>
      <c r="AP348" s="16" t="s">
        <v>206</v>
      </c>
      <c r="AQ348" s="141">
        <f ca="1">IFERROR(AQ344+(AQ338-AQ339)*(AQ345-AQ344)/(AQ340-AQ339),AQ344)</f>
        <v>6714.5519999999997</v>
      </c>
      <c r="AU348" s="2"/>
      <c r="AV348" s="2"/>
      <c r="AW348" s="2"/>
      <c r="AX348" s="16" t="s">
        <v>206</v>
      </c>
      <c r="AY348" s="141" t="e">
        <f ca="1">IFERROR(AY344+(AY338-AY339)*(AY345-AY344)/(AY340-AY339),AY344)</f>
        <v>#N/A</v>
      </c>
    </row>
    <row r="349" spans="1:53" ht="15" customHeight="1" x14ac:dyDescent="0.3">
      <c r="B349" s="16" t="s">
        <v>207</v>
      </c>
      <c r="C349" s="141">
        <f ca="1">IFERROR(C346+(C338-C339)*(C347-C346)/(C340-C339),C346)</f>
        <v>7558.95</v>
      </c>
      <c r="G349" s="2"/>
      <c r="H349" s="2"/>
      <c r="I349" s="2"/>
      <c r="J349" s="16" t="s">
        <v>207</v>
      </c>
      <c r="K349" s="141">
        <f ca="1">IFERROR(K346+(K338-K339)*(K347-K346)/(K340-K339),K346)</f>
        <v>7187.32</v>
      </c>
      <c r="O349" s="12"/>
      <c r="P349" s="2"/>
      <c r="Q349" s="2"/>
      <c r="R349" s="16" t="s">
        <v>207</v>
      </c>
      <c r="S349" s="141">
        <f ca="1">IFERROR(S346+(S338-S339)*(S347-S346)/(S340-S339),S346)</f>
        <v>6592.45</v>
      </c>
      <c r="W349" s="2"/>
      <c r="X349" s="2"/>
      <c r="Y349" s="2"/>
      <c r="Z349" s="16" t="s">
        <v>207</v>
      </c>
      <c r="AA349" s="141">
        <f ca="1">IFERROR(AA346+(AA338-AA339)*(AA347-AA346)/(AA340-AA339),AA346)</f>
        <v>6059.58</v>
      </c>
      <c r="AE349" s="2"/>
      <c r="AF349" s="2"/>
      <c r="AG349" s="2"/>
      <c r="AH349" s="16" t="s">
        <v>207</v>
      </c>
      <c r="AI349" s="141">
        <f ca="1">IFERROR(AI346+(AI338-AI339)*(AI347-AI346)/(AI340-AI339),AI346)</f>
        <v>5573.33</v>
      </c>
      <c r="AM349" s="2"/>
      <c r="AN349" s="2"/>
      <c r="AO349" s="2"/>
      <c r="AP349" s="16" t="s">
        <v>207</v>
      </c>
      <c r="AQ349" s="141">
        <f ca="1">IFERROR(AQ346+(AQ338-AQ339)*(AQ347-AQ346)/(AQ340-AQ339),AQ346)</f>
        <v>5470.46</v>
      </c>
      <c r="AU349" s="2"/>
      <c r="AV349" s="2"/>
      <c r="AW349" s="2"/>
      <c r="AX349" s="16" t="s">
        <v>207</v>
      </c>
      <c r="AY349" s="141" t="e">
        <f ca="1">IFERROR(AY346+(AY338-AY339)*(AY347-AY346)/(AY340-AY339),AY346)</f>
        <v>#N/A</v>
      </c>
    </row>
    <row r="350" spans="1:53" ht="15" customHeight="1" x14ac:dyDescent="0.3">
      <c r="B350" s="139" t="s">
        <v>208</v>
      </c>
      <c r="C350" s="140">
        <f ca="1">IFERROR(C348+(C341-C342)*(C349-C348)/(C343-C342),C348)</f>
        <v>7942.0125605247486</v>
      </c>
      <c r="G350" s="2"/>
      <c r="H350" s="2"/>
      <c r="I350" s="2"/>
      <c r="J350" s="139" t="s">
        <v>208</v>
      </c>
      <c r="K350" s="140">
        <f ca="1">IFERROR(K348+(K341-K342)*(K349-K348)/(K343-K342),K348)</f>
        <v>7555.4105603466387</v>
      </c>
      <c r="O350" s="12"/>
      <c r="P350" s="2"/>
      <c r="Q350" s="2"/>
      <c r="R350" s="139" t="s">
        <v>208</v>
      </c>
      <c r="S350" s="140">
        <f ca="1">IFERROR(S348+(S341-S342)*(S349-S348)/(S343-S342),S348)</f>
        <v>6932.0565071742194</v>
      </c>
      <c r="W350" s="2"/>
      <c r="X350" s="2"/>
      <c r="Y350" s="2"/>
      <c r="Z350" s="139" t="s">
        <v>208</v>
      </c>
      <c r="AA350" s="140">
        <f ca="1">IFERROR(AA348+(AA341-AA342)*(AA349-AA348)/(AA343-AA342),AA348)</f>
        <v>6373.6711888458667</v>
      </c>
      <c r="AE350" s="2"/>
      <c r="AF350" s="2"/>
      <c r="AG350" s="2"/>
      <c r="AH350" s="139" t="s">
        <v>208</v>
      </c>
      <c r="AI350" s="140">
        <f ca="1">IFERROR(AI348+(AI341-AI342)*(AI349-AI348)/(AI343-AI342),AI348)</f>
        <v>5874.353249007665</v>
      </c>
      <c r="AM350" s="2"/>
      <c r="AN350" s="2"/>
      <c r="AO350" s="2"/>
      <c r="AP350" s="139" t="s">
        <v>208</v>
      </c>
      <c r="AQ350" s="140">
        <f ca="1">IFERROR(AQ348+(AQ341-AQ342)*(AQ349-AQ348)/(AQ343-AQ342),AQ348)</f>
        <v>5768.3131669052227</v>
      </c>
      <c r="AU350" s="2"/>
      <c r="AV350" s="2"/>
      <c r="AW350" s="2"/>
      <c r="AX350" s="139" t="s">
        <v>208</v>
      </c>
      <c r="AY350" s="140" t="e">
        <f ca="1">IFERROR(AY348+(AY341-AY342)*(AY349-AY348)/(AY343-AY342),AY348)</f>
        <v>#N/A</v>
      </c>
    </row>
    <row r="351" spans="1:53" ht="15" customHeight="1" x14ac:dyDescent="0.3">
      <c r="B351" s="139"/>
      <c r="C351" s="140"/>
      <c r="G351" s="2"/>
      <c r="H351" s="2"/>
      <c r="I351" s="2"/>
      <c r="J351" s="139"/>
      <c r="K351" s="140"/>
      <c r="O351" s="12"/>
      <c r="P351" s="2"/>
      <c r="Q351" s="2"/>
      <c r="R351" s="139"/>
      <c r="S351" s="140"/>
      <c r="W351" s="2"/>
      <c r="X351" s="2"/>
      <c r="Y351" s="2"/>
      <c r="Z351" s="139"/>
      <c r="AA351" s="140"/>
      <c r="AE351" s="2"/>
      <c r="AF351" s="2"/>
      <c r="AG351" s="2"/>
      <c r="AH351" s="139"/>
      <c r="AI351" s="140"/>
      <c r="AM351" s="2"/>
      <c r="AN351" s="2"/>
      <c r="AO351" s="2"/>
      <c r="AP351" s="139"/>
      <c r="AQ351" s="140"/>
      <c r="AU351" s="2"/>
      <c r="AV351" s="2"/>
      <c r="AW351" s="2"/>
      <c r="AX351" s="139"/>
      <c r="AY351" s="140"/>
    </row>
    <row r="352" spans="1:53" ht="15" customHeight="1" x14ac:dyDescent="0.3">
      <c r="A352" t="s">
        <v>225</v>
      </c>
      <c r="B352" s="357" t="s">
        <v>222</v>
      </c>
      <c r="C352" s="357"/>
      <c r="D352" s="357"/>
      <c r="E352" s="357"/>
      <c r="F352" s="357"/>
      <c r="G352" s="357"/>
      <c r="H352" s="357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W352" s="2"/>
      <c r="X352" s="2"/>
      <c r="Y352" s="2"/>
      <c r="Z352" s="139"/>
      <c r="AA352" s="140"/>
      <c r="AE352" s="2"/>
      <c r="AF352" s="2"/>
      <c r="AG352" s="2"/>
      <c r="AH352" s="139"/>
      <c r="AI352" s="140"/>
      <c r="AM352" s="2"/>
      <c r="AN352" s="2"/>
      <c r="AO352" s="2"/>
      <c r="AP352" s="139"/>
      <c r="AQ352" s="140"/>
      <c r="AU352" s="2"/>
      <c r="AV352" s="2"/>
      <c r="AW352" s="2"/>
      <c r="AX352" s="139"/>
      <c r="AY352" s="140"/>
    </row>
    <row r="353" spans="1:66" ht="15" customHeight="1" x14ac:dyDescent="0.3">
      <c r="A353" t="s">
        <v>47</v>
      </c>
      <c r="B353" s="229">
        <v>3500</v>
      </c>
      <c r="C353" s="229">
        <v>4000</v>
      </c>
      <c r="D353" s="232">
        <v>4500</v>
      </c>
      <c r="E353" s="232">
        <v>5000</v>
      </c>
      <c r="F353" s="232">
        <v>5500</v>
      </c>
      <c r="G353" s="232">
        <v>6000</v>
      </c>
      <c r="H353" s="232">
        <v>6500</v>
      </c>
      <c r="I353" s="230">
        <v>7000</v>
      </c>
      <c r="J353" s="55">
        <v>7500</v>
      </c>
      <c r="K353" s="55">
        <v>8000</v>
      </c>
      <c r="L353" s="55">
        <v>8500</v>
      </c>
      <c r="M353" s="259">
        <v>9000</v>
      </c>
      <c r="N353" s="259">
        <v>9500</v>
      </c>
      <c r="O353" s="55">
        <v>10000</v>
      </c>
      <c r="P353" s="55">
        <v>10500</v>
      </c>
      <c r="Q353" s="259">
        <v>11000</v>
      </c>
      <c r="R353" s="259">
        <v>11500</v>
      </c>
      <c r="S353" s="259">
        <v>12000</v>
      </c>
      <c r="T353" s="231">
        <v>13000</v>
      </c>
      <c r="U353" s="236"/>
      <c r="V353" s="140"/>
      <c r="X353" s="139"/>
      <c r="Y353" s="140"/>
      <c r="AC353" s="2"/>
      <c r="AD353" s="2"/>
      <c r="AE353" s="2"/>
      <c r="AH353" s="2"/>
      <c r="AI353" s="2"/>
      <c r="AJ353" s="2"/>
      <c r="AK353" s="139"/>
      <c r="AL353" s="140"/>
      <c r="AP353" s="2"/>
      <c r="AQ353" s="2"/>
      <c r="AR353" s="2"/>
      <c r="AS353" s="139"/>
      <c r="AT353" s="140"/>
      <c r="AX353" s="2"/>
      <c r="AY353" s="2"/>
      <c r="AZ353" s="2"/>
      <c r="BA353" s="139"/>
      <c r="BB353" s="140"/>
      <c r="BF353" s="2"/>
      <c r="BG353" s="2"/>
      <c r="BH353" s="2"/>
      <c r="BI353" s="139"/>
      <c r="BJ353" s="140"/>
      <c r="BK353" s="2"/>
      <c r="BL353" s="2"/>
      <c r="BM353" s="139"/>
      <c r="BN353" s="140"/>
    </row>
    <row r="354" spans="1:66" ht="15" customHeight="1" x14ac:dyDescent="0.3">
      <c r="A354">
        <v>0</v>
      </c>
      <c r="B354" s="229">
        <v>3500</v>
      </c>
      <c r="C354" s="232">
        <v>4000</v>
      </c>
      <c r="D354" s="232">
        <v>4500</v>
      </c>
      <c r="E354" s="232">
        <v>5000</v>
      </c>
      <c r="F354" s="232">
        <v>5500</v>
      </c>
      <c r="G354" s="232">
        <v>6000</v>
      </c>
      <c r="H354" s="232">
        <v>6500</v>
      </c>
      <c r="I354" s="232">
        <v>7000</v>
      </c>
      <c r="J354" s="232">
        <v>7500</v>
      </c>
      <c r="K354" s="232">
        <v>8000</v>
      </c>
      <c r="L354" s="232">
        <v>8500</v>
      </c>
      <c r="M354" s="232">
        <v>9000</v>
      </c>
      <c r="N354" s="232">
        <v>9500</v>
      </c>
      <c r="O354" s="232">
        <v>10000</v>
      </c>
      <c r="P354" s="232">
        <v>10500</v>
      </c>
      <c r="Q354" s="232">
        <v>11000</v>
      </c>
      <c r="R354" s="232">
        <v>11500</v>
      </c>
      <c r="S354" s="232">
        <v>12000</v>
      </c>
      <c r="T354" s="237">
        <v>99999</v>
      </c>
      <c r="U354" s="236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2"/>
      <c r="AH354" s="2"/>
      <c r="AI354" s="2"/>
      <c r="AJ354" s="2"/>
      <c r="AK354" s="139"/>
      <c r="AL354" s="140"/>
      <c r="AP354" s="2"/>
      <c r="AQ354" s="2"/>
      <c r="AR354" s="2"/>
      <c r="AS354" s="139"/>
      <c r="AT354" s="140"/>
      <c r="AX354" s="2"/>
      <c r="AY354" s="2"/>
      <c r="AZ354" s="2"/>
      <c r="BA354" s="139"/>
      <c r="BB354" s="140"/>
      <c r="BF354" s="2"/>
      <c r="BG354" s="2"/>
      <c r="BH354" s="2"/>
      <c r="BI354" s="139"/>
      <c r="BJ354" s="140"/>
      <c r="BK354" s="2"/>
      <c r="BL354" s="2"/>
      <c r="BM354" s="139"/>
      <c r="BN354" s="140"/>
    </row>
    <row r="355" spans="1:66" ht="15" customHeight="1" x14ac:dyDescent="0.3">
      <c r="A355">
        <f>25.4*0.1</f>
        <v>2.54</v>
      </c>
      <c r="B355" s="233">
        <v>3500</v>
      </c>
      <c r="C355" s="72">
        <v>4000</v>
      </c>
      <c r="D355" s="72">
        <v>4500</v>
      </c>
      <c r="E355" s="72">
        <v>5000</v>
      </c>
      <c r="F355" s="72">
        <v>5500</v>
      </c>
      <c r="G355" s="72">
        <v>6000</v>
      </c>
      <c r="H355" s="72">
        <v>6500</v>
      </c>
      <c r="I355" s="72">
        <v>7000</v>
      </c>
      <c r="J355" s="72">
        <v>7500</v>
      </c>
      <c r="K355" s="72">
        <v>8000</v>
      </c>
      <c r="L355" s="72">
        <v>8500</v>
      </c>
      <c r="M355" s="72">
        <v>9000</v>
      </c>
      <c r="N355" s="72">
        <v>9500</v>
      </c>
      <c r="O355" s="72">
        <v>10000</v>
      </c>
      <c r="P355" s="72">
        <v>10500</v>
      </c>
      <c r="Q355" s="72">
        <v>11000</v>
      </c>
      <c r="R355" s="72">
        <v>11500</v>
      </c>
      <c r="S355" s="72">
        <v>12000</v>
      </c>
      <c r="T355" s="262">
        <v>99999</v>
      </c>
      <c r="U355" s="236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2"/>
      <c r="AH355" s="2"/>
      <c r="AI355" s="2"/>
      <c r="AJ355" s="2"/>
      <c r="AK355" s="139"/>
      <c r="AL355" s="140"/>
      <c r="AP355" s="2"/>
      <c r="AQ355" s="2"/>
      <c r="AR355" s="2"/>
      <c r="AS355" s="139"/>
      <c r="AT355" s="140"/>
      <c r="AX355" s="2"/>
      <c r="AY355" s="2"/>
      <c r="AZ355" s="2"/>
      <c r="BA355" s="139"/>
      <c r="BB355" s="140"/>
      <c r="BF355" s="2"/>
      <c r="BG355" s="2"/>
      <c r="BH355" s="2"/>
      <c r="BI355" s="139"/>
      <c r="BJ355" s="140"/>
      <c r="BK355" s="2"/>
      <c r="BL355" s="2"/>
      <c r="BM355" s="139"/>
      <c r="BN355" s="140"/>
    </row>
    <row r="356" spans="1:66" ht="15" customHeight="1" x14ac:dyDescent="0.3">
      <c r="A356">
        <f>25.4*0.2</f>
        <v>5.08</v>
      </c>
      <c r="B356" s="233">
        <v>3500</v>
      </c>
      <c r="C356" s="72">
        <v>4050</v>
      </c>
      <c r="D356" s="72">
        <v>4600</v>
      </c>
      <c r="E356" s="72">
        <v>5100</v>
      </c>
      <c r="F356" s="72">
        <v>5650</v>
      </c>
      <c r="G356" s="72">
        <v>6120</v>
      </c>
      <c r="H356" s="72">
        <v>6150</v>
      </c>
      <c r="I356" s="72">
        <v>7170</v>
      </c>
      <c r="J356" s="72">
        <v>7700</v>
      </c>
      <c r="K356" s="72">
        <v>8200</v>
      </c>
      <c r="L356" s="72">
        <v>8710</v>
      </c>
      <c r="M356" s="72">
        <v>9250</v>
      </c>
      <c r="N356" s="72">
        <v>9750</v>
      </c>
      <c r="O356" s="72">
        <v>10300</v>
      </c>
      <c r="P356" s="72">
        <v>10800</v>
      </c>
      <c r="Q356" s="72">
        <v>11330</v>
      </c>
      <c r="R356" s="72">
        <v>11850</v>
      </c>
      <c r="S356" s="72">
        <v>99999</v>
      </c>
      <c r="T356" s="262">
        <v>99999</v>
      </c>
      <c r="U356" s="236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2"/>
      <c r="AH356" s="2"/>
      <c r="AI356" s="2"/>
      <c r="AJ356" s="2"/>
      <c r="AK356" s="139"/>
      <c r="AL356" s="140"/>
      <c r="AP356" s="2"/>
      <c r="AQ356" s="2"/>
      <c r="AR356" s="2"/>
      <c r="AS356" s="139"/>
      <c r="AT356" s="140"/>
      <c r="AX356" s="2"/>
      <c r="AY356" s="2"/>
      <c r="AZ356" s="2"/>
      <c r="BA356" s="139"/>
      <c r="BB356" s="140"/>
      <c r="BF356" s="2"/>
      <c r="BG356" s="2"/>
      <c r="BH356" s="2"/>
      <c r="BI356" s="139"/>
      <c r="BJ356" s="140"/>
      <c r="BK356" s="2"/>
      <c r="BL356" s="2"/>
      <c r="BM356" s="139"/>
      <c r="BN356" s="140"/>
    </row>
    <row r="357" spans="1:66" ht="15" customHeight="1" x14ac:dyDescent="0.3">
      <c r="A357">
        <f>25.4*0.3</f>
        <v>7.6199999999999992</v>
      </c>
      <c r="B357" s="233">
        <v>3550</v>
      </c>
      <c r="C357" s="72">
        <v>4100</v>
      </c>
      <c r="D357" s="72">
        <v>4700</v>
      </c>
      <c r="E357" s="72">
        <v>5200</v>
      </c>
      <c r="F357" s="72">
        <v>5800</v>
      </c>
      <c r="G357" s="72">
        <v>6350</v>
      </c>
      <c r="H357" s="72">
        <v>6900</v>
      </c>
      <c r="I357" s="72">
        <v>7450</v>
      </c>
      <c r="J357" s="72">
        <v>8000</v>
      </c>
      <c r="K357" s="72">
        <v>8550</v>
      </c>
      <c r="L357" s="72">
        <v>9100</v>
      </c>
      <c r="M357" s="72">
        <v>9650</v>
      </c>
      <c r="N357" s="72">
        <v>10220</v>
      </c>
      <c r="O357" s="72">
        <v>10800</v>
      </c>
      <c r="P357" s="72">
        <v>11300</v>
      </c>
      <c r="Q357" s="72">
        <v>11900</v>
      </c>
      <c r="R357" s="72">
        <v>99999</v>
      </c>
      <c r="S357" s="72">
        <v>99999</v>
      </c>
      <c r="T357" s="262">
        <v>99999</v>
      </c>
      <c r="U357" s="236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2"/>
      <c r="AH357" s="2"/>
      <c r="AI357" s="2"/>
      <c r="AJ357" s="2"/>
      <c r="AK357" s="139"/>
      <c r="AL357" s="140"/>
      <c r="AP357" s="2"/>
      <c r="AQ357" s="2"/>
      <c r="AR357" s="2"/>
      <c r="AS357" s="139"/>
      <c r="AT357" s="140"/>
      <c r="AX357" s="2"/>
      <c r="AY357" s="2"/>
      <c r="AZ357" s="2"/>
      <c r="BA357" s="139"/>
      <c r="BB357" s="140"/>
      <c r="BF357" s="2"/>
      <c r="BG357" s="2"/>
      <c r="BH357" s="2"/>
      <c r="BI357" s="139"/>
      <c r="BJ357" s="140"/>
      <c r="BK357" s="2"/>
      <c r="BL357" s="2"/>
      <c r="BM357" s="139"/>
      <c r="BN357" s="140"/>
    </row>
    <row r="358" spans="1:66" ht="15" customHeight="1" x14ac:dyDescent="0.3">
      <c r="A358">
        <f>25.4*0.4</f>
        <v>10.16</v>
      </c>
      <c r="B358" s="233">
        <v>3600</v>
      </c>
      <c r="C358" s="72">
        <v>4200</v>
      </c>
      <c r="D358" s="72">
        <v>4750</v>
      </c>
      <c r="E358" s="72">
        <v>5370</v>
      </c>
      <c r="F358" s="72">
        <v>5950</v>
      </c>
      <c r="G358" s="72">
        <v>6550</v>
      </c>
      <c r="H358" s="72">
        <v>7130</v>
      </c>
      <c r="I358" s="72">
        <v>7700</v>
      </c>
      <c r="J358" s="72">
        <v>8300</v>
      </c>
      <c r="K358" s="72">
        <v>8900</v>
      </c>
      <c r="L358" s="72">
        <v>9500</v>
      </c>
      <c r="M358" s="72">
        <v>10100</v>
      </c>
      <c r="N358" s="72">
        <v>10700</v>
      </c>
      <c r="O358" s="72">
        <v>11280</v>
      </c>
      <c r="P358" s="72">
        <v>11850</v>
      </c>
      <c r="Q358" s="72">
        <v>99999</v>
      </c>
      <c r="R358" s="72">
        <v>99999</v>
      </c>
      <c r="S358" s="72">
        <v>99999</v>
      </c>
      <c r="T358" s="262">
        <v>99999</v>
      </c>
      <c r="U358" s="236"/>
      <c r="V358" s="140"/>
      <c r="X358" s="139"/>
      <c r="Y358" s="140"/>
      <c r="AC358" s="2"/>
      <c r="AD358" s="2"/>
      <c r="AE358" s="2"/>
      <c r="AH358" s="2"/>
      <c r="AI358" s="2"/>
      <c r="AJ358" s="2"/>
      <c r="AK358" s="139"/>
      <c r="AL358" s="140"/>
      <c r="AP358" s="2"/>
      <c r="AQ358" s="2"/>
      <c r="AR358" s="2"/>
      <c r="AS358" s="139"/>
      <c r="AT358" s="140"/>
      <c r="AX358" s="2"/>
      <c r="AY358" s="2"/>
      <c r="AZ358" s="2"/>
      <c r="BA358" s="139"/>
      <c r="BB358" s="140"/>
      <c r="BF358" s="2"/>
      <c r="BG358" s="2"/>
      <c r="BH358" s="2"/>
      <c r="BI358" s="139"/>
      <c r="BJ358" s="140"/>
      <c r="BK358" s="2"/>
      <c r="BL358" s="2"/>
      <c r="BM358" s="139"/>
      <c r="BN358" s="140"/>
    </row>
    <row r="359" spans="1:66" ht="15" customHeight="1" x14ac:dyDescent="0.3">
      <c r="A359">
        <f>25.4*0.5</f>
        <v>12.7</v>
      </c>
      <c r="B359" s="233">
        <v>3650</v>
      </c>
      <c r="C359" s="72">
        <v>4300</v>
      </c>
      <c r="D359" s="72">
        <v>5000</v>
      </c>
      <c r="E359" s="72">
        <v>5620</v>
      </c>
      <c r="F359" s="72">
        <v>6300</v>
      </c>
      <c r="G359" s="72">
        <v>6950</v>
      </c>
      <c r="H359" s="72">
        <v>7600</v>
      </c>
      <c r="I359" s="72">
        <v>8250</v>
      </c>
      <c r="J359" s="72">
        <v>8900</v>
      </c>
      <c r="K359" s="72">
        <v>9550</v>
      </c>
      <c r="L359" s="72">
        <v>10200</v>
      </c>
      <c r="M359" s="72">
        <v>10900</v>
      </c>
      <c r="N359" s="72">
        <v>11550</v>
      </c>
      <c r="O359" s="72">
        <v>99999</v>
      </c>
      <c r="P359" s="72">
        <v>99999</v>
      </c>
      <c r="Q359" s="72">
        <v>99999</v>
      </c>
      <c r="R359" s="72">
        <v>99999</v>
      </c>
      <c r="S359" s="72">
        <v>99999</v>
      </c>
      <c r="T359" s="262">
        <v>99999</v>
      </c>
      <c r="U359" s="236"/>
      <c r="V359" s="140"/>
      <c r="X359" s="139"/>
      <c r="Y359" s="140"/>
      <c r="AC359" s="2"/>
      <c r="AD359" s="2"/>
      <c r="AE359" s="2"/>
      <c r="AH359" s="2"/>
      <c r="AI359" s="2"/>
      <c r="AJ359" s="2"/>
      <c r="AK359" s="139"/>
      <c r="AL359" s="140"/>
      <c r="AP359" s="2"/>
      <c r="AQ359" s="2"/>
      <c r="AR359" s="2"/>
      <c r="AS359" s="139"/>
      <c r="AT359" s="140"/>
      <c r="AX359" s="2"/>
      <c r="AY359" s="2"/>
      <c r="AZ359" s="2"/>
      <c r="BA359" s="139"/>
      <c r="BB359" s="140"/>
      <c r="BF359" s="2"/>
      <c r="BG359" s="2"/>
      <c r="BH359" s="2"/>
      <c r="BI359" s="139"/>
      <c r="BJ359" s="140"/>
      <c r="BK359" s="2"/>
      <c r="BL359" s="2"/>
      <c r="BM359" s="139"/>
      <c r="BN359" s="140"/>
    </row>
    <row r="360" spans="1:66" ht="15" customHeight="1" x14ac:dyDescent="0.3">
      <c r="A360">
        <v>13</v>
      </c>
      <c r="B360" s="234">
        <v>99999</v>
      </c>
      <c r="C360" s="238">
        <v>99999</v>
      </c>
      <c r="D360" s="238">
        <v>99999</v>
      </c>
      <c r="E360" s="238">
        <v>99999</v>
      </c>
      <c r="F360" s="238">
        <v>99999</v>
      </c>
      <c r="G360" s="238">
        <v>99999</v>
      </c>
      <c r="H360" s="238">
        <v>99999</v>
      </c>
      <c r="I360" s="238">
        <v>99999</v>
      </c>
      <c r="J360" s="238">
        <v>99999</v>
      </c>
      <c r="K360" s="238">
        <v>99999</v>
      </c>
      <c r="L360" s="238">
        <v>99999</v>
      </c>
      <c r="M360" s="238">
        <v>99999</v>
      </c>
      <c r="N360" s="238">
        <v>99999</v>
      </c>
      <c r="O360" s="238">
        <v>99999</v>
      </c>
      <c r="P360" s="238">
        <v>99999</v>
      </c>
      <c r="Q360" s="238">
        <v>99999</v>
      </c>
      <c r="R360" s="238">
        <v>99999</v>
      </c>
      <c r="S360" s="238">
        <v>99999</v>
      </c>
      <c r="T360" s="239">
        <v>99999</v>
      </c>
      <c r="U360" s="236"/>
      <c r="V360" s="140"/>
      <c r="X360" s="139"/>
      <c r="Y360" s="140"/>
      <c r="AC360" s="2"/>
      <c r="AD360" s="2"/>
      <c r="AE360" s="2"/>
      <c r="AH360" s="2"/>
      <c r="AI360" s="2"/>
      <c r="AJ360" s="2"/>
      <c r="AK360" s="139"/>
      <c r="AL360" s="140"/>
      <c r="AP360" s="2"/>
      <c r="AQ360" s="2"/>
      <c r="AR360" s="2"/>
      <c r="AS360" s="139"/>
      <c r="AT360" s="140"/>
      <c r="AX360" s="2"/>
      <c r="AY360" s="2"/>
      <c r="AZ360" s="2"/>
      <c r="BA360" s="139"/>
      <c r="BB360" s="140"/>
      <c r="BF360" s="2"/>
      <c r="BG360" s="2"/>
      <c r="BH360" s="2"/>
      <c r="BI360" s="139"/>
      <c r="BJ360" s="140"/>
      <c r="BK360" s="2"/>
      <c r="BL360" s="2"/>
      <c r="BM360" s="139"/>
      <c r="BN360" s="140"/>
    </row>
    <row r="361" spans="1:66" ht="15" customHeight="1" x14ac:dyDescent="0.3">
      <c r="B361" s="139"/>
      <c r="C361" s="140"/>
      <c r="G361" s="2"/>
      <c r="H361" s="2"/>
      <c r="I361" s="2"/>
      <c r="J361" s="139"/>
      <c r="K361" s="140"/>
      <c r="O361" s="53"/>
      <c r="P361" s="2"/>
      <c r="Q361" s="2"/>
      <c r="R361" s="139"/>
      <c r="S361" s="140"/>
      <c r="W361" s="2"/>
      <c r="X361" s="2"/>
      <c r="Y361" s="2"/>
      <c r="Z361" s="139"/>
      <c r="AA361" s="140"/>
      <c r="AE361" s="2"/>
      <c r="AF361" s="2"/>
      <c r="AG361" s="2"/>
      <c r="AH361" s="139"/>
      <c r="AI361" s="140"/>
      <c r="AM361" s="2"/>
      <c r="AN361" s="2"/>
      <c r="AO361" s="2"/>
      <c r="AP361" s="139"/>
      <c r="AQ361" s="140"/>
      <c r="AU361" s="2"/>
      <c r="AV361" s="2"/>
      <c r="AW361" s="2"/>
      <c r="AX361" s="139"/>
      <c r="AY361" s="140"/>
      <c r="BF361" s="2"/>
      <c r="BG361" s="2"/>
      <c r="BH361" s="139"/>
      <c r="BI361" s="140"/>
    </row>
    <row r="362" spans="1:66" ht="15" customHeight="1" x14ac:dyDescent="0.3">
      <c r="B362" s="139" t="s">
        <v>146</v>
      </c>
      <c r="C362" s="140">
        <f ca="1">C350</f>
        <v>7942.0125605247486</v>
      </c>
      <c r="D362" s="355" t="s">
        <v>201</v>
      </c>
      <c r="E362" s="355"/>
      <c r="G362" s="2"/>
      <c r="H362" s="2"/>
      <c r="I362" s="2"/>
      <c r="J362" s="139" t="s">
        <v>146</v>
      </c>
      <c r="K362" s="140">
        <f ca="1">K350</f>
        <v>7555.4105603466387</v>
      </c>
      <c r="L362" s="355" t="s">
        <v>201</v>
      </c>
      <c r="M362" s="355"/>
      <c r="O362" s="53"/>
      <c r="P362" s="2"/>
      <c r="Q362" s="2"/>
      <c r="R362" s="139" t="s">
        <v>146</v>
      </c>
      <c r="S362" s="140">
        <f ca="1">S350</f>
        <v>6932.0565071742194</v>
      </c>
      <c r="T362" s="355" t="s">
        <v>201</v>
      </c>
      <c r="U362" s="355"/>
      <c r="W362" s="2"/>
      <c r="X362" s="2"/>
      <c r="Y362" s="2"/>
      <c r="Z362" s="139" t="s">
        <v>146</v>
      </c>
      <c r="AA362" s="140">
        <f ca="1">AA350</f>
        <v>6373.6711888458667</v>
      </c>
      <c r="AB362" s="355" t="s">
        <v>201</v>
      </c>
      <c r="AC362" s="355"/>
      <c r="AE362" s="2"/>
      <c r="AF362" s="2"/>
      <c r="AG362" s="2"/>
      <c r="AH362" s="139" t="s">
        <v>146</v>
      </c>
      <c r="AI362" s="140">
        <f ca="1">AI350</f>
        <v>5874.353249007665</v>
      </c>
      <c r="AJ362" s="355" t="s">
        <v>201</v>
      </c>
      <c r="AK362" s="355"/>
      <c r="AM362" s="2"/>
      <c r="AN362" s="2"/>
      <c r="AO362" s="2"/>
      <c r="AP362" s="139" t="s">
        <v>146</v>
      </c>
      <c r="AQ362" s="140">
        <f ca="1">AQ350</f>
        <v>5768.3131669052227</v>
      </c>
      <c r="AR362" s="355" t="s">
        <v>201</v>
      </c>
      <c r="AS362" s="355"/>
      <c r="AU362" s="2"/>
      <c r="AV362" s="2"/>
      <c r="AW362" s="2"/>
      <c r="AX362" s="139" t="s">
        <v>146</v>
      </c>
      <c r="AY362" s="140" t="e">
        <f ca="1">AY350</f>
        <v>#N/A</v>
      </c>
      <c r="AZ362" s="355" t="s">
        <v>201</v>
      </c>
      <c r="BA362" s="355"/>
    </row>
    <row r="363" spans="1:66" ht="15" customHeight="1" x14ac:dyDescent="0.3">
      <c r="B363" s="16" t="s">
        <v>202</v>
      </c>
      <c r="C363" s="141">
        <f t="array" aca="1" ref="C363" ca="1">INDEX($B353:$T353,MATCH(C362,$B353:$T353,1))</f>
        <v>7500</v>
      </c>
      <c r="D363" s="16" t="s">
        <v>144</v>
      </c>
      <c r="E363" s="17">
        <f>MATCH(MAX($A354:$A360),$A354:$A360,1)</f>
        <v>7</v>
      </c>
      <c r="G363" s="2"/>
      <c r="H363" s="2"/>
      <c r="I363" s="2"/>
      <c r="J363" s="16" t="s">
        <v>202</v>
      </c>
      <c r="K363" s="141">
        <f t="array" aca="1" ref="K363" ca="1">INDEX($B353:$T353,MATCH(K362,$B353:$T353,1))</f>
        <v>7500</v>
      </c>
      <c r="L363" s="16" t="s">
        <v>144</v>
      </c>
      <c r="M363" s="17">
        <f>MATCH(MAX($A354:$A360),$A354:$A360,1)</f>
        <v>7</v>
      </c>
      <c r="O363" s="53"/>
      <c r="P363" s="2"/>
      <c r="Q363" s="2"/>
      <c r="R363" s="16" t="s">
        <v>202</v>
      </c>
      <c r="S363" s="141">
        <f t="array" aca="1" ref="S363" ca="1">INDEX($B353:$T353,MATCH(S362,$B353:$T353,1))</f>
        <v>6500</v>
      </c>
      <c r="T363" s="16" t="s">
        <v>144</v>
      </c>
      <c r="U363" s="17">
        <f>MATCH(MAX($A354:$A360),$A354:$A360,1)</f>
        <v>7</v>
      </c>
      <c r="W363" s="2"/>
      <c r="X363" s="2"/>
      <c r="Y363" s="2"/>
      <c r="Z363" s="16" t="s">
        <v>202</v>
      </c>
      <c r="AA363" s="141">
        <f t="array" aca="1" ref="AA363" ca="1">INDEX($B353:$T353,MATCH(AA362,$B353:$T353,1))</f>
        <v>6000</v>
      </c>
      <c r="AB363" s="16" t="s">
        <v>144</v>
      </c>
      <c r="AC363" s="17">
        <f>MATCH(MAX($A354:$A360),$A354:$A360,1)</f>
        <v>7</v>
      </c>
      <c r="AE363" s="2"/>
      <c r="AF363" s="2"/>
      <c r="AG363" s="2"/>
      <c r="AH363" s="16" t="s">
        <v>202</v>
      </c>
      <c r="AI363" s="141">
        <f t="array" aca="1" ref="AI363" ca="1">INDEX($B353:$T353,MATCH(AI362,$B353:$T353,1))</f>
        <v>5500</v>
      </c>
      <c r="AJ363" s="16" t="s">
        <v>144</v>
      </c>
      <c r="AK363" s="17">
        <f>MATCH(MAX($A354:$A360),$A354:$A360,1)</f>
        <v>7</v>
      </c>
      <c r="AM363" s="2"/>
      <c r="AN363" s="2"/>
      <c r="AO363" s="2"/>
      <c r="AP363" s="16" t="s">
        <v>202</v>
      </c>
      <c r="AQ363" s="141">
        <f t="array" aca="1" ref="AQ363" ca="1">INDEX($B353:$T353,MATCH(AQ362,$B353:$T353,1))</f>
        <v>5500</v>
      </c>
      <c r="AR363" s="16" t="s">
        <v>144</v>
      </c>
      <c r="AS363" s="17">
        <f>MATCH(MAX($A354:$A360),$A354:$A360,1)</f>
        <v>7</v>
      </c>
      <c r="AU363" s="2"/>
      <c r="AV363" s="2"/>
      <c r="AW363" s="2"/>
      <c r="AX363" s="16" t="s">
        <v>202</v>
      </c>
      <c r="AY363" s="141" t="e">
        <f t="array" aca="1" ref="AY363" ca="1">INDEX($B353:$T353,MATCH(AY362,$B353:$T353,1))</f>
        <v>#N/A</v>
      </c>
      <c r="AZ363" s="16" t="s">
        <v>144</v>
      </c>
      <c r="BA363" s="17">
        <f>MATCH(MAX($A354:$A360),$A354:$A360,1)</f>
        <v>7</v>
      </c>
    </row>
    <row r="364" spans="1:66" ht="15" customHeight="1" x14ac:dyDescent="0.3">
      <c r="B364" s="16" t="s">
        <v>203</v>
      </c>
      <c r="C364" s="141">
        <f t="array" aca="1" ref="C364" ca="1">INDEX($B353:$T353,IF(MATCH(C362,$B353:$T353,1)&lt;E364,MATCH(C362,$B353:$T353,1)+1,MATCH(C362,$B353:$T353,1)))</f>
        <v>8000</v>
      </c>
      <c r="D364" s="16" t="s">
        <v>145</v>
      </c>
      <c r="E364" s="17">
        <f>MATCH(MAX($B353:$T353),$B353:$T353,0)</f>
        <v>19</v>
      </c>
      <c r="G364" s="2"/>
      <c r="H364" s="2"/>
      <c r="I364" s="2"/>
      <c r="J364" s="16" t="s">
        <v>203</v>
      </c>
      <c r="K364" s="141">
        <f t="array" aca="1" ref="K364" ca="1">INDEX($B353:$T353,IF(MATCH(K362,$B353:$T353,1)&lt;M364,MATCH(K362,$B353:$T353,1)+1,MATCH(K362,$B353:$T353,1)))</f>
        <v>8000</v>
      </c>
      <c r="L364" s="16" t="s">
        <v>145</v>
      </c>
      <c r="M364" s="17">
        <f>MATCH(MAX($B353:$T353),$B353:$T353,0)</f>
        <v>19</v>
      </c>
      <c r="O364" s="53"/>
      <c r="P364" s="2"/>
      <c r="Q364" s="2"/>
      <c r="R364" s="16" t="s">
        <v>203</v>
      </c>
      <c r="S364" s="141">
        <f t="array" aca="1" ref="S364" ca="1">INDEX($B353:$T353,IF(MATCH(S362,$B353:$T353,1)&lt;U364,MATCH(S362,$B353:$T353,1)+1,MATCH(S362,$B353:$T353,1)))</f>
        <v>7000</v>
      </c>
      <c r="T364" s="16" t="s">
        <v>145</v>
      </c>
      <c r="U364" s="17">
        <f>MATCH(MAX($B353:$T353),$B353:$T353,0)</f>
        <v>19</v>
      </c>
      <c r="W364" s="2"/>
      <c r="X364" s="2"/>
      <c r="Y364" s="2"/>
      <c r="Z364" s="16" t="s">
        <v>203</v>
      </c>
      <c r="AA364" s="141">
        <f t="array" aca="1" ref="AA364" ca="1">INDEX($B353:$T353,IF(MATCH(AA362,$B353:$T353,1)&lt;AC364,MATCH(AA362,$B353:$T353,1)+1,MATCH(AA362,$B353:$T353,1)))</f>
        <v>6500</v>
      </c>
      <c r="AB364" s="16" t="s">
        <v>145</v>
      </c>
      <c r="AC364" s="17">
        <f>MATCH(MAX($B353:$T353),$B353:$T353,0)</f>
        <v>19</v>
      </c>
      <c r="AE364" s="2"/>
      <c r="AF364" s="2"/>
      <c r="AG364" s="2"/>
      <c r="AH364" s="16" t="s">
        <v>203</v>
      </c>
      <c r="AI364" s="141">
        <f t="array" aca="1" ref="AI364" ca="1">INDEX($B353:$T353,IF(MATCH(AI362,$B353:$T353,1)&lt;AK364,MATCH(AI362,$B353:$T353,1)+1,MATCH(AI362,$B353:$T353,1)))</f>
        <v>6000</v>
      </c>
      <c r="AJ364" s="16" t="s">
        <v>145</v>
      </c>
      <c r="AK364" s="17">
        <f>MATCH(MAX($B353:$T353),$B353:$T353,0)</f>
        <v>19</v>
      </c>
      <c r="AM364" s="2"/>
      <c r="AN364" s="2"/>
      <c r="AO364" s="2"/>
      <c r="AP364" s="16" t="s">
        <v>203</v>
      </c>
      <c r="AQ364" s="141">
        <f t="array" aca="1" ref="AQ364" ca="1">INDEX($B353:$T353,IF(MATCH(AQ362,$B353:$T353,1)&lt;AS364,MATCH(AQ362,$B353:$T353,1)+1,MATCH(AQ362,$B353:$T353,1)))</f>
        <v>6000</v>
      </c>
      <c r="AR364" s="16" t="s">
        <v>145</v>
      </c>
      <c r="AS364" s="17">
        <f>MATCH(MAX($B353:$T353),$B353:$T353,0)</f>
        <v>19</v>
      </c>
      <c r="AU364" s="2"/>
      <c r="AV364" s="2"/>
      <c r="AW364" s="2"/>
      <c r="AX364" s="16" t="s">
        <v>203</v>
      </c>
      <c r="AY364" s="141" t="e">
        <f t="array" aca="1" ref="AY364" ca="1">INDEX($B353:$T353,IF(MATCH(AY362,$B353:$T353,1)&lt;BA364,MATCH(AY362,$B353:$T353,1)+1,MATCH(AY362,$B353:$T353,1)))</f>
        <v>#N/A</v>
      </c>
      <c r="AZ364" s="16" t="s">
        <v>145</v>
      </c>
      <c r="BA364" s="17">
        <f>MATCH(MAX($B353:$T353),$B353:$T353,0)</f>
        <v>19</v>
      </c>
    </row>
    <row r="365" spans="1:66" ht="15" customHeight="1" x14ac:dyDescent="0.3">
      <c r="B365" s="139" t="s">
        <v>147</v>
      </c>
      <c r="C365" s="186">
        <f>'Take-off'!$C$12</f>
        <v>3</v>
      </c>
      <c r="D365" s="2"/>
      <c r="E365" s="2"/>
      <c r="G365" s="2"/>
      <c r="H365" s="2"/>
      <c r="I365" s="2"/>
      <c r="J365" s="139" t="s">
        <v>147</v>
      </c>
      <c r="K365" s="186">
        <f>'Take-off'!$C$12</f>
        <v>3</v>
      </c>
      <c r="L365" s="2"/>
      <c r="M365" s="2"/>
      <c r="O365" s="53"/>
      <c r="P365" s="2"/>
      <c r="Q365" s="2"/>
      <c r="R365" s="139" t="s">
        <v>147</v>
      </c>
      <c r="S365" s="186">
        <f>'Take-off'!$C$12</f>
        <v>3</v>
      </c>
      <c r="T365" s="2"/>
      <c r="U365" s="2"/>
      <c r="W365" s="2"/>
      <c r="X365" s="2"/>
      <c r="Y365" s="2"/>
      <c r="Z365" s="139" t="s">
        <v>147</v>
      </c>
      <c r="AA365" s="186">
        <f>'Take-off'!$C$12</f>
        <v>3</v>
      </c>
      <c r="AB365" s="2"/>
      <c r="AC365" s="2"/>
      <c r="AE365" s="2"/>
      <c r="AF365" s="2"/>
      <c r="AG365" s="2"/>
      <c r="AH365" s="139" t="s">
        <v>147</v>
      </c>
      <c r="AI365" s="186">
        <f>'Take-off'!$C$12</f>
        <v>3</v>
      </c>
      <c r="AJ365" s="2"/>
      <c r="AK365" s="2"/>
      <c r="AM365" s="2"/>
      <c r="AN365" s="2"/>
      <c r="AO365" s="2"/>
      <c r="AP365" s="139" t="s">
        <v>147</v>
      </c>
      <c r="AQ365" s="186">
        <f>'Take-off'!$C$12</f>
        <v>3</v>
      </c>
      <c r="AR365" s="2"/>
      <c r="AS365" s="2"/>
      <c r="AU365" s="2"/>
      <c r="AV365" s="2"/>
      <c r="AW365" s="2"/>
      <c r="AX365" s="139" t="s">
        <v>147</v>
      </c>
      <c r="AY365" s="186">
        <f>'Take-off'!$C$12</f>
        <v>3</v>
      </c>
      <c r="AZ365" s="2"/>
      <c r="BA365" s="2"/>
    </row>
    <row r="366" spans="1:66" ht="15" customHeight="1" x14ac:dyDescent="0.3">
      <c r="B366" s="16" t="s">
        <v>148</v>
      </c>
      <c r="C366" s="141">
        <f t="array" ref="C366">INDEX($A354:$A360,MATCH(C365,$A354:$A360,1))</f>
        <v>2.54</v>
      </c>
      <c r="D366" s="2"/>
      <c r="E366" s="42"/>
      <c r="G366" s="2"/>
      <c r="H366" s="2"/>
      <c r="I366" s="2"/>
      <c r="J366" s="16" t="s">
        <v>148</v>
      </c>
      <c r="K366" s="141">
        <f t="array" ref="K366">INDEX($A354:$A360,MATCH(K365,$A354:$A360,1))</f>
        <v>2.54</v>
      </c>
      <c r="L366" s="2"/>
      <c r="M366" s="42"/>
      <c r="O366" s="53"/>
      <c r="P366" s="2"/>
      <c r="Q366" s="2"/>
      <c r="R366" s="16" t="s">
        <v>148</v>
      </c>
      <c r="S366" s="141">
        <f t="array" ref="S366">INDEX($A354:$A360,MATCH(S365,$A354:$A360,1))</f>
        <v>2.54</v>
      </c>
      <c r="T366" s="2"/>
      <c r="U366" s="42"/>
      <c r="W366" s="2"/>
      <c r="X366" s="2"/>
      <c r="Y366" s="2"/>
      <c r="Z366" s="16" t="s">
        <v>148</v>
      </c>
      <c r="AA366" s="141">
        <f t="array" ref="AA366">INDEX($A354:$A360,MATCH(AA365,$A354:$A360,1))</f>
        <v>2.54</v>
      </c>
      <c r="AB366" s="2"/>
      <c r="AC366" s="42"/>
      <c r="AE366" s="2"/>
      <c r="AF366" s="2"/>
      <c r="AG366" s="2"/>
      <c r="AH366" s="16" t="s">
        <v>148</v>
      </c>
      <c r="AI366" s="141">
        <f t="array" ref="AI366">INDEX($A354:$A360,MATCH(AI365,$A354:$A360,1))</f>
        <v>2.54</v>
      </c>
      <c r="AJ366" s="2"/>
      <c r="AK366" s="42"/>
      <c r="AM366" s="2"/>
      <c r="AN366" s="2"/>
      <c r="AO366" s="2"/>
      <c r="AP366" s="16" t="s">
        <v>148</v>
      </c>
      <c r="AQ366" s="141">
        <f t="array" ref="AQ366">INDEX($A354:$A360,MATCH(AQ365,$A354:$A360,1))</f>
        <v>2.54</v>
      </c>
      <c r="AR366" s="2"/>
      <c r="AS366" s="42"/>
      <c r="AU366" s="2"/>
      <c r="AV366" s="2"/>
      <c r="AW366" s="2"/>
      <c r="AX366" s="16" t="s">
        <v>148</v>
      </c>
      <c r="AY366" s="141">
        <f t="array" ref="AY366">INDEX($A354:$A360,MATCH(AY365,$A354:$A360,1))</f>
        <v>2.54</v>
      </c>
      <c r="AZ366" s="2"/>
      <c r="BA366" s="42"/>
    </row>
    <row r="367" spans="1:66" ht="15" customHeight="1" x14ac:dyDescent="0.3">
      <c r="B367" s="16" t="s">
        <v>149</v>
      </c>
      <c r="C367" s="141">
        <f t="array" ref="C367">INDEX($A354:$A360,IF(MATCH(C365,$A354:$A360,1)&lt;E363,MATCH(C365,$A354:$A360,1)+1,MATCH(C365,$A354:$A360,1)))</f>
        <v>5.08</v>
      </c>
      <c r="D367" s="2"/>
      <c r="E367" s="42"/>
      <c r="G367" s="2"/>
      <c r="H367" s="2"/>
      <c r="I367" s="2"/>
      <c r="J367" s="16" t="s">
        <v>149</v>
      </c>
      <c r="K367" s="141">
        <f t="array" ref="K367">INDEX($A354:$A360,IF(MATCH(K365,$A354:$A360,1)&lt;M363,MATCH(K365,$A354:$A360,1)+1,MATCH(K365,$A354:$A360,1)))</f>
        <v>5.08</v>
      </c>
      <c r="L367" s="2"/>
      <c r="M367" s="42"/>
      <c r="O367" s="53"/>
      <c r="P367" s="2"/>
      <c r="Q367" s="2"/>
      <c r="R367" s="16" t="s">
        <v>149</v>
      </c>
      <c r="S367" s="141">
        <f t="array" ref="S367">INDEX($A354:$A360,IF(MATCH(S365,$A354:$A360,1)&lt;U363,MATCH(S365,$A354:$A360,1)+1,MATCH(S365,$A354:$A360,1)))</f>
        <v>5.08</v>
      </c>
      <c r="T367" s="2"/>
      <c r="U367" s="42"/>
      <c r="W367" s="2"/>
      <c r="X367" s="2"/>
      <c r="Y367" s="2"/>
      <c r="Z367" s="16" t="s">
        <v>149</v>
      </c>
      <c r="AA367" s="141">
        <f t="array" ref="AA367">INDEX($A354:$A360,IF(MATCH(AA365,$A354:$A360,1)&lt;AC363,MATCH(AA365,$A354:$A360,1)+1,MATCH(AA365,$A354:$A360,1)))</f>
        <v>5.08</v>
      </c>
      <c r="AB367" s="2"/>
      <c r="AC367" s="42"/>
      <c r="AE367" s="2"/>
      <c r="AF367" s="2"/>
      <c r="AG367" s="2"/>
      <c r="AH367" s="16" t="s">
        <v>149</v>
      </c>
      <c r="AI367" s="141">
        <f t="array" ref="AI367">INDEX($A354:$A360,IF(MATCH(AI365,$A354:$A360,1)&lt;AK363,MATCH(AI365,$A354:$A360,1)+1,MATCH(AI365,$A354:$A360,1)))</f>
        <v>5.08</v>
      </c>
      <c r="AJ367" s="2"/>
      <c r="AK367" s="42"/>
      <c r="AM367" s="2"/>
      <c r="AN367" s="2"/>
      <c r="AO367" s="2"/>
      <c r="AP367" s="16" t="s">
        <v>149</v>
      </c>
      <c r="AQ367" s="141">
        <f t="array" ref="AQ367">INDEX($A354:$A360,IF(MATCH(AQ365,$A354:$A360,1)&lt;AS363,MATCH(AQ365,$A354:$A360,1)+1,MATCH(AQ365,$A354:$A360,1)))</f>
        <v>5.08</v>
      </c>
      <c r="AR367" s="2"/>
      <c r="AS367" s="42"/>
      <c r="AU367" s="2"/>
      <c r="AV367" s="2"/>
      <c r="AW367" s="2"/>
      <c r="AX367" s="16" t="s">
        <v>149</v>
      </c>
      <c r="AY367" s="141">
        <f t="array" ref="AY367">INDEX($A354:$A360,IF(MATCH(AY365,$A354:$A360,1)&lt;BA363,MATCH(AY365,$A354:$A360,1)+1,MATCH(AY365,$A354:$A360,1)))</f>
        <v>5.08</v>
      </c>
      <c r="AZ367" s="2"/>
      <c r="BA367" s="42"/>
    </row>
    <row r="368" spans="1:66" ht="15" customHeight="1" x14ac:dyDescent="0.3">
      <c r="B368" s="139" t="s">
        <v>150</v>
      </c>
      <c r="C368" s="140">
        <f t="array" aca="1" ref="C368" ca="1">INDEX($B354:$T360,MATCH(C365,$A354:$A360,1),MATCH(C362,$B353:$T353,1))</f>
        <v>7500</v>
      </c>
      <c r="D368" s="2"/>
      <c r="E368" s="42"/>
      <c r="G368" s="2"/>
      <c r="H368" s="2"/>
      <c r="I368" s="2"/>
      <c r="J368" s="139" t="s">
        <v>150</v>
      </c>
      <c r="K368" s="140">
        <f t="array" aca="1" ref="K368" ca="1">INDEX($B354:$T360,MATCH(K365,$A354:$A360,1),MATCH(K362,$B353:$T353,1))</f>
        <v>7500</v>
      </c>
      <c r="L368" s="2"/>
      <c r="M368" s="42"/>
      <c r="O368" s="53"/>
      <c r="P368" s="2"/>
      <c r="Q368" s="2"/>
      <c r="R368" s="139" t="s">
        <v>150</v>
      </c>
      <c r="S368" s="140">
        <f t="array" aca="1" ref="S368" ca="1">INDEX($B354:$T360,MATCH(S365,$A354:$A360,1),MATCH(S362,$B353:$T353,1))</f>
        <v>6500</v>
      </c>
      <c r="T368" s="2"/>
      <c r="U368" s="42"/>
      <c r="W368" s="2"/>
      <c r="X368" s="2"/>
      <c r="Y368" s="2"/>
      <c r="Z368" s="139" t="s">
        <v>150</v>
      </c>
      <c r="AA368" s="140">
        <f t="array" aca="1" ref="AA368" ca="1">INDEX($B354:$T360,MATCH(AA365,$A354:$A360,1),MATCH(AA362,$B353:$T353,1))</f>
        <v>6000</v>
      </c>
      <c r="AB368" s="2"/>
      <c r="AC368" s="42"/>
      <c r="AE368" s="2"/>
      <c r="AF368" s="2"/>
      <c r="AG368" s="2"/>
      <c r="AH368" s="139" t="s">
        <v>150</v>
      </c>
      <c r="AI368" s="140">
        <f t="array" aca="1" ref="AI368" ca="1">INDEX($B354:$T360,MATCH(AI365,$A354:$A360,1),MATCH(AI362,$B353:$T353,1))</f>
        <v>5500</v>
      </c>
      <c r="AJ368" s="2"/>
      <c r="AK368" s="42"/>
      <c r="AM368" s="2"/>
      <c r="AN368" s="2"/>
      <c r="AO368" s="2"/>
      <c r="AP368" s="139" t="s">
        <v>150</v>
      </c>
      <c r="AQ368" s="140">
        <f t="array" aca="1" ref="AQ368" ca="1">INDEX($B354:$T360,MATCH(AQ365,$A354:$A360,1),MATCH(AQ362,$B353:$T353,1))</f>
        <v>5500</v>
      </c>
      <c r="AR368" s="2"/>
      <c r="AS368" s="42"/>
      <c r="AU368" s="2"/>
      <c r="AV368" s="2"/>
      <c r="AW368" s="2"/>
      <c r="AX368" s="139" t="s">
        <v>150</v>
      </c>
      <c r="AY368" s="140" t="e">
        <f t="array" aca="1" ref="AY368" ca="1">INDEX($B354:$T360,MATCH(AY365,$A354:$A360,1),MATCH(AY362,$B353:$T353,1))</f>
        <v>#N/A</v>
      </c>
      <c r="AZ368" s="2"/>
      <c r="BA368" s="42"/>
    </row>
    <row r="369" spans="1:55" ht="15" customHeight="1" x14ac:dyDescent="0.3">
      <c r="B369" s="139" t="s">
        <v>204</v>
      </c>
      <c r="C369" s="140">
        <f t="array" aca="1" ref="C369" ca="1">INDEX($B354:$T360,MATCH(C365,$A354:$A360,1),IF(MATCH(C362,$B353:$T353,1)&lt;E364,MATCH(C362,$B353:$T353,1)+1,MATCH(C365,$A354:$A360,1)))</f>
        <v>8000</v>
      </c>
      <c r="E369" s="42"/>
      <c r="G369" s="2"/>
      <c r="H369" s="2"/>
      <c r="I369" s="2"/>
      <c r="J369" s="139" t="s">
        <v>204</v>
      </c>
      <c r="K369" s="140">
        <f t="array" aca="1" ref="K369" ca="1">INDEX($B354:$T360,MATCH(K365,$A354:$A360,1),IF(MATCH(K362,$B353:$T353,1)&lt;M364,MATCH(K362,$B353:$T353,1)+1,MATCH(K365,$A354:$A360,1)))</f>
        <v>8000</v>
      </c>
      <c r="M369" s="42"/>
      <c r="O369" s="12"/>
      <c r="P369" s="2"/>
      <c r="Q369" s="2"/>
      <c r="R369" s="139" t="s">
        <v>204</v>
      </c>
      <c r="S369" s="140">
        <f t="array" aca="1" ref="S369" ca="1">INDEX($B354:$T360,MATCH(S365,$A354:$A360,1),IF(MATCH(S362,$B353:$T353,1)&lt;U364,MATCH(S362,$B353:$T353,1)+1,MATCH(S365,$A354:$A360,1)))</f>
        <v>7000</v>
      </c>
      <c r="U369" s="42"/>
      <c r="W369" s="2"/>
      <c r="X369" s="2"/>
      <c r="Y369" s="2"/>
      <c r="Z369" s="139" t="s">
        <v>204</v>
      </c>
      <c r="AA369" s="140">
        <f t="array" aca="1" ref="AA369" ca="1">INDEX($B354:$T360,MATCH(AA365,$A354:$A360,1),IF(MATCH(AA362,$B353:$T353,1)&lt;AC364,MATCH(AA362,$B353:$T353,1)+1,MATCH(AA365,$A354:$A360,1)))</f>
        <v>6500</v>
      </c>
      <c r="AC369" s="42"/>
      <c r="AE369" s="2"/>
      <c r="AF369" s="2"/>
      <c r="AG369" s="2"/>
      <c r="AH369" s="139" t="s">
        <v>204</v>
      </c>
      <c r="AI369" s="140">
        <f t="array" aca="1" ref="AI369" ca="1">INDEX($B354:$T360,MATCH(AI365,$A354:$A360,1),IF(MATCH(AI362,$B353:$T353,1)&lt;AK364,MATCH(AI362,$B353:$T353,1)+1,MATCH(AI365,$A354:$A360,1)))</f>
        <v>6000</v>
      </c>
      <c r="AK369" s="42"/>
      <c r="AM369" s="2"/>
      <c r="AN369" s="2"/>
      <c r="AO369" s="2"/>
      <c r="AP369" s="139" t="s">
        <v>204</v>
      </c>
      <c r="AQ369" s="140">
        <f t="array" aca="1" ref="AQ369" ca="1">INDEX($B354:$T360,MATCH(AQ365,$A354:$A360,1),IF(MATCH(AQ362,$B353:$T353,1)&lt;AS364,MATCH(AQ362,$B353:$T353,1)+1,MATCH(AQ365,$A354:$A360,1)))</f>
        <v>6000</v>
      </c>
      <c r="AS369" s="42"/>
      <c r="AU369" s="2"/>
      <c r="AV369" s="2"/>
      <c r="AW369" s="2"/>
      <c r="AX369" s="139" t="s">
        <v>204</v>
      </c>
      <c r="AY369" s="140" t="e">
        <f t="array" aca="1" ref="AY369" ca="1">INDEX($B354:$T360,MATCH(AY365,$A354:$A360,1),IF(MATCH(AY362,$B353:$T353,1)&lt;BA364,MATCH(AY362,$B353:$T353,1)+1,MATCH(AY365,$A354:$A360,1)))</f>
        <v>#N/A</v>
      </c>
      <c r="BA369" s="42"/>
    </row>
    <row r="370" spans="1:55" ht="15" customHeight="1" x14ac:dyDescent="0.3">
      <c r="B370" s="139" t="s">
        <v>151</v>
      </c>
      <c r="C370" s="140">
        <f t="array" aca="1" ref="C370" ca="1">INDEX($B354:$T360,IF(MATCH(C365,$A354:$A360,1)&lt;E363,MATCH(C365,$A354:$A360,1)+1,MATCH(C365,$A354:$A360,1)),MATCH(C362,$B353:$T353,1))</f>
        <v>7700</v>
      </c>
      <c r="E370" s="42"/>
      <c r="G370" s="2"/>
      <c r="H370" s="2"/>
      <c r="I370" s="2"/>
      <c r="J370" s="139" t="s">
        <v>151</v>
      </c>
      <c r="K370" s="140">
        <f t="array" aca="1" ref="K370" ca="1">INDEX($B354:$T360,IF(MATCH(K365,$A354:$A360,1)&lt;M363,MATCH(K365,$A354:$A360,1)+1,MATCH(K365,$A354:$A360,1)),MATCH(K362,$B353:$T353,1))</f>
        <v>7700</v>
      </c>
      <c r="M370" s="42"/>
      <c r="O370" s="12"/>
      <c r="P370" s="2"/>
      <c r="Q370" s="2"/>
      <c r="R370" s="139" t="s">
        <v>151</v>
      </c>
      <c r="S370" s="140">
        <f t="array" aca="1" ref="S370" ca="1">INDEX($B354:$T360,IF(MATCH(S365,$A354:$A360,1)&lt;U363,MATCH(S365,$A354:$A360,1)+1,MATCH(S365,$A354:$A360,1)),MATCH(S362,$B353:$T353,1))</f>
        <v>6150</v>
      </c>
      <c r="U370" s="42"/>
      <c r="W370" s="2"/>
      <c r="X370" s="2"/>
      <c r="Y370" s="2"/>
      <c r="Z370" s="139" t="s">
        <v>151</v>
      </c>
      <c r="AA370" s="140">
        <f t="array" aca="1" ref="AA370" ca="1">INDEX($B354:$T360,IF(MATCH(AA365,$A354:$A360,1)&lt;AC363,MATCH(AA365,$A354:$A360,1)+1,MATCH(AA365,$A354:$A360,1)),MATCH(AA362,$B353:$T353,1))</f>
        <v>6120</v>
      </c>
      <c r="AC370" s="42"/>
      <c r="AE370" s="2"/>
      <c r="AF370" s="2"/>
      <c r="AG370" s="2"/>
      <c r="AH370" s="139" t="s">
        <v>151</v>
      </c>
      <c r="AI370" s="140">
        <f t="array" aca="1" ref="AI370" ca="1">INDEX($B354:$T360,IF(MATCH(AI365,$A354:$A360,1)&lt;AK363,MATCH(AI365,$A354:$A360,1)+1,MATCH(AI365,$A354:$A360,1)),MATCH(AI362,$B353:$T353,1))</f>
        <v>5650</v>
      </c>
      <c r="AK370" s="42"/>
      <c r="AM370" s="2"/>
      <c r="AN370" s="2"/>
      <c r="AO370" s="2"/>
      <c r="AP370" s="139" t="s">
        <v>151</v>
      </c>
      <c r="AQ370" s="140">
        <f t="array" aca="1" ref="AQ370" ca="1">INDEX($B354:$T360,IF(MATCH(AQ365,$A354:$A360,1)&lt;AS363,MATCH(AQ365,$A354:$A360,1)+1,MATCH(AQ365,$A354:$A360,1)),MATCH(AQ362,$B353:$T353,1))</f>
        <v>5650</v>
      </c>
      <c r="AS370" s="42"/>
      <c r="AU370" s="2"/>
      <c r="AV370" s="2"/>
      <c r="AW370" s="2"/>
      <c r="AX370" s="139" t="s">
        <v>151</v>
      </c>
      <c r="AY370" s="140" t="e">
        <f t="array" aca="1" ref="AY370" ca="1">INDEX($B354:$T360,IF(MATCH(AY365,$A354:$A360,1)&lt;BA363,MATCH(AY365,$A354:$A360,1)+1,MATCH(AY365,$A354:$A360,1)),MATCH(AY362,$B353:$T353,1))</f>
        <v>#N/A</v>
      </c>
      <c r="BA370" s="42"/>
    </row>
    <row r="371" spans="1:55" ht="15" customHeight="1" x14ac:dyDescent="0.3">
      <c r="B371" s="139" t="s">
        <v>205</v>
      </c>
      <c r="C371" s="140">
        <f t="array" aca="1" ref="C371" ca="1">INDEX($B354:$T360,IF(MATCH(C365,$A354:$A360,1)&lt;E363,MATCH(C365,$A354:$A360,1)+1,MATCH(C365,$A354:$A360,1)),IF(MATCH(C362,$B353:$T353,1)&lt;E364,MATCH(C362,$B353:$T353,1)+1,MATCH(C362,$B353:$T353,1)))</f>
        <v>8200</v>
      </c>
      <c r="G371" s="2"/>
      <c r="H371" s="2"/>
      <c r="I371" s="2"/>
      <c r="J371" s="139" t="s">
        <v>205</v>
      </c>
      <c r="K371" s="140">
        <f t="array" aca="1" ref="K371" ca="1">INDEX($B354:$T360,IF(MATCH(K365,$A354:$A360,1)&lt;M363,MATCH(K365,$A354:$A360,1)+1,MATCH(K365,$A354:$A360,1)),IF(MATCH(K362,$B353:$T353,1)&lt;M364,MATCH(K362,$B353:$T353,1)+1,MATCH(K362,$B353:$T353,1)))</f>
        <v>8200</v>
      </c>
      <c r="O371" s="12"/>
      <c r="P371" s="2"/>
      <c r="Q371" s="2"/>
      <c r="R371" s="139" t="s">
        <v>205</v>
      </c>
      <c r="S371" s="140">
        <f t="array" aca="1" ref="S371" ca="1">INDEX($B354:$T360,IF(MATCH(S365,$A354:$A360,1)&lt;U363,MATCH(S365,$A354:$A360,1)+1,MATCH(S365,$A354:$A360,1)),IF(MATCH(S362,$B353:$T353,1)&lt;U364,MATCH(S362,$B353:$T353,1)+1,MATCH(S362,$B353:$T353,1)))</f>
        <v>7170</v>
      </c>
      <c r="W371" s="2"/>
      <c r="X371" s="2"/>
      <c r="Y371" s="2"/>
      <c r="Z371" s="139" t="s">
        <v>205</v>
      </c>
      <c r="AA371" s="140">
        <f t="array" aca="1" ref="AA371" ca="1">INDEX($B354:$T360,IF(MATCH(AA365,$A354:$A360,1)&lt;AC363,MATCH(AA365,$A354:$A360,1)+1,MATCH(AA365,$A354:$A360,1)),IF(MATCH(AA362,$B353:$T353,1)&lt;AC364,MATCH(AA362,$B353:$T353,1)+1,MATCH(AA362,$B353:$T353,1)))</f>
        <v>6150</v>
      </c>
      <c r="AE371" s="2"/>
      <c r="AF371" s="2"/>
      <c r="AG371" s="2"/>
      <c r="AH371" s="139" t="s">
        <v>205</v>
      </c>
      <c r="AI371" s="140">
        <f t="array" aca="1" ref="AI371" ca="1">INDEX($B354:$T360,IF(MATCH(AI365,$A354:$A360,1)&lt;AK363,MATCH(AI365,$A354:$A360,1)+1,MATCH(AI365,$A354:$A360,1)),IF(MATCH(AI362,$B353:$T353,1)&lt;AK364,MATCH(AI362,$B353:$T353,1)+1,MATCH(AI362,$B353:$T353,1)))</f>
        <v>6120</v>
      </c>
      <c r="AM371" s="2"/>
      <c r="AN371" s="2"/>
      <c r="AO371" s="2"/>
      <c r="AP371" s="139" t="s">
        <v>205</v>
      </c>
      <c r="AQ371" s="140">
        <f t="array" aca="1" ref="AQ371" ca="1">INDEX($B354:$T360,IF(MATCH(AQ365,$A354:$A360,1)&lt;AS363,MATCH(AQ365,$A354:$A360,1)+1,MATCH(AQ365,$A354:$A360,1)),IF(MATCH(AQ362,$B353:$T353,1)&lt;AS364,MATCH(AQ362,$B353:$T353,1)+1,MATCH(AQ362,$B353:$T353,1)))</f>
        <v>6120</v>
      </c>
      <c r="AU371" s="2"/>
      <c r="AV371" s="2"/>
      <c r="AW371" s="2"/>
      <c r="AX371" s="139" t="s">
        <v>205</v>
      </c>
      <c r="AY371" s="140" t="e">
        <f t="array" aca="1" ref="AY371" ca="1">INDEX($B354:$T360,IF(MATCH(AY365,$A354:$A360,1)&lt;BA363,MATCH(AY365,$A354:$A360,1)+1,MATCH(AY365,$A354:$A360,1)),IF(MATCH(AY362,$B353:$T353,1)&lt;BA364,MATCH(AY362,$B353:$T353,1)+1,MATCH(AY362,$B353:$T353,1)))</f>
        <v>#N/A</v>
      </c>
    </row>
    <row r="372" spans="1:55" ht="15" customHeight="1" x14ac:dyDescent="0.3">
      <c r="B372" s="16" t="s">
        <v>206</v>
      </c>
      <c r="C372" s="141">
        <f ca="1">IFERROR(C368+(C362-C363)*(C369-C368)/(C364-C363),C368)</f>
        <v>7942.0125605247486</v>
      </c>
      <c r="G372" s="2"/>
      <c r="H372" s="2"/>
      <c r="I372" s="2"/>
      <c r="J372" s="16" t="s">
        <v>206</v>
      </c>
      <c r="K372" s="141">
        <f ca="1">IFERROR(K368+(K362-K363)*(K369-K368)/(K364-K363),K368)</f>
        <v>7555.4105603466387</v>
      </c>
      <c r="O372" s="12"/>
      <c r="P372" s="2"/>
      <c r="Q372" s="2"/>
      <c r="R372" s="16" t="s">
        <v>206</v>
      </c>
      <c r="S372" s="141">
        <f ca="1">IFERROR(S368+(S362-S363)*(S369-S368)/(S364-S363),S368)</f>
        <v>6932.0565071742194</v>
      </c>
      <c r="W372" s="2"/>
      <c r="X372" s="2"/>
      <c r="Y372" s="2"/>
      <c r="Z372" s="16" t="s">
        <v>206</v>
      </c>
      <c r="AA372" s="141">
        <f ca="1">IFERROR(AA368+(AA362-AA363)*(AA369-AA368)/(AA364-AA363),AA368)</f>
        <v>6373.6711888458667</v>
      </c>
      <c r="AE372" s="2"/>
      <c r="AF372" s="2"/>
      <c r="AG372" s="2"/>
      <c r="AH372" s="16" t="s">
        <v>206</v>
      </c>
      <c r="AI372" s="141">
        <f ca="1">IFERROR(AI368+(AI362-AI363)*(AI369-AI368)/(AI364-AI363),AI368)</f>
        <v>5874.353249007665</v>
      </c>
      <c r="AM372" s="2"/>
      <c r="AN372" s="2"/>
      <c r="AO372" s="2"/>
      <c r="AP372" s="16" t="s">
        <v>206</v>
      </c>
      <c r="AQ372" s="141">
        <f ca="1">IFERROR(AQ368+(AQ362-AQ363)*(AQ369-AQ368)/(AQ364-AQ363),AQ368)</f>
        <v>5768.3131669052227</v>
      </c>
      <c r="AU372" s="2"/>
      <c r="AV372" s="2"/>
      <c r="AW372" s="2"/>
      <c r="AX372" s="16" t="s">
        <v>206</v>
      </c>
      <c r="AY372" s="141" t="e">
        <f ca="1">IFERROR(AY368+(AY362-AY363)*(AY369-AY368)/(AY364-AY363),AY368)</f>
        <v>#N/A</v>
      </c>
    </row>
    <row r="373" spans="1:55" ht="15" customHeight="1" x14ac:dyDescent="0.3">
      <c r="B373" s="16" t="s">
        <v>207</v>
      </c>
      <c r="C373" s="141">
        <f ca="1">IFERROR(C370+(C362-C363)*(C371-C370)/(C364-C363),C370)</f>
        <v>8142.0125605247486</v>
      </c>
      <c r="G373" s="2"/>
      <c r="H373" s="2"/>
      <c r="I373" s="2"/>
      <c r="J373" s="16" t="s">
        <v>207</v>
      </c>
      <c r="K373" s="141">
        <f ca="1">IFERROR(K370+(K362-K363)*(K371-K370)/(K364-K363),K370)</f>
        <v>7755.4105603466387</v>
      </c>
      <c r="O373" s="12"/>
      <c r="P373" s="2"/>
      <c r="Q373" s="2"/>
      <c r="R373" s="16" t="s">
        <v>207</v>
      </c>
      <c r="S373" s="141">
        <f ca="1">IFERROR(S370+(S362-S363)*(S371-S370)/(S364-S363),S370)</f>
        <v>7031.395274635408</v>
      </c>
      <c r="W373" s="2"/>
      <c r="X373" s="2"/>
      <c r="Y373" s="2"/>
      <c r="Z373" s="16" t="s">
        <v>207</v>
      </c>
      <c r="AA373" s="141">
        <f ca="1">IFERROR(AA370+(AA362-AA363)*(AA371-AA370)/(AA364-AA363),AA370)</f>
        <v>6142.4202713307523</v>
      </c>
      <c r="AE373" s="2"/>
      <c r="AF373" s="2"/>
      <c r="AG373" s="2"/>
      <c r="AH373" s="16" t="s">
        <v>207</v>
      </c>
      <c r="AI373" s="141">
        <f ca="1">IFERROR(AI370+(AI362-AI363)*(AI371-AI370)/(AI364-AI363),AI370)</f>
        <v>6001.8920540672052</v>
      </c>
      <c r="AM373" s="2"/>
      <c r="AN373" s="2"/>
      <c r="AO373" s="2"/>
      <c r="AP373" s="16" t="s">
        <v>207</v>
      </c>
      <c r="AQ373" s="141">
        <f ca="1">IFERROR(AQ370+(AQ362-AQ363)*(AQ371-AQ370)/(AQ364-AQ363),AQ370)</f>
        <v>5902.2143768909091</v>
      </c>
      <c r="AU373" s="2"/>
      <c r="AV373" s="2"/>
      <c r="AW373" s="2"/>
      <c r="AX373" s="16" t="s">
        <v>207</v>
      </c>
      <c r="AY373" s="141" t="e">
        <f ca="1">IFERROR(AY370+(AY362-AY363)*(AY371-AY370)/(AY364-AY363),AY370)</f>
        <v>#N/A</v>
      </c>
    </row>
    <row r="374" spans="1:55" ht="15" customHeight="1" x14ac:dyDescent="0.3">
      <c r="B374" s="139" t="s">
        <v>208</v>
      </c>
      <c r="C374" s="140">
        <f ca="1">IFERROR(C372+(C365-C366)*(C373-C372)/(C367-C366),C372)</f>
        <v>7978.2330329656934</v>
      </c>
      <c r="G374" s="2"/>
      <c r="H374" s="2"/>
      <c r="I374" s="2"/>
      <c r="J374" s="139" t="s">
        <v>208</v>
      </c>
      <c r="K374" s="140">
        <f ca="1">IFERROR(K372+(K365-K366)*(K373-K372)/(K367-K366),K372)</f>
        <v>7591.6310327875835</v>
      </c>
      <c r="O374" s="12"/>
      <c r="P374" s="2"/>
      <c r="Q374" s="2"/>
      <c r="R374" s="139" t="s">
        <v>208</v>
      </c>
      <c r="S374" s="140">
        <f ca="1">IFERROR(S372+(S365-S366)*(S373-S372)/(S367-S366),S372)</f>
        <v>6950.0469926199466</v>
      </c>
      <c r="W374" s="2"/>
      <c r="X374" s="2"/>
      <c r="Y374" s="2"/>
      <c r="Z374" s="139" t="s">
        <v>208</v>
      </c>
      <c r="AA374" s="140">
        <f ca="1">IFERROR(AA372+(AA365-AA366)*(AA373-AA372)/(AA367-AA366),AA372)</f>
        <v>6331.7911014218698</v>
      </c>
      <c r="AE374" s="2"/>
      <c r="AF374" s="2"/>
      <c r="AG374" s="2"/>
      <c r="AH374" s="139" t="s">
        <v>208</v>
      </c>
      <c r="AI374" s="140">
        <f ca="1">IFERROR(AI372+(AI365-AI366)*(AI373-AI372)/(AI367-AI366),AI372)</f>
        <v>5897.4508278767153</v>
      </c>
      <c r="AM374" s="2"/>
      <c r="AN374" s="2"/>
      <c r="AO374" s="2"/>
      <c r="AP374" s="139" t="s">
        <v>208</v>
      </c>
      <c r="AQ374" s="140">
        <f ca="1">IFERROR(AQ372+(AQ365-AQ366)*(AQ373-AQ372)/(AQ367-AQ366),AQ372)</f>
        <v>5792.562992335701</v>
      </c>
      <c r="AU374" s="2"/>
      <c r="AV374" s="2"/>
      <c r="AW374" s="2"/>
      <c r="AX374" s="139" t="s">
        <v>208</v>
      </c>
      <c r="AY374" s="140" t="e">
        <f ca="1">IFERROR(AY372+(AY365-AY366)*(AY373-AY372)/(AY367-AY366),AY372)</f>
        <v>#N/A</v>
      </c>
    </row>
    <row r="375" spans="1:55" ht="15.75" customHeight="1" x14ac:dyDescent="0.3"/>
    <row r="376" spans="1:55" ht="15" customHeight="1" x14ac:dyDescent="0.3">
      <c r="A376" s="266" t="s">
        <v>227</v>
      </c>
      <c r="B376" s="266"/>
    </row>
    <row r="377" spans="1:55" ht="15.75" customHeight="1" x14ac:dyDescent="0.3"/>
    <row r="378" spans="1:55" ht="15" customHeight="1" x14ac:dyDescent="0.3">
      <c r="A378" s="412" t="s">
        <v>217</v>
      </c>
      <c r="B378" s="412"/>
      <c r="C378" s="413" t="s">
        <v>218</v>
      </c>
      <c r="D378" s="413"/>
      <c r="E378" s="413"/>
      <c r="F378" s="413"/>
      <c r="G378" s="413"/>
      <c r="H378" s="228"/>
      <c r="I378" s="412" t="s">
        <v>217</v>
      </c>
      <c r="J378" s="412"/>
      <c r="K378" s="413" t="s">
        <v>218</v>
      </c>
      <c r="L378" s="413"/>
      <c r="M378" s="413"/>
      <c r="N378" s="413"/>
      <c r="O378" s="413"/>
      <c r="P378" s="243"/>
      <c r="Q378" s="412" t="s">
        <v>217</v>
      </c>
      <c r="R378" s="412"/>
      <c r="S378" s="413" t="s">
        <v>218</v>
      </c>
      <c r="T378" s="413"/>
      <c r="U378" s="413"/>
      <c r="V378" s="413"/>
      <c r="W378" s="413"/>
      <c r="X378" s="228"/>
      <c r="Y378" s="412" t="s">
        <v>217</v>
      </c>
      <c r="Z378" s="412"/>
      <c r="AA378" s="413" t="s">
        <v>218</v>
      </c>
      <c r="AB378" s="413"/>
      <c r="AC378" s="413"/>
      <c r="AD378" s="413"/>
      <c r="AE378" s="413"/>
      <c r="AF378" s="228"/>
      <c r="AG378" s="412" t="s">
        <v>217</v>
      </c>
      <c r="AH378" s="412"/>
      <c r="AI378" s="413" t="s">
        <v>218</v>
      </c>
      <c r="AJ378" s="413"/>
      <c r="AK378" s="413"/>
      <c r="AL378" s="413"/>
      <c r="AM378" s="413"/>
      <c r="AN378" s="228"/>
      <c r="AO378" s="412" t="s">
        <v>217</v>
      </c>
      <c r="AP378" s="412"/>
      <c r="AQ378" s="413" t="s">
        <v>218</v>
      </c>
      <c r="AR378" s="413"/>
      <c r="AS378" s="413"/>
      <c r="AT378" s="413"/>
      <c r="AU378" s="413"/>
      <c r="AV378" s="244"/>
      <c r="AW378" s="412" t="s">
        <v>217</v>
      </c>
      <c r="AX378" s="412"/>
      <c r="AY378" s="413" t="s">
        <v>218</v>
      </c>
      <c r="AZ378" s="413"/>
      <c r="BA378" s="413"/>
      <c r="BB378" s="413"/>
      <c r="BC378" s="413"/>
    </row>
    <row r="379" spans="1:55" ht="15" customHeight="1" x14ac:dyDescent="0.3">
      <c r="A379" s="412"/>
      <c r="B379" s="412"/>
      <c r="C379" s="413"/>
      <c r="D379" s="413"/>
      <c r="E379" s="413"/>
      <c r="F379" s="413"/>
      <c r="G379" s="413"/>
      <c r="H379" s="228"/>
      <c r="I379" s="412"/>
      <c r="J379" s="412"/>
      <c r="K379" s="413"/>
      <c r="L379" s="413"/>
      <c r="M379" s="413"/>
      <c r="N379" s="413"/>
      <c r="O379" s="413"/>
      <c r="P379" s="243"/>
      <c r="Q379" s="412"/>
      <c r="R379" s="412"/>
      <c r="S379" s="413"/>
      <c r="T379" s="413"/>
      <c r="U379" s="413"/>
      <c r="V379" s="413"/>
      <c r="W379" s="413"/>
      <c r="X379" s="228"/>
      <c r="Y379" s="412"/>
      <c r="Z379" s="412"/>
      <c r="AA379" s="413"/>
      <c r="AB379" s="413"/>
      <c r="AC379" s="413"/>
      <c r="AD379" s="413"/>
      <c r="AE379" s="413"/>
      <c r="AF379" s="228"/>
      <c r="AG379" s="412"/>
      <c r="AH379" s="412"/>
      <c r="AI379" s="413"/>
      <c r="AJ379" s="413"/>
      <c r="AK379" s="413"/>
      <c r="AL379" s="413"/>
      <c r="AM379" s="413"/>
      <c r="AN379" s="228"/>
      <c r="AO379" s="412"/>
      <c r="AP379" s="412"/>
      <c r="AQ379" s="413"/>
      <c r="AR379" s="413"/>
      <c r="AS379" s="413"/>
      <c r="AT379" s="413"/>
      <c r="AU379" s="413"/>
      <c r="AV379" s="244"/>
      <c r="AW379" s="412"/>
      <c r="AX379" s="412"/>
      <c r="AY379" s="413"/>
      <c r="AZ379" s="413"/>
      <c r="BA379" s="413"/>
      <c r="BB379" s="413"/>
      <c r="BC379" s="413"/>
    </row>
    <row r="380" spans="1:55" ht="15" customHeight="1" x14ac:dyDescent="0.3">
      <c r="A380" s="410" t="s">
        <v>10</v>
      </c>
      <c r="B380" s="410"/>
      <c r="C380" s="245">
        <v>0</v>
      </c>
      <c r="D380" s="246">
        <v>1000</v>
      </c>
      <c r="E380" s="246">
        <v>2000</v>
      </c>
      <c r="F380" s="247">
        <v>3000</v>
      </c>
      <c r="G380" s="247">
        <v>4000</v>
      </c>
      <c r="H380" s="243"/>
      <c r="I380" s="410" t="s">
        <v>10</v>
      </c>
      <c r="J380" s="410"/>
      <c r="K380" s="245">
        <v>0</v>
      </c>
      <c r="L380" s="246">
        <v>1000</v>
      </c>
      <c r="M380" s="246">
        <v>2000</v>
      </c>
      <c r="N380" s="247">
        <v>3000</v>
      </c>
      <c r="O380" s="247">
        <v>4000</v>
      </c>
      <c r="P380" s="243"/>
      <c r="Q380" s="410" t="s">
        <v>10</v>
      </c>
      <c r="R380" s="410"/>
      <c r="S380" s="245">
        <v>0</v>
      </c>
      <c r="T380" s="246">
        <v>1000</v>
      </c>
      <c r="U380" s="246">
        <v>2000</v>
      </c>
      <c r="V380" s="247">
        <v>3000</v>
      </c>
      <c r="W380" s="247">
        <v>4000</v>
      </c>
      <c r="X380" s="243"/>
      <c r="Y380" s="410" t="s">
        <v>10</v>
      </c>
      <c r="Z380" s="410"/>
      <c r="AA380" s="245">
        <v>0</v>
      </c>
      <c r="AB380" s="246">
        <v>1000</v>
      </c>
      <c r="AC380" s="246">
        <v>2000</v>
      </c>
      <c r="AD380" s="247">
        <v>3000</v>
      </c>
      <c r="AE380" s="247">
        <v>4000</v>
      </c>
      <c r="AF380" s="243"/>
      <c r="AG380" s="410" t="s">
        <v>10</v>
      </c>
      <c r="AH380" s="410"/>
      <c r="AI380" s="245">
        <v>0</v>
      </c>
      <c r="AJ380" s="246">
        <v>1000</v>
      </c>
      <c r="AK380" s="246">
        <v>2000</v>
      </c>
      <c r="AL380" s="247">
        <v>3000</v>
      </c>
      <c r="AM380" s="247">
        <v>4000</v>
      </c>
      <c r="AN380" s="243"/>
      <c r="AO380" s="410" t="s">
        <v>10</v>
      </c>
      <c r="AP380" s="410"/>
      <c r="AQ380" s="245">
        <v>0</v>
      </c>
      <c r="AR380" s="246">
        <v>1000</v>
      </c>
      <c r="AS380" s="246">
        <v>2000</v>
      </c>
      <c r="AT380" s="247">
        <v>3000</v>
      </c>
      <c r="AU380" s="247">
        <v>4000</v>
      </c>
      <c r="AV380" s="244"/>
      <c r="AW380" s="410" t="s">
        <v>10</v>
      </c>
      <c r="AX380" s="410"/>
      <c r="AY380" s="245">
        <v>0</v>
      </c>
      <c r="AZ380" s="246">
        <v>1000</v>
      </c>
      <c r="BA380" s="246">
        <v>2000</v>
      </c>
      <c r="BB380" s="247">
        <v>3000</v>
      </c>
      <c r="BC380" s="247">
        <v>4000</v>
      </c>
    </row>
    <row r="381" spans="1:55" ht="15" customHeight="1" x14ac:dyDescent="0.3">
      <c r="A381" s="411">
        <v>-30</v>
      </c>
      <c r="B381" s="411"/>
      <c r="C381" s="248">
        <v>114</v>
      </c>
      <c r="D381" s="248">
        <v>114</v>
      </c>
      <c r="E381" s="248">
        <v>114</v>
      </c>
      <c r="F381" s="250">
        <v>114</v>
      </c>
      <c r="G381" s="250">
        <v>99999</v>
      </c>
      <c r="H381" s="2"/>
      <c r="I381" s="411">
        <v>-30</v>
      </c>
      <c r="J381" s="411"/>
      <c r="K381" s="251">
        <v>112</v>
      </c>
      <c r="L381" s="251">
        <v>112</v>
      </c>
      <c r="M381" s="251">
        <v>112</v>
      </c>
      <c r="N381" s="251">
        <v>112</v>
      </c>
      <c r="O381" s="250">
        <v>99999</v>
      </c>
      <c r="P381" s="42"/>
      <c r="Q381" s="411">
        <v>-30</v>
      </c>
      <c r="R381" s="411"/>
      <c r="S381" s="251">
        <v>108</v>
      </c>
      <c r="T381" s="251">
        <v>109</v>
      </c>
      <c r="U381" s="251">
        <v>109</v>
      </c>
      <c r="V381" s="251">
        <v>109</v>
      </c>
      <c r="W381" s="250">
        <v>99999</v>
      </c>
      <c r="X381" s="2"/>
      <c r="Y381" s="411">
        <v>-30</v>
      </c>
      <c r="Z381" s="411"/>
      <c r="AA381" s="251">
        <v>105</v>
      </c>
      <c r="AB381" s="251">
        <v>105</v>
      </c>
      <c r="AC381" s="251">
        <v>105</v>
      </c>
      <c r="AD381" s="251">
        <v>106</v>
      </c>
      <c r="AE381" s="250">
        <v>99999</v>
      </c>
      <c r="AF381" s="2"/>
      <c r="AG381" s="411">
        <v>-30</v>
      </c>
      <c r="AH381" s="411"/>
      <c r="AI381" s="251">
        <v>102</v>
      </c>
      <c r="AJ381" s="251">
        <v>102</v>
      </c>
      <c r="AK381" s="251">
        <v>102</v>
      </c>
      <c r="AL381" s="251">
        <v>102</v>
      </c>
      <c r="AM381" s="250">
        <v>99999</v>
      </c>
      <c r="AN381" s="2"/>
      <c r="AO381" s="411">
        <v>-30</v>
      </c>
      <c r="AP381" s="411"/>
      <c r="AQ381" s="251">
        <v>102</v>
      </c>
      <c r="AR381" s="251">
        <v>102</v>
      </c>
      <c r="AS381" s="251">
        <v>102</v>
      </c>
      <c r="AT381" s="251">
        <v>102</v>
      </c>
      <c r="AU381" s="250">
        <v>99999</v>
      </c>
      <c r="AV381" s="252"/>
      <c r="AW381" s="408">
        <v>0</v>
      </c>
      <c r="AX381" s="408"/>
      <c r="AY381" s="251"/>
      <c r="AZ381" s="251"/>
      <c r="BA381" s="251"/>
      <c r="BB381" s="250"/>
      <c r="BC381" s="250">
        <v>99999</v>
      </c>
    </row>
    <row r="382" spans="1:55" ht="15" customHeight="1" x14ac:dyDescent="0.3">
      <c r="A382" s="408">
        <v>-25</v>
      </c>
      <c r="B382" s="408"/>
      <c r="C382" s="248">
        <v>114</v>
      </c>
      <c r="D382" s="248">
        <v>114</v>
      </c>
      <c r="E382" s="248">
        <v>114</v>
      </c>
      <c r="F382" s="250">
        <v>114</v>
      </c>
      <c r="G382" s="250">
        <v>99999</v>
      </c>
      <c r="H382" s="2"/>
      <c r="I382" s="408">
        <v>-25</v>
      </c>
      <c r="J382" s="408"/>
      <c r="K382" s="251">
        <v>112</v>
      </c>
      <c r="L382" s="251">
        <v>112</v>
      </c>
      <c r="M382" s="251">
        <v>112</v>
      </c>
      <c r="N382" s="251">
        <v>112</v>
      </c>
      <c r="O382" s="250">
        <v>99999</v>
      </c>
      <c r="P382" s="42"/>
      <c r="Q382" s="408">
        <v>-25</v>
      </c>
      <c r="R382" s="408"/>
      <c r="S382" s="251">
        <v>109</v>
      </c>
      <c r="T382" s="251">
        <v>109</v>
      </c>
      <c r="U382" s="251">
        <v>109</v>
      </c>
      <c r="V382" s="251">
        <v>109</v>
      </c>
      <c r="W382" s="250">
        <v>99999</v>
      </c>
      <c r="X382" s="2"/>
      <c r="Y382" s="408">
        <v>-25</v>
      </c>
      <c r="Z382" s="408"/>
      <c r="AA382" s="251">
        <v>105</v>
      </c>
      <c r="AB382" s="251">
        <v>105</v>
      </c>
      <c r="AC382" s="251">
        <v>105</v>
      </c>
      <c r="AD382" s="251">
        <v>106</v>
      </c>
      <c r="AE382" s="250">
        <v>99999</v>
      </c>
      <c r="AF382" s="2"/>
      <c r="AG382" s="408">
        <v>-25</v>
      </c>
      <c r="AH382" s="408"/>
      <c r="AI382" s="251">
        <v>102</v>
      </c>
      <c r="AJ382" s="251">
        <v>102</v>
      </c>
      <c r="AK382" s="251">
        <v>102</v>
      </c>
      <c r="AL382" s="251">
        <v>102</v>
      </c>
      <c r="AM382" s="250">
        <v>99999</v>
      </c>
      <c r="AN382" s="2"/>
      <c r="AO382" s="408">
        <v>-25</v>
      </c>
      <c r="AP382" s="408"/>
      <c r="AQ382" s="251">
        <v>102</v>
      </c>
      <c r="AR382" s="251">
        <v>102</v>
      </c>
      <c r="AS382" s="251">
        <v>102</v>
      </c>
      <c r="AT382" s="251">
        <v>102</v>
      </c>
      <c r="AU382" s="250">
        <v>99999</v>
      </c>
      <c r="AV382" s="252"/>
      <c r="AW382" s="408">
        <v>10</v>
      </c>
      <c r="AX382" s="408"/>
      <c r="AY382" s="251"/>
      <c r="AZ382" s="251"/>
      <c r="BA382" s="251"/>
      <c r="BB382" s="250"/>
      <c r="BC382" s="250">
        <v>99999</v>
      </c>
    </row>
    <row r="383" spans="1:55" ht="15" customHeight="1" x14ac:dyDescent="0.3">
      <c r="A383" s="408">
        <v>-20</v>
      </c>
      <c r="B383" s="408"/>
      <c r="C383" s="248">
        <v>114</v>
      </c>
      <c r="D383" s="248">
        <v>114</v>
      </c>
      <c r="E383" s="248">
        <v>114</v>
      </c>
      <c r="F383" s="250">
        <v>114</v>
      </c>
      <c r="G383" s="250">
        <v>99999</v>
      </c>
      <c r="H383" s="2"/>
      <c r="I383" s="408">
        <v>-20</v>
      </c>
      <c r="J383" s="408"/>
      <c r="K383" s="251">
        <v>112</v>
      </c>
      <c r="L383" s="251">
        <v>112</v>
      </c>
      <c r="M383" s="251">
        <v>112</v>
      </c>
      <c r="N383" s="251">
        <v>112</v>
      </c>
      <c r="O383" s="250">
        <v>99999</v>
      </c>
      <c r="P383" s="42"/>
      <c r="Q383" s="408">
        <v>-20</v>
      </c>
      <c r="R383" s="408"/>
      <c r="S383" s="251">
        <v>109</v>
      </c>
      <c r="T383" s="251">
        <v>109</v>
      </c>
      <c r="U383" s="251">
        <v>109</v>
      </c>
      <c r="V383" s="251">
        <v>109</v>
      </c>
      <c r="W383" s="250">
        <v>99999</v>
      </c>
      <c r="X383" s="2"/>
      <c r="Y383" s="408">
        <v>-20</v>
      </c>
      <c r="Z383" s="408"/>
      <c r="AA383" s="251">
        <v>105</v>
      </c>
      <c r="AB383" s="251">
        <v>105</v>
      </c>
      <c r="AC383" s="251">
        <v>106</v>
      </c>
      <c r="AD383" s="251">
        <v>106</v>
      </c>
      <c r="AE383" s="250">
        <v>99999</v>
      </c>
      <c r="AF383" s="2"/>
      <c r="AG383" s="408">
        <v>-20</v>
      </c>
      <c r="AH383" s="408"/>
      <c r="AI383" s="251">
        <v>102</v>
      </c>
      <c r="AJ383" s="251">
        <v>102</v>
      </c>
      <c r="AK383" s="251">
        <v>102</v>
      </c>
      <c r="AL383" s="251">
        <v>102</v>
      </c>
      <c r="AM383" s="250">
        <v>99999</v>
      </c>
      <c r="AN383" s="2"/>
      <c r="AO383" s="408">
        <v>-20</v>
      </c>
      <c r="AP383" s="408"/>
      <c r="AQ383" s="251">
        <v>102</v>
      </c>
      <c r="AR383" s="251">
        <v>102</v>
      </c>
      <c r="AS383" s="251">
        <v>102</v>
      </c>
      <c r="AT383" s="251">
        <v>102</v>
      </c>
      <c r="AU383" s="250">
        <v>99999</v>
      </c>
      <c r="AV383" s="252"/>
      <c r="AW383" s="253"/>
      <c r="AX383" s="254"/>
      <c r="AY383" s="251"/>
      <c r="AZ383" s="251"/>
      <c r="BA383" s="251"/>
      <c r="BB383" s="250"/>
      <c r="BC383" s="250">
        <v>99999</v>
      </c>
    </row>
    <row r="384" spans="1:55" ht="15" customHeight="1" x14ac:dyDescent="0.3">
      <c r="A384" s="408">
        <v>-15</v>
      </c>
      <c r="B384" s="408"/>
      <c r="C384" s="248">
        <v>114</v>
      </c>
      <c r="D384" s="248">
        <v>114</v>
      </c>
      <c r="E384" s="248">
        <v>114</v>
      </c>
      <c r="F384" s="250">
        <v>114</v>
      </c>
      <c r="G384" s="250">
        <v>99999</v>
      </c>
      <c r="H384" s="2"/>
      <c r="I384" s="408">
        <v>-15</v>
      </c>
      <c r="J384" s="408"/>
      <c r="K384" s="251">
        <v>112</v>
      </c>
      <c r="L384" s="251">
        <v>112</v>
      </c>
      <c r="M384" s="251">
        <v>112</v>
      </c>
      <c r="N384" s="251">
        <v>113</v>
      </c>
      <c r="O384" s="250">
        <v>99999</v>
      </c>
      <c r="P384" s="42"/>
      <c r="Q384" s="408">
        <v>-15</v>
      </c>
      <c r="R384" s="408"/>
      <c r="S384" s="251">
        <v>109</v>
      </c>
      <c r="T384" s="251">
        <v>109</v>
      </c>
      <c r="U384" s="251">
        <v>109</v>
      </c>
      <c r="V384" s="251">
        <v>109</v>
      </c>
      <c r="W384" s="250">
        <v>99999</v>
      </c>
      <c r="X384" s="2"/>
      <c r="Y384" s="408">
        <v>-15</v>
      </c>
      <c r="Z384" s="408"/>
      <c r="AA384" s="251">
        <v>105</v>
      </c>
      <c r="AB384" s="251">
        <v>105</v>
      </c>
      <c r="AC384" s="251">
        <v>106</v>
      </c>
      <c r="AD384" s="251">
        <v>106</v>
      </c>
      <c r="AE384" s="250">
        <v>99999</v>
      </c>
      <c r="AF384" s="2"/>
      <c r="AG384" s="408">
        <v>-15</v>
      </c>
      <c r="AH384" s="408"/>
      <c r="AI384" s="251">
        <v>102</v>
      </c>
      <c r="AJ384" s="251">
        <v>102</v>
      </c>
      <c r="AK384" s="251">
        <v>102</v>
      </c>
      <c r="AL384" s="251">
        <v>102</v>
      </c>
      <c r="AM384" s="250">
        <v>99999</v>
      </c>
      <c r="AN384" s="2"/>
      <c r="AO384" s="408">
        <v>-15</v>
      </c>
      <c r="AP384" s="408"/>
      <c r="AQ384" s="251">
        <v>102</v>
      </c>
      <c r="AR384" s="251">
        <v>102</v>
      </c>
      <c r="AS384" s="251">
        <v>102</v>
      </c>
      <c r="AT384" s="251">
        <v>102</v>
      </c>
      <c r="AU384" s="250">
        <v>99999</v>
      </c>
      <c r="AV384" s="252"/>
      <c r="AW384" s="253"/>
      <c r="AX384" s="254"/>
      <c r="AY384" s="251"/>
      <c r="AZ384" s="251"/>
      <c r="BA384" s="251"/>
      <c r="BB384" s="250"/>
      <c r="BC384" s="250">
        <v>99999</v>
      </c>
    </row>
    <row r="385" spans="1:55" ht="15" customHeight="1" x14ac:dyDescent="0.3">
      <c r="A385" s="408">
        <v>-10</v>
      </c>
      <c r="B385" s="408"/>
      <c r="C385" s="248">
        <v>114</v>
      </c>
      <c r="D385" s="248">
        <v>114</v>
      </c>
      <c r="E385" s="248">
        <v>114</v>
      </c>
      <c r="F385" s="250">
        <v>115</v>
      </c>
      <c r="G385" s="250">
        <v>99999</v>
      </c>
      <c r="H385" s="2"/>
      <c r="I385" s="408">
        <v>-10</v>
      </c>
      <c r="J385" s="408"/>
      <c r="K385" s="251">
        <v>112</v>
      </c>
      <c r="L385" s="251">
        <v>112</v>
      </c>
      <c r="M385" s="251">
        <v>112</v>
      </c>
      <c r="N385" s="251">
        <v>113</v>
      </c>
      <c r="O385" s="250">
        <v>99999</v>
      </c>
      <c r="P385" s="42"/>
      <c r="Q385" s="408">
        <v>-10</v>
      </c>
      <c r="R385" s="408"/>
      <c r="S385" s="251">
        <v>109</v>
      </c>
      <c r="T385" s="251">
        <v>109</v>
      </c>
      <c r="U385" s="251">
        <v>109</v>
      </c>
      <c r="V385" s="251">
        <v>109</v>
      </c>
      <c r="W385" s="250">
        <v>99999</v>
      </c>
      <c r="X385" s="2"/>
      <c r="Y385" s="408">
        <v>-10</v>
      </c>
      <c r="Z385" s="408"/>
      <c r="AA385" s="251">
        <v>105</v>
      </c>
      <c r="AB385" s="251">
        <v>106</v>
      </c>
      <c r="AC385" s="251">
        <v>106</v>
      </c>
      <c r="AD385" s="251">
        <v>106</v>
      </c>
      <c r="AE385" s="250">
        <v>99999</v>
      </c>
      <c r="AF385" s="2"/>
      <c r="AG385" s="408">
        <v>-10</v>
      </c>
      <c r="AH385" s="408"/>
      <c r="AI385" s="251">
        <v>102</v>
      </c>
      <c r="AJ385" s="251">
        <v>102</v>
      </c>
      <c r="AK385" s="251">
        <v>102</v>
      </c>
      <c r="AL385" s="251">
        <v>102</v>
      </c>
      <c r="AM385" s="250">
        <v>99999</v>
      </c>
      <c r="AN385" s="2"/>
      <c r="AO385" s="408">
        <v>-10</v>
      </c>
      <c r="AP385" s="408"/>
      <c r="AQ385" s="251">
        <v>102</v>
      </c>
      <c r="AR385" s="251">
        <v>102</v>
      </c>
      <c r="AS385" s="251">
        <v>102</v>
      </c>
      <c r="AT385" s="251">
        <v>102</v>
      </c>
      <c r="AU385" s="250">
        <v>99999</v>
      </c>
      <c r="AV385" s="252"/>
      <c r="AW385" s="253"/>
      <c r="AX385" s="254"/>
      <c r="AY385" s="251"/>
      <c r="AZ385" s="251"/>
      <c r="BA385" s="251"/>
      <c r="BB385" s="250"/>
      <c r="BC385" s="250">
        <v>99999</v>
      </c>
    </row>
    <row r="386" spans="1:55" ht="15" customHeight="1" x14ac:dyDescent="0.3">
      <c r="A386" s="408">
        <v>-5</v>
      </c>
      <c r="B386" s="408"/>
      <c r="C386" s="248">
        <v>114</v>
      </c>
      <c r="D386" s="248">
        <v>114</v>
      </c>
      <c r="E386" s="248">
        <v>114</v>
      </c>
      <c r="F386" s="250">
        <v>115</v>
      </c>
      <c r="G386" s="250">
        <v>99999</v>
      </c>
      <c r="H386" s="2"/>
      <c r="I386" s="408">
        <v>-5</v>
      </c>
      <c r="J386" s="408"/>
      <c r="K386" s="251">
        <v>112</v>
      </c>
      <c r="L386" s="251">
        <v>112</v>
      </c>
      <c r="M386" s="251">
        <v>113</v>
      </c>
      <c r="N386" s="251">
        <v>113</v>
      </c>
      <c r="O386" s="250">
        <v>99999</v>
      </c>
      <c r="P386" s="42"/>
      <c r="Q386" s="408">
        <v>-5</v>
      </c>
      <c r="R386" s="408"/>
      <c r="S386" s="251">
        <v>109</v>
      </c>
      <c r="T386" s="251">
        <v>109</v>
      </c>
      <c r="U386" s="251">
        <v>109</v>
      </c>
      <c r="V386" s="251">
        <v>109</v>
      </c>
      <c r="W386" s="250">
        <v>99999</v>
      </c>
      <c r="X386" s="2"/>
      <c r="Y386" s="408">
        <v>-5</v>
      </c>
      <c r="Z386" s="408"/>
      <c r="AA386" s="251">
        <v>105</v>
      </c>
      <c r="AB386" s="251">
        <v>106</v>
      </c>
      <c r="AC386" s="251">
        <v>106</v>
      </c>
      <c r="AD386" s="251">
        <v>106</v>
      </c>
      <c r="AE386" s="250">
        <v>99999</v>
      </c>
      <c r="AF386" s="2"/>
      <c r="AG386" s="408">
        <v>-5</v>
      </c>
      <c r="AH386" s="408"/>
      <c r="AI386" s="251">
        <v>102</v>
      </c>
      <c r="AJ386" s="251">
        <v>102</v>
      </c>
      <c r="AK386" s="251">
        <v>102</v>
      </c>
      <c r="AL386" s="251">
        <v>103</v>
      </c>
      <c r="AM386" s="250">
        <v>99999</v>
      </c>
      <c r="AN386" s="2"/>
      <c r="AO386" s="408">
        <v>-5</v>
      </c>
      <c r="AP386" s="408"/>
      <c r="AQ386" s="251">
        <v>102</v>
      </c>
      <c r="AR386" s="251">
        <v>102</v>
      </c>
      <c r="AS386" s="251">
        <v>102</v>
      </c>
      <c r="AT386" s="251">
        <v>102</v>
      </c>
      <c r="AU386" s="250">
        <v>99999</v>
      </c>
      <c r="AV386" s="252"/>
      <c r="AW386" s="253"/>
      <c r="AX386" s="254"/>
      <c r="AY386" s="251"/>
      <c r="AZ386" s="251"/>
      <c r="BA386" s="251"/>
      <c r="BB386" s="250"/>
      <c r="BC386" s="250">
        <v>99999</v>
      </c>
    </row>
    <row r="387" spans="1:55" ht="15" customHeight="1" x14ac:dyDescent="0.3">
      <c r="A387" s="408">
        <v>0</v>
      </c>
      <c r="B387" s="408"/>
      <c r="C387" s="248">
        <v>114</v>
      </c>
      <c r="D387" s="248">
        <v>114</v>
      </c>
      <c r="E387" s="249">
        <v>115</v>
      </c>
      <c r="F387" s="250">
        <v>115</v>
      </c>
      <c r="G387" s="250">
        <v>99999</v>
      </c>
      <c r="H387" s="2"/>
      <c r="I387" s="408">
        <v>0</v>
      </c>
      <c r="J387" s="408"/>
      <c r="K387" s="251">
        <v>112</v>
      </c>
      <c r="L387" s="251">
        <v>112</v>
      </c>
      <c r="M387" s="251">
        <v>113</v>
      </c>
      <c r="N387" s="251">
        <v>113</v>
      </c>
      <c r="O387" s="250">
        <v>99999</v>
      </c>
      <c r="P387" s="42"/>
      <c r="Q387" s="408">
        <v>0</v>
      </c>
      <c r="R387" s="408"/>
      <c r="S387" s="251">
        <v>109</v>
      </c>
      <c r="T387" s="251">
        <v>109</v>
      </c>
      <c r="U387" s="251">
        <v>109</v>
      </c>
      <c r="V387" s="251">
        <v>109</v>
      </c>
      <c r="W387" s="250">
        <v>99999</v>
      </c>
      <c r="X387" s="2"/>
      <c r="Y387" s="408">
        <v>0</v>
      </c>
      <c r="Z387" s="408"/>
      <c r="AA387" s="251">
        <v>106</v>
      </c>
      <c r="AB387" s="251">
        <v>106</v>
      </c>
      <c r="AC387" s="251">
        <v>106</v>
      </c>
      <c r="AD387" s="251">
        <v>106</v>
      </c>
      <c r="AE387" s="250">
        <v>99999</v>
      </c>
      <c r="AF387" s="2"/>
      <c r="AG387" s="408">
        <v>0</v>
      </c>
      <c r="AH387" s="408"/>
      <c r="AI387" s="251">
        <v>102</v>
      </c>
      <c r="AJ387" s="251">
        <v>102</v>
      </c>
      <c r="AK387" s="251">
        <v>102</v>
      </c>
      <c r="AL387" s="251">
        <v>103</v>
      </c>
      <c r="AM387" s="250">
        <v>99999</v>
      </c>
      <c r="AN387" s="2"/>
      <c r="AO387" s="408">
        <v>0</v>
      </c>
      <c r="AP387" s="408"/>
      <c r="AQ387" s="251">
        <v>102</v>
      </c>
      <c r="AR387" s="251">
        <v>102</v>
      </c>
      <c r="AS387" s="251">
        <v>102</v>
      </c>
      <c r="AT387" s="251">
        <v>102</v>
      </c>
      <c r="AU387" s="250">
        <v>99999</v>
      </c>
      <c r="AV387" s="252"/>
      <c r="AW387" s="253"/>
      <c r="AX387" s="254"/>
      <c r="AY387" s="251"/>
      <c r="AZ387" s="251"/>
      <c r="BA387" s="251"/>
      <c r="BB387" s="250"/>
      <c r="BC387" s="250">
        <v>99999</v>
      </c>
    </row>
    <row r="388" spans="1:55" ht="15" customHeight="1" x14ac:dyDescent="0.3">
      <c r="A388" s="408">
        <v>5</v>
      </c>
      <c r="B388" s="408"/>
      <c r="C388" s="248">
        <v>114</v>
      </c>
      <c r="D388" s="248">
        <v>114</v>
      </c>
      <c r="E388" s="249">
        <v>115</v>
      </c>
      <c r="F388" s="250">
        <v>115</v>
      </c>
      <c r="G388" s="250">
        <v>99999</v>
      </c>
      <c r="H388" s="2"/>
      <c r="I388" s="408">
        <v>5</v>
      </c>
      <c r="J388" s="408"/>
      <c r="K388" s="251">
        <v>112</v>
      </c>
      <c r="L388" s="251">
        <v>113</v>
      </c>
      <c r="M388" s="251">
        <v>113</v>
      </c>
      <c r="N388" s="251">
        <v>113</v>
      </c>
      <c r="O388" s="250">
        <v>99999</v>
      </c>
      <c r="P388" s="42"/>
      <c r="Q388" s="408">
        <v>5</v>
      </c>
      <c r="R388" s="408"/>
      <c r="S388" s="251">
        <v>109</v>
      </c>
      <c r="T388" s="251">
        <v>109</v>
      </c>
      <c r="U388" s="251">
        <v>109</v>
      </c>
      <c r="V388" s="251">
        <v>110</v>
      </c>
      <c r="W388" s="250">
        <v>99999</v>
      </c>
      <c r="X388" s="2"/>
      <c r="Y388" s="408">
        <v>5</v>
      </c>
      <c r="Z388" s="408"/>
      <c r="AA388" s="251">
        <v>106</v>
      </c>
      <c r="AB388" s="251">
        <v>106</v>
      </c>
      <c r="AC388" s="251">
        <v>106</v>
      </c>
      <c r="AD388" s="251">
        <v>106</v>
      </c>
      <c r="AE388" s="250">
        <v>99999</v>
      </c>
      <c r="AF388" s="2"/>
      <c r="AG388" s="408">
        <v>5</v>
      </c>
      <c r="AH388" s="408"/>
      <c r="AI388" s="251">
        <v>102</v>
      </c>
      <c r="AJ388" s="251">
        <v>102</v>
      </c>
      <c r="AK388" s="251">
        <v>103</v>
      </c>
      <c r="AL388" s="251">
        <v>103</v>
      </c>
      <c r="AM388" s="250">
        <v>99999</v>
      </c>
      <c r="AN388" s="2"/>
      <c r="AO388" s="408">
        <v>5</v>
      </c>
      <c r="AP388" s="408"/>
      <c r="AQ388" s="251">
        <v>102</v>
      </c>
      <c r="AR388" s="251">
        <v>102</v>
      </c>
      <c r="AS388" s="251">
        <v>102</v>
      </c>
      <c r="AT388" s="251">
        <v>102</v>
      </c>
      <c r="AU388" s="250">
        <v>99999</v>
      </c>
      <c r="AV388" s="252"/>
      <c r="AW388" s="253"/>
      <c r="AX388" s="254"/>
      <c r="AY388" s="251"/>
      <c r="AZ388" s="251"/>
      <c r="BA388" s="251"/>
      <c r="BB388" s="250"/>
      <c r="BC388" s="250">
        <v>99999</v>
      </c>
    </row>
    <row r="389" spans="1:55" ht="15" customHeight="1" x14ac:dyDescent="0.3">
      <c r="A389" s="408">
        <v>10</v>
      </c>
      <c r="B389" s="408"/>
      <c r="C389" s="248">
        <v>114</v>
      </c>
      <c r="D389" s="248">
        <v>114</v>
      </c>
      <c r="E389" s="249">
        <v>115</v>
      </c>
      <c r="F389" s="250">
        <v>115</v>
      </c>
      <c r="G389" s="250">
        <v>99999</v>
      </c>
      <c r="H389" s="2"/>
      <c r="I389" s="408">
        <v>10</v>
      </c>
      <c r="J389" s="408"/>
      <c r="K389" s="251">
        <v>112</v>
      </c>
      <c r="L389" s="251">
        <v>113</v>
      </c>
      <c r="M389" s="251">
        <v>113</v>
      </c>
      <c r="N389" s="251">
        <v>113</v>
      </c>
      <c r="O389" s="250">
        <v>99999</v>
      </c>
      <c r="P389" s="42"/>
      <c r="Q389" s="408">
        <v>10</v>
      </c>
      <c r="R389" s="408"/>
      <c r="S389" s="251">
        <v>109</v>
      </c>
      <c r="T389" s="251">
        <v>109</v>
      </c>
      <c r="U389" s="251">
        <v>109</v>
      </c>
      <c r="V389" s="251">
        <v>110</v>
      </c>
      <c r="W389" s="250">
        <v>99999</v>
      </c>
      <c r="X389" s="2"/>
      <c r="Y389" s="408">
        <v>10</v>
      </c>
      <c r="Z389" s="408"/>
      <c r="AA389" s="251">
        <v>106</v>
      </c>
      <c r="AB389" s="251">
        <v>106</v>
      </c>
      <c r="AC389" s="251">
        <v>106</v>
      </c>
      <c r="AD389" s="251">
        <v>106</v>
      </c>
      <c r="AE389" s="250">
        <v>99999</v>
      </c>
      <c r="AF389" s="2"/>
      <c r="AG389" s="408">
        <v>10</v>
      </c>
      <c r="AH389" s="408"/>
      <c r="AI389" s="251">
        <v>102</v>
      </c>
      <c r="AJ389" s="251">
        <v>102</v>
      </c>
      <c r="AK389" s="251">
        <v>103</v>
      </c>
      <c r="AL389" s="251">
        <v>103</v>
      </c>
      <c r="AM389" s="250">
        <v>99999</v>
      </c>
      <c r="AN389" s="2"/>
      <c r="AO389" s="408">
        <v>10</v>
      </c>
      <c r="AP389" s="408"/>
      <c r="AQ389" s="251">
        <v>102</v>
      </c>
      <c r="AR389" s="251">
        <v>102</v>
      </c>
      <c r="AS389" s="251">
        <v>102</v>
      </c>
      <c r="AT389" s="251">
        <v>102</v>
      </c>
      <c r="AU389" s="250">
        <v>99999</v>
      </c>
      <c r="AV389" s="252"/>
      <c r="AW389" s="253"/>
      <c r="AX389" s="254"/>
      <c r="AY389" s="251"/>
      <c r="AZ389" s="251"/>
      <c r="BA389" s="251"/>
      <c r="BB389" s="250"/>
      <c r="BC389" s="250">
        <v>99999</v>
      </c>
    </row>
    <row r="390" spans="1:55" ht="15" customHeight="1" x14ac:dyDescent="0.3">
      <c r="A390" s="408">
        <v>15</v>
      </c>
      <c r="B390" s="408"/>
      <c r="C390" s="248">
        <v>114</v>
      </c>
      <c r="D390" s="248">
        <v>115</v>
      </c>
      <c r="E390" s="249">
        <v>115</v>
      </c>
      <c r="F390" s="250">
        <v>115</v>
      </c>
      <c r="G390" s="250">
        <v>99999</v>
      </c>
      <c r="H390" s="2"/>
      <c r="I390" s="408">
        <v>15</v>
      </c>
      <c r="J390" s="408"/>
      <c r="K390" s="251">
        <v>113</v>
      </c>
      <c r="L390" s="251">
        <v>113</v>
      </c>
      <c r="M390" s="251">
        <v>113</v>
      </c>
      <c r="N390" s="251">
        <v>113</v>
      </c>
      <c r="O390" s="250">
        <v>99999</v>
      </c>
      <c r="P390" s="42"/>
      <c r="Q390" s="408">
        <v>15</v>
      </c>
      <c r="R390" s="408"/>
      <c r="S390" s="251">
        <v>109</v>
      </c>
      <c r="T390" s="251">
        <v>109</v>
      </c>
      <c r="U390" s="251">
        <v>110</v>
      </c>
      <c r="V390" s="251">
        <v>110</v>
      </c>
      <c r="W390" s="250">
        <v>99999</v>
      </c>
      <c r="X390" s="2"/>
      <c r="Y390" s="408">
        <v>15</v>
      </c>
      <c r="Z390" s="408"/>
      <c r="AA390" s="251">
        <v>106</v>
      </c>
      <c r="AB390" s="251">
        <v>106</v>
      </c>
      <c r="AC390" s="251">
        <v>106</v>
      </c>
      <c r="AD390" s="251">
        <v>106</v>
      </c>
      <c r="AE390" s="250">
        <v>99999</v>
      </c>
      <c r="AF390" s="2"/>
      <c r="AG390" s="408">
        <v>15</v>
      </c>
      <c r="AH390" s="408"/>
      <c r="AI390" s="251">
        <v>102</v>
      </c>
      <c r="AJ390" s="251">
        <v>103</v>
      </c>
      <c r="AK390" s="251">
        <v>103</v>
      </c>
      <c r="AL390" s="251">
        <v>103</v>
      </c>
      <c r="AM390" s="250">
        <v>99999</v>
      </c>
      <c r="AN390" s="2"/>
      <c r="AO390" s="408">
        <v>15</v>
      </c>
      <c r="AP390" s="408"/>
      <c r="AQ390" s="251">
        <v>102</v>
      </c>
      <c r="AR390" s="251">
        <v>102</v>
      </c>
      <c r="AS390" s="251">
        <v>102</v>
      </c>
      <c r="AT390" s="251">
        <v>102</v>
      </c>
      <c r="AU390" s="250">
        <v>99999</v>
      </c>
      <c r="AV390" s="252"/>
      <c r="AW390" s="253"/>
      <c r="AX390" s="254"/>
      <c r="AY390" s="251"/>
      <c r="AZ390" s="251"/>
      <c r="BA390" s="251"/>
      <c r="BB390" s="250"/>
      <c r="BC390" s="250">
        <v>99999</v>
      </c>
    </row>
    <row r="391" spans="1:55" ht="15" customHeight="1" x14ac:dyDescent="0.3">
      <c r="A391" s="408">
        <v>20</v>
      </c>
      <c r="B391" s="408"/>
      <c r="C391" s="248">
        <v>114</v>
      </c>
      <c r="D391" s="248">
        <v>115</v>
      </c>
      <c r="E391" s="249">
        <v>115</v>
      </c>
      <c r="F391" s="250">
        <v>115</v>
      </c>
      <c r="G391" s="250">
        <v>99999</v>
      </c>
      <c r="H391" s="2"/>
      <c r="I391" s="408">
        <v>20</v>
      </c>
      <c r="J391" s="408"/>
      <c r="K391" s="251">
        <v>113</v>
      </c>
      <c r="L391" s="251">
        <v>113</v>
      </c>
      <c r="M391" s="251">
        <v>113</v>
      </c>
      <c r="N391" s="251">
        <v>113</v>
      </c>
      <c r="O391" s="250">
        <v>99999</v>
      </c>
      <c r="P391" s="42"/>
      <c r="Q391" s="408">
        <v>20</v>
      </c>
      <c r="R391" s="408"/>
      <c r="S391" s="251">
        <v>109</v>
      </c>
      <c r="T391" s="251">
        <v>109</v>
      </c>
      <c r="U391" s="251">
        <v>110</v>
      </c>
      <c r="V391" s="251">
        <v>110</v>
      </c>
      <c r="W391" s="250">
        <v>99999</v>
      </c>
      <c r="X391" s="2"/>
      <c r="Y391" s="408">
        <v>20</v>
      </c>
      <c r="Z391" s="408"/>
      <c r="AA391" s="251">
        <v>106</v>
      </c>
      <c r="AB391" s="251">
        <v>106</v>
      </c>
      <c r="AC391" s="251">
        <v>106</v>
      </c>
      <c r="AD391" s="251">
        <v>106</v>
      </c>
      <c r="AE391" s="250">
        <v>99999</v>
      </c>
      <c r="AF391" s="2"/>
      <c r="AG391" s="408">
        <v>20</v>
      </c>
      <c r="AH391" s="408"/>
      <c r="AI391" s="251">
        <v>102</v>
      </c>
      <c r="AJ391" s="251">
        <v>103</v>
      </c>
      <c r="AK391" s="251">
        <v>103</v>
      </c>
      <c r="AL391" s="251">
        <v>103</v>
      </c>
      <c r="AM391" s="250">
        <v>99999</v>
      </c>
      <c r="AN391" s="2"/>
      <c r="AO391" s="408">
        <v>20</v>
      </c>
      <c r="AP391" s="408"/>
      <c r="AQ391" s="251">
        <v>102</v>
      </c>
      <c r="AR391" s="251">
        <v>102</v>
      </c>
      <c r="AS391" s="251">
        <v>102</v>
      </c>
      <c r="AT391" s="251">
        <v>102</v>
      </c>
      <c r="AU391" s="250">
        <v>99999</v>
      </c>
      <c r="AV391" s="252"/>
      <c r="AW391" s="408">
        <v>20</v>
      </c>
      <c r="AX391" s="408"/>
      <c r="AY391" s="251"/>
      <c r="AZ391" s="251"/>
      <c r="BA391" s="251"/>
      <c r="BB391" s="250"/>
      <c r="BC391" s="250">
        <v>99999</v>
      </c>
    </row>
    <row r="392" spans="1:55" ht="15" customHeight="1" x14ac:dyDescent="0.3">
      <c r="A392" s="408">
        <v>25</v>
      </c>
      <c r="B392" s="408"/>
      <c r="C392" s="248">
        <v>115</v>
      </c>
      <c r="D392" s="248">
        <v>115</v>
      </c>
      <c r="E392" s="249">
        <v>115</v>
      </c>
      <c r="F392" s="250">
        <v>115</v>
      </c>
      <c r="G392" s="250">
        <v>99999</v>
      </c>
      <c r="H392" s="2"/>
      <c r="I392" s="408">
        <v>25</v>
      </c>
      <c r="J392" s="408"/>
      <c r="K392" s="251">
        <v>113</v>
      </c>
      <c r="L392" s="251">
        <v>113</v>
      </c>
      <c r="M392" s="251">
        <v>113</v>
      </c>
      <c r="N392" s="251">
        <v>113</v>
      </c>
      <c r="O392" s="250">
        <v>99999</v>
      </c>
      <c r="P392" s="42"/>
      <c r="Q392" s="408">
        <v>25</v>
      </c>
      <c r="R392" s="408"/>
      <c r="S392" s="251">
        <v>109</v>
      </c>
      <c r="T392" s="251">
        <v>110</v>
      </c>
      <c r="U392" s="251">
        <v>110</v>
      </c>
      <c r="V392" s="251">
        <v>110</v>
      </c>
      <c r="W392" s="250">
        <v>99999</v>
      </c>
      <c r="X392" s="2"/>
      <c r="Y392" s="408">
        <v>25</v>
      </c>
      <c r="Z392" s="408"/>
      <c r="AA392" s="251">
        <v>106</v>
      </c>
      <c r="AB392" s="251">
        <v>106</v>
      </c>
      <c r="AC392" s="251">
        <v>106</v>
      </c>
      <c r="AD392" s="250">
        <v>107</v>
      </c>
      <c r="AE392" s="250">
        <v>99999</v>
      </c>
      <c r="AF392" s="2"/>
      <c r="AG392" s="408">
        <v>25</v>
      </c>
      <c r="AH392" s="408"/>
      <c r="AI392" s="251">
        <v>103</v>
      </c>
      <c r="AJ392" s="251">
        <v>103</v>
      </c>
      <c r="AK392" s="251">
        <v>103</v>
      </c>
      <c r="AL392" s="251">
        <v>103</v>
      </c>
      <c r="AM392" s="250">
        <v>99999</v>
      </c>
      <c r="AN392" s="2"/>
      <c r="AO392" s="408">
        <v>25</v>
      </c>
      <c r="AP392" s="408"/>
      <c r="AQ392" s="251">
        <v>102</v>
      </c>
      <c r="AR392" s="251">
        <v>102</v>
      </c>
      <c r="AS392" s="251">
        <v>102</v>
      </c>
      <c r="AT392" s="251">
        <v>102</v>
      </c>
      <c r="AU392" s="250">
        <v>99999</v>
      </c>
      <c r="AV392" s="252"/>
      <c r="AW392" s="253"/>
      <c r="AX392" s="254"/>
      <c r="AY392" s="251"/>
      <c r="AZ392" s="251"/>
      <c r="BA392" s="251"/>
      <c r="BB392" s="250"/>
      <c r="BC392" s="250">
        <v>99999</v>
      </c>
    </row>
    <row r="393" spans="1:55" ht="15" customHeight="1" x14ac:dyDescent="0.3">
      <c r="A393" s="408">
        <v>30</v>
      </c>
      <c r="B393" s="408"/>
      <c r="C393" s="248">
        <v>115</v>
      </c>
      <c r="D393" s="248">
        <v>115</v>
      </c>
      <c r="E393" s="249">
        <v>115</v>
      </c>
      <c r="F393" s="250"/>
      <c r="G393" s="250">
        <v>99999</v>
      </c>
      <c r="H393" s="2"/>
      <c r="I393" s="408">
        <v>30</v>
      </c>
      <c r="J393" s="408"/>
      <c r="K393" s="251">
        <v>113</v>
      </c>
      <c r="L393" s="251">
        <v>113</v>
      </c>
      <c r="M393" s="251">
        <v>113</v>
      </c>
      <c r="N393" s="251">
        <v>113</v>
      </c>
      <c r="O393" s="250">
        <v>99999</v>
      </c>
      <c r="P393" s="42"/>
      <c r="Q393" s="408">
        <v>30</v>
      </c>
      <c r="R393" s="408"/>
      <c r="S393" s="251">
        <v>109</v>
      </c>
      <c r="T393" s="251">
        <v>110</v>
      </c>
      <c r="U393" s="251">
        <v>110</v>
      </c>
      <c r="V393" s="251">
        <v>110</v>
      </c>
      <c r="W393" s="250">
        <v>99999</v>
      </c>
      <c r="X393" s="2"/>
      <c r="Y393" s="408">
        <v>30</v>
      </c>
      <c r="Z393" s="408"/>
      <c r="AA393" s="251">
        <v>106</v>
      </c>
      <c r="AB393" s="251">
        <v>106</v>
      </c>
      <c r="AC393" s="251">
        <v>106</v>
      </c>
      <c r="AD393" s="250">
        <v>107</v>
      </c>
      <c r="AE393" s="250">
        <v>99999</v>
      </c>
      <c r="AF393" s="2"/>
      <c r="AG393" s="408">
        <v>30</v>
      </c>
      <c r="AH393" s="408"/>
      <c r="AI393" s="251">
        <v>103</v>
      </c>
      <c r="AJ393" s="251">
        <v>103</v>
      </c>
      <c r="AK393" s="251">
        <v>103</v>
      </c>
      <c r="AL393" s="251">
        <v>103</v>
      </c>
      <c r="AM393" s="250">
        <v>99999</v>
      </c>
      <c r="AN393" s="2"/>
      <c r="AO393" s="408">
        <v>30</v>
      </c>
      <c r="AP393" s="408"/>
      <c r="AQ393" s="251">
        <v>102</v>
      </c>
      <c r="AR393" s="251">
        <v>102</v>
      </c>
      <c r="AS393" s="251">
        <v>102</v>
      </c>
      <c r="AT393" s="251">
        <v>102</v>
      </c>
      <c r="AU393" s="250">
        <v>99999</v>
      </c>
      <c r="AV393" s="252"/>
      <c r="AW393" s="408">
        <v>30</v>
      </c>
      <c r="AX393" s="408"/>
      <c r="AY393" s="251"/>
      <c r="AZ393" s="251"/>
      <c r="BA393" s="251"/>
      <c r="BB393" s="250"/>
      <c r="BC393" s="250">
        <v>99999</v>
      </c>
    </row>
    <row r="394" spans="1:55" ht="15" customHeight="1" x14ac:dyDescent="0.3">
      <c r="A394" s="408">
        <v>40</v>
      </c>
      <c r="B394" s="408"/>
      <c r="C394" s="255">
        <v>99999</v>
      </c>
      <c r="D394" s="255">
        <v>99999</v>
      </c>
      <c r="E394" s="255">
        <v>99999</v>
      </c>
      <c r="F394" s="255">
        <v>99999</v>
      </c>
      <c r="G394" s="250">
        <v>99999</v>
      </c>
      <c r="H394" s="2"/>
      <c r="I394" s="408">
        <v>40</v>
      </c>
      <c r="J394" s="408"/>
      <c r="K394" s="255">
        <v>99999</v>
      </c>
      <c r="L394" s="255">
        <v>99999</v>
      </c>
      <c r="M394" s="255">
        <v>99999</v>
      </c>
      <c r="N394" s="255">
        <v>99999</v>
      </c>
      <c r="O394" s="250">
        <v>99999</v>
      </c>
      <c r="P394" s="42"/>
      <c r="Q394" s="408">
        <v>40</v>
      </c>
      <c r="R394" s="408"/>
      <c r="S394" s="255">
        <v>99999</v>
      </c>
      <c r="T394" s="255">
        <v>99999</v>
      </c>
      <c r="U394" s="255">
        <v>99999</v>
      </c>
      <c r="V394" s="255">
        <v>99999</v>
      </c>
      <c r="W394" s="250">
        <v>99999</v>
      </c>
      <c r="X394" s="2"/>
      <c r="Y394" s="408">
        <v>40</v>
      </c>
      <c r="Z394" s="408"/>
      <c r="AA394" s="255">
        <v>99999</v>
      </c>
      <c r="AB394" s="255">
        <v>99999</v>
      </c>
      <c r="AC394" s="255">
        <v>99999</v>
      </c>
      <c r="AD394" s="255">
        <v>99999</v>
      </c>
      <c r="AE394" s="250">
        <v>99999</v>
      </c>
      <c r="AF394" s="2"/>
      <c r="AG394" s="408">
        <v>40</v>
      </c>
      <c r="AH394" s="408"/>
      <c r="AI394" s="255">
        <v>99999</v>
      </c>
      <c r="AJ394" s="255">
        <v>99999</v>
      </c>
      <c r="AK394" s="255">
        <v>99999</v>
      </c>
      <c r="AL394" s="255">
        <v>99999</v>
      </c>
      <c r="AM394" s="250">
        <v>99999</v>
      </c>
      <c r="AN394" s="2"/>
      <c r="AO394" s="408">
        <v>40</v>
      </c>
      <c r="AP394" s="408"/>
      <c r="AQ394" s="255">
        <v>99999</v>
      </c>
      <c r="AR394" s="255">
        <v>99999</v>
      </c>
      <c r="AS394" s="255">
        <v>99999</v>
      </c>
      <c r="AT394" s="255">
        <v>99999</v>
      </c>
      <c r="AU394" s="250">
        <v>99999</v>
      </c>
      <c r="AV394" s="252"/>
      <c r="AW394" s="408">
        <v>40</v>
      </c>
      <c r="AX394" s="408"/>
      <c r="AY394" s="255">
        <v>99999</v>
      </c>
      <c r="AZ394" s="255">
        <v>99999</v>
      </c>
      <c r="BA394" s="255">
        <v>99999</v>
      </c>
      <c r="BB394" s="255">
        <v>99999</v>
      </c>
      <c r="BC394" s="250">
        <v>99999</v>
      </c>
    </row>
    <row r="395" spans="1:55" ht="15" customHeight="1" x14ac:dyDescent="0.3">
      <c r="A395" s="409"/>
      <c r="B395" s="409"/>
      <c r="C395" s="256" t="s">
        <v>219</v>
      </c>
      <c r="D395" s="257" t="s">
        <v>219</v>
      </c>
      <c r="E395" s="257" t="s">
        <v>219</v>
      </c>
      <c r="F395" s="257" t="s">
        <v>219</v>
      </c>
      <c r="G395" s="258" t="s">
        <v>219</v>
      </c>
      <c r="H395" s="2"/>
      <c r="I395" s="409"/>
      <c r="J395" s="409"/>
      <c r="K395" s="256" t="s">
        <v>219</v>
      </c>
      <c r="L395" s="257" t="s">
        <v>219</v>
      </c>
      <c r="M395" s="257" t="s">
        <v>219</v>
      </c>
      <c r="N395" s="257" t="s">
        <v>219</v>
      </c>
      <c r="O395" s="258" t="s">
        <v>219</v>
      </c>
      <c r="P395" s="42"/>
      <c r="Q395" s="409"/>
      <c r="R395" s="409"/>
      <c r="S395" s="256" t="s">
        <v>219</v>
      </c>
      <c r="T395" s="257" t="s">
        <v>219</v>
      </c>
      <c r="U395" s="257" t="s">
        <v>219</v>
      </c>
      <c r="V395" s="257" t="s">
        <v>219</v>
      </c>
      <c r="W395" s="258" t="s">
        <v>219</v>
      </c>
      <c r="X395" s="2"/>
      <c r="Y395" s="409"/>
      <c r="Z395" s="409"/>
      <c r="AA395" s="256" t="s">
        <v>219</v>
      </c>
      <c r="AB395" s="257" t="s">
        <v>219</v>
      </c>
      <c r="AC395" s="257" t="s">
        <v>219</v>
      </c>
      <c r="AD395" s="257" t="s">
        <v>219</v>
      </c>
      <c r="AE395" s="258" t="s">
        <v>219</v>
      </c>
      <c r="AF395" s="2"/>
      <c r="AG395" s="409"/>
      <c r="AH395" s="409"/>
      <c r="AI395" s="256" t="s">
        <v>219</v>
      </c>
      <c r="AJ395" s="257" t="s">
        <v>219</v>
      </c>
      <c r="AK395" s="257" t="s">
        <v>219</v>
      </c>
      <c r="AL395" s="257" t="s">
        <v>219</v>
      </c>
      <c r="AM395" s="258" t="s">
        <v>219</v>
      </c>
      <c r="AN395" s="2"/>
      <c r="AO395" s="409"/>
      <c r="AP395" s="409"/>
      <c r="AQ395" s="256" t="s">
        <v>219</v>
      </c>
      <c r="AR395" s="257" t="s">
        <v>219</v>
      </c>
      <c r="AS395" s="257" t="s">
        <v>219</v>
      </c>
      <c r="AT395" s="257" t="s">
        <v>219</v>
      </c>
      <c r="AU395" s="258" t="s">
        <v>219</v>
      </c>
      <c r="AV395" s="252"/>
      <c r="AW395" s="409"/>
      <c r="AX395" s="409"/>
      <c r="AY395" s="256" t="s">
        <v>219</v>
      </c>
      <c r="AZ395" s="257" t="s">
        <v>219</v>
      </c>
      <c r="BA395" s="257" t="s">
        <v>219</v>
      </c>
      <c r="BB395" s="257" t="s">
        <v>219</v>
      </c>
      <c r="BC395" s="258" t="s">
        <v>219</v>
      </c>
    </row>
    <row r="396" spans="1:55" ht="15.75" customHeight="1" x14ac:dyDescent="0.3"/>
    <row r="397" spans="1:55" ht="15" customHeight="1" x14ac:dyDescent="0.3">
      <c r="B397" s="139" t="s">
        <v>146</v>
      </c>
      <c r="C397" s="140">
        <f ca="1">$D$1</f>
        <v>770</v>
      </c>
      <c r="D397" s="355" t="s">
        <v>201</v>
      </c>
      <c r="E397" s="355"/>
      <c r="F397" s="137"/>
      <c r="G397" s="137"/>
      <c r="H397" s="2"/>
      <c r="I397" s="2"/>
      <c r="J397" s="139" t="s">
        <v>146</v>
      </c>
      <c r="K397" s="140">
        <f ca="1">$D$1</f>
        <v>770</v>
      </c>
      <c r="L397" s="355" t="s">
        <v>201</v>
      </c>
      <c r="M397" s="355"/>
      <c r="N397" s="137"/>
      <c r="O397" s="137"/>
      <c r="P397" s="137"/>
      <c r="Q397" s="2"/>
      <c r="R397" s="139" t="s">
        <v>146</v>
      </c>
      <c r="S397" s="140">
        <f ca="1">$D$1</f>
        <v>770</v>
      </c>
      <c r="T397" s="355" t="s">
        <v>201</v>
      </c>
      <c r="U397" s="355"/>
      <c r="V397" s="137"/>
      <c r="W397" s="137"/>
      <c r="X397" s="2"/>
      <c r="Y397" s="2"/>
      <c r="Z397" s="139" t="s">
        <v>146</v>
      </c>
      <c r="AA397" s="140">
        <f ca="1">$D$1</f>
        <v>770</v>
      </c>
      <c r="AB397" s="355" t="s">
        <v>201</v>
      </c>
      <c r="AC397" s="355"/>
      <c r="AD397" s="137"/>
      <c r="AE397" s="137"/>
      <c r="AF397" s="2"/>
      <c r="AG397" s="2"/>
      <c r="AH397" s="139" t="s">
        <v>146</v>
      </c>
      <c r="AI397" s="140">
        <f ca="1">$D$1</f>
        <v>770</v>
      </c>
      <c r="AJ397" s="355" t="s">
        <v>201</v>
      </c>
      <c r="AK397" s="355"/>
      <c r="AL397" s="137"/>
      <c r="AM397" s="137"/>
      <c r="AN397" s="2"/>
      <c r="AO397" s="2"/>
      <c r="AP397" s="139" t="s">
        <v>146</v>
      </c>
      <c r="AQ397" s="140">
        <f ca="1">$D$1</f>
        <v>770</v>
      </c>
      <c r="AR397" s="355" t="s">
        <v>201</v>
      </c>
      <c r="AS397" s="355"/>
      <c r="AT397" s="137"/>
      <c r="AU397" s="137"/>
      <c r="AV397" s="137"/>
      <c r="AW397" s="2"/>
      <c r="AX397" s="139" t="s">
        <v>146</v>
      </c>
      <c r="AY397" s="140">
        <f ca="1">$D$1</f>
        <v>770</v>
      </c>
      <c r="AZ397" s="355" t="s">
        <v>201</v>
      </c>
      <c r="BA397" s="355"/>
    </row>
    <row r="398" spans="1:55" ht="15" customHeight="1" x14ac:dyDescent="0.3">
      <c r="B398" s="16" t="s">
        <v>202</v>
      </c>
      <c r="C398" s="141">
        <f t="array" aca="1" ref="C398" ca="1">INDEX(C380:G380,MATCH(C397,C380:G380,1))</f>
        <v>0</v>
      </c>
      <c r="D398" s="16" t="s">
        <v>144</v>
      </c>
      <c r="E398" s="17">
        <f>MATCH(MAX(A381:A395),A381:A395,0)</f>
        <v>14</v>
      </c>
      <c r="F398" s="17"/>
      <c r="H398" s="2"/>
      <c r="I398" s="2"/>
      <c r="J398" s="16" t="s">
        <v>202</v>
      </c>
      <c r="K398" s="141">
        <f t="array" aca="1" ref="K398" ca="1">INDEX(K380:O380,MATCH(K397,K380:O380,1))</f>
        <v>0</v>
      </c>
      <c r="L398" s="16" t="s">
        <v>144</v>
      </c>
      <c r="M398" s="17">
        <f>MATCH(MAX(I381:I395),I381:I395,0)</f>
        <v>14</v>
      </c>
      <c r="N398" s="17"/>
      <c r="O398" s="17"/>
      <c r="P398" s="17"/>
      <c r="Q398" s="2"/>
      <c r="R398" s="16" t="s">
        <v>202</v>
      </c>
      <c r="S398" s="141">
        <f t="array" aca="1" ref="S398" ca="1">INDEX(S380:W380,MATCH(S397,S380:W380,1))</f>
        <v>0</v>
      </c>
      <c r="T398" s="16" t="s">
        <v>144</v>
      </c>
      <c r="U398" s="17">
        <f>MATCH(MAX(Q381:Q395),Q381:Q395,0)</f>
        <v>14</v>
      </c>
      <c r="V398" s="17"/>
      <c r="W398" s="17"/>
      <c r="X398" s="2"/>
      <c r="Y398" s="2"/>
      <c r="Z398" s="16" t="s">
        <v>202</v>
      </c>
      <c r="AA398" s="141">
        <f t="array" aca="1" ref="AA398" ca="1">INDEX(AA380:AE380,MATCH(AA397,AA380:AE380,1))</f>
        <v>0</v>
      </c>
      <c r="AB398" s="16" t="s">
        <v>144</v>
      </c>
      <c r="AC398" s="17">
        <f>MATCH(MAX(Y381:Y395),Y381:Y395,0)</f>
        <v>14</v>
      </c>
      <c r="AD398" s="17"/>
      <c r="AE398" s="17"/>
      <c r="AF398" s="2"/>
      <c r="AG398" s="2"/>
      <c r="AH398" s="16" t="s">
        <v>202</v>
      </c>
      <c r="AI398" s="141">
        <f t="array" aca="1" ref="AI398" ca="1">INDEX(AI380:AM380,MATCH(AI397,AI380:AM380,1))</f>
        <v>0</v>
      </c>
      <c r="AJ398" s="16" t="s">
        <v>144</v>
      </c>
      <c r="AK398" s="17">
        <f>MATCH(MAX(AG381:AG395),AG381:AG395,0)</f>
        <v>14</v>
      </c>
      <c r="AL398" s="17"/>
      <c r="AM398" s="17"/>
      <c r="AN398" s="2"/>
      <c r="AO398" s="2"/>
      <c r="AP398" s="16" t="s">
        <v>202</v>
      </c>
      <c r="AQ398" s="141">
        <f t="array" aca="1" ref="AQ398" ca="1">INDEX(AQ380:AU380,MATCH(AQ397,AQ380:AU380,1))</f>
        <v>0</v>
      </c>
      <c r="AR398" s="16" t="s">
        <v>144</v>
      </c>
      <c r="AS398" s="17">
        <f>MATCH(MAX(AO381:AO395),AO381:AO395,0)</f>
        <v>14</v>
      </c>
      <c r="AT398" s="17"/>
      <c r="AU398" s="17"/>
      <c r="AV398" s="17"/>
      <c r="AW398" s="2"/>
      <c r="AX398" s="16" t="s">
        <v>202</v>
      </c>
      <c r="AY398" s="141">
        <f t="array" aca="1" ref="AY398" ca="1">INDEX(AY380:BC380,MATCH(AY397,AY380:BC380,1))</f>
        <v>0</v>
      </c>
      <c r="AZ398" s="16" t="s">
        <v>144</v>
      </c>
      <c r="BA398" s="17">
        <f>MATCH(MAX(AW381:AW395),AW381:AW395,0)</f>
        <v>14</v>
      </c>
    </row>
    <row r="399" spans="1:55" ht="15" customHeight="1" x14ac:dyDescent="0.3">
      <c r="B399" s="16" t="s">
        <v>203</v>
      </c>
      <c r="C399" s="141">
        <f t="array" aca="1" ref="C399" ca="1">INDEX(C380:G380,IF(MATCH(C397,C380:G380,1)&lt;E399,MATCH(C397,C380:G380,1)+1,MATCH(C397,C380:G380,1)))</f>
        <v>1000</v>
      </c>
      <c r="D399" s="16" t="s">
        <v>145</v>
      </c>
      <c r="E399" s="17">
        <f>MATCH(MAX(C380:G380),C380:G380,0)</f>
        <v>5</v>
      </c>
      <c r="F399" s="17"/>
      <c r="H399" s="2"/>
      <c r="I399" s="2"/>
      <c r="J399" s="16" t="s">
        <v>203</v>
      </c>
      <c r="K399" s="141">
        <f t="array" aca="1" ref="K399" ca="1">INDEX(K380:O380,IF(MATCH(K397,K380:O380,1)&lt;M399,MATCH(K397,K380:O380,1)+1,MATCH(K397,K380:O380,1)))</f>
        <v>1000</v>
      </c>
      <c r="L399" s="16" t="s">
        <v>145</v>
      </c>
      <c r="M399" s="17">
        <f>MATCH(MAX(K380:O380),K380:O380,0)</f>
        <v>5</v>
      </c>
      <c r="N399" s="17"/>
      <c r="O399" s="17"/>
      <c r="P399" s="17"/>
      <c r="Q399" s="2"/>
      <c r="R399" s="16" t="s">
        <v>203</v>
      </c>
      <c r="S399" s="141">
        <f t="array" aca="1" ref="S399" ca="1">INDEX(S380:W380,IF(MATCH(S397,S380:W380,1)&lt;U399,MATCH(S397,S380:W380,1)+1,MATCH(S397,S380:W380,1)))</f>
        <v>1000</v>
      </c>
      <c r="T399" s="16" t="s">
        <v>145</v>
      </c>
      <c r="U399" s="17">
        <f>MATCH(MAX(S380:W380),S380:W380,0)</f>
        <v>5</v>
      </c>
      <c r="V399" s="17"/>
      <c r="W399" s="17"/>
      <c r="X399" s="2"/>
      <c r="Y399" s="2"/>
      <c r="Z399" s="16" t="s">
        <v>203</v>
      </c>
      <c r="AA399" s="141">
        <f t="array" aca="1" ref="AA399" ca="1">INDEX(AA380:AE380,IF(MATCH(AA397,AA380:AE380,1)&lt;AC399,MATCH(AA397,AA380:AE380,1)+1,MATCH(AA397,AA380:AE380,1)))</f>
        <v>1000</v>
      </c>
      <c r="AB399" s="16" t="s">
        <v>145</v>
      </c>
      <c r="AC399" s="17">
        <f>MATCH(MAX(AA380:AE380),AA380:AE380,0)</f>
        <v>5</v>
      </c>
      <c r="AD399" s="17"/>
      <c r="AE399" s="17"/>
      <c r="AF399" s="2"/>
      <c r="AG399" s="2"/>
      <c r="AH399" s="16" t="s">
        <v>203</v>
      </c>
      <c r="AI399" s="141">
        <f t="array" aca="1" ref="AI399" ca="1">INDEX(AI380:AM380,IF(MATCH(AI397,AI380:AM380,1)&lt;AK399,MATCH(AI397,AI380:AM380,1)+1,MATCH(AI397,AI380:AM380,1)))</f>
        <v>1000</v>
      </c>
      <c r="AJ399" s="16" t="s">
        <v>145</v>
      </c>
      <c r="AK399" s="17">
        <f>MATCH(MAX(AI380:AM380),AI380:AM380,0)</f>
        <v>5</v>
      </c>
      <c r="AL399" s="17"/>
      <c r="AM399" s="17"/>
      <c r="AN399" s="2"/>
      <c r="AO399" s="2"/>
      <c r="AP399" s="16" t="s">
        <v>203</v>
      </c>
      <c r="AQ399" s="141">
        <f t="array" aca="1" ref="AQ399" ca="1">INDEX(AQ380:AU380,IF(MATCH(AQ397,AQ380:AU380,1)&lt;AS399,MATCH(AQ397,AQ380:AU380,1)+1,MATCH(AQ397,AQ380:AU380,1)))</f>
        <v>1000</v>
      </c>
      <c r="AR399" s="16" t="s">
        <v>145</v>
      </c>
      <c r="AS399" s="17">
        <f>MATCH(MAX(AQ380:AU380),AQ380:AU380,0)</f>
        <v>5</v>
      </c>
      <c r="AT399" s="17"/>
      <c r="AU399" s="17"/>
      <c r="AV399" s="17"/>
      <c r="AW399" s="2"/>
      <c r="AX399" s="16" t="s">
        <v>203</v>
      </c>
      <c r="AY399" s="141">
        <f t="array" aca="1" ref="AY399" ca="1">INDEX(AY380:BC380,IF(MATCH(AY397,AY380:BC380,1)&lt;BA399,MATCH(AY397,AY380:BC380,1)+1,MATCH(AY397,AY380:BC380,1)))</f>
        <v>1000</v>
      </c>
      <c r="AZ399" s="16" t="s">
        <v>145</v>
      </c>
      <c r="BA399" s="17">
        <f>MATCH(MAX(AY380:BC380),AY380:BC380,0)</f>
        <v>5</v>
      </c>
    </row>
    <row r="400" spans="1:55" ht="15" customHeight="1" x14ac:dyDescent="0.3">
      <c r="B400" s="139" t="s">
        <v>147</v>
      </c>
      <c r="C400" s="140">
        <f ca="1">$D$2</f>
        <v>15</v>
      </c>
      <c r="D400" s="2"/>
      <c r="E400" s="2"/>
      <c r="F400" s="2"/>
      <c r="G400" s="17"/>
      <c r="H400" s="2"/>
      <c r="I400" s="2"/>
      <c r="J400" s="139" t="s">
        <v>147</v>
      </c>
      <c r="K400" s="140">
        <f ca="1">$D$2</f>
        <v>15</v>
      </c>
      <c r="L400" s="2"/>
      <c r="M400" s="2"/>
      <c r="N400" s="2"/>
      <c r="O400" s="17"/>
      <c r="P400" s="17"/>
      <c r="Q400" s="2"/>
      <c r="R400" s="139" t="s">
        <v>147</v>
      </c>
      <c r="S400" s="140">
        <f ca="1">$D$2</f>
        <v>15</v>
      </c>
      <c r="T400" s="2"/>
      <c r="U400" s="2"/>
      <c r="V400" s="2"/>
      <c r="W400" s="17"/>
      <c r="X400" s="2"/>
      <c r="Y400" s="2"/>
      <c r="Z400" s="139" t="s">
        <v>147</v>
      </c>
      <c r="AA400" s="140">
        <f ca="1">$D$2</f>
        <v>15</v>
      </c>
      <c r="AB400" s="2"/>
      <c r="AC400" s="2"/>
      <c r="AD400" s="2"/>
      <c r="AE400" s="17"/>
      <c r="AF400" s="2"/>
      <c r="AG400" s="2"/>
      <c r="AH400" s="139" t="s">
        <v>147</v>
      </c>
      <c r="AI400" s="140">
        <f ca="1">$D$2</f>
        <v>15</v>
      </c>
      <c r="AJ400" s="2"/>
      <c r="AK400" s="2"/>
      <c r="AL400" s="2"/>
      <c r="AM400" s="17"/>
      <c r="AN400" s="2"/>
      <c r="AO400" s="2"/>
      <c r="AP400" s="139" t="s">
        <v>147</v>
      </c>
      <c r="AQ400" s="140">
        <f ca="1">$D$2</f>
        <v>15</v>
      </c>
      <c r="AR400" s="2"/>
      <c r="AS400" s="2"/>
      <c r="AT400" s="2"/>
      <c r="AU400" s="17"/>
      <c r="AV400" s="17"/>
      <c r="AW400" s="2"/>
      <c r="AX400" s="139" t="s">
        <v>147</v>
      </c>
      <c r="AY400" s="140">
        <f ca="1">$D$2</f>
        <v>15</v>
      </c>
      <c r="AZ400" s="2"/>
      <c r="BA400" s="2"/>
    </row>
    <row r="401" spans="1:55" ht="15" customHeight="1" x14ac:dyDescent="0.3">
      <c r="B401" s="16" t="s">
        <v>148</v>
      </c>
      <c r="C401" s="141">
        <f t="array" aca="1" ref="C401" ca="1">INDEX(A381:A395,MATCH(C400,A381:A395,1))</f>
        <v>15</v>
      </c>
      <c r="D401" s="2"/>
      <c r="E401" s="42"/>
      <c r="F401" s="42"/>
      <c r="G401" s="2"/>
      <c r="H401" s="2"/>
      <c r="I401" s="2"/>
      <c r="J401" s="16" t="s">
        <v>148</v>
      </c>
      <c r="K401" s="141">
        <f t="array" aca="1" ref="K401" ca="1">INDEX(I381:I395,MATCH(K400,I381:I395,1))</f>
        <v>15</v>
      </c>
      <c r="L401" s="2"/>
      <c r="M401" s="2"/>
      <c r="N401" s="2"/>
      <c r="O401" s="2"/>
      <c r="P401" s="2"/>
      <c r="Q401" s="2"/>
      <c r="R401" s="16" t="s">
        <v>148</v>
      </c>
      <c r="S401" s="141">
        <f t="array" aca="1" ref="S401" ca="1">INDEX(Q381:Q395,MATCH(S400,Q381:Q395,1))</f>
        <v>15</v>
      </c>
      <c r="T401" s="2"/>
      <c r="U401" s="2"/>
      <c r="V401" s="2"/>
      <c r="W401" s="2"/>
      <c r="X401" s="2"/>
      <c r="Y401" s="2"/>
      <c r="Z401" s="16" t="s">
        <v>148</v>
      </c>
      <c r="AA401" s="141">
        <f t="array" aca="1" ref="AA401" ca="1">INDEX(Y381:Y395,MATCH(AA400,Y381:Y395,1))</f>
        <v>15</v>
      </c>
      <c r="AB401" s="2"/>
      <c r="AC401" s="2"/>
      <c r="AD401" s="2"/>
      <c r="AE401" s="2"/>
      <c r="AF401" s="2"/>
      <c r="AG401" s="2"/>
      <c r="AH401" s="16" t="s">
        <v>148</v>
      </c>
      <c r="AI401" s="141">
        <f t="array" aca="1" ref="AI401" ca="1">INDEX(AG381:AG395,MATCH(AI400,AG381:AG395,1))</f>
        <v>15</v>
      </c>
      <c r="AJ401" s="2"/>
      <c r="AK401" s="2"/>
      <c r="AL401" s="2"/>
      <c r="AM401" s="2"/>
      <c r="AN401" s="2"/>
      <c r="AO401" s="2"/>
      <c r="AP401" s="16" t="s">
        <v>148</v>
      </c>
      <c r="AQ401" s="141">
        <f t="array" aca="1" ref="AQ401" ca="1">INDEX(AO381:AO395,MATCH(AQ400,AO381:AO395,1))</f>
        <v>15</v>
      </c>
      <c r="AR401" s="2"/>
      <c r="AS401" s="2"/>
      <c r="AT401" s="2"/>
      <c r="AU401" s="2"/>
      <c r="AV401" s="2"/>
      <c r="AW401" s="2"/>
      <c r="AX401" s="16" t="s">
        <v>148</v>
      </c>
      <c r="AY401" s="141">
        <f t="array" aca="1" ref="AY401" ca="1">INDEX(AW381:AW395,MATCH(AY400,AW381:AW395,1))</f>
        <v>10</v>
      </c>
      <c r="AZ401" s="2"/>
      <c r="BA401" s="2"/>
    </row>
    <row r="402" spans="1:55" ht="15" customHeight="1" x14ac:dyDescent="0.3">
      <c r="B402" s="16" t="s">
        <v>149</v>
      </c>
      <c r="C402" s="141">
        <f t="array" aca="1" ref="C402" ca="1">INDEX(A381:A395,IF(MATCH(C400,A381:A395,1)&lt;E398,MATCH(C400,A381:A395,1)+1,MATCH(C400,A381:A395,1)))</f>
        <v>20</v>
      </c>
      <c r="D402" s="2"/>
      <c r="E402" s="42"/>
      <c r="F402" s="42"/>
      <c r="G402" s="2"/>
      <c r="H402" s="2"/>
      <c r="I402" s="2"/>
      <c r="J402" s="16" t="s">
        <v>149</v>
      </c>
      <c r="K402" s="141">
        <f t="array" aca="1" ref="K402" ca="1">INDEX(I381:I395,IF(MATCH(K400,I381:I395,1)&lt;M398,MATCH(K400,I381:I395,1)+1,MATCH(K400,I381:I395,1)))</f>
        <v>20</v>
      </c>
      <c r="L402" s="2"/>
      <c r="M402" s="2"/>
      <c r="N402" s="2"/>
      <c r="O402" s="2"/>
      <c r="P402" s="2"/>
      <c r="Q402" s="2"/>
      <c r="R402" s="16" t="s">
        <v>149</v>
      </c>
      <c r="S402" s="141">
        <f t="array" aca="1" ref="S402" ca="1">INDEX(Q381:Q395,IF(MATCH(S400,Q381:Q395,1)&lt;U398,MATCH(S400,Q381:Q395,1)+1,MATCH(S400,Q381:Q395,1)))</f>
        <v>20</v>
      </c>
      <c r="T402" s="2"/>
      <c r="U402" s="2"/>
      <c r="V402" s="2"/>
      <c r="W402" s="2"/>
      <c r="X402" s="2"/>
      <c r="Y402" s="2"/>
      <c r="Z402" s="16" t="s">
        <v>149</v>
      </c>
      <c r="AA402" s="141">
        <f t="array" aca="1" ref="AA402" ca="1">INDEX(Y381:Y395,IF(MATCH(AA400,Y381:Y395,1)&lt;AC398,MATCH(AA400,Y381:Y395,1)+1,MATCH(AA400,Y381:Y395,1)))</f>
        <v>20</v>
      </c>
      <c r="AB402" s="2"/>
      <c r="AC402" s="2"/>
      <c r="AD402" s="2"/>
      <c r="AE402" s="2"/>
      <c r="AF402" s="2"/>
      <c r="AG402" s="2"/>
      <c r="AH402" s="16" t="s">
        <v>149</v>
      </c>
      <c r="AI402" s="141">
        <f t="array" aca="1" ref="AI402" ca="1">INDEX(AG381:AG395,IF(MATCH(AI400,AG381:AG395,1)&lt;AK398,MATCH(AI400,AG381:AG395,1)+1,MATCH(AI400,AG381:AG395,1)))</f>
        <v>20</v>
      </c>
      <c r="AJ402" s="2"/>
      <c r="AK402" s="2"/>
      <c r="AL402" s="2"/>
      <c r="AM402" s="2"/>
      <c r="AN402" s="2"/>
      <c r="AO402" s="2"/>
      <c r="AP402" s="16" t="s">
        <v>149</v>
      </c>
      <c r="AQ402" s="141">
        <f t="array" aca="1" ref="AQ402" ca="1">INDEX(AO381:AO395,IF(MATCH(AQ400,AO381:AO395,1)&lt;AS398,MATCH(AQ400,AO381:AO395,1)+1,MATCH(AQ400,AO381:AO395,1)))</f>
        <v>20</v>
      </c>
      <c r="AR402" s="2"/>
      <c r="AS402" s="2"/>
      <c r="AT402" s="2"/>
      <c r="AU402" s="2"/>
      <c r="AV402" s="2"/>
      <c r="AW402" s="2"/>
      <c r="AX402" s="16" t="s">
        <v>149</v>
      </c>
      <c r="AY402" s="141">
        <f ca="1">INDEX(AW381:AW395,IF(MATCH(AY400,AW381:AW395,1)&lt;BA398,MATCH(AY400,AW381:AW395,1)+1,MATCH(AY400,AW381:AW395,1)))</f>
        <v>0</v>
      </c>
      <c r="AZ402" s="2"/>
      <c r="BA402" s="2"/>
    </row>
    <row r="403" spans="1:55" ht="15" customHeight="1" x14ac:dyDescent="0.3">
      <c r="B403" s="139" t="s">
        <v>150</v>
      </c>
      <c r="C403" s="140">
        <f t="array" aca="1" ref="C403" ca="1">INDEX(C381:G395,MATCH(C400,A381:A395,1),MATCH(C397,C380:G380,1))</f>
        <v>114</v>
      </c>
      <c r="D403" s="2"/>
      <c r="E403" s="42"/>
      <c r="F403" s="42"/>
      <c r="G403" s="2"/>
      <c r="H403" s="2"/>
      <c r="I403" s="2"/>
      <c r="J403" s="139" t="s">
        <v>150</v>
      </c>
      <c r="K403" s="140">
        <f t="array" aca="1" ref="K403" ca="1">INDEX(K381:O395,MATCH(K400,I381:I395,1),MATCH(K397,K380:O380,1))</f>
        <v>113</v>
      </c>
      <c r="L403" s="2"/>
      <c r="M403" s="2"/>
      <c r="N403" s="2"/>
      <c r="O403" s="2"/>
      <c r="P403" s="2"/>
      <c r="Q403" s="2"/>
      <c r="R403" s="139" t="s">
        <v>150</v>
      </c>
      <c r="S403" s="140">
        <f t="array" aca="1" ref="S403" ca="1">INDEX(S381:W395,MATCH(S400,Q381:Q395,1),MATCH(S397,S380:W380,1))</f>
        <v>109</v>
      </c>
      <c r="T403" s="2"/>
      <c r="U403" s="2"/>
      <c r="V403" s="2"/>
      <c r="W403" s="2"/>
      <c r="X403" s="2"/>
      <c r="Y403" s="2"/>
      <c r="Z403" s="139" t="s">
        <v>150</v>
      </c>
      <c r="AA403" s="140">
        <f t="array" aca="1" ref="AA403" ca="1">INDEX(AA381:AE395,MATCH(AA400,Y381:Y395,1),MATCH(AA397,AA380:AE380,1))</f>
        <v>106</v>
      </c>
      <c r="AB403" s="2"/>
      <c r="AC403" s="2"/>
      <c r="AD403" s="2"/>
      <c r="AE403" s="2"/>
      <c r="AF403" s="2"/>
      <c r="AG403" s="2"/>
      <c r="AH403" s="139" t="s">
        <v>150</v>
      </c>
      <c r="AI403" s="140">
        <f t="array" aca="1" ref="AI403" ca="1">INDEX(AI381:AM395,MATCH(AI400,AG381:AG395,1),MATCH(AI397,AI380:AM380,1))</f>
        <v>102</v>
      </c>
      <c r="AJ403" s="2"/>
      <c r="AK403" s="2"/>
      <c r="AL403" s="2"/>
      <c r="AM403" s="2"/>
      <c r="AN403" s="2"/>
      <c r="AO403" s="2"/>
      <c r="AP403" s="139" t="s">
        <v>150</v>
      </c>
      <c r="AQ403" s="140">
        <f t="array" aca="1" ref="AQ403" ca="1">INDEX(AQ381:AU395,MATCH(AQ400,AO381:AO395,1),MATCH(AQ397,AQ380:AU380,1))</f>
        <v>102</v>
      </c>
      <c r="AR403" s="2"/>
      <c r="AS403" s="2"/>
      <c r="AT403" s="2"/>
      <c r="AU403" s="2"/>
      <c r="AV403" s="2"/>
      <c r="AW403" s="2"/>
      <c r="AX403" s="139" t="s">
        <v>150</v>
      </c>
      <c r="AY403" s="140">
        <f ca="1">INDEX(AY381:BC395,MATCH(AY400,AW381:AW395,1),MATCH(AY397,AY380:BC380,1))</f>
        <v>0</v>
      </c>
      <c r="AZ403" s="2"/>
      <c r="BA403" s="2"/>
    </row>
    <row r="404" spans="1:55" ht="15" customHeight="1" x14ac:dyDescent="0.3">
      <c r="B404" s="139" t="s">
        <v>204</v>
      </c>
      <c r="C404" s="140">
        <f t="array" aca="1" ref="C404" ca="1">INDEX(C381:G395,MATCH(C400,A381:A395,1),IF(MATCH(C397,C380:G380,1)&lt;E399,MATCH(C397,C380:G380,1)+1,MATCH(C400,A381:A395,1)))</f>
        <v>115</v>
      </c>
      <c r="E404" s="42"/>
      <c r="F404" s="42"/>
      <c r="G404" s="2"/>
      <c r="H404" s="2"/>
      <c r="I404" s="2"/>
      <c r="J404" s="139" t="s">
        <v>204</v>
      </c>
      <c r="K404" s="140">
        <f t="array" aca="1" ref="K404" ca="1">INDEX(K381:O395,MATCH(K400,I381:I395,1),IF(MATCH(K397,K380:O380,1)&lt;M399,MATCH(K397,K380:O380,1)+1,MATCH(K400,I381:I395,1)))</f>
        <v>113</v>
      </c>
      <c r="O404" s="2"/>
      <c r="P404" s="2"/>
      <c r="Q404" s="2"/>
      <c r="R404" s="139" t="s">
        <v>204</v>
      </c>
      <c r="S404" s="140">
        <f t="array" aca="1" ref="S404" ca="1">INDEX(S381:W395,MATCH(S400,Q381:Q395,1),IF(MATCH(S397,S380:W380,1)&lt;U399,MATCH(S397,S380:W380,1)+1,MATCH(S400,Q381:Q395,1)))</f>
        <v>109</v>
      </c>
      <c r="W404" s="2"/>
      <c r="X404" s="2"/>
      <c r="Y404" s="2"/>
      <c r="Z404" s="139" t="s">
        <v>204</v>
      </c>
      <c r="AA404" s="140">
        <f t="array" aca="1" ref="AA404" ca="1">INDEX(AA381:AE395,MATCH(AA400,Y381:Y395,1),IF(MATCH(AA397,AA380:AE380,1)&lt;AC399,MATCH(AA397,AA380:AE380,1)+1,MATCH(AA400,Y381:Y395,1)))</f>
        <v>106</v>
      </c>
      <c r="AE404" s="2"/>
      <c r="AF404" s="2"/>
      <c r="AG404" s="2"/>
      <c r="AH404" s="139" t="s">
        <v>204</v>
      </c>
      <c r="AI404" s="140">
        <f t="array" aca="1" ref="AI404" ca="1">INDEX(AI381:AM395,MATCH(AI400,AG381:AG395,1),IF(MATCH(AI397,AI380:AM380,1)&lt;AK399,MATCH(AI397,AI380:AM380,1)+1,MATCH(AI400,AG381:AG395,1)))</f>
        <v>103</v>
      </c>
      <c r="AM404" s="2"/>
      <c r="AN404" s="2"/>
      <c r="AO404" s="2"/>
      <c r="AP404" s="139" t="s">
        <v>204</v>
      </c>
      <c r="AQ404" s="140">
        <f t="array" aca="1" ref="AQ404" ca="1">INDEX(AQ381:AU395,MATCH(AQ400,AO381:AO395,1),IF(MATCH(AQ397,AQ380:AU380,1)&lt;AS399,MATCH(AQ397,AQ380:AU380,1)+1,MATCH(AQ400,AO381:AO395,1)))</f>
        <v>102</v>
      </c>
      <c r="AU404" s="2"/>
      <c r="AV404" s="2"/>
      <c r="AW404" s="2"/>
      <c r="AX404" s="139" t="s">
        <v>204</v>
      </c>
      <c r="AY404" s="140">
        <f ca="1">INDEX(AY381:BC395,MATCH(AY400,AW381:AW395,1),IF(MATCH(AY397,AY380:BC380,1)&lt;BA399,MATCH(AY397,AY380:BC380,1)+1,MATCH(AY400,AW381:AW395,1)))</f>
        <v>0</v>
      </c>
    </row>
    <row r="405" spans="1:55" ht="15" customHeight="1" x14ac:dyDescent="0.3">
      <c r="B405" s="139" t="s">
        <v>151</v>
      </c>
      <c r="C405" s="140">
        <f t="array" aca="1" ref="C405" ca="1">INDEX(C381:G395,IF(MATCH(C400,A381:A395,1)&lt;E398,MATCH(C400,A381:A395,1)+1,MATCH(C400,A381:A395,1)),MATCH(C397,C380:G380,1))</f>
        <v>114</v>
      </c>
      <c r="E405" s="42"/>
      <c r="F405" s="42"/>
      <c r="G405" s="2"/>
      <c r="H405" s="2"/>
      <c r="I405" s="2"/>
      <c r="J405" s="139" t="s">
        <v>151</v>
      </c>
      <c r="K405" s="140">
        <f t="array" aca="1" ref="K405" ca="1">INDEX(K381:O395,IF(MATCH(K400,I381:I395,1)&lt;M398,MATCH(K400,I381:I395,1)+1,MATCH(K400,I381:I395,1)),MATCH(K397,K380:O380,1))</f>
        <v>113</v>
      </c>
      <c r="O405" s="2"/>
      <c r="P405" s="2"/>
      <c r="Q405" s="2"/>
      <c r="R405" s="139" t="s">
        <v>151</v>
      </c>
      <c r="S405" s="140">
        <f t="array" aca="1" ref="S405" ca="1">INDEX(S381:W395,IF(MATCH(S400,Q381:Q395,1)&lt;U398,MATCH(S400,Q381:Q395,1)+1,MATCH(S400,Q381:Q395,1)),MATCH(S397,S380:W380,1))</f>
        <v>109</v>
      </c>
      <c r="W405" s="2"/>
      <c r="X405" s="2"/>
      <c r="Y405" s="2"/>
      <c r="Z405" s="139" t="s">
        <v>151</v>
      </c>
      <c r="AA405" s="140">
        <f t="array" aca="1" ref="AA405" ca="1">INDEX(AA381:AE395,IF(MATCH(AA400,Y381:Y395,1)&lt;AC398,MATCH(AA400,Y381:Y395,1)+1,MATCH(AA400,Y381:Y395,1)),MATCH(AA397,AA380:AE380,1))</f>
        <v>106</v>
      </c>
      <c r="AE405" s="2"/>
      <c r="AF405" s="2"/>
      <c r="AG405" s="2"/>
      <c r="AH405" s="139" t="s">
        <v>151</v>
      </c>
      <c r="AI405" s="140">
        <f t="array" aca="1" ref="AI405" ca="1">INDEX(AI381:AM395,IF(MATCH(AI400,AG381:AG395,1)&lt;AK398,MATCH(AI400,AG381:AG395,1)+1,MATCH(AI400,AG381:AG395,1)),MATCH(AI397,AI380:AM380,1))</f>
        <v>102</v>
      </c>
      <c r="AM405" s="2"/>
      <c r="AN405" s="2"/>
      <c r="AO405" s="2"/>
      <c r="AP405" s="139" t="s">
        <v>151</v>
      </c>
      <c r="AQ405" s="140">
        <f t="array" aca="1" ref="AQ405" ca="1">INDEX(AQ381:AU395,IF(MATCH(AQ400,AO381:AO395,1)&lt;AS398,MATCH(AQ400,AO381:AO395,1)+1,MATCH(AQ400,AO381:AO395,1)),MATCH(AQ397,AQ380:AU380,1))</f>
        <v>102</v>
      </c>
      <c r="AU405" s="2"/>
      <c r="AV405" s="2"/>
      <c r="AW405" s="2"/>
      <c r="AX405" s="139" t="s">
        <v>151</v>
      </c>
      <c r="AY405" s="140">
        <f ca="1">INDEX(AY381:BC395,IF(MATCH(AY400,AW381:AW395,1)&lt;BA398,MATCH(AY400,AW381:AW395,1)+1,MATCH(AY400,AW381:AW395,1)),MATCH(AY397,AY380:BC380,1))</f>
        <v>0</v>
      </c>
    </row>
    <row r="406" spans="1:55" ht="15" customHeight="1" x14ac:dyDescent="0.3">
      <c r="B406" s="139" t="s">
        <v>205</v>
      </c>
      <c r="C406" s="140">
        <f t="array" aca="1" ref="C406" ca="1">INDEX(C381:G395,IF(MATCH(C400,A381:A395,1)&lt;E398,MATCH(C400,A381:A395,1)+1,MATCH(C400,A381:A395,1)),IF(MATCH(C397,C380:G380,1)&lt;E399,MATCH(C397,C380:G380,1)+1,MATCH(C397,C380:G380,1)))</f>
        <v>115</v>
      </c>
      <c r="G406" s="2"/>
      <c r="H406" s="2"/>
      <c r="I406" s="2"/>
      <c r="J406" s="139" t="s">
        <v>205</v>
      </c>
      <c r="K406" s="140">
        <f t="array" aca="1" ref="K406" ca="1">INDEX(K381:O395,IF(MATCH(K400,I381:I395,1)&lt;M398,MATCH(K400,I381:I395,1)+1,MATCH(K400,I381:I395,1)),IF(MATCH(K397,K380:O380,1)&lt;M399,MATCH(K397,K380:O380,1)+1,MATCH(K397,K380:O380,1)))</f>
        <v>113</v>
      </c>
      <c r="O406" s="2"/>
      <c r="P406" s="2"/>
      <c r="Q406" s="2"/>
      <c r="R406" s="139" t="s">
        <v>205</v>
      </c>
      <c r="S406" s="140">
        <f t="array" aca="1" ref="S406" ca="1">INDEX(S381:W395,IF(MATCH(S400,Q381:Q395,1)&lt;U398,MATCH(S400,Q381:Q395,1)+1,MATCH(S400,Q381:Q395,1)),IF(MATCH(S397,S380:W380,1)&lt;U399,MATCH(S397,S380:W380,1)+1,MATCH(S397,S380:W380,1)))</f>
        <v>109</v>
      </c>
      <c r="W406" s="2"/>
      <c r="X406" s="2"/>
      <c r="Y406" s="2"/>
      <c r="Z406" s="139" t="s">
        <v>205</v>
      </c>
      <c r="AA406" s="140">
        <f t="array" aca="1" ref="AA406" ca="1">INDEX(AA381:AE395,IF(MATCH(AA400,Y381:Y395,1)&lt;AC398,MATCH(AA400,Y381:Y395,1)+1,MATCH(AA400,Y381:Y395,1)),IF(MATCH(AA397,AA380:AE380,1)&lt;AC399,MATCH(AA397,AA380:AE380,1)+1,MATCH(AA397,AA380:AE380,1)))</f>
        <v>106</v>
      </c>
      <c r="AE406" s="2"/>
      <c r="AF406" s="2"/>
      <c r="AG406" s="2"/>
      <c r="AH406" s="139" t="s">
        <v>205</v>
      </c>
      <c r="AI406" s="140">
        <f t="array" aca="1" ref="AI406" ca="1">INDEX(AI381:AM395,IF(MATCH(AI400,AG381:AG395,1)&lt;AK398,MATCH(AI400,AG381:AG395,1)+1,MATCH(AI400,AG381:AG395,1)),IF(MATCH(AI397,AI380:AM380,1)&lt;AK399,MATCH(AI397,AI380:AM380,1)+1,MATCH(AI397,AI380:AM380,1)))</f>
        <v>103</v>
      </c>
      <c r="AM406" s="2"/>
      <c r="AN406" s="2"/>
      <c r="AO406" s="2"/>
      <c r="AP406" s="139" t="s">
        <v>205</v>
      </c>
      <c r="AQ406" s="140">
        <f t="array" aca="1" ref="AQ406" ca="1">INDEX(AQ381:AU395,IF(MATCH(AQ400,AO381:AO395,1)&lt;AS398,MATCH(AQ400,AO381:AO395,1)+1,MATCH(AQ400,AO381:AO395,1)),IF(MATCH(AQ397,AQ380:AU380,1)&lt;AS399,MATCH(AQ397,AQ380:AU380,1)+1,MATCH(AQ397,AQ380:AU380,1)))</f>
        <v>102</v>
      </c>
      <c r="AU406" s="2"/>
      <c r="AV406" s="2"/>
      <c r="AW406" s="2"/>
      <c r="AX406" s="139" t="s">
        <v>205</v>
      </c>
      <c r="AY406" s="140">
        <f ca="1">INDEX(AY381:BC395,IF(MATCH(AY400,AW381:AW395,1)&lt;BA398,MATCH(AY400,AW381:AW395,1)+1,MATCH(AY400,AW381:AW395,1)),IF(MATCH(AY397,AY380:BC380,1)&lt;BA399,MATCH(AY397,AY380:BC380,1)+1,MATCH(AY397,AY380:BC380,1)))</f>
        <v>0</v>
      </c>
    </row>
    <row r="407" spans="1:55" ht="15" customHeight="1" x14ac:dyDescent="0.3">
      <c r="B407" s="16" t="s">
        <v>206</v>
      </c>
      <c r="C407" s="141">
        <f ca="1">IFERROR(C403+(C397-C398)*(C404-C403)/(C399-C398),C403)</f>
        <v>114.77</v>
      </c>
      <c r="G407" s="2"/>
      <c r="H407" s="2"/>
      <c r="I407" s="2"/>
      <c r="J407" s="16" t="s">
        <v>206</v>
      </c>
      <c r="K407" s="141">
        <f ca="1">IFERROR(K403+(K397-K398)*(K404-K403)/(K399-K398),K403)</f>
        <v>113</v>
      </c>
      <c r="O407" s="2"/>
      <c r="P407" s="2"/>
      <c r="Q407" s="2"/>
      <c r="R407" s="16" t="s">
        <v>206</v>
      </c>
      <c r="S407" s="141">
        <f ca="1">IFERROR(S403+(S397-S398)*(S404-S403)/(S399-S398),S403)</f>
        <v>109</v>
      </c>
      <c r="W407" s="2"/>
      <c r="X407" s="2"/>
      <c r="Y407" s="2"/>
      <c r="Z407" s="16" t="s">
        <v>206</v>
      </c>
      <c r="AA407" s="141">
        <f ca="1">IFERROR(AA403+(AA397-AA398)*(AA404-AA403)/(AA399-AA398),AA403)</f>
        <v>106</v>
      </c>
      <c r="AE407" s="2"/>
      <c r="AF407" s="2"/>
      <c r="AG407" s="2"/>
      <c r="AH407" s="16" t="s">
        <v>206</v>
      </c>
      <c r="AI407" s="141">
        <f ca="1">IFERROR(AI403+(AI397-AI398)*(AI404-AI403)/(AI399-AI398),AI403)</f>
        <v>102.77</v>
      </c>
      <c r="AM407" s="2"/>
      <c r="AN407" s="2"/>
      <c r="AO407" s="2"/>
      <c r="AP407" s="16" t="s">
        <v>206</v>
      </c>
      <c r="AQ407" s="141">
        <f ca="1">IFERROR(AQ403+(AQ397-AQ398)*(AQ404-AQ403)/(AQ399-AQ398),AQ403)</f>
        <v>102</v>
      </c>
      <c r="AU407" s="2"/>
      <c r="AV407" s="2"/>
      <c r="AW407" s="2"/>
      <c r="AX407" s="16" t="s">
        <v>206</v>
      </c>
      <c r="AY407" s="141">
        <f ca="1">IFERROR(AY403+(AY397-AY398)*(AY404-AY403)/(AY399-AY398),AY403)</f>
        <v>0</v>
      </c>
    </row>
    <row r="408" spans="1:55" ht="15" customHeight="1" x14ac:dyDescent="0.3">
      <c r="B408" s="16" t="s">
        <v>207</v>
      </c>
      <c r="C408" s="141">
        <f ca="1">IFERROR(C405+(C397-C398)*(C406-C405)/(C399-C398),C405)</f>
        <v>114.77</v>
      </c>
      <c r="G408" s="2"/>
      <c r="H408" s="2"/>
      <c r="I408" s="2"/>
      <c r="J408" s="16" t="s">
        <v>207</v>
      </c>
      <c r="K408" s="141">
        <f ca="1">IFERROR(K405+(K397-K398)*(K406-K405)/(K399-K398),K405)</f>
        <v>113</v>
      </c>
      <c r="O408" s="2"/>
      <c r="P408" s="2"/>
      <c r="Q408" s="2"/>
      <c r="R408" s="16" t="s">
        <v>207</v>
      </c>
      <c r="S408" s="141">
        <f ca="1">IFERROR(S405+(S397-S398)*(S406-S405)/(S399-S398),S405)</f>
        <v>109</v>
      </c>
      <c r="W408" s="2"/>
      <c r="X408" s="2"/>
      <c r="Y408" s="2"/>
      <c r="Z408" s="16" t="s">
        <v>207</v>
      </c>
      <c r="AA408" s="141">
        <f ca="1">IFERROR(AA405+(AA397-AA398)*(AA406-AA405)/(AA399-AA398),AA405)</f>
        <v>106</v>
      </c>
      <c r="AE408" s="2"/>
      <c r="AF408" s="2"/>
      <c r="AG408" s="2"/>
      <c r="AH408" s="16" t="s">
        <v>207</v>
      </c>
      <c r="AI408" s="141">
        <f ca="1">IFERROR(AI405+(AI397-AI398)*(AI406-AI405)/(AI399-AI398),AI405)</f>
        <v>102.77</v>
      </c>
      <c r="AM408" s="2"/>
      <c r="AN408" s="2"/>
      <c r="AO408" s="2"/>
      <c r="AP408" s="16" t="s">
        <v>207</v>
      </c>
      <c r="AQ408" s="141">
        <f ca="1">IFERROR(AQ405+(AQ397-AQ398)*(AQ406-AQ405)/(AQ399-AQ398),AQ405)</f>
        <v>102</v>
      </c>
      <c r="AU408" s="2"/>
      <c r="AV408" s="2"/>
      <c r="AW408" s="2"/>
      <c r="AX408" s="16" t="s">
        <v>207</v>
      </c>
      <c r="AY408" s="141">
        <f ca="1">IFERROR(AY405+(AY397-AY398)*(AY406-AY405)/(AY399-AY398),AY405)</f>
        <v>0</v>
      </c>
    </row>
    <row r="409" spans="1:55" ht="15" customHeight="1" x14ac:dyDescent="0.3">
      <c r="B409" s="139" t="s">
        <v>228</v>
      </c>
      <c r="C409" s="140">
        <f ca="1">IFERROR(C407+(C400-C401)*(C408-C407)/(C402-C401),C407)</f>
        <v>114.77</v>
      </c>
      <c r="G409" s="2"/>
      <c r="H409" s="2"/>
      <c r="I409" s="2"/>
      <c r="J409" s="139" t="s">
        <v>228</v>
      </c>
      <c r="K409" s="140">
        <f ca="1">IFERROR(K407+(K400-K401)*(K408-K407)/(K402-K401),K407)</f>
        <v>113</v>
      </c>
      <c r="O409" s="2"/>
      <c r="P409" s="2"/>
      <c r="Q409" s="2"/>
      <c r="R409" s="139" t="s">
        <v>228</v>
      </c>
      <c r="S409" s="140">
        <f ca="1">IFERROR(S407+(S400-S401)*(S408-S407)/(S402-S401),S407)</f>
        <v>109</v>
      </c>
      <c r="W409" s="2"/>
      <c r="X409" s="2"/>
      <c r="Y409" s="2"/>
      <c r="Z409" s="139" t="s">
        <v>228</v>
      </c>
      <c r="AA409" s="140">
        <f ca="1">IFERROR(AA407+(AA400-AA401)*(AA408-AA407)/(AA402-AA401),AA407)</f>
        <v>106</v>
      </c>
      <c r="AE409" s="2"/>
      <c r="AF409" s="2"/>
      <c r="AG409" s="2"/>
      <c r="AH409" s="139" t="s">
        <v>228</v>
      </c>
      <c r="AI409" s="140">
        <f ca="1">IFERROR(AI407+(AI400-AI401)*(AI408-AI407)/(AI402-AI401),AI407)</f>
        <v>102.77</v>
      </c>
      <c r="AM409" s="2"/>
      <c r="AN409" s="2"/>
      <c r="AO409" s="2"/>
      <c r="AP409" s="139" t="s">
        <v>228</v>
      </c>
      <c r="AQ409" s="140">
        <f ca="1">IFERROR(AQ407+(AQ400-AQ401)*(AQ408-AQ407)/(AQ402-AQ401),AQ407)</f>
        <v>102</v>
      </c>
      <c r="AU409" s="2"/>
      <c r="AV409" s="2"/>
      <c r="AW409" s="2"/>
      <c r="AX409" s="139" t="s">
        <v>228</v>
      </c>
      <c r="AY409" s="140">
        <f ca="1">IFERROR(AY407+(AY400-AY401)*(AY408-AY407)/(AY402-AY401),AY407)</f>
        <v>0</v>
      </c>
    </row>
    <row r="410" spans="1:55" ht="15.75" customHeight="1" x14ac:dyDescent="0.3"/>
    <row r="411" spans="1:55" ht="15" customHeight="1" x14ac:dyDescent="0.3">
      <c r="A411" s="267" t="s">
        <v>166</v>
      </c>
      <c r="B411" s="267"/>
    </row>
    <row r="412" spans="1:55" ht="15.75" customHeight="1" x14ac:dyDescent="0.3"/>
    <row r="413" spans="1:55" ht="15" customHeight="1" x14ac:dyDescent="0.3">
      <c r="A413" s="412" t="s">
        <v>217</v>
      </c>
      <c r="B413" s="412"/>
      <c r="C413" s="413" t="s">
        <v>218</v>
      </c>
      <c r="D413" s="413"/>
      <c r="E413" s="413"/>
      <c r="F413" s="413"/>
      <c r="G413" s="413"/>
      <c r="H413" s="228"/>
      <c r="I413" s="412" t="s">
        <v>217</v>
      </c>
      <c r="J413" s="412"/>
      <c r="K413" s="413" t="s">
        <v>218</v>
      </c>
      <c r="L413" s="413"/>
      <c r="M413" s="413"/>
      <c r="N413" s="413"/>
      <c r="O413" s="413"/>
      <c r="P413" s="243"/>
      <c r="Q413" s="412" t="s">
        <v>217</v>
      </c>
      <c r="R413" s="412"/>
      <c r="S413" s="413" t="s">
        <v>218</v>
      </c>
      <c r="T413" s="413"/>
      <c r="U413" s="413"/>
      <c r="V413" s="413"/>
      <c r="W413" s="413"/>
      <c r="X413" s="228"/>
      <c r="Y413" s="412" t="s">
        <v>217</v>
      </c>
      <c r="Z413" s="412"/>
      <c r="AA413" s="413" t="s">
        <v>218</v>
      </c>
      <c r="AB413" s="413"/>
      <c r="AC413" s="413"/>
      <c r="AD413" s="413"/>
      <c r="AE413" s="413"/>
      <c r="AF413" s="228"/>
      <c r="AG413" s="412" t="s">
        <v>217</v>
      </c>
      <c r="AH413" s="412"/>
      <c r="AI413" s="413" t="s">
        <v>218</v>
      </c>
      <c r="AJ413" s="413"/>
      <c r="AK413" s="413"/>
      <c r="AL413" s="413"/>
      <c r="AM413" s="413"/>
      <c r="AN413" s="228"/>
      <c r="AO413" s="412" t="s">
        <v>217</v>
      </c>
      <c r="AP413" s="412"/>
      <c r="AQ413" s="413" t="s">
        <v>218</v>
      </c>
      <c r="AR413" s="413"/>
      <c r="AS413" s="413"/>
      <c r="AT413" s="413"/>
      <c r="AU413" s="413"/>
      <c r="AV413" s="244"/>
      <c r="AW413" s="412" t="s">
        <v>217</v>
      </c>
      <c r="AX413" s="412"/>
      <c r="AY413" s="413" t="s">
        <v>218</v>
      </c>
      <c r="AZ413" s="413"/>
      <c r="BA413" s="413"/>
      <c r="BB413" s="413"/>
      <c r="BC413" s="413"/>
    </row>
    <row r="414" spans="1:55" ht="15" customHeight="1" x14ac:dyDescent="0.3">
      <c r="A414" s="412"/>
      <c r="B414" s="412"/>
      <c r="C414" s="413"/>
      <c r="D414" s="413"/>
      <c r="E414" s="413"/>
      <c r="F414" s="413"/>
      <c r="G414" s="413"/>
      <c r="H414" s="228"/>
      <c r="I414" s="412"/>
      <c r="J414" s="412"/>
      <c r="K414" s="413"/>
      <c r="L414" s="413"/>
      <c r="M414" s="413"/>
      <c r="N414" s="413"/>
      <c r="O414" s="413"/>
      <c r="P414" s="243"/>
      <c r="Q414" s="412"/>
      <c r="R414" s="412"/>
      <c r="S414" s="413"/>
      <c r="T414" s="413"/>
      <c r="U414" s="413"/>
      <c r="V414" s="413"/>
      <c r="W414" s="413"/>
      <c r="X414" s="228"/>
      <c r="Y414" s="412"/>
      <c r="Z414" s="412"/>
      <c r="AA414" s="413"/>
      <c r="AB414" s="413"/>
      <c r="AC414" s="413"/>
      <c r="AD414" s="413"/>
      <c r="AE414" s="413"/>
      <c r="AF414" s="228"/>
      <c r="AG414" s="412"/>
      <c r="AH414" s="412"/>
      <c r="AI414" s="413"/>
      <c r="AJ414" s="413"/>
      <c r="AK414" s="413"/>
      <c r="AL414" s="413"/>
      <c r="AM414" s="413"/>
      <c r="AN414" s="228"/>
      <c r="AO414" s="412"/>
      <c r="AP414" s="412"/>
      <c r="AQ414" s="413"/>
      <c r="AR414" s="413"/>
      <c r="AS414" s="413"/>
      <c r="AT414" s="413"/>
      <c r="AU414" s="413"/>
      <c r="AV414" s="244"/>
      <c r="AW414" s="412"/>
      <c r="AX414" s="412"/>
      <c r="AY414" s="413"/>
      <c r="AZ414" s="413"/>
      <c r="BA414" s="413"/>
      <c r="BB414" s="413"/>
      <c r="BC414" s="413"/>
    </row>
    <row r="415" spans="1:55" ht="15" customHeight="1" x14ac:dyDescent="0.3">
      <c r="A415" s="410" t="s">
        <v>10</v>
      </c>
      <c r="B415" s="410"/>
      <c r="C415" s="245">
        <v>0</v>
      </c>
      <c r="D415" s="246">
        <v>1000</v>
      </c>
      <c r="E415" s="246">
        <v>2000</v>
      </c>
      <c r="F415" s="247">
        <v>3000</v>
      </c>
      <c r="G415" s="247">
        <v>4000</v>
      </c>
      <c r="H415" s="243"/>
      <c r="I415" s="410" t="s">
        <v>10</v>
      </c>
      <c r="J415" s="410"/>
      <c r="K415" s="245">
        <v>0</v>
      </c>
      <c r="L415" s="246">
        <v>1000</v>
      </c>
      <c r="M415" s="246">
        <v>2000</v>
      </c>
      <c r="N415" s="247">
        <v>3000</v>
      </c>
      <c r="O415" s="247">
        <v>4000</v>
      </c>
      <c r="P415" s="243"/>
      <c r="Q415" s="410" t="s">
        <v>10</v>
      </c>
      <c r="R415" s="410"/>
      <c r="S415" s="245">
        <v>0</v>
      </c>
      <c r="T415" s="246">
        <v>1000</v>
      </c>
      <c r="U415" s="246">
        <v>2000</v>
      </c>
      <c r="V415" s="247">
        <v>3000</v>
      </c>
      <c r="W415" s="247">
        <v>4000</v>
      </c>
      <c r="X415" s="243"/>
      <c r="Y415" s="410" t="s">
        <v>10</v>
      </c>
      <c r="Z415" s="410"/>
      <c r="AA415" s="245">
        <v>0</v>
      </c>
      <c r="AB415" s="246">
        <v>1000</v>
      </c>
      <c r="AC415" s="246">
        <v>2000</v>
      </c>
      <c r="AD415" s="247">
        <v>3000</v>
      </c>
      <c r="AE415" s="247">
        <v>4000</v>
      </c>
      <c r="AF415" s="243"/>
      <c r="AG415" s="410" t="s">
        <v>10</v>
      </c>
      <c r="AH415" s="410"/>
      <c r="AI415" s="245">
        <v>0</v>
      </c>
      <c r="AJ415" s="246">
        <v>1000</v>
      </c>
      <c r="AK415" s="246">
        <v>2000</v>
      </c>
      <c r="AL415" s="247">
        <v>3000</v>
      </c>
      <c r="AM415" s="247">
        <v>4000</v>
      </c>
      <c r="AN415" s="243"/>
      <c r="AO415" s="410" t="s">
        <v>10</v>
      </c>
      <c r="AP415" s="410"/>
      <c r="AQ415" s="245">
        <v>0</v>
      </c>
      <c r="AR415" s="246">
        <v>1000</v>
      </c>
      <c r="AS415" s="246">
        <v>2000</v>
      </c>
      <c r="AT415" s="247">
        <v>3000</v>
      </c>
      <c r="AU415" s="247">
        <v>4000</v>
      </c>
      <c r="AV415" s="244"/>
      <c r="AW415" s="410" t="s">
        <v>10</v>
      </c>
      <c r="AX415" s="410"/>
      <c r="AY415" s="245">
        <v>0</v>
      </c>
      <c r="AZ415" s="246">
        <v>1000</v>
      </c>
      <c r="BA415" s="246">
        <v>2000</v>
      </c>
      <c r="BB415" s="247">
        <v>3000</v>
      </c>
      <c r="BC415" s="247">
        <v>4000</v>
      </c>
    </row>
    <row r="416" spans="1:55" ht="15" customHeight="1" x14ac:dyDescent="0.3">
      <c r="A416" s="411">
        <v>-30</v>
      </c>
      <c r="B416" s="411"/>
      <c r="C416" s="248">
        <v>115</v>
      </c>
      <c r="D416" s="248">
        <v>115</v>
      </c>
      <c r="E416" s="248">
        <v>115</v>
      </c>
      <c r="F416" s="248">
        <v>115</v>
      </c>
      <c r="G416" s="250">
        <v>99999</v>
      </c>
      <c r="H416" s="2"/>
      <c r="I416" s="411">
        <v>-30</v>
      </c>
      <c r="J416" s="411"/>
      <c r="K416" s="251">
        <v>114</v>
      </c>
      <c r="L416" s="251">
        <v>114</v>
      </c>
      <c r="M416" s="251">
        <v>114</v>
      </c>
      <c r="N416" s="251">
        <v>114</v>
      </c>
      <c r="O416" s="250">
        <v>99999</v>
      </c>
      <c r="P416" s="42"/>
      <c r="Q416" s="411">
        <v>-30</v>
      </c>
      <c r="R416" s="411"/>
      <c r="S416" s="251">
        <v>111</v>
      </c>
      <c r="T416" s="251">
        <v>111</v>
      </c>
      <c r="U416" s="251">
        <v>111</v>
      </c>
      <c r="V416" s="251">
        <v>111</v>
      </c>
      <c r="W416" s="250">
        <v>99999</v>
      </c>
      <c r="X416" s="2"/>
      <c r="Y416" s="411">
        <v>-30</v>
      </c>
      <c r="Z416" s="411"/>
      <c r="AA416" s="251">
        <v>108</v>
      </c>
      <c r="AB416" s="251">
        <v>108</v>
      </c>
      <c r="AC416" s="251">
        <v>108</v>
      </c>
      <c r="AD416" s="251">
        <v>108</v>
      </c>
      <c r="AE416" s="250">
        <v>99999</v>
      </c>
      <c r="AF416" s="2"/>
      <c r="AG416" s="411">
        <v>-30</v>
      </c>
      <c r="AH416" s="411"/>
      <c r="AI416" s="251">
        <v>106</v>
      </c>
      <c r="AJ416" s="251">
        <v>105</v>
      </c>
      <c r="AK416" s="251">
        <v>105</v>
      </c>
      <c r="AL416" s="251">
        <v>105</v>
      </c>
      <c r="AM416" s="250">
        <v>99999</v>
      </c>
      <c r="AN416" s="2"/>
      <c r="AO416" s="411">
        <v>-30</v>
      </c>
      <c r="AP416" s="411"/>
      <c r="AQ416" s="251">
        <v>106</v>
      </c>
      <c r="AR416" s="251">
        <v>106</v>
      </c>
      <c r="AS416" s="251">
        <v>106</v>
      </c>
      <c r="AT416" s="251">
        <v>106</v>
      </c>
      <c r="AU416" s="250">
        <v>99999</v>
      </c>
      <c r="AV416" s="252"/>
      <c r="AW416" s="408">
        <v>0</v>
      </c>
      <c r="AX416" s="408"/>
      <c r="AY416" s="251"/>
      <c r="AZ416" s="251"/>
      <c r="BA416" s="251"/>
      <c r="BB416" s="250"/>
      <c r="BC416" s="250">
        <v>99999</v>
      </c>
    </row>
    <row r="417" spans="1:55" ht="15" customHeight="1" x14ac:dyDescent="0.3">
      <c r="A417" s="408">
        <v>-25</v>
      </c>
      <c r="B417" s="408"/>
      <c r="C417" s="248">
        <v>115</v>
      </c>
      <c r="D417" s="248">
        <v>115</v>
      </c>
      <c r="E417" s="248">
        <v>115</v>
      </c>
      <c r="F417" s="248">
        <v>115</v>
      </c>
      <c r="G417" s="250">
        <v>99999</v>
      </c>
      <c r="H417" s="2"/>
      <c r="I417" s="408">
        <v>-25</v>
      </c>
      <c r="J417" s="408"/>
      <c r="K417" s="251">
        <v>114</v>
      </c>
      <c r="L417" s="251">
        <v>114</v>
      </c>
      <c r="M417" s="251">
        <v>114</v>
      </c>
      <c r="N417" s="251">
        <v>114</v>
      </c>
      <c r="O417" s="250">
        <v>99999</v>
      </c>
      <c r="P417" s="42"/>
      <c r="Q417" s="408">
        <v>-25</v>
      </c>
      <c r="R417" s="408"/>
      <c r="S417" s="251">
        <v>111</v>
      </c>
      <c r="T417" s="251">
        <v>111</v>
      </c>
      <c r="U417" s="251">
        <v>111</v>
      </c>
      <c r="V417" s="251">
        <v>111</v>
      </c>
      <c r="W417" s="250">
        <v>99999</v>
      </c>
      <c r="X417" s="2"/>
      <c r="Y417" s="408">
        <v>-25</v>
      </c>
      <c r="Z417" s="408"/>
      <c r="AA417" s="251">
        <v>108</v>
      </c>
      <c r="AB417" s="251">
        <v>108</v>
      </c>
      <c r="AC417" s="251">
        <v>108</v>
      </c>
      <c r="AD417" s="251">
        <v>108</v>
      </c>
      <c r="AE417" s="250">
        <v>99999</v>
      </c>
      <c r="AF417" s="2"/>
      <c r="AG417" s="408">
        <v>-25</v>
      </c>
      <c r="AH417" s="408"/>
      <c r="AI417" s="251">
        <v>105</v>
      </c>
      <c r="AJ417" s="251">
        <v>105</v>
      </c>
      <c r="AK417" s="251">
        <v>105</v>
      </c>
      <c r="AL417" s="251">
        <v>105</v>
      </c>
      <c r="AM417" s="250">
        <v>99999</v>
      </c>
      <c r="AN417" s="2"/>
      <c r="AO417" s="408">
        <v>-25</v>
      </c>
      <c r="AP417" s="408"/>
      <c r="AQ417" s="251">
        <v>106</v>
      </c>
      <c r="AR417" s="251">
        <v>106</v>
      </c>
      <c r="AS417" s="251">
        <v>106</v>
      </c>
      <c r="AT417" s="251">
        <v>106</v>
      </c>
      <c r="AU417" s="250">
        <v>99999</v>
      </c>
      <c r="AV417" s="252"/>
      <c r="AW417" s="408">
        <v>10</v>
      </c>
      <c r="AX417" s="408"/>
      <c r="AY417" s="251"/>
      <c r="AZ417" s="251"/>
      <c r="BA417" s="251"/>
      <c r="BB417" s="250"/>
      <c r="BC417" s="250">
        <v>99999</v>
      </c>
    </row>
    <row r="418" spans="1:55" ht="15" customHeight="1" x14ac:dyDescent="0.3">
      <c r="A418" s="408">
        <v>-20</v>
      </c>
      <c r="B418" s="408"/>
      <c r="C418" s="248">
        <v>115</v>
      </c>
      <c r="D418" s="248">
        <v>115</v>
      </c>
      <c r="E418" s="248">
        <v>115</v>
      </c>
      <c r="F418" s="248">
        <v>115</v>
      </c>
      <c r="G418" s="250">
        <v>99999</v>
      </c>
      <c r="H418" s="2"/>
      <c r="I418" s="408">
        <v>-20</v>
      </c>
      <c r="J418" s="408"/>
      <c r="K418" s="251">
        <v>114</v>
      </c>
      <c r="L418" s="251">
        <v>114</v>
      </c>
      <c r="M418" s="251">
        <v>114</v>
      </c>
      <c r="N418" s="251">
        <v>114</v>
      </c>
      <c r="O418" s="250">
        <v>99999</v>
      </c>
      <c r="P418" s="42"/>
      <c r="Q418" s="408">
        <v>-20</v>
      </c>
      <c r="R418" s="408"/>
      <c r="S418" s="251">
        <v>111</v>
      </c>
      <c r="T418" s="251">
        <v>111</v>
      </c>
      <c r="U418" s="251">
        <v>111</v>
      </c>
      <c r="V418" s="251">
        <v>111</v>
      </c>
      <c r="W418" s="250">
        <v>99999</v>
      </c>
      <c r="X418" s="2"/>
      <c r="Y418" s="408">
        <v>-20</v>
      </c>
      <c r="Z418" s="408"/>
      <c r="AA418" s="251">
        <v>108</v>
      </c>
      <c r="AB418" s="251">
        <v>108</v>
      </c>
      <c r="AC418" s="251">
        <v>108</v>
      </c>
      <c r="AD418" s="251">
        <v>108</v>
      </c>
      <c r="AE418" s="250">
        <v>99999</v>
      </c>
      <c r="AF418" s="2"/>
      <c r="AG418" s="408">
        <v>-20</v>
      </c>
      <c r="AH418" s="408"/>
      <c r="AI418" s="251">
        <v>105</v>
      </c>
      <c r="AJ418" s="251">
        <v>105</v>
      </c>
      <c r="AK418" s="251">
        <v>105</v>
      </c>
      <c r="AL418" s="251">
        <v>105</v>
      </c>
      <c r="AM418" s="250">
        <v>99999</v>
      </c>
      <c r="AN418" s="2"/>
      <c r="AO418" s="408">
        <v>-20</v>
      </c>
      <c r="AP418" s="408"/>
      <c r="AQ418" s="251">
        <v>106</v>
      </c>
      <c r="AR418" s="251">
        <v>106</v>
      </c>
      <c r="AS418" s="251">
        <v>106</v>
      </c>
      <c r="AT418" s="251">
        <v>105</v>
      </c>
      <c r="AU418" s="250">
        <v>99999</v>
      </c>
      <c r="AV418" s="252"/>
      <c r="AW418" s="253"/>
      <c r="AX418" s="254"/>
      <c r="AY418" s="251"/>
      <c r="AZ418" s="251"/>
      <c r="BA418" s="251"/>
      <c r="BB418" s="250"/>
      <c r="BC418" s="250">
        <v>99999</v>
      </c>
    </row>
    <row r="419" spans="1:55" ht="15" customHeight="1" x14ac:dyDescent="0.3">
      <c r="A419" s="408">
        <v>-15</v>
      </c>
      <c r="B419" s="408"/>
      <c r="C419" s="248">
        <v>115</v>
      </c>
      <c r="D419" s="248">
        <v>115</v>
      </c>
      <c r="E419" s="248">
        <v>115</v>
      </c>
      <c r="F419" s="248">
        <v>115</v>
      </c>
      <c r="G419" s="250">
        <v>99999</v>
      </c>
      <c r="H419" s="2"/>
      <c r="I419" s="408">
        <v>-15</v>
      </c>
      <c r="J419" s="408"/>
      <c r="K419" s="251">
        <v>114</v>
      </c>
      <c r="L419" s="251">
        <v>114</v>
      </c>
      <c r="M419" s="251">
        <v>114</v>
      </c>
      <c r="N419" s="251">
        <v>114</v>
      </c>
      <c r="O419" s="250">
        <v>99999</v>
      </c>
      <c r="P419" s="42"/>
      <c r="Q419" s="408">
        <v>-15</v>
      </c>
      <c r="R419" s="408"/>
      <c r="S419" s="251">
        <v>111</v>
      </c>
      <c r="T419" s="251">
        <v>111</v>
      </c>
      <c r="U419" s="251">
        <v>111</v>
      </c>
      <c r="V419" s="251">
        <v>111</v>
      </c>
      <c r="W419" s="250">
        <v>99999</v>
      </c>
      <c r="X419" s="2"/>
      <c r="Y419" s="408">
        <v>-15</v>
      </c>
      <c r="Z419" s="408"/>
      <c r="AA419" s="251">
        <v>108</v>
      </c>
      <c r="AB419" s="251">
        <v>108</v>
      </c>
      <c r="AC419" s="251">
        <v>108</v>
      </c>
      <c r="AD419" s="251">
        <v>108</v>
      </c>
      <c r="AE419" s="250">
        <v>99999</v>
      </c>
      <c r="AF419" s="2"/>
      <c r="AG419" s="408">
        <v>-15</v>
      </c>
      <c r="AH419" s="408"/>
      <c r="AI419" s="251">
        <v>105</v>
      </c>
      <c r="AJ419" s="251">
        <v>105</v>
      </c>
      <c r="AK419" s="251">
        <v>105</v>
      </c>
      <c r="AL419" s="251">
        <v>105</v>
      </c>
      <c r="AM419" s="250">
        <v>99999</v>
      </c>
      <c r="AN419" s="2"/>
      <c r="AO419" s="408">
        <v>-15</v>
      </c>
      <c r="AP419" s="408"/>
      <c r="AQ419" s="251">
        <v>106</v>
      </c>
      <c r="AR419" s="251">
        <v>106</v>
      </c>
      <c r="AS419" s="251">
        <v>106</v>
      </c>
      <c r="AT419" s="251">
        <v>105</v>
      </c>
      <c r="AU419" s="250">
        <v>99999</v>
      </c>
      <c r="AV419" s="252"/>
      <c r="AW419" s="253"/>
      <c r="AX419" s="254"/>
      <c r="AY419" s="251"/>
      <c r="AZ419" s="251"/>
      <c r="BA419" s="251"/>
      <c r="BB419" s="250"/>
      <c r="BC419" s="250">
        <v>99999</v>
      </c>
    </row>
    <row r="420" spans="1:55" ht="15" customHeight="1" x14ac:dyDescent="0.3">
      <c r="A420" s="408">
        <v>-10</v>
      </c>
      <c r="B420" s="408"/>
      <c r="C420" s="248">
        <v>115</v>
      </c>
      <c r="D420" s="248">
        <v>115</v>
      </c>
      <c r="E420" s="248">
        <v>115</v>
      </c>
      <c r="F420" s="248">
        <v>115</v>
      </c>
      <c r="G420" s="250">
        <v>99999</v>
      </c>
      <c r="H420" s="2"/>
      <c r="I420" s="408">
        <v>-10</v>
      </c>
      <c r="J420" s="408"/>
      <c r="K420" s="251">
        <v>114</v>
      </c>
      <c r="L420" s="251">
        <v>114</v>
      </c>
      <c r="M420" s="251">
        <v>114</v>
      </c>
      <c r="N420" s="251">
        <v>114</v>
      </c>
      <c r="O420" s="250">
        <v>99999</v>
      </c>
      <c r="P420" s="42"/>
      <c r="Q420" s="408">
        <v>-10</v>
      </c>
      <c r="R420" s="408"/>
      <c r="S420" s="251">
        <v>111</v>
      </c>
      <c r="T420" s="251">
        <v>111</v>
      </c>
      <c r="U420" s="251">
        <v>111</v>
      </c>
      <c r="V420" s="251">
        <v>111</v>
      </c>
      <c r="W420" s="250">
        <v>99999</v>
      </c>
      <c r="X420" s="2"/>
      <c r="Y420" s="408">
        <v>-10</v>
      </c>
      <c r="Z420" s="408"/>
      <c r="AA420" s="251">
        <v>108</v>
      </c>
      <c r="AB420" s="251">
        <v>108</v>
      </c>
      <c r="AC420" s="251">
        <v>108</v>
      </c>
      <c r="AD420" s="251">
        <v>108</v>
      </c>
      <c r="AE420" s="250">
        <v>99999</v>
      </c>
      <c r="AF420" s="2"/>
      <c r="AG420" s="408">
        <v>-10</v>
      </c>
      <c r="AH420" s="408"/>
      <c r="AI420" s="251">
        <v>105</v>
      </c>
      <c r="AJ420" s="251">
        <v>105</v>
      </c>
      <c r="AK420" s="251">
        <v>105</v>
      </c>
      <c r="AL420" s="251">
        <v>105</v>
      </c>
      <c r="AM420" s="250">
        <v>99999</v>
      </c>
      <c r="AN420" s="2"/>
      <c r="AO420" s="408">
        <v>-10</v>
      </c>
      <c r="AP420" s="408"/>
      <c r="AQ420" s="251">
        <v>106</v>
      </c>
      <c r="AR420" s="251">
        <v>106</v>
      </c>
      <c r="AS420" s="251">
        <v>105</v>
      </c>
      <c r="AT420" s="251">
        <v>105</v>
      </c>
      <c r="AU420" s="250">
        <v>99999</v>
      </c>
      <c r="AV420" s="252"/>
      <c r="AW420" s="253"/>
      <c r="AX420" s="254"/>
      <c r="AY420" s="251"/>
      <c r="AZ420" s="251"/>
      <c r="BA420" s="251"/>
      <c r="BB420" s="250"/>
      <c r="BC420" s="250">
        <v>99999</v>
      </c>
    </row>
    <row r="421" spans="1:55" ht="15" customHeight="1" x14ac:dyDescent="0.3">
      <c r="A421" s="408">
        <v>-5</v>
      </c>
      <c r="B421" s="408"/>
      <c r="C421" s="248">
        <v>115</v>
      </c>
      <c r="D421" s="248">
        <v>115</v>
      </c>
      <c r="E421" s="248">
        <v>115</v>
      </c>
      <c r="F421" s="248">
        <v>115</v>
      </c>
      <c r="G421" s="250">
        <v>99999</v>
      </c>
      <c r="H421" s="2"/>
      <c r="I421" s="408">
        <v>-5</v>
      </c>
      <c r="J421" s="408"/>
      <c r="K421" s="251">
        <v>114</v>
      </c>
      <c r="L421" s="251">
        <v>114</v>
      </c>
      <c r="M421" s="251">
        <v>114</v>
      </c>
      <c r="N421" s="251">
        <v>114</v>
      </c>
      <c r="O421" s="250">
        <v>99999</v>
      </c>
      <c r="P421" s="42"/>
      <c r="Q421" s="408">
        <v>-5</v>
      </c>
      <c r="R421" s="408"/>
      <c r="S421" s="251">
        <v>111</v>
      </c>
      <c r="T421" s="251">
        <v>111</v>
      </c>
      <c r="U421" s="251">
        <v>111</v>
      </c>
      <c r="V421" s="251">
        <v>111</v>
      </c>
      <c r="W421" s="250">
        <v>99999</v>
      </c>
      <c r="X421" s="2"/>
      <c r="Y421" s="408">
        <v>-5</v>
      </c>
      <c r="Z421" s="408"/>
      <c r="AA421" s="251">
        <v>108</v>
      </c>
      <c r="AB421" s="251">
        <v>108</v>
      </c>
      <c r="AC421" s="251">
        <v>108</v>
      </c>
      <c r="AD421" s="251">
        <v>108</v>
      </c>
      <c r="AE421" s="250">
        <v>99999</v>
      </c>
      <c r="AF421" s="2"/>
      <c r="AG421" s="408">
        <v>-5</v>
      </c>
      <c r="AH421" s="408"/>
      <c r="AI421" s="251">
        <v>105</v>
      </c>
      <c r="AJ421" s="251">
        <v>105</v>
      </c>
      <c r="AK421" s="251">
        <v>105</v>
      </c>
      <c r="AL421" s="251">
        <v>105</v>
      </c>
      <c r="AM421" s="250">
        <v>99999</v>
      </c>
      <c r="AN421" s="2"/>
      <c r="AO421" s="408">
        <v>-5</v>
      </c>
      <c r="AP421" s="408"/>
      <c r="AQ421" s="251">
        <v>106</v>
      </c>
      <c r="AR421" s="251">
        <v>106</v>
      </c>
      <c r="AS421" s="251">
        <v>105</v>
      </c>
      <c r="AT421" s="251">
        <v>105</v>
      </c>
      <c r="AU421" s="250">
        <v>99999</v>
      </c>
      <c r="AV421" s="252"/>
      <c r="AW421" s="253"/>
      <c r="AX421" s="254"/>
      <c r="AY421" s="251"/>
      <c r="AZ421" s="251"/>
      <c r="BA421" s="251"/>
      <c r="BB421" s="250"/>
      <c r="BC421" s="250">
        <v>99999</v>
      </c>
    </row>
    <row r="422" spans="1:55" ht="15" customHeight="1" x14ac:dyDescent="0.3">
      <c r="A422" s="408">
        <v>0</v>
      </c>
      <c r="B422" s="408"/>
      <c r="C422" s="248">
        <v>115</v>
      </c>
      <c r="D422" s="248">
        <v>115</v>
      </c>
      <c r="E422" s="248">
        <v>115</v>
      </c>
      <c r="F422" s="248">
        <v>115</v>
      </c>
      <c r="G422" s="250">
        <v>99999</v>
      </c>
      <c r="H422" s="2"/>
      <c r="I422" s="408">
        <v>0</v>
      </c>
      <c r="J422" s="408"/>
      <c r="K422" s="251">
        <v>114</v>
      </c>
      <c r="L422" s="251">
        <v>114</v>
      </c>
      <c r="M422" s="251">
        <v>114</v>
      </c>
      <c r="N422" s="251">
        <v>114</v>
      </c>
      <c r="O422" s="250">
        <v>99999</v>
      </c>
      <c r="P422" s="42"/>
      <c r="Q422" s="408">
        <v>0</v>
      </c>
      <c r="R422" s="408"/>
      <c r="S422" s="251">
        <v>111</v>
      </c>
      <c r="T422" s="251">
        <v>111</v>
      </c>
      <c r="U422" s="251">
        <v>111</v>
      </c>
      <c r="V422" s="251">
        <v>111</v>
      </c>
      <c r="W422" s="250">
        <v>99999</v>
      </c>
      <c r="X422" s="2"/>
      <c r="Y422" s="408">
        <v>0</v>
      </c>
      <c r="Z422" s="408"/>
      <c r="AA422" s="251">
        <v>108</v>
      </c>
      <c r="AB422" s="251">
        <v>108</v>
      </c>
      <c r="AC422" s="251">
        <v>108</v>
      </c>
      <c r="AD422" s="251">
        <v>108</v>
      </c>
      <c r="AE422" s="250">
        <v>99999</v>
      </c>
      <c r="AF422" s="2"/>
      <c r="AG422" s="408">
        <v>0</v>
      </c>
      <c r="AH422" s="408"/>
      <c r="AI422" s="251">
        <v>105</v>
      </c>
      <c r="AJ422" s="251">
        <v>105</v>
      </c>
      <c r="AK422" s="251">
        <v>105</v>
      </c>
      <c r="AL422" s="251">
        <v>105</v>
      </c>
      <c r="AM422" s="250">
        <v>99999</v>
      </c>
      <c r="AN422" s="2"/>
      <c r="AO422" s="408">
        <v>0</v>
      </c>
      <c r="AP422" s="408"/>
      <c r="AQ422" s="251">
        <v>106</v>
      </c>
      <c r="AR422" s="251">
        <v>105</v>
      </c>
      <c r="AS422" s="251">
        <v>105</v>
      </c>
      <c r="AT422" s="251">
        <v>105</v>
      </c>
      <c r="AU422" s="250">
        <v>99999</v>
      </c>
      <c r="AV422" s="252"/>
      <c r="AW422" s="253"/>
      <c r="AX422" s="254"/>
      <c r="AY422" s="251"/>
      <c r="AZ422" s="251"/>
      <c r="BA422" s="251"/>
      <c r="BB422" s="250"/>
      <c r="BC422" s="250">
        <v>99999</v>
      </c>
    </row>
    <row r="423" spans="1:55" ht="15" customHeight="1" x14ac:dyDescent="0.3">
      <c r="A423" s="408">
        <v>5</v>
      </c>
      <c r="B423" s="408"/>
      <c r="C423" s="248">
        <v>115</v>
      </c>
      <c r="D423" s="248">
        <v>115</v>
      </c>
      <c r="E423" s="248">
        <v>115</v>
      </c>
      <c r="F423" s="248">
        <v>115</v>
      </c>
      <c r="G423" s="250">
        <v>99999</v>
      </c>
      <c r="H423" s="2"/>
      <c r="I423" s="408">
        <v>5</v>
      </c>
      <c r="J423" s="408"/>
      <c r="K423" s="251">
        <v>114</v>
      </c>
      <c r="L423" s="251">
        <v>114</v>
      </c>
      <c r="M423" s="251">
        <v>114</v>
      </c>
      <c r="N423" s="251">
        <v>114</v>
      </c>
      <c r="O423" s="250">
        <v>99999</v>
      </c>
      <c r="P423" s="42"/>
      <c r="Q423" s="408">
        <v>5</v>
      </c>
      <c r="R423" s="408"/>
      <c r="S423" s="251">
        <v>111</v>
      </c>
      <c r="T423" s="251">
        <v>111</v>
      </c>
      <c r="U423" s="251">
        <v>111</v>
      </c>
      <c r="V423" s="251">
        <v>111</v>
      </c>
      <c r="W423" s="250">
        <v>99999</v>
      </c>
      <c r="X423" s="2"/>
      <c r="Y423" s="408">
        <v>5</v>
      </c>
      <c r="Z423" s="408"/>
      <c r="AA423" s="251">
        <v>108</v>
      </c>
      <c r="AB423" s="251">
        <v>108</v>
      </c>
      <c r="AC423" s="251">
        <v>108</v>
      </c>
      <c r="AD423" s="251">
        <v>108</v>
      </c>
      <c r="AE423" s="250">
        <v>99999</v>
      </c>
      <c r="AF423" s="2"/>
      <c r="AG423" s="408">
        <v>5</v>
      </c>
      <c r="AH423" s="408"/>
      <c r="AI423" s="251">
        <v>105</v>
      </c>
      <c r="AJ423" s="251">
        <v>105</v>
      </c>
      <c r="AK423" s="251">
        <v>105</v>
      </c>
      <c r="AL423" s="251">
        <v>105</v>
      </c>
      <c r="AM423" s="250">
        <v>99999</v>
      </c>
      <c r="AN423" s="2"/>
      <c r="AO423" s="408">
        <v>5</v>
      </c>
      <c r="AP423" s="408"/>
      <c r="AQ423" s="251">
        <v>106</v>
      </c>
      <c r="AR423" s="251">
        <v>105</v>
      </c>
      <c r="AS423" s="251">
        <v>105</v>
      </c>
      <c r="AT423" s="251">
        <v>105</v>
      </c>
      <c r="AU423" s="250">
        <v>99999</v>
      </c>
      <c r="AV423" s="252"/>
      <c r="AW423" s="253"/>
      <c r="AX423" s="254"/>
      <c r="AY423" s="251"/>
      <c r="AZ423" s="251"/>
      <c r="BA423" s="251"/>
      <c r="BB423" s="250"/>
      <c r="BC423" s="250">
        <v>99999</v>
      </c>
    </row>
    <row r="424" spans="1:55" ht="15" customHeight="1" x14ac:dyDescent="0.3">
      <c r="A424" s="408">
        <v>10</v>
      </c>
      <c r="B424" s="408"/>
      <c r="C424" s="248">
        <v>115</v>
      </c>
      <c r="D424" s="248">
        <v>115</v>
      </c>
      <c r="E424" s="248">
        <v>115</v>
      </c>
      <c r="F424" s="248">
        <v>115</v>
      </c>
      <c r="G424" s="250">
        <v>99999</v>
      </c>
      <c r="H424" s="2"/>
      <c r="I424" s="408">
        <v>10</v>
      </c>
      <c r="J424" s="408"/>
      <c r="K424" s="251">
        <v>114</v>
      </c>
      <c r="L424" s="251">
        <v>114</v>
      </c>
      <c r="M424" s="251">
        <v>114</v>
      </c>
      <c r="N424" s="251">
        <v>114</v>
      </c>
      <c r="O424" s="250">
        <v>99999</v>
      </c>
      <c r="P424" s="42"/>
      <c r="Q424" s="408">
        <v>10</v>
      </c>
      <c r="R424" s="408"/>
      <c r="S424" s="251">
        <v>111</v>
      </c>
      <c r="T424" s="251">
        <v>111</v>
      </c>
      <c r="U424" s="251">
        <v>111</v>
      </c>
      <c r="V424" s="251">
        <v>111</v>
      </c>
      <c r="W424" s="250">
        <v>99999</v>
      </c>
      <c r="X424" s="2"/>
      <c r="Y424" s="408">
        <v>10</v>
      </c>
      <c r="Z424" s="408"/>
      <c r="AA424" s="251">
        <v>108</v>
      </c>
      <c r="AB424" s="251">
        <v>108</v>
      </c>
      <c r="AC424" s="251">
        <v>108</v>
      </c>
      <c r="AD424" s="251">
        <v>108</v>
      </c>
      <c r="AE424" s="250">
        <v>99999</v>
      </c>
      <c r="AF424" s="2"/>
      <c r="AG424" s="408">
        <v>10</v>
      </c>
      <c r="AH424" s="408"/>
      <c r="AI424" s="251">
        <v>105</v>
      </c>
      <c r="AJ424" s="251">
        <v>105</v>
      </c>
      <c r="AK424" s="251">
        <v>105</v>
      </c>
      <c r="AL424" s="251">
        <v>105</v>
      </c>
      <c r="AM424" s="250">
        <v>99999</v>
      </c>
      <c r="AN424" s="2"/>
      <c r="AO424" s="408">
        <v>10</v>
      </c>
      <c r="AP424" s="408"/>
      <c r="AQ424" s="251">
        <v>106</v>
      </c>
      <c r="AR424" s="251">
        <v>105</v>
      </c>
      <c r="AS424" s="251">
        <v>105</v>
      </c>
      <c r="AT424" s="251">
        <v>105</v>
      </c>
      <c r="AU424" s="250">
        <v>99999</v>
      </c>
      <c r="AV424" s="252"/>
      <c r="AW424" s="253"/>
      <c r="AX424" s="254"/>
      <c r="AY424" s="251"/>
      <c r="AZ424" s="251"/>
      <c r="BA424" s="251"/>
      <c r="BB424" s="250"/>
      <c r="BC424" s="250">
        <v>99999</v>
      </c>
    </row>
    <row r="425" spans="1:55" ht="15" customHeight="1" x14ac:dyDescent="0.3">
      <c r="A425" s="408">
        <v>15</v>
      </c>
      <c r="B425" s="408"/>
      <c r="C425" s="248">
        <v>115</v>
      </c>
      <c r="D425" s="248">
        <v>115</v>
      </c>
      <c r="E425" s="248">
        <v>115</v>
      </c>
      <c r="F425" s="248">
        <v>115</v>
      </c>
      <c r="G425" s="250">
        <v>99999</v>
      </c>
      <c r="H425" s="2"/>
      <c r="I425" s="408">
        <v>15</v>
      </c>
      <c r="J425" s="408"/>
      <c r="K425" s="251">
        <v>114</v>
      </c>
      <c r="L425" s="251">
        <v>114</v>
      </c>
      <c r="M425" s="251">
        <v>114</v>
      </c>
      <c r="N425" s="251">
        <v>114</v>
      </c>
      <c r="O425" s="250">
        <v>99999</v>
      </c>
      <c r="P425" s="42"/>
      <c r="Q425" s="408">
        <v>15</v>
      </c>
      <c r="R425" s="408"/>
      <c r="S425" s="251">
        <v>111</v>
      </c>
      <c r="T425" s="251">
        <v>111</v>
      </c>
      <c r="U425" s="251">
        <v>111</v>
      </c>
      <c r="V425" s="251">
        <v>111</v>
      </c>
      <c r="W425" s="250">
        <v>99999</v>
      </c>
      <c r="X425" s="2"/>
      <c r="Y425" s="408">
        <v>15</v>
      </c>
      <c r="Z425" s="408"/>
      <c r="AA425" s="251">
        <v>108</v>
      </c>
      <c r="AB425" s="251">
        <v>108</v>
      </c>
      <c r="AC425" s="251">
        <v>108</v>
      </c>
      <c r="AD425" s="251">
        <v>108</v>
      </c>
      <c r="AE425" s="250">
        <v>99999</v>
      </c>
      <c r="AF425" s="2"/>
      <c r="AG425" s="408">
        <v>15</v>
      </c>
      <c r="AH425" s="408"/>
      <c r="AI425" s="251">
        <v>105</v>
      </c>
      <c r="AJ425" s="251">
        <v>105</v>
      </c>
      <c r="AK425" s="251">
        <v>105</v>
      </c>
      <c r="AL425" s="251">
        <v>105</v>
      </c>
      <c r="AM425" s="250">
        <v>99999</v>
      </c>
      <c r="AN425" s="2"/>
      <c r="AO425" s="408">
        <v>15</v>
      </c>
      <c r="AP425" s="408"/>
      <c r="AQ425" s="251">
        <v>105</v>
      </c>
      <c r="AR425" s="251">
        <v>105</v>
      </c>
      <c r="AS425" s="251">
        <v>105</v>
      </c>
      <c r="AT425" s="251">
        <v>105</v>
      </c>
      <c r="AU425" s="250">
        <v>99999</v>
      </c>
      <c r="AV425" s="252"/>
      <c r="AW425" s="253"/>
      <c r="AX425" s="254"/>
      <c r="AY425" s="251"/>
      <c r="AZ425" s="251"/>
      <c r="BA425" s="251"/>
      <c r="BB425" s="250"/>
      <c r="BC425" s="250">
        <v>99999</v>
      </c>
    </row>
    <row r="426" spans="1:55" ht="15" customHeight="1" x14ac:dyDescent="0.3">
      <c r="A426" s="408">
        <v>20</v>
      </c>
      <c r="B426" s="408"/>
      <c r="C426" s="248">
        <v>115</v>
      </c>
      <c r="D426" s="248">
        <v>115</v>
      </c>
      <c r="E426" s="248">
        <v>115</v>
      </c>
      <c r="F426" s="248">
        <v>115</v>
      </c>
      <c r="G426" s="250">
        <v>99999</v>
      </c>
      <c r="H426" s="2"/>
      <c r="I426" s="408">
        <v>20</v>
      </c>
      <c r="J426" s="408"/>
      <c r="K426" s="251">
        <v>114</v>
      </c>
      <c r="L426" s="251">
        <v>114</v>
      </c>
      <c r="M426" s="251">
        <v>114</v>
      </c>
      <c r="N426" s="251">
        <v>114</v>
      </c>
      <c r="O426" s="250">
        <v>99999</v>
      </c>
      <c r="P426" s="42"/>
      <c r="Q426" s="408">
        <v>20</v>
      </c>
      <c r="R426" s="408"/>
      <c r="S426" s="251">
        <v>111</v>
      </c>
      <c r="T426" s="251">
        <v>111</v>
      </c>
      <c r="U426" s="251">
        <v>111</v>
      </c>
      <c r="V426" s="251">
        <v>111</v>
      </c>
      <c r="W426" s="250">
        <v>99999</v>
      </c>
      <c r="X426" s="2"/>
      <c r="Y426" s="408">
        <v>20</v>
      </c>
      <c r="Z426" s="408"/>
      <c r="AA426" s="251">
        <v>108</v>
      </c>
      <c r="AB426" s="251">
        <v>108</v>
      </c>
      <c r="AC426" s="251">
        <v>108</v>
      </c>
      <c r="AD426" s="251">
        <v>108</v>
      </c>
      <c r="AE426" s="250">
        <v>99999</v>
      </c>
      <c r="AF426" s="2"/>
      <c r="AG426" s="408">
        <v>20</v>
      </c>
      <c r="AH426" s="408"/>
      <c r="AI426" s="251">
        <v>105</v>
      </c>
      <c r="AJ426" s="251">
        <v>105</v>
      </c>
      <c r="AK426" s="251">
        <v>105</v>
      </c>
      <c r="AL426" s="251">
        <v>105</v>
      </c>
      <c r="AM426" s="250">
        <v>99999</v>
      </c>
      <c r="AN426" s="2"/>
      <c r="AO426" s="408">
        <v>20</v>
      </c>
      <c r="AP426" s="408"/>
      <c r="AQ426" s="251">
        <v>105</v>
      </c>
      <c r="AR426" s="251">
        <v>105</v>
      </c>
      <c r="AS426" s="251">
        <v>105</v>
      </c>
      <c r="AT426" s="251">
        <v>105</v>
      </c>
      <c r="AU426" s="250">
        <v>99999</v>
      </c>
      <c r="AV426" s="252"/>
      <c r="AW426" s="408">
        <v>20</v>
      </c>
      <c r="AX426" s="408"/>
      <c r="AY426" s="251"/>
      <c r="AZ426" s="251"/>
      <c r="BA426" s="251"/>
      <c r="BB426" s="250"/>
      <c r="BC426" s="250">
        <v>99999</v>
      </c>
    </row>
    <row r="427" spans="1:55" ht="15" customHeight="1" x14ac:dyDescent="0.3">
      <c r="A427" s="408">
        <v>25</v>
      </c>
      <c r="B427" s="408"/>
      <c r="C427" s="248">
        <v>115</v>
      </c>
      <c r="D427" s="248">
        <v>115</v>
      </c>
      <c r="E427" s="248">
        <v>115</v>
      </c>
      <c r="F427" s="248">
        <v>115</v>
      </c>
      <c r="G427" s="250">
        <v>99999</v>
      </c>
      <c r="H427" s="2"/>
      <c r="I427" s="408">
        <v>25</v>
      </c>
      <c r="J427" s="408"/>
      <c r="K427" s="251">
        <v>114</v>
      </c>
      <c r="L427" s="251">
        <v>114</v>
      </c>
      <c r="M427" s="251">
        <v>114</v>
      </c>
      <c r="N427" s="251">
        <v>114</v>
      </c>
      <c r="O427" s="250">
        <v>99999</v>
      </c>
      <c r="P427" s="42"/>
      <c r="Q427" s="408">
        <v>25</v>
      </c>
      <c r="R427" s="408"/>
      <c r="S427" s="251">
        <v>111</v>
      </c>
      <c r="T427" s="251">
        <v>111</v>
      </c>
      <c r="U427" s="251">
        <v>111</v>
      </c>
      <c r="V427" s="251">
        <v>111</v>
      </c>
      <c r="W427" s="250">
        <v>99999</v>
      </c>
      <c r="X427" s="2"/>
      <c r="Y427" s="408">
        <v>25</v>
      </c>
      <c r="Z427" s="408"/>
      <c r="AA427" s="251">
        <v>108</v>
      </c>
      <c r="AB427" s="251">
        <v>108</v>
      </c>
      <c r="AC427" s="251">
        <v>108</v>
      </c>
      <c r="AD427" s="251">
        <v>108</v>
      </c>
      <c r="AE427" s="250">
        <v>99999</v>
      </c>
      <c r="AF427" s="2"/>
      <c r="AG427" s="408">
        <v>25</v>
      </c>
      <c r="AH427" s="408"/>
      <c r="AI427" s="251">
        <v>105</v>
      </c>
      <c r="AJ427" s="251">
        <v>105</v>
      </c>
      <c r="AK427" s="251">
        <v>105</v>
      </c>
      <c r="AL427" s="251">
        <v>105</v>
      </c>
      <c r="AM427" s="250">
        <v>99999</v>
      </c>
      <c r="AN427" s="2"/>
      <c r="AO427" s="408">
        <v>25</v>
      </c>
      <c r="AP427" s="408"/>
      <c r="AQ427" s="251">
        <v>105</v>
      </c>
      <c r="AR427" s="251">
        <v>105</v>
      </c>
      <c r="AS427" s="251">
        <v>105</v>
      </c>
      <c r="AT427" s="251">
        <v>105</v>
      </c>
      <c r="AU427" s="250">
        <v>99999</v>
      </c>
      <c r="AV427" s="252"/>
      <c r="AW427" s="253"/>
      <c r="AX427" s="254"/>
      <c r="AY427" s="251"/>
      <c r="AZ427" s="251"/>
      <c r="BA427" s="251"/>
      <c r="BB427" s="250"/>
      <c r="BC427" s="250">
        <v>99999</v>
      </c>
    </row>
    <row r="428" spans="1:55" ht="15" customHeight="1" x14ac:dyDescent="0.3">
      <c r="A428" s="408">
        <v>30</v>
      </c>
      <c r="B428" s="408"/>
      <c r="C428" s="248">
        <v>115</v>
      </c>
      <c r="D428" s="248">
        <v>115</v>
      </c>
      <c r="E428" s="248">
        <v>115</v>
      </c>
      <c r="F428" s="250"/>
      <c r="G428" s="250">
        <v>99999</v>
      </c>
      <c r="H428" s="2"/>
      <c r="I428" s="408">
        <v>30</v>
      </c>
      <c r="J428" s="408"/>
      <c r="K428" s="251">
        <v>114</v>
      </c>
      <c r="L428" s="251">
        <v>114</v>
      </c>
      <c r="M428" s="251">
        <v>114</v>
      </c>
      <c r="N428" s="251">
        <v>114</v>
      </c>
      <c r="O428" s="250">
        <v>99999</v>
      </c>
      <c r="P428" s="42"/>
      <c r="Q428" s="408">
        <v>30</v>
      </c>
      <c r="R428" s="408"/>
      <c r="S428" s="251">
        <v>111</v>
      </c>
      <c r="T428" s="251">
        <v>111</v>
      </c>
      <c r="U428" s="251">
        <v>111</v>
      </c>
      <c r="V428" s="251">
        <v>111</v>
      </c>
      <c r="W428" s="250">
        <v>99999</v>
      </c>
      <c r="X428" s="2"/>
      <c r="Y428" s="408">
        <v>30</v>
      </c>
      <c r="Z428" s="408"/>
      <c r="AA428" s="251">
        <v>108</v>
      </c>
      <c r="AB428" s="251">
        <v>108</v>
      </c>
      <c r="AC428" s="251">
        <v>108</v>
      </c>
      <c r="AD428" s="251">
        <v>108</v>
      </c>
      <c r="AE428" s="250">
        <v>99999</v>
      </c>
      <c r="AF428" s="2"/>
      <c r="AG428" s="408">
        <v>30</v>
      </c>
      <c r="AH428" s="408"/>
      <c r="AI428" s="251">
        <v>105</v>
      </c>
      <c r="AJ428" s="251">
        <v>105</v>
      </c>
      <c r="AK428" s="251">
        <v>105</v>
      </c>
      <c r="AL428" s="251">
        <v>105</v>
      </c>
      <c r="AM428" s="250">
        <v>99999</v>
      </c>
      <c r="AN428" s="2"/>
      <c r="AO428" s="408">
        <v>30</v>
      </c>
      <c r="AP428" s="408"/>
      <c r="AQ428" s="251">
        <v>105</v>
      </c>
      <c r="AR428" s="251">
        <v>105</v>
      </c>
      <c r="AS428" s="251">
        <v>105</v>
      </c>
      <c r="AT428" s="250">
        <v>104</v>
      </c>
      <c r="AU428" s="250">
        <v>99999</v>
      </c>
      <c r="AV428" s="252"/>
      <c r="AW428" s="408">
        <v>30</v>
      </c>
      <c r="AX428" s="408"/>
      <c r="AY428" s="251"/>
      <c r="AZ428" s="251"/>
      <c r="BA428" s="251"/>
      <c r="BB428" s="250"/>
      <c r="BC428" s="250">
        <v>99999</v>
      </c>
    </row>
    <row r="429" spans="1:55" ht="15" customHeight="1" x14ac:dyDescent="0.3">
      <c r="A429" s="408">
        <v>40</v>
      </c>
      <c r="B429" s="408"/>
      <c r="C429" s="255">
        <v>99999</v>
      </c>
      <c r="D429" s="255">
        <v>99999</v>
      </c>
      <c r="E429" s="255">
        <v>99999</v>
      </c>
      <c r="F429" s="255">
        <v>99999</v>
      </c>
      <c r="G429" s="250">
        <v>99999</v>
      </c>
      <c r="H429" s="2"/>
      <c r="I429" s="408">
        <v>40</v>
      </c>
      <c r="J429" s="408"/>
      <c r="K429" s="255">
        <v>99999</v>
      </c>
      <c r="L429" s="255">
        <v>99999</v>
      </c>
      <c r="M429" s="255">
        <v>99999</v>
      </c>
      <c r="N429" s="255">
        <v>99999</v>
      </c>
      <c r="O429" s="250">
        <v>99999</v>
      </c>
      <c r="P429" s="42"/>
      <c r="Q429" s="408">
        <v>40</v>
      </c>
      <c r="R429" s="408"/>
      <c r="S429" s="255">
        <v>99999</v>
      </c>
      <c r="T429" s="255">
        <v>99999</v>
      </c>
      <c r="U429" s="255">
        <v>99999</v>
      </c>
      <c r="V429" s="255">
        <v>99999</v>
      </c>
      <c r="W429" s="250">
        <v>99999</v>
      </c>
      <c r="X429" s="2"/>
      <c r="Y429" s="408">
        <v>40</v>
      </c>
      <c r="Z429" s="408"/>
      <c r="AA429" s="255">
        <v>99999</v>
      </c>
      <c r="AB429" s="255">
        <v>99999</v>
      </c>
      <c r="AC429" s="255">
        <v>99999</v>
      </c>
      <c r="AD429" s="255">
        <v>99999</v>
      </c>
      <c r="AE429" s="250">
        <v>99999</v>
      </c>
      <c r="AF429" s="2"/>
      <c r="AG429" s="408">
        <v>40</v>
      </c>
      <c r="AH429" s="408"/>
      <c r="AI429" s="255">
        <v>99999</v>
      </c>
      <c r="AJ429" s="255">
        <v>99999</v>
      </c>
      <c r="AK429" s="255">
        <v>99999</v>
      </c>
      <c r="AL429" s="255">
        <v>99999</v>
      </c>
      <c r="AM429" s="250">
        <v>99999</v>
      </c>
      <c r="AN429" s="2"/>
      <c r="AO429" s="408">
        <v>40</v>
      </c>
      <c r="AP429" s="408"/>
      <c r="AQ429" s="255">
        <v>99999</v>
      </c>
      <c r="AR429" s="255">
        <v>99999</v>
      </c>
      <c r="AS429" s="255">
        <v>99999</v>
      </c>
      <c r="AT429" s="255">
        <v>99999</v>
      </c>
      <c r="AU429" s="250">
        <v>99999</v>
      </c>
      <c r="AV429" s="252"/>
      <c r="AW429" s="408">
        <v>40</v>
      </c>
      <c r="AX429" s="408"/>
      <c r="AY429" s="255">
        <v>99999</v>
      </c>
      <c r="AZ429" s="255">
        <v>99999</v>
      </c>
      <c r="BA429" s="255">
        <v>99999</v>
      </c>
      <c r="BB429" s="255">
        <v>99999</v>
      </c>
      <c r="BC429" s="250">
        <v>99999</v>
      </c>
    </row>
    <row r="430" spans="1:55" ht="15" customHeight="1" x14ac:dyDescent="0.3">
      <c r="A430" s="409"/>
      <c r="B430" s="409"/>
      <c r="C430" s="256" t="s">
        <v>219</v>
      </c>
      <c r="D430" s="257" t="s">
        <v>219</v>
      </c>
      <c r="E430" s="257" t="s">
        <v>219</v>
      </c>
      <c r="F430" s="257" t="s">
        <v>219</v>
      </c>
      <c r="G430" s="258" t="s">
        <v>219</v>
      </c>
      <c r="H430" s="2"/>
      <c r="I430" s="409"/>
      <c r="J430" s="409"/>
      <c r="K430" s="256" t="s">
        <v>219</v>
      </c>
      <c r="L430" s="257" t="s">
        <v>219</v>
      </c>
      <c r="M430" s="257" t="s">
        <v>219</v>
      </c>
      <c r="N430" s="257" t="s">
        <v>219</v>
      </c>
      <c r="O430" s="258" t="s">
        <v>219</v>
      </c>
      <c r="P430" s="42"/>
      <c r="Q430" s="409"/>
      <c r="R430" s="409"/>
      <c r="S430" s="256" t="s">
        <v>219</v>
      </c>
      <c r="T430" s="257" t="s">
        <v>219</v>
      </c>
      <c r="U430" s="257" t="s">
        <v>219</v>
      </c>
      <c r="V430" s="257" t="s">
        <v>219</v>
      </c>
      <c r="W430" s="258" t="s">
        <v>219</v>
      </c>
      <c r="X430" s="2"/>
      <c r="Y430" s="409"/>
      <c r="Z430" s="409"/>
      <c r="AA430" s="256" t="s">
        <v>219</v>
      </c>
      <c r="AB430" s="257" t="s">
        <v>219</v>
      </c>
      <c r="AC430" s="257" t="s">
        <v>219</v>
      </c>
      <c r="AD430" s="257" t="s">
        <v>219</v>
      </c>
      <c r="AE430" s="258" t="s">
        <v>219</v>
      </c>
      <c r="AF430" s="2"/>
      <c r="AG430" s="409"/>
      <c r="AH430" s="409"/>
      <c r="AI430" s="256" t="s">
        <v>219</v>
      </c>
      <c r="AJ430" s="257" t="s">
        <v>219</v>
      </c>
      <c r="AK430" s="257" t="s">
        <v>219</v>
      </c>
      <c r="AL430" s="257" t="s">
        <v>219</v>
      </c>
      <c r="AM430" s="258" t="s">
        <v>219</v>
      </c>
      <c r="AN430" s="2"/>
      <c r="AO430" s="409"/>
      <c r="AP430" s="409"/>
      <c r="AQ430" s="256" t="s">
        <v>219</v>
      </c>
      <c r="AR430" s="257" t="s">
        <v>219</v>
      </c>
      <c r="AS430" s="257" t="s">
        <v>219</v>
      </c>
      <c r="AT430" s="257" t="s">
        <v>219</v>
      </c>
      <c r="AU430" s="258" t="s">
        <v>219</v>
      </c>
      <c r="AV430" s="252"/>
      <c r="AW430" s="409"/>
      <c r="AX430" s="409"/>
      <c r="AY430" s="256" t="s">
        <v>219</v>
      </c>
      <c r="AZ430" s="257" t="s">
        <v>219</v>
      </c>
      <c r="BA430" s="257" t="s">
        <v>219</v>
      </c>
      <c r="BB430" s="257" t="s">
        <v>219</v>
      </c>
      <c r="BC430" s="258" t="s">
        <v>219</v>
      </c>
    </row>
    <row r="431" spans="1:55" ht="15.75" customHeight="1" x14ac:dyDescent="0.3"/>
    <row r="432" spans="1:55" ht="15" customHeight="1" x14ac:dyDescent="0.3">
      <c r="B432" s="139" t="s">
        <v>146</v>
      </c>
      <c r="C432" s="140">
        <f ca="1">$D$1</f>
        <v>770</v>
      </c>
      <c r="D432" s="355" t="s">
        <v>201</v>
      </c>
      <c r="E432" s="355"/>
      <c r="F432" s="137"/>
      <c r="G432" s="137"/>
      <c r="H432" s="2"/>
      <c r="I432" s="2"/>
      <c r="J432" s="139" t="s">
        <v>146</v>
      </c>
      <c r="K432" s="140">
        <f ca="1">$D$1</f>
        <v>770</v>
      </c>
      <c r="L432" s="355" t="s">
        <v>201</v>
      </c>
      <c r="M432" s="355"/>
      <c r="N432" s="137"/>
      <c r="O432" s="137"/>
      <c r="P432" s="137"/>
      <c r="Q432" s="2"/>
      <c r="R432" s="139" t="s">
        <v>146</v>
      </c>
      <c r="S432" s="140">
        <f ca="1">$D$1</f>
        <v>770</v>
      </c>
      <c r="T432" s="355" t="s">
        <v>201</v>
      </c>
      <c r="U432" s="355"/>
      <c r="V432" s="137"/>
      <c r="W432" s="137"/>
      <c r="X432" s="2"/>
      <c r="Y432" s="2"/>
      <c r="Z432" s="139" t="s">
        <v>146</v>
      </c>
      <c r="AA432" s="140">
        <f ca="1">$D$1</f>
        <v>770</v>
      </c>
      <c r="AB432" s="355" t="s">
        <v>201</v>
      </c>
      <c r="AC432" s="355"/>
      <c r="AD432" s="137"/>
      <c r="AE432" s="137"/>
      <c r="AF432" s="2"/>
      <c r="AG432" s="2"/>
      <c r="AH432" s="139" t="s">
        <v>146</v>
      </c>
      <c r="AI432" s="140">
        <f ca="1">$D$1</f>
        <v>770</v>
      </c>
      <c r="AJ432" s="355" t="s">
        <v>201</v>
      </c>
      <c r="AK432" s="355"/>
      <c r="AL432" s="137"/>
      <c r="AM432" s="137"/>
      <c r="AN432" s="2"/>
      <c r="AO432" s="2"/>
      <c r="AP432" s="139" t="s">
        <v>146</v>
      </c>
      <c r="AQ432" s="140">
        <f ca="1">$D$1</f>
        <v>770</v>
      </c>
      <c r="AR432" s="355" t="s">
        <v>201</v>
      </c>
      <c r="AS432" s="355"/>
      <c r="AT432" s="137"/>
      <c r="AU432" s="137"/>
      <c r="AV432" s="137"/>
      <c r="AW432" s="2"/>
      <c r="AX432" s="139" t="s">
        <v>146</v>
      </c>
      <c r="AY432" s="140">
        <f ca="1">$D$1</f>
        <v>770</v>
      </c>
      <c r="AZ432" s="355" t="s">
        <v>201</v>
      </c>
      <c r="BA432" s="355"/>
    </row>
    <row r="433" spans="2:53" ht="15" customHeight="1" x14ac:dyDescent="0.3">
      <c r="B433" s="16" t="s">
        <v>202</v>
      </c>
      <c r="C433" s="141">
        <f t="array" aca="1" ref="C433" ca="1">INDEX(C415:G415,MATCH(C432,C415:G415,1))</f>
        <v>0</v>
      </c>
      <c r="D433" s="16" t="s">
        <v>144</v>
      </c>
      <c r="E433" s="17">
        <f>MATCH(MAX(A416:A430),A416:A430,0)</f>
        <v>14</v>
      </c>
      <c r="F433" s="17"/>
      <c r="H433" s="2"/>
      <c r="I433" s="2"/>
      <c r="J433" s="16" t="s">
        <v>202</v>
      </c>
      <c r="K433" s="141">
        <f t="array" aca="1" ref="K433" ca="1">INDEX(K415:O415,MATCH(K432,K415:O415,1))</f>
        <v>0</v>
      </c>
      <c r="L433" s="16" t="s">
        <v>144</v>
      </c>
      <c r="M433" s="17">
        <f>MATCH(MAX(I416:I430),I416:I430,0)</f>
        <v>14</v>
      </c>
      <c r="N433" s="17"/>
      <c r="O433" s="17"/>
      <c r="P433" s="17"/>
      <c r="Q433" s="2"/>
      <c r="R433" s="16" t="s">
        <v>202</v>
      </c>
      <c r="S433" s="141">
        <f t="array" aca="1" ref="S433" ca="1">INDEX(S415:W415,MATCH(S432,S415:W415,1))</f>
        <v>0</v>
      </c>
      <c r="T433" s="16" t="s">
        <v>144</v>
      </c>
      <c r="U433" s="17">
        <f>MATCH(MAX(Q416:Q430),Q416:Q430,0)</f>
        <v>14</v>
      </c>
      <c r="V433" s="17"/>
      <c r="W433" s="17"/>
      <c r="X433" s="2"/>
      <c r="Y433" s="2"/>
      <c r="Z433" s="16" t="s">
        <v>202</v>
      </c>
      <c r="AA433" s="141">
        <f t="array" aca="1" ref="AA433" ca="1">INDEX(AA415:AE415,MATCH(AA432,AA415:AE415,1))</f>
        <v>0</v>
      </c>
      <c r="AB433" s="16" t="s">
        <v>144</v>
      </c>
      <c r="AC433" s="17">
        <f>MATCH(MAX(Y416:Y430),Y416:Y430,0)</f>
        <v>14</v>
      </c>
      <c r="AD433" s="17"/>
      <c r="AE433" s="17"/>
      <c r="AF433" s="2"/>
      <c r="AG433" s="2"/>
      <c r="AH433" s="16" t="s">
        <v>202</v>
      </c>
      <c r="AI433" s="141">
        <f t="array" aca="1" ref="AI433" ca="1">INDEX(AI415:AM415,MATCH(AI432,AI415:AM415,1))</f>
        <v>0</v>
      </c>
      <c r="AJ433" s="16" t="s">
        <v>144</v>
      </c>
      <c r="AK433" s="17">
        <f>MATCH(MAX(AG416:AG430),AG416:AG430,0)</f>
        <v>14</v>
      </c>
      <c r="AL433" s="17"/>
      <c r="AM433" s="17"/>
      <c r="AN433" s="2"/>
      <c r="AO433" s="2"/>
      <c r="AP433" s="16" t="s">
        <v>202</v>
      </c>
      <c r="AQ433" s="141">
        <f t="array" aca="1" ref="AQ433" ca="1">INDEX(AQ415:AU415,MATCH(AQ432,AQ415:AU415,1))</f>
        <v>0</v>
      </c>
      <c r="AR433" s="16" t="s">
        <v>144</v>
      </c>
      <c r="AS433" s="17">
        <f>MATCH(MAX(AO416:AO430),AO416:AO430,0)</f>
        <v>14</v>
      </c>
      <c r="AT433" s="17"/>
      <c r="AU433" s="17"/>
      <c r="AV433" s="17"/>
      <c r="AW433" s="2"/>
      <c r="AX433" s="16" t="s">
        <v>202</v>
      </c>
      <c r="AY433" s="141">
        <f t="array" aca="1" ref="AY433" ca="1">INDEX(AY415:BC415,MATCH(AY432,AY415:BC415,1))</f>
        <v>0</v>
      </c>
      <c r="AZ433" s="16" t="s">
        <v>144</v>
      </c>
      <c r="BA433" s="17">
        <f>MATCH(MAX(AW416:AW430),AW416:AW430,0)</f>
        <v>14</v>
      </c>
    </row>
    <row r="434" spans="2:53" ht="15" customHeight="1" x14ac:dyDescent="0.3">
      <c r="B434" s="16" t="s">
        <v>203</v>
      </c>
      <c r="C434" s="141">
        <f t="array" aca="1" ref="C434" ca="1">INDEX(C415:G415,IF(MATCH(C432,C415:G415,1)&lt;E434,MATCH(C432,C415:G415,1)+1,MATCH(C432,C415:G415,1)))</f>
        <v>1000</v>
      </c>
      <c r="D434" s="16" t="s">
        <v>145</v>
      </c>
      <c r="E434" s="17">
        <f>MATCH(MAX(C415:G415),C415:G415,0)</f>
        <v>5</v>
      </c>
      <c r="F434" s="17"/>
      <c r="H434" s="2"/>
      <c r="I434" s="2"/>
      <c r="J434" s="16" t="s">
        <v>203</v>
      </c>
      <c r="K434" s="141">
        <f t="array" aca="1" ref="K434" ca="1">INDEX(K415:O415,IF(MATCH(K432,K415:O415,1)&lt;M434,MATCH(K432,K415:O415,1)+1,MATCH(K432,K415:O415,1)))</f>
        <v>1000</v>
      </c>
      <c r="L434" s="16" t="s">
        <v>145</v>
      </c>
      <c r="M434" s="17">
        <f>MATCH(MAX(K415:O415),K415:O415,0)</f>
        <v>5</v>
      </c>
      <c r="N434" s="17"/>
      <c r="O434" s="17"/>
      <c r="P434" s="17"/>
      <c r="Q434" s="2"/>
      <c r="R434" s="16" t="s">
        <v>203</v>
      </c>
      <c r="S434" s="141">
        <f t="array" aca="1" ref="S434" ca="1">INDEX(S415:W415,IF(MATCH(S432,S415:W415,1)&lt;U434,MATCH(S432,S415:W415,1)+1,MATCH(S432,S415:W415,1)))</f>
        <v>1000</v>
      </c>
      <c r="T434" s="16" t="s">
        <v>145</v>
      </c>
      <c r="U434" s="17">
        <f>MATCH(MAX(S415:W415),S415:W415,0)</f>
        <v>5</v>
      </c>
      <c r="V434" s="17"/>
      <c r="W434" s="17"/>
      <c r="X434" s="2"/>
      <c r="Y434" s="2"/>
      <c r="Z434" s="16" t="s">
        <v>203</v>
      </c>
      <c r="AA434" s="141">
        <f t="array" aca="1" ref="AA434" ca="1">INDEX(AA415:AE415,IF(MATCH(AA432,AA415:AE415,1)&lt;AC434,MATCH(AA432,AA415:AE415,1)+1,MATCH(AA432,AA415:AE415,1)))</f>
        <v>1000</v>
      </c>
      <c r="AB434" s="16" t="s">
        <v>145</v>
      </c>
      <c r="AC434" s="17">
        <f>MATCH(MAX(AA415:AE415),AA415:AE415,0)</f>
        <v>5</v>
      </c>
      <c r="AD434" s="17"/>
      <c r="AE434" s="17"/>
      <c r="AF434" s="2"/>
      <c r="AG434" s="2"/>
      <c r="AH434" s="16" t="s">
        <v>203</v>
      </c>
      <c r="AI434" s="141">
        <f t="array" aca="1" ref="AI434" ca="1">INDEX(AI415:AM415,IF(MATCH(AI432,AI415:AM415,1)&lt;AK434,MATCH(AI432,AI415:AM415,1)+1,MATCH(AI432,AI415:AM415,1)))</f>
        <v>1000</v>
      </c>
      <c r="AJ434" s="16" t="s">
        <v>145</v>
      </c>
      <c r="AK434" s="17">
        <f>MATCH(MAX(AI415:AM415),AI415:AM415,0)</f>
        <v>5</v>
      </c>
      <c r="AL434" s="17"/>
      <c r="AM434" s="17"/>
      <c r="AN434" s="2"/>
      <c r="AO434" s="2"/>
      <c r="AP434" s="16" t="s">
        <v>203</v>
      </c>
      <c r="AQ434" s="141">
        <f t="array" aca="1" ref="AQ434" ca="1">INDEX(AQ415:AU415,IF(MATCH(AQ432,AQ415:AU415,1)&lt;AS434,MATCH(AQ432,AQ415:AU415,1)+1,MATCH(AQ432,AQ415:AU415,1)))</f>
        <v>1000</v>
      </c>
      <c r="AR434" s="16" t="s">
        <v>145</v>
      </c>
      <c r="AS434" s="17">
        <f>MATCH(MAX(AQ415:AU415),AQ415:AU415,0)</f>
        <v>5</v>
      </c>
      <c r="AT434" s="17"/>
      <c r="AU434" s="17"/>
      <c r="AV434" s="17"/>
      <c r="AW434" s="2"/>
      <c r="AX434" s="16" t="s">
        <v>203</v>
      </c>
      <c r="AY434" s="141">
        <f t="array" aca="1" ref="AY434" ca="1">INDEX(AY415:BC415,IF(MATCH(AY432,AY415:BC415,1)&lt;BA434,MATCH(AY432,AY415:BC415,1)+1,MATCH(AY432,AY415:BC415,1)))</f>
        <v>1000</v>
      </c>
      <c r="AZ434" s="16" t="s">
        <v>145</v>
      </c>
      <c r="BA434" s="17">
        <f>MATCH(MAX(AY415:BC415),AY415:BC415,0)</f>
        <v>5</v>
      </c>
    </row>
    <row r="435" spans="2:53" ht="15" customHeight="1" x14ac:dyDescent="0.3">
      <c r="B435" s="139" t="s">
        <v>147</v>
      </c>
      <c r="C435" s="140">
        <f ca="1">$D$2</f>
        <v>15</v>
      </c>
      <c r="D435" s="2"/>
      <c r="E435" s="2"/>
      <c r="F435" s="2"/>
      <c r="G435" s="17"/>
      <c r="H435" s="2"/>
      <c r="I435" s="2"/>
      <c r="J435" s="139" t="s">
        <v>147</v>
      </c>
      <c r="K435" s="140">
        <f ca="1">$D$2</f>
        <v>15</v>
      </c>
      <c r="L435" s="2"/>
      <c r="M435" s="2"/>
      <c r="N435" s="2"/>
      <c r="O435" s="17"/>
      <c r="P435" s="17"/>
      <c r="Q435" s="2"/>
      <c r="R435" s="139" t="s">
        <v>147</v>
      </c>
      <c r="S435" s="140">
        <f ca="1">$D$2</f>
        <v>15</v>
      </c>
      <c r="T435" s="2"/>
      <c r="U435" s="2"/>
      <c r="V435" s="2"/>
      <c r="W435" s="17"/>
      <c r="X435" s="2"/>
      <c r="Y435" s="2"/>
      <c r="Z435" s="139" t="s">
        <v>147</v>
      </c>
      <c r="AA435" s="140">
        <f ca="1">$D$2</f>
        <v>15</v>
      </c>
      <c r="AB435" s="2"/>
      <c r="AC435" s="2"/>
      <c r="AD435" s="2"/>
      <c r="AE435" s="17"/>
      <c r="AF435" s="2"/>
      <c r="AG435" s="2"/>
      <c r="AH435" s="139" t="s">
        <v>147</v>
      </c>
      <c r="AI435" s="140">
        <f ca="1">$D$2</f>
        <v>15</v>
      </c>
      <c r="AJ435" s="2"/>
      <c r="AK435" s="2"/>
      <c r="AL435" s="2"/>
      <c r="AM435" s="17"/>
      <c r="AN435" s="2"/>
      <c r="AO435" s="2"/>
      <c r="AP435" s="139" t="s">
        <v>147</v>
      </c>
      <c r="AQ435" s="140">
        <f ca="1">$D$2</f>
        <v>15</v>
      </c>
      <c r="AR435" s="2"/>
      <c r="AS435" s="2"/>
      <c r="AT435" s="2"/>
      <c r="AU435" s="17"/>
      <c r="AV435" s="17"/>
      <c r="AW435" s="2"/>
      <c r="AX435" s="139" t="s">
        <v>147</v>
      </c>
      <c r="AY435" s="140">
        <f ca="1">$D$2</f>
        <v>15</v>
      </c>
      <c r="AZ435" s="2"/>
      <c r="BA435" s="2"/>
    </row>
    <row r="436" spans="2:53" ht="15" customHeight="1" x14ac:dyDescent="0.3">
      <c r="B436" s="16" t="s">
        <v>148</v>
      </c>
      <c r="C436" s="141">
        <f t="array" aca="1" ref="C436" ca="1">INDEX(A416:A430,MATCH(C435,A416:A430,1))</f>
        <v>15</v>
      </c>
      <c r="D436" s="2"/>
      <c r="E436" s="42"/>
      <c r="F436" s="42"/>
      <c r="G436" s="2"/>
      <c r="H436" s="2"/>
      <c r="I436" s="2"/>
      <c r="J436" s="16" t="s">
        <v>148</v>
      </c>
      <c r="K436" s="141">
        <f t="array" aca="1" ref="K436" ca="1">INDEX(I416:I430,MATCH(K435,I416:I430,1))</f>
        <v>15</v>
      </c>
      <c r="L436" s="2"/>
      <c r="M436" s="2"/>
      <c r="N436" s="2"/>
      <c r="O436" s="2"/>
      <c r="P436" s="2"/>
      <c r="Q436" s="2"/>
      <c r="R436" s="16" t="s">
        <v>148</v>
      </c>
      <c r="S436" s="141">
        <f t="array" aca="1" ref="S436" ca="1">INDEX(Q416:Q430,MATCH(S435,Q416:Q430,1))</f>
        <v>15</v>
      </c>
      <c r="T436" s="2"/>
      <c r="U436" s="2"/>
      <c r="V436" s="2"/>
      <c r="W436" s="2"/>
      <c r="X436" s="2"/>
      <c r="Y436" s="2"/>
      <c r="Z436" s="16" t="s">
        <v>148</v>
      </c>
      <c r="AA436" s="141">
        <f t="array" aca="1" ref="AA436" ca="1">INDEX(Y416:Y430,MATCH(AA435,Y416:Y430,1))</f>
        <v>15</v>
      </c>
      <c r="AB436" s="2"/>
      <c r="AC436" s="2"/>
      <c r="AD436" s="2"/>
      <c r="AE436" s="2"/>
      <c r="AF436" s="2"/>
      <c r="AG436" s="2"/>
      <c r="AH436" s="16" t="s">
        <v>148</v>
      </c>
      <c r="AI436" s="141">
        <f t="array" aca="1" ref="AI436" ca="1">INDEX(AG416:AG430,MATCH(AI435,AG416:AG430,1))</f>
        <v>15</v>
      </c>
      <c r="AJ436" s="2"/>
      <c r="AK436" s="2"/>
      <c r="AL436" s="2"/>
      <c r="AM436" s="2"/>
      <c r="AN436" s="2"/>
      <c r="AO436" s="2"/>
      <c r="AP436" s="16" t="s">
        <v>148</v>
      </c>
      <c r="AQ436" s="141">
        <f t="array" aca="1" ref="AQ436" ca="1">INDEX(AO416:AO430,MATCH(AQ435,AO416:AO430,1))</f>
        <v>15</v>
      </c>
      <c r="AR436" s="2"/>
      <c r="AS436" s="2"/>
      <c r="AT436" s="2"/>
      <c r="AU436" s="2"/>
      <c r="AV436" s="2"/>
      <c r="AW436" s="2"/>
      <c r="AX436" s="16" t="s">
        <v>148</v>
      </c>
      <c r="AY436" s="141">
        <f t="array" aca="1" ref="AY436" ca="1">INDEX(AW416:AW430,MATCH(AY435,AW416:AW430,1))</f>
        <v>10</v>
      </c>
      <c r="AZ436" s="2"/>
      <c r="BA436" s="2"/>
    </row>
    <row r="437" spans="2:53" ht="15" customHeight="1" x14ac:dyDescent="0.3">
      <c r="B437" s="16" t="s">
        <v>149</v>
      </c>
      <c r="C437" s="141">
        <f t="array" aca="1" ref="C437" ca="1">INDEX(A416:A430,IF(MATCH(C435,A416:A430,1)&lt;E433,MATCH(C435,A416:A430,1)+1,MATCH(C435,A416:A430,1)))</f>
        <v>20</v>
      </c>
      <c r="D437" s="2"/>
      <c r="E437" s="42"/>
      <c r="F437" s="42"/>
      <c r="G437" s="2"/>
      <c r="H437" s="2"/>
      <c r="I437" s="2"/>
      <c r="J437" s="16" t="s">
        <v>149</v>
      </c>
      <c r="K437" s="141">
        <f t="array" aca="1" ref="K437" ca="1">INDEX(I416:I430,IF(MATCH(K435,I416:I430,1)&lt;M433,MATCH(K435,I416:I430,1)+1,MATCH(K435,I416:I430,1)))</f>
        <v>20</v>
      </c>
      <c r="L437" s="2"/>
      <c r="M437" s="2"/>
      <c r="N437" s="2"/>
      <c r="O437" s="2"/>
      <c r="P437" s="2"/>
      <c r="Q437" s="2"/>
      <c r="R437" s="16" t="s">
        <v>149</v>
      </c>
      <c r="S437" s="141">
        <f t="array" aca="1" ref="S437" ca="1">INDEX(Q416:Q430,IF(MATCH(S435,Q416:Q430,1)&lt;U433,MATCH(S435,Q416:Q430,1)+1,MATCH(S435,Q416:Q430,1)))</f>
        <v>20</v>
      </c>
      <c r="T437" s="2"/>
      <c r="U437" s="2"/>
      <c r="V437" s="2"/>
      <c r="W437" s="2"/>
      <c r="X437" s="2"/>
      <c r="Y437" s="2"/>
      <c r="Z437" s="16" t="s">
        <v>149</v>
      </c>
      <c r="AA437" s="141">
        <f t="array" aca="1" ref="AA437" ca="1">INDEX(Y416:Y430,IF(MATCH(AA435,Y416:Y430,1)&lt;AC433,MATCH(AA435,Y416:Y430,1)+1,MATCH(AA435,Y416:Y430,1)))</f>
        <v>20</v>
      </c>
      <c r="AB437" s="2"/>
      <c r="AC437" s="2"/>
      <c r="AD437" s="2"/>
      <c r="AE437" s="2"/>
      <c r="AF437" s="2"/>
      <c r="AG437" s="2"/>
      <c r="AH437" s="16" t="s">
        <v>149</v>
      </c>
      <c r="AI437" s="141">
        <f t="array" aca="1" ref="AI437" ca="1">INDEX(AG416:AG430,IF(MATCH(AI435,AG416:AG430,1)&lt;AK433,MATCH(AI435,AG416:AG430,1)+1,MATCH(AI435,AG416:AG430,1)))</f>
        <v>20</v>
      </c>
      <c r="AJ437" s="2"/>
      <c r="AK437" s="2"/>
      <c r="AL437" s="2"/>
      <c r="AM437" s="2"/>
      <c r="AN437" s="2"/>
      <c r="AO437" s="2"/>
      <c r="AP437" s="16" t="s">
        <v>149</v>
      </c>
      <c r="AQ437" s="141">
        <f t="array" aca="1" ref="AQ437" ca="1">INDEX(AO416:AO430,IF(MATCH(AQ435,AO416:AO430,1)&lt;AS433,MATCH(AQ435,AO416:AO430,1)+1,MATCH(AQ435,AO416:AO430,1)))</f>
        <v>20</v>
      </c>
      <c r="AR437" s="2"/>
      <c r="AS437" s="2"/>
      <c r="AT437" s="2"/>
      <c r="AU437" s="2"/>
      <c r="AV437" s="2"/>
      <c r="AW437" s="2"/>
      <c r="AX437" s="16" t="s">
        <v>149</v>
      </c>
      <c r="AY437" s="141">
        <f ca="1">INDEX(AW416:AW430,IF(MATCH(AY435,AW416:AW430,1)&lt;BA433,MATCH(AY435,AW416:AW430,1)+1,MATCH(AY435,AW416:AW430,1)))</f>
        <v>0</v>
      </c>
      <c r="AZ437" s="2"/>
      <c r="BA437" s="2"/>
    </row>
    <row r="438" spans="2:53" ht="15" customHeight="1" x14ac:dyDescent="0.3">
      <c r="B438" s="139" t="s">
        <v>150</v>
      </c>
      <c r="C438" s="140">
        <f t="array" aca="1" ref="C438" ca="1">INDEX(C416:G430,MATCH(C435,A416:A430,1),MATCH(C432,C415:G415,1))</f>
        <v>115</v>
      </c>
      <c r="D438" s="2"/>
      <c r="E438" s="42"/>
      <c r="F438" s="42"/>
      <c r="G438" s="2"/>
      <c r="H438" s="2"/>
      <c r="I438" s="2"/>
      <c r="J438" s="139" t="s">
        <v>150</v>
      </c>
      <c r="K438" s="140">
        <f t="array" aca="1" ref="K438" ca="1">INDEX(K416:O430,MATCH(K435,I416:I430,1),MATCH(K432,K415:O415,1))</f>
        <v>114</v>
      </c>
      <c r="L438" s="2"/>
      <c r="M438" s="2"/>
      <c r="N438" s="2"/>
      <c r="O438" s="2"/>
      <c r="P438" s="2"/>
      <c r="Q438" s="2"/>
      <c r="R438" s="139" t="s">
        <v>150</v>
      </c>
      <c r="S438" s="140">
        <f t="array" aca="1" ref="S438" ca="1">INDEX(S416:W430,MATCH(S435,Q416:Q430,1),MATCH(S432,S415:W415,1))</f>
        <v>111</v>
      </c>
      <c r="T438" s="2"/>
      <c r="U438" s="2"/>
      <c r="V438" s="2"/>
      <c r="W438" s="2"/>
      <c r="X438" s="2"/>
      <c r="Y438" s="2"/>
      <c r="Z438" s="139" t="s">
        <v>150</v>
      </c>
      <c r="AA438" s="140">
        <f t="array" aca="1" ref="AA438" ca="1">INDEX(AA416:AE430,MATCH(AA435,Y416:Y430,1),MATCH(AA432,AA415:AE415,1))</f>
        <v>108</v>
      </c>
      <c r="AB438" s="2"/>
      <c r="AC438" s="2"/>
      <c r="AD438" s="2"/>
      <c r="AE438" s="2"/>
      <c r="AF438" s="2"/>
      <c r="AG438" s="2"/>
      <c r="AH438" s="139" t="s">
        <v>150</v>
      </c>
      <c r="AI438" s="140">
        <f t="array" aca="1" ref="AI438" ca="1">INDEX(AI416:AM430,MATCH(AI435,AG416:AG430,1),MATCH(AI432,AI415:AM415,1))</f>
        <v>105</v>
      </c>
      <c r="AJ438" s="2"/>
      <c r="AK438" s="2"/>
      <c r="AL438" s="2"/>
      <c r="AM438" s="2"/>
      <c r="AN438" s="2"/>
      <c r="AO438" s="2"/>
      <c r="AP438" s="139" t="s">
        <v>150</v>
      </c>
      <c r="AQ438" s="140">
        <f t="array" aca="1" ref="AQ438" ca="1">INDEX(AQ416:AU430,MATCH(AQ435,AO416:AO430,1),MATCH(AQ432,AQ415:AU415,1))</f>
        <v>105</v>
      </c>
      <c r="AR438" s="2"/>
      <c r="AS438" s="2"/>
      <c r="AT438" s="2"/>
      <c r="AU438" s="2"/>
      <c r="AV438" s="2"/>
      <c r="AW438" s="2"/>
      <c r="AX438" s="139" t="s">
        <v>150</v>
      </c>
      <c r="AY438" s="140">
        <f ca="1">INDEX(AY416:BC430,MATCH(AY435,AW416:AW430,1),MATCH(AY432,AY415:BC415,1))</f>
        <v>0</v>
      </c>
      <c r="AZ438" s="2"/>
      <c r="BA438" s="2"/>
    </row>
    <row r="439" spans="2:53" ht="15" customHeight="1" x14ac:dyDescent="0.3">
      <c r="B439" s="139" t="s">
        <v>204</v>
      </c>
      <c r="C439" s="140">
        <f t="array" aca="1" ref="C439" ca="1">INDEX(C416:G430,MATCH(C435,A416:A430,1),IF(MATCH(C432,C415:G415,1)&lt;E434,MATCH(C432,C415:G415,1)+1,MATCH(C435,A416:A430,1)))</f>
        <v>115</v>
      </c>
      <c r="E439" s="42"/>
      <c r="F439" s="42"/>
      <c r="G439" s="2"/>
      <c r="H439" s="2"/>
      <c r="I439" s="2"/>
      <c r="J439" s="139" t="s">
        <v>204</v>
      </c>
      <c r="K439" s="140">
        <f t="array" aca="1" ref="K439" ca="1">INDEX(K416:O430,MATCH(K435,I416:I430,1),IF(MATCH(K432,K415:O415,1)&lt;M434,MATCH(K432,K415:O415,1)+1,MATCH(K435,I416:I430,1)))</f>
        <v>114</v>
      </c>
      <c r="O439" s="2"/>
      <c r="P439" s="2"/>
      <c r="Q439" s="2"/>
      <c r="R439" s="139" t="s">
        <v>204</v>
      </c>
      <c r="S439" s="140">
        <f t="array" aca="1" ref="S439" ca="1">INDEX(S416:W430,MATCH(S435,Q416:Q430,1),IF(MATCH(S432,S415:W415,1)&lt;U434,MATCH(S432,S415:W415,1)+1,MATCH(S435,Q416:Q430,1)))</f>
        <v>111</v>
      </c>
      <c r="W439" s="2"/>
      <c r="X439" s="2"/>
      <c r="Y439" s="2"/>
      <c r="Z439" s="139" t="s">
        <v>204</v>
      </c>
      <c r="AA439" s="140">
        <f t="array" aca="1" ref="AA439" ca="1">INDEX(AA416:AE430,MATCH(AA435,Y416:Y430,1),IF(MATCH(AA432,AA415:AE415,1)&lt;AC434,MATCH(AA432,AA415:AE415,1)+1,MATCH(AA435,Y416:Y430,1)))</f>
        <v>108</v>
      </c>
      <c r="AE439" s="2"/>
      <c r="AF439" s="2"/>
      <c r="AG439" s="2"/>
      <c r="AH439" s="139" t="s">
        <v>204</v>
      </c>
      <c r="AI439" s="140">
        <f t="array" aca="1" ref="AI439" ca="1">INDEX(AI416:AM430,MATCH(AI435,AG416:AG430,1),IF(MATCH(AI432,AI415:AM415,1)&lt;AK434,MATCH(AI432,AI415:AM415,1)+1,MATCH(AI435,AG416:AG430,1)))</f>
        <v>105</v>
      </c>
      <c r="AM439" s="2"/>
      <c r="AN439" s="2"/>
      <c r="AO439" s="2"/>
      <c r="AP439" s="139" t="s">
        <v>204</v>
      </c>
      <c r="AQ439" s="140">
        <f t="array" aca="1" ref="AQ439" ca="1">INDEX(AQ416:AU430,MATCH(AQ435,AO416:AO430,1),IF(MATCH(AQ432,AQ415:AU415,1)&lt;AS434,MATCH(AQ432,AQ415:AU415,1)+1,MATCH(AQ435,AO416:AO430,1)))</f>
        <v>105</v>
      </c>
      <c r="AU439" s="2"/>
      <c r="AV439" s="2"/>
      <c r="AW439" s="2"/>
      <c r="AX439" s="139" t="s">
        <v>204</v>
      </c>
      <c r="AY439" s="140">
        <f ca="1">INDEX(AY416:BC430,MATCH(AY435,AW416:AW430,1),IF(MATCH(AY432,AY415:BC415,1)&lt;BA434,MATCH(AY432,AY415:BC415,1)+1,MATCH(AY435,AW416:AW430,1)))</f>
        <v>0</v>
      </c>
    </row>
    <row r="440" spans="2:53" ht="15" customHeight="1" x14ac:dyDescent="0.3">
      <c r="B440" s="139" t="s">
        <v>151</v>
      </c>
      <c r="C440" s="140">
        <f t="array" aca="1" ref="C440" ca="1">INDEX(C416:G430,IF(MATCH(C435,A416:A430,1)&lt;E433,MATCH(C435,A416:A430,1)+1,MATCH(C435,A416:A430,1)),MATCH(C432,C415:G415,1))</f>
        <v>115</v>
      </c>
      <c r="E440" s="42"/>
      <c r="F440" s="42"/>
      <c r="G440" s="2"/>
      <c r="H440" s="2"/>
      <c r="I440" s="2"/>
      <c r="J440" s="139" t="s">
        <v>151</v>
      </c>
      <c r="K440" s="140">
        <f t="array" aca="1" ref="K440" ca="1">INDEX(K416:O430,IF(MATCH(K435,I416:I430,1)&lt;M433,MATCH(K435,I416:I430,1)+1,MATCH(K435,I416:I430,1)),MATCH(K432,K415:O415,1))</f>
        <v>114</v>
      </c>
      <c r="O440" s="2"/>
      <c r="P440" s="2"/>
      <c r="Q440" s="2"/>
      <c r="R440" s="139" t="s">
        <v>151</v>
      </c>
      <c r="S440" s="140">
        <f t="array" aca="1" ref="S440" ca="1">INDEX(S416:W430,IF(MATCH(S435,Q416:Q430,1)&lt;U433,MATCH(S435,Q416:Q430,1)+1,MATCH(S435,Q416:Q430,1)),MATCH(S432,S415:W415,1))</f>
        <v>111</v>
      </c>
      <c r="W440" s="2"/>
      <c r="X440" s="2"/>
      <c r="Y440" s="2"/>
      <c r="Z440" s="139" t="s">
        <v>151</v>
      </c>
      <c r="AA440" s="140">
        <f t="array" aca="1" ref="AA440" ca="1">INDEX(AA416:AE430,IF(MATCH(AA435,Y416:Y430,1)&lt;AC433,MATCH(AA435,Y416:Y430,1)+1,MATCH(AA435,Y416:Y430,1)),MATCH(AA432,AA415:AE415,1))</f>
        <v>108</v>
      </c>
      <c r="AE440" s="2"/>
      <c r="AF440" s="2"/>
      <c r="AG440" s="2"/>
      <c r="AH440" s="139" t="s">
        <v>151</v>
      </c>
      <c r="AI440" s="140">
        <f t="array" aca="1" ref="AI440" ca="1">INDEX(AI416:AM430,IF(MATCH(AI435,AG416:AG430,1)&lt;AK433,MATCH(AI435,AG416:AG430,1)+1,MATCH(AI435,AG416:AG430,1)),MATCH(AI432,AI415:AM415,1))</f>
        <v>105</v>
      </c>
      <c r="AM440" s="2"/>
      <c r="AN440" s="2"/>
      <c r="AO440" s="2"/>
      <c r="AP440" s="139" t="s">
        <v>151</v>
      </c>
      <c r="AQ440" s="140">
        <f t="array" aca="1" ref="AQ440" ca="1">INDEX(AQ416:AU430,IF(MATCH(AQ435,AO416:AO430,1)&lt;AS433,MATCH(AQ435,AO416:AO430,1)+1,MATCH(AQ435,AO416:AO430,1)),MATCH(AQ432,AQ415:AU415,1))</f>
        <v>105</v>
      </c>
      <c r="AU440" s="2"/>
      <c r="AV440" s="2"/>
      <c r="AW440" s="2"/>
      <c r="AX440" s="139" t="s">
        <v>151</v>
      </c>
      <c r="AY440" s="140">
        <f ca="1">INDEX(AY416:BC430,IF(MATCH(AY435,AW416:AW430,1)&lt;BA433,MATCH(AY435,AW416:AW430,1)+1,MATCH(AY435,AW416:AW430,1)),MATCH(AY432,AY415:BC415,1))</f>
        <v>0</v>
      </c>
    </row>
    <row r="441" spans="2:53" ht="15" customHeight="1" x14ac:dyDescent="0.3">
      <c r="B441" s="139" t="s">
        <v>205</v>
      </c>
      <c r="C441" s="140">
        <f t="array" aca="1" ref="C441" ca="1">INDEX(C416:G430,IF(MATCH(C435,A416:A430,1)&lt;E433,MATCH(C435,A416:A430,1)+1,MATCH(C435,A416:A430,1)),IF(MATCH(C432,C415:G415,1)&lt;E434,MATCH(C432,C415:G415,1)+1,MATCH(C432,C415:G415,1)))</f>
        <v>115</v>
      </c>
      <c r="G441" s="2"/>
      <c r="H441" s="2"/>
      <c r="I441" s="2"/>
      <c r="J441" s="139" t="s">
        <v>205</v>
      </c>
      <c r="K441" s="140">
        <f t="array" aca="1" ref="K441" ca="1">INDEX(K416:O430,IF(MATCH(K435,I416:I430,1)&lt;M433,MATCH(K435,I416:I430,1)+1,MATCH(K435,I416:I430,1)),IF(MATCH(K432,K415:O415,1)&lt;M434,MATCH(K432,K415:O415,1)+1,MATCH(K432,K415:O415,1)))</f>
        <v>114</v>
      </c>
      <c r="O441" s="2"/>
      <c r="P441" s="2"/>
      <c r="Q441" s="2"/>
      <c r="R441" s="139" t="s">
        <v>205</v>
      </c>
      <c r="S441" s="140">
        <f t="array" aca="1" ref="S441" ca="1">INDEX(S416:W430,IF(MATCH(S435,Q416:Q430,1)&lt;U433,MATCH(S435,Q416:Q430,1)+1,MATCH(S435,Q416:Q430,1)),IF(MATCH(S432,S415:W415,1)&lt;U434,MATCH(S432,S415:W415,1)+1,MATCH(S432,S415:W415,1)))</f>
        <v>111</v>
      </c>
      <c r="W441" s="2"/>
      <c r="X441" s="2"/>
      <c r="Y441" s="2"/>
      <c r="Z441" s="139" t="s">
        <v>205</v>
      </c>
      <c r="AA441" s="140">
        <f t="array" aca="1" ref="AA441" ca="1">INDEX(AA416:AE430,IF(MATCH(AA435,Y416:Y430,1)&lt;AC433,MATCH(AA435,Y416:Y430,1)+1,MATCH(AA435,Y416:Y430,1)),IF(MATCH(AA432,AA415:AE415,1)&lt;AC434,MATCH(AA432,AA415:AE415,1)+1,MATCH(AA432,AA415:AE415,1)))</f>
        <v>108</v>
      </c>
      <c r="AE441" s="2"/>
      <c r="AF441" s="2"/>
      <c r="AG441" s="2"/>
      <c r="AH441" s="139" t="s">
        <v>205</v>
      </c>
      <c r="AI441" s="140">
        <f t="array" aca="1" ref="AI441" ca="1">INDEX(AI416:AM430,IF(MATCH(AI435,AG416:AG430,1)&lt;AK433,MATCH(AI435,AG416:AG430,1)+1,MATCH(AI435,AG416:AG430,1)),IF(MATCH(AI432,AI415:AM415,1)&lt;AK434,MATCH(AI432,AI415:AM415,1)+1,MATCH(AI432,AI415:AM415,1)))</f>
        <v>105</v>
      </c>
      <c r="AM441" s="2"/>
      <c r="AN441" s="2"/>
      <c r="AO441" s="2"/>
      <c r="AP441" s="139" t="s">
        <v>205</v>
      </c>
      <c r="AQ441" s="140">
        <f t="array" aca="1" ref="AQ441" ca="1">INDEX(AQ416:AU430,IF(MATCH(AQ435,AO416:AO430,1)&lt;AS433,MATCH(AQ435,AO416:AO430,1)+1,MATCH(AQ435,AO416:AO430,1)),IF(MATCH(AQ432,AQ415:AU415,1)&lt;AS434,MATCH(AQ432,AQ415:AU415,1)+1,MATCH(AQ432,AQ415:AU415,1)))</f>
        <v>105</v>
      </c>
      <c r="AU441" s="2"/>
      <c r="AV441" s="2"/>
      <c r="AW441" s="2"/>
      <c r="AX441" s="139" t="s">
        <v>205</v>
      </c>
      <c r="AY441" s="140">
        <f ca="1">INDEX(AY416:BC430,IF(MATCH(AY435,AW416:AW430,1)&lt;BA433,MATCH(AY435,AW416:AW430,1)+1,MATCH(AY435,AW416:AW430,1)),IF(MATCH(AY432,AY415:BC415,1)&lt;BA434,MATCH(AY432,AY415:BC415,1)+1,MATCH(AY432,AY415:BC415,1)))</f>
        <v>0</v>
      </c>
    </row>
    <row r="442" spans="2:53" ht="15" customHeight="1" x14ac:dyDescent="0.3">
      <c r="B442" s="16" t="s">
        <v>206</v>
      </c>
      <c r="C442" s="141">
        <f ca="1">IFERROR(C438+(C432-C433)*(C439-C438)/(C434-C433),C438)</f>
        <v>115</v>
      </c>
      <c r="G442" s="2"/>
      <c r="H442" s="2"/>
      <c r="I442" s="2"/>
      <c r="J442" s="16" t="s">
        <v>206</v>
      </c>
      <c r="K442" s="141">
        <f ca="1">IFERROR(K438+(K432-K433)*(K439-K438)/(K434-K433),K438)</f>
        <v>114</v>
      </c>
      <c r="O442" s="2"/>
      <c r="P442" s="2"/>
      <c r="Q442" s="2"/>
      <c r="R442" s="16" t="s">
        <v>206</v>
      </c>
      <c r="S442" s="141">
        <f ca="1">IFERROR(S438+(S432-S433)*(S439-S438)/(S434-S433),S438)</f>
        <v>111</v>
      </c>
      <c r="W442" s="2"/>
      <c r="X442" s="2"/>
      <c r="Y442" s="2"/>
      <c r="Z442" s="16" t="s">
        <v>206</v>
      </c>
      <c r="AA442" s="141">
        <f ca="1">IFERROR(AA438+(AA432-AA433)*(AA439-AA438)/(AA434-AA433),AA438)</f>
        <v>108</v>
      </c>
      <c r="AE442" s="2"/>
      <c r="AF442" s="2"/>
      <c r="AG442" s="2"/>
      <c r="AH442" s="16" t="s">
        <v>206</v>
      </c>
      <c r="AI442" s="141">
        <f ca="1">IFERROR(AI438+(AI432-AI433)*(AI439-AI438)/(AI434-AI433),AI438)</f>
        <v>105</v>
      </c>
      <c r="AM442" s="2"/>
      <c r="AN442" s="2"/>
      <c r="AO442" s="2"/>
      <c r="AP442" s="16" t="s">
        <v>206</v>
      </c>
      <c r="AQ442" s="141">
        <f ca="1">IFERROR(AQ438+(AQ432-AQ433)*(AQ439-AQ438)/(AQ434-AQ433),AQ438)</f>
        <v>105</v>
      </c>
      <c r="AU442" s="2"/>
      <c r="AV442" s="2"/>
      <c r="AW442" s="2"/>
      <c r="AX442" s="16" t="s">
        <v>206</v>
      </c>
      <c r="AY442" s="141">
        <f ca="1">IFERROR(AY438+(AY432-AY433)*(AY439-AY438)/(AY434-AY433),AY438)</f>
        <v>0</v>
      </c>
    </row>
    <row r="443" spans="2:53" ht="15" customHeight="1" x14ac:dyDescent="0.3">
      <c r="B443" s="16" t="s">
        <v>207</v>
      </c>
      <c r="C443" s="141">
        <f ca="1">IFERROR(C440+(C432-C433)*(C441-C440)/(C434-C433),C440)</f>
        <v>115</v>
      </c>
      <c r="G443" s="2"/>
      <c r="H443" s="2"/>
      <c r="I443" s="2"/>
      <c r="J443" s="16" t="s">
        <v>207</v>
      </c>
      <c r="K443" s="141">
        <f ca="1">IFERROR(K440+(K432-K433)*(K441-K440)/(K434-K433),K440)</f>
        <v>114</v>
      </c>
      <c r="O443" s="2"/>
      <c r="P443" s="2"/>
      <c r="Q443" s="2"/>
      <c r="R443" s="16" t="s">
        <v>207</v>
      </c>
      <c r="S443" s="141">
        <f ca="1">IFERROR(S440+(S432-S433)*(S441-S440)/(S434-S433),S440)</f>
        <v>111</v>
      </c>
      <c r="W443" s="2"/>
      <c r="X443" s="2"/>
      <c r="Y443" s="2"/>
      <c r="Z443" s="16" t="s">
        <v>207</v>
      </c>
      <c r="AA443" s="141">
        <f ca="1">IFERROR(AA440+(AA432-AA433)*(AA441-AA440)/(AA434-AA433),AA440)</f>
        <v>108</v>
      </c>
      <c r="AE443" s="2"/>
      <c r="AF443" s="2"/>
      <c r="AG443" s="2"/>
      <c r="AH443" s="16" t="s">
        <v>207</v>
      </c>
      <c r="AI443" s="141">
        <f ca="1">IFERROR(AI440+(AI432-AI433)*(AI441-AI440)/(AI434-AI433),AI440)</f>
        <v>105</v>
      </c>
      <c r="AM443" s="2"/>
      <c r="AN443" s="2"/>
      <c r="AO443" s="2"/>
      <c r="AP443" s="16" t="s">
        <v>207</v>
      </c>
      <c r="AQ443" s="141">
        <f ca="1">IFERROR(AQ440+(AQ432-AQ433)*(AQ441-AQ440)/(AQ434-AQ433),AQ440)</f>
        <v>105</v>
      </c>
      <c r="AU443" s="2"/>
      <c r="AV443" s="2"/>
      <c r="AW443" s="2"/>
      <c r="AX443" s="16" t="s">
        <v>207</v>
      </c>
      <c r="AY443" s="141">
        <f ca="1">IFERROR(AY440+(AY432-AY433)*(AY441-AY440)/(AY434-AY433),AY440)</f>
        <v>0</v>
      </c>
    </row>
    <row r="444" spans="2:53" ht="15" customHeight="1" x14ac:dyDescent="0.3">
      <c r="B444" s="139" t="s">
        <v>228</v>
      </c>
      <c r="C444" s="140">
        <f ca="1">IFERROR(C442+(C435-C436)*(C443-C442)/(C437-C436),C442)</f>
        <v>115</v>
      </c>
      <c r="G444" s="2"/>
      <c r="H444" s="2"/>
      <c r="I444" s="2"/>
      <c r="J444" s="139" t="s">
        <v>228</v>
      </c>
      <c r="K444" s="140">
        <f ca="1">IFERROR(K442+(K435-K436)*(K443-K442)/(K437-K436),K442)</f>
        <v>114</v>
      </c>
      <c r="O444" s="2"/>
      <c r="P444" s="2"/>
      <c r="Q444" s="2"/>
      <c r="R444" s="139" t="s">
        <v>228</v>
      </c>
      <c r="S444" s="140">
        <f ca="1">IFERROR(S442+(S435-S436)*(S443-S442)/(S437-S436),S442)</f>
        <v>111</v>
      </c>
      <c r="W444" s="2"/>
      <c r="X444" s="2"/>
      <c r="Y444" s="2"/>
      <c r="Z444" s="139" t="s">
        <v>228</v>
      </c>
      <c r="AA444" s="140">
        <f ca="1">IFERROR(AA442+(AA435-AA436)*(AA443-AA442)/(AA437-AA436),AA442)</f>
        <v>108</v>
      </c>
      <c r="AE444" s="2"/>
      <c r="AF444" s="2"/>
      <c r="AG444" s="2"/>
      <c r="AH444" s="139" t="s">
        <v>228</v>
      </c>
      <c r="AI444" s="140">
        <f ca="1">IFERROR(AI442+(AI435-AI436)*(AI443-AI442)/(AI437-AI436),AI442)</f>
        <v>105</v>
      </c>
      <c r="AM444" s="2"/>
      <c r="AN444" s="2"/>
      <c r="AO444" s="2"/>
      <c r="AP444" s="139" t="s">
        <v>228</v>
      </c>
      <c r="AQ444" s="140">
        <f ca="1">IFERROR(AQ442+(AQ435-AQ436)*(AQ443-AQ442)/(AQ437-AQ436),AQ442)</f>
        <v>105</v>
      </c>
      <c r="AU444" s="2"/>
      <c r="AV444" s="2"/>
      <c r="AW444" s="2"/>
      <c r="AX444" s="139" t="s">
        <v>228</v>
      </c>
      <c r="AY444" s="140">
        <f ca="1">IFERROR(AY442+(AY435-AY436)*(AY443-AY442)/(AY437-AY436),AY442)</f>
        <v>0</v>
      </c>
    </row>
  </sheetData>
  <mergeCells count="510">
    <mergeCell ref="A4:G4"/>
    <mergeCell ref="I4:O4"/>
    <mergeCell ref="Q4:W4"/>
    <mergeCell ref="Y4:AE4"/>
    <mergeCell ref="AG4:AM4"/>
    <mergeCell ref="AO4:AU4"/>
    <mergeCell ref="AW4:BC4"/>
    <mergeCell ref="A5:G5"/>
    <mergeCell ref="I5:O5"/>
    <mergeCell ref="Q5:W5"/>
    <mergeCell ref="Y5:AE5"/>
    <mergeCell ref="AG5:AM5"/>
    <mergeCell ref="AO5:AU5"/>
    <mergeCell ref="AW5:BC5"/>
    <mergeCell ref="AI7:AM8"/>
    <mergeCell ref="AO7:AP8"/>
    <mergeCell ref="AQ7:AU8"/>
    <mergeCell ref="AW7:AX8"/>
    <mergeCell ref="AY7:BC8"/>
    <mergeCell ref="A9:B9"/>
    <mergeCell ref="I9:J9"/>
    <mergeCell ref="Q9:R9"/>
    <mergeCell ref="Y9:Z9"/>
    <mergeCell ref="AG9:AH9"/>
    <mergeCell ref="AO9:AP9"/>
    <mergeCell ref="AW9:AX9"/>
    <mergeCell ref="A7:B8"/>
    <mergeCell ref="C7:G8"/>
    <mergeCell ref="I7:J8"/>
    <mergeCell ref="K7:O8"/>
    <mergeCell ref="Q7:R8"/>
    <mergeCell ref="S7:W8"/>
    <mergeCell ref="Y7:Z8"/>
    <mergeCell ref="AA7:AE8"/>
    <mergeCell ref="AG7:AH8"/>
    <mergeCell ref="A10:B10"/>
    <mergeCell ref="I10:J10"/>
    <mergeCell ref="Q10:R10"/>
    <mergeCell ref="Y10:Z10"/>
    <mergeCell ref="AG10:AH10"/>
    <mergeCell ref="AO10:AP10"/>
    <mergeCell ref="AW10:AX10"/>
    <mergeCell ref="A11:B11"/>
    <mergeCell ref="I11:J11"/>
    <mergeCell ref="Q11:R11"/>
    <mergeCell ref="Y11:Z11"/>
    <mergeCell ref="AG11:AH11"/>
    <mergeCell ref="AO11:AP11"/>
    <mergeCell ref="AW11:AX11"/>
    <mergeCell ref="A12:B12"/>
    <mergeCell ref="I12:J12"/>
    <mergeCell ref="Q12:R12"/>
    <mergeCell ref="Y12:Z12"/>
    <mergeCell ref="AG12:AH12"/>
    <mergeCell ref="AO12:AP12"/>
    <mergeCell ref="A13:B13"/>
    <mergeCell ref="I13:J13"/>
    <mergeCell ref="Q13:R13"/>
    <mergeCell ref="Y13:Z13"/>
    <mergeCell ref="AG13:AH13"/>
    <mergeCell ref="AO13:AP13"/>
    <mergeCell ref="A14:B14"/>
    <mergeCell ref="I14:J14"/>
    <mergeCell ref="Q14:R14"/>
    <mergeCell ref="Y14:Z14"/>
    <mergeCell ref="AG14:AH14"/>
    <mergeCell ref="AO14:AP14"/>
    <mergeCell ref="A15:B15"/>
    <mergeCell ref="I15:J15"/>
    <mergeCell ref="Q15:R15"/>
    <mergeCell ref="Y15:Z15"/>
    <mergeCell ref="AG15:AH15"/>
    <mergeCell ref="AO15:AP15"/>
    <mergeCell ref="A16:B16"/>
    <mergeCell ref="I16:J16"/>
    <mergeCell ref="Q16:R16"/>
    <mergeCell ref="Y16:Z16"/>
    <mergeCell ref="AG16:AH16"/>
    <mergeCell ref="AO16:AP16"/>
    <mergeCell ref="A17:B17"/>
    <mergeCell ref="I17:J17"/>
    <mergeCell ref="Q17:R17"/>
    <mergeCell ref="Y17:Z17"/>
    <mergeCell ref="AG17:AH17"/>
    <mergeCell ref="AO17:AP17"/>
    <mergeCell ref="A18:B18"/>
    <mergeCell ref="I18:J18"/>
    <mergeCell ref="Q18:R18"/>
    <mergeCell ref="Y18:Z18"/>
    <mergeCell ref="AG18:AH18"/>
    <mergeCell ref="AO18:AP18"/>
    <mergeCell ref="A19:B19"/>
    <mergeCell ref="I19:J19"/>
    <mergeCell ref="Q19:R19"/>
    <mergeCell ref="Y19:Z19"/>
    <mergeCell ref="AG19:AH19"/>
    <mergeCell ref="AO19:AP19"/>
    <mergeCell ref="A20:B20"/>
    <mergeCell ref="I20:J20"/>
    <mergeCell ref="Q20:R20"/>
    <mergeCell ref="Y20:Z20"/>
    <mergeCell ref="AG20:AH20"/>
    <mergeCell ref="AO20:AP20"/>
    <mergeCell ref="AW20:AX20"/>
    <mergeCell ref="A21:B21"/>
    <mergeCell ref="I21:J21"/>
    <mergeCell ref="Q21:R21"/>
    <mergeCell ref="Y21:Z21"/>
    <mergeCell ref="AG21:AH21"/>
    <mergeCell ref="AO21:AP21"/>
    <mergeCell ref="A22:B22"/>
    <mergeCell ref="I22:J22"/>
    <mergeCell ref="Q22:R22"/>
    <mergeCell ref="Y22:Z22"/>
    <mergeCell ref="AG22:AH22"/>
    <mergeCell ref="AO22:AP22"/>
    <mergeCell ref="AW22:AX22"/>
    <mergeCell ref="A23:B23"/>
    <mergeCell ref="I23:J23"/>
    <mergeCell ref="Q23:R23"/>
    <mergeCell ref="Y23:Z23"/>
    <mergeCell ref="AG23:AH23"/>
    <mergeCell ref="AO23:AP23"/>
    <mergeCell ref="AW23:AX23"/>
    <mergeCell ref="A24:B24"/>
    <mergeCell ref="I24:J24"/>
    <mergeCell ref="Q24:R24"/>
    <mergeCell ref="Y24:Z24"/>
    <mergeCell ref="AG24:AH24"/>
    <mergeCell ref="AO24:AP24"/>
    <mergeCell ref="AW24:AX24"/>
    <mergeCell ref="D26:E26"/>
    <mergeCell ref="L26:M26"/>
    <mergeCell ref="T26:U26"/>
    <mergeCell ref="AB26:AC26"/>
    <mergeCell ref="AJ26:AK26"/>
    <mergeCell ref="AR26:AS26"/>
    <mergeCell ref="AZ26:BA26"/>
    <mergeCell ref="A40:F40"/>
    <mergeCell ref="B42:M42"/>
    <mergeCell ref="D52:E52"/>
    <mergeCell ref="L52:M52"/>
    <mergeCell ref="T52:U52"/>
    <mergeCell ref="AB52:AC52"/>
    <mergeCell ref="AJ52:AK52"/>
    <mergeCell ref="AR52:AS52"/>
    <mergeCell ref="AZ52:BA52"/>
    <mergeCell ref="B66:O66"/>
    <mergeCell ref="D73:E73"/>
    <mergeCell ref="L73:M73"/>
    <mergeCell ref="T73:U73"/>
    <mergeCell ref="AB73:AC73"/>
    <mergeCell ref="AJ73:AK73"/>
    <mergeCell ref="AR73:AS73"/>
    <mergeCell ref="AZ73:BA73"/>
    <mergeCell ref="B87:S87"/>
    <mergeCell ref="D91:E91"/>
    <mergeCell ref="L91:M91"/>
    <mergeCell ref="T91:U91"/>
    <mergeCell ref="AB91:AC91"/>
    <mergeCell ref="AJ91:AK91"/>
    <mergeCell ref="AR91:AS91"/>
    <mergeCell ref="AZ91:BA91"/>
    <mergeCell ref="B105:T105"/>
    <mergeCell ref="D115:E115"/>
    <mergeCell ref="L115:M115"/>
    <mergeCell ref="T115:U115"/>
    <mergeCell ref="AB115:AC115"/>
    <mergeCell ref="AJ115:AK115"/>
    <mergeCell ref="AR115:AS115"/>
    <mergeCell ref="AZ115:BA115"/>
    <mergeCell ref="A130:F130"/>
    <mergeCell ref="B132:M132"/>
    <mergeCell ref="D142:E142"/>
    <mergeCell ref="L142:M142"/>
    <mergeCell ref="T142:U142"/>
    <mergeCell ref="AB142:AC142"/>
    <mergeCell ref="AJ142:AK142"/>
    <mergeCell ref="AR142:AS142"/>
    <mergeCell ref="AZ142:BA142"/>
    <mergeCell ref="B156:O156"/>
    <mergeCell ref="D162:E162"/>
    <mergeCell ref="L162:M162"/>
    <mergeCell ref="T162:U162"/>
    <mergeCell ref="AB162:AC162"/>
    <mergeCell ref="AJ162:AK162"/>
    <mergeCell ref="AR162:AS162"/>
    <mergeCell ref="AZ162:BA162"/>
    <mergeCell ref="B176:S176"/>
    <mergeCell ref="D180:E180"/>
    <mergeCell ref="L180:M180"/>
    <mergeCell ref="T180:U180"/>
    <mergeCell ref="AB180:AC180"/>
    <mergeCell ref="AJ180:AK180"/>
    <mergeCell ref="AR180:AS180"/>
    <mergeCell ref="AZ180:BA180"/>
    <mergeCell ref="B194:T194"/>
    <mergeCell ref="D203:E203"/>
    <mergeCell ref="L203:M203"/>
    <mergeCell ref="T203:U203"/>
    <mergeCell ref="AB203:AC203"/>
    <mergeCell ref="AJ203:AK203"/>
    <mergeCell ref="AR203:AS203"/>
    <mergeCell ref="AZ203:BA203"/>
    <mergeCell ref="A217:F217"/>
    <mergeCell ref="B219:M219"/>
    <mergeCell ref="D229:E229"/>
    <mergeCell ref="L229:M229"/>
    <mergeCell ref="T229:U229"/>
    <mergeCell ref="AB229:AC229"/>
    <mergeCell ref="AJ229:AK229"/>
    <mergeCell ref="AR229:AS229"/>
    <mergeCell ref="AZ229:BA229"/>
    <mergeCell ref="B243:O243"/>
    <mergeCell ref="D249:E249"/>
    <mergeCell ref="L249:M249"/>
    <mergeCell ref="T249:U249"/>
    <mergeCell ref="AB249:AC249"/>
    <mergeCell ref="AJ249:AK249"/>
    <mergeCell ref="AR249:AS249"/>
    <mergeCell ref="AZ249:BA249"/>
    <mergeCell ref="B263:S263"/>
    <mergeCell ref="D267:E267"/>
    <mergeCell ref="L267:M267"/>
    <mergeCell ref="T267:U267"/>
    <mergeCell ref="AB267:AC267"/>
    <mergeCell ref="AJ267:AK267"/>
    <mergeCell ref="AR267:AS267"/>
    <mergeCell ref="AZ267:BA267"/>
    <mergeCell ref="B281:T281"/>
    <mergeCell ref="D292:E292"/>
    <mergeCell ref="L292:M292"/>
    <mergeCell ref="T292:U292"/>
    <mergeCell ref="AB292:AC292"/>
    <mergeCell ref="AJ292:AK292"/>
    <mergeCell ref="AR292:AS292"/>
    <mergeCell ref="AZ292:BA292"/>
    <mergeCell ref="A306:F306"/>
    <mergeCell ref="B308:M308"/>
    <mergeCell ref="D318:E318"/>
    <mergeCell ref="L318:M318"/>
    <mergeCell ref="T318:U318"/>
    <mergeCell ref="AB318:AC318"/>
    <mergeCell ref="AJ318:AK318"/>
    <mergeCell ref="AR318:AS318"/>
    <mergeCell ref="AZ318:BA318"/>
    <mergeCell ref="B332:O332"/>
    <mergeCell ref="D338:E338"/>
    <mergeCell ref="L338:M338"/>
    <mergeCell ref="T338:U338"/>
    <mergeCell ref="AB338:AC338"/>
    <mergeCell ref="AJ338:AK338"/>
    <mergeCell ref="AR338:AS338"/>
    <mergeCell ref="AZ338:BA338"/>
    <mergeCell ref="B352:T352"/>
    <mergeCell ref="D362:E362"/>
    <mergeCell ref="L362:M362"/>
    <mergeCell ref="T362:U362"/>
    <mergeCell ref="AB362:AC362"/>
    <mergeCell ref="AJ362:AK362"/>
    <mergeCell ref="AR362:AS362"/>
    <mergeCell ref="AZ362:BA362"/>
    <mergeCell ref="A378:B379"/>
    <mergeCell ref="C378:G379"/>
    <mergeCell ref="I378:J379"/>
    <mergeCell ref="K378:O379"/>
    <mergeCell ref="Q378:R379"/>
    <mergeCell ref="S378:W379"/>
    <mergeCell ref="Y378:Z379"/>
    <mergeCell ref="AA378:AE379"/>
    <mergeCell ref="AG378:AH379"/>
    <mergeCell ref="AI378:AM379"/>
    <mergeCell ref="AO378:AP379"/>
    <mergeCell ref="AQ378:AU379"/>
    <mergeCell ref="AW378:AX379"/>
    <mergeCell ref="AY378:BC379"/>
    <mergeCell ref="A380:B380"/>
    <mergeCell ref="I380:J380"/>
    <mergeCell ref="Q380:R380"/>
    <mergeCell ref="Y380:Z380"/>
    <mergeCell ref="AG380:AH380"/>
    <mergeCell ref="AO380:AP380"/>
    <mergeCell ref="AW380:AX380"/>
    <mergeCell ref="A381:B381"/>
    <mergeCell ref="I381:J381"/>
    <mergeCell ref="Q381:R381"/>
    <mergeCell ref="Y381:Z381"/>
    <mergeCell ref="AG381:AH381"/>
    <mergeCell ref="AO381:AP381"/>
    <mergeCell ref="AW381:AX381"/>
    <mergeCell ref="A382:B382"/>
    <mergeCell ref="I382:J382"/>
    <mergeCell ref="Q382:R382"/>
    <mergeCell ref="Y382:Z382"/>
    <mergeCell ref="AG382:AH382"/>
    <mergeCell ref="AO382:AP382"/>
    <mergeCell ref="AW382:AX382"/>
    <mergeCell ref="A383:B383"/>
    <mergeCell ref="I383:J383"/>
    <mergeCell ref="Q383:R383"/>
    <mergeCell ref="Y383:Z383"/>
    <mergeCell ref="AG383:AH383"/>
    <mergeCell ref="AO383:AP383"/>
    <mergeCell ref="A384:B384"/>
    <mergeCell ref="I384:J384"/>
    <mergeCell ref="Q384:R384"/>
    <mergeCell ref="Y384:Z384"/>
    <mergeCell ref="AG384:AH384"/>
    <mergeCell ref="AO384:AP384"/>
    <mergeCell ref="A385:B385"/>
    <mergeCell ref="I385:J385"/>
    <mergeCell ref="Q385:R385"/>
    <mergeCell ref="Y385:Z385"/>
    <mergeCell ref="AG385:AH385"/>
    <mergeCell ref="AO385:AP385"/>
    <mergeCell ref="A386:B386"/>
    <mergeCell ref="I386:J386"/>
    <mergeCell ref="Q386:R386"/>
    <mergeCell ref="Y386:Z386"/>
    <mergeCell ref="AG386:AH386"/>
    <mergeCell ref="AO386:AP386"/>
    <mergeCell ref="A387:B387"/>
    <mergeCell ref="I387:J387"/>
    <mergeCell ref="Q387:R387"/>
    <mergeCell ref="Y387:Z387"/>
    <mergeCell ref="AG387:AH387"/>
    <mergeCell ref="AO387:AP387"/>
    <mergeCell ref="A388:B388"/>
    <mergeCell ref="I388:J388"/>
    <mergeCell ref="Q388:R388"/>
    <mergeCell ref="Y388:Z388"/>
    <mergeCell ref="AG388:AH388"/>
    <mergeCell ref="AO388:AP388"/>
    <mergeCell ref="A389:B389"/>
    <mergeCell ref="I389:J389"/>
    <mergeCell ref="Q389:R389"/>
    <mergeCell ref="Y389:Z389"/>
    <mergeCell ref="AG389:AH389"/>
    <mergeCell ref="AO389:AP389"/>
    <mergeCell ref="A390:B390"/>
    <mergeCell ref="I390:J390"/>
    <mergeCell ref="Q390:R390"/>
    <mergeCell ref="Y390:Z390"/>
    <mergeCell ref="AG390:AH390"/>
    <mergeCell ref="AO390:AP390"/>
    <mergeCell ref="A391:B391"/>
    <mergeCell ref="I391:J391"/>
    <mergeCell ref="Q391:R391"/>
    <mergeCell ref="Y391:Z391"/>
    <mergeCell ref="AG391:AH391"/>
    <mergeCell ref="AO391:AP391"/>
    <mergeCell ref="AW391:AX391"/>
    <mergeCell ref="A392:B392"/>
    <mergeCell ref="I392:J392"/>
    <mergeCell ref="Q392:R392"/>
    <mergeCell ref="Y392:Z392"/>
    <mergeCell ref="AG392:AH392"/>
    <mergeCell ref="AO392:AP392"/>
    <mergeCell ref="A393:B393"/>
    <mergeCell ref="I393:J393"/>
    <mergeCell ref="Q393:R393"/>
    <mergeCell ref="Y393:Z393"/>
    <mergeCell ref="AG393:AH393"/>
    <mergeCell ref="AO393:AP393"/>
    <mergeCell ref="AW393:AX393"/>
    <mergeCell ref="A394:B394"/>
    <mergeCell ref="I394:J394"/>
    <mergeCell ref="Q394:R394"/>
    <mergeCell ref="Y394:Z394"/>
    <mergeCell ref="AG394:AH394"/>
    <mergeCell ref="AO394:AP394"/>
    <mergeCell ref="AW394:AX394"/>
    <mergeCell ref="A395:B395"/>
    <mergeCell ref="I395:J395"/>
    <mergeCell ref="Q395:R395"/>
    <mergeCell ref="Y395:Z395"/>
    <mergeCell ref="AG395:AH395"/>
    <mergeCell ref="AO395:AP395"/>
    <mergeCell ref="AW395:AX395"/>
    <mergeCell ref="D397:E397"/>
    <mergeCell ref="L397:M397"/>
    <mergeCell ref="T397:U397"/>
    <mergeCell ref="AB397:AC397"/>
    <mergeCell ref="AJ397:AK397"/>
    <mergeCell ref="AR397:AS397"/>
    <mergeCell ref="AZ397:BA397"/>
    <mergeCell ref="A413:B414"/>
    <mergeCell ref="C413:G414"/>
    <mergeCell ref="I413:J414"/>
    <mergeCell ref="K413:O414"/>
    <mergeCell ref="Q413:R414"/>
    <mergeCell ref="S413:W414"/>
    <mergeCell ref="Y413:Z414"/>
    <mergeCell ref="AA413:AE414"/>
    <mergeCell ref="AG413:AH414"/>
    <mergeCell ref="AI413:AM414"/>
    <mergeCell ref="AO413:AP414"/>
    <mergeCell ref="AQ413:AU414"/>
    <mergeCell ref="AW413:AX414"/>
    <mergeCell ref="AY413:BC414"/>
    <mergeCell ref="A415:B415"/>
    <mergeCell ref="I415:J415"/>
    <mergeCell ref="Q415:R415"/>
    <mergeCell ref="Y415:Z415"/>
    <mergeCell ref="AG415:AH415"/>
    <mergeCell ref="AO415:AP415"/>
    <mergeCell ref="AW415:AX415"/>
    <mergeCell ref="A416:B416"/>
    <mergeCell ref="I416:J416"/>
    <mergeCell ref="Q416:R416"/>
    <mergeCell ref="Y416:Z416"/>
    <mergeCell ref="AG416:AH416"/>
    <mergeCell ref="AO416:AP416"/>
    <mergeCell ref="AW416:AX416"/>
    <mergeCell ref="A417:B417"/>
    <mergeCell ref="I417:J417"/>
    <mergeCell ref="Q417:R417"/>
    <mergeCell ref="Y417:Z417"/>
    <mergeCell ref="AG417:AH417"/>
    <mergeCell ref="AO417:AP417"/>
    <mergeCell ref="AW417:AX417"/>
    <mergeCell ref="A418:B418"/>
    <mergeCell ref="I418:J418"/>
    <mergeCell ref="Q418:R418"/>
    <mergeCell ref="Y418:Z418"/>
    <mergeCell ref="AG418:AH418"/>
    <mergeCell ref="AO418:AP418"/>
    <mergeCell ref="A419:B419"/>
    <mergeCell ref="I419:J419"/>
    <mergeCell ref="Q419:R419"/>
    <mergeCell ref="Y419:Z419"/>
    <mergeCell ref="AG419:AH419"/>
    <mergeCell ref="AO419:AP419"/>
    <mergeCell ref="A420:B420"/>
    <mergeCell ref="I420:J420"/>
    <mergeCell ref="Q420:R420"/>
    <mergeCell ref="Y420:Z420"/>
    <mergeCell ref="AG420:AH420"/>
    <mergeCell ref="AO420:AP420"/>
    <mergeCell ref="A421:B421"/>
    <mergeCell ref="I421:J421"/>
    <mergeCell ref="Q421:R421"/>
    <mergeCell ref="Y421:Z421"/>
    <mergeCell ref="AG421:AH421"/>
    <mergeCell ref="AO421:AP421"/>
    <mergeCell ref="A422:B422"/>
    <mergeCell ref="I422:J422"/>
    <mergeCell ref="Q422:R422"/>
    <mergeCell ref="Y422:Z422"/>
    <mergeCell ref="AG422:AH422"/>
    <mergeCell ref="AO422:AP422"/>
    <mergeCell ref="A423:B423"/>
    <mergeCell ref="I423:J423"/>
    <mergeCell ref="Q423:R423"/>
    <mergeCell ref="Y423:Z423"/>
    <mergeCell ref="AG423:AH423"/>
    <mergeCell ref="AO423:AP423"/>
    <mergeCell ref="A424:B424"/>
    <mergeCell ref="I424:J424"/>
    <mergeCell ref="Q424:R424"/>
    <mergeCell ref="Y424:Z424"/>
    <mergeCell ref="AG424:AH424"/>
    <mergeCell ref="AO424:AP424"/>
    <mergeCell ref="A425:B425"/>
    <mergeCell ref="I425:J425"/>
    <mergeCell ref="Q425:R425"/>
    <mergeCell ref="Y425:Z425"/>
    <mergeCell ref="AG425:AH425"/>
    <mergeCell ref="AO425:AP425"/>
    <mergeCell ref="A426:B426"/>
    <mergeCell ref="I426:J426"/>
    <mergeCell ref="Q426:R426"/>
    <mergeCell ref="Y426:Z426"/>
    <mergeCell ref="AG426:AH426"/>
    <mergeCell ref="AO426:AP426"/>
    <mergeCell ref="AW426:AX426"/>
    <mergeCell ref="A427:B427"/>
    <mergeCell ref="I427:J427"/>
    <mergeCell ref="Q427:R427"/>
    <mergeCell ref="Y427:Z427"/>
    <mergeCell ref="AG427:AH427"/>
    <mergeCell ref="AO427:AP427"/>
    <mergeCell ref="A428:B428"/>
    <mergeCell ref="I428:J428"/>
    <mergeCell ref="Q428:R428"/>
    <mergeCell ref="Y428:Z428"/>
    <mergeCell ref="AG428:AH428"/>
    <mergeCell ref="AO428:AP428"/>
    <mergeCell ref="AW428:AX428"/>
    <mergeCell ref="D432:E432"/>
    <mergeCell ref="L432:M432"/>
    <mergeCell ref="T432:U432"/>
    <mergeCell ref="AB432:AC432"/>
    <mergeCell ref="AJ432:AK432"/>
    <mergeCell ref="AR432:AS432"/>
    <mergeCell ref="AZ432:BA432"/>
    <mergeCell ref="A429:B429"/>
    <mergeCell ref="I429:J429"/>
    <mergeCell ref="Q429:R429"/>
    <mergeCell ref="Y429:Z429"/>
    <mergeCell ref="AG429:AH429"/>
    <mergeCell ref="AO429:AP429"/>
    <mergeCell ref="AW429:AX429"/>
    <mergeCell ref="A430:B430"/>
    <mergeCell ref="I430:J430"/>
    <mergeCell ref="Q430:R430"/>
    <mergeCell ref="Y430:Z430"/>
    <mergeCell ref="AG430:AH430"/>
    <mergeCell ref="AO430:AP430"/>
    <mergeCell ref="AW430:AX430"/>
  </mergeCells>
  <conditionalFormatting sqref="B45:L49">
    <cfRule type="colorScale" priority="13">
      <colorScale>
        <cfvo type="min"/>
        <cfvo type="max"/>
        <color rgb="FFFCFCFF"/>
        <color rgb="FFF8696B"/>
      </colorScale>
    </cfRule>
  </conditionalFormatting>
  <conditionalFormatting sqref="B311:L315">
    <cfRule type="colorScale" priority="32">
      <colorScale>
        <cfvo type="min"/>
        <cfvo type="max"/>
        <color rgb="FFFCFCFF"/>
        <color rgb="FFF8696B"/>
      </colorScale>
    </cfRule>
  </conditionalFormatting>
  <conditionalFormatting sqref="B68:N71">
    <cfRule type="colorScale" priority="12">
      <colorScale>
        <cfvo type="min"/>
        <cfvo type="max"/>
        <color rgb="FFFCFCFF"/>
        <color rgb="FFF8696B"/>
      </colorScale>
    </cfRule>
  </conditionalFormatting>
  <conditionalFormatting sqref="B334:N336">
    <cfRule type="colorScale" priority="33">
      <colorScale>
        <cfvo type="min"/>
        <cfvo type="max"/>
        <color rgb="FFFCFCFF"/>
        <color rgb="FFF8696B"/>
      </colorScale>
    </cfRule>
  </conditionalFormatting>
  <conditionalFormatting sqref="B89:R89">
    <cfRule type="colorScale" priority="11">
      <colorScale>
        <cfvo type="min"/>
        <cfvo type="max"/>
        <color rgb="FFFCFCFF"/>
        <color rgb="FFF8696B"/>
      </colorScale>
    </cfRule>
  </conditionalFormatting>
  <conditionalFormatting sqref="B135:R139">
    <cfRule type="colorScale" priority="18">
      <colorScale>
        <cfvo type="min"/>
        <cfvo type="max"/>
        <color rgb="FFFCFCFF"/>
        <color rgb="FFF8696B"/>
      </colorScale>
    </cfRule>
  </conditionalFormatting>
  <conditionalFormatting sqref="B158:R160">
    <cfRule type="colorScale" priority="27">
      <colorScale>
        <cfvo type="min"/>
        <cfvo type="max"/>
        <color rgb="FFFCFCFF"/>
        <color rgb="FFF8696B"/>
      </colorScale>
    </cfRule>
  </conditionalFormatting>
  <conditionalFormatting sqref="B178:R178">
    <cfRule type="colorScale" priority="17">
      <colorScale>
        <cfvo type="min"/>
        <cfvo type="max"/>
        <color rgb="FFFCFCFF"/>
        <color rgb="FFF8696B"/>
      </colorScale>
    </cfRule>
  </conditionalFormatting>
  <conditionalFormatting sqref="B222:R226">
    <cfRule type="colorScale" priority="23">
      <colorScale>
        <cfvo type="min"/>
        <cfvo type="max"/>
        <color rgb="FFFCFCFF"/>
        <color rgb="FFF8696B"/>
      </colorScale>
    </cfRule>
  </conditionalFormatting>
  <conditionalFormatting sqref="B245:R247">
    <cfRule type="colorScale" priority="29">
      <colorScale>
        <cfvo type="min"/>
        <cfvo type="max"/>
        <color rgb="FFFCFCFF"/>
        <color rgb="FFF8696B"/>
      </colorScale>
    </cfRule>
  </conditionalFormatting>
  <conditionalFormatting sqref="B265:R265">
    <cfRule type="colorScale" priority="22">
      <colorScale>
        <cfvo type="min"/>
        <cfvo type="max"/>
        <color rgb="FFFCFCFF"/>
        <color rgb="FFF8696B"/>
      </colorScale>
    </cfRule>
  </conditionalFormatting>
  <conditionalFormatting sqref="B107:S113">
    <cfRule type="colorScale" priority="15">
      <colorScale>
        <cfvo type="min"/>
        <cfvo type="max"/>
        <color rgb="FFFCFCFF"/>
        <color rgb="FFF8696B"/>
      </colorScale>
    </cfRule>
  </conditionalFormatting>
  <conditionalFormatting sqref="B196:S201">
    <cfRule type="colorScale" priority="20">
      <colorScale>
        <cfvo type="min"/>
        <cfvo type="max"/>
        <color rgb="FFFCFCFF"/>
        <color rgb="FFF8696B"/>
      </colorScale>
    </cfRule>
  </conditionalFormatting>
  <conditionalFormatting sqref="B283:S290">
    <cfRule type="colorScale" priority="25">
      <colorScale>
        <cfvo type="min"/>
        <cfvo type="max"/>
        <color rgb="FFFCFCFF"/>
        <color rgb="FFF8696B"/>
      </colorScale>
    </cfRule>
  </conditionalFormatting>
  <conditionalFormatting sqref="B354:S360">
    <cfRule type="colorScale" priority="35">
      <colorScale>
        <cfvo type="min"/>
        <cfvo type="max"/>
        <color rgb="FFFCFCFF"/>
        <color rgb="FFF8696B"/>
      </colorScale>
    </cfRule>
  </conditionalFormatting>
  <conditionalFormatting sqref="C10:F22">
    <cfRule type="colorScale" priority="2">
      <colorScale>
        <cfvo type="min"/>
        <cfvo type="max"/>
        <color rgb="FFFFFFFF"/>
        <color rgb="FFE67C73"/>
      </colorScale>
    </cfRule>
  </conditionalFormatting>
  <conditionalFormatting sqref="C381:F393">
    <cfRule type="colorScale" priority="36">
      <colorScale>
        <cfvo type="min"/>
        <cfvo type="max"/>
        <color rgb="FFFFFFFF"/>
        <color rgb="FFE67C73"/>
      </colorScale>
    </cfRule>
  </conditionalFormatting>
  <conditionalFormatting sqref="C416:F428">
    <cfRule type="colorScale" priority="43">
      <colorScale>
        <cfvo type="min"/>
        <cfvo type="max"/>
        <color rgb="FFFFFFFF"/>
        <color rgb="FFE67C73"/>
      </colorScale>
    </cfRule>
  </conditionalFormatting>
  <conditionalFormatting sqref="K10:N22">
    <cfRule type="colorScale" priority="3">
      <colorScale>
        <cfvo type="min"/>
        <cfvo type="max"/>
        <color rgb="FFFFFFFF"/>
        <color rgb="FFE67C73"/>
      </colorScale>
    </cfRule>
  </conditionalFormatting>
  <conditionalFormatting sqref="K381:N393">
    <cfRule type="colorScale" priority="37">
      <colorScale>
        <cfvo type="min"/>
        <cfvo type="max"/>
        <color rgb="FFFFFFFF"/>
        <color rgb="FFE67C73"/>
      </colorScale>
    </cfRule>
  </conditionalFormatting>
  <conditionalFormatting sqref="K416:N428">
    <cfRule type="colorScale" priority="44">
      <colorScale>
        <cfvo type="min"/>
        <cfvo type="max"/>
        <color rgb="FFFFFFFF"/>
        <color rgb="FFE67C73"/>
      </colorScale>
    </cfRule>
  </conditionalFormatting>
  <conditionalFormatting sqref="N316:R316 Q310:X315">
    <cfRule type="colorScale" priority="30">
      <colorScale>
        <cfvo type="min"/>
        <cfvo type="max"/>
        <color rgb="FFFCFCFF"/>
        <color rgb="FFF8696B"/>
      </colorScale>
    </cfRule>
  </conditionalFormatting>
  <conditionalFormatting sqref="Q44:X50">
    <cfRule type="colorScale" priority="9">
      <colorScale>
        <cfvo type="min"/>
        <cfvo type="max"/>
        <color rgb="FFFCFCFF"/>
        <color rgb="FFF8696B"/>
      </colorScale>
    </cfRule>
  </conditionalFormatting>
  <conditionalFormatting sqref="S10:V22">
    <cfRule type="colorScale" priority="4">
      <colorScale>
        <cfvo type="min"/>
        <cfvo type="max"/>
        <color rgb="FFFFFFFF"/>
        <color rgb="FFE67C73"/>
      </colorScale>
    </cfRule>
  </conditionalFormatting>
  <conditionalFormatting sqref="S381:V393">
    <cfRule type="colorScale" priority="38">
      <colorScale>
        <cfvo type="min"/>
        <cfvo type="max"/>
        <color rgb="FFFFFFFF"/>
        <color rgb="FFE67C73"/>
      </colorScale>
    </cfRule>
  </conditionalFormatting>
  <conditionalFormatting sqref="S416:V428">
    <cfRule type="colorScale" priority="45">
      <colorScale>
        <cfvo type="min"/>
        <cfvo type="max"/>
        <color rgb="FFFFFFFF"/>
        <color rgb="FFE67C73"/>
      </colorScale>
    </cfRule>
  </conditionalFormatting>
  <conditionalFormatting sqref="S68:Z71">
    <cfRule type="colorScale" priority="10">
      <colorScale>
        <cfvo type="min"/>
        <cfvo type="max"/>
        <color rgb="FFFCFCFF"/>
        <color rgb="FFF8696B"/>
      </colorScale>
    </cfRule>
  </conditionalFormatting>
  <conditionalFormatting sqref="S334:Z336">
    <cfRule type="colorScale" priority="31">
      <colorScale>
        <cfvo type="min"/>
        <cfvo type="max"/>
        <color rgb="FFFCFCFF"/>
        <color rgb="FFF8696B"/>
      </colorScale>
    </cfRule>
  </conditionalFormatting>
  <conditionalFormatting sqref="T140:X140 W134:AD139">
    <cfRule type="colorScale" priority="16">
      <colorScale>
        <cfvo type="min"/>
        <cfvo type="max"/>
        <color rgb="FFFCFCFF"/>
        <color rgb="FFF8696B"/>
      </colorScale>
    </cfRule>
  </conditionalFormatting>
  <conditionalFormatting sqref="T227:X227 W221:AD226">
    <cfRule type="colorScale" priority="21">
      <colorScale>
        <cfvo type="min"/>
        <cfvo type="max"/>
        <color rgb="FFFCFCFF"/>
        <color rgb="FFF8696B"/>
      </colorScale>
    </cfRule>
  </conditionalFormatting>
  <conditionalFormatting sqref="W158:AD160">
    <cfRule type="colorScale" priority="26">
      <colorScale>
        <cfvo type="min"/>
        <cfvo type="max"/>
        <color rgb="FFFCFCFF"/>
        <color rgb="FFF8696B"/>
      </colorScale>
    </cfRule>
  </conditionalFormatting>
  <conditionalFormatting sqref="W245:AD247">
    <cfRule type="colorScale" priority="28">
      <colorScale>
        <cfvo type="min"/>
        <cfvo type="max"/>
        <color rgb="FFFCFCFF"/>
        <color rgb="FFF8696B"/>
      </colorScale>
    </cfRule>
  </conditionalFormatting>
  <conditionalFormatting sqref="X107:AE113">
    <cfRule type="colorScale" priority="14">
      <colorScale>
        <cfvo type="min"/>
        <cfvo type="max"/>
        <color rgb="FFFCFCFF"/>
        <color rgb="FFF8696B"/>
      </colorScale>
    </cfRule>
  </conditionalFormatting>
  <conditionalFormatting sqref="X196:AE201">
    <cfRule type="colorScale" priority="19">
      <colorScale>
        <cfvo type="min"/>
        <cfvo type="max"/>
        <color rgb="FFFCFCFF"/>
        <color rgb="FFF8696B"/>
      </colorScale>
    </cfRule>
  </conditionalFormatting>
  <conditionalFormatting sqref="X283:AE290">
    <cfRule type="colorScale" priority="24">
      <colorScale>
        <cfvo type="min"/>
        <cfvo type="max"/>
        <color rgb="FFFCFCFF"/>
        <color rgb="FFF8696B"/>
      </colorScale>
    </cfRule>
  </conditionalFormatting>
  <conditionalFormatting sqref="X354:AE360">
    <cfRule type="colorScale" priority="34">
      <colorScale>
        <cfvo type="min"/>
        <cfvo type="max"/>
        <color rgb="FFFCFCFF"/>
        <color rgb="FFF8696B"/>
      </colorScale>
    </cfRule>
  </conditionalFormatting>
  <conditionalFormatting sqref="AA10:AD22">
    <cfRule type="colorScale" priority="5">
      <colorScale>
        <cfvo type="min"/>
        <cfvo type="max"/>
        <color rgb="FFFFFFFF"/>
        <color rgb="FFE67C73"/>
      </colorScale>
    </cfRule>
  </conditionalFormatting>
  <conditionalFormatting sqref="AA381:AD393">
    <cfRule type="colorScale" priority="39">
      <colorScale>
        <cfvo type="min"/>
        <cfvo type="max"/>
        <color rgb="FFFFFFFF"/>
        <color rgb="FFE67C73"/>
      </colorScale>
    </cfRule>
  </conditionalFormatting>
  <conditionalFormatting sqref="AA416:AD428">
    <cfRule type="colorScale" priority="46">
      <colorScale>
        <cfvo type="min"/>
        <cfvo type="max"/>
        <color rgb="FFFFFFFF"/>
        <color rgb="FFE67C73"/>
      </colorScale>
    </cfRule>
  </conditionalFormatting>
  <conditionalFormatting sqref="AI10:AL22">
    <cfRule type="colorScale" priority="6">
      <colorScale>
        <cfvo type="min"/>
        <cfvo type="max"/>
        <color rgb="FFFFFFFF"/>
        <color rgb="FFE67C73"/>
      </colorScale>
    </cfRule>
  </conditionalFormatting>
  <conditionalFormatting sqref="AI381:AL393">
    <cfRule type="colorScale" priority="40">
      <colorScale>
        <cfvo type="min"/>
        <cfvo type="max"/>
        <color rgb="FFFFFFFF"/>
        <color rgb="FFE67C73"/>
      </colorScale>
    </cfRule>
  </conditionalFormatting>
  <conditionalFormatting sqref="AI416:AL428">
    <cfRule type="colorScale" priority="47">
      <colorScale>
        <cfvo type="min"/>
        <cfvo type="max"/>
        <color rgb="FFFFFFFF"/>
        <color rgb="FFE67C73"/>
      </colorScale>
    </cfRule>
  </conditionalFormatting>
  <conditionalFormatting sqref="AQ381:AQ393">
    <cfRule type="colorScale" priority="50">
      <colorScale>
        <cfvo type="min"/>
        <cfvo type="max"/>
        <color rgb="FFFFFFFF"/>
        <color rgb="FFE67C73"/>
      </colorScale>
    </cfRule>
  </conditionalFormatting>
  <conditionalFormatting sqref="AQ390:AQ393">
    <cfRule type="colorScale" priority="41">
      <colorScale>
        <cfvo type="min"/>
        <cfvo type="max"/>
        <color rgb="FFFFFFFF"/>
        <color rgb="FFE67C73"/>
      </colorScale>
    </cfRule>
  </conditionalFormatting>
  <conditionalFormatting sqref="AQ10:AT22">
    <cfRule type="colorScale" priority="7">
      <colorScale>
        <cfvo type="min"/>
        <cfvo type="max"/>
        <color rgb="FFFFFFFF"/>
        <color rgb="FFE67C73"/>
      </colorScale>
    </cfRule>
  </conditionalFormatting>
  <conditionalFormatting sqref="AQ416:AT428">
    <cfRule type="colorScale" priority="48">
      <colorScale>
        <cfvo type="min"/>
        <cfvo type="max"/>
        <color rgb="FFFFFFFF"/>
        <color rgb="FFE67C73"/>
      </colorScale>
    </cfRule>
  </conditionalFormatting>
  <conditionalFormatting sqref="AR381:AR393">
    <cfRule type="colorScale" priority="51">
      <colorScale>
        <cfvo type="min"/>
        <cfvo type="max"/>
        <color rgb="FFFFFFFF"/>
        <color rgb="FFE67C73"/>
      </colorScale>
    </cfRule>
  </conditionalFormatting>
  <conditionalFormatting sqref="AS381:AS389">
    <cfRule type="colorScale" priority="52">
      <colorScale>
        <cfvo type="min"/>
        <cfvo type="max"/>
        <color rgb="FFFFFFFF"/>
        <color rgb="FFE67C73"/>
      </colorScale>
    </cfRule>
  </conditionalFormatting>
  <conditionalFormatting sqref="AS390:AS393">
    <cfRule type="colorScale" priority="53">
      <colorScale>
        <cfvo type="min"/>
        <cfvo type="max"/>
        <color rgb="FFFFFFFF"/>
        <color rgb="FFE67C73"/>
      </colorScale>
    </cfRule>
  </conditionalFormatting>
  <conditionalFormatting sqref="AT381:AT393">
    <cfRule type="colorScale" priority="54">
      <colorScale>
        <cfvo type="min"/>
        <cfvo type="max"/>
        <color rgb="FFFFFFFF"/>
        <color rgb="FFE67C73"/>
      </colorScale>
    </cfRule>
  </conditionalFormatting>
  <conditionalFormatting sqref="AY10:BB22">
    <cfRule type="colorScale" priority="8">
      <colorScale>
        <cfvo type="min"/>
        <cfvo type="max"/>
        <color rgb="FFFFFFFF"/>
        <color rgb="FFE67C73"/>
      </colorScale>
    </cfRule>
  </conditionalFormatting>
  <conditionalFormatting sqref="AY381:BB393">
    <cfRule type="colorScale" priority="42">
      <colorScale>
        <cfvo type="min"/>
        <cfvo type="max"/>
        <color rgb="FFFFFFFF"/>
        <color rgb="FFE67C73"/>
      </colorScale>
    </cfRule>
  </conditionalFormatting>
  <conditionalFormatting sqref="AY416:BB428">
    <cfRule type="colorScale" priority="49">
      <colorScale>
        <cfvo type="min"/>
        <cfvo type="max"/>
        <color rgb="FFFFFFFF"/>
        <color rgb="FFE67C73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D474"/>
  <sheetViews>
    <sheetView zoomScaleNormal="100"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 x14ac:dyDescent="0.3"/>
  <cols>
    <col min="1" max="56" width="9.109375" customWidth="1"/>
  </cols>
  <sheetData>
    <row r="1" spans="1:55" ht="14.25" customHeight="1" x14ac:dyDescent="0.3">
      <c r="A1" s="131"/>
      <c r="B1" s="16" t="s">
        <v>195</v>
      </c>
      <c r="C1" s="139" t="s">
        <v>146</v>
      </c>
      <c r="D1" s="225">
        <f ca="1">IF('Take-off'!$C$9="",'Take-off'!$C$16,MAX(0,'Take-off'!$C$16+30*(1013-'Take-off'!$C$9)))</f>
        <v>770</v>
      </c>
      <c r="E1" s="226"/>
      <c r="F1" s="226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240"/>
      <c r="AW1" s="131"/>
      <c r="AX1" s="131"/>
      <c r="AY1" s="131"/>
      <c r="AZ1" s="131"/>
      <c r="BA1" s="131"/>
      <c r="BB1" s="131"/>
      <c r="BC1" s="131"/>
    </row>
    <row r="2" spans="1:55" ht="14.25" customHeight="1" x14ac:dyDescent="0.3">
      <c r="A2" s="131"/>
      <c r="B2" s="16" t="s">
        <v>197</v>
      </c>
      <c r="C2" s="139" t="s">
        <v>147</v>
      </c>
      <c r="D2" s="225">
        <f ca="1">'Take-off'!$C$8</f>
        <v>15</v>
      </c>
      <c r="E2" s="227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240"/>
      <c r="AW2" s="131"/>
      <c r="AX2" s="131"/>
      <c r="AY2" s="131"/>
      <c r="AZ2" s="131"/>
      <c r="BA2" s="131"/>
      <c r="BB2" s="131"/>
      <c r="BC2" s="131"/>
    </row>
    <row r="3" spans="1:55" ht="14.25" customHeight="1" x14ac:dyDescent="0.3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240"/>
      <c r="AW3" s="131"/>
      <c r="AX3" s="131"/>
      <c r="AY3" s="131"/>
      <c r="AZ3" s="131"/>
      <c r="BA3" s="131"/>
      <c r="BB3" s="131"/>
      <c r="BC3" s="131"/>
    </row>
    <row r="4" spans="1:55" ht="14.25" customHeight="1" x14ac:dyDescent="0.3">
      <c r="A4" s="356" t="s">
        <v>215</v>
      </c>
      <c r="B4" s="356"/>
      <c r="C4" s="356"/>
      <c r="D4" s="356"/>
      <c r="E4" s="356"/>
      <c r="F4" s="356"/>
      <c r="G4" s="356"/>
      <c r="H4" s="131"/>
      <c r="I4" s="356" t="s">
        <v>215</v>
      </c>
      <c r="J4" s="356"/>
      <c r="K4" s="356"/>
      <c r="L4" s="356"/>
      <c r="M4" s="356"/>
      <c r="N4" s="356"/>
      <c r="O4" s="356"/>
      <c r="P4" s="131"/>
      <c r="Q4" s="356" t="s">
        <v>215</v>
      </c>
      <c r="R4" s="356"/>
      <c r="S4" s="356"/>
      <c r="T4" s="356"/>
      <c r="U4" s="356"/>
      <c r="V4" s="356"/>
      <c r="W4" s="356"/>
      <c r="X4" s="131"/>
      <c r="Y4" s="356" t="s">
        <v>215</v>
      </c>
      <c r="Z4" s="356"/>
      <c r="AA4" s="356"/>
      <c r="AB4" s="356"/>
      <c r="AC4" s="356"/>
      <c r="AD4" s="356"/>
      <c r="AE4" s="356"/>
      <c r="AF4" s="131"/>
      <c r="AG4" s="356" t="s">
        <v>215</v>
      </c>
      <c r="AH4" s="356"/>
      <c r="AI4" s="356"/>
      <c r="AJ4" s="356"/>
      <c r="AK4" s="356"/>
      <c r="AL4" s="356"/>
      <c r="AM4" s="356"/>
      <c r="AN4" s="131"/>
      <c r="AO4" s="356" t="s">
        <v>215</v>
      </c>
      <c r="AP4" s="356"/>
      <c r="AQ4" s="356"/>
      <c r="AR4" s="356"/>
      <c r="AS4" s="356"/>
      <c r="AT4" s="356"/>
      <c r="AU4" s="356"/>
      <c r="AV4" s="240"/>
      <c r="AW4" s="356" t="s">
        <v>215</v>
      </c>
      <c r="AX4" s="356"/>
      <c r="AY4" s="356"/>
      <c r="AZ4" s="356"/>
      <c r="BA4" s="356"/>
      <c r="BB4" s="356"/>
      <c r="BC4" s="356"/>
    </row>
    <row r="5" spans="1:55" ht="14.25" customHeight="1" x14ac:dyDescent="0.3">
      <c r="A5" s="406" t="s">
        <v>216</v>
      </c>
      <c r="B5" s="406"/>
      <c r="C5" s="406"/>
      <c r="D5" s="406"/>
      <c r="E5" s="406"/>
      <c r="F5" s="406"/>
      <c r="G5" s="406"/>
      <c r="H5" s="131"/>
      <c r="I5" s="406" t="s">
        <v>216</v>
      </c>
      <c r="J5" s="406"/>
      <c r="K5" s="406"/>
      <c r="L5" s="406"/>
      <c r="M5" s="406"/>
      <c r="N5" s="406"/>
      <c r="O5" s="406"/>
      <c r="P5" s="228"/>
      <c r="Q5" s="406" t="s">
        <v>216</v>
      </c>
      <c r="R5" s="406"/>
      <c r="S5" s="406"/>
      <c r="T5" s="406"/>
      <c r="U5" s="406"/>
      <c r="V5" s="406"/>
      <c r="W5" s="406"/>
      <c r="X5" s="131"/>
      <c r="Y5" s="406" t="s">
        <v>216</v>
      </c>
      <c r="Z5" s="406"/>
      <c r="AA5" s="406"/>
      <c r="AB5" s="406"/>
      <c r="AC5" s="406"/>
      <c r="AD5" s="406"/>
      <c r="AE5" s="406"/>
      <c r="AF5" s="131"/>
      <c r="AG5" s="406" t="s">
        <v>216</v>
      </c>
      <c r="AH5" s="406"/>
      <c r="AI5" s="406"/>
      <c r="AJ5" s="406"/>
      <c r="AK5" s="406"/>
      <c r="AL5" s="406"/>
      <c r="AM5" s="406"/>
      <c r="AN5" s="131"/>
      <c r="AO5" s="406" t="s">
        <v>216</v>
      </c>
      <c r="AP5" s="406"/>
      <c r="AQ5" s="406"/>
      <c r="AR5" s="406"/>
      <c r="AS5" s="406"/>
      <c r="AT5" s="406"/>
      <c r="AU5" s="406"/>
      <c r="AV5" s="241"/>
      <c r="AW5" s="406" t="s">
        <v>216</v>
      </c>
      <c r="AX5" s="406"/>
      <c r="AY5" s="406"/>
      <c r="AZ5" s="406"/>
      <c r="BA5" s="406"/>
      <c r="BB5" s="406"/>
      <c r="BC5" s="406"/>
    </row>
    <row r="6" spans="1:55" ht="14.25" customHeight="1" x14ac:dyDescent="0.3">
      <c r="A6" s="2"/>
      <c r="B6" s="2"/>
      <c r="C6" s="51">
        <v>16600</v>
      </c>
      <c r="D6" s="53" t="s">
        <v>29</v>
      </c>
      <c r="E6" s="2"/>
      <c r="F6" s="2"/>
      <c r="G6" s="2"/>
      <c r="H6" s="2"/>
      <c r="I6" s="2"/>
      <c r="J6" s="2"/>
      <c r="K6" s="51">
        <v>16000</v>
      </c>
      <c r="L6" s="53" t="s">
        <v>29</v>
      </c>
      <c r="M6" s="2"/>
      <c r="N6" s="2"/>
      <c r="O6" s="2"/>
      <c r="P6" s="2"/>
      <c r="Q6" s="2"/>
      <c r="R6" s="2"/>
      <c r="S6" s="51">
        <v>15000</v>
      </c>
      <c r="T6" s="53" t="s">
        <v>29</v>
      </c>
      <c r="U6" s="2"/>
      <c r="V6" s="2"/>
      <c r="W6" s="2"/>
      <c r="X6" s="2"/>
      <c r="Y6" s="2"/>
      <c r="Z6" s="2"/>
      <c r="AA6" s="51">
        <v>14000</v>
      </c>
      <c r="AB6" s="53" t="s">
        <v>29</v>
      </c>
      <c r="AC6" s="2"/>
      <c r="AD6" s="2"/>
      <c r="AE6" s="2"/>
      <c r="AF6" s="2"/>
      <c r="AG6" s="2"/>
      <c r="AH6" s="2"/>
      <c r="AI6" s="51">
        <v>13000</v>
      </c>
      <c r="AJ6" s="53" t="s">
        <v>29</v>
      </c>
      <c r="AK6" s="2"/>
      <c r="AL6" s="2"/>
      <c r="AM6" s="2"/>
      <c r="AN6" s="2"/>
      <c r="AO6" s="2"/>
      <c r="AP6" s="2"/>
      <c r="AQ6" s="51">
        <v>12000</v>
      </c>
      <c r="AR6" s="53" t="s">
        <v>29</v>
      </c>
      <c r="AS6" s="2"/>
      <c r="AT6" s="2"/>
      <c r="AU6" s="2"/>
      <c r="AV6" s="242"/>
      <c r="AW6" s="2"/>
      <c r="AX6" s="2"/>
      <c r="AY6" s="51">
        <v>13000</v>
      </c>
      <c r="AZ6" s="53" t="s">
        <v>29</v>
      </c>
      <c r="BA6" s="2"/>
      <c r="BB6" s="2"/>
      <c r="BC6" s="2"/>
    </row>
    <row r="7" spans="1:55" ht="16.5" customHeight="1" x14ac:dyDescent="0.3">
      <c r="A7" s="412" t="s">
        <v>217</v>
      </c>
      <c r="B7" s="412"/>
      <c r="C7" s="413" t="s">
        <v>218</v>
      </c>
      <c r="D7" s="413"/>
      <c r="E7" s="413"/>
      <c r="F7" s="413"/>
      <c r="G7" s="413"/>
      <c r="H7" s="228"/>
      <c r="I7" s="412" t="s">
        <v>217</v>
      </c>
      <c r="J7" s="412"/>
      <c r="K7" s="413" t="s">
        <v>218</v>
      </c>
      <c r="L7" s="413"/>
      <c r="M7" s="413"/>
      <c r="N7" s="413"/>
      <c r="O7" s="413"/>
      <c r="P7" s="243"/>
      <c r="Q7" s="412" t="s">
        <v>217</v>
      </c>
      <c r="R7" s="412"/>
      <c r="S7" s="413" t="s">
        <v>218</v>
      </c>
      <c r="T7" s="413"/>
      <c r="U7" s="413"/>
      <c r="V7" s="413"/>
      <c r="W7" s="413"/>
      <c r="X7" s="228"/>
      <c r="Y7" s="412" t="s">
        <v>217</v>
      </c>
      <c r="Z7" s="412"/>
      <c r="AA7" s="413" t="s">
        <v>218</v>
      </c>
      <c r="AB7" s="413"/>
      <c r="AC7" s="413"/>
      <c r="AD7" s="413"/>
      <c r="AE7" s="413"/>
      <c r="AF7" s="228"/>
      <c r="AG7" s="412" t="s">
        <v>217</v>
      </c>
      <c r="AH7" s="412"/>
      <c r="AI7" s="413" t="s">
        <v>218</v>
      </c>
      <c r="AJ7" s="413"/>
      <c r="AK7" s="413"/>
      <c r="AL7" s="413"/>
      <c r="AM7" s="413"/>
      <c r="AN7" s="228"/>
      <c r="AO7" s="412" t="s">
        <v>217</v>
      </c>
      <c r="AP7" s="412"/>
      <c r="AQ7" s="413" t="s">
        <v>218</v>
      </c>
      <c r="AR7" s="413"/>
      <c r="AS7" s="413"/>
      <c r="AT7" s="413"/>
      <c r="AU7" s="413"/>
      <c r="AV7" s="244"/>
      <c r="AW7" s="412" t="s">
        <v>217</v>
      </c>
      <c r="AX7" s="412"/>
      <c r="AY7" s="413" t="s">
        <v>218</v>
      </c>
      <c r="AZ7" s="413"/>
      <c r="BA7" s="413"/>
      <c r="BB7" s="413"/>
      <c r="BC7" s="413"/>
    </row>
    <row r="8" spans="1:55" ht="14.25" customHeight="1" x14ac:dyDescent="0.3">
      <c r="A8" s="412"/>
      <c r="B8" s="412"/>
      <c r="C8" s="413"/>
      <c r="D8" s="413"/>
      <c r="E8" s="413"/>
      <c r="F8" s="413"/>
      <c r="G8" s="413"/>
      <c r="H8" s="228"/>
      <c r="I8" s="412"/>
      <c r="J8" s="412"/>
      <c r="K8" s="413"/>
      <c r="L8" s="413"/>
      <c r="M8" s="413"/>
      <c r="N8" s="413"/>
      <c r="O8" s="413"/>
      <c r="P8" s="243"/>
      <c r="Q8" s="412"/>
      <c r="R8" s="412"/>
      <c r="S8" s="413"/>
      <c r="T8" s="413"/>
      <c r="U8" s="413"/>
      <c r="V8" s="413"/>
      <c r="W8" s="413"/>
      <c r="X8" s="228"/>
      <c r="Y8" s="412"/>
      <c r="Z8" s="412"/>
      <c r="AA8" s="413"/>
      <c r="AB8" s="413"/>
      <c r="AC8" s="413"/>
      <c r="AD8" s="413"/>
      <c r="AE8" s="413"/>
      <c r="AF8" s="228"/>
      <c r="AG8" s="412"/>
      <c r="AH8" s="412"/>
      <c r="AI8" s="413"/>
      <c r="AJ8" s="413"/>
      <c r="AK8" s="413"/>
      <c r="AL8" s="413"/>
      <c r="AM8" s="413"/>
      <c r="AN8" s="228"/>
      <c r="AO8" s="412"/>
      <c r="AP8" s="412"/>
      <c r="AQ8" s="413"/>
      <c r="AR8" s="413"/>
      <c r="AS8" s="413"/>
      <c r="AT8" s="413"/>
      <c r="AU8" s="413"/>
      <c r="AV8" s="244"/>
      <c r="AW8" s="412"/>
      <c r="AX8" s="412"/>
      <c r="AY8" s="413"/>
      <c r="AZ8" s="413"/>
      <c r="BA8" s="413"/>
      <c r="BB8" s="413"/>
      <c r="BC8" s="413"/>
    </row>
    <row r="9" spans="1:55" ht="14.25" customHeight="1" x14ac:dyDescent="0.3">
      <c r="A9" s="410" t="s">
        <v>10</v>
      </c>
      <c r="B9" s="410"/>
      <c r="C9" s="245">
        <v>0</v>
      </c>
      <c r="D9" s="246">
        <v>1000</v>
      </c>
      <c r="E9" s="246">
        <v>2000</v>
      </c>
      <c r="F9" s="247">
        <v>3000</v>
      </c>
      <c r="G9" s="247">
        <v>4000</v>
      </c>
      <c r="H9" s="243"/>
      <c r="I9" s="410" t="s">
        <v>10</v>
      </c>
      <c r="J9" s="410"/>
      <c r="K9" s="245">
        <v>0</v>
      </c>
      <c r="L9" s="246">
        <v>1000</v>
      </c>
      <c r="M9" s="246">
        <v>2000</v>
      </c>
      <c r="N9" s="247">
        <v>3000</v>
      </c>
      <c r="O9" s="247">
        <v>4000</v>
      </c>
      <c r="P9" s="243"/>
      <c r="Q9" s="410" t="s">
        <v>10</v>
      </c>
      <c r="R9" s="410"/>
      <c r="S9" s="245">
        <v>0</v>
      </c>
      <c r="T9" s="246">
        <v>1000</v>
      </c>
      <c r="U9" s="246">
        <v>2000</v>
      </c>
      <c r="V9" s="247">
        <v>3000</v>
      </c>
      <c r="W9" s="247">
        <v>4000</v>
      </c>
      <c r="X9" s="243"/>
      <c r="Y9" s="410" t="s">
        <v>10</v>
      </c>
      <c r="Z9" s="410"/>
      <c r="AA9" s="245">
        <v>0</v>
      </c>
      <c r="AB9" s="246">
        <v>1000</v>
      </c>
      <c r="AC9" s="246">
        <v>2000</v>
      </c>
      <c r="AD9" s="247">
        <v>3000</v>
      </c>
      <c r="AE9" s="247">
        <v>4000</v>
      </c>
      <c r="AF9" s="243"/>
      <c r="AG9" s="410" t="s">
        <v>10</v>
      </c>
      <c r="AH9" s="410"/>
      <c r="AI9" s="245">
        <v>0</v>
      </c>
      <c r="AJ9" s="246">
        <v>1000</v>
      </c>
      <c r="AK9" s="246">
        <v>2000</v>
      </c>
      <c r="AL9" s="247">
        <v>3000</v>
      </c>
      <c r="AM9" s="247">
        <v>4000</v>
      </c>
      <c r="AN9" s="243"/>
      <c r="AO9" s="410" t="s">
        <v>10</v>
      </c>
      <c r="AP9" s="410"/>
      <c r="AQ9" s="245">
        <v>0</v>
      </c>
      <c r="AR9" s="246">
        <v>1000</v>
      </c>
      <c r="AS9" s="246">
        <v>2000</v>
      </c>
      <c r="AT9" s="247">
        <v>3000</v>
      </c>
      <c r="AU9" s="247">
        <v>4000</v>
      </c>
      <c r="AV9" s="244"/>
      <c r="AW9" s="410" t="s">
        <v>10</v>
      </c>
      <c r="AX9" s="410"/>
      <c r="AY9" s="245">
        <v>0</v>
      </c>
      <c r="AZ9" s="246">
        <v>1000</v>
      </c>
      <c r="BA9" s="246">
        <v>2000</v>
      </c>
      <c r="BB9" s="247">
        <v>3000</v>
      </c>
      <c r="BC9" s="247">
        <v>4000</v>
      </c>
    </row>
    <row r="10" spans="1:55" ht="14.25" customHeight="1" x14ac:dyDescent="0.3">
      <c r="A10" s="411">
        <v>-30</v>
      </c>
      <c r="B10" s="411"/>
      <c r="C10" s="248">
        <v>4424</v>
      </c>
      <c r="D10" s="249">
        <v>4597</v>
      </c>
      <c r="E10" s="249">
        <v>4761</v>
      </c>
      <c r="F10" s="250">
        <v>4977</v>
      </c>
      <c r="G10" s="250">
        <v>99999</v>
      </c>
      <c r="H10" s="2"/>
      <c r="I10" s="411">
        <v>-30</v>
      </c>
      <c r="J10" s="411"/>
      <c r="K10" s="251">
        <v>4251</v>
      </c>
      <c r="L10" s="251">
        <v>4415</v>
      </c>
      <c r="M10" s="251">
        <v>4589</v>
      </c>
      <c r="N10" s="250">
        <v>4774</v>
      </c>
      <c r="O10" s="250">
        <v>99999</v>
      </c>
      <c r="P10" s="42"/>
      <c r="Q10" s="411">
        <v>-30</v>
      </c>
      <c r="R10" s="411"/>
      <c r="S10" s="251">
        <v>3977</v>
      </c>
      <c r="T10" s="251">
        <v>4125</v>
      </c>
      <c r="U10" s="251">
        <v>4282</v>
      </c>
      <c r="V10" s="250">
        <v>4449</v>
      </c>
      <c r="W10" s="250">
        <v>99999</v>
      </c>
      <c r="X10" s="2"/>
      <c r="Y10" s="411">
        <v>-30</v>
      </c>
      <c r="Z10" s="411"/>
      <c r="AA10" s="251">
        <v>3778</v>
      </c>
      <c r="AB10" s="251">
        <v>3914</v>
      </c>
      <c r="AC10" s="251">
        <v>4058</v>
      </c>
      <c r="AD10" s="250">
        <v>4211</v>
      </c>
      <c r="AE10" s="250">
        <v>99999</v>
      </c>
      <c r="AF10" s="2"/>
      <c r="AG10" s="411">
        <v>-30</v>
      </c>
      <c r="AH10" s="411"/>
      <c r="AI10" s="251">
        <v>3729</v>
      </c>
      <c r="AJ10" s="251">
        <v>3859</v>
      </c>
      <c r="AK10" s="251">
        <v>3998</v>
      </c>
      <c r="AL10" s="250">
        <v>4145</v>
      </c>
      <c r="AM10" s="250">
        <v>99999</v>
      </c>
      <c r="AN10" s="2"/>
      <c r="AO10" s="411">
        <v>-30</v>
      </c>
      <c r="AP10" s="411"/>
      <c r="AQ10" s="251">
        <v>3687</v>
      </c>
      <c r="AR10" s="251">
        <v>3813</v>
      </c>
      <c r="AS10" s="251">
        <v>3946</v>
      </c>
      <c r="AT10" s="250">
        <v>4086</v>
      </c>
      <c r="AU10" s="250">
        <v>99999</v>
      </c>
      <c r="AV10" s="252"/>
      <c r="AW10" s="408">
        <v>0</v>
      </c>
      <c r="AX10" s="408"/>
      <c r="AY10" s="251"/>
      <c r="AZ10" s="251"/>
      <c r="BA10" s="251"/>
      <c r="BB10" s="250"/>
      <c r="BC10" s="250">
        <v>99999</v>
      </c>
    </row>
    <row r="11" spans="1:55" ht="14.25" customHeight="1" x14ac:dyDescent="0.3">
      <c r="A11" s="408">
        <v>-25</v>
      </c>
      <c r="B11" s="408"/>
      <c r="C11" s="248">
        <v>4521</v>
      </c>
      <c r="D11" s="249">
        <v>4699</v>
      </c>
      <c r="E11" s="249">
        <v>4888</v>
      </c>
      <c r="F11" s="250">
        <v>5090</v>
      </c>
      <c r="G11" s="250">
        <v>99999</v>
      </c>
      <c r="H11" s="2"/>
      <c r="I11" s="408">
        <v>-25</v>
      </c>
      <c r="J11" s="408"/>
      <c r="K11" s="251">
        <v>4343</v>
      </c>
      <c r="L11" s="251">
        <v>4512</v>
      </c>
      <c r="M11" s="251">
        <v>4691</v>
      </c>
      <c r="N11" s="250">
        <v>4881</v>
      </c>
      <c r="O11" s="250">
        <v>99999</v>
      </c>
      <c r="P11" s="42"/>
      <c r="Q11" s="408">
        <v>-25</v>
      </c>
      <c r="R11" s="408"/>
      <c r="S11" s="251">
        <v>4059</v>
      </c>
      <c r="T11" s="251">
        <v>4212</v>
      </c>
      <c r="U11" s="251">
        <v>4373</v>
      </c>
      <c r="V11" s="250">
        <v>4546</v>
      </c>
      <c r="W11" s="250">
        <v>99999</v>
      </c>
      <c r="X11" s="2"/>
      <c r="Y11" s="408">
        <v>-25</v>
      </c>
      <c r="Z11" s="408"/>
      <c r="AA11" s="251">
        <v>3854</v>
      </c>
      <c r="AB11" s="251">
        <v>3994</v>
      </c>
      <c r="AC11" s="251">
        <v>4142</v>
      </c>
      <c r="AD11" s="250">
        <v>4300</v>
      </c>
      <c r="AE11" s="250">
        <v>99999</v>
      </c>
      <c r="AF11" s="2"/>
      <c r="AG11" s="408">
        <v>-25</v>
      </c>
      <c r="AH11" s="408"/>
      <c r="AI11" s="251">
        <v>3801</v>
      </c>
      <c r="AJ11" s="251">
        <v>3936</v>
      </c>
      <c r="AK11" s="251">
        <v>4078</v>
      </c>
      <c r="AL11" s="250">
        <v>4230</v>
      </c>
      <c r="AM11" s="250">
        <v>99999</v>
      </c>
      <c r="AN11" s="2"/>
      <c r="AO11" s="408">
        <v>-25</v>
      </c>
      <c r="AP11" s="408"/>
      <c r="AQ11" s="251">
        <v>3758</v>
      </c>
      <c r="AR11" s="251">
        <v>3887</v>
      </c>
      <c r="AS11" s="251">
        <v>4023</v>
      </c>
      <c r="AT11" s="250">
        <v>4168</v>
      </c>
      <c r="AU11" s="250">
        <v>99999</v>
      </c>
      <c r="AV11" s="252"/>
      <c r="AW11" s="408">
        <v>10</v>
      </c>
      <c r="AX11" s="408"/>
      <c r="AY11" s="251"/>
      <c r="AZ11" s="251"/>
      <c r="BA11" s="251"/>
      <c r="BB11" s="250"/>
      <c r="BC11" s="250">
        <v>99999</v>
      </c>
    </row>
    <row r="12" spans="1:55" ht="14.25" customHeight="1" x14ac:dyDescent="0.3">
      <c r="A12" s="408">
        <v>-20</v>
      </c>
      <c r="B12" s="408"/>
      <c r="C12" s="248">
        <v>4618</v>
      </c>
      <c r="D12" s="249">
        <v>4802</v>
      </c>
      <c r="E12" s="249">
        <v>4997</v>
      </c>
      <c r="F12" s="250">
        <v>5205</v>
      </c>
      <c r="G12" s="250">
        <v>99999</v>
      </c>
      <c r="H12" s="2"/>
      <c r="I12" s="408">
        <v>-20</v>
      </c>
      <c r="J12" s="408"/>
      <c r="K12" s="251">
        <v>4435</v>
      </c>
      <c r="L12" s="251">
        <v>4609</v>
      </c>
      <c r="M12" s="251">
        <v>4793</v>
      </c>
      <c r="N12" s="250">
        <v>4989</v>
      </c>
      <c r="O12" s="250">
        <v>99999</v>
      </c>
      <c r="P12" s="42"/>
      <c r="Q12" s="408">
        <v>-20</v>
      </c>
      <c r="R12" s="408"/>
      <c r="S12" s="251">
        <v>4142</v>
      </c>
      <c r="T12" s="251">
        <v>4299</v>
      </c>
      <c r="U12" s="251">
        <v>4466</v>
      </c>
      <c r="V12" s="250">
        <v>4644</v>
      </c>
      <c r="W12" s="250">
        <v>99999</v>
      </c>
      <c r="X12" s="2"/>
      <c r="Y12" s="408">
        <v>-20</v>
      </c>
      <c r="Z12" s="408"/>
      <c r="AA12" s="251">
        <v>3929</v>
      </c>
      <c r="AB12" s="251">
        <v>4074</v>
      </c>
      <c r="AC12" s="251">
        <v>4227</v>
      </c>
      <c r="AD12" s="250">
        <v>4389</v>
      </c>
      <c r="AE12" s="250">
        <v>99999</v>
      </c>
      <c r="AF12" s="2"/>
      <c r="AG12" s="408">
        <v>-20</v>
      </c>
      <c r="AH12" s="408"/>
      <c r="AI12" s="251">
        <v>3875</v>
      </c>
      <c r="AJ12" s="251">
        <v>4013</v>
      </c>
      <c r="AK12" s="251">
        <v>4160</v>
      </c>
      <c r="AL12" s="250">
        <v>4316</v>
      </c>
      <c r="AM12" s="250">
        <v>99999</v>
      </c>
      <c r="AN12" s="2"/>
      <c r="AO12" s="408">
        <v>-20</v>
      </c>
      <c r="AP12" s="408"/>
      <c r="AQ12" s="251">
        <v>3828</v>
      </c>
      <c r="AR12" s="251">
        <v>3961</v>
      </c>
      <c r="AS12" s="251">
        <v>4101</v>
      </c>
      <c r="AT12" s="250">
        <v>4250</v>
      </c>
      <c r="AU12" s="250">
        <v>99999</v>
      </c>
      <c r="AV12" s="252"/>
      <c r="AW12" s="253"/>
      <c r="AX12" s="254"/>
      <c r="AY12" s="251"/>
      <c r="AZ12" s="251"/>
      <c r="BA12" s="251"/>
      <c r="BB12" s="250"/>
      <c r="BC12" s="250">
        <v>99999</v>
      </c>
    </row>
    <row r="13" spans="1:55" ht="14.25" customHeight="1" x14ac:dyDescent="0.3">
      <c r="A13" s="408">
        <v>-15</v>
      </c>
      <c r="B13" s="408"/>
      <c r="C13" s="248">
        <v>4716</v>
      </c>
      <c r="D13" s="249">
        <v>4905</v>
      </c>
      <c r="E13" s="249">
        <v>5106</v>
      </c>
      <c r="F13" s="250">
        <v>5321</v>
      </c>
      <c r="G13" s="250">
        <v>99999</v>
      </c>
      <c r="H13" s="2"/>
      <c r="I13" s="408">
        <v>-15</v>
      </c>
      <c r="J13" s="408"/>
      <c r="K13" s="251">
        <v>4528</v>
      </c>
      <c r="L13" s="251">
        <v>4706</v>
      </c>
      <c r="M13" s="251">
        <v>4896</v>
      </c>
      <c r="N13" s="250">
        <v>5098</v>
      </c>
      <c r="O13" s="250">
        <v>99999</v>
      </c>
      <c r="P13" s="42"/>
      <c r="Q13" s="408">
        <v>-15</v>
      </c>
      <c r="R13" s="408"/>
      <c r="S13" s="251">
        <v>4226</v>
      </c>
      <c r="T13" s="251">
        <v>4388</v>
      </c>
      <c r="U13" s="251">
        <v>4559</v>
      </c>
      <c r="V13" s="250">
        <v>4743</v>
      </c>
      <c r="W13" s="250">
        <v>99999</v>
      </c>
      <c r="X13" s="2"/>
      <c r="Y13" s="408">
        <v>-15</v>
      </c>
      <c r="Z13" s="408"/>
      <c r="AA13" s="251">
        <v>4007</v>
      </c>
      <c r="AB13" s="251">
        <v>4155</v>
      </c>
      <c r="AC13" s="251">
        <v>4312</v>
      </c>
      <c r="AD13" s="250">
        <v>4480</v>
      </c>
      <c r="AE13" s="250">
        <v>99999</v>
      </c>
      <c r="AF13" s="2"/>
      <c r="AG13" s="408">
        <v>-15</v>
      </c>
      <c r="AH13" s="408"/>
      <c r="AI13" s="251">
        <v>3949</v>
      </c>
      <c r="AJ13" s="251">
        <v>4091</v>
      </c>
      <c r="AK13" s="251">
        <v>4242</v>
      </c>
      <c r="AL13" s="250">
        <v>4403</v>
      </c>
      <c r="AM13" s="250">
        <v>99999</v>
      </c>
      <c r="AN13" s="2"/>
      <c r="AO13" s="408">
        <v>-15</v>
      </c>
      <c r="AP13" s="408"/>
      <c r="AQ13" s="251">
        <v>3899</v>
      </c>
      <c r="AR13" s="251">
        <v>4035</v>
      </c>
      <c r="AS13" s="251">
        <v>4180</v>
      </c>
      <c r="AT13" s="250">
        <v>4333</v>
      </c>
      <c r="AU13" s="250">
        <v>99999</v>
      </c>
      <c r="AV13" s="252"/>
      <c r="AW13" s="253"/>
      <c r="AX13" s="254"/>
      <c r="AY13" s="251"/>
      <c r="AZ13" s="251"/>
      <c r="BA13" s="251"/>
      <c r="BB13" s="250"/>
      <c r="BC13" s="250">
        <v>99999</v>
      </c>
    </row>
    <row r="14" spans="1:55" ht="14.25" customHeight="1" x14ac:dyDescent="0.3">
      <c r="A14" s="408">
        <v>-10</v>
      </c>
      <c r="B14" s="408"/>
      <c r="C14" s="248">
        <v>4815</v>
      </c>
      <c r="D14" s="249">
        <v>5010</v>
      </c>
      <c r="E14" s="249">
        <v>5217</v>
      </c>
      <c r="F14" s="250">
        <v>5438</v>
      </c>
      <c r="G14" s="250">
        <v>99999</v>
      </c>
      <c r="H14" s="2"/>
      <c r="I14" s="408">
        <v>-10</v>
      </c>
      <c r="J14" s="408"/>
      <c r="K14" s="251">
        <v>4621</v>
      </c>
      <c r="L14" s="251">
        <v>4805</v>
      </c>
      <c r="M14" s="251">
        <v>5000</v>
      </c>
      <c r="N14" s="250">
        <v>5209</v>
      </c>
      <c r="O14" s="250">
        <v>99999</v>
      </c>
      <c r="P14" s="42"/>
      <c r="Q14" s="408">
        <v>-10</v>
      </c>
      <c r="R14" s="408"/>
      <c r="S14" s="251">
        <v>4311</v>
      </c>
      <c r="T14" s="251">
        <v>4477</v>
      </c>
      <c r="U14" s="251">
        <v>4654</v>
      </c>
      <c r="V14" s="250">
        <v>4842</v>
      </c>
      <c r="W14" s="250">
        <v>99999</v>
      </c>
      <c r="X14" s="2"/>
      <c r="Y14" s="408">
        <v>-10</v>
      </c>
      <c r="Z14" s="408"/>
      <c r="AA14" s="251">
        <v>4085</v>
      </c>
      <c r="AB14" s="251">
        <v>4237</v>
      </c>
      <c r="AC14" s="251">
        <v>4399</v>
      </c>
      <c r="AD14" s="250">
        <v>4571</v>
      </c>
      <c r="AE14" s="250">
        <v>99999</v>
      </c>
      <c r="AF14" s="2"/>
      <c r="AG14" s="408">
        <v>-10</v>
      </c>
      <c r="AH14" s="408"/>
      <c r="AI14" s="251">
        <v>4023</v>
      </c>
      <c r="AJ14" s="251">
        <v>4170</v>
      </c>
      <c r="AK14" s="251">
        <v>4325</v>
      </c>
      <c r="AL14" s="250">
        <v>4490</v>
      </c>
      <c r="AM14" s="250">
        <v>99999</v>
      </c>
      <c r="AN14" s="2"/>
      <c r="AO14" s="408">
        <v>-10</v>
      </c>
      <c r="AP14" s="408"/>
      <c r="AQ14" s="251">
        <v>3971</v>
      </c>
      <c r="AR14" s="251">
        <v>4111</v>
      </c>
      <c r="AS14" s="251">
        <v>4259</v>
      </c>
      <c r="AT14" s="250">
        <v>4417</v>
      </c>
      <c r="AU14" s="250">
        <v>99999</v>
      </c>
      <c r="AV14" s="252"/>
      <c r="AW14" s="253"/>
      <c r="AX14" s="254"/>
      <c r="AY14" s="251"/>
      <c r="AZ14" s="251"/>
      <c r="BA14" s="251"/>
      <c r="BB14" s="250"/>
      <c r="BC14" s="250">
        <v>99999</v>
      </c>
    </row>
    <row r="15" spans="1:55" ht="14.25" customHeight="1" x14ac:dyDescent="0.3">
      <c r="A15" s="408">
        <v>-5</v>
      </c>
      <c r="B15" s="408"/>
      <c r="C15" s="248">
        <v>4915</v>
      </c>
      <c r="D15" s="249">
        <v>5115</v>
      </c>
      <c r="E15" s="249">
        <v>5329</v>
      </c>
      <c r="F15" s="250">
        <v>5588</v>
      </c>
      <c r="G15" s="250">
        <v>99999</v>
      </c>
      <c r="H15" s="2"/>
      <c r="I15" s="408">
        <v>-5</v>
      </c>
      <c r="J15" s="408"/>
      <c r="K15" s="251">
        <v>4716</v>
      </c>
      <c r="L15" s="251">
        <v>4905</v>
      </c>
      <c r="M15" s="251">
        <v>5106</v>
      </c>
      <c r="N15" s="250">
        <v>5321</v>
      </c>
      <c r="O15" s="250">
        <v>99999</v>
      </c>
      <c r="P15" s="42"/>
      <c r="Q15" s="408">
        <v>-5</v>
      </c>
      <c r="R15" s="408"/>
      <c r="S15" s="251">
        <v>4396</v>
      </c>
      <c r="T15" s="251">
        <v>4567</v>
      </c>
      <c r="U15" s="251">
        <v>4749</v>
      </c>
      <c r="V15" s="250">
        <v>4943</v>
      </c>
      <c r="W15" s="250">
        <v>99999</v>
      </c>
      <c r="X15" s="2"/>
      <c r="Y15" s="408">
        <v>-5</v>
      </c>
      <c r="Z15" s="408"/>
      <c r="AA15" s="251">
        <v>4163</v>
      </c>
      <c r="AB15" s="251">
        <v>4320</v>
      </c>
      <c r="AC15" s="251">
        <v>4486</v>
      </c>
      <c r="AD15" s="250">
        <v>4664</v>
      </c>
      <c r="AE15" s="250">
        <v>99999</v>
      </c>
      <c r="AF15" s="2"/>
      <c r="AG15" s="408">
        <v>-5</v>
      </c>
      <c r="AH15" s="408"/>
      <c r="AI15" s="251">
        <v>4099</v>
      </c>
      <c r="AJ15" s="251">
        <v>4249</v>
      </c>
      <c r="AK15" s="251">
        <v>4409</v>
      </c>
      <c r="AL15" s="250">
        <v>4578</v>
      </c>
      <c r="AM15" s="250">
        <v>99999</v>
      </c>
      <c r="AN15" s="2"/>
      <c r="AO15" s="408">
        <v>-5</v>
      </c>
      <c r="AP15" s="408"/>
      <c r="AQ15" s="251">
        <v>4043</v>
      </c>
      <c r="AR15" s="251">
        <v>4186</v>
      </c>
      <c r="AS15" s="251">
        <v>4339</v>
      </c>
      <c r="AT15" s="250">
        <v>4501</v>
      </c>
      <c r="AU15" s="250">
        <v>99999</v>
      </c>
      <c r="AV15" s="252"/>
      <c r="AW15" s="253"/>
      <c r="AX15" s="254"/>
      <c r="AY15" s="251"/>
      <c r="AZ15" s="251"/>
      <c r="BA15" s="251"/>
      <c r="BB15" s="250"/>
      <c r="BC15" s="250">
        <v>99999</v>
      </c>
    </row>
    <row r="16" spans="1:55" ht="14.25" customHeight="1" x14ac:dyDescent="0.3">
      <c r="A16" s="408">
        <v>0</v>
      </c>
      <c r="B16" s="408"/>
      <c r="C16" s="248">
        <v>5016</v>
      </c>
      <c r="D16" s="249">
        <v>5222</v>
      </c>
      <c r="E16" s="249">
        <v>5442</v>
      </c>
      <c r="F16" s="250">
        <v>5744</v>
      </c>
      <c r="G16" s="250">
        <v>99999</v>
      </c>
      <c r="H16" s="2"/>
      <c r="I16" s="408">
        <v>0</v>
      </c>
      <c r="J16" s="408"/>
      <c r="K16" s="251">
        <v>4811</v>
      </c>
      <c r="L16" s="251">
        <v>5006</v>
      </c>
      <c r="M16" s="251">
        <v>5213</v>
      </c>
      <c r="N16" s="250">
        <v>5434</v>
      </c>
      <c r="O16" s="250">
        <v>99999</v>
      </c>
      <c r="P16" s="42"/>
      <c r="Q16" s="408">
        <v>0</v>
      </c>
      <c r="R16" s="408"/>
      <c r="S16" s="251">
        <v>4483</v>
      </c>
      <c r="T16" s="251">
        <v>4658</v>
      </c>
      <c r="U16" s="251">
        <v>4846</v>
      </c>
      <c r="V16" s="250">
        <v>5045</v>
      </c>
      <c r="W16" s="250">
        <v>99999</v>
      </c>
      <c r="X16" s="2"/>
      <c r="Y16" s="408">
        <v>0</v>
      </c>
      <c r="Z16" s="408"/>
      <c r="AA16" s="251">
        <v>4242</v>
      </c>
      <c r="AB16" s="251">
        <v>4403</v>
      </c>
      <c r="AC16" s="251">
        <v>4574</v>
      </c>
      <c r="AD16" s="250">
        <v>4757</v>
      </c>
      <c r="AE16" s="250">
        <v>99999</v>
      </c>
      <c r="AF16" s="2"/>
      <c r="AG16" s="408">
        <v>0</v>
      </c>
      <c r="AH16" s="408"/>
      <c r="AI16" s="251">
        <v>4174</v>
      </c>
      <c r="AJ16" s="251">
        <v>4329</v>
      </c>
      <c r="AK16" s="251">
        <v>4493</v>
      </c>
      <c r="AL16" s="250">
        <v>4667</v>
      </c>
      <c r="AM16" s="250">
        <v>99999</v>
      </c>
      <c r="AN16" s="2"/>
      <c r="AO16" s="408">
        <v>0</v>
      </c>
      <c r="AP16" s="408"/>
      <c r="AQ16" s="251">
        <v>4115</v>
      </c>
      <c r="AR16" s="251">
        <v>4263</v>
      </c>
      <c r="AS16" s="251">
        <v>4419</v>
      </c>
      <c r="AT16" s="250">
        <v>4586</v>
      </c>
      <c r="AU16" s="250">
        <v>99999</v>
      </c>
      <c r="AV16" s="252"/>
      <c r="AW16" s="253"/>
      <c r="AX16" s="254"/>
      <c r="AY16" s="251"/>
      <c r="AZ16" s="251"/>
      <c r="BA16" s="251"/>
      <c r="BB16" s="250"/>
      <c r="BC16" s="250">
        <v>99999</v>
      </c>
    </row>
    <row r="17" spans="1:55" ht="14.25" customHeight="1" x14ac:dyDescent="0.3">
      <c r="A17" s="408">
        <v>5</v>
      </c>
      <c r="B17" s="408"/>
      <c r="C17" s="248">
        <v>5118</v>
      </c>
      <c r="D17" s="249">
        <v>5330</v>
      </c>
      <c r="E17" s="249">
        <v>5586</v>
      </c>
      <c r="F17" s="250">
        <v>5902</v>
      </c>
      <c r="G17" s="250">
        <v>99999</v>
      </c>
      <c r="H17" s="2"/>
      <c r="I17" s="408">
        <v>5</v>
      </c>
      <c r="J17" s="408"/>
      <c r="K17" s="251">
        <v>4907</v>
      </c>
      <c r="L17" s="251">
        <v>5107</v>
      </c>
      <c r="M17" s="251">
        <v>5320</v>
      </c>
      <c r="N17" s="250">
        <v>5548</v>
      </c>
      <c r="O17" s="250">
        <v>99999</v>
      </c>
      <c r="P17" s="42"/>
      <c r="Q17" s="408">
        <v>5</v>
      </c>
      <c r="R17" s="408"/>
      <c r="S17" s="251">
        <v>4569</v>
      </c>
      <c r="T17" s="251">
        <v>4750</v>
      </c>
      <c r="U17" s="251">
        <v>4943</v>
      </c>
      <c r="V17" s="250">
        <v>5148</v>
      </c>
      <c r="W17" s="250">
        <v>99999</v>
      </c>
      <c r="X17" s="2"/>
      <c r="Y17" s="408">
        <v>5</v>
      </c>
      <c r="Z17" s="408"/>
      <c r="AA17" s="251">
        <v>4322</v>
      </c>
      <c r="AB17" s="251">
        <v>4487</v>
      </c>
      <c r="AC17" s="251">
        <v>4663</v>
      </c>
      <c r="AD17" s="250">
        <v>4851</v>
      </c>
      <c r="AE17" s="250">
        <v>99999</v>
      </c>
      <c r="AF17" s="2"/>
      <c r="AG17" s="408">
        <v>5</v>
      </c>
      <c r="AH17" s="408"/>
      <c r="AI17" s="251">
        <v>4251</v>
      </c>
      <c r="AJ17" s="251">
        <v>4410</v>
      </c>
      <c r="AK17" s="251">
        <v>4578</v>
      </c>
      <c r="AL17" s="250">
        <v>4757</v>
      </c>
      <c r="AM17" s="250">
        <v>99999</v>
      </c>
      <c r="AN17" s="2"/>
      <c r="AO17" s="408">
        <v>5</v>
      </c>
      <c r="AP17" s="408"/>
      <c r="AQ17" s="251">
        <v>4188</v>
      </c>
      <c r="AR17" s="251">
        <v>4340</v>
      </c>
      <c r="AS17" s="251">
        <v>4501</v>
      </c>
      <c r="AT17" s="250">
        <v>4672</v>
      </c>
      <c r="AU17" s="250">
        <v>99999</v>
      </c>
      <c r="AV17" s="252"/>
      <c r="AW17" s="253"/>
      <c r="AX17" s="254"/>
      <c r="AY17" s="251"/>
      <c r="AZ17" s="251"/>
      <c r="BA17" s="251"/>
      <c r="BB17" s="250"/>
      <c r="BC17" s="250">
        <v>99999</v>
      </c>
    </row>
    <row r="18" spans="1:55" ht="14.25" customHeight="1" x14ac:dyDescent="0.3">
      <c r="A18" s="408">
        <v>10</v>
      </c>
      <c r="B18" s="408"/>
      <c r="C18" s="248">
        <v>5221</v>
      </c>
      <c r="D18" s="249">
        <v>5439</v>
      </c>
      <c r="E18" s="249">
        <v>5736</v>
      </c>
      <c r="F18" s="250">
        <v>6063</v>
      </c>
      <c r="G18" s="250">
        <v>99999</v>
      </c>
      <c r="H18" s="2"/>
      <c r="I18" s="408">
        <v>10</v>
      </c>
      <c r="J18" s="408"/>
      <c r="K18" s="251">
        <v>5005</v>
      </c>
      <c r="L18" s="251">
        <v>5210</v>
      </c>
      <c r="M18" s="251">
        <v>5429</v>
      </c>
      <c r="N18" s="250">
        <v>5663</v>
      </c>
      <c r="O18" s="250">
        <v>99999</v>
      </c>
      <c r="P18" s="42"/>
      <c r="Q18" s="408">
        <v>10</v>
      </c>
      <c r="R18" s="408"/>
      <c r="S18" s="251">
        <v>4658</v>
      </c>
      <c r="T18" s="251">
        <v>4843</v>
      </c>
      <c r="U18" s="251">
        <v>5041</v>
      </c>
      <c r="V18" s="250">
        <v>5252</v>
      </c>
      <c r="W18" s="250">
        <v>99999</v>
      </c>
      <c r="X18" s="2"/>
      <c r="Y18" s="408">
        <v>10</v>
      </c>
      <c r="Z18" s="408"/>
      <c r="AA18" s="251">
        <v>4402</v>
      </c>
      <c r="AB18" s="251">
        <v>4572</v>
      </c>
      <c r="AC18" s="251">
        <v>4753</v>
      </c>
      <c r="AD18" s="250">
        <v>4946</v>
      </c>
      <c r="AE18" s="250">
        <v>99999</v>
      </c>
      <c r="AF18" s="2"/>
      <c r="AG18" s="408">
        <v>10</v>
      </c>
      <c r="AH18" s="408"/>
      <c r="AI18" s="251">
        <v>4328</v>
      </c>
      <c r="AJ18" s="251">
        <v>4491</v>
      </c>
      <c r="AK18" s="251">
        <v>4664</v>
      </c>
      <c r="AL18" s="250">
        <v>4848</v>
      </c>
      <c r="AM18" s="250">
        <v>99999</v>
      </c>
      <c r="AN18" s="2"/>
      <c r="AO18" s="408">
        <v>10</v>
      </c>
      <c r="AP18" s="408"/>
      <c r="AQ18" s="251">
        <v>4262</v>
      </c>
      <c r="AR18" s="251">
        <v>4418</v>
      </c>
      <c r="AS18" s="251">
        <v>4583</v>
      </c>
      <c r="AT18" s="250">
        <v>4758</v>
      </c>
      <c r="AU18" s="250">
        <v>99999</v>
      </c>
      <c r="AV18" s="252"/>
      <c r="AW18" s="253"/>
      <c r="AX18" s="254"/>
      <c r="AY18" s="251"/>
      <c r="AZ18" s="251"/>
      <c r="BA18" s="251"/>
      <c r="BB18" s="250"/>
      <c r="BC18" s="250">
        <v>99999</v>
      </c>
    </row>
    <row r="19" spans="1:55" ht="14.25" customHeight="1" x14ac:dyDescent="0.3">
      <c r="A19" s="408">
        <v>15</v>
      </c>
      <c r="B19" s="408"/>
      <c r="C19" s="248">
        <v>5325</v>
      </c>
      <c r="D19" s="249">
        <v>5576</v>
      </c>
      <c r="E19" s="249">
        <v>5888</v>
      </c>
      <c r="F19" s="250">
        <v>6219</v>
      </c>
      <c r="G19" s="250">
        <v>99999</v>
      </c>
      <c r="H19" s="2"/>
      <c r="I19" s="408">
        <v>15</v>
      </c>
      <c r="J19" s="408"/>
      <c r="K19" s="251">
        <v>5103</v>
      </c>
      <c r="L19" s="251">
        <v>5314</v>
      </c>
      <c r="M19" s="251">
        <v>5539</v>
      </c>
      <c r="N19" s="250">
        <v>5780</v>
      </c>
      <c r="O19" s="250">
        <v>99999</v>
      </c>
      <c r="P19" s="42"/>
      <c r="Q19" s="408">
        <v>15</v>
      </c>
      <c r="R19" s="408"/>
      <c r="S19" s="251">
        <v>4746</v>
      </c>
      <c r="T19" s="251">
        <v>4937</v>
      </c>
      <c r="U19" s="251">
        <v>5140</v>
      </c>
      <c r="V19" s="250">
        <v>5357</v>
      </c>
      <c r="W19" s="250">
        <v>99999</v>
      </c>
      <c r="X19" s="2"/>
      <c r="Y19" s="408">
        <v>15</v>
      </c>
      <c r="Z19" s="408"/>
      <c r="AA19" s="251">
        <v>4484</v>
      </c>
      <c r="AB19" s="251">
        <v>4658</v>
      </c>
      <c r="AC19" s="251">
        <v>4844</v>
      </c>
      <c r="AD19" s="250">
        <v>5042</v>
      </c>
      <c r="AE19" s="250">
        <v>99999</v>
      </c>
      <c r="AF19" s="2"/>
      <c r="AG19" s="408">
        <v>15</v>
      </c>
      <c r="AH19" s="408"/>
      <c r="AI19" s="251">
        <v>4406</v>
      </c>
      <c r="AJ19" s="251">
        <v>4573</v>
      </c>
      <c r="AK19" s="251">
        <v>4750</v>
      </c>
      <c r="AL19" s="250">
        <v>4940</v>
      </c>
      <c r="AM19" s="250">
        <v>99999</v>
      </c>
      <c r="AN19" s="2"/>
      <c r="AO19" s="408">
        <v>15</v>
      </c>
      <c r="AP19" s="408"/>
      <c r="AQ19" s="251">
        <v>4337</v>
      </c>
      <c r="AR19" s="251">
        <v>4496</v>
      </c>
      <c r="AS19" s="251">
        <v>4665</v>
      </c>
      <c r="AT19" s="250">
        <v>4846</v>
      </c>
      <c r="AU19" s="250">
        <v>99999</v>
      </c>
      <c r="AV19" s="252"/>
      <c r="AW19" s="253"/>
      <c r="AX19" s="254"/>
      <c r="AY19" s="251"/>
      <c r="AZ19" s="251"/>
      <c r="BA19" s="251"/>
      <c r="BB19" s="250"/>
      <c r="BC19" s="250">
        <v>99999</v>
      </c>
    </row>
    <row r="20" spans="1:55" ht="14.25" customHeight="1" x14ac:dyDescent="0.3">
      <c r="A20" s="408">
        <v>20</v>
      </c>
      <c r="B20" s="408"/>
      <c r="C20" s="248">
        <v>5431</v>
      </c>
      <c r="D20" s="249">
        <v>5720</v>
      </c>
      <c r="E20" s="249">
        <v>6043</v>
      </c>
      <c r="F20" s="250">
        <v>6399</v>
      </c>
      <c r="G20" s="250">
        <v>99999</v>
      </c>
      <c r="H20" s="2"/>
      <c r="I20" s="408">
        <v>20</v>
      </c>
      <c r="J20" s="408"/>
      <c r="K20" s="251">
        <v>5202</v>
      </c>
      <c r="L20" s="251">
        <v>5419</v>
      </c>
      <c r="M20" s="251">
        <v>5650</v>
      </c>
      <c r="N20" s="250">
        <v>5921</v>
      </c>
      <c r="O20" s="250">
        <v>99999</v>
      </c>
      <c r="P20" s="42"/>
      <c r="Q20" s="408">
        <v>20</v>
      </c>
      <c r="R20" s="408"/>
      <c r="S20" s="251">
        <v>4836</v>
      </c>
      <c r="T20" s="251">
        <v>5032</v>
      </c>
      <c r="U20" s="251">
        <v>5240</v>
      </c>
      <c r="V20" s="250">
        <v>5463</v>
      </c>
      <c r="W20" s="250">
        <v>99999</v>
      </c>
      <c r="X20" s="2"/>
      <c r="Y20" s="408">
        <v>20</v>
      </c>
      <c r="Z20" s="408"/>
      <c r="AA20" s="251">
        <v>4565</v>
      </c>
      <c r="AB20" s="251">
        <v>4745</v>
      </c>
      <c r="AC20" s="251">
        <v>4936</v>
      </c>
      <c r="AD20" s="250">
        <v>5139</v>
      </c>
      <c r="AE20" s="250">
        <v>99999</v>
      </c>
      <c r="AF20" s="2"/>
      <c r="AG20" s="408">
        <v>20</v>
      </c>
      <c r="AH20" s="408"/>
      <c r="AI20" s="251">
        <v>4484</v>
      </c>
      <c r="AJ20" s="251">
        <v>4656</v>
      </c>
      <c r="AK20" s="251">
        <v>4838</v>
      </c>
      <c r="AL20" s="250">
        <v>5032</v>
      </c>
      <c r="AM20" s="250">
        <v>99999</v>
      </c>
      <c r="AN20" s="2"/>
      <c r="AO20" s="408">
        <v>20</v>
      </c>
      <c r="AP20" s="408"/>
      <c r="AQ20" s="251">
        <v>4411</v>
      </c>
      <c r="AR20" s="251">
        <v>4575</v>
      </c>
      <c r="AS20" s="251">
        <v>4749</v>
      </c>
      <c r="AT20" s="250">
        <v>4934</v>
      </c>
      <c r="AU20" s="250">
        <v>99999</v>
      </c>
      <c r="AV20" s="252"/>
      <c r="AW20" s="408">
        <v>20</v>
      </c>
      <c r="AX20" s="408"/>
      <c r="AY20" s="251"/>
      <c r="AZ20" s="251"/>
      <c r="BA20" s="251"/>
      <c r="BB20" s="250"/>
      <c r="BC20" s="250">
        <v>99999</v>
      </c>
    </row>
    <row r="21" spans="1:55" ht="14.25" customHeight="1" x14ac:dyDescent="0.3">
      <c r="A21" s="408">
        <v>25</v>
      </c>
      <c r="B21" s="408"/>
      <c r="C21" s="248">
        <v>5559</v>
      </c>
      <c r="D21" s="249">
        <v>5867</v>
      </c>
      <c r="E21" s="249">
        <v>6191</v>
      </c>
      <c r="F21" s="250">
        <v>6578</v>
      </c>
      <c r="G21" s="250">
        <v>99999</v>
      </c>
      <c r="H21" s="2"/>
      <c r="I21" s="408">
        <v>25</v>
      </c>
      <c r="J21" s="408"/>
      <c r="K21" s="251">
        <v>5302</v>
      </c>
      <c r="L21" s="251">
        <v>5524</v>
      </c>
      <c r="M21" s="251">
        <v>5763</v>
      </c>
      <c r="N21" s="250">
        <v>6090</v>
      </c>
      <c r="O21" s="250">
        <v>99999</v>
      </c>
      <c r="P21" s="42"/>
      <c r="Q21" s="408">
        <v>25</v>
      </c>
      <c r="R21" s="408"/>
      <c r="S21" s="251">
        <v>4926</v>
      </c>
      <c r="T21" s="251">
        <v>5127</v>
      </c>
      <c r="U21" s="251">
        <v>5341</v>
      </c>
      <c r="V21" s="250">
        <v>5574</v>
      </c>
      <c r="W21" s="250">
        <v>99999</v>
      </c>
      <c r="X21" s="2"/>
      <c r="Y21" s="408">
        <v>25</v>
      </c>
      <c r="Z21" s="408"/>
      <c r="AA21" s="251">
        <v>4648</v>
      </c>
      <c r="AB21" s="251">
        <v>4832</v>
      </c>
      <c r="AC21" s="251">
        <v>5028</v>
      </c>
      <c r="AD21" s="250">
        <v>5240</v>
      </c>
      <c r="AE21" s="250">
        <v>99999</v>
      </c>
      <c r="AF21" s="2"/>
      <c r="AG21" s="408">
        <v>25</v>
      </c>
      <c r="AH21" s="408"/>
      <c r="AI21" s="251">
        <v>4563</v>
      </c>
      <c r="AJ21" s="251">
        <v>4739</v>
      </c>
      <c r="AK21" s="251">
        <v>4926</v>
      </c>
      <c r="AL21" s="250">
        <v>5127</v>
      </c>
      <c r="AM21" s="250">
        <v>99999</v>
      </c>
      <c r="AN21" s="2"/>
      <c r="AO21" s="408">
        <v>25</v>
      </c>
      <c r="AP21" s="408"/>
      <c r="AQ21" s="251">
        <v>4487</v>
      </c>
      <c r="AR21" s="251">
        <v>4655</v>
      </c>
      <c r="AS21" s="251">
        <v>4833</v>
      </c>
      <c r="AT21" s="250">
        <v>5025</v>
      </c>
      <c r="AU21" s="250">
        <v>99999</v>
      </c>
      <c r="AV21" s="252"/>
      <c r="AW21" s="253"/>
      <c r="AX21" s="254"/>
      <c r="AY21" s="251"/>
      <c r="AZ21" s="251"/>
      <c r="BA21" s="251"/>
      <c r="BB21" s="250"/>
      <c r="BC21" s="250">
        <v>99999</v>
      </c>
    </row>
    <row r="22" spans="1:55" ht="14.25" customHeight="1" x14ac:dyDescent="0.3">
      <c r="A22" s="408">
        <v>30</v>
      </c>
      <c r="B22" s="408"/>
      <c r="C22" s="248">
        <v>5697</v>
      </c>
      <c r="D22" s="249">
        <v>6016</v>
      </c>
      <c r="E22" s="249">
        <v>6429</v>
      </c>
      <c r="F22" s="250">
        <v>9999</v>
      </c>
      <c r="G22" s="250">
        <v>99999</v>
      </c>
      <c r="H22" s="2"/>
      <c r="I22" s="408">
        <v>30</v>
      </c>
      <c r="J22" s="408"/>
      <c r="K22" s="251">
        <v>5403</v>
      </c>
      <c r="L22" s="251">
        <v>5632</v>
      </c>
      <c r="M22" s="251">
        <v>5938</v>
      </c>
      <c r="N22" s="250">
        <v>6453</v>
      </c>
      <c r="O22" s="250">
        <v>99999</v>
      </c>
      <c r="P22" s="42"/>
      <c r="Q22" s="408">
        <v>30</v>
      </c>
      <c r="R22" s="408"/>
      <c r="S22" s="251">
        <v>5017</v>
      </c>
      <c r="T22" s="251">
        <v>5224</v>
      </c>
      <c r="U22" s="251">
        <v>5453</v>
      </c>
      <c r="V22" s="250">
        <v>5724</v>
      </c>
      <c r="W22" s="250">
        <v>99999</v>
      </c>
      <c r="X22" s="2"/>
      <c r="Y22" s="408">
        <v>30</v>
      </c>
      <c r="Z22" s="408"/>
      <c r="AA22" s="251">
        <v>4731</v>
      </c>
      <c r="AB22" s="251">
        <v>4920</v>
      </c>
      <c r="AC22" s="251">
        <v>5129</v>
      </c>
      <c r="AD22" s="250">
        <v>5371</v>
      </c>
      <c r="AE22" s="250">
        <v>99999</v>
      </c>
      <c r="AF22" s="2"/>
      <c r="AG22" s="408">
        <v>30</v>
      </c>
      <c r="AH22" s="408"/>
      <c r="AI22" s="251">
        <v>4643</v>
      </c>
      <c r="AJ22" s="251">
        <v>4823</v>
      </c>
      <c r="AK22" s="251">
        <v>5021</v>
      </c>
      <c r="AL22" s="250">
        <v>5249</v>
      </c>
      <c r="AM22" s="250">
        <v>99999</v>
      </c>
      <c r="AN22" s="2"/>
      <c r="AO22" s="408">
        <v>30</v>
      </c>
      <c r="AP22" s="408"/>
      <c r="AQ22" s="251">
        <v>4563</v>
      </c>
      <c r="AR22" s="251">
        <v>4735</v>
      </c>
      <c r="AS22" s="251">
        <v>4923</v>
      </c>
      <c r="AT22" s="250">
        <v>5135</v>
      </c>
      <c r="AU22" s="250">
        <v>99999</v>
      </c>
      <c r="AV22" s="252"/>
      <c r="AW22" s="408">
        <v>30</v>
      </c>
      <c r="AX22" s="408"/>
      <c r="AY22" s="251"/>
      <c r="AZ22" s="251"/>
      <c r="BA22" s="251"/>
      <c r="BB22" s="250"/>
      <c r="BC22" s="250">
        <v>99999</v>
      </c>
    </row>
    <row r="23" spans="1:55" ht="14.25" customHeight="1" x14ac:dyDescent="0.3">
      <c r="A23" s="408">
        <v>40</v>
      </c>
      <c r="B23" s="408"/>
      <c r="C23" s="255">
        <v>99999</v>
      </c>
      <c r="D23" s="255">
        <v>99999</v>
      </c>
      <c r="E23" s="255">
        <v>99999</v>
      </c>
      <c r="F23" s="255">
        <v>99999</v>
      </c>
      <c r="G23" s="250">
        <v>99999</v>
      </c>
      <c r="H23" s="2"/>
      <c r="I23" s="408">
        <v>40</v>
      </c>
      <c r="J23" s="408"/>
      <c r="K23" s="255">
        <v>99999</v>
      </c>
      <c r="L23" s="255">
        <v>99999</v>
      </c>
      <c r="M23" s="255">
        <v>99999</v>
      </c>
      <c r="N23" s="255">
        <v>99999</v>
      </c>
      <c r="O23" s="250">
        <v>99999</v>
      </c>
      <c r="P23" s="42"/>
      <c r="Q23" s="408">
        <v>40</v>
      </c>
      <c r="R23" s="408"/>
      <c r="S23" s="255">
        <v>99999</v>
      </c>
      <c r="T23" s="255">
        <v>99999</v>
      </c>
      <c r="U23" s="255">
        <v>99999</v>
      </c>
      <c r="V23" s="255">
        <v>99999</v>
      </c>
      <c r="W23" s="250">
        <v>99999</v>
      </c>
      <c r="X23" s="2"/>
      <c r="Y23" s="408">
        <v>40</v>
      </c>
      <c r="Z23" s="408"/>
      <c r="AA23" s="255">
        <v>99999</v>
      </c>
      <c r="AB23" s="255">
        <v>99999</v>
      </c>
      <c r="AC23" s="255">
        <v>99999</v>
      </c>
      <c r="AD23" s="255">
        <v>99999</v>
      </c>
      <c r="AE23" s="250">
        <v>99999</v>
      </c>
      <c r="AF23" s="2"/>
      <c r="AG23" s="408">
        <v>40</v>
      </c>
      <c r="AH23" s="408"/>
      <c r="AI23" s="255">
        <v>99999</v>
      </c>
      <c r="AJ23" s="255">
        <v>99999</v>
      </c>
      <c r="AK23" s="255">
        <v>99999</v>
      </c>
      <c r="AL23" s="255">
        <v>99999</v>
      </c>
      <c r="AM23" s="250">
        <v>99999</v>
      </c>
      <c r="AN23" s="2"/>
      <c r="AO23" s="408">
        <v>40</v>
      </c>
      <c r="AP23" s="408"/>
      <c r="AQ23" s="255">
        <v>99999</v>
      </c>
      <c r="AR23" s="255">
        <v>99999</v>
      </c>
      <c r="AS23" s="255">
        <v>99999</v>
      </c>
      <c r="AT23" s="255">
        <v>99999</v>
      </c>
      <c r="AU23" s="250">
        <v>99999</v>
      </c>
      <c r="AV23" s="252"/>
      <c r="AW23" s="408">
        <v>40</v>
      </c>
      <c r="AX23" s="408"/>
      <c r="AY23" s="255">
        <v>99999</v>
      </c>
      <c r="AZ23" s="255">
        <v>99999</v>
      </c>
      <c r="BA23" s="255">
        <v>99999</v>
      </c>
      <c r="BB23" s="255">
        <v>99999</v>
      </c>
      <c r="BC23" s="250">
        <v>99999</v>
      </c>
    </row>
    <row r="24" spans="1:55" ht="14.25" customHeight="1" x14ac:dyDescent="0.3">
      <c r="A24" s="409"/>
      <c r="B24" s="409"/>
      <c r="C24" s="256" t="s">
        <v>219</v>
      </c>
      <c r="D24" s="257" t="s">
        <v>219</v>
      </c>
      <c r="E24" s="257" t="s">
        <v>219</v>
      </c>
      <c r="F24" s="257" t="s">
        <v>219</v>
      </c>
      <c r="G24" s="258" t="s">
        <v>219</v>
      </c>
      <c r="H24" s="2"/>
      <c r="I24" s="409"/>
      <c r="J24" s="409"/>
      <c r="K24" s="256" t="s">
        <v>219</v>
      </c>
      <c r="L24" s="257" t="s">
        <v>219</v>
      </c>
      <c r="M24" s="257" t="s">
        <v>219</v>
      </c>
      <c r="N24" s="257" t="s">
        <v>219</v>
      </c>
      <c r="O24" s="258" t="s">
        <v>219</v>
      </c>
      <c r="P24" s="42"/>
      <c r="Q24" s="409"/>
      <c r="R24" s="409"/>
      <c r="S24" s="256" t="s">
        <v>219</v>
      </c>
      <c r="T24" s="257" t="s">
        <v>219</v>
      </c>
      <c r="U24" s="257" t="s">
        <v>219</v>
      </c>
      <c r="V24" s="257" t="s">
        <v>219</v>
      </c>
      <c r="W24" s="258" t="s">
        <v>219</v>
      </c>
      <c r="X24" s="2"/>
      <c r="Y24" s="409"/>
      <c r="Z24" s="409"/>
      <c r="AA24" s="256" t="s">
        <v>219</v>
      </c>
      <c r="AB24" s="257" t="s">
        <v>219</v>
      </c>
      <c r="AC24" s="257" t="s">
        <v>219</v>
      </c>
      <c r="AD24" s="257" t="s">
        <v>219</v>
      </c>
      <c r="AE24" s="258" t="s">
        <v>219</v>
      </c>
      <c r="AF24" s="2"/>
      <c r="AG24" s="409"/>
      <c r="AH24" s="409"/>
      <c r="AI24" s="256" t="s">
        <v>219</v>
      </c>
      <c r="AJ24" s="257" t="s">
        <v>219</v>
      </c>
      <c r="AK24" s="257" t="s">
        <v>219</v>
      </c>
      <c r="AL24" s="257" t="s">
        <v>219</v>
      </c>
      <c r="AM24" s="258" t="s">
        <v>219</v>
      </c>
      <c r="AN24" s="2"/>
      <c r="AO24" s="409"/>
      <c r="AP24" s="409"/>
      <c r="AQ24" s="256" t="s">
        <v>219</v>
      </c>
      <c r="AR24" s="257" t="s">
        <v>219</v>
      </c>
      <c r="AS24" s="257" t="s">
        <v>219</v>
      </c>
      <c r="AT24" s="257" t="s">
        <v>219</v>
      </c>
      <c r="AU24" s="258" t="s">
        <v>219</v>
      </c>
      <c r="AV24" s="252"/>
      <c r="AW24" s="409"/>
      <c r="AX24" s="409"/>
      <c r="AY24" s="256" t="s">
        <v>219</v>
      </c>
      <c r="AZ24" s="257" t="s">
        <v>219</v>
      </c>
      <c r="BA24" s="257" t="s">
        <v>219</v>
      </c>
      <c r="BB24" s="257" t="s">
        <v>219</v>
      </c>
      <c r="BC24" s="258" t="s">
        <v>219</v>
      </c>
    </row>
    <row r="25" spans="1:55" ht="15.75" customHeight="1" x14ac:dyDescent="0.3"/>
    <row r="26" spans="1:55" ht="14.25" customHeight="1" x14ac:dyDescent="0.3">
      <c r="B26" s="139" t="s">
        <v>146</v>
      </c>
      <c r="C26" s="140">
        <f ca="1">$D$1</f>
        <v>770</v>
      </c>
      <c r="D26" s="355" t="s">
        <v>201</v>
      </c>
      <c r="E26" s="355"/>
      <c r="F26" s="137"/>
      <c r="G26" s="137"/>
      <c r="H26" s="2"/>
      <c r="I26" s="2"/>
      <c r="J26" s="139" t="s">
        <v>146</v>
      </c>
      <c r="K26" s="140">
        <f ca="1">$D$1</f>
        <v>770</v>
      </c>
      <c r="L26" s="355" t="s">
        <v>201</v>
      </c>
      <c r="M26" s="355"/>
      <c r="N26" s="137"/>
      <c r="O26" s="137"/>
      <c r="P26" s="137"/>
      <c r="Q26" s="2"/>
      <c r="R26" s="139" t="s">
        <v>146</v>
      </c>
      <c r="S26" s="140">
        <f ca="1">$D$1</f>
        <v>770</v>
      </c>
      <c r="T26" s="355" t="s">
        <v>201</v>
      </c>
      <c r="U26" s="355"/>
      <c r="V26" s="137"/>
      <c r="W26" s="137"/>
      <c r="X26" s="2"/>
      <c r="Y26" s="2"/>
      <c r="Z26" s="139" t="s">
        <v>146</v>
      </c>
      <c r="AA26" s="140">
        <f ca="1">$D$1</f>
        <v>770</v>
      </c>
      <c r="AB26" s="355" t="s">
        <v>201</v>
      </c>
      <c r="AC26" s="355"/>
      <c r="AD26" s="137"/>
      <c r="AE26" s="137"/>
      <c r="AF26" s="2"/>
      <c r="AG26" s="2"/>
      <c r="AH26" s="139" t="s">
        <v>146</v>
      </c>
      <c r="AI26" s="140">
        <f ca="1">$D$1</f>
        <v>770</v>
      </c>
      <c r="AJ26" s="355" t="s">
        <v>201</v>
      </c>
      <c r="AK26" s="355"/>
      <c r="AL26" s="137"/>
      <c r="AM26" s="137"/>
      <c r="AN26" s="2"/>
      <c r="AO26" s="2"/>
      <c r="AP26" s="139" t="s">
        <v>146</v>
      </c>
      <c r="AQ26" s="140">
        <f ca="1">$D$1</f>
        <v>770</v>
      </c>
      <c r="AR26" s="355" t="s">
        <v>201</v>
      </c>
      <c r="AS26" s="355"/>
      <c r="AT26" s="137"/>
      <c r="AU26" s="137"/>
      <c r="AV26" s="137"/>
      <c r="AW26" s="2"/>
      <c r="AX26" s="139" t="s">
        <v>146</v>
      </c>
      <c r="AY26" s="140">
        <f ca="1">$D$1</f>
        <v>770</v>
      </c>
      <c r="AZ26" s="355" t="s">
        <v>201</v>
      </c>
      <c r="BA26" s="355"/>
    </row>
    <row r="27" spans="1:55" ht="14.25" customHeight="1" x14ac:dyDescent="0.3">
      <c r="B27" s="16" t="s">
        <v>202</v>
      </c>
      <c r="C27" s="141">
        <f t="array" aca="1" ref="C27" ca="1">INDEX(C9:G9,MATCH(C26,C9:G9,1))</f>
        <v>0</v>
      </c>
      <c r="D27" s="16" t="s">
        <v>144</v>
      </c>
      <c r="E27" s="17">
        <f>MATCH(MAX(A10:A24),A10:A24,0)</f>
        <v>14</v>
      </c>
      <c r="F27" s="17"/>
      <c r="H27" s="2"/>
      <c r="I27" s="2"/>
      <c r="J27" s="16" t="s">
        <v>202</v>
      </c>
      <c r="K27" s="141">
        <f t="array" aca="1" ref="K27" ca="1">INDEX(K9:O9,MATCH(K26,K9:O9,1))</f>
        <v>0</v>
      </c>
      <c r="L27" s="16" t="s">
        <v>144</v>
      </c>
      <c r="M27" s="17">
        <f>MATCH(MAX(I10:I24),I10:I24,0)</f>
        <v>14</v>
      </c>
      <c r="N27" s="17"/>
      <c r="O27" s="17"/>
      <c r="P27" s="17"/>
      <c r="Q27" s="2"/>
      <c r="R27" s="16" t="s">
        <v>202</v>
      </c>
      <c r="S27" s="141">
        <f t="array" aca="1" ref="S27" ca="1">INDEX(S9:W9,MATCH(S26,S9:W9,1))</f>
        <v>0</v>
      </c>
      <c r="T27" s="16" t="s">
        <v>144</v>
      </c>
      <c r="U27" s="17">
        <f>MATCH(MAX(Q10:Q24),Q10:Q24,0)</f>
        <v>14</v>
      </c>
      <c r="V27" s="17"/>
      <c r="W27" s="17"/>
      <c r="X27" s="2"/>
      <c r="Y27" s="2"/>
      <c r="Z27" s="16" t="s">
        <v>202</v>
      </c>
      <c r="AA27" s="141">
        <f t="array" aca="1" ref="AA27" ca="1">INDEX(AA9:AE9,MATCH(AA26,AA9:AE9,1))</f>
        <v>0</v>
      </c>
      <c r="AB27" s="16" t="s">
        <v>144</v>
      </c>
      <c r="AC27" s="17">
        <f>MATCH(MAX(Y10:Y24),Y10:Y24,0)</f>
        <v>14</v>
      </c>
      <c r="AD27" s="17"/>
      <c r="AE27" s="17"/>
      <c r="AF27" s="2"/>
      <c r="AG27" s="2"/>
      <c r="AH27" s="16" t="s">
        <v>202</v>
      </c>
      <c r="AI27" s="141">
        <f t="array" aca="1" ref="AI27" ca="1">INDEX(AI9:AM9,MATCH(AI26,AI9:AM9,1))</f>
        <v>0</v>
      </c>
      <c r="AJ27" s="16" t="s">
        <v>144</v>
      </c>
      <c r="AK27" s="17">
        <f>MATCH(MAX(AG10:AG24),AG10:AG24,0)</f>
        <v>14</v>
      </c>
      <c r="AL27" s="17"/>
      <c r="AM27" s="17"/>
      <c r="AN27" s="2"/>
      <c r="AO27" s="2"/>
      <c r="AP27" s="16" t="s">
        <v>202</v>
      </c>
      <c r="AQ27" s="141">
        <f t="array" aca="1" ref="AQ27" ca="1">INDEX(AQ9:AU9,MATCH(AQ26,AQ9:AU9,1))</f>
        <v>0</v>
      </c>
      <c r="AR27" s="16" t="s">
        <v>144</v>
      </c>
      <c r="AS27" s="17">
        <f>MATCH(MAX(AO10:AO24),AO10:AO24,0)</f>
        <v>14</v>
      </c>
      <c r="AT27" s="17"/>
      <c r="AU27" s="17"/>
      <c r="AV27" s="17"/>
      <c r="AW27" s="2"/>
      <c r="AX27" s="16" t="s">
        <v>202</v>
      </c>
      <c r="AY27" s="141">
        <f t="array" aca="1" ref="AY27" ca="1">INDEX(AY9:BC9,MATCH(AY26,AY9:BC9,1))</f>
        <v>0</v>
      </c>
      <c r="AZ27" s="16" t="s">
        <v>144</v>
      </c>
      <c r="BA27" s="17">
        <f>MATCH(MAX(AW10:AW24),AW10:AW24,0)</f>
        <v>14</v>
      </c>
    </row>
    <row r="28" spans="1:55" ht="14.25" customHeight="1" x14ac:dyDescent="0.3">
      <c r="B28" s="16" t="s">
        <v>203</v>
      </c>
      <c r="C28" s="141">
        <f t="array" aca="1" ref="C28" ca="1">INDEX(C9:G9,IF(MATCH(C26,C9:G9,1)&lt;E28,MATCH(C26,C9:G9,1)+1,MATCH(C26,C9:G9,1)))</f>
        <v>1000</v>
      </c>
      <c r="D28" s="16" t="s">
        <v>145</v>
      </c>
      <c r="E28" s="17">
        <f>MATCH(MAX(C9:G9),C9:G9,0)</f>
        <v>5</v>
      </c>
      <c r="F28" s="17"/>
      <c r="H28" s="2"/>
      <c r="I28" s="2"/>
      <c r="J28" s="16" t="s">
        <v>203</v>
      </c>
      <c r="K28" s="141">
        <f t="array" aca="1" ref="K28" ca="1">INDEX(K9:O9,IF(MATCH(K26,K9:O9,1)&lt;M28,MATCH(K26,K9:O9,1)+1,MATCH(K26,K9:O9,1)))</f>
        <v>1000</v>
      </c>
      <c r="L28" s="16" t="s">
        <v>145</v>
      </c>
      <c r="M28" s="17">
        <f>MATCH(MAX(K9:O9),K9:O9,0)</f>
        <v>5</v>
      </c>
      <c r="N28" s="17"/>
      <c r="O28" s="17"/>
      <c r="P28" s="17"/>
      <c r="Q28" s="2"/>
      <c r="R28" s="16" t="s">
        <v>203</v>
      </c>
      <c r="S28" s="141">
        <f t="array" aca="1" ref="S28" ca="1">INDEX(S9:W9,IF(MATCH(S26,S9:W9,1)&lt;U28,MATCH(S26,S9:W9,1)+1,MATCH(S26,S9:W9,1)))</f>
        <v>1000</v>
      </c>
      <c r="T28" s="16" t="s">
        <v>145</v>
      </c>
      <c r="U28" s="17">
        <f>MATCH(MAX(S9:W9),S9:W9,0)</f>
        <v>5</v>
      </c>
      <c r="V28" s="17"/>
      <c r="W28" s="17"/>
      <c r="X28" s="2"/>
      <c r="Y28" s="2"/>
      <c r="Z28" s="16" t="s">
        <v>203</v>
      </c>
      <c r="AA28" s="141">
        <f t="array" aca="1" ref="AA28" ca="1">INDEX(AA9:AE9,IF(MATCH(AA26,AA9:AE9,1)&lt;AC28,MATCH(AA26,AA9:AE9,1)+1,MATCH(AA26,AA9:AE9,1)))</f>
        <v>1000</v>
      </c>
      <c r="AB28" s="16" t="s">
        <v>145</v>
      </c>
      <c r="AC28" s="17">
        <f>MATCH(MAX(AA9:AE9),AA9:AE9,0)</f>
        <v>5</v>
      </c>
      <c r="AD28" s="17"/>
      <c r="AE28" s="17"/>
      <c r="AF28" s="2"/>
      <c r="AG28" s="2"/>
      <c r="AH28" s="16" t="s">
        <v>203</v>
      </c>
      <c r="AI28" s="141">
        <f t="array" aca="1" ref="AI28" ca="1">INDEX(AI9:AM9,IF(MATCH(AI26,AI9:AM9,1)&lt;AK28,MATCH(AI26,AI9:AM9,1)+1,MATCH(AI26,AI9:AM9,1)))</f>
        <v>1000</v>
      </c>
      <c r="AJ28" s="16" t="s">
        <v>145</v>
      </c>
      <c r="AK28" s="17">
        <f>MATCH(MAX(AI9:AM9),AI9:AM9,0)</f>
        <v>5</v>
      </c>
      <c r="AL28" s="17"/>
      <c r="AM28" s="17"/>
      <c r="AN28" s="2"/>
      <c r="AO28" s="2"/>
      <c r="AP28" s="16" t="s">
        <v>203</v>
      </c>
      <c r="AQ28" s="141">
        <f t="array" aca="1" ref="AQ28" ca="1">INDEX(AQ9:AU9,IF(MATCH(AQ26,AQ9:AU9,1)&lt;AS28,MATCH(AQ26,AQ9:AU9,1)+1,MATCH(AQ26,AQ9:AU9,1)))</f>
        <v>1000</v>
      </c>
      <c r="AR28" s="16" t="s">
        <v>145</v>
      </c>
      <c r="AS28" s="17">
        <f>MATCH(MAX(AQ9:AU9),AQ9:AU9,0)</f>
        <v>5</v>
      </c>
      <c r="AT28" s="17"/>
      <c r="AU28" s="17"/>
      <c r="AV28" s="17"/>
      <c r="AW28" s="2"/>
      <c r="AX28" s="16" t="s">
        <v>203</v>
      </c>
      <c r="AY28" s="141">
        <f t="array" aca="1" ref="AY28" ca="1">INDEX(AY9:BC9,IF(MATCH(AY26,AY9:BC9,1)&lt;BA28,MATCH(AY26,AY9:BC9,1)+1,MATCH(AY26,AY9:BC9,1)))</f>
        <v>1000</v>
      </c>
      <c r="AZ28" s="16" t="s">
        <v>145</v>
      </c>
      <c r="BA28" s="17">
        <f>MATCH(MAX(AY9:BC9),AY9:BC9,0)</f>
        <v>5</v>
      </c>
    </row>
    <row r="29" spans="1:55" ht="14.25" customHeight="1" x14ac:dyDescent="0.3">
      <c r="B29" s="139" t="s">
        <v>147</v>
      </c>
      <c r="C29" s="140">
        <f ca="1">$D$2</f>
        <v>15</v>
      </c>
      <c r="D29" s="2"/>
      <c r="E29" s="2"/>
      <c r="F29" s="2"/>
      <c r="G29" s="17"/>
      <c r="H29" s="2"/>
      <c r="I29" s="2"/>
      <c r="J29" s="139" t="s">
        <v>147</v>
      </c>
      <c r="K29" s="140">
        <f ca="1">$D$2</f>
        <v>15</v>
      </c>
      <c r="L29" s="2"/>
      <c r="M29" s="2"/>
      <c r="N29" s="2"/>
      <c r="O29" s="17"/>
      <c r="P29" s="17"/>
      <c r="Q29" s="2"/>
      <c r="R29" s="139" t="s">
        <v>147</v>
      </c>
      <c r="S29" s="140">
        <f ca="1">$D$2</f>
        <v>15</v>
      </c>
      <c r="T29" s="2"/>
      <c r="U29" s="2"/>
      <c r="V29" s="2"/>
      <c r="W29" s="17"/>
      <c r="X29" s="2"/>
      <c r="Y29" s="2"/>
      <c r="Z29" s="139" t="s">
        <v>147</v>
      </c>
      <c r="AA29" s="140">
        <f ca="1">$D$2</f>
        <v>15</v>
      </c>
      <c r="AB29" s="2"/>
      <c r="AC29" s="2"/>
      <c r="AD29" s="2"/>
      <c r="AE29" s="17"/>
      <c r="AF29" s="2"/>
      <c r="AG29" s="2"/>
      <c r="AH29" s="139" t="s">
        <v>147</v>
      </c>
      <c r="AI29" s="140">
        <f ca="1">$D$2</f>
        <v>15</v>
      </c>
      <c r="AJ29" s="2"/>
      <c r="AK29" s="2"/>
      <c r="AL29" s="2"/>
      <c r="AM29" s="17"/>
      <c r="AN29" s="2"/>
      <c r="AO29" s="2"/>
      <c r="AP29" s="139" t="s">
        <v>147</v>
      </c>
      <c r="AQ29" s="140">
        <f ca="1">$D$2</f>
        <v>15</v>
      </c>
      <c r="AR29" s="2"/>
      <c r="AS29" s="2"/>
      <c r="AT29" s="2"/>
      <c r="AU29" s="17"/>
      <c r="AV29" s="17"/>
      <c r="AW29" s="2"/>
      <c r="AX29" s="139" t="s">
        <v>147</v>
      </c>
      <c r="AY29" s="140">
        <f ca="1">$D$2</f>
        <v>15</v>
      </c>
      <c r="AZ29" s="2"/>
      <c r="BA29" s="2"/>
    </row>
    <row r="30" spans="1:55" ht="14.25" customHeight="1" x14ac:dyDescent="0.3">
      <c r="B30" s="16" t="s">
        <v>148</v>
      </c>
      <c r="C30" s="141">
        <f t="array" aca="1" ref="C30" ca="1">INDEX(A10:A24,MATCH(C29,A10:A24,1))</f>
        <v>15</v>
      </c>
      <c r="D30" s="2"/>
      <c r="E30" s="268" t="s">
        <v>229</v>
      </c>
      <c r="F30" s="42"/>
      <c r="G30" s="2"/>
      <c r="H30" s="2"/>
      <c r="I30" s="2"/>
      <c r="J30" s="16" t="s">
        <v>148</v>
      </c>
      <c r="K30" s="141">
        <f t="array" aca="1" ref="K30" ca="1">INDEX(I10:I24,MATCH(K29,I10:I24,1))</f>
        <v>15</v>
      </c>
      <c r="L30" s="2"/>
      <c r="M30" s="2"/>
      <c r="N30" s="2"/>
      <c r="O30" s="2"/>
      <c r="P30" s="2"/>
      <c r="Q30" s="2"/>
      <c r="R30" s="16" t="s">
        <v>148</v>
      </c>
      <c r="S30" s="141">
        <f t="array" aca="1" ref="S30" ca="1">INDEX(Q10:Q24,MATCH(S29,Q10:Q24,1))</f>
        <v>15</v>
      </c>
      <c r="T30" s="2"/>
      <c r="U30" s="2"/>
      <c r="V30" s="2"/>
      <c r="W30" s="2"/>
      <c r="X30" s="2"/>
      <c r="Y30" s="2"/>
      <c r="Z30" s="16" t="s">
        <v>148</v>
      </c>
      <c r="AA30" s="141">
        <f t="array" aca="1" ref="AA30" ca="1">INDEX(Y10:Y24,MATCH(AA29,Y10:Y24,1))</f>
        <v>15</v>
      </c>
      <c r="AB30" s="2"/>
      <c r="AC30" s="2"/>
      <c r="AD30" s="2"/>
      <c r="AE30" s="2"/>
      <c r="AF30" s="2"/>
      <c r="AG30" s="2"/>
      <c r="AH30" s="16" t="s">
        <v>148</v>
      </c>
      <c r="AI30" s="141">
        <f t="array" aca="1" ref="AI30" ca="1">INDEX(AG10:AG24,MATCH(AI29,AG10:AG24,1))</f>
        <v>15</v>
      </c>
      <c r="AJ30" s="2"/>
      <c r="AK30" s="2"/>
      <c r="AL30" s="2"/>
      <c r="AM30" s="2"/>
      <c r="AN30" s="2"/>
      <c r="AO30" s="2"/>
      <c r="AP30" s="16" t="s">
        <v>148</v>
      </c>
      <c r="AQ30" s="141">
        <f t="array" aca="1" ref="AQ30" ca="1">INDEX(AO10:AO24,MATCH(AQ29,AO10:AO24,1))</f>
        <v>15</v>
      </c>
      <c r="AR30" s="2"/>
      <c r="AS30" s="2"/>
      <c r="AT30" s="2"/>
      <c r="AU30" s="2"/>
      <c r="AV30" s="2"/>
      <c r="AW30" s="2"/>
      <c r="AX30" s="16" t="s">
        <v>148</v>
      </c>
      <c r="AY30" s="141">
        <f t="array" aca="1" ref="AY30" ca="1">INDEX(AW10:AW24,MATCH(AY29,AW10:AW24,1))</f>
        <v>10</v>
      </c>
      <c r="AZ30" s="2"/>
      <c r="BA30" s="2"/>
    </row>
    <row r="31" spans="1:55" ht="14.25" customHeight="1" x14ac:dyDescent="0.3">
      <c r="B31" s="16" t="s">
        <v>149</v>
      </c>
      <c r="C31" s="141">
        <f t="array" aca="1" ref="C31" ca="1">INDEX(A10:A24,IF(MATCH(C29,A10:A24,1)&lt;E27,MATCH(C29,A10:A24,1)+1,MATCH(C29,A10:A24,1)))</f>
        <v>20</v>
      </c>
      <c r="D31" s="2"/>
      <c r="E31" s="42"/>
      <c r="F31" s="42"/>
      <c r="G31" s="2"/>
      <c r="H31" s="2"/>
      <c r="I31" s="2"/>
      <c r="J31" s="16" t="s">
        <v>149</v>
      </c>
      <c r="K31" s="141">
        <f t="array" aca="1" ref="K31" ca="1">INDEX(I10:I24,IF(MATCH(K29,I10:I24,1)&lt;M27,MATCH(K29,I10:I24,1)+1,MATCH(K29,I10:I24,1)))</f>
        <v>20</v>
      </c>
      <c r="L31" s="2"/>
      <c r="M31" s="2"/>
      <c r="N31" s="2"/>
      <c r="O31" s="2"/>
      <c r="P31" s="2"/>
      <c r="Q31" s="2"/>
      <c r="R31" s="16" t="s">
        <v>149</v>
      </c>
      <c r="S31" s="141">
        <f t="array" aca="1" ref="S31" ca="1">INDEX(Q10:Q24,IF(MATCH(S29,Q10:Q24,1)&lt;U27,MATCH(S29,Q10:Q24,1)+1,MATCH(S29,Q10:Q24,1)))</f>
        <v>20</v>
      </c>
      <c r="T31" s="2"/>
      <c r="U31" s="2"/>
      <c r="V31" s="2"/>
      <c r="W31" s="2"/>
      <c r="X31" s="2"/>
      <c r="Y31" s="2"/>
      <c r="Z31" s="16" t="s">
        <v>149</v>
      </c>
      <c r="AA31" s="141">
        <f t="array" aca="1" ref="AA31" ca="1">INDEX(Y10:Y24,IF(MATCH(AA29,Y10:Y24,1)&lt;AC27,MATCH(AA29,Y10:Y24,1)+1,MATCH(AA29,Y10:Y24,1)))</f>
        <v>20</v>
      </c>
      <c r="AB31" s="2"/>
      <c r="AC31" s="2"/>
      <c r="AD31" s="2"/>
      <c r="AE31" s="2"/>
      <c r="AF31" s="2"/>
      <c r="AG31" s="2"/>
      <c r="AH31" s="16" t="s">
        <v>149</v>
      </c>
      <c r="AI31" s="141">
        <f t="array" aca="1" ref="AI31" ca="1">INDEX(AG10:AG24,IF(MATCH(AI29,AG10:AG24,1)&lt;AK27,MATCH(AI29,AG10:AG24,1)+1,MATCH(AI29,AG10:AG24,1)))</f>
        <v>20</v>
      </c>
      <c r="AJ31" s="2"/>
      <c r="AK31" s="2"/>
      <c r="AL31" s="2"/>
      <c r="AM31" s="2"/>
      <c r="AN31" s="2"/>
      <c r="AO31" s="2"/>
      <c r="AP31" s="16" t="s">
        <v>149</v>
      </c>
      <c r="AQ31" s="141">
        <f t="array" aca="1" ref="AQ31" ca="1">INDEX(AO10:AO24,IF(MATCH(AQ29,AO10:AO24,1)&lt;AS27,MATCH(AQ29,AO10:AO24,1)+1,MATCH(AQ29,AO10:AO24,1)))</f>
        <v>20</v>
      </c>
      <c r="AR31" s="2"/>
      <c r="AS31" s="2"/>
      <c r="AT31" s="2"/>
      <c r="AU31" s="2"/>
      <c r="AV31" s="2"/>
      <c r="AW31" s="2"/>
      <c r="AX31" s="16" t="s">
        <v>149</v>
      </c>
      <c r="AY31" s="141">
        <f ca="1">INDEX(AW10:AW24,IF(MATCH(AY29,AW10:AW24,1)&lt;BA27,MATCH(AY29,AW10:AW24,1)+1,MATCH(AY29,AW10:AW24,1)))</f>
        <v>0</v>
      </c>
      <c r="AZ31" s="2"/>
      <c r="BA31" s="2"/>
    </row>
    <row r="32" spans="1:55" ht="14.25" customHeight="1" x14ac:dyDescent="0.3">
      <c r="B32" s="139" t="s">
        <v>150</v>
      </c>
      <c r="C32" s="140">
        <f t="array" aca="1" ref="C32" ca="1">INDEX(C10:G24,MATCH(C29,A10:A24,1),MATCH(C26,C9:G9,1))</f>
        <v>5325</v>
      </c>
      <c r="D32" s="2"/>
      <c r="E32" s="42"/>
      <c r="F32" s="42"/>
      <c r="G32" s="2"/>
      <c r="H32" s="2"/>
      <c r="I32" s="2"/>
      <c r="J32" s="139" t="s">
        <v>150</v>
      </c>
      <c r="K32" s="140">
        <f t="array" aca="1" ref="K32" ca="1">INDEX(K10:O24,MATCH(K29,I10:I24,1),MATCH(K26,K9:O9,1))</f>
        <v>5103</v>
      </c>
      <c r="L32" s="2"/>
      <c r="M32" s="2"/>
      <c r="N32" s="2"/>
      <c r="O32" s="2"/>
      <c r="P32" s="2"/>
      <c r="Q32" s="2"/>
      <c r="R32" s="139" t="s">
        <v>150</v>
      </c>
      <c r="S32" s="140">
        <f t="array" aca="1" ref="S32" ca="1">INDEX(S10:W24,MATCH(S29,Q10:Q24,1),MATCH(S26,S9:W9,1))</f>
        <v>4746</v>
      </c>
      <c r="T32" s="2"/>
      <c r="U32" s="2"/>
      <c r="V32" s="2"/>
      <c r="W32" s="2"/>
      <c r="X32" s="2"/>
      <c r="Y32" s="2"/>
      <c r="Z32" s="139" t="s">
        <v>150</v>
      </c>
      <c r="AA32" s="140">
        <f t="array" aca="1" ref="AA32" ca="1">INDEX(AA10:AE24,MATCH(AA29,Y10:Y24,1),MATCH(AA26,AA9:AE9,1))</f>
        <v>4484</v>
      </c>
      <c r="AB32" s="2"/>
      <c r="AC32" s="2"/>
      <c r="AD32" s="2"/>
      <c r="AE32" s="2"/>
      <c r="AF32" s="2"/>
      <c r="AG32" s="2"/>
      <c r="AH32" s="139" t="s">
        <v>150</v>
      </c>
      <c r="AI32" s="140">
        <f t="array" aca="1" ref="AI32" ca="1">INDEX(AI10:AM24,MATCH(AI29,AG10:AG24,1),MATCH(AI26,AI9:AM9,1))</f>
        <v>4406</v>
      </c>
      <c r="AJ32" s="2"/>
      <c r="AK32" s="2"/>
      <c r="AL32" s="2"/>
      <c r="AM32" s="2"/>
      <c r="AN32" s="2"/>
      <c r="AO32" s="2"/>
      <c r="AP32" s="139" t="s">
        <v>150</v>
      </c>
      <c r="AQ32" s="140">
        <f t="array" aca="1" ref="AQ32" ca="1">INDEX(AQ10:AU24,MATCH(AQ29,AO10:AO24,1),MATCH(AQ26,AQ9:AU9,1))</f>
        <v>4337</v>
      </c>
      <c r="AR32" s="2"/>
      <c r="AS32" s="2"/>
      <c r="AT32" s="2"/>
      <c r="AU32" s="2"/>
      <c r="AV32" s="2"/>
      <c r="AW32" s="2"/>
      <c r="AX32" s="139" t="s">
        <v>150</v>
      </c>
      <c r="AY32" s="140">
        <f ca="1">INDEX(AY10:BC24,MATCH(AY29,AW10:AW24,1),MATCH(AY26,AY9:BC9,1))</f>
        <v>0</v>
      </c>
      <c r="AZ32" s="2"/>
      <c r="BA32" s="2"/>
    </row>
    <row r="33" spans="1:51" ht="14.25" customHeight="1" x14ac:dyDescent="0.3">
      <c r="B33" s="139" t="s">
        <v>204</v>
      </c>
      <c r="C33" s="140">
        <f t="array" aca="1" ref="C33" ca="1">INDEX(C10:G24,MATCH(C29,A10:A24,1),IF(MATCH(C26,C9:G9,1)&lt;E28,MATCH(C26,C9:G9,1)+1,MATCH(C29,A10:A24,1)))</f>
        <v>5576</v>
      </c>
      <c r="E33" s="42"/>
      <c r="F33" s="42"/>
      <c r="G33" s="2"/>
      <c r="H33" s="2"/>
      <c r="I33" s="2"/>
      <c r="J33" s="139" t="s">
        <v>204</v>
      </c>
      <c r="K33" s="140">
        <f t="array" aca="1" ref="K33" ca="1">INDEX(K10:O24,MATCH(K29,I10:I24,1),IF(MATCH(K26,K9:O9,1)&lt;M28,MATCH(K26,K9:O9,1)+1,MATCH(K29,I10:I24,1)))</f>
        <v>5314</v>
      </c>
      <c r="O33" s="2"/>
      <c r="P33" s="2"/>
      <c r="Q33" s="2"/>
      <c r="R33" s="139" t="s">
        <v>204</v>
      </c>
      <c r="S33" s="140">
        <f t="array" aca="1" ref="S33" ca="1">INDEX(S10:W24,MATCH(S29,Q10:Q24,1),IF(MATCH(S26,S9:W9,1)&lt;U28,MATCH(S26,S9:W9,1)+1,MATCH(S29,Q10:Q24,1)))</f>
        <v>4937</v>
      </c>
      <c r="W33" s="2"/>
      <c r="X33" s="2"/>
      <c r="Y33" s="2"/>
      <c r="Z33" s="139" t="s">
        <v>204</v>
      </c>
      <c r="AA33" s="140">
        <f t="array" aca="1" ref="AA33" ca="1">INDEX(AA10:AE24,MATCH(AA29,Y10:Y24,1),IF(MATCH(AA26,AA9:AE9,1)&lt;AC28,MATCH(AA26,AA9:AE9,1)+1,MATCH(AA29,Y10:Y24,1)))</f>
        <v>4658</v>
      </c>
      <c r="AE33" s="2"/>
      <c r="AF33" s="2"/>
      <c r="AG33" s="2"/>
      <c r="AH33" s="139" t="s">
        <v>204</v>
      </c>
      <c r="AI33" s="140">
        <f t="array" aca="1" ref="AI33" ca="1">INDEX(AI10:AM24,MATCH(AI29,AG10:AG24,1),IF(MATCH(AI26,AI9:AM9,1)&lt;AK28,MATCH(AI26,AI9:AM9,1)+1,MATCH(AI29,AG10:AG24,1)))</f>
        <v>4573</v>
      </c>
      <c r="AM33" s="2"/>
      <c r="AN33" s="2"/>
      <c r="AO33" s="2"/>
      <c r="AP33" s="139" t="s">
        <v>204</v>
      </c>
      <c r="AQ33" s="140">
        <f t="array" aca="1" ref="AQ33" ca="1">INDEX(AQ10:AU24,MATCH(AQ29,AO10:AO24,1),IF(MATCH(AQ26,AQ9:AU9,1)&lt;AS28,MATCH(AQ26,AQ9:AU9,1)+1,MATCH(AQ29,AO10:AO24,1)))</f>
        <v>4496</v>
      </c>
      <c r="AU33" s="2"/>
      <c r="AV33" s="2"/>
      <c r="AW33" s="2"/>
      <c r="AX33" s="139" t="s">
        <v>204</v>
      </c>
      <c r="AY33" s="140">
        <f ca="1">INDEX(AY10:BC24,MATCH(AY29,AW10:AW24,1),IF(MATCH(AY26,AY9:BC9,1)&lt;BA28,MATCH(AY26,AY9:BC9,1)+1,MATCH(AY29,AW10:AW24,1)))</f>
        <v>0</v>
      </c>
    </row>
    <row r="34" spans="1:51" ht="14.25" customHeight="1" x14ac:dyDescent="0.3">
      <c r="B34" s="139" t="s">
        <v>151</v>
      </c>
      <c r="C34" s="140">
        <f t="array" aca="1" ref="C34" ca="1">INDEX(C10:G24,IF(MATCH(C29,A10:A24,1)&lt;E27,MATCH(C29,A10:A24,1)+1,MATCH(C29,A10:A24,1)),MATCH(C26,C9:G9,1))</f>
        <v>5431</v>
      </c>
      <c r="E34" s="42"/>
      <c r="F34" s="42"/>
      <c r="G34" s="2"/>
      <c r="H34" s="2"/>
      <c r="I34" s="2"/>
      <c r="J34" s="139" t="s">
        <v>151</v>
      </c>
      <c r="K34" s="140">
        <f t="array" aca="1" ref="K34" ca="1">INDEX(K10:O24,IF(MATCH(K29,I10:I24,1)&lt;M27,MATCH(K29,I10:I24,1)+1,MATCH(K29,I10:I24,1)),MATCH(K26,K9:O9,1))</f>
        <v>5202</v>
      </c>
      <c r="O34" s="2"/>
      <c r="P34" s="2"/>
      <c r="Q34" s="2"/>
      <c r="R34" s="139" t="s">
        <v>151</v>
      </c>
      <c r="S34" s="140">
        <f t="array" aca="1" ref="S34" ca="1">INDEX(S10:W24,IF(MATCH(S29,Q10:Q24,1)&lt;U27,MATCH(S29,Q10:Q24,1)+1,MATCH(S29,Q10:Q24,1)),MATCH(S26,S9:W9,1))</f>
        <v>4836</v>
      </c>
      <c r="W34" s="2"/>
      <c r="X34" s="2"/>
      <c r="Y34" s="2"/>
      <c r="Z34" s="139" t="s">
        <v>151</v>
      </c>
      <c r="AA34" s="140">
        <f t="array" aca="1" ref="AA34" ca="1">INDEX(AA10:AE24,IF(MATCH(AA29,Y10:Y24,1)&lt;AC27,MATCH(AA29,Y10:Y24,1)+1,MATCH(AA29,Y10:Y24,1)),MATCH(AA26,AA9:AE9,1))</f>
        <v>4565</v>
      </c>
      <c r="AE34" s="2"/>
      <c r="AF34" s="2"/>
      <c r="AG34" s="2"/>
      <c r="AH34" s="139" t="s">
        <v>151</v>
      </c>
      <c r="AI34" s="140">
        <f t="array" aca="1" ref="AI34" ca="1">INDEX(AI10:AM24,IF(MATCH(AI29,AG10:AG24,1)&lt;AK27,MATCH(AI29,AG10:AG24,1)+1,MATCH(AI29,AG10:AG24,1)),MATCH(AI26,AI9:AM9,1))</f>
        <v>4484</v>
      </c>
      <c r="AM34" s="2"/>
      <c r="AN34" s="2"/>
      <c r="AO34" s="2"/>
      <c r="AP34" s="139" t="s">
        <v>151</v>
      </c>
      <c r="AQ34" s="140">
        <f t="array" aca="1" ref="AQ34" ca="1">INDEX(AQ10:AU24,IF(MATCH(AQ29,AO10:AO24,1)&lt;AS27,MATCH(AQ29,AO10:AO24,1)+1,MATCH(AQ29,AO10:AO24,1)),MATCH(AQ26,AQ9:AU9,1))</f>
        <v>4411</v>
      </c>
      <c r="AU34" s="2"/>
      <c r="AV34" s="2"/>
      <c r="AW34" s="2"/>
      <c r="AX34" s="139" t="s">
        <v>151</v>
      </c>
      <c r="AY34" s="140">
        <f ca="1">INDEX(AY10:BC24,IF(MATCH(AY29,AW10:AW24,1)&lt;BA27,MATCH(AY29,AW10:AW24,1)+1,MATCH(AY29,AW10:AW24,1)),MATCH(AY26,AY9:BC9,1))</f>
        <v>0</v>
      </c>
    </row>
    <row r="35" spans="1:51" ht="14.25" customHeight="1" x14ac:dyDescent="0.3">
      <c r="B35" s="139" t="s">
        <v>205</v>
      </c>
      <c r="C35" s="140">
        <f t="array" aca="1" ref="C35" ca="1">INDEX(C10:G24,IF(MATCH(C29,A10:A24,1)&lt;E27,MATCH(C29,A10:A24,1)+1,MATCH(C29,A10:A24,1)),IF(MATCH(C26,C9:G9,1)&lt;E28,MATCH(C26,C9:G9,1)+1,MATCH(C26,C9:G9,1)))</f>
        <v>5720</v>
      </c>
      <c r="G35" s="2"/>
      <c r="H35" s="2"/>
      <c r="I35" s="2"/>
      <c r="J35" s="139" t="s">
        <v>205</v>
      </c>
      <c r="K35" s="140">
        <f t="array" aca="1" ref="K35" ca="1">INDEX(K10:O24,IF(MATCH(K29,I10:I24,1)&lt;M27,MATCH(K29,I10:I24,1)+1,MATCH(K29,I10:I24,1)),IF(MATCH(K26,K9:O9,1)&lt;M28,MATCH(K26,K9:O9,1)+1,MATCH(K26,K9:O9,1)))</f>
        <v>5419</v>
      </c>
      <c r="O35" s="2"/>
      <c r="P35" s="2"/>
      <c r="Q35" s="2"/>
      <c r="R35" s="139" t="s">
        <v>205</v>
      </c>
      <c r="S35" s="140">
        <f t="array" aca="1" ref="S35" ca="1">INDEX(S10:W24,IF(MATCH(S29,Q10:Q24,1)&lt;U27,MATCH(S29,Q10:Q24,1)+1,MATCH(S29,Q10:Q24,1)),IF(MATCH(S26,S9:W9,1)&lt;U28,MATCH(S26,S9:W9,1)+1,MATCH(S26,S9:W9,1)))</f>
        <v>5032</v>
      </c>
      <c r="W35" s="2"/>
      <c r="X35" s="2"/>
      <c r="Y35" s="2"/>
      <c r="Z35" s="139" t="s">
        <v>205</v>
      </c>
      <c r="AA35" s="140">
        <f t="array" aca="1" ref="AA35" ca="1">INDEX(AA10:AE24,IF(MATCH(AA29,Y10:Y24,1)&lt;AC27,MATCH(AA29,Y10:Y24,1)+1,MATCH(AA29,Y10:Y24,1)),IF(MATCH(AA26,AA9:AE9,1)&lt;AC28,MATCH(AA26,AA9:AE9,1)+1,MATCH(AA26,AA9:AE9,1)))</f>
        <v>4745</v>
      </c>
      <c r="AE35" s="2"/>
      <c r="AF35" s="2"/>
      <c r="AG35" s="2"/>
      <c r="AH35" s="139" t="s">
        <v>205</v>
      </c>
      <c r="AI35" s="140">
        <f t="array" aca="1" ref="AI35" ca="1">INDEX(AI10:AM24,IF(MATCH(AI29,AG10:AG24,1)&lt;AK27,MATCH(AI29,AG10:AG24,1)+1,MATCH(AI29,AG10:AG24,1)),IF(MATCH(AI26,AI9:AM9,1)&lt;AK28,MATCH(AI26,AI9:AM9,1)+1,MATCH(AI26,AI9:AM9,1)))</f>
        <v>4656</v>
      </c>
      <c r="AM35" s="2"/>
      <c r="AN35" s="2"/>
      <c r="AO35" s="2"/>
      <c r="AP35" s="139" t="s">
        <v>205</v>
      </c>
      <c r="AQ35" s="140">
        <f t="array" aca="1" ref="AQ35" ca="1">INDEX(AQ10:AU24,IF(MATCH(AQ29,AO10:AO24,1)&lt;AS27,MATCH(AQ29,AO10:AO24,1)+1,MATCH(AQ29,AO10:AO24,1)),IF(MATCH(AQ26,AQ9:AU9,1)&lt;AS28,MATCH(AQ26,AQ9:AU9,1)+1,MATCH(AQ26,AQ9:AU9,1)))</f>
        <v>4575</v>
      </c>
      <c r="AU35" s="2"/>
      <c r="AV35" s="2"/>
      <c r="AW35" s="2"/>
      <c r="AX35" s="139" t="s">
        <v>205</v>
      </c>
      <c r="AY35" s="140">
        <f ca="1">INDEX(AY10:BC24,IF(MATCH(AY29,AW10:AW24,1)&lt;BA27,MATCH(AY29,AW10:AW24,1)+1,MATCH(AY29,AW10:AW24,1)),IF(MATCH(AY26,AY9:BC9,1)&lt;BA28,MATCH(AY26,AY9:BC9,1)+1,MATCH(AY26,AY9:BC9,1)))</f>
        <v>0</v>
      </c>
    </row>
    <row r="36" spans="1:51" ht="14.25" customHeight="1" x14ac:dyDescent="0.3">
      <c r="B36" s="16" t="s">
        <v>206</v>
      </c>
      <c r="C36" s="141">
        <f ca="1">IFERROR(C32+(C26-C27)*(C33-C32)/(C28-C27),C32)</f>
        <v>5518.27</v>
      </c>
      <c r="G36" s="2"/>
      <c r="H36" s="2"/>
      <c r="I36" s="2"/>
      <c r="J36" s="16" t="s">
        <v>206</v>
      </c>
      <c r="K36" s="141">
        <f ca="1">IFERROR(K32+(K26-K27)*(K33-K32)/(K28-K27),K32)</f>
        <v>5265.47</v>
      </c>
      <c r="O36" s="2"/>
      <c r="P36" s="2"/>
      <c r="Q36" s="2"/>
      <c r="R36" s="16" t="s">
        <v>206</v>
      </c>
      <c r="S36" s="141">
        <f ca="1">IFERROR(S32+(S26-S27)*(S33-S32)/(S28-S27),S32)</f>
        <v>4893.07</v>
      </c>
      <c r="W36" s="2"/>
      <c r="X36" s="2"/>
      <c r="Y36" s="2"/>
      <c r="Z36" s="16" t="s">
        <v>206</v>
      </c>
      <c r="AA36" s="141">
        <f ca="1">IFERROR(AA32+(AA26-AA27)*(AA33-AA32)/(AA28-AA27),AA32)</f>
        <v>4617.9799999999996</v>
      </c>
      <c r="AE36" s="2"/>
      <c r="AF36" s="2"/>
      <c r="AG36" s="2"/>
      <c r="AH36" s="16" t="s">
        <v>206</v>
      </c>
      <c r="AI36" s="141">
        <f ca="1">IFERROR(AI32+(AI26-AI27)*(AI33-AI32)/(AI28-AI27),AI32)</f>
        <v>4534.59</v>
      </c>
      <c r="AM36" s="2"/>
      <c r="AN36" s="2"/>
      <c r="AO36" s="2"/>
      <c r="AP36" s="16" t="s">
        <v>206</v>
      </c>
      <c r="AQ36" s="141">
        <f ca="1">IFERROR(AQ32+(AQ26-AQ27)*(AQ33-AQ32)/(AQ28-AQ27),AQ32)</f>
        <v>4459.43</v>
      </c>
      <c r="AU36" s="2"/>
      <c r="AV36" s="2"/>
      <c r="AW36" s="2"/>
      <c r="AX36" s="16" t="s">
        <v>206</v>
      </c>
      <c r="AY36" s="141">
        <f ca="1">IFERROR(AY32+(AY26-AY27)*(AY33-AY32)/(AY28-AY27),AY32)</f>
        <v>0</v>
      </c>
    </row>
    <row r="37" spans="1:51" ht="14.25" customHeight="1" x14ac:dyDescent="0.3">
      <c r="B37" s="16" t="s">
        <v>207</v>
      </c>
      <c r="C37" s="141">
        <f ca="1">IFERROR(C34+(C26-C27)*(C35-C34)/(C28-C27),C34)</f>
        <v>5653.53</v>
      </c>
      <c r="G37" s="2"/>
      <c r="H37" s="2"/>
      <c r="I37" s="2"/>
      <c r="J37" s="16" t="s">
        <v>207</v>
      </c>
      <c r="K37" s="141">
        <f ca="1">IFERROR(K34+(K26-K27)*(K35-K34)/(K28-K27),K34)</f>
        <v>5369.09</v>
      </c>
      <c r="O37" s="2"/>
      <c r="P37" s="2"/>
      <c r="Q37" s="2"/>
      <c r="R37" s="16" t="s">
        <v>207</v>
      </c>
      <c r="S37" s="141">
        <f ca="1">IFERROR(S34+(S26-S27)*(S35-S34)/(S28-S27),S34)</f>
        <v>4986.92</v>
      </c>
      <c r="W37" s="2"/>
      <c r="X37" s="2"/>
      <c r="Y37" s="2"/>
      <c r="Z37" s="16" t="s">
        <v>207</v>
      </c>
      <c r="AA37" s="141">
        <f ca="1">IFERROR(AA34+(AA26-AA27)*(AA35-AA34)/(AA28-AA27),AA34)</f>
        <v>4703.6000000000004</v>
      </c>
      <c r="AE37" s="2"/>
      <c r="AF37" s="2"/>
      <c r="AG37" s="2"/>
      <c r="AH37" s="16" t="s">
        <v>207</v>
      </c>
      <c r="AI37" s="141">
        <f ca="1">IFERROR(AI34+(AI26-AI27)*(AI35-AI34)/(AI28-AI27),AI34)</f>
        <v>4616.4399999999996</v>
      </c>
      <c r="AM37" s="2"/>
      <c r="AN37" s="2"/>
      <c r="AO37" s="2"/>
      <c r="AP37" s="16" t="s">
        <v>207</v>
      </c>
      <c r="AQ37" s="141">
        <f ca="1">IFERROR(AQ34+(AQ26-AQ27)*(AQ35-AQ34)/(AQ28-AQ27),AQ34)</f>
        <v>4537.28</v>
      </c>
      <c r="AU37" s="2"/>
      <c r="AV37" s="2"/>
      <c r="AW37" s="2"/>
      <c r="AX37" s="16" t="s">
        <v>207</v>
      </c>
      <c r="AY37" s="141">
        <f ca="1">IFERROR(AY34+(AY26-AY27)*(AY35-AY34)/(AY28-AY27),AY34)</f>
        <v>0</v>
      </c>
    </row>
    <row r="38" spans="1:51" ht="14.25" customHeight="1" x14ac:dyDescent="0.3">
      <c r="B38" s="139" t="s">
        <v>93</v>
      </c>
      <c r="C38" s="140">
        <f ca="1">IFERROR(C36+(C29-C30)*(C37-C36)/(C31-C30),C36)</f>
        <v>5518.27</v>
      </c>
      <c r="G38" s="2"/>
      <c r="H38" s="2"/>
      <c r="I38" s="2"/>
      <c r="J38" s="139" t="s">
        <v>93</v>
      </c>
      <c r="K38" s="140">
        <f ca="1">IFERROR(K36+(K29-K30)*(K37-K36)/(K31-K30),K36)</f>
        <v>5265.47</v>
      </c>
      <c r="O38" s="2"/>
      <c r="P38" s="2"/>
      <c r="Q38" s="2"/>
      <c r="R38" s="139" t="s">
        <v>93</v>
      </c>
      <c r="S38" s="140">
        <f ca="1">IFERROR(S36+(S29-S30)*(S37-S36)/(S31-S30),S36)</f>
        <v>4893.07</v>
      </c>
      <c r="W38" s="2"/>
      <c r="X38" s="2"/>
      <c r="Y38" s="2"/>
      <c r="Z38" s="139" t="s">
        <v>93</v>
      </c>
      <c r="AA38" s="140">
        <f ca="1">IFERROR(AA36+(AA29-AA30)*(AA37-AA36)/(AA31-AA30),AA36)</f>
        <v>4617.9799999999996</v>
      </c>
      <c r="AE38" s="2"/>
      <c r="AF38" s="2"/>
      <c r="AG38" s="2"/>
      <c r="AH38" s="139" t="s">
        <v>93</v>
      </c>
      <c r="AI38" s="140">
        <f ca="1">IFERROR(AI36+(AI29-AI30)*(AI37-AI36)/(AI31-AI30),AI36)</f>
        <v>4534.59</v>
      </c>
      <c r="AM38" s="2"/>
      <c r="AN38" s="2"/>
      <c r="AO38" s="2"/>
      <c r="AP38" s="139" t="s">
        <v>93</v>
      </c>
      <c r="AQ38" s="140">
        <f ca="1">IFERROR(AQ36+(AQ29-AQ30)*(AQ37-AQ36)/(AQ31-AQ30),AQ36)</f>
        <v>4459.43</v>
      </c>
      <c r="AU38" s="2"/>
      <c r="AV38" s="2"/>
      <c r="AW38" s="2"/>
      <c r="AX38" s="139" t="s">
        <v>93</v>
      </c>
      <c r="AY38" s="140">
        <f ca="1">IFERROR(AY36+(AY29-AY30)*(AY37-AY36)/(AY31-AY30),AY36)</f>
        <v>0</v>
      </c>
    </row>
    <row r="39" spans="1:51" ht="14.25" customHeight="1" x14ac:dyDescent="0.3">
      <c r="B39" s="139"/>
      <c r="C39" s="140"/>
      <c r="G39" s="2"/>
      <c r="H39" s="2"/>
      <c r="I39" s="2"/>
      <c r="J39" s="139"/>
      <c r="K39" s="140"/>
      <c r="O39" s="2"/>
      <c r="P39" s="2"/>
      <c r="Q39" s="2"/>
      <c r="R39" s="139"/>
      <c r="S39" s="140"/>
      <c r="W39" s="2"/>
      <c r="X39" s="2"/>
      <c r="Y39" s="2"/>
      <c r="Z39" s="139"/>
      <c r="AA39" s="140"/>
      <c r="AE39" s="2"/>
      <c r="AF39" s="2"/>
      <c r="AG39" s="2"/>
      <c r="AH39" s="139"/>
      <c r="AI39" s="140"/>
      <c r="AM39" s="2"/>
      <c r="AN39" s="2"/>
      <c r="AO39" s="2"/>
      <c r="AP39" s="139"/>
      <c r="AQ39" s="140"/>
      <c r="AU39" s="2"/>
      <c r="AV39" s="2"/>
      <c r="AW39" s="2"/>
      <c r="AX39" s="139"/>
      <c r="AY39" s="140"/>
    </row>
    <row r="40" spans="1:51" ht="14.25" customHeight="1" x14ac:dyDescent="0.3">
      <c r="A40" t="s">
        <v>221</v>
      </c>
      <c r="B40" s="355" t="s">
        <v>222</v>
      </c>
      <c r="C40" s="355"/>
      <c r="D40" s="355"/>
      <c r="E40" s="355"/>
      <c r="F40" s="355"/>
      <c r="G40" s="355"/>
      <c r="H40" s="355"/>
      <c r="I40" s="355"/>
      <c r="J40" s="139"/>
      <c r="K40" s="140"/>
      <c r="O40" s="2"/>
      <c r="P40" s="2"/>
      <c r="Q40" s="2"/>
      <c r="R40" s="139"/>
      <c r="S40" s="140"/>
      <c r="W40" s="2"/>
      <c r="X40" s="2"/>
      <c r="Y40" s="2"/>
      <c r="Z40" s="139"/>
      <c r="AA40" s="140"/>
      <c r="AE40" s="2"/>
      <c r="AF40" s="2"/>
      <c r="AG40" s="2"/>
      <c r="AH40" s="139"/>
      <c r="AI40" s="140"/>
      <c r="AM40" s="2"/>
      <c r="AN40" s="2"/>
      <c r="AO40" s="2"/>
      <c r="AP40" s="139"/>
      <c r="AQ40" s="140"/>
      <c r="AU40" s="2"/>
      <c r="AV40" s="2"/>
      <c r="AW40" s="2"/>
      <c r="AX40" s="139"/>
      <c r="AY40" s="140"/>
    </row>
    <row r="41" spans="1:51" ht="14.25" customHeight="1" x14ac:dyDescent="0.3">
      <c r="A41" t="s">
        <v>35</v>
      </c>
      <c r="B41" s="263">
        <v>3400</v>
      </c>
      <c r="C41" s="269">
        <v>3800</v>
      </c>
      <c r="D41" s="270">
        <v>4300</v>
      </c>
      <c r="E41" s="270">
        <v>4800</v>
      </c>
      <c r="F41" s="270">
        <v>5300</v>
      </c>
      <c r="G41" s="271">
        <v>5800</v>
      </c>
      <c r="H41" s="271">
        <v>6250</v>
      </c>
      <c r="I41" s="272">
        <v>6700</v>
      </c>
      <c r="J41" s="139"/>
      <c r="K41" s="140"/>
      <c r="M41" s="139"/>
      <c r="N41" s="140"/>
      <c r="R41" s="2"/>
      <c r="S41" s="2"/>
      <c r="T41" s="2"/>
      <c r="W41" s="2"/>
      <c r="X41" s="2"/>
      <c r="Y41" s="2"/>
      <c r="Z41" s="139"/>
      <c r="AA41" s="140"/>
      <c r="AE41" s="2"/>
      <c r="AF41" s="2"/>
      <c r="AG41" s="2"/>
      <c r="AH41" s="139"/>
      <c r="AI41" s="140"/>
      <c r="AM41" s="2"/>
      <c r="AN41" s="2"/>
      <c r="AO41" s="2"/>
      <c r="AP41" s="139"/>
      <c r="AQ41" s="140"/>
      <c r="AU41" s="2"/>
      <c r="AV41" s="2"/>
      <c r="AW41" s="2"/>
      <c r="AX41" s="139"/>
      <c r="AY41" s="140"/>
    </row>
    <row r="42" spans="1:51" ht="14.25" customHeight="1" x14ac:dyDescent="0.3">
      <c r="A42">
        <v>-2</v>
      </c>
      <c r="B42" s="72">
        <v>3750</v>
      </c>
      <c r="C42" s="203">
        <v>4150</v>
      </c>
      <c r="D42">
        <v>4630</v>
      </c>
      <c r="E42">
        <v>5100</v>
      </c>
      <c r="F42">
        <v>5600</v>
      </c>
      <c r="G42" s="12">
        <v>6100</v>
      </c>
      <c r="H42" s="12">
        <v>6600</v>
      </c>
      <c r="I42" s="12">
        <v>7075</v>
      </c>
      <c r="J42" s="139"/>
      <c r="K42" s="140"/>
      <c r="M42" s="139"/>
      <c r="N42" s="140"/>
      <c r="R42" s="2"/>
      <c r="S42" s="2"/>
      <c r="T42" s="2"/>
      <c r="W42" s="2"/>
      <c r="X42" s="2"/>
      <c r="Y42" s="2"/>
      <c r="Z42" s="139"/>
      <c r="AA42" s="140"/>
      <c r="AE42" s="2"/>
      <c r="AF42" s="2"/>
      <c r="AG42" s="2"/>
      <c r="AH42" s="139"/>
      <c r="AI42" s="140"/>
      <c r="AM42" s="2"/>
      <c r="AN42" s="2"/>
      <c r="AO42" s="2"/>
      <c r="AP42" s="139"/>
      <c r="AQ42" s="140"/>
      <c r="AU42" s="2"/>
      <c r="AV42" s="2"/>
      <c r="AW42" s="2"/>
      <c r="AX42" s="139"/>
      <c r="AY42" s="140"/>
    </row>
    <row r="43" spans="1:51" ht="14.25" customHeight="1" x14ac:dyDescent="0.3">
      <c r="A43">
        <v>-1</v>
      </c>
      <c r="B43" s="72">
        <v>3600</v>
      </c>
      <c r="C43" s="203">
        <v>4000</v>
      </c>
      <c r="D43">
        <v>4500</v>
      </c>
      <c r="E43">
        <v>4950</v>
      </c>
      <c r="F43">
        <v>5500</v>
      </c>
      <c r="G43" s="12">
        <v>5950</v>
      </c>
      <c r="H43" s="12">
        <v>6450</v>
      </c>
      <c r="I43" s="12">
        <v>6900</v>
      </c>
      <c r="J43" s="139"/>
      <c r="K43" s="140"/>
      <c r="M43" s="139"/>
      <c r="N43" s="140"/>
      <c r="R43" s="2"/>
      <c r="S43" s="2"/>
      <c r="T43" s="2"/>
      <c r="W43" s="2"/>
      <c r="X43" s="2"/>
      <c r="Y43" s="2"/>
      <c r="Z43" s="139"/>
      <c r="AA43" s="140"/>
      <c r="AE43" s="2"/>
      <c r="AF43" s="2"/>
      <c r="AG43" s="2"/>
      <c r="AH43" s="139"/>
      <c r="AI43" s="140"/>
      <c r="AM43" s="2"/>
      <c r="AN43" s="2"/>
      <c r="AO43" s="2"/>
      <c r="AP43" s="139"/>
      <c r="AQ43" s="140"/>
      <c r="AU43" s="2"/>
      <c r="AV43" s="2"/>
      <c r="AW43" s="2"/>
      <c r="AX43" s="139"/>
      <c r="AY43" s="140"/>
    </row>
    <row r="44" spans="1:51" ht="14.25" customHeight="1" x14ac:dyDescent="0.3">
      <c r="A44">
        <v>0</v>
      </c>
      <c r="B44" s="72">
        <v>3400</v>
      </c>
      <c r="C44" s="203">
        <v>3800</v>
      </c>
      <c r="D44">
        <v>4300</v>
      </c>
      <c r="E44">
        <v>4800</v>
      </c>
      <c r="F44">
        <v>5300</v>
      </c>
      <c r="G44" s="12">
        <v>5800</v>
      </c>
      <c r="H44" s="12">
        <v>6250</v>
      </c>
      <c r="I44" s="12">
        <v>6700</v>
      </c>
      <c r="J44" s="139"/>
      <c r="K44" s="140"/>
      <c r="M44" s="139"/>
      <c r="N44" s="140"/>
      <c r="R44" s="2"/>
      <c r="S44" s="2"/>
      <c r="T44" s="2"/>
      <c r="W44" s="2"/>
      <c r="X44" s="2"/>
      <c r="Y44" s="2"/>
      <c r="Z44" s="139"/>
      <c r="AA44" s="140"/>
      <c r="AE44" s="2"/>
      <c r="AF44" s="2"/>
      <c r="AG44" s="2"/>
      <c r="AH44" s="139"/>
      <c r="AI44" s="140"/>
      <c r="AM44" s="2"/>
      <c r="AN44" s="2"/>
      <c r="AO44" s="2"/>
      <c r="AP44" s="139"/>
      <c r="AQ44" s="140"/>
      <c r="AU44" s="2"/>
      <c r="AV44" s="2"/>
      <c r="AW44" s="2"/>
      <c r="AX44" s="139"/>
      <c r="AY44" s="140"/>
    </row>
    <row r="45" spans="1:51" ht="14.25" customHeight="1" x14ac:dyDescent="0.3">
      <c r="A45">
        <v>1</v>
      </c>
      <c r="B45" s="72">
        <v>3300</v>
      </c>
      <c r="C45" s="203">
        <v>3750</v>
      </c>
      <c r="D45">
        <v>4250</v>
      </c>
      <c r="E45">
        <v>4900</v>
      </c>
      <c r="F45">
        <v>5550</v>
      </c>
      <c r="G45">
        <v>6075</v>
      </c>
      <c r="H45">
        <v>6550</v>
      </c>
      <c r="I45">
        <v>7000</v>
      </c>
      <c r="J45" s="139"/>
      <c r="K45" s="140"/>
      <c r="M45" s="139"/>
      <c r="N45" s="140"/>
      <c r="W45" s="2"/>
      <c r="X45" s="2"/>
      <c r="Y45" s="2"/>
      <c r="Z45" s="139"/>
      <c r="AA45" s="140"/>
      <c r="AE45" s="2"/>
      <c r="AF45" s="2"/>
      <c r="AG45" s="2"/>
      <c r="AH45" s="139"/>
      <c r="AI45" s="140"/>
      <c r="AM45" s="2"/>
      <c r="AN45" s="2"/>
      <c r="AO45" s="2"/>
      <c r="AP45" s="139"/>
      <c r="AQ45" s="140"/>
      <c r="AU45" s="2"/>
      <c r="AV45" s="2"/>
      <c r="AW45" s="2"/>
      <c r="AX45" s="139"/>
      <c r="AY45" s="140"/>
    </row>
    <row r="46" spans="1:51" ht="14.25" customHeight="1" x14ac:dyDescent="0.3">
      <c r="A46">
        <v>1.6</v>
      </c>
      <c r="B46" s="72">
        <v>3300</v>
      </c>
      <c r="C46" s="203">
        <v>3700</v>
      </c>
      <c r="D46">
        <v>4350</v>
      </c>
      <c r="E46">
        <v>5000</v>
      </c>
      <c r="F46">
        <v>5600</v>
      </c>
      <c r="G46" s="12">
        <v>6100</v>
      </c>
      <c r="H46" s="12">
        <v>6600</v>
      </c>
      <c r="I46" s="12">
        <v>7050</v>
      </c>
      <c r="J46" s="72"/>
      <c r="K46" s="140"/>
      <c r="M46" s="139"/>
      <c r="N46" s="140"/>
      <c r="R46" s="2"/>
      <c r="S46" s="2"/>
      <c r="T46" s="2"/>
      <c r="W46" s="2"/>
      <c r="X46" s="2"/>
      <c r="Y46" s="2"/>
      <c r="Z46" s="139"/>
      <c r="AA46" s="140"/>
      <c r="AE46" s="2"/>
      <c r="AF46" s="2"/>
      <c r="AG46" s="2"/>
      <c r="AH46" s="139"/>
      <c r="AI46" s="140"/>
      <c r="AM46" s="2"/>
      <c r="AN46" s="2"/>
      <c r="AO46" s="2"/>
      <c r="AP46" s="139"/>
      <c r="AQ46" s="140"/>
      <c r="AU46" s="2"/>
      <c r="AV46" s="2"/>
      <c r="AW46" s="2"/>
      <c r="AX46" s="139"/>
      <c r="AY46" s="140"/>
    </row>
    <row r="47" spans="1:51" ht="14.25" customHeight="1" x14ac:dyDescent="0.3">
      <c r="A47">
        <v>2</v>
      </c>
      <c r="B47" s="72">
        <v>3200</v>
      </c>
      <c r="C47" s="203">
        <v>3650</v>
      </c>
      <c r="D47">
        <v>4400</v>
      </c>
      <c r="E47">
        <v>5050</v>
      </c>
      <c r="F47">
        <v>5600</v>
      </c>
      <c r="G47" s="12">
        <v>6075</v>
      </c>
      <c r="H47" s="12">
        <v>6600</v>
      </c>
      <c r="I47" s="12">
        <v>7000</v>
      </c>
      <c r="J47" s="139"/>
      <c r="K47" s="140"/>
      <c r="M47" s="139"/>
      <c r="N47" s="140"/>
      <c r="R47" s="2"/>
      <c r="S47" s="2"/>
      <c r="T47" s="2"/>
      <c r="W47" s="2"/>
      <c r="X47" s="2"/>
      <c r="Y47" s="2"/>
      <c r="Z47" s="139"/>
      <c r="AA47" s="140"/>
      <c r="AE47" s="2"/>
      <c r="AF47" s="2"/>
      <c r="AG47" s="2"/>
      <c r="AH47" s="139"/>
      <c r="AI47" s="140"/>
      <c r="AM47" s="2"/>
      <c r="AN47" s="2"/>
      <c r="AO47" s="2"/>
      <c r="AP47" s="139"/>
      <c r="AQ47" s="140"/>
      <c r="AU47" s="2"/>
      <c r="AV47" s="2"/>
      <c r="AW47" s="2"/>
      <c r="AX47" s="139"/>
      <c r="AY47" s="140"/>
    </row>
    <row r="48" spans="1:51" ht="14.25" customHeight="1" x14ac:dyDescent="0.3">
      <c r="B48" s="139"/>
      <c r="C48" s="140"/>
      <c r="G48" s="2"/>
      <c r="H48" s="2"/>
      <c r="I48" s="2"/>
      <c r="J48" s="139"/>
      <c r="K48" s="140"/>
      <c r="O48" s="2"/>
      <c r="P48" s="2"/>
      <c r="Q48" s="2"/>
      <c r="R48" s="139"/>
      <c r="S48" s="140"/>
      <c r="W48" s="2"/>
      <c r="X48" s="2"/>
      <c r="Y48" s="2"/>
      <c r="Z48" s="139"/>
      <c r="AA48" s="140"/>
      <c r="AE48" s="2"/>
      <c r="AF48" s="2"/>
      <c r="AG48" s="2"/>
      <c r="AH48" s="139"/>
      <c r="AI48" s="140"/>
      <c r="AM48" s="2"/>
      <c r="AN48" s="2"/>
      <c r="AO48" s="2"/>
      <c r="AP48" s="139"/>
      <c r="AQ48" s="140"/>
      <c r="AU48" s="2"/>
      <c r="AV48" s="2"/>
      <c r="AW48" s="2"/>
      <c r="AX48" s="139"/>
      <c r="AY48" s="140"/>
    </row>
    <row r="49" spans="1:53" ht="14.25" customHeight="1" x14ac:dyDescent="0.3">
      <c r="B49" s="139" t="s">
        <v>146</v>
      </c>
      <c r="C49" s="140">
        <f ca="1">C38</f>
        <v>5518.27</v>
      </c>
      <c r="D49" s="355" t="s">
        <v>201</v>
      </c>
      <c r="E49" s="355"/>
      <c r="G49" s="2"/>
      <c r="H49" s="2"/>
      <c r="I49" s="2"/>
      <c r="J49" s="139" t="s">
        <v>146</v>
      </c>
      <c r="K49" s="140">
        <f ca="1">K38</f>
        <v>5265.47</v>
      </c>
      <c r="L49" s="355" t="s">
        <v>201</v>
      </c>
      <c r="M49" s="355"/>
      <c r="O49" s="2"/>
      <c r="P49" s="2"/>
      <c r="Q49" s="2"/>
      <c r="R49" s="139" t="s">
        <v>146</v>
      </c>
      <c r="S49" s="140">
        <f ca="1">S38</f>
        <v>4893.07</v>
      </c>
      <c r="T49" s="355" t="s">
        <v>201</v>
      </c>
      <c r="U49" s="355"/>
      <c r="W49" s="2"/>
      <c r="X49" s="2"/>
      <c r="Y49" s="2"/>
      <c r="Z49" s="139" t="s">
        <v>146</v>
      </c>
      <c r="AA49" s="140">
        <f ca="1">AA38</f>
        <v>4617.9799999999996</v>
      </c>
      <c r="AB49" s="355" t="s">
        <v>201</v>
      </c>
      <c r="AC49" s="355"/>
      <c r="AE49" s="2"/>
      <c r="AF49" s="2"/>
      <c r="AG49" s="2"/>
      <c r="AH49" s="139" t="s">
        <v>146</v>
      </c>
      <c r="AI49" s="140">
        <f ca="1">AI38</f>
        <v>4534.59</v>
      </c>
      <c r="AJ49" s="355" t="s">
        <v>201</v>
      </c>
      <c r="AK49" s="355"/>
      <c r="AM49" s="2"/>
      <c r="AN49" s="2"/>
      <c r="AO49" s="2"/>
      <c r="AP49" s="139" t="s">
        <v>146</v>
      </c>
      <c r="AQ49" s="140">
        <f ca="1">AQ38</f>
        <v>4459.43</v>
      </c>
      <c r="AR49" s="355" t="s">
        <v>201</v>
      </c>
      <c r="AS49" s="355"/>
      <c r="AU49" s="2"/>
      <c r="AV49" s="2"/>
      <c r="AW49" s="2"/>
      <c r="AX49" s="139" t="s">
        <v>146</v>
      </c>
      <c r="AY49" s="140">
        <f ca="1">AY38</f>
        <v>0</v>
      </c>
      <c r="AZ49" s="355" t="s">
        <v>201</v>
      </c>
      <c r="BA49" s="355"/>
    </row>
    <row r="50" spans="1:53" ht="14.25" customHeight="1" x14ac:dyDescent="0.3">
      <c r="B50" s="16" t="s">
        <v>202</v>
      </c>
      <c r="C50" s="141">
        <f t="array" aca="1" ref="C50" ca="1">INDEX(B41:I41,MATCH(C49,B41:I41,1))</f>
        <v>5300</v>
      </c>
      <c r="D50" s="16" t="s">
        <v>144</v>
      </c>
      <c r="E50" s="17">
        <f>MATCH(MAX(A42:A47),A42:A47,1)</f>
        <v>6</v>
      </c>
      <c r="G50" s="2"/>
      <c r="H50" s="2"/>
      <c r="I50" s="2"/>
      <c r="J50" s="16" t="s">
        <v>202</v>
      </c>
      <c r="K50" s="141">
        <f t="array" aca="1" ref="K50" ca="1">INDEX($B$41:$I$41,MATCH(K49,$B$41:$I$41,1))</f>
        <v>4800</v>
      </c>
      <c r="L50" s="16" t="s">
        <v>144</v>
      </c>
      <c r="M50" s="17">
        <f>MATCH(MAX($A$42:$A$47),$A$42:$A$47,1)</f>
        <v>6</v>
      </c>
      <c r="O50" s="2"/>
      <c r="P50" s="2"/>
      <c r="Q50" s="2"/>
      <c r="R50" s="16" t="s">
        <v>202</v>
      </c>
      <c r="S50" s="141">
        <f t="array" aca="1" ref="S50" ca="1">INDEX($B$41:$I$41,MATCH(S49,$B$41:$I$41,1))</f>
        <v>4800</v>
      </c>
      <c r="T50" s="16" t="s">
        <v>144</v>
      </c>
      <c r="U50" s="17">
        <f>MATCH(MAX($A$42:$A$47),$A$42:$A$47,1)</f>
        <v>6</v>
      </c>
      <c r="W50" s="2"/>
      <c r="X50" s="2"/>
      <c r="Y50" s="2"/>
      <c r="Z50" s="16" t="s">
        <v>202</v>
      </c>
      <c r="AA50" s="141">
        <f t="array" aca="1" ref="AA50" ca="1">INDEX($B$41:$I$41,MATCH(AA49,$B$41:$I$41,1))</f>
        <v>4300</v>
      </c>
      <c r="AB50" s="16" t="s">
        <v>144</v>
      </c>
      <c r="AC50" s="17">
        <f>MATCH(MAX($A$42:$A$47),$A$42:$A$47,1)</f>
        <v>6</v>
      </c>
      <c r="AE50" s="2"/>
      <c r="AF50" s="2"/>
      <c r="AG50" s="2"/>
      <c r="AH50" s="16" t="s">
        <v>202</v>
      </c>
      <c r="AI50" s="141">
        <f t="array" aca="1" ref="AI50" ca="1">INDEX($B$41:$I$41,MATCH(AI49,$B$41:$I$41,1))</f>
        <v>4300</v>
      </c>
      <c r="AJ50" s="16" t="s">
        <v>144</v>
      </c>
      <c r="AK50" s="17">
        <f>MATCH(MAX($A$42:$A$47),$A$42:$A$47,1)</f>
        <v>6</v>
      </c>
      <c r="AM50" s="2"/>
      <c r="AN50" s="2"/>
      <c r="AO50" s="2"/>
      <c r="AP50" s="16" t="s">
        <v>202</v>
      </c>
      <c r="AQ50" s="141">
        <f t="array" aca="1" ref="AQ50" ca="1">INDEX($B$41:$I$41,MATCH(AQ49,$B$41:$I$41,1))</f>
        <v>4300</v>
      </c>
      <c r="AR50" s="16" t="s">
        <v>144</v>
      </c>
      <c r="AS50" s="17">
        <f>MATCH(MAX($A$42:$A$47),$A$42:$A$47,1)</f>
        <v>6</v>
      </c>
      <c r="AU50" s="2"/>
      <c r="AV50" s="2"/>
      <c r="AW50" s="2"/>
      <c r="AX50" s="16" t="s">
        <v>202</v>
      </c>
      <c r="AY50" s="141" t="e">
        <f t="array" aca="1" ref="AY50" ca="1">INDEX($B$41:$I$41,MATCH(AY49,$B$41:$I$41,1))</f>
        <v>#N/A</v>
      </c>
      <c r="AZ50" s="16" t="s">
        <v>144</v>
      </c>
      <c r="BA50" s="17">
        <f>MATCH(MAX($A$42:$A$47),$A$42:$A$47,1)</f>
        <v>6</v>
      </c>
    </row>
    <row r="51" spans="1:53" ht="14.25" customHeight="1" x14ac:dyDescent="0.3">
      <c r="B51" s="16" t="s">
        <v>203</v>
      </c>
      <c r="C51" s="141">
        <f t="array" aca="1" ref="C51" ca="1">INDEX(B41:I41,IF(MATCH(C49,B41:I41,1)&lt;E51,MATCH(C49,B41:I41,1)+1,MATCH(C49,B41:I41,1)))</f>
        <v>5800</v>
      </c>
      <c r="D51" s="16" t="s">
        <v>145</v>
      </c>
      <c r="E51" s="17">
        <f>MATCH(MAX(B41:I41),B41:I41,0)</f>
        <v>8</v>
      </c>
      <c r="G51" s="2"/>
      <c r="H51" s="2"/>
      <c r="I51" s="2"/>
      <c r="J51" s="16" t="s">
        <v>203</v>
      </c>
      <c r="K51" s="141">
        <f t="array" aca="1" ref="K51" ca="1">INDEX($B$41:$I$41,IF(MATCH(K49,$B$41:$I$41,1)&lt;M51,MATCH(K49,$B$41:$I$41,1)+1,MATCH(K49,$B$41:$I$41,1)))</f>
        <v>5300</v>
      </c>
      <c r="L51" s="16" t="s">
        <v>145</v>
      </c>
      <c r="M51" s="17">
        <f>MATCH(MAX($B$41:$I$41),$B$41:$I$41,0)</f>
        <v>8</v>
      </c>
      <c r="O51" s="2"/>
      <c r="P51" s="2"/>
      <c r="Q51" s="2"/>
      <c r="R51" s="16" t="s">
        <v>203</v>
      </c>
      <c r="S51" s="141">
        <f t="array" aca="1" ref="S51" ca="1">INDEX($B$41:$I$41,IF(MATCH(S49,$B$41:$I$41,1)&lt;U51,MATCH(S49,$B$41:$I$41,1)+1,MATCH(S49,$B$41:$I$41,1)))</f>
        <v>5300</v>
      </c>
      <c r="T51" s="16" t="s">
        <v>145</v>
      </c>
      <c r="U51" s="17">
        <f>MATCH(MAX($B$41:$I$41),$B$41:$I$41,0)</f>
        <v>8</v>
      </c>
      <c r="W51" s="2"/>
      <c r="X51" s="2"/>
      <c r="Y51" s="2"/>
      <c r="Z51" s="16" t="s">
        <v>203</v>
      </c>
      <c r="AA51" s="141">
        <f t="array" aca="1" ref="AA51" ca="1">INDEX($B$41:$I$41,IF(MATCH(AA49,$B$41:$I$41,1)&lt;AC51,MATCH(AA49,$B$41:$I$41,1)+1,MATCH(AA49,$B$41:$I$41,1)))</f>
        <v>4800</v>
      </c>
      <c r="AB51" s="16" t="s">
        <v>145</v>
      </c>
      <c r="AC51" s="17">
        <f>MATCH(MAX($B$41:$I$41),$B$41:$I$41,0)</f>
        <v>8</v>
      </c>
      <c r="AE51" s="2"/>
      <c r="AF51" s="2"/>
      <c r="AG51" s="2"/>
      <c r="AH51" s="16" t="s">
        <v>203</v>
      </c>
      <c r="AI51" s="141">
        <f t="array" aca="1" ref="AI51" ca="1">INDEX($B$41:$I$41,IF(MATCH(AI49,$B$41:$I$41,1)&lt;AK51,MATCH(AI49,$B$41:$I$41,1)+1,MATCH(AI49,$B$41:$I$41,1)))</f>
        <v>4800</v>
      </c>
      <c r="AJ51" s="16" t="s">
        <v>145</v>
      </c>
      <c r="AK51" s="17">
        <f>MATCH(MAX($B$41:$I$41),$B$41:$I$41,0)</f>
        <v>8</v>
      </c>
      <c r="AM51" s="2"/>
      <c r="AN51" s="2"/>
      <c r="AO51" s="2"/>
      <c r="AP51" s="16" t="s">
        <v>203</v>
      </c>
      <c r="AQ51" s="141">
        <f t="array" aca="1" ref="AQ51" ca="1">INDEX($B$41:$I$41,IF(MATCH(AQ49,$B$41:$I$41,1)&lt;AS51,MATCH(AQ49,$B$41:$I$41,1)+1,MATCH(AQ49,$B$41:$I$41,1)))</f>
        <v>4800</v>
      </c>
      <c r="AR51" s="16" t="s">
        <v>145</v>
      </c>
      <c r="AS51" s="17">
        <f>MATCH(MAX($B$41:$I$41),$B$41:$I$41,0)</f>
        <v>8</v>
      </c>
      <c r="AU51" s="2"/>
      <c r="AV51" s="2"/>
      <c r="AW51" s="2"/>
      <c r="AX51" s="16" t="s">
        <v>203</v>
      </c>
      <c r="AY51" s="141" t="e">
        <f t="array" aca="1" ref="AY51" ca="1">INDEX($B$41:$I$41,IF(MATCH(AY49,$B$41:$I$41,1)&lt;BA51,MATCH(AY49,$B$41:$I$41,1)+1,MATCH(AY49,$B$41:$I$41,1)))</f>
        <v>#N/A</v>
      </c>
      <c r="AZ51" s="16" t="s">
        <v>145</v>
      </c>
      <c r="BA51" s="17">
        <f>MATCH(MAX($B$41:$I$41),$B$41:$I$41,0)</f>
        <v>8</v>
      </c>
    </row>
    <row r="52" spans="1:53" ht="14.25" customHeight="1" x14ac:dyDescent="0.3">
      <c r="B52" s="139" t="s">
        <v>147</v>
      </c>
      <c r="C52" s="186">
        <f>'Take-off'!$C$17</f>
        <v>0</v>
      </c>
      <c r="D52" s="2"/>
      <c r="E52" s="2"/>
      <c r="G52" s="2"/>
      <c r="H52" s="2"/>
      <c r="I52" s="2"/>
      <c r="J52" s="139" t="s">
        <v>147</v>
      </c>
      <c r="K52" s="186">
        <f>'Take-off'!$C$17</f>
        <v>0</v>
      </c>
      <c r="L52" s="2"/>
      <c r="M52" s="2"/>
      <c r="O52" s="2"/>
      <c r="P52" s="2"/>
      <c r="Q52" s="2"/>
      <c r="R52" s="139" t="s">
        <v>147</v>
      </c>
      <c r="S52" s="186">
        <f>'Take-off'!$C$17</f>
        <v>0</v>
      </c>
      <c r="T52" s="2"/>
      <c r="U52" s="2"/>
      <c r="W52" s="2"/>
      <c r="X52" s="2"/>
      <c r="Y52" s="2"/>
      <c r="Z52" s="139" t="s">
        <v>147</v>
      </c>
      <c r="AA52" s="186">
        <f>'Take-off'!$C$17</f>
        <v>0</v>
      </c>
      <c r="AB52" s="2"/>
      <c r="AC52" s="2"/>
      <c r="AE52" s="2"/>
      <c r="AF52" s="2"/>
      <c r="AG52" s="2"/>
      <c r="AH52" s="139" t="s">
        <v>147</v>
      </c>
      <c r="AI52" s="186">
        <f>'Take-off'!$C$17</f>
        <v>0</v>
      </c>
      <c r="AJ52" s="2"/>
      <c r="AK52" s="2"/>
      <c r="AM52" s="2"/>
      <c r="AN52" s="2"/>
      <c r="AO52" s="2"/>
      <c r="AP52" s="139" t="s">
        <v>147</v>
      </c>
      <c r="AQ52" s="186">
        <f>'Take-off'!$C$17</f>
        <v>0</v>
      </c>
      <c r="AR52" s="2"/>
      <c r="AS52" s="2"/>
      <c r="AU52" s="2"/>
      <c r="AV52" s="2"/>
      <c r="AW52" s="2"/>
      <c r="AX52" s="139" t="s">
        <v>147</v>
      </c>
      <c r="AY52" s="186">
        <f>'Take-off'!$C$17</f>
        <v>0</v>
      </c>
      <c r="AZ52" s="2"/>
      <c r="BA52" s="2"/>
    </row>
    <row r="53" spans="1:53" ht="14.25" customHeight="1" x14ac:dyDescent="0.3">
      <c r="B53" s="16" t="s">
        <v>148</v>
      </c>
      <c r="C53" s="141">
        <f t="array" ref="C53">INDEX(A42:A47,MATCH(C52,A42:A47,1))</f>
        <v>0</v>
      </c>
      <c r="D53" s="2"/>
      <c r="E53" s="42"/>
      <c r="G53" s="2"/>
      <c r="H53" s="2"/>
      <c r="I53" s="2"/>
      <c r="J53" s="16" t="s">
        <v>148</v>
      </c>
      <c r="K53" s="141">
        <f t="array" ref="K53">INDEX($A$42:$A$47,MATCH(K52,$A$42:$A$47,1))</f>
        <v>0</v>
      </c>
      <c r="L53" s="2"/>
      <c r="M53" s="42"/>
      <c r="O53" s="2"/>
      <c r="P53" s="2"/>
      <c r="Q53" s="2"/>
      <c r="R53" s="16" t="s">
        <v>148</v>
      </c>
      <c r="S53" s="141">
        <f t="array" ref="S53">INDEX($A$42:$A$47,MATCH(S52,$A$42:$A$47,1))</f>
        <v>0</v>
      </c>
      <c r="T53" s="2"/>
      <c r="U53" s="42"/>
      <c r="W53" s="2"/>
      <c r="X53" s="2"/>
      <c r="Y53" s="2"/>
      <c r="Z53" s="16" t="s">
        <v>148</v>
      </c>
      <c r="AA53" s="141">
        <f t="array" ref="AA53">INDEX($A$42:$A$47,MATCH(AA52,$A$42:$A$47,1))</f>
        <v>0</v>
      </c>
      <c r="AB53" s="2"/>
      <c r="AC53" s="42"/>
      <c r="AE53" s="2"/>
      <c r="AF53" s="2"/>
      <c r="AG53" s="2"/>
      <c r="AH53" s="16" t="s">
        <v>148</v>
      </c>
      <c r="AI53" s="141">
        <f t="array" ref="AI53">INDEX($A$42:$A$47,MATCH(AI52,$A$42:$A$47,1))</f>
        <v>0</v>
      </c>
      <c r="AJ53" s="2"/>
      <c r="AK53" s="42"/>
      <c r="AM53" s="2"/>
      <c r="AN53" s="2"/>
      <c r="AO53" s="2"/>
      <c r="AP53" s="16" t="s">
        <v>148</v>
      </c>
      <c r="AQ53" s="141">
        <f t="array" ref="AQ53">INDEX($A$42:$A$47,MATCH(AQ52,$A$42:$A$47,1))</f>
        <v>0</v>
      </c>
      <c r="AR53" s="2"/>
      <c r="AS53" s="42"/>
      <c r="AU53" s="2"/>
      <c r="AV53" s="2"/>
      <c r="AW53" s="2"/>
      <c r="AX53" s="16" t="s">
        <v>148</v>
      </c>
      <c r="AY53" s="141">
        <f t="array" ref="AY53">INDEX($A$42:$A$47,MATCH(AY52,$A$42:$A$47,1))</f>
        <v>0</v>
      </c>
      <c r="AZ53" s="2"/>
      <c r="BA53" s="42"/>
    </row>
    <row r="54" spans="1:53" ht="14.25" customHeight="1" x14ac:dyDescent="0.3">
      <c r="B54" s="16" t="s">
        <v>149</v>
      </c>
      <c r="C54" s="141">
        <f t="array" ref="C54">INDEX(A42:A47,IF(MATCH(C52,A42:A47,1)&lt;E50,MATCH(C52,A42:A47,1)+1,MATCH(C52,A42:A47,1)))</f>
        <v>1</v>
      </c>
      <c r="D54" s="2"/>
      <c r="E54" s="42"/>
      <c r="G54" s="2"/>
      <c r="H54" s="2"/>
      <c r="I54" s="2"/>
      <c r="J54" s="16" t="s">
        <v>149</v>
      </c>
      <c r="K54" s="141">
        <f t="array" ref="K54">INDEX($A$42:$A$47,IF(MATCH(K52,$A$42:$A$47,1)&lt;M50,MATCH(K52,$A$42:$A$47,1)+1,MATCH(K52,$A$42:$A$47,1)))</f>
        <v>1</v>
      </c>
      <c r="L54" s="2"/>
      <c r="M54" s="42"/>
      <c r="O54" s="2"/>
      <c r="P54" s="2"/>
      <c r="Q54" s="2"/>
      <c r="R54" s="16" t="s">
        <v>149</v>
      </c>
      <c r="S54" s="141">
        <f t="array" ref="S54">INDEX($A$42:$A$47,IF(MATCH(S52,$A$42:$A$47,1)&lt;U50,MATCH(S52,$A$42:$A$47,1)+1,MATCH(S52,$A$42:$A$47,1)))</f>
        <v>1</v>
      </c>
      <c r="T54" s="2"/>
      <c r="U54" s="42"/>
      <c r="W54" s="2"/>
      <c r="X54" s="2"/>
      <c r="Y54" s="2"/>
      <c r="Z54" s="16" t="s">
        <v>149</v>
      </c>
      <c r="AA54" s="141">
        <f t="array" ref="AA54">INDEX($A$42:$A$47,IF(MATCH(AA52,$A$42:$A$47,1)&lt;AC50,MATCH(AA52,$A$42:$A$47,1)+1,MATCH(AA52,$A$42:$A$47,1)))</f>
        <v>1</v>
      </c>
      <c r="AB54" s="2"/>
      <c r="AC54" s="42"/>
      <c r="AE54" s="2"/>
      <c r="AF54" s="2"/>
      <c r="AG54" s="2"/>
      <c r="AH54" s="16" t="s">
        <v>149</v>
      </c>
      <c r="AI54" s="141">
        <f t="array" ref="AI54">INDEX($A$42:$A$47,IF(MATCH(AI52,$A$42:$A$47,1)&lt;AK50,MATCH(AI52,$A$42:$A$47,1)+1,MATCH(AI52,$A$42:$A$47,1)))</f>
        <v>1</v>
      </c>
      <c r="AJ54" s="2"/>
      <c r="AK54" s="42"/>
      <c r="AM54" s="2"/>
      <c r="AN54" s="2"/>
      <c r="AO54" s="2"/>
      <c r="AP54" s="16" t="s">
        <v>149</v>
      </c>
      <c r="AQ54" s="141">
        <f t="array" ref="AQ54">INDEX($A$42:$A$47,IF(MATCH(AQ52,$A$42:$A$47,1)&lt;AS50,MATCH(AQ52,$A$42:$A$47,1)+1,MATCH(AQ52,$A$42:$A$47,1)))</f>
        <v>1</v>
      </c>
      <c r="AR54" s="2"/>
      <c r="AS54" s="42"/>
      <c r="AU54" s="2"/>
      <c r="AV54" s="2"/>
      <c r="AW54" s="2"/>
      <c r="AX54" s="16" t="s">
        <v>149</v>
      </c>
      <c r="AY54" s="141">
        <f t="array" ref="AY54">INDEX($A$42:$A$47,IF(MATCH(AY52,$A$42:$A$47,1)&lt;BA50,MATCH(AY52,$A$42:$A$47,1)+1,MATCH(AY52,$A$42:$A$47,1)))</f>
        <v>1</v>
      </c>
      <c r="AZ54" s="2"/>
      <c r="BA54" s="42"/>
    </row>
    <row r="55" spans="1:53" ht="14.25" customHeight="1" x14ac:dyDescent="0.3">
      <c r="B55" s="139" t="s">
        <v>150</v>
      </c>
      <c r="C55" s="140">
        <f t="array" aca="1" ref="C55" ca="1">INDEX(B42:I47,MATCH(C52,A42:A47,1),MATCH(C49,B41:I41,1))</f>
        <v>5300</v>
      </c>
      <c r="D55" s="2"/>
      <c r="E55" s="42"/>
      <c r="G55" s="2"/>
      <c r="H55" s="2"/>
      <c r="I55" s="2"/>
      <c r="J55" s="139" t="s">
        <v>150</v>
      </c>
      <c r="K55" s="140">
        <f t="array" aca="1" ref="K55" ca="1">INDEX($B$42:$I$47,MATCH(K52,$A$42:$A$47,1),MATCH(K49,$B$41:$I$41,1))</f>
        <v>4800</v>
      </c>
      <c r="L55" s="2"/>
      <c r="M55" s="42"/>
      <c r="O55" s="2"/>
      <c r="P55" s="2"/>
      <c r="Q55" s="2"/>
      <c r="R55" s="139" t="s">
        <v>150</v>
      </c>
      <c r="S55" s="140">
        <f t="array" aca="1" ref="S55" ca="1">INDEX($B$42:$I$47,MATCH(S52,$A$42:$A$47,1),MATCH(S49,$B$41:$I$41,1))</f>
        <v>4800</v>
      </c>
      <c r="T55" s="2"/>
      <c r="U55" s="42"/>
      <c r="W55" s="2"/>
      <c r="X55" s="2"/>
      <c r="Y55" s="2"/>
      <c r="Z55" s="139" t="s">
        <v>150</v>
      </c>
      <c r="AA55" s="140">
        <f t="array" aca="1" ref="AA55" ca="1">INDEX($B$42:$I$47,MATCH(AA52,$A$42:$A$47,1),MATCH(AA49,$B$41:$I$41,1))</f>
        <v>4300</v>
      </c>
      <c r="AB55" s="2"/>
      <c r="AC55" s="42"/>
      <c r="AE55" s="2"/>
      <c r="AF55" s="2"/>
      <c r="AG55" s="2"/>
      <c r="AH55" s="139" t="s">
        <v>150</v>
      </c>
      <c r="AI55" s="140">
        <f t="array" aca="1" ref="AI55" ca="1">INDEX($B$42:$I$47,MATCH(AI52,$A$42:$A$47,1),MATCH(AI49,$B$41:$I$41,1))</f>
        <v>4300</v>
      </c>
      <c r="AJ55" s="2"/>
      <c r="AK55" s="42"/>
      <c r="AM55" s="2"/>
      <c r="AN55" s="2"/>
      <c r="AO55" s="2"/>
      <c r="AP55" s="139" t="s">
        <v>150</v>
      </c>
      <c r="AQ55" s="140">
        <f t="array" aca="1" ref="AQ55" ca="1">INDEX($B$42:$I$47,MATCH(AQ52,$A$42:$A$47,1),MATCH(AQ49,$B$41:$I$41,1))</f>
        <v>4300</v>
      </c>
      <c r="AR55" s="2"/>
      <c r="AS55" s="42"/>
      <c r="AU55" s="2"/>
      <c r="AV55" s="2"/>
      <c r="AW55" s="2"/>
      <c r="AX55" s="139" t="s">
        <v>150</v>
      </c>
      <c r="AY55" s="140" t="e">
        <f t="array" aca="1" ref="AY55" ca="1">INDEX($B$42:$I$47,MATCH(AY52,$A$42:$A$47,1),MATCH(AY49,$B$41:$I$41,1))</f>
        <v>#N/A</v>
      </c>
      <c r="AZ55" s="2"/>
      <c r="BA55" s="42"/>
    </row>
    <row r="56" spans="1:53" ht="14.25" customHeight="1" x14ac:dyDescent="0.3">
      <c r="B56" s="139" t="s">
        <v>204</v>
      </c>
      <c r="C56" s="140">
        <f t="array" aca="1" ref="C56" ca="1">INDEX(B42:I47,MATCH(C52,A42:A47,1),IF(MATCH(C49,B41:I41,1)&lt;E51,MATCH(C49,B41:I41,1)+1,MATCH(C52,A42:A47,1)))</f>
        <v>5800</v>
      </c>
      <c r="E56" s="42"/>
      <c r="G56" s="2"/>
      <c r="H56" s="2"/>
      <c r="I56" s="2"/>
      <c r="J56" s="139" t="s">
        <v>204</v>
      </c>
      <c r="K56" s="140">
        <f t="array" aca="1" ref="K56" ca="1">INDEX($B$42:$I$47,MATCH(K52,$A$42:$A$47,1),IF(MATCH(K49,$B$41:$I$41,1)&lt;M51,MATCH(K49,$B$41:$I$41,1)+1,MATCH(K52,$A$42:$A$47,1)))</f>
        <v>5300</v>
      </c>
      <c r="M56" s="42"/>
      <c r="O56" s="2"/>
      <c r="P56" s="2"/>
      <c r="Q56" s="2"/>
      <c r="R56" s="139" t="s">
        <v>204</v>
      </c>
      <c r="S56" s="140">
        <f t="array" aca="1" ref="S56" ca="1">INDEX($B$42:$I$47,MATCH(S52,$A$42:$A$47,1),IF(MATCH(S49,$B$41:$I$41,1)&lt;U51,MATCH(S49,$B$41:$I$41,1)+1,MATCH(S52,$A$42:$A$47,1)))</f>
        <v>5300</v>
      </c>
      <c r="U56" s="42"/>
      <c r="W56" s="2"/>
      <c r="X56" s="2"/>
      <c r="Y56" s="2"/>
      <c r="Z56" s="139" t="s">
        <v>204</v>
      </c>
      <c r="AA56" s="140">
        <f t="array" aca="1" ref="AA56" ca="1">INDEX($B$42:$I$47,MATCH(AA52,$A$42:$A$47,1),IF(MATCH(AA49,$B$41:$I$41,1)&lt;AC51,MATCH(AA49,$B$41:$I$41,1)+1,MATCH(AA52,$A$42:$A$47,1)))</f>
        <v>4800</v>
      </c>
      <c r="AC56" s="42"/>
      <c r="AE56" s="2"/>
      <c r="AF56" s="2"/>
      <c r="AG56" s="2"/>
      <c r="AH56" s="139" t="s">
        <v>204</v>
      </c>
      <c r="AI56" s="140">
        <f t="array" aca="1" ref="AI56" ca="1">INDEX($B$42:$I$47,MATCH(AI52,$A$42:$A$47,1),IF(MATCH(AI49,$B$41:$I$41,1)&lt;AK51,MATCH(AI49,$B$41:$I$41,1)+1,MATCH(AI52,$A$42:$A$47,1)))</f>
        <v>4800</v>
      </c>
      <c r="AK56" s="42"/>
      <c r="AM56" s="2"/>
      <c r="AN56" s="2"/>
      <c r="AO56" s="2"/>
      <c r="AP56" s="139" t="s">
        <v>204</v>
      </c>
      <c r="AQ56" s="140">
        <f t="array" aca="1" ref="AQ56" ca="1">INDEX($B$42:$I$47,MATCH(AQ52,$A$42:$A$47,1),IF(MATCH(AQ49,$B$41:$I$41,1)&lt;AS51,MATCH(AQ49,$B$41:$I$41,1)+1,MATCH(AQ52,$A$42:$A$47,1)))</f>
        <v>4800</v>
      </c>
      <c r="AS56" s="42"/>
      <c r="AU56" s="2"/>
      <c r="AV56" s="2"/>
      <c r="AW56" s="2"/>
      <c r="AX56" s="139" t="s">
        <v>204</v>
      </c>
      <c r="AY56" s="140" t="e">
        <f t="array" aca="1" ref="AY56" ca="1">INDEX($B$42:$I$47,MATCH(AY52,$A$42:$A$47,1),IF(MATCH(AY49,$B$41:$I$41,1)&lt;BA51,MATCH(AY49,$B$41:$I$41,1)+1,MATCH(AY52,$A$42:$A$47,1)))</f>
        <v>#N/A</v>
      </c>
      <c r="BA56" s="42"/>
    </row>
    <row r="57" spans="1:53" ht="14.25" customHeight="1" x14ac:dyDescent="0.3">
      <c r="B57" s="139" t="s">
        <v>151</v>
      </c>
      <c r="C57" s="140">
        <f t="array" aca="1" ref="C57" ca="1">INDEX(B42:I47,IF(MATCH(C52,A42:A47,1)&lt;E50,MATCH(C52,A42:A47,1)+1,MATCH(C52,A42:A47,1)),MATCH(C49,B41:I41,1))</f>
        <v>5550</v>
      </c>
      <c r="E57" s="42"/>
      <c r="G57" s="2"/>
      <c r="H57" s="2"/>
      <c r="I57" s="2"/>
      <c r="J57" s="139" t="s">
        <v>151</v>
      </c>
      <c r="K57" s="140">
        <f t="array" aca="1" ref="K57" ca="1">INDEX($B$42:$I$47,IF(MATCH(K52,$A$42:$A$47,1)&lt;M50,MATCH(K52,$A$42:$A$47,1)+1,MATCH(K52,$A$42:$A$47,1)),MATCH(K49,$B$41:$I$41,1))</f>
        <v>4900</v>
      </c>
      <c r="M57" s="42"/>
      <c r="O57" s="2"/>
      <c r="P57" s="2"/>
      <c r="Q57" s="2"/>
      <c r="R57" s="139" t="s">
        <v>151</v>
      </c>
      <c r="S57" s="140">
        <f t="array" aca="1" ref="S57" ca="1">INDEX($B$42:$I$47,IF(MATCH(S52,$A$42:$A$47,1)&lt;U50,MATCH(S52,$A$42:$A$47,1)+1,MATCH(S52,$A$42:$A$47,1)),MATCH(S49,$B$41:$I$41,1))</f>
        <v>4900</v>
      </c>
      <c r="U57" s="42"/>
      <c r="W57" s="2"/>
      <c r="X57" s="2"/>
      <c r="Y57" s="2"/>
      <c r="Z57" s="139" t="s">
        <v>151</v>
      </c>
      <c r="AA57" s="140">
        <f t="array" aca="1" ref="AA57" ca="1">INDEX($B$42:$I$47,IF(MATCH(AA52,$A$42:$A$47,1)&lt;AC50,MATCH(AA52,$A$42:$A$47,1)+1,MATCH(AA52,$A$42:$A$47,1)),MATCH(AA49,$B$41:$I$41,1))</f>
        <v>4250</v>
      </c>
      <c r="AC57" s="42"/>
      <c r="AE57" s="2"/>
      <c r="AF57" s="2"/>
      <c r="AG57" s="2"/>
      <c r="AH57" s="139" t="s">
        <v>151</v>
      </c>
      <c r="AI57" s="140">
        <f t="array" aca="1" ref="AI57" ca="1">INDEX($B$42:$I$47,IF(MATCH(AI52,$A$42:$A$47,1)&lt;AK50,MATCH(AI52,$A$42:$A$47,1)+1,MATCH(AI52,$A$42:$A$47,1)),MATCH(AI49,$B$41:$I$41,1))</f>
        <v>4250</v>
      </c>
      <c r="AK57" s="42"/>
      <c r="AM57" s="2"/>
      <c r="AN57" s="2"/>
      <c r="AO57" s="2"/>
      <c r="AP57" s="139" t="s">
        <v>151</v>
      </c>
      <c r="AQ57" s="140">
        <f t="array" aca="1" ref="AQ57" ca="1">INDEX($B$42:$I$47,IF(MATCH(AQ52,$A$42:$A$47,1)&lt;AS50,MATCH(AQ52,$A$42:$A$47,1)+1,MATCH(AQ52,$A$42:$A$47,1)),MATCH(AQ49,$B$41:$I$41,1))</f>
        <v>4250</v>
      </c>
      <c r="AS57" s="42"/>
      <c r="AU57" s="2"/>
      <c r="AV57" s="2"/>
      <c r="AW57" s="2"/>
      <c r="AX57" s="139" t="s">
        <v>151</v>
      </c>
      <c r="AY57" s="140" t="e">
        <f t="array" aca="1" ref="AY57" ca="1">INDEX($B$42:$I$47,IF(MATCH(AY52,$A$42:$A$47,1)&lt;BA50,MATCH(AY52,$A$42:$A$47,1)+1,MATCH(AY52,$A$42:$A$47,1)),MATCH(AY49,$B$41:$I$41,1))</f>
        <v>#N/A</v>
      </c>
      <c r="BA57" s="42"/>
    </row>
    <row r="58" spans="1:53" ht="14.25" customHeight="1" x14ac:dyDescent="0.3">
      <c r="B58" s="139" t="s">
        <v>205</v>
      </c>
      <c r="C58" s="140">
        <f t="array" aca="1" ref="C58" ca="1">INDEX(B42:I47,IF(MATCH(C52,A42:A47,1)&lt;E50,MATCH(C52,A42:A47,1)+1,MATCH(C52,A42:A47,1)),IF(MATCH(C49,B41:I41,1)&lt;E51,MATCH(C49,B41:I41,1)+1,MATCH(C49,B41:I41,1)))</f>
        <v>6075</v>
      </c>
      <c r="G58" s="2"/>
      <c r="H58" s="2"/>
      <c r="I58" s="2"/>
      <c r="J58" s="139" t="s">
        <v>205</v>
      </c>
      <c r="K58" s="140">
        <f t="array" aca="1" ref="K58" ca="1">INDEX($B$42:$I$47,IF(MATCH(K52,$A$42:$A$47,1)&lt;M50,MATCH(K52,$A$42:$A$47,1)+1,MATCH(K52,$A$42:$A$47,1)),IF(MATCH(K49,$B$41:$I$41,1)&lt;M51,MATCH(K49,$B$41:$I$41,1)+1,MATCH(K49,$B$41:$I$41,1)))</f>
        <v>5550</v>
      </c>
      <c r="O58" s="2"/>
      <c r="P58" s="2"/>
      <c r="Q58" s="2"/>
      <c r="R58" s="139" t="s">
        <v>205</v>
      </c>
      <c r="S58" s="140">
        <f t="array" aca="1" ref="S58" ca="1">INDEX($B$42:$I$47,IF(MATCH(S52,$A$42:$A$47,1)&lt;U50,MATCH(S52,$A$42:$A$47,1)+1,MATCH(S52,$A$42:$A$47,1)),IF(MATCH(S49,$B$41:$I$41,1)&lt;U51,MATCH(S49,$B$41:$I$41,1)+1,MATCH(S49,$B$41:$I$41,1)))</f>
        <v>5550</v>
      </c>
      <c r="W58" s="2"/>
      <c r="X58" s="2"/>
      <c r="Y58" s="2"/>
      <c r="Z58" s="139" t="s">
        <v>205</v>
      </c>
      <c r="AA58" s="140">
        <f t="array" aca="1" ref="AA58" ca="1">INDEX($B$42:$I$47,IF(MATCH(AA52,$A$42:$A$47,1)&lt;AC50,MATCH(AA52,$A$42:$A$47,1)+1,MATCH(AA52,$A$42:$A$47,1)),IF(MATCH(AA49,$B$41:$I$41,1)&lt;AC51,MATCH(AA49,$B$41:$I$41,1)+1,MATCH(AA49,$B$41:$I$41,1)))</f>
        <v>4900</v>
      </c>
      <c r="AE58" s="2"/>
      <c r="AF58" s="2"/>
      <c r="AG58" s="2"/>
      <c r="AH58" s="139" t="s">
        <v>205</v>
      </c>
      <c r="AI58" s="140">
        <f t="array" aca="1" ref="AI58" ca="1">INDEX($B$42:$I$47,IF(MATCH(AI52,$A$42:$A$47,1)&lt;AK50,MATCH(AI52,$A$42:$A$47,1)+1,MATCH(AI52,$A$42:$A$47,1)),IF(MATCH(AI49,$B$41:$I$41,1)&lt;AK51,MATCH(AI49,$B$41:$I$41,1)+1,MATCH(AI49,$B$41:$I$41,1)))</f>
        <v>4900</v>
      </c>
      <c r="AM58" s="2"/>
      <c r="AN58" s="2"/>
      <c r="AO58" s="2"/>
      <c r="AP58" s="139" t="s">
        <v>205</v>
      </c>
      <c r="AQ58" s="140">
        <f t="array" aca="1" ref="AQ58" ca="1">INDEX($B$42:$I$47,IF(MATCH(AQ52,$A$42:$A$47,1)&lt;AS50,MATCH(AQ52,$A$42:$A$47,1)+1,MATCH(AQ52,$A$42:$A$47,1)),IF(MATCH(AQ49,$B$41:$I$41,1)&lt;AS51,MATCH(AQ49,$B$41:$I$41,1)+1,MATCH(AQ49,$B$41:$I$41,1)))</f>
        <v>4900</v>
      </c>
      <c r="AU58" s="2"/>
      <c r="AV58" s="2"/>
      <c r="AW58" s="2"/>
      <c r="AX58" s="139" t="s">
        <v>205</v>
      </c>
      <c r="AY58" s="140" t="e">
        <f t="array" aca="1" ref="AY58" ca="1">INDEX($B$42:$I$47,IF(MATCH(AY52,$A$42:$A$47,1)&lt;BA50,MATCH(AY52,$A$42:$A$47,1)+1,MATCH(AY52,$A$42:$A$47,1)),IF(MATCH(AY49,$B$41:$I$41,1)&lt;BA51,MATCH(AY49,$B$41:$I$41,1)+1,MATCH(AY49,$B$41:$I$41,1)))</f>
        <v>#N/A</v>
      </c>
    </row>
    <row r="59" spans="1:53" ht="14.25" customHeight="1" x14ac:dyDescent="0.3">
      <c r="B59" s="16" t="s">
        <v>206</v>
      </c>
      <c r="C59" s="141">
        <f ca="1">IFERROR(C55+(C49-C50)*(C56-C55)/(C51-C50),C55)</f>
        <v>5518.27</v>
      </c>
      <c r="G59" s="2"/>
      <c r="H59" s="2"/>
      <c r="I59" s="2"/>
      <c r="J59" s="16" t="s">
        <v>206</v>
      </c>
      <c r="K59" s="141">
        <f ca="1">IFERROR(K55+(K49-K50)*(K56-K55)/(K51-K50),K55)</f>
        <v>5265.47</v>
      </c>
      <c r="O59" s="2"/>
      <c r="P59" s="2"/>
      <c r="Q59" s="2"/>
      <c r="R59" s="16" t="s">
        <v>206</v>
      </c>
      <c r="S59" s="141">
        <f ca="1">IFERROR(S55+(S49-S50)*(S56-S55)/(S51-S50),S55)</f>
        <v>4893.07</v>
      </c>
      <c r="W59" s="2"/>
      <c r="X59" s="2"/>
      <c r="Y59" s="2"/>
      <c r="Z59" s="16" t="s">
        <v>206</v>
      </c>
      <c r="AA59" s="141">
        <f ca="1">IFERROR(AA55+(AA49-AA50)*(AA56-AA55)/(AA51-AA50),AA55)</f>
        <v>4617.9799999999996</v>
      </c>
      <c r="AE59" s="2"/>
      <c r="AF59" s="2"/>
      <c r="AG59" s="2"/>
      <c r="AH59" s="16" t="s">
        <v>206</v>
      </c>
      <c r="AI59" s="141">
        <f ca="1">IFERROR(AI55+(AI49-AI50)*(AI56-AI55)/(AI51-AI50),AI55)</f>
        <v>4534.59</v>
      </c>
      <c r="AM59" s="2"/>
      <c r="AN59" s="2"/>
      <c r="AO59" s="2"/>
      <c r="AP59" s="16" t="s">
        <v>206</v>
      </c>
      <c r="AQ59" s="141">
        <f ca="1">IFERROR(AQ55+(AQ49-AQ50)*(AQ56-AQ55)/(AQ51-AQ50),AQ55)</f>
        <v>4459.43</v>
      </c>
      <c r="AU59" s="2"/>
      <c r="AV59" s="2"/>
      <c r="AW59" s="2"/>
      <c r="AX59" s="16" t="s">
        <v>206</v>
      </c>
      <c r="AY59" s="141" t="e">
        <f ca="1">IFERROR(AY55+(AY49-AY50)*(AY56-AY55)/(AY51-AY50),AY55)</f>
        <v>#N/A</v>
      </c>
    </row>
    <row r="60" spans="1:53" ht="14.25" customHeight="1" x14ac:dyDescent="0.3">
      <c r="B60" s="16" t="s">
        <v>207</v>
      </c>
      <c r="C60" s="141">
        <f ca="1">IFERROR(C57+(C49-C50)*(C58-C57)/(C51-C50),C57)</f>
        <v>5779.1835000000001</v>
      </c>
      <c r="G60" s="2"/>
      <c r="H60" s="2"/>
      <c r="I60" s="2"/>
      <c r="J60" s="16" t="s">
        <v>207</v>
      </c>
      <c r="K60" s="141">
        <f ca="1">IFERROR(K57+(K49-K50)*(K58-K57)/(K51-K50),K57)</f>
        <v>5505.1110000000008</v>
      </c>
      <c r="O60" s="2"/>
      <c r="P60" s="2"/>
      <c r="Q60" s="2"/>
      <c r="R60" s="16" t="s">
        <v>207</v>
      </c>
      <c r="S60" s="141">
        <f ca="1">IFERROR(S57+(S49-S50)*(S58-S57)/(S51-S50),S57)</f>
        <v>5020.991</v>
      </c>
      <c r="W60" s="2"/>
      <c r="X60" s="2"/>
      <c r="Y60" s="2"/>
      <c r="Z60" s="16" t="s">
        <v>207</v>
      </c>
      <c r="AA60" s="141">
        <f ca="1">IFERROR(AA57+(AA49-AA50)*(AA58-AA57)/(AA51-AA50),AA57)</f>
        <v>4663.3739999999998</v>
      </c>
      <c r="AE60" s="2"/>
      <c r="AF60" s="2"/>
      <c r="AG60" s="2"/>
      <c r="AH60" s="16" t="s">
        <v>207</v>
      </c>
      <c r="AI60" s="141">
        <f ca="1">IFERROR(AI57+(AI49-AI50)*(AI58-AI57)/(AI51-AI50),AI57)</f>
        <v>4554.9670000000006</v>
      </c>
      <c r="AM60" s="2"/>
      <c r="AN60" s="2"/>
      <c r="AO60" s="2"/>
      <c r="AP60" s="16" t="s">
        <v>207</v>
      </c>
      <c r="AQ60" s="141">
        <f ca="1">IFERROR(AQ57+(AQ49-AQ50)*(AQ58-AQ57)/(AQ51-AQ50),AQ57)</f>
        <v>4457.259</v>
      </c>
      <c r="AU60" s="2"/>
      <c r="AV60" s="2"/>
      <c r="AW60" s="2"/>
      <c r="AX60" s="16" t="s">
        <v>207</v>
      </c>
      <c r="AY60" s="141" t="e">
        <f ca="1">IFERROR(AY57+(AY49-AY50)*(AY58-AY57)/(AY51-AY50),AY57)</f>
        <v>#N/A</v>
      </c>
    </row>
    <row r="61" spans="1:53" ht="14.25" customHeight="1" x14ac:dyDescent="0.3">
      <c r="B61" s="139" t="s">
        <v>208</v>
      </c>
      <c r="C61" s="140">
        <f ca="1">IFERROR(C59+(C52-C53)*(C60-C59)/(C54-C53),C59)</f>
        <v>5518.27</v>
      </c>
      <c r="G61" s="2"/>
      <c r="H61" s="2"/>
      <c r="I61" s="2"/>
      <c r="J61" s="139" t="s">
        <v>208</v>
      </c>
      <c r="K61" s="140">
        <f ca="1">IFERROR(K59+(K52-K53)*(K60-K59)/(K54-K53),K59)</f>
        <v>5265.47</v>
      </c>
      <c r="O61" s="2"/>
      <c r="P61" s="2"/>
      <c r="Q61" s="2"/>
      <c r="R61" s="139" t="s">
        <v>208</v>
      </c>
      <c r="S61" s="140">
        <f ca="1">IFERROR(S59+(S52-S53)*(S60-S59)/(S54-S53),S59)</f>
        <v>4893.07</v>
      </c>
      <c r="W61" s="2"/>
      <c r="X61" s="2"/>
      <c r="Y61" s="2"/>
      <c r="Z61" s="139" t="s">
        <v>208</v>
      </c>
      <c r="AA61" s="140">
        <f ca="1">IFERROR(AA59+(AA52-AA53)*(AA60-AA59)/(AA54-AA53),AA59)</f>
        <v>4617.9799999999996</v>
      </c>
      <c r="AE61" s="2"/>
      <c r="AF61" s="2"/>
      <c r="AG61" s="2"/>
      <c r="AH61" s="139" t="s">
        <v>208</v>
      </c>
      <c r="AI61" s="140">
        <f ca="1">IFERROR(AI59+(AI52-AI53)*(AI60-AI59)/(AI54-AI53),AI59)</f>
        <v>4534.59</v>
      </c>
      <c r="AM61" s="2"/>
      <c r="AN61" s="2"/>
      <c r="AO61" s="2"/>
      <c r="AP61" s="139" t="s">
        <v>208</v>
      </c>
      <c r="AQ61" s="140">
        <f ca="1">IFERROR(AQ59+(AQ52-AQ53)*(AQ60-AQ59)/(AQ54-AQ53),AQ59)</f>
        <v>4459.43</v>
      </c>
      <c r="AU61" s="2"/>
      <c r="AV61" s="2"/>
      <c r="AW61" s="2"/>
      <c r="AX61" s="139" t="s">
        <v>208</v>
      </c>
      <c r="AY61" s="140" t="e">
        <f ca="1">IFERROR(AY59+(AY52-AY53)*(AY60-AY59)/(AY54-AY53),AY59)</f>
        <v>#N/A</v>
      </c>
    </row>
    <row r="62" spans="1:53" ht="14.25" customHeight="1" x14ac:dyDescent="0.3">
      <c r="B62" s="139"/>
      <c r="C62" s="140"/>
      <c r="G62" s="2"/>
      <c r="H62" s="2"/>
      <c r="I62" s="2"/>
      <c r="J62" s="139"/>
      <c r="K62" s="140"/>
      <c r="O62" s="2"/>
      <c r="P62" s="2"/>
      <c r="Q62" s="2"/>
      <c r="R62" s="139"/>
      <c r="S62" s="140"/>
      <c r="W62" s="2"/>
      <c r="X62" s="2"/>
      <c r="Y62" s="2"/>
      <c r="Z62" s="139"/>
      <c r="AA62" s="140"/>
      <c r="AE62" s="2"/>
      <c r="AF62" s="2"/>
      <c r="AG62" s="2"/>
      <c r="AH62" s="139"/>
      <c r="AI62" s="140"/>
      <c r="AM62" s="2"/>
      <c r="AN62" s="2"/>
      <c r="AO62" s="2"/>
      <c r="AP62" s="139"/>
      <c r="AQ62" s="140"/>
      <c r="AU62" s="2"/>
      <c r="AV62" s="2"/>
      <c r="AW62" s="2"/>
      <c r="AX62" s="139"/>
      <c r="AY62" s="140"/>
    </row>
    <row r="63" spans="1:53" ht="14.25" customHeight="1" x14ac:dyDescent="0.3">
      <c r="A63" t="s">
        <v>210</v>
      </c>
      <c r="B63" s="355" t="s">
        <v>222</v>
      </c>
      <c r="C63" s="355"/>
      <c r="D63" s="355"/>
      <c r="E63" s="355"/>
      <c r="F63" s="355"/>
      <c r="G63" s="355"/>
      <c r="H63" s="355"/>
      <c r="I63" s="355"/>
      <c r="J63" s="139"/>
      <c r="K63" s="140"/>
      <c r="O63" s="2"/>
      <c r="P63" s="2"/>
      <c r="Q63" s="2"/>
      <c r="R63" s="139"/>
      <c r="S63" s="140"/>
      <c r="W63" s="2"/>
      <c r="X63" s="2"/>
      <c r="Y63" s="2"/>
      <c r="Z63" s="139"/>
      <c r="AA63" s="140"/>
      <c r="AE63" s="2"/>
      <c r="AF63" s="2"/>
      <c r="AG63" s="2"/>
      <c r="AH63" s="139"/>
      <c r="AI63" s="140"/>
      <c r="AM63" s="2"/>
      <c r="AN63" s="2"/>
      <c r="AO63" s="2"/>
      <c r="AP63" s="139"/>
      <c r="AQ63" s="140"/>
      <c r="AU63" s="2"/>
      <c r="AV63" s="2"/>
      <c r="AW63" s="2"/>
      <c r="AX63" s="139"/>
      <c r="AY63" s="140"/>
    </row>
    <row r="64" spans="1:53" ht="14.25" customHeight="1" x14ac:dyDescent="0.3">
      <c r="A64" t="s">
        <v>47</v>
      </c>
      <c r="B64" s="263">
        <v>3600</v>
      </c>
      <c r="C64" s="269">
        <v>4300</v>
      </c>
      <c r="D64" s="270">
        <v>5000</v>
      </c>
      <c r="E64" s="270">
        <v>5650</v>
      </c>
      <c r="F64" s="270">
        <v>6350</v>
      </c>
      <c r="G64" s="271">
        <v>7050</v>
      </c>
      <c r="H64" s="271">
        <v>7700</v>
      </c>
      <c r="I64" s="272">
        <v>8400</v>
      </c>
      <c r="J64" s="139"/>
      <c r="K64" s="140"/>
      <c r="M64" s="139"/>
      <c r="N64" s="140"/>
      <c r="R64" s="2"/>
      <c r="S64" s="2"/>
      <c r="T64" s="2"/>
      <c r="W64" s="2"/>
      <c r="X64" s="2"/>
      <c r="Y64" s="2"/>
      <c r="Z64" s="139"/>
      <c r="AA64" s="140"/>
      <c r="AE64" s="2"/>
      <c r="AF64" s="2"/>
      <c r="AG64" s="2"/>
      <c r="AH64" s="139"/>
      <c r="AI64" s="140"/>
      <c r="AM64" s="2"/>
      <c r="AN64" s="2"/>
      <c r="AO64" s="2"/>
      <c r="AP64" s="139"/>
      <c r="AQ64" s="140"/>
      <c r="AU64" s="2"/>
      <c r="AV64" s="2"/>
      <c r="AW64" s="2"/>
      <c r="AX64" s="139"/>
      <c r="AY64" s="140"/>
    </row>
    <row r="65" spans="1:53" ht="14.25" customHeight="1" x14ac:dyDescent="0.3">
      <c r="A65">
        <v>-10</v>
      </c>
      <c r="B65" s="72">
        <f t="shared" ref="B65:I65" si="0">B66*140%</f>
        <v>5040</v>
      </c>
      <c r="C65" s="72">
        <f t="shared" si="0"/>
        <v>6020</v>
      </c>
      <c r="D65" s="72">
        <f t="shared" si="0"/>
        <v>7000</v>
      </c>
      <c r="E65" s="72">
        <f t="shared" si="0"/>
        <v>7909.9999999999991</v>
      </c>
      <c r="F65" s="72">
        <f t="shared" si="0"/>
        <v>8890</v>
      </c>
      <c r="G65" s="72">
        <f t="shared" si="0"/>
        <v>9870</v>
      </c>
      <c r="H65" s="72">
        <f t="shared" si="0"/>
        <v>10780</v>
      </c>
      <c r="I65" s="72">
        <f t="shared" si="0"/>
        <v>11760</v>
      </c>
      <c r="J65" s="139"/>
      <c r="K65" s="140" t="s">
        <v>230</v>
      </c>
      <c r="L65" s="140"/>
      <c r="M65" s="140"/>
      <c r="N65" s="140"/>
      <c r="O65" s="140"/>
      <c r="P65" s="140"/>
      <c r="Q65" s="140"/>
      <c r="R65" s="140"/>
      <c r="S65" s="140"/>
      <c r="T65" s="2"/>
      <c r="W65" s="2"/>
      <c r="X65" s="2"/>
      <c r="Y65" s="2"/>
      <c r="Z65" s="139"/>
      <c r="AA65" s="140"/>
      <c r="AE65" s="2"/>
      <c r="AF65" s="2"/>
      <c r="AG65" s="2"/>
      <c r="AH65" s="139"/>
      <c r="AI65" s="140"/>
      <c r="AM65" s="2"/>
      <c r="AN65" s="2"/>
      <c r="AO65" s="2"/>
      <c r="AP65" s="139"/>
      <c r="AQ65" s="140"/>
      <c r="AU65" s="2"/>
      <c r="AV65" s="2"/>
      <c r="AW65" s="2"/>
      <c r="AX65" s="139"/>
      <c r="AY65" s="140"/>
    </row>
    <row r="66" spans="1:53" ht="14.25" customHeight="1" x14ac:dyDescent="0.3">
      <c r="A66">
        <v>0</v>
      </c>
      <c r="B66" s="72">
        <v>3600</v>
      </c>
      <c r="C66" s="72">
        <v>4300</v>
      </c>
      <c r="D66" s="72">
        <v>5000</v>
      </c>
      <c r="E66" s="72">
        <v>5650</v>
      </c>
      <c r="F66" s="72">
        <v>6350</v>
      </c>
      <c r="G66" s="72">
        <v>7050</v>
      </c>
      <c r="H66" s="72">
        <v>7700</v>
      </c>
      <c r="I66" s="72">
        <v>8400</v>
      </c>
      <c r="J66" s="139"/>
      <c r="K66" s="140"/>
      <c r="M66" s="139"/>
      <c r="N66" s="140"/>
      <c r="R66" s="2"/>
      <c r="S66" s="2"/>
      <c r="T66" s="2"/>
      <c r="W66" s="2"/>
      <c r="X66" s="2"/>
      <c r="Y66" s="2"/>
      <c r="Z66" s="139"/>
      <c r="AA66" s="140"/>
      <c r="AE66" s="2"/>
      <c r="AF66" s="2"/>
      <c r="AG66" s="2"/>
      <c r="AH66" s="139"/>
      <c r="AI66" s="140"/>
      <c r="AM66" s="2"/>
      <c r="AN66" s="2"/>
      <c r="AO66" s="2"/>
      <c r="AP66" s="139"/>
      <c r="AQ66" s="140"/>
      <c r="AU66" s="2"/>
      <c r="AV66" s="2"/>
      <c r="AW66" s="2"/>
      <c r="AX66" s="139"/>
      <c r="AY66" s="140"/>
    </row>
    <row r="67" spans="1:53" ht="14.25" customHeight="1" x14ac:dyDescent="0.3">
      <c r="A67">
        <v>5</v>
      </c>
      <c r="B67" s="72">
        <v>3500</v>
      </c>
      <c r="C67" s="203">
        <v>4200</v>
      </c>
      <c r="D67">
        <v>4900</v>
      </c>
      <c r="E67">
        <v>5550</v>
      </c>
      <c r="F67">
        <v>6200</v>
      </c>
      <c r="G67" s="12">
        <v>6900</v>
      </c>
      <c r="H67" s="12">
        <v>7600</v>
      </c>
      <c r="I67" s="12">
        <v>8200</v>
      </c>
      <c r="J67" s="139"/>
      <c r="K67" s="140"/>
      <c r="M67" s="139"/>
      <c r="N67" s="140"/>
      <c r="R67" s="2"/>
      <c r="S67" s="2"/>
      <c r="T67" s="2"/>
      <c r="W67" s="2"/>
      <c r="X67" s="2"/>
      <c r="Y67" s="2"/>
      <c r="Z67" s="139"/>
      <c r="AA67" s="140"/>
      <c r="AE67" s="2"/>
      <c r="AF67" s="2"/>
      <c r="AG67" s="2"/>
      <c r="AH67" s="139"/>
      <c r="AI67" s="140"/>
      <c r="AM67" s="2"/>
      <c r="AN67" s="2"/>
      <c r="AO67" s="2"/>
      <c r="AP67" s="139"/>
      <c r="AQ67" s="140"/>
      <c r="AU67" s="2"/>
      <c r="AV67" s="2"/>
      <c r="AW67" s="2"/>
      <c r="AX67" s="139"/>
      <c r="AY67" s="140"/>
    </row>
    <row r="68" spans="1:53" ht="14.25" customHeight="1" x14ac:dyDescent="0.3">
      <c r="A68">
        <v>10</v>
      </c>
      <c r="B68" s="72">
        <v>3400</v>
      </c>
      <c r="C68" s="203">
        <v>4100</v>
      </c>
      <c r="D68">
        <v>4750</v>
      </c>
      <c r="E68">
        <v>5400</v>
      </c>
      <c r="F68">
        <v>6050</v>
      </c>
      <c r="G68" s="12">
        <v>6700</v>
      </c>
      <c r="H68" s="12">
        <v>7400</v>
      </c>
      <c r="I68" s="12">
        <v>8000</v>
      </c>
      <c r="J68" s="139"/>
      <c r="K68" s="140"/>
      <c r="M68" s="139"/>
      <c r="N68" s="140"/>
      <c r="R68" s="2"/>
      <c r="S68" s="2"/>
      <c r="T68" s="2"/>
      <c r="W68" s="2"/>
      <c r="X68" s="2"/>
      <c r="Y68" s="2"/>
      <c r="Z68" s="139"/>
      <c r="AA68" s="140"/>
      <c r="AE68" s="2"/>
      <c r="AF68" s="2"/>
      <c r="AG68" s="2"/>
      <c r="AH68" s="139"/>
      <c r="AI68" s="140"/>
      <c r="AM68" s="2"/>
      <c r="AN68" s="2"/>
      <c r="AO68" s="2"/>
      <c r="AP68" s="139"/>
      <c r="AQ68" s="140"/>
      <c r="AU68" s="2"/>
      <c r="AV68" s="2"/>
      <c r="AW68" s="2"/>
      <c r="AX68" s="139"/>
      <c r="AY68" s="140"/>
    </row>
    <row r="69" spans="1:53" ht="14.25" customHeight="1" x14ac:dyDescent="0.3">
      <c r="A69">
        <v>15</v>
      </c>
      <c r="B69" s="72">
        <v>3300</v>
      </c>
      <c r="C69" s="203">
        <v>3950</v>
      </c>
      <c r="D69">
        <v>4600</v>
      </c>
      <c r="E69">
        <v>5250</v>
      </c>
      <c r="F69">
        <v>5900</v>
      </c>
      <c r="G69">
        <v>6550</v>
      </c>
      <c r="H69">
        <v>7200</v>
      </c>
      <c r="I69">
        <v>7800</v>
      </c>
      <c r="J69" s="139"/>
      <c r="K69" s="140"/>
      <c r="M69" s="139"/>
      <c r="N69" s="140"/>
      <c r="W69" s="2"/>
      <c r="X69" s="2"/>
      <c r="Y69" s="2"/>
      <c r="Z69" s="139"/>
      <c r="AA69" s="140"/>
      <c r="AE69" s="2"/>
      <c r="AF69" s="2"/>
      <c r="AG69" s="2"/>
      <c r="AH69" s="139"/>
      <c r="AI69" s="140"/>
      <c r="AM69" s="2"/>
      <c r="AN69" s="2"/>
      <c r="AO69" s="2"/>
      <c r="AP69" s="139"/>
      <c r="AQ69" s="140"/>
      <c r="AU69" s="2"/>
      <c r="AV69" s="2"/>
      <c r="AW69" s="2"/>
      <c r="AX69" s="139"/>
      <c r="AY69" s="140"/>
    </row>
    <row r="70" spans="1:53" ht="14.25" customHeight="1" x14ac:dyDescent="0.3">
      <c r="A70">
        <v>20</v>
      </c>
      <c r="B70" s="72">
        <v>3200</v>
      </c>
      <c r="C70" s="203">
        <v>3830</v>
      </c>
      <c r="D70">
        <v>4500</v>
      </c>
      <c r="E70">
        <v>5100</v>
      </c>
      <c r="F70">
        <v>5750</v>
      </c>
      <c r="G70" s="12">
        <v>6400</v>
      </c>
      <c r="H70" s="12">
        <v>7000</v>
      </c>
      <c r="I70" s="12">
        <v>7600</v>
      </c>
      <c r="J70" s="72"/>
      <c r="K70" s="140"/>
      <c r="M70" s="139"/>
      <c r="N70" s="140"/>
      <c r="R70" s="2"/>
      <c r="S70" s="2"/>
      <c r="T70" s="2"/>
      <c r="W70" s="2"/>
      <c r="X70" s="2"/>
      <c r="Y70" s="2"/>
      <c r="Z70" s="139"/>
      <c r="AA70" s="140"/>
      <c r="AE70" s="2"/>
      <c r="AF70" s="2"/>
      <c r="AG70" s="2"/>
      <c r="AH70" s="139"/>
      <c r="AI70" s="140"/>
      <c r="AM70" s="2"/>
      <c r="AN70" s="2"/>
      <c r="AO70" s="2"/>
      <c r="AP70" s="139"/>
      <c r="AQ70" s="140"/>
      <c r="AU70" s="2"/>
      <c r="AV70" s="2"/>
      <c r="AW70" s="2"/>
      <c r="AX70" s="139"/>
      <c r="AY70" s="140"/>
    </row>
    <row r="71" spans="1:53" ht="14.25" customHeight="1" x14ac:dyDescent="0.3">
      <c r="A71">
        <v>30</v>
      </c>
      <c r="B71" s="72">
        <v>2950</v>
      </c>
      <c r="C71" s="203">
        <v>3600</v>
      </c>
      <c r="D71">
        <v>4200</v>
      </c>
      <c r="E71">
        <v>4900</v>
      </c>
      <c r="F71">
        <v>5400</v>
      </c>
      <c r="G71" s="12">
        <v>6000</v>
      </c>
      <c r="H71" s="12">
        <v>6600</v>
      </c>
      <c r="I71" s="12">
        <v>7200</v>
      </c>
      <c r="J71" s="139"/>
      <c r="K71" s="140"/>
      <c r="M71" s="139"/>
      <c r="N71" s="140"/>
      <c r="R71" s="2"/>
      <c r="S71" s="2"/>
      <c r="T71" s="2"/>
      <c r="W71" s="2"/>
      <c r="X71" s="2"/>
      <c r="Y71" s="2"/>
      <c r="Z71" s="139"/>
      <c r="AA71" s="140"/>
      <c r="AE71" s="2"/>
      <c r="AF71" s="2"/>
      <c r="AG71" s="2"/>
      <c r="AH71" s="139"/>
      <c r="AI71" s="140"/>
      <c r="AM71" s="2"/>
      <c r="AN71" s="2"/>
      <c r="AO71" s="2"/>
      <c r="AP71" s="139"/>
      <c r="AQ71" s="140"/>
      <c r="AU71" s="2"/>
      <c r="AV71" s="2"/>
      <c r="AW71" s="2"/>
      <c r="AX71" s="139"/>
      <c r="AY71" s="140"/>
    </row>
    <row r="72" spans="1:53" ht="14.25" customHeight="1" x14ac:dyDescent="0.3">
      <c r="B72" s="139"/>
      <c r="C72" s="140"/>
      <c r="G72" s="2"/>
      <c r="H72" s="2"/>
      <c r="I72" s="2"/>
      <c r="J72" s="139"/>
      <c r="K72" s="140"/>
      <c r="O72" s="2"/>
      <c r="P72" s="2"/>
      <c r="Q72" s="2"/>
      <c r="R72" s="139"/>
      <c r="S72" s="140"/>
      <c r="W72" s="2"/>
      <c r="X72" s="2"/>
      <c r="Y72" s="2"/>
      <c r="Z72" s="139"/>
      <c r="AA72" s="140"/>
      <c r="AE72" s="2"/>
      <c r="AF72" s="2"/>
      <c r="AG72" s="2"/>
      <c r="AH72" s="139"/>
      <c r="AI72" s="140"/>
      <c r="AM72" s="2"/>
      <c r="AN72" s="2"/>
      <c r="AO72" s="2"/>
      <c r="AP72" s="139"/>
      <c r="AQ72" s="140"/>
      <c r="AU72" s="2"/>
      <c r="AV72" s="2"/>
      <c r="AW72" s="2"/>
      <c r="AX72" s="139"/>
      <c r="AY72" s="140"/>
    </row>
    <row r="73" spans="1:53" ht="14.25" customHeight="1" x14ac:dyDescent="0.3">
      <c r="B73" s="139" t="s">
        <v>146</v>
      </c>
      <c r="C73" s="140">
        <f ca="1">C61</f>
        <v>5518.27</v>
      </c>
      <c r="D73" s="355" t="s">
        <v>201</v>
      </c>
      <c r="E73" s="355"/>
      <c r="G73" s="2"/>
      <c r="H73" s="2"/>
      <c r="I73" s="2"/>
      <c r="J73" s="139" t="s">
        <v>146</v>
      </c>
      <c r="K73" s="140">
        <f ca="1">K61</f>
        <v>5265.47</v>
      </c>
      <c r="L73" s="355" t="s">
        <v>201</v>
      </c>
      <c r="M73" s="355"/>
      <c r="O73" s="2"/>
      <c r="P73" s="2"/>
      <c r="Q73" s="2"/>
      <c r="R73" s="139" t="s">
        <v>146</v>
      </c>
      <c r="S73" s="140">
        <f ca="1">S61</f>
        <v>4893.07</v>
      </c>
      <c r="T73" s="355" t="s">
        <v>201</v>
      </c>
      <c r="U73" s="355"/>
      <c r="W73" s="2"/>
      <c r="X73" s="2"/>
      <c r="Y73" s="2"/>
      <c r="Z73" s="139" t="s">
        <v>146</v>
      </c>
      <c r="AA73" s="140">
        <f ca="1">AA61</f>
        <v>4617.9799999999996</v>
      </c>
      <c r="AB73" s="355" t="s">
        <v>201</v>
      </c>
      <c r="AC73" s="355"/>
      <c r="AE73" s="2"/>
      <c r="AF73" s="2"/>
      <c r="AG73" s="2"/>
      <c r="AH73" s="139" t="s">
        <v>146</v>
      </c>
      <c r="AI73" s="140">
        <f ca="1">AI61</f>
        <v>4534.59</v>
      </c>
      <c r="AJ73" s="355" t="s">
        <v>201</v>
      </c>
      <c r="AK73" s="355"/>
      <c r="AM73" s="2"/>
      <c r="AN73" s="2"/>
      <c r="AO73" s="2"/>
      <c r="AP73" s="139" t="s">
        <v>146</v>
      </c>
      <c r="AQ73" s="140">
        <f ca="1">AQ61</f>
        <v>4459.43</v>
      </c>
      <c r="AR73" s="355" t="s">
        <v>201</v>
      </c>
      <c r="AS73" s="355"/>
      <c r="AU73" s="2"/>
      <c r="AV73" s="2"/>
      <c r="AW73" s="2"/>
      <c r="AX73" s="139" t="s">
        <v>146</v>
      </c>
      <c r="AY73" s="140" t="e">
        <f ca="1">AY61</f>
        <v>#N/A</v>
      </c>
      <c r="AZ73" s="355" t="s">
        <v>201</v>
      </c>
      <c r="BA73" s="355"/>
    </row>
    <row r="74" spans="1:53" ht="14.25" customHeight="1" x14ac:dyDescent="0.3">
      <c r="B74" s="16" t="s">
        <v>202</v>
      </c>
      <c r="C74" s="141">
        <f t="array" aca="1" ref="C74" ca="1">INDEX($B$64:$I$64,MATCH(C73,$B$64:$I$64,1))</f>
        <v>5000</v>
      </c>
      <c r="D74" s="16" t="s">
        <v>144</v>
      </c>
      <c r="E74" s="17">
        <f>MATCH(MAX($A$65:$A$71),$A$65:$A$71,1)</f>
        <v>7</v>
      </c>
      <c r="G74" s="2"/>
      <c r="H74" s="2"/>
      <c r="I74" s="2"/>
      <c r="J74" s="16" t="s">
        <v>202</v>
      </c>
      <c r="K74" s="141">
        <f t="array" aca="1" ref="K74" ca="1">INDEX($B$64:$I$64,MATCH(K73,$B$64:$I$64,1))</f>
        <v>5000</v>
      </c>
      <c r="L74" s="16" t="s">
        <v>144</v>
      </c>
      <c r="M74" s="17">
        <f>MATCH(MAX($A$65:$A$71),$A$65:$A$71,1)</f>
        <v>7</v>
      </c>
      <c r="O74" s="2"/>
      <c r="P74" s="2"/>
      <c r="Q74" s="2"/>
      <c r="R74" s="16" t="s">
        <v>202</v>
      </c>
      <c r="S74" s="141">
        <f t="array" aca="1" ref="S74" ca="1">INDEX($B$64:$I$64,MATCH(S73,$B$64:$I$64,1))</f>
        <v>4300</v>
      </c>
      <c r="T74" s="16" t="s">
        <v>144</v>
      </c>
      <c r="U74" s="17">
        <f>MATCH(MAX($A$65:$A$71),$A$65:$A$71,1)</f>
        <v>7</v>
      </c>
      <c r="W74" s="2"/>
      <c r="X74" s="2"/>
      <c r="Y74" s="2"/>
      <c r="Z74" s="16" t="s">
        <v>202</v>
      </c>
      <c r="AA74" s="141">
        <f t="array" aca="1" ref="AA74" ca="1">INDEX($B$64:$I$64,MATCH(AA73,$B$64:$I$64,1))</f>
        <v>4300</v>
      </c>
      <c r="AB74" s="16" t="s">
        <v>144</v>
      </c>
      <c r="AC74" s="17">
        <f>MATCH(MAX($A$65:$A$71),$A$65:$A$71,1)</f>
        <v>7</v>
      </c>
      <c r="AE74" s="2"/>
      <c r="AF74" s="2"/>
      <c r="AG74" s="2"/>
      <c r="AH74" s="16" t="s">
        <v>202</v>
      </c>
      <c r="AI74" s="141">
        <f t="array" aca="1" ref="AI74" ca="1">INDEX($B$64:$I$64,MATCH(AI73,$B$64:$I$64,1))</f>
        <v>4300</v>
      </c>
      <c r="AJ74" s="16" t="s">
        <v>144</v>
      </c>
      <c r="AK74" s="17">
        <f>MATCH(MAX($A$65:$A$71),$A$65:$A$71,1)</f>
        <v>7</v>
      </c>
      <c r="AM74" s="2"/>
      <c r="AN74" s="2"/>
      <c r="AO74" s="2"/>
      <c r="AP74" s="16" t="s">
        <v>202</v>
      </c>
      <c r="AQ74" s="141">
        <f t="array" aca="1" ref="AQ74" ca="1">INDEX($B$64:$I$64,MATCH(AQ73,$B$64:$I$64,1))</f>
        <v>4300</v>
      </c>
      <c r="AR74" s="16" t="s">
        <v>144</v>
      </c>
      <c r="AS74" s="17">
        <f>MATCH(MAX($A$65:$A$71),$A$65:$A$71,1)</f>
        <v>7</v>
      </c>
      <c r="AU74" s="2"/>
      <c r="AV74" s="2"/>
      <c r="AW74" s="2"/>
      <c r="AX74" s="16" t="s">
        <v>202</v>
      </c>
      <c r="AY74" s="141" t="e">
        <f t="array" aca="1" ref="AY74" ca="1">INDEX($B$64:$I$64,MATCH(AY73,$B$64:$I$64,1))</f>
        <v>#N/A</v>
      </c>
      <c r="AZ74" s="16" t="s">
        <v>144</v>
      </c>
      <c r="BA74" s="17">
        <f>MATCH(MAX($A$65:$A$71),$A$65:$A$71,1)</f>
        <v>7</v>
      </c>
    </row>
    <row r="75" spans="1:53" ht="14.25" customHeight="1" x14ac:dyDescent="0.3">
      <c r="B75" s="16" t="s">
        <v>203</v>
      </c>
      <c r="C75" s="141">
        <f t="array" aca="1" ref="C75" ca="1">INDEX($B$64:$I$64,IF(MATCH(C73,$B$64:$I$64,1)&lt;E75,MATCH(C73,$B$64:$I$64,1)+1,MATCH(C73,$B$64:$I$64,1)))</f>
        <v>5650</v>
      </c>
      <c r="D75" s="16" t="s">
        <v>145</v>
      </c>
      <c r="E75" s="17">
        <f>MATCH(MAX($B$64:$I$64),$B$64:$I$64,0)</f>
        <v>8</v>
      </c>
      <c r="G75" s="2"/>
      <c r="H75" s="2"/>
      <c r="I75" s="2"/>
      <c r="J75" s="16" t="s">
        <v>203</v>
      </c>
      <c r="K75" s="141">
        <f t="array" aca="1" ref="K75" ca="1">INDEX($B$64:$I$64,IF(MATCH(K73,$B$64:$I$64,1)&lt;M75,MATCH(K73,$B$64:$I$64,1)+1,MATCH(K73,$B$64:$I$64,1)))</f>
        <v>5650</v>
      </c>
      <c r="L75" s="16" t="s">
        <v>145</v>
      </c>
      <c r="M75" s="17">
        <f>MATCH(MAX($B$64:$I$64),$B$64:$I$64,0)</f>
        <v>8</v>
      </c>
      <c r="O75" s="2"/>
      <c r="P75" s="2"/>
      <c r="Q75" s="2"/>
      <c r="R75" s="16" t="s">
        <v>203</v>
      </c>
      <c r="S75" s="141">
        <f t="array" aca="1" ref="S75" ca="1">INDEX($B$64:$I$64,IF(MATCH(S73,$B$64:$I$64,1)&lt;U75,MATCH(S73,$B$64:$I$64,1)+1,MATCH(S73,$B$64:$I$64,1)))</f>
        <v>5000</v>
      </c>
      <c r="T75" s="16" t="s">
        <v>145</v>
      </c>
      <c r="U75" s="17">
        <f>MATCH(MAX($B$64:$I$64),$B$64:$I$64,0)</f>
        <v>8</v>
      </c>
      <c r="W75" s="2"/>
      <c r="X75" s="2"/>
      <c r="Y75" s="2"/>
      <c r="Z75" s="16" t="s">
        <v>203</v>
      </c>
      <c r="AA75" s="141">
        <f t="array" aca="1" ref="AA75" ca="1">INDEX($B$64:$I$64,IF(MATCH(AA73,$B$64:$I$64,1)&lt;AC75,MATCH(AA73,$B$64:$I$64,1)+1,MATCH(AA73,$B$64:$I$64,1)))</f>
        <v>5000</v>
      </c>
      <c r="AB75" s="16" t="s">
        <v>145</v>
      </c>
      <c r="AC75" s="17">
        <f>MATCH(MAX($B$64:$I$64),$B$64:$I$64,0)</f>
        <v>8</v>
      </c>
      <c r="AE75" s="2"/>
      <c r="AF75" s="2"/>
      <c r="AG75" s="2"/>
      <c r="AH75" s="16" t="s">
        <v>203</v>
      </c>
      <c r="AI75" s="141">
        <f t="array" aca="1" ref="AI75" ca="1">INDEX($B$64:$I$64,IF(MATCH(AI73,$B$64:$I$64,1)&lt;AK75,MATCH(AI73,$B$64:$I$64,1)+1,MATCH(AI73,$B$64:$I$64,1)))</f>
        <v>5000</v>
      </c>
      <c r="AJ75" s="16" t="s">
        <v>145</v>
      </c>
      <c r="AK75" s="17">
        <f>MATCH(MAX($B$64:$I$64),$B$64:$I$64,0)</f>
        <v>8</v>
      </c>
      <c r="AM75" s="2"/>
      <c r="AN75" s="2"/>
      <c r="AO75" s="2"/>
      <c r="AP75" s="16" t="s">
        <v>203</v>
      </c>
      <c r="AQ75" s="141">
        <f t="array" aca="1" ref="AQ75" ca="1">INDEX($B$64:$I$64,IF(MATCH(AQ73,$B$64:$I$64,1)&lt;AS75,MATCH(AQ73,$B$64:$I$64,1)+1,MATCH(AQ73,$B$64:$I$64,1)))</f>
        <v>5000</v>
      </c>
      <c r="AR75" s="16" t="s">
        <v>145</v>
      </c>
      <c r="AS75" s="17">
        <f>MATCH(MAX($B$64:$I$64),$B$64:$I$64,0)</f>
        <v>8</v>
      </c>
      <c r="AU75" s="2"/>
      <c r="AV75" s="2"/>
      <c r="AW75" s="2"/>
      <c r="AX75" s="16" t="s">
        <v>203</v>
      </c>
      <c r="AY75" s="141" t="e">
        <f t="array" aca="1" ref="AY75" ca="1">INDEX($B$64:$I$64,IF(MATCH(AY73,$B$64:$I$64,1)&lt;BA75,MATCH(AY73,$B$64:$I$64,1)+1,MATCH(AY73,$B$64:$I$64,1)))</f>
        <v>#N/A</v>
      </c>
      <c r="AZ75" s="16" t="s">
        <v>145</v>
      </c>
      <c r="BA75" s="17">
        <f>MATCH(MAX($B$64:$I$64),$B$64:$I$64,0)</f>
        <v>8</v>
      </c>
    </row>
    <row r="76" spans="1:53" ht="14.25" customHeight="1" x14ac:dyDescent="0.3">
      <c r="B76" s="139" t="s">
        <v>147</v>
      </c>
      <c r="C76" s="186">
        <f ca="1">'Take-off'!$C$24</f>
        <v>-2.3941410032796808</v>
      </c>
      <c r="D76" s="2"/>
      <c r="E76" s="2"/>
      <c r="G76" s="2"/>
      <c r="H76" s="2"/>
      <c r="I76" s="2"/>
      <c r="J76" s="139" t="s">
        <v>147</v>
      </c>
      <c r="K76" s="186">
        <f ca="1">'Take-off'!$C$24</f>
        <v>-2.3941410032796808</v>
      </c>
      <c r="L76" s="2"/>
      <c r="M76" s="2"/>
      <c r="O76" s="2"/>
      <c r="P76" s="2"/>
      <c r="Q76" s="2"/>
      <c r="R76" s="139" t="s">
        <v>147</v>
      </c>
      <c r="S76" s="186">
        <f ca="1">'Take-off'!$C$24</f>
        <v>-2.3941410032796808</v>
      </c>
      <c r="T76" s="2"/>
      <c r="U76" s="2"/>
      <c r="W76" s="2"/>
      <c r="X76" s="2"/>
      <c r="Y76" s="2"/>
      <c r="Z76" s="139" t="s">
        <v>147</v>
      </c>
      <c r="AA76" s="186">
        <f ca="1">'Take-off'!$C$24</f>
        <v>-2.3941410032796808</v>
      </c>
      <c r="AB76" s="2"/>
      <c r="AC76" s="2"/>
      <c r="AE76" s="2"/>
      <c r="AF76" s="2"/>
      <c r="AG76" s="2"/>
      <c r="AH76" s="139" t="s">
        <v>147</v>
      </c>
      <c r="AI76" s="186">
        <f ca="1">'Take-off'!$C$24</f>
        <v>-2.3941410032796808</v>
      </c>
      <c r="AJ76" s="2"/>
      <c r="AK76" s="2"/>
      <c r="AM76" s="2"/>
      <c r="AN76" s="2"/>
      <c r="AO76" s="2"/>
      <c r="AP76" s="139" t="s">
        <v>147</v>
      </c>
      <c r="AQ76" s="186">
        <f ca="1">'Take-off'!$C$24</f>
        <v>-2.3941410032796808</v>
      </c>
      <c r="AR76" s="2"/>
      <c r="AS76" s="2"/>
      <c r="AU76" s="2"/>
      <c r="AV76" s="2"/>
      <c r="AW76" s="2"/>
      <c r="AX76" s="139" t="s">
        <v>147</v>
      </c>
      <c r="AY76" s="186">
        <f ca="1">'Take-off'!$C$24</f>
        <v>-2.3941410032796808</v>
      </c>
      <c r="AZ76" s="2"/>
      <c r="BA76" s="2"/>
    </row>
    <row r="77" spans="1:53" ht="14.25" customHeight="1" x14ac:dyDescent="0.3">
      <c r="B77" s="16" t="s">
        <v>148</v>
      </c>
      <c r="C77" s="141">
        <f t="array" aca="1" ref="C77" ca="1">INDEX($A$65:$A$71,MATCH(C76,$A$65:$A$71,1))</f>
        <v>-10</v>
      </c>
      <c r="D77" s="2"/>
      <c r="E77" s="42"/>
      <c r="G77" s="2"/>
      <c r="H77" s="2"/>
      <c r="I77" s="2"/>
      <c r="J77" s="16" t="s">
        <v>148</v>
      </c>
      <c r="K77" s="141">
        <f t="array" aca="1" ref="K77" ca="1">INDEX($A$65:$A$71,MATCH(K76,$A$65:$A$71,1))</f>
        <v>-10</v>
      </c>
      <c r="L77" s="2"/>
      <c r="M77" s="42"/>
      <c r="O77" s="2"/>
      <c r="P77" s="2"/>
      <c r="Q77" s="2"/>
      <c r="R77" s="16" t="s">
        <v>148</v>
      </c>
      <c r="S77" s="141">
        <f t="array" aca="1" ref="S77" ca="1">INDEX($A$65:$A$71,MATCH(S76,$A$65:$A$71,1))</f>
        <v>-10</v>
      </c>
      <c r="T77" s="2"/>
      <c r="U77" s="42"/>
      <c r="W77" s="2"/>
      <c r="X77" s="2"/>
      <c r="Y77" s="2"/>
      <c r="Z77" s="16" t="s">
        <v>148</v>
      </c>
      <c r="AA77" s="141">
        <f t="array" aca="1" ref="AA77" ca="1">INDEX($A$65:$A$71,MATCH(AA76,$A$65:$A$71,1))</f>
        <v>-10</v>
      </c>
      <c r="AB77" s="2"/>
      <c r="AC77" s="42"/>
      <c r="AE77" s="2"/>
      <c r="AF77" s="2"/>
      <c r="AG77" s="2"/>
      <c r="AH77" s="16" t="s">
        <v>148</v>
      </c>
      <c r="AI77" s="141">
        <f t="array" aca="1" ref="AI77" ca="1">INDEX($A$65:$A$71,MATCH(AI76,$A$65:$A$71,1))</f>
        <v>-10</v>
      </c>
      <c r="AJ77" s="2"/>
      <c r="AK77" s="42"/>
      <c r="AM77" s="2"/>
      <c r="AN77" s="2"/>
      <c r="AO77" s="2"/>
      <c r="AP77" s="16" t="s">
        <v>148</v>
      </c>
      <c r="AQ77" s="141">
        <f t="array" aca="1" ref="AQ77" ca="1">INDEX($A$65:$A$71,MATCH(AQ76,$A$65:$A$71,1))</f>
        <v>-10</v>
      </c>
      <c r="AR77" s="2"/>
      <c r="AS77" s="42"/>
      <c r="AU77" s="2"/>
      <c r="AV77" s="2"/>
      <c r="AW77" s="2"/>
      <c r="AX77" s="16" t="s">
        <v>148</v>
      </c>
      <c r="AY77" s="141">
        <f t="array" aca="1" ref="AY77" ca="1">INDEX($A$65:$A$71,MATCH(AY76,$A$65:$A$71,1))</f>
        <v>-10</v>
      </c>
      <c r="AZ77" s="2"/>
      <c r="BA77" s="42"/>
    </row>
    <row r="78" spans="1:53" ht="14.25" customHeight="1" x14ac:dyDescent="0.3">
      <c r="B78" s="16" t="s">
        <v>149</v>
      </c>
      <c r="C78" s="141">
        <f t="array" aca="1" ref="C78" ca="1">INDEX($A$65:$A$71,IF(MATCH(C76,$A$65:$A$71,1)&lt;E74,MATCH(C76,$A$65:$A$71,1)+1,MATCH(C76,$A$65:$A$71,1)))</f>
        <v>0</v>
      </c>
      <c r="D78" s="2"/>
      <c r="E78" s="42"/>
      <c r="G78" s="2"/>
      <c r="H78" s="2"/>
      <c r="I78" s="2"/>
      <c r="J78" s="16" t="s">
        <v>149</v>
      </c>
      <c r="K78" s="141">
        <f t="array" aca="1" ref="K78" ca="1">INDEX($A$65:$A$71,IF(MATCH(K76,$A$65:$A$71,1)&lt;M74,MATCH(K76,$A$65:$A$71,1)+1,MATCH(K76,$A$65:$A$71,1)))</f>
        <v>0</v>
      </c>
      <c r="L78" s="2"/>
      <c r="M78" s="42"/>
      <c r="O78" s="2"/>
      <c r="P78" s="2"/>
      <c r="Q78" s="2"/>
      <c r="R78" s="16" t="s">
        <v>149</v>
      </c>
      <c r="S78" s="141">
        <f t="array" aca="1" ref="S78" ca="1">INDEX($A$65:$A$71,IF(MATCH(S76,$A$65:$A$71,1)&lt;U74,MATCH(S76,$A$65:$A$71,1)+1,MATCH(S76,$A$65:$A$71,1)))</f>
        <v>0</v>
      </c>
      <c r="T78" s="2"/>
      <c r="U78" s="42"/>
      <c r="W78" s="2"/>
      <c r="X78" s="2"/>
      <c r="Y78" s="2"/>
      <c r="Z78" s="16" t="s">
        <v>149</v>
      </c>
      <c r="AA78" s="141">
        <f t="array" aca="1" ref="AA78" ca="1">INDEX($A$65:$A$71,IF(MATCH(AA76,$A$65:$A$71,1)&lt;AC74,MATCH(AA76,$A$65:$A$71,1)+1,MATCH(AA76,$A$65:$A$71,1)))</f>
        <v>0</v>
      </c>
      <c r="AB78" s="2"/>
      <c r="AC78" s="42"/>
      <c r="AE78" s="2"/>
      <c r="AF78" s="2"/>
      <c r="AG78" s="2"/>
      <c r="AH78" s="16" t="s">
        <v>149</v>
      </c>
      <c r="AI78" s="141">
        <f t="array" aca="1" ref="AI78" ca="1">INDEX($A$65:$A$71,IF(MATCH(AI76,$A$65:$A$71,1)&lt;AK74,MATCH(AI76,$A$65:$A$71,1)+1,MATCH(AI76,$A$65:$A$71,1)))</f>
        <v>0</v>
      </c>
      <c r="AJ78" s="2"/>
      <c r="AK78" s="42"/>
      <c r="AM78" s="2"/>
      <c r="AN78" s="2"/>
      <c r="AO78" s="2"/>
      <c r="AP78" s="16" t="s">
        <v>149</v>
      </c>
      <c r="AQ78" s="141">
        <f t="array" aca="1" ref="AQ78" ca="1">INDEX($A$65:$A$71,IF(MATCH(AQ76,$A$65:$A$71,1)&lt;AS74,MATCH(AQ76,$A$65:$A$71,1)+1,MATCH(AQ76,$A$65:$A$71,1)))</f>
        <v>0</v>
      </c>
      <c r="AR78" s="2"/>
      <c r="AS78" s="42"/>
      <c r="AU78" s="2"/>
      <c r="AV78" s="2"/>
      <c r="AW78" s="2"/>
      <c r="AX78" s="16" t="s">
        <v>149</v>
      </c>
      <c r="AY78" s="141">
        <f t="array" aca="1" ref="AY78" ca="1">INDEX($A$65:$A$71,IF(MATCH(AY76,$A$65:$A$71,1)&lt;BA74,MATCH(AY76,$A$65:$A$71,1)+1,MATCH(AY76,$A$65:$A$71,1)))</f>
        <v>0</v>
      </c>
      <c r="AZ78" s="2"/>
      <c r="BA78" s="42"/>
    </row>
    <row r="79" spans="1:53" ht="14.25" customHeight="1" x14ac:dyDescent="0.3">
      <c r="B79" s="139" t="s">
        <v>150</v>
      </c>
      <c r="C79" s="140">
        <f t="array" aca="1" ref="C79" ca="1">INDEX($B$65:$I$71,MATCH(C76,$A$65:$A$71,1),MATCH(C73,$B$64:$I$64,1))</f>
        <v>7000</v>
      </c>
      <c r="D79" s="2"/>
      <c r="E79" s="42"/>
      <c r="G79" s="2"/>
      <c r="H79" s="2"/>
      <c r="I79" s="2"/>
      <c r="J79" s="139" t="s">
        <v>150</v>
      </c>
      <c r="K79" s="140">
        <f t="array" aca="1" ref="K79" ca="1">INDEX($B$65:$I$71,MATCH(K76,$A$65:$A$71,1),MATCH(K73,$B$64:$I$64,1))</f>
        <v>7000</v>
      </c>
      <c r="L79" s="2"/>
      <c r="M79" s="42"/>
      <c r="O79" s="2"/>
      <c r="P79" s="2"/>
      <c r="Q79" s="2"/>
      <c r="R79" s="139" t="s">
        <v>150</v>
      </c>
      <c r="S79" s="140">
        <f t="array" aca="1" ref="S79" ca="1">INDEX($B$65:$I$71,MATCH(S76,$A$65:$A$71,1),MATCH(S73,$B$64:$I$64,1))</f>
        <v>6020</v>
      </c>
      <c r="T79" s="2"/>
      <c r="U79" s="42"/>
      <c r="W79" s="2"/>
      <c r="X79" s="2"/>
      <c r="Y79" s="2"/>
      <c r="Z79" s="139" t="s">
        <v>150</v>
      </c>
      <c r="AA79" s="140">
        <f t="array" aca="1" ref="AA79" ca="1">INDEX($B$65:$I$71,MATCH(AA76,$A$65:$A$71,1),MATCH(AA73,$B$64:$I$64,1))</f>
        <v>6020</v>
      </c>
      <c r="AB79" s="2"/>
      <c r="AC79" s="42"/>
      <c r="AE79" s="2"/>
      <c r="AF79" s="2"/>
      <c r="AG79" s="2"/>
      <c r="AH79" s="139" t="s">
        <v>150</v>
      </c>
      <c r="AI79" s="140">
        <f t="array" aca="1" ref="AI79" ca="1">INDEX($B$65:$I$71,MATCH(AI76,$A$65:$A$71,1),MATCH(AI73,$B$64:$I$64,1))</f>
        <v>6020</v>
      </c>
      <c r="AJ79" s="2"/>
      <c r="AK79" s="42"/>
      <c r="AM79" s="2"/>
      <c r="AN79" s="2"/>
      <c r="AO79" s="2"/>
      <c r="AP79" s="139" t="s">
        <v>150</v>
      </c>
      <c r="AQ79" s="140">
        <f t="array" aca="1" ref="AQ79" ca="1">INDEX($B$65:$I$71,MATCH(AQ76,$A$65:$A$71,1),MATCH(AQ73,$B$64:$I$64,1))</f>
        <v>6020</v>
      </c>
      <c r="AR79" s="2"/>
      <c r="AS79" s="42"/>
      <c r="AU79" s="2"/>
      <c r="AV79" s="2"/>
      <c r="AW79" s="2"/>
      <c r="AX79" s="139" t="s">
        <v>150</v>
      </c>
      <c r="AY79" s="140" t="e">
        <f t="array" aca="1" ref="AY79" ca="1">INDEX($B$65:$I$71,MATCH(AY76,$A$65:$A$71,1),MATCH(AY73,$B$64:$I$64,1))</f>
        <v>#N/A</v>
      </c>
      <c r="AZ79" s="2"/>
      <c r="BA79" s="42"/>
    </row>
    <row r="80" spans="1:53" ht="14.25" customHeight="1" x14ac:dyDescent="0.3">
      <c r="B80" s="139" t="s">
        <v>204</v>
      </c>
      <c r="C80" s="140">
        <f t="array" aca="1" ref="C80" ca="1">INDEX($B$65:$I$71,MATCH(C76,$A$65:$A$71,1),IF(MATCH(C73,$B$64:$I$64,1)&lt;E75,MATCH(C73,$B$64:$I$64,1)+1,MATCH(C76,$A$65:$A$71,1)))</f>
        <v>7909.9999999999991</v>
      </c>
      <c r="E80" s="42"/>
      <c r="G80" s="2"/>
      <c r="H80" s="2"/>
      <c r="I80" s="2"/>
      <c r="J80" s="139" t="s">
        <v>204</v>
      </c>
      <c r="K80" s="140">
        <f t="array" aca="1" ref="K80" ca="1">INDEX($B$65:$I$71,MATCH(K76,$A$65:$A$71,1),IF(MATCH(K73,$B$64:$I$64,1)&lt;M75,MATCH(K73,$B$64:$I$64,1)+1,MATCH(K76,$A$65:$A$71,1)))</f>
        <v>7909.9999999999991</v>
      </c>
      <c r="M80" s="42"/>
      <c r="O80" s="2"/>
      <c r="P80" s="2"/>
      <c r="Q80" s="2"/>
      <c r="R80" s="139" t="s">
        <v>204</v>
      </c>
      <c r="S80" s="140">
        <f t="array" aca="1" ref="S80" ca="1">INDEX($B$65:$I$71,MATCH(S76,$A$65:$A$71,1),IF(MATCH(S73,$B$64:$I$64,1)&lt;U75,MATCH(S73,$B$64:$I$64,1)+1,MATCH(S76,$A$65:$A$71,1)))</f>
        <v>7000</v>
      </c>
      <c r="U80" s="42"/>
      <c r="W80" s="2"/>
      <c r="X80" s="2"/>
      <c r="Y80" s="2"/>
      <c r="Z80" s="139" t="s">
        <v>204</v>
      </c>
      <c r="AA80" s="140">
        <f t="array" aca="1" ref="AA80" ca="1">INDEX($B$65:$I$71,MATCH(AA76,$A$65:$A$71,1),IF(MATCH(AA73,$B$64:$I$64,1)&lt;AC75,MATCH(AA73,$B$64:$I$64,1)+1,MATCH(AA76,$A$65:$A$71,1)))</f>
        <v>7000</v>
      </c>
      <c r="AC80" s="42"/>
      <c r="AE80" s="2"/>
      <c r="AF80" s="2"/>
      <c r="AG80" s="2"/>
      <c r="AH80" s="139" t="s">
        <v>204</v>
      </c>
      <c r="AI80" s="140">
        <f t="array" aca="1" ref="AI80" ca="1">INDEX($B$65:$I$71,MATCH(AI76,$A$65:$A$71,1),IF(MATCH(AI73,$B$64:$I$64,1)&lt;AK75,MATCH(AI73,$B$64:$I$64,1)+1,MATCH(AI76,$A$65:$A$71,1)))</f>
        <v>7000</v>
      </c>
      <c r="AK80" s="42"/>
      <c r="AM80" s="2"/>
      <c r="AN80" s="2"/>
      <c r="AO80" s="2"/>
      <c r="AP80" s="139" t="s">
        <v>204</v>
      </c>
      <c r="AQ80" s="140">
        <f t="array" aca="1" ref="AQ80" ca="1">INDEX($B$65:$I$71,MATCH(AQ76,$A$65:$A$71,1),IF(MATCH(AQ73,$B$64:$I$64,1)&lt;AS75,MATCH(AQ73,$B$64:$I$64,1)+1,MATCH(AQ76,$A$65:$A$71,1)))</f>
        <v>7000</v>
      </c>
      <c r="AS80" s="42"/>
      <c r="AU80" s="2"/>
      <c r="AV80" s="2"/>
      <c r="AW80" s="2"/>
      <c r="AX80" s="139" t="s">
        <v>204</v>
      </c>
      <c r="AY80" s="140" t="e">
        <f t="array" aca="1" ref="AY80" ca="1">INDEX($B$65:$I$71,MATCH(AY76,$A$65:$A$71,1),IF(MATCH(AY73,$B$64:$I$64,1)&lt;BA75,MATCH(AY73,$B$64:$I$64,1)+1,MATCH(AY76,$A$65:$A$71,1)))</f>
        <v>#N/A</v>
      </c>
      <c r="BA80" s="42"/>
    </row>
    <row r="81" spans="1:53" ht="14.25" customHeight="1" x14ac:dyDescent="0.3">
      <c r="B81" s="139" t="s">
        <v>151</v>
      </c>
      <c r="C81" s="140">
        <f t="array" aca="1" ref="C81" ca="1">INDEX($B$65:$I$71,IF(MATCH(C76,$A$65:$A$71,1)&lt;E74,MATCH(C76,$A$65:$A$71,1)+1,MATCH(C76,$A$65:$A$71,1)),MATCH(C73,$B$64:$I$64,1))</f>
        <v>5000</v>
      </c>
      <c r="E81" s="42"/>
      <c r="G81" s="2"/>
      <c r="H81" s="2"/>
      <c r="I81" s="2"/>
      <c r="J81" s="139" t="s">
        <v>151</v>
      </c>
      <c r="K81" s="140">
        <f t="array" aca="1" ref="K81" ca="1">INDEX($B$65:$I$71,IF(MATCH(K76,$A$65:$A$71,1)&lt;M74,MATCH(K76,$A$65:$A$71,1)+1,MATCH(K76,$A$65:$A$71,1)),MATCH(K73,$B$64:$I$64,1))</f>
        <v>5000</v>
      </c>
      <c r="M81" s="42"/>
      <c r="O81" s="2"/>
      <c r="P81" s="2"/>
      <c r="Q81" s="2"/>
      <c r="R81" s="139" t="s">
        <v>151</v>
      </c>
      <c r="S81" s="140">
        <f t="array" aca="1" ref="S81" ca="1">INDEX($B$65:$I$71,IF(MATCH(S76,$A$65:$A$71,1)&lt;U74,MATCH(S76,$A$65:$A$71,1)+1,MATCH(S76,$A$65:$A$71,1)),MATCH(S73,$B$64:$I$64,1))</f>
        <v>4300</v>
      </c>
      <c r="U81" s="42"/>
      <c r="W81" s="2"/>
      <c r="X81" s="2"/>
      <c r="Y81" s="2"/>
      <c r="Z81" s="139" t="s">
        <v>151</v>
      </c>
      <c r="AA81" s="140">
        <f t="array" aca="1" ref="AA81" ca="1">INDEX($B$65:$I$71,IF(MATCH(AA76,$A$65:$A$71,1)&lt;AC74,MATCH(AA76,$A$65:$A$71,1)+1,MATCH(AA76,$A$65:$A$71,1)),MATCH(AA73,$B$64:$I$64,1))</f>
        <v>4300</v>
      </c>
      <c r="AC81" s="42"/>
      <c r="AE81" s="2"/>
      <c r="AF81" s="2"/>
      <c r="AG81" s="2"/>
      <c r="AH81" s="139" t="s">
        <v>151</v>
      </c>
      <c r="AI81" s="140">
        <f t="array" aca="1" ref="AI81" ca="1">INDEX($B$65:$I$71,IF(MATCH(AI76,$A$65:$A$71,1)&lt;AK74,MATCH(AI76,$A$65:$A$71,1)+1,MATCH(AI76,$A$65:$A$71,1)),MATCH(AI73,$B$64:$I$64,1))</f>
        <v>4300</v>
      </c>
      <c r="AK81" s="42"/>
      <c r="AM81" s="2"/>
      <c r="AN81" s="2"/>
      <c r="AO81" s="2"/>
      <c r="AP81" s="139" t="s">
        <v>151</v>
      </c>
      <c r="AQ81" s="140">
        <f t="array" aca="1" ref="AQ81" ca="1">INDEX($B$65:$I$71,IF(MATCH(AQ76,$A$65:$A$71,1)&lt;AS74,MATCH(AQ76,$A$65:$A$71,1)+1,MATCH(AQ76,$A$65:$A$71,1)),MATCH(AQ73,$B$64:$I$64,1))</f>
        <v>4300</v>
      </c>
      <c r="AS81" s="42"/>
      <c r="AU81" s="2"/>
      <c r="AV81" s="2"/>
      <c r="AW81" s="2"/>
      <c r="AX81" s="139" t="s">
        <v>151</v>
      </c>
      <c r="AY81" s="140" t="e">
        <f t="array" aca="1" ref="AY81" ca="1">INDEX($B$65:$I$71,IF(MATCH(AY76,$A$65:$A$71,1)&lt;BA74,MATCH(AY76,$A$65:$A$71,1)+1,MATCH(AY76,$A$65:$A$71,1)),MATCH(AY73,$B$64:$I$64,1))</f>
        <v>#N/A</v>
      </c>
      <c r="BA81" s="42"/>
    </row>
    <row r="82" spans="1:53" ht="14.25" customHeight="1" x14ac:dyDescent="0.3">
      <c r="B82" s="139" t="s">
        <v>205</v>
      </c>
      <c r="C82" s="140">
        <f t="array" aca="1" ref="C82" ca="1">INDEX($B$65:$I$71,IF(MATCH(C76,$A$65:$A$71,1)&lt;E74,MATCH(C76,$A$65:$A$71,1)+1,MATCH(C76,$A$65:$A$71,1)),IF(MATCH(C73,$B$64:$I$64,1)&lt;E75,MATCH(C73,$B$64:$I$64,1)+1,MATCH(C73,$B$64:$I$64,1)))</f>
        <v>5650</v>
      </c>
      <c r="G82" s="2"/>
      <c r="H82" s="2"/>
      <c r="I82" s="2"/>
      <c r="J82" s="139" t="s">
        <v>205</v>
      </c>
      <c r="K82" s="140">
        <f t="array" aca="1" ref="K82" ca="1">INDEX($B$65:$I$71,IF(MATCH(K76,$A$65:$A$71,1)&lt;M74,MATCH(K76,$A$65:$A$71,1)+1,MATCH(K76,$A$65:$A$71,1)),IF(MATCH(K73,$B$64:$I$64,1)&lt;M75,MATCH(K73,$B$64:$I$64,1)+1,MATCH(K73,$B$64:$I$64,1)))</f>
        <v>5650</v>
      </c>
      <c r="O82" s="2"/>
      <c r="P82" s="2"/>
      <c r="Q82" s="2"/>
      <c r="R82" s="139" t="s">
        <v>205</v>
      </c>
      <c r="S82" s="140">
        <f t="array" aca="1" ref="S82" ca="1">INDEX($B$65:$I$71,IF(MATCH(S76,$A$65:$A$71,1)&lt;U74,MATCH(S76,$A$65:$A$71,1)+1,MATCH(S76,$A$65:$A$71,1)),IF(MATCH(S73,$B$64:$I$64,1)&lt;U75,MATCH(S73,$B$64:$I$64,1)+1,MATCH(S73,$B$64:$I$64,1)))</f>
        <v>5000</v>
      </c>
      <c r="W82" s="2"/>
      <c r="X82" s="2"/>
      <c r="Y82" s="2"/>
      <c r="Z82" s="139" t="s">
        <v>205</v>
      </c>
      <c r="AA82" s="140">
        <f t="array" aca="1" ref="AA82" ca="1">INDEX($B$65:$I$71,IF(MATCH(AA76,$A$65:$A$71,1)&lt;AC74,MATCH(AA76,$A$65:$A$71,1)+1,MATCH(AA76,$A$65:$A$71,1)),IF(MATCH(AA73,$B$64:$I$64,1)&lt;AC75,MATCH(AA73,$B$64:$I$64,1)+1,MATCH(AA73,$B$64:$I$64,1)))</f>
        <v>5000</v>
      </c>
      <c r="AE82" s="2"/>
      <c r="AF82" s="2"/>
      <c r="AG82" s="2"/>
      <c r="AH82" s="139" t="s">
        <v>205</v>
      </c>
      <c r="AI82" s="140">
        <f t="array" aca="1" ref="AI82" ca="1">INDEX($B$65:$I$71,IF(MATCH(AI76,$A$65:$A$71,1)&lt;AK74,MATCH(AI76,$A$65:$A$71,1)+1,MATCH(AI76,$A$65:$A$71,1)),IF(MATCH(AI73,$B$64:$I$64,1)&lt;AK75,MATCH(AI73,$B$64:$I$64,1)+1,MATCH(AI73,$B$64:$I$64,1)))</f>
        <v>5000</v>
      </c>
      <c r="AM82" s="2"/>
      <c r="AN82" s="2"/>
      <c r="AO82" s="2"/>
      <c r="AP82" s="139" t="s">
        <v>205</v>
      </c>
      <c r="AQ82" s="140">
        <f t="array" aca="1" ref="AQ82" ca="1">INDEX($B$65:$I$71,IF(MATCH(AQ76,$A$65:$A$71,1)&lt;AS74,MATCH(AQ76,$A$65:$A$71,1)+1,MATCH(AQ76,$A$65:$A$71,1)),IF(MATCH(AQ73,$B$64:$I$64,1)&lt;AS75,MATCH(AQ73,$B$64:$I$64,1)+1,MATCH(AQ73,$B$64:$I$64,1)))</f>
        <v>5000</v>
      </c>
      <c r="AU82" s="2"/>
      <c r="AV82" s="2"/>
      <c r="AW82" s="2"/>
      <c r="AX82" s="139" t="s">
        <v>205</v>
      </c>
      <c r="AY82" s="140" t="e">
        <f t="array" aca="1" ref="AY82" ca="1">INDEX($B$65:$I$71,IF(MATCH(AY76,$A$65:$A$71,1)&lt;BA74,MATCH(AY76,$A$65:$A$71,1)+1,MATCH(AY76,$A$65:$A$71,1)),IF(MATCH(AY73,$B$64:$I$64,1)&lt;BA75,MATCH(AY73,$B$64:$I$64,1)+1,MATCH(AY73,$B$64:$I$64,1)))</f>
        <v>#N/A</v>
      </c>
    </row>
    <row r="83" spans="1:53" ht="14.25" customHeight="1" x14ac:dyDescent="0.3">
      <c r="B83" s="16" t="s">
        <v>206</v>
      </c>
      <c r="C83" s="141">
        <f ca="1">IFERROR(C79+(C73-C74)*(C80-C79)/(C75-C74),C79)</f>
        <v>7725.5779999999995</v>
      </c>
      <c r="G83" s="2"/>
      <c r="H83" s="2"/>
      <c r="I83" s="2"/>
      <c r="J83" s="16" t="s">
        <v>206</v>
      </c>
      <c r="K83" s="141">
        <f ca="1">IFERROR(K79+(K73-K74)*(K80-K79)/(K75-K74),K79)</f>
        <v>7371.6580000000004</v>
      </c>
      <c r="O83" s="2"/>
      <c r="P83" s="2"/>
      <c r="Q83" s="2"/>
      <c r="R83" s="16" t="s">
        <v>206</v>
      </c>
      <c r="S83" s="141">
        <f ca="1">IFERROR(S79+(S73-S74)*(S80-S79)/(S75-S74),S79)</f>
        <v>6850.2979999999998</v>
      </c>
      <c r="W83" s="2"/>
      <c r="X83" s="2"/>
      <c r="Y83" s="2"/>
      <c r="Z83" s="16" t="s">
        <v>206</v>
      </c>
      <c r="AA83" s="141">
        <f ca="1">IFERROR(AA79+(AA73-AA74)*(AA80-AA79)/(AA75-AA74),AA79)</f>
        <v>6465.1719999999996</v>
      </c>
      <c r="AE83" s="2"/>
      <c r="AF83" s="2"/>
      <c r="AG83" s="2"/>
      <c r="AH83" s="16" t="s">
        <v>206</v>
      </c>
      <c r="AI83" s="141">
        <f ca="1">IFERROR(AI79+(AI73-AI74)*(AI80-AI79)/(AI75-AI74),AI79)</f>
        <v>6348.4260000000004</v>
      </c>
      <c r="AM83" s="2"/>
      <c r="AN83" s="2"/>
      <c r="AO83" s="2"/>
      <c r="AP83" s="16" t="s">
        <v>206</v>
      </c>
      <c r="AQ83" s="141">
        <f ca="1">IFERROR(AQ79+(AQ73-AQ74)*(AQ80-AQ79)/(AQ75-AQ74),AQ79)</f>
        <v>6243.2020000000002</v>
      </c>
      <c r="AU83" s="2"/>
      <c r="AV83" s="2"/>
      <c r="AW83" s="2"/>
      <c r="AX83" s="16" t="s">
        <v>206</v>
      </c>
      <c r="AY83" s="141" t="e">
        <f ca="1">IFERROR(AY79+(AY73-AY74)*(AY80-AY79)/(AY75-AY74),AY79)</f>
        <v>#N/A</v>
      </c>
    </row>
    <row r="84" spans="1:53" ht="14.25" customHeight="1" x14ac:dyDescent="0.3">
      <c r="B84" s="16" t="s">
        <v>207</v>
      </c>
      <c r="C84" s="141">
        <f ca="1">IFERROR(C81+(C73-C74)*(C82-C81)/(C75-C74),C81)</f>
        <v>5518.27</v>
      </c>
      <c r="G84" s="2"/>
      <c r="H84" s="2"/>
      <c r="I84" s="2"/>
      <c r="J84" s="16" t="s">
        <v>207</v>
      </c>
      <c r="K84" s="141">
        <f ca="1">IFERROR(K81+(K73-K74)*(K82-K81)/(K75-K74),K81)</f>
        <v>5265.47</v>
      </c>
      <c r="O84" s="2"/>
      <c r="P84" s="2"/>
      <c r="Q84" s="2"/>
      <c r="R84" s="16" t="s">
        <v>207</v>
      </c>
      <c r="S84" s="141">
        <f ca="1">IFERROR(S81+(S73-S74)*(S82-S81)/(S75-S74),S81)</f>
        <v>4893.07</v>
      </c>
      <c r="W84" s="2"/>
      <c r="X84" s="2"/>
      <c r="Y84" s="2"/>
      <c r="Z84" s="16" t="s">
        <v>207</v>
      </c>
      <c r="AA84" s="141">
        <f ca="1">IFERROR(AA81+(AA73-AA74)*(AA82-AA81)/(AA75-AA74),AA81)</f>
        <v>4617.9799999999996</v>
      </c>
      <c r="AE84" s="2"/>
      <c r="AF84" s="2"/>
      <c r="AG84" s="2"/>
      <c r="AH84" s="16" t="s">
        <v>207</v>
      </c>
      <c r="AI84" s="141">
        <f ca="1">IFERROR(AI81+(AI73-AI74)*(AI82-AI81)/(AI75-AI74),AI81)</f>
        <v>4534.59</v>
      </c>
      <c r="AM84" s="2"/>
      <c r="AN84" s="2"/>
      <c r="AO84" s="2"/>
      <c r="AP84" s="16" t="s">
        <v>207</v>
      </c>
      <c r="AQ84" s="141">
        <f ca="1">IFERROR(AQ81+(AQ73-AQ74)*(AQ82-AQ81)/(AQ75-AQ74),AQ81)</f>
        <v>4459.43</v>
      </c>
      <c r="AU84" s="2"/>
      <c r="AV84" s="2"/>
      <c r="AW84" s="2"/>
      <c r="AX84" s="16" t="s">
        <v>207</v>
      </c>
      <c r="AY84" s="141" t="e">
        <f ca="1">IFERROR(AY81+(AY73-AY74)*(AY82-AY81)/(AY75-AY74),AY81)</f>
        <v>#N/A</v>
      </c>
    </row>
    <row r="85" spans="1:53" ht="14.25" customHeight="1" x14ac:dyDescent="0.3">
      <c r="B85" s="139" t="s">
        <v>208</v>
      </c>
      <c r="C85" s="140">
        <f ca="1">IFERROR(C83+(C76-C77)*(C84-C83)/(C78-C77),C83)</f>
        <v>6046.7306589667269</v>
      </c>
      <c r="G85" s="2"/>
      <c r="H85" s="2"/>
      <c r="I85" s="2"/>
      <c r="J85" s="139" t="s">
        <v>208</v>
      </c>
      <c r="K85" s="140">
        <f ca="1">IFERROR(K83+(K76-K77)*(K84-K83)/(K78-K77),K83)</f>
        <v>5769.7211051415625</v>
      </c>
      <c r="O85" s="2"/>
      <c r="P85" s="2"/>
      <c r="Q85" s="2"/>
      <c r="R85" s="139" t="s">
        <v>208</v>
      </c>
      <c r="S85" s="140">
        <f ca="1">IFERROR(S83+(S76-S77)*(S84-S83)/(S78-S77),S83)</f>
        <v>5361.6579807567086</v>
      </c>
      <c r="W85" s="2"/>
      <c r="X85" s="2"/>
      <c r="Y85" s="2"/>
      <c r="Z85" s="139" t="s">
        <v>208</v>
      </c>
      <c r="AA85" s="140">
        <f ca="1">IFERROR(AA83+(AA76-AA77)*(AA84-AA83)/(AA78-AA77),AA83)</f>
        <v>5060.2238108130196</v>
      </c>
      <c r="AE85" s="2"/>
      <c r="AF85" s="2"/>
      <c r="AG85" s="2"/>
      <c r="AH85" s="139" t="s">
        <v>208</v>
      </c>
      <c r="AI85" s="140">
        <f ca="1">IFERROR(AI83+(AI76-AI77)*(AI84-AI83)/(AI78-AI77),AI83)</f>
        <v>4968.8479140824802</v>
      </c>
      <c r="AM85" s="2"/>
      <c r="AN85" s="2"/>
      <c r="AO85" s="2"/>
      <c r="AP85" s="139" t="s">
        <v>208</v>
      </c>
      <c r="AQ85" s="140">
        <f ca="1">IFERROR(AQ83+(AQ76-AQ77)*(AQ84-AQ83)/(AQ78-AQ77),AQ83)</f>
        <v>4886.4901685702207</v>
      </c>
      <c r="AU85" s="2"/>
      <c r="AV85" s="2"/>
      <c r="AW85" s="2"/>
      <c r="AX85" s="139" t="s">
        <v>208</v>
      </c>
      <c r="AY85" s="140" t="e">
        <f ca="1">IFERROR(AY83+(AY76-AY77)*(AY84-AY83)/(AY78-AY77),AY83)</f>
        <v>#N/A</v>
      </c>
    </row>
    <row r="86" spans="1:53" ht="14.25" customHeight="1" x14ac:dyDescent="0.3">
      <c r="B86" s="139"/>
      <c r="C86" s="140"/>
      <c r="G86" s="2"/>
      <c r="H86" s="2"/>
      <c r="I86" s="2"/>
      <c r="J86" s="139"/>
      <c r="K86" s="140"/>
      <c r="O86" s="2"/>
      <c r="P86" s="2"/>
      <c r="Q86" s="2"/>
      <c r="R86" s="139"/>
      <c r="S86" s="140"/>
      <c r="W86" s="2"/>
      <c r="X86" s="2"/>
      <c r="Y86" s="2"/>
      <c r="Z86" s="139"/>
      <c r="AA86" s="140"/>
      <c r="AE86" s="2"/>
      <c r="AF86" s="2"/>
      <c r="AG86" s="2"/>
      <c r="AH86" s="139"/>
      <c r="AI86" s="140"/>
      <c r="AM86" s="2"/>
      <c r="AN86" s="2"/>
      <c r="AO86" s="2"/>
      <c r="AP86" s="139"/>
      <c r="AQ86" s="140"/>
      <c r="AU86" s="2"/>
      <c r="AV86" s="2"/>
      <c r="AW86" s="2"/>
      <c r="AX86" s="139"/>
      <c r="AY86" s="140"/>
    </row>
    <row r="87" spans="1:53" ht="14.25" customHeight="1" x14ac:dyDescent="0.3">
      <c r="A87" t="s">
        <v>231</v>
      </c>
      <c r="B87" s="355" t="s">
        <v>222</v>
      </c>
      <c r="C87" s="355"/>
      <c r="D87" s="355"/>
      <c r="E87" s="355"/>
      <c r="F87" s="355"/>
      <c r="G87" s="355"/>
      <c r="H87" s="355"/>
      <c r="I87" s="355"/>
      <c r="J87" s="139"/>
      <c r="K87" s="140"/>
      <c r="O87" s="2"/>
      <c r="P87" s="2"/>
      <c r="Q87" s="2"/>
      <c r="R87" s="139"/>
      <c r="S87" s="140"/>
      <c r="W87" s="2"/>
      <c r="X87" s="2"/>
      <c r="Y87" s="2"/>
      <c r="Z87" s="139"/>
      <c r="AA87" s="140"/>
      <c r="AE87" s="2"/>
      <c r="AF87" s="2"/>
      <c r="AG87" s="2"/>
      <c r="AH87" s="139"/>
      <c r="AI87" s="140"/>
      <c r="AM87" s="2"/>
      <c r="AN87" s="2"/>
      <c r="AO87" s="2"/>
      <c r="AP87" s="139"/>
      <c r="AQ87" s="140"/>
      <c r="AU87" s="2"/>
      <c r="AV87" s="2"/>
      <c r="AW87" s="2"/>
      <c r="AX87" s="139"/>
      <c r="AY87" s="140"/>
    </row>
    <row r="88" spans="1:53" ht="14.25" customHeight="1" x14ac:dyDescent="0.3">
      <c r="A88" t="s">
        <v>35</v>
      </c>
      <c r="B88" s="263">
        <v>2800</v>
      </c>
      <c r="C88" s="269">
        <v>3800</v>
      </c>
      <c r="D88" s="270">
        <v>4800</v>
      </c>
      <c r="E88" s="270">
        <v>5800</v>
      </c>
      <c r="F88" s="270">
        <v>6800</v>
      </c>
      <c r="G88" s="271">
        <v>7800</v>
      </c>
      <c r="H88" s="271">
        <v>8800</v>
      </c>
      <c r="I88" s="272">
        <v>9800</v>
      </c>
      <c r="J88" s="139"/>
      <c r="K88" s="140"/>
      <c r="O88" s="2"/>
      <c r="P88" s="2"/>
      <c r="Q88" s="2"/>
      <c r="R88" s="139"/>
      <c r="S88" s="140"/>
      <c r="W88" s="2"/>
      <c r="X88" s="2"/>
      <c r="Y88" s="2"/>
      <c r="Z88" s="139"/>
      <c r="AA88" s="140"/>
      <c r="AE88" s="2"/>
      <c r="AF88" s="2"/>
      <c r="AG88" s="2"/>
      <c r="AH88" s="139"/>
      <c r="AI88" s="140"/>
      <c r="AM88" s="2"/>
      <c r="AN88" s="2"/>
      <c r="AO88" s="2"/>
      <c r="AP88" s="139"/>
      <c r="AQ88" s="140"/>
      <c r="AU88" s="2"/>
      <c r="AV88" s="2"/>
      <c r="AW88" s="2"/>
      <c r="AX88" s="139"/>
      <c r="AY88" s="140"/>
    </row>
    <row r="89" spans="1:53" ht="14.25" customHeight="1" x14ac:dyDescent="0.3">
      <c r="A89">
        <v>0</v>
      </c>
      <c r="B89" s="72">
        <v>3000</v>
      </c>
      <c r="C89" s="72">
        <v>4000</v>
      </c>
      <c r="D89" s="72">
        <v>5100</v>
      </c>
      <c r="E89" s="72">
        <v>6150</v>
      </c>
      <c r="F89" s="72">
        <v>7200</v>
      </c>
      <c r="G89" s="72">
        <v>8300</v>
      </c>
      <c r="H89" s="72">
        <v>9350</v>
      </c>
      <c r="I89" s="72">
        <v>10400</v>
      </c>
      <c r="J89" s="139"/>
      <c r="K89" s="140"/>
      <c r="O89" s="2"/>
      <c r="P89" s="2"/>
      <c r="Q89" s="2"/>
      <c r="R89" s="139"/>
      <c r="S89" s="140"/>
      <c r="W89" s="2"/>
      <c r="X89" s="2"/>
      <c r="Y89" s="2"/>
      <c r="Z89" s="139"/>
      <c r="AA89" s="140"/>
      <c r="AE89" s="2"/>
      <c r="AF89" s="2"/>
      <c r="AG89" s="2"/>
      <c r="AH89" s="139"/>
      <c r="AI89" s="140"/>
      <c r="AM89" s="2"/>
      <c r="AN89" s="2"/>
      <c r="AO89" s="2"/>
      <c r="AP89" s="139"/>
      <c r="AQ89" s="140"/>
      <c r="AU89" s="2"/>
      <c r="AV89" s="2"/>
      <c r="AW89" s="2"/>
      <c r="AX89" s="139"/>
      <c r="AY89" s="140"/>
    </row>
    <row r="90" spans="1:53" ht="14.25" customHeight="1" x14ac:dyDescent="0.3">
      <c r="B90" s="139"/>
      <c r="C90" s="140"/>
      <c r="G90" s="2"/>
      <c r="H90" s="2"/>
      <c r="I90" s="2"/>
      <c r="J90" s="139"/>
      <c r="K90" s="140"/>
      <c r="O90" s="2"/>
      <c r="P90" s="2"/>
      <c r="Q90" s="2"/>
      <c r="R90" s="139"/>
      <c r="S90" s="140"/>
      <c r="W90" s="2"/>
      <c r="X90" s="2"/>
      <c r="Y90" s="2"/>
      <c r="Z90" s="139"/>
      <c r="AA90" s="140"/>
      <c r="AE90" s="2"/>
      <c r="AF90" s="2"/>
      <c r="AG90" s="2"/>
      <c r="AH90" s="139"/>
      <c r="AI90" s="140"/>
      <c r="AM90" s="2"/>
      <c r="AN90" s="2"/>
      <c r="AO90" s="2"/>
      <c r="AP90" s="139"/>
      <c r="AQ90" s="140"/>
      <c r="AU90" s="2"/>
      <c r="AV90" s="2"/>
      <c r="AW90" s="2"/>
      <c r="AX90" s="139"/>
      <c r="AY90" s="140"/>
    </row>
    <row r="91" spans="1:53" ht="14.25" customHeight="1" x14ac:dyDescent="0.3">
      <c r="B91" s="139" t="s">
        <v>146</v>
      </c>
      <c r="C91" s="140">
        <f ca="1">C85</f>
        <v>6046.7306589667269</v>
      </c>
      <c r="D91" s="355" t="s">
        <v>201</v>
      </c>
      <c r="E91" s="355"/>
      <c r="G91" s="2"/>
      <c r="H91" s="2"/>
      <c r="I91" s="2"/>
      <c r="J91" s="139" t="s">
        <v>146</v>
      </c>
      <c r="K91" s="140">
        <f ca="1">K85</f>
        <v>5769.7211051415625</v>
      </c>
      <c r="L91" s="355" t="s">
        <v>201</v>
      </c>
      <c r="M91" s="355"/>
      <c r="O91" s="2"/>
      <c r="P91" s="2"/>
      <c r="Q91" s="2"/>
      <c r="R91" s="139" t="s">
        <v>146</v>
      </c>
      <c r="S91" s="140">
        <f ca="1">S85</f>
        <v>5361.6579807567086</v>
      </c>
      <c r="T91" s="355" t="s">
        <v>201</v>
      </c>
      <c r="U91" s="355"/>
      <c r="W91" s="2"/>
      <c r="X91" s="2"/>
      <c r="Y91" s="2"/>
      <c r="Z91" s="139" t="s">
        <v>146</v>
      </c>
      <c r="AA91" s="140">
        <f ca="1">AA85</f>
        <v>5060.2238108130196</v>
      </c>
      <c r="AB91" s="355" t="s">
        <v>201</v>
      </c>
      <c r="AC91" s="355"/>
      <c r="AE91" s="2"/>
      <c r="AF91" s="2"/>
      <c r="AG91" s="2"/>
      <c r="AH91" s="139" t="s">
        <v>146</v>
      </c>
      <c r="AI91" s="140">
        <f ca="1">AI85</f>
        <v>4968.8479140824802</v>
      </c>
      <c r="AJ91" s="355" t="s">
        <v>201</v>
      </c>
      <c r="AK91" s="355"/>
      <c r="AM91" s="2"/>
      <c r="AN91" s="2"/>
      <c r="AO91" s="2"/>
      <c r="AP91" s="139" t="s">
        <v>146</v>
      </c>
      <c r="AQ91" s="140">
        <f ca="1">AQ85</f>
        <v>4886.4901685702207</v>
      </c>
      <c r="AR91" s="355" t="s">
        <v>201</v>
      </c>
      <c r="AS91" s="355"/>
      <c r="AU91" s="2"/>
      <c r="AV91" s="2"/>
      <c r="AW91" s="2"/>
      <c r="AX91" s="139" t="s">
        <v>146</v>
      </c>
      <c r="AY91" s="140" t="e">
        <f ca="1">AY85</f>
        <v>#N/A</v>
      </c>
      <c r="AZ91" s="355" t="s">
        <v>201</v>
      </c>
      <c r="BA91" s="355"/>
    </row>
    <row r="92" spans="1:53" ht="14.25" customHeight="1" x14ac:dyDescent="0.3">
      <c r="B92" s="16" t="s">
        <v>202</v>
      </c>
      <c r="C92" s="141">
        <f t="array" aca="1" ref="C92" ca="1">INDEX($B$88:$I$88,MATCH(C91,$B$88:$I$88,1))</f>
        <v>5800</v>
      </c>
      <c r="D92" s="16" t="s">
        <v>144</v>
      </c>
      <c r="E92" s="17">
        <f>MATCH(MAX($A$89),$A$89,1)</f>
        <v>1</v>
      </c>
      <c r="G92" s="2"/>
      <c r="H92" s="2"/>
      <c r="I92" s="2"/>
      <c r="J92" s="16" t="s">
        <v>202</v>
      </c>
      <c r="K92" s="141">
        <f t="array" aca="1" ref="K92" ca="1">INDEX($B$88:$I$88,MATCH(K91,$B$88:$I$88,1))</f>
        <v>4800</v>
      </c>
      <c r="L92" s="16" t="s">
        <v>144</v>
      </c>
      <c r="M92" s="17">
        <f>MATCH(MAX($A$89),$A$89,1)</f>
        <v>1</v>
      </c>
      <c r="O92" s="2"/>
      <c r="P92" s="2"/>
      <c r="Q92" s="2"/>
      <c r="R92" s="16" t="s">
        <v>202</v>
      </c>
      <c r="S92" s="141">
        <f t="array" aca="1" ref="S92" ca="1">INDEX($B$88:$I$88,MATCH(S91,$B$88:$I$88,1))</f>
        <v>4800</v>
      </c>
      <c r="T92" s="16" t="s">
        <v>144</v>
      </c>
      <c r="U92" s="17">
        <f>MATCH(MAX($A$89),$A$89,1)</f>
        <v>1</v>
      </c>
      <c r="W92" s="2"/>
      <c r="X92" s="2"/>
      <c r="Y92" s="2"/>
      <c r="Z92" s="16" t="s">
        <v>202</v>
      </c>
      <c r="AA92" s="141">
        <f t="array" aca="1" ref="AA92" ca="1">INDEX($B$88:$I$88,MATCH(AA91,$B$88:$I$88,1))</f>
        <v>4800</v>
      </c>
      <c r="AB92" s="16" t="s">
        <v>144</v>
      </c>
      <c r="AC92" s="17">
        <f>MATCH(MAX($A$89),$A$89,1)</f>
        <v>1</v>
      </c>
      <c r="AE92" s="2"/>
      <c r="AF92" s="2"/>
      <c r="AG92" s="2"/>
      <c r="AH92" s="16" t="s">
        <v>202</v>
      </c>
      <c r="AI92" s="141">
        <f t="array" aca="1" ref="AI92" ca="1">INDEX($B$88:$I$88,MATCH(AI91,$B$88:$I$88,1))</f>
        <v>4800</v>
      </c>
      <c r="AJ92" s="16" t="s">
        <v>144</v>
      </c>
      <c r="AK92" s="17">
        <f>MATCH(MAX($A$89),$A$89,1)</f>
        <v>1</v>
      </c>
      <c r="AM92" s="2"/>
      <c r="AN92" s="2"/>
      <c r="AO92" s="2"/>
      <c r="AP92" s="16" t="s">
        <v>202</v>
      </c>
      <c r="AQ92" s="141">
        <f t="array" aca="1" ref="AQ92" ca="1">INDEX($B$88:$I$88,MATCH(AQ91,$B$88:$I$88,1))</f>
        <v>4800</v>
      </c>
      <c r="AR92" s="16" t="s">
        <v>144</v>
      </c>
      <c r="AS92" s="17">
        <f>MATCH(MAX($A$89),$A$89,1)</f>
        <v>1</v>
      </c>
      <c r="AU92" s="2"/>
      <c r="AV92" s="2"/>
      <c r="AW92" s="2"/>
      <c r="AX92" s="16" t="s">
        <v>202</v>
      </c>
      <c r="AY92" s="141" t="e">
        <f t="array" aca="1" ref="AY92" ca="1">INDEX($B$88:$I$88,MATCH(AY91,$B$88:$I$88,1))</f>
        <v>#N/A</v>
      </c>
      <c r="AZ92" s="16" t="s">
        <v>144</v>
      </c>
      <c r="BA92" s="17">
        <f>MATCH(MAX($A$89),$A$89,1)</f>
        <v>1</v>
      </c>
    </row>
    <row r="93" spans="1:53" ht="14.25" customHeight="1" x14ac:dyDescent="0.3">
      <c r="B93" s="16" t="s">
        <v>203</v>
      </c>
      <c r="C93" s="141">
        <f t="array" aca="1" ref="C93" ca="1">INDEX($B$88:$I$88,IF(MATCH(C91,$B$88:$I$88,1)&lt;E93,MATCH(C91,$B$88:$I$88,1)+1,MATCH(C91,$B$88:$I$88,1)))</f>
        <v>6800</v>
      </c>
      <c r="D93" s="16" t="s">
        <v>145</v>
      </c>
      <c r="E93" s="17">
        <f>MATCH(MAX($B$88:$I$88),$B$88:$I$88,0)</f>
        <v>8</v>
      </c>
      <c r="G93" s="2"/>
      <c r="H93" s="2"/>
      <c r="I93" s="2"/>
      <c r="J93" s="16" t="s">
        <v>203</v>
      </c>
      <c r="K93" s="141">
        <f t="array" aca="1" ref="K93" ca="1">INDEX($B$88:$I$88,IF(MATCH(K91,$B$88:$I$88,1)&lt;M93,MATCH(K91,$B$88:$I$88,1)+1,MATCH(K91,$B$88:$I$88,1)))</f>
        <v>5800</v>
      </c>
      <c r="L93" s="16" t="s">
        <v>145</v>
      </c>
      <c r="M93" s="17">
        <f>MATCH(MAX($B$88:$I$88),$B$88:$I$88,0)</f>
        <v>8</v>
      </c>
      <c r="O93" s="2"/>
      <c r="P93" s="2"/>
      <c r="Q93" s="2"/>
      <c r="R93" s="16" t="s">
        <v>203</v>
      </c>
      <c r="S93" s="141">
        <f t="array" aca="1" ref="S93" ca="1">INDEX($B$88:$I$88,IF(MATCH(S91,$B$88:$I$88,1)&lt;U93,MATCH(S91,$B$88:$I$88,1)+1,MATCH(S91,$B$88:$I$88,1)))</f>
        <v>5800</v>
      </c>
      <c r="T93" s="16" t="s">
        <v>145</v>
      </c>
      <c r="U93" s="17">
        <f>MATCH(MAX($B$88:$I$88),$B$88:$I$88,0)</f>
        <v>8</v>
      </c>
      <c r="W93" s="2"/>
      <c r="X93" s="2"/>
      <c r="Y93" s="2"/>
      <c r="Z93" s="16" t="s">
        <v>203</v>
      </c>
      <c r="AA93" s="141">
        <f t="array" aca="1" ref="AA93" ca="1">INDEX($B$88:$I$88,IF(MATCH(AA91,$B$88:$I$88,1)&lt;AC93,MATCH(AA91,$B$88:$I$88,1)+1,MATCH(AA91,$B$88:$I$88,1)))</f>
        <v>5800</v>
      </c>
      <c r="AB93" s="16" t="s">
        <v>145</v>
      </c>
      <c r="AC93" s="17">
        <f>MATCH(MAX($B$88:$I$88),$B$88:$I$88,0)</f>
        <v>8</v>
      </c>
      <c r="AE93" s="2"/>
      <c r="AF93" s="2"/>
      <c r="AG93" s="2"/>
      <c r="AH93" s="16" t="s">
        <v>203</v>
      </c>
      <c r="AI93" s="141">
        <f t="array" aca="1" ref="AI93" ca="1">INDEX($B$88:$I$88,IF(MATCH(AI91,$B$88:$I$88,1)&lt;AK93,MATCH(AI91,$B$88:$I$88,1)+1,MATCH(AI91,$B$88:$I$88,1)))</f>
        <v>5800</v>
      </c>
      <c r="AJ93" s="16" t="s">
        <v>145</v>
      </c>
      <c r="AK93" s="17">
        <f>MATCH(MAX($B$88:$I$88),$B$88:$I$88,0)</f>
        <v>8</v>
      </c>
      <c r="AM93" s="2"/>
      <c r="AN93" s="2"/>
      <c r="AO93" s="2"/>
      <c r="AP93" s="16" t="s">
        <v>203</v>
      </c>
      <c r="AQ93" s="141">
        <f t="array" aca="1" ref="AQ93" ca="1">INDEX($B$88:$I$88,IF(MATCH(AQ91,$B$88:$I$88,1)&lt;AS93,MATCH(AQ91,$B$88:$I$88,1)+1,MATCH(AQ91,$B$88:$I$88,1)))</f>
        <v>5800</v>
      </c>
      <c r="AR93" s="16" t="s">
        <v>145</v>
      </c>
      <c r="AS93" s="17">
        <f>MATCH(MAX($B$88:$I$88),$B$88:$I$88,0)</f>
        <v>8</v>
      </c>
      <c r="AU93" s="2"/>
      <c r="AV93" s="2"/>
      <c r="AW93" s="2"/>
      <c r="AX93" s="16" t="s">
        <v>203</v>
      </c>
      <c r="AY93" s="141" t="e">
        <f t="array" aca="1" ref="AY93" ca="1">INDEX($B$88:$I$88,IF(MATCH(AY91,$B$88:$I$88,1)&lt;BA93,MATCH(AY91,$B$88:$I$88,1)+1,MATCH(AY91,$B$88:$I$88,1)))</f>
        <v>#N/A</v>
      </c>
      <c r="AZ93" s="16" t="s">
        <v>145</v>
      </c>
      <c r="BA93" s="17">
        <f>MATCH(MAX($B$88:$I$88),$B$88:$I$88,0)</f>
        <v>8</v>
      </c>
    </row>
    <row r="94" spans="1:53" ht="14.25" customHeight="1" x14ac:dyDescent="0.3">
      <c r="B94" s="139" t="s">
        <v>147</v>
      </c>
      <c r="C94" s="186">
        <v>0</v>
      </c>
      <c r="D94" s="2"/>
      <c r="E94" s="2"/>
      <c r="G94" s="2"/>
      <c r="H94" s="2"/>
      <c r="I94" s="2"/>
      <c r="J94" s="139" t="s">
        <v>147</v>
      </c>
      <c r="K94" s="186">
        <v>0</v>
      </c>
      <c r="L94" s="2"/>
      <c r="M94" s="2"/>
      <c r="O94" s="2"/>
      <c r="P94" s="2"/>
      <c r="Q94" s="2"/>
      <c r="R94" s="139" t="s">
        <v>147</v>
      </c>
      <c r="S94" s="186">
        <v>0</v>
      </c>
      <c r="T94" s="2"/>
      <c r="U94" s="2"/>
      <c r="W94" s="2"/>
      <c r="X94" s="2"/>
      <c r="Y94" s="2"/>
      <c r="Z94" s="139" t="s">
        <v>147</v>
      </c>
      <c r="AA94" s="186">
        <v>0</v>
      </c>
      <c r="AB94" s="2"/>
      <c r="AC94" s="2"/>
      <c r="AE94" s="2"/>
      <c r="AF94" s="2"/>
      <c r="AG94" s="2"/>
      <c r="AH94" s="139" t="s">
        <v>147</v>
      </c>
      <c r="AI94" s="186">
        <v>0</v>
      </c>
      <c r="AJ94" s="2"/>
      <c r="AK94" s="2"/>
      <c r="AM94" s="2"/>
      <c r="AN94" s="2"/>
      <c r="AO94" s="2"/>
      <c r="AP94" s="139" t="s">
        <v>147</v>
      </c>
      <c r="AQ94" s="186">
        <v>0</v>
      </c>
      <c r="AR94" s="2"/>
      <c r="AS94" s="2"/>
      <c r="AU94" s="2"/>
      <c r="AV94" s="2"/>
      <c r="AW94" s="2"/>
      <c r="AX94" s="139" t="s">
        <v>147</v>
      </c>
      <c r="AY94" s="186">
        <v>0</v>
      </c>
      <c r="AZ94" s="2"/>
      <c r="BA94" s="2"/>
    </row>
    <row r="95" spans="1:53" ht="14.25" customHeight="1" x14ac:dyDescent="0.3">
      <c r="B95" s="16" t="s">
        <v>148</v>
      </c>
      <c r="C95" s="141">
        <f t="array" ref="C95">INDEX($A$89,MATCH(C94,$A$89,1))</f>
        <v>0</v>
      </c>
      <c r="D95" s="2"/>
      <c r="E95" s="42"/>
      <c r="G95" s="2"/>
      <c r="H95" s="2"/>
      <c r="I95" s="2"/>
      <c r="J95" s="16" t="s">
        <v>148</v>
      </c>
      <c r="K95" s="141">
        <f t="array" ref="K95">INDEX($A$89,MATCH(K94,$A$89,1))</f>
        <v>0</v>
      </c>
      <c r="L95" s="2"/>
      <c r="M95" s="42"/>
      <c r="O95" s="2"/>
      <c r="P95" s="2"/>
      <c r="Q95" s="2"/>
      <c r="R95" s="16" t="s">
        <v>148</v>
      </c>
      <c r="S95" s="141">
        <f t="array" ref="S95">INDEX($A$89,MATCH(S94,$A$89,1))</f>
        <v>0</v>
      </c>
      <c r="T95" s="2"/>
      <c r="U95" s="42"/>
      <c r="W95" s="2"/>
      <c r="X95" s="2"/>
      <c r="Y95" s="2"/>
      <c r="Z95" s="16" t="s">
        <v>148</v>
      </c>
      <c r="AA95" s="141">
        <f t="array" ref="AA95">INDEX($A$89,MATCH(AA94,$A$89,1))</f>
        <v>0</v>
      </c>
      <c r="AB95" s="2"/>
      <c r="AC95" s="42"/>
      <c r="AE95" s="2"/>
      <c r="AF95" s="2"/>
      <c r="AG95" s="2"/>
      <c r="AH95" s="16" t="s">
        <v>148</v>
      </c>
      <c r="AI95" s="141">
        <f t="array" ref="AI95">INDEX($A$89,MATCH(AI94,$A$89,1))</f>
        <v>0</v>
      </c>
      <c r="AJ95" s="2"/>
      <c r="AK95" s="42"/>
      <c r="AM95" s="2"/>
      <c r="AN95" s="2"/>
      <c r="AO95" s="2"/>
      <c r="AP95" s="16" t="s">
        <v>148</v>
      </c>
      <c r="AQ95" s="141">
        <f t="array" ref="AQ95">INDEX($A$89,MATCH(AQ94,$A$89,1))</f>
        <v>0</v>
      </c>
      <c r="AR95" s="2"/>
      <c r="AS95" s="42"/>
      <c r="AU95" s="2"/>
      <c r="AV95" s="2"/>
      <c r="AW95" s="2"/>
      <c r="AX95" s="16" t="s">
        <v>148</v>
      </c>
      <c r="AY95" s="141">
        <f t="array" ref="AY95">INDEX($A$89,MATCH(AY94,$A$89,1))</f>
        <v>0</v>
      </c>
      <c r="AZ95" s="2"/>
      <c r="BA95" s="42"/>
    </row>
    <row r="96" spans="1:53" ht="14.25" customHeight="1" x14ac:dyDescent="0.3">
      <c r="B96" s="16" t="s">
        <v>149</v>
      </c>
      <c r="C96" s="141">
        <f t="array" ref="C96">INDEX($A$89,IF(MATCH(C94,$A$89,1)&lt;E92,MATCH(C94,$A$89,1)+1,MATCH(C94,$A$89,1)))</f>
        <v>0</v>
      </c>
      <c r="D96" s="2"/>
      <c r="E96" s="42"/>
      <c r="G96" s="2"/>
      <c r="H96" s="2"/>
      <c r="I96" s="2"/>
      <c r="J96" s="16" t="s">
        <v>149</v>
      </c>
      <c r="K96" s="141">
        <f t="array" ref="K96">INDEX($A$89,IF(MATCH(K94,$A$89,1)&lt;M92,MATCH(K94,$A$89,1)+1,MATCH(K94,$A$89,1)))</f>
        <v>0</v>
      </c>
      <c r="L96" s="2"/>
      <c r="M96" s="42"/>
      <c r="O96" s="2"/>
      <c r="P96" s="2"/>
      <c r="Q96" s="2"/>
      <c r="R96" s="16" t="s">
        <v>149</v>
      </c>
      <c r="S96" s="141">
        <f t="array" ref="S96">INDEX($A$89,IF(MATCH(S94,$A$89,1)&lt;U92,MATCH(S94,$A$89,1)+1,MATCH(S94,$A$89,1)))</f>
        <v>0</v>
      </c>
      <c r="T96" s="2"/>
      <c r="U96" s="42"/>
      <c r="W96" s="2"/>
      <c r="X96" s="2"/>
      <c r="Y96" s="2"/>
      <c r="Z96" s="16" t="s">
        <v>149</v>
      </c>
      <c r="AA96" s="141">
        <f t="array" ref="AA96">INDEX($A$89,IF(MATCH(AA94,$A$89,1)&lt;AC92,MATCH(AA94,$A$89,1)+1,MATCH(AA94,$A$89,1)))</f>
        <v>0</v>
      </c>
      <c r="AB96" s="2"/>
      <c r="AC96" s="42"/>
      <c r="AE96" s="2"/>
      <c r="AF96" s="2"/>
      <c r="AG96" s="2"/>
      <c r="AH96" s="16" t="s">
        <v>149</v>
      </c>
      <c r="AI96" s="141">
        <f t="array" ref="AI96">INDEX($A$89,IF(MATCH(AI94,$A$89,1)&lt;AK92,MATCH(AI94,$A$89,1)+1,MATCH(AI94,$A$89,1)))</f>
        <v>0</v>
      </c>
      <c r="AJ96" s="2"/>
      <c r="AK96" s="42"/>
      <c r="AM96" s="2"/>
      <c r="AN96" s="2"/>
      <c r="AO96" s="2"/>
      <c r="AP96" s="16" t="s">
        <v>149</v>
      </c>
      <c r="AQ96" s="141">
        <f t="array" ref="AQ96">INDEX($A$89,IF(MATCH(AQ94,$A$89,1)&lt;AS92,MATCH(AQ94,$A$89,1)+1,MATCH(AQ94,$A$89,1)))</f>
        <v>0</v>
      </c>
      <c r="AR96" s="2"/>
      <c r="AS96" s="42"/>
      <c r="AU96" s="2"/>
      <c r="AV96" s="2"/>
      <c r="AW96" s="2"/>
      <c r="AX96" s="16" t="s">
        <v>149</v>
      </c>
      <c r="AY96" s="141">
        <f t="array" ref="AY96">INDEX($A$89,IF(MATCH(AY94,$A$89,1)&lt;BA92,MATCH(AY94,$A$89,1)+1,MATCH(AY94,$A$89,1)))</f>
        <v>0</v>
      </c>
      <c r="AZ96" s="2"/>
      <c r="BA96" s="42"/>
    </row>
    <row r="97" spans="1:55" ht="14.25" customHeight="1" x14ac:dyDescent="0.3">
      <c r="B97" s="139" t="s">
        <v>150</v>
      </c>
      <c r="C97" s="140">
        <f t="array" aca="1" ref="C97" ca="1">INDEX($B$89:$I$89,MATCH(C94,$A$89,1),MATCH(C91,$B$88:$I$88,1))</f>
        <v>6150</v>
      </c>
      <c r="D97" s="2"/>
      <c r="E97" s="42"/>
      <c r="G97" s="2"/>
      <c r="H97" s="2"/>
      <c r="I97" s="2"/>
      <c r="J97" s="139" t="s">
        <v>150</v>
      </c>
      <c r="K97" s="140">
        <f t="array" aca="1" ref="K97" ca="1">INDEX($B$89:$I$89,MATCH(K94,$A$89,1),MATCH(K91,$B$88:$I$88,1))</f>
        <v>5100</v>
      </c>
      <c r="L97" s="2"/>
      <c r="M97" s="42"/>
      <c r="O97" s="2"/>
      <c r="P97" s="2"/>
      <c r="Q97" s="2"/>
      <c r="R97" s="139" t="s">
        <v>150</v>
      </c>
      <c r="S97" s="140">
        <f t="array" aca="1" ref="S97" ca="1">INDEX($B$89:$I$89,MATCH(S94,$A$89,1),MATCH(S91,$B$88:$I$88,1))</f>
        <v>5100</v>
      </c>
      <c r="T97" s="2"/>
      <c r="U97" s="42"/>
      <c r="W97" s="2"/>
      <c r="X97" s="2"/>
      <c r="Y97" s="2"/>
      <c r="Z97" s="139" t="s">
        <v>150</v>
      </c>
      <c r="AA97" s="140">
        <f t="array" aca="1" ref="AA97" ca="1">INDEX($B$89:$I$89,MATCH(AA94,$A$89,1),MATCH(AA91,$B$88:$I$88,1))</f>
        <v>5100</v>
      </c>
      <c r="AB97" s="2"/>
      <c r="AC97" s="42"/>
      <c r="AE97" s="2"/>
      <c r="AF97" s="2"/>
      <c r="AG97" s="2"/>
      <c r="AH97" s="139" t="s">
        <v>150</v>
      </c>
      <c r="AI97" s="140">
        <f t="array" aca="1" ref="AI97" ca="1">INDEX($B$89:$I$89,MATCH(AI94,$A$89,1),MATCH(AI91,$B$88:$I$88,1))</f>
        <v>5100</v>
      </c>
      <c r="AJ97" s="2"/>
      <c r="AK97" s="42"/>
      <c r="AM97" s="2"/>
      <c r="AN97" s="2"/>
      <c r="AO97" s="2"/>
      <c r="AP97" s="139" t="s">
        <v>150</v>
      </c>
      <c r="AQ97" s="140">
        <f t="array" aca="1" ref="AQ97" ca="1">INDEX($B$89:$I$89,MATCH(AQ94,$A$89,1),MATCH(AQ91,$B$88:$I$88,1))</f>
        <v>5100</v>
      </c>
      <c r="AR97" s="2"/>
      <c r="AS97" s="42"/>
      <c r="AU97" s="2"/>
      <c r="AV97" s="2"/>
      <c r="AW97" s="2"/>
      <c r="AX97" s="139" t="s">
        <v>150</v>
      </c>
      <c r="AY97" s="140" t="e">
        <f t="array" aca="1" ref="AY97" ca="1">INDEX($B$89:$I$89,MATCH(AY94,$A$89,1),MATCH(AY91,$B$88:$I$88,1))</f>
        <v>#N/A</v>
      </c>
      <c r="AZ97" s="2"/>
      <c r="BA97" s="42"/>
    </row>
    <row r="98" spans="1:55" ht="14.25" customHeight="1" x14ac:dyDescent="0.3">
      <c r="B98" s="139" t="s">
        <v>204</v>
      </c>
      <c r="C98" s="140">
        <f t="array" aca="1" ref="C98" ca="1">INDEX($B$89:$I$89,MATCH(C94,$A$89,1),IF(MATCH(C91,$B$88:$I$88,1)&lt;E93,MATCH(C91,$B$88:$I$88,1)+1,MATCH(C94,$A$89,1)))</f>
        <v>7200</v>
      </c>
      <c r="E98" s="42"/>
      <c r="G98" s="2"/>
      <c r="H98" s="2"/>
      <c r="I98" s="2"/>
      <c r="J98" s="139" t="s">
        <v>204</v>
      </c>
      <c r="K98" s="140">
        <f t="array" aca="1" ref="K98" ca="1">INDEX($B$89:$I$89,MATCH(K94,$A$89,1),IF(MATCH(K91,$B$88:$I$88,1)&lt;M93,MATCH(K91,$B$88:$I$88,1)+1,MATCH(K94,$A$89,1)))</f>
        <v>6150</v>
      </c>
      <c r="M98" s="42"/>
      <c r="O98" s="2"/>
      <c r="P98" s="2"/>
      <c r="Q98" s="2"/>
      <c r="R98" s="139" t="s">
        <v>204</v>
      </c>
      <c r="S98" s="140">
        <f t="array" aca="1" ref="S98" ca="1">INDEX($B$89:$I$89,MATCH(S94,$A$89,1),IF(MATCH(S91,$B$88:$I$88,1)&lt;U93,MATCH(S91,$B$88:$I$88,1)+1,MATCH(S94,$A$89,1)))</f>
        <v>6150</v>
      </c>
      <c r="U98" s="42"/>
      <c r="W98" s="2"/>
      <c r="X98" s="2"/>
      <c r="Y98" s="2"/>
      <c r="Z98" s="139" t="s">
        <v>204</v>
      </c>
      <c r="AA98" s="140">
        <f t="array" aca="1" ref="AA98" ca="1">INDEX($B$89:$I$89,MATCH(AA94,$A$89,1),IF(MATCH(AA91,$B$88:$I$88,1)&lt;AC93,MATCH(AA91,$B$88:$I$88,1)+1,MATCH(AA94,$A$89,1)))</f>
        <v>6150</v>
      </c>
      <c r="AC98" s="42"/>
      <c r="AE98" s="2"/>
      <c r="AF98" s="2"/>
      <c r="AG98" s="2"/>
      <c r="AH98" s="139" t="s">
        <v>204</v>
      </c>
      <c r="AI98" s="140">
        <f t="array" aca="1" ref="AI98" ca="1">INDEX($B$89:$I$89,MATCH(AI94,$A$89,1),IF(MATCH(AI91,$B$88:$I$88,1)&lt;AK93,MATCH(AI91,$B$88:$I$88,1)+1,MATCH(AI94,$A$89,1)))</f>
        <v>6150</v>
      </c>
      <c r="AK98" s="42"/>
      <c r="AM98" s="2"/>
      <c r="AN98" s="2"/>
      <c r="AO98" s="2"/>
      <c r="AP98" s="139" t="s">
        <v>204</v>
      </c>
      <c r="AQ98" s="140">
        <f t="array" aca="1" ref="AQ98" ca="1">INDEX($B$89:$I$89,MATCH(AQ94,$A$89,1),IF(MATCH(AQ91,$B$88:$I$88,1)&lt;AS93,MATCH(AQ91,$B$88:$I$88,1)+1,MATCH(AQ94,$A$89,1)))</f>
        <v>6150</v>
      </c>
      <c r="AS98" s="42"/>
      <c r="AU98" s="2"/>
      <c r="AV98" s="2"/>
      <c r="AW98" s="2"/>
      <c r="AX98" s="139" t="s">
        <v>204</v>
      </c>
      <c r="AY98" s="140" t="e">
        <f t="array" aca="1" ref="AY98" ca="1">INDEX($B$89:$I$89,MATCH(AY94,$A$89,1),IF(MATCH(AY91,$B$88:$I$88,1)&lt;BA93,MATCH(AY91,$B$88:$I$88,1)+1,MATCH(AY94,$A$89,1)))</f>
        <v>#N/A</v>
      </c>
      <c r="BA98" s="42"/>
    </row>
    <row r="99" spans="1:55" ht="14.25" customHeight="1" x14ac:dyDescent="0.3">
      <c r="B99" s="139" t="s">
        <v>151</v>
      </c>
      <c r="C99" s="140">
        <f t="array" aca="1" ref="C99" ca="1">INDEX($B$89:$I$89,IF(MATCH(C94,$A$89,1)&lt;E92,MATCH(C94,$A$89,1)+1,MATCH(C94,$A$89,1)),MATCH(C91,$B$88:$I$88,1))</f>
        <v>6150</v>
      </c>
      <c r="E99" s="42"/>
      <c r="G99" s="2"/>
      <c r="H99" s="2"/>
      <c r="I99" s="2"/>
      <c r="J99" s="139" t="s">
        <v>151</v>
      </c>
      <c r="K99" s="140">
        <f t="array" aca="1" ref="K99" ca="1">INDEX($B$89:$I$89,IF(MATCH(K94,$A$89,1)&lt;M92,MATCH(K94,$A$89,1)+1,MATCH(K94,$A$89,1)),MATCH(K91,$B$88:$I$88,1))</f>
        <v>5100</v>
      </c>
      <c r="M99" s="42"/>
      <c r="O99" s="2"/>
      <c r="P99" s="2"/>
      <c r="Q99" s="2"/>
      <c r="R99" s="139" t="s">
        <v>151</v>
      </c>
      <c r="S99" s="140">
        <f t="array" aca="1" ref="S99" ca="1">INDEX($B$89:$I$89,IF(MATCH(S94,$A$89,1)&lt;U92,MATCH(S94,$A$89,1)+1,MATCH(S94,$A$89,1)),MATCH(S91,$B$88:$I$88,1))</f>
        <v>5100</v>
      </c>
      <c r="U99" s="42"/>
      <c r="W99" s="2"/>
      <c r="X99" s="2"/>
      <c r="Y99" s="2"/>
      <c r="Z99" s="139" t="s">
        <v>151</v>
      </c>
      <c r="AA99" s="140">
        <f t="array" aca="1" ref="AA99" ca="1">INDEX($B$89:$I$89,IF(MATCH(AA94,$A$89,1)&lt;AC92,MATCH(AA94,$A$89,1)+1,MATCH(AA94,$A$89,1)),MATCH(AA91,$B$88:$I$88,1))</f>
        <v>5100</v>
      </c>
      <c r="AC99" s="42"/>
      <c r="AE99" s="2"/>
      <c r="AF99" s="2"/>
      <c r="AG99" s="2"/>
      <c r="AH99" s="139" t="s">
        <v>151</v>
      </c>
      <c r="AI99" s="140">
        <f t="array" aca="1" ref="AI99" ca="1">INDEX($B$89:$I$89,IF(MATCH(AI94,$A$89,1)&lt;AK92,MATCH(AI94,$A$89,1)+1,MATCH(AI94,$A$89,1)),MATCH(AI91,$B$88:$I$88,1))</f>
        <v>5100</v>
      </c>
      <c r="AK99" s="42"/>
      <c r="AM99" s="2"/>
      <c r="AN99" s="2"/>
      <c r="AO99" s="2"/>
      <c r="AP99" s="139" t="s">
        <v>151</v>
      </c>
      <c r="AQ99" s="140">
        <f t="array" aca="1" ref="AQ99" ca="1">INDEX($B$89:$I$89,IF(MATCH(AQ94,$A$89,1)&lt;AS92,MATCH(AQ94,$A$89,1)+1,MATCH(AQ94,$A$89,1)),MATCH(AQ91,$B$88:$I$88,1))</f>
        <v>5100</v>
      </c>
      <c r="AS99" s="42"/>
      <c r="AU99" s="2"/>
      <c r="AV99" s="2"/>
      <c r="AW99" s="2"/>
      <c r="AX99" s="139" t="s">
        <v>151</v>
      </c>
      <c r="AY99" s="140" t="e">
        <f t="array" aca="1" ref="AY99" ca="1">INDEX($B$89:$I$89,IF(MATCH(AY94,$A$89,1)&lt;BA92,MATCH(AY94,$A$89,1)+1,MATCH(AY94,$A$89,1)),MATCH(AY91,$B$88:$I$88,1))</f>
        <v>#N/A</v>
      </c>
      <c r="BA99" s="42"/>
    </row>
    <row r="100" spans="1:55" ht="14.25" customHeight="1" x14ac:dyDescent="0.3">
      <c r="B100" s="139" t="s">
        <v>205</v>
      </c>
      <c r="C100" s="140">
        <f t="array" aca="1" ref="C100" ca="1">INDEX($B$89:$I$89,IF(MATCH(C94,$A$89,1)&lt;E92,MATCH(C94,$A$89,1)+1,MATCH(C94,$A$89,1)),IF(MATCH(C91,$B$88:$I$88,1)&lt;E93,MATCH(C91,$B$88:$I$88,1)+1,MATCH(C91,$B$88:$I$88,1)))</f>
        <v>7200</v>
      </c>
      <c r="G100" s="2"/>
      <c r="H100" s="2"/>
      <c r="I100" s="2"/>
      <c r="J100" s="139" t="s">
        <v>205</v>
      </c>
      <c r="K100" s="140">
        <f t="array" aca="1" ref="K100" ca="1">INDEX($B$89:$I$89,IF(MATCH(K94,$A$89,1)&lt;M92,MATCH(K94,$A$89,1)+1,MATCH(K94,$A$89,1)),IF(MATCH(K91,$B$88:$I$88,1)&lt;M93,MATCH(K91,$B$88:$I$88,1)+1,MATCH(K91,$B$88:$I$88,1)))</f>
        <v>6150</v>
      </c>
      <c r="O100" s="2"/>
      <c r="P100" s="2"/>
      <c r="Q100" s="2"/>
      <c r="R100" s="139" t="s">
        <v>205</v>
      </c>
      <c r="S100" s="140">
        <f t="array" aca="1" ref="S100" ca="1">INDEX($B$89:$I$89,IF(MATCH(S94,$A$89,1)&lt;U92,MATCH(S94,$A$89,1)+1,MATCH(S94,$A$89,1)),IF(MATCH(S91,$B$88:$I$88,1)&lt;U93,MATCH(S91,$B$88:$I$88,1)+1,MATCH(S91,$B$88:$I$88,1)))</f>
        <v>6150</v>
      </c>
      <c r="W100" s="2"/>
      <c r="X100" s="2"/>
      <c r="Y100" s="2"/>
      <c r="Z100" s="139" t="s">
        <v>205</v>
      </c>
      <c r="AA100" s="140">
        <f t="array" aca="1" ref="AA100" ca="1">INDEX($B$89:$I$89,IF(MATCH(AA94,$A$89,1)&lt;AC92,MATCH(AA94,$A$89,1)+1,MATCH(AA94,$A$89,1)),IF(MATCH(AA91,$B$88:$I$88,1)&lt;AC93,MATCH(AA91,$B$88:$I$88,1)+1,MATCH(AA91,$B$88:$I$88,1)))</f>
        <v>6150</v>
      </c>
      <c r="AE100" s="2"/>
      <c r="AF100" s="2"/>
      <c r="AG100" s="2"/>
      <c r="AH100" s="139" t="s">
        <v>205</v>
      </c>
      <c r="AI100" s="140">
        <f t="array" aca="1" ref="AI100" ca="1">INDEX($B$89:$I$89,IF(MATCH(AI94,$A$89,1)&lt;AK92,MATCH(AI94,$A$89,1)+1,MATCH(AI94,$A$89,1)),IF(MATCH(AI91,$B$88:$I$88,1)&lt;AK93,MATCH(AI91,$B$88:$I$88,1)+1,MATCH(AI91,$B$88:$I$88,1)))</f>
        <v>6150</v>
      </c>
      <c r="AM100" s="2"/>
      <c r="AN100" s="2"/>
      <c r="AO100" s="2"/>
      <c r="AP100" s="139" t="s">
        <v>205</v>
      </c>
      <c r="AQ100" s="140">
        <f t="array" aca="1" ref="AQ100" ca="1">INDEX($B$89:$I$89,IF(MATCH(AQ94,$A$89,1)&lt;AS92,MATCH(AQ94,$A$89,1)+1,MATCH(AQ94,$A$89,1)),IF(MATCH(AQ91,$B$88:$I$88,1)&lt;AS93,MATCH(AQ91,$B$88:$I$88,1)+1,MATCH(AQ91,$B$88:$I$88,1)))</f>
        <v>6150</v>
      </c>
      <c r="AU100" s="2"/>
      <c r="AV100" s="2"/>
      <c r="AW100" s="2"/>
      <c r="AX100" s="139" t="s">
        <v>205</v>
      </c>
      <c r="AY100" s="140" t="e">
        <f t="array" aca="1" ref="AY100" ca="1">INDEX($B$89:$I$89,IF(MATCH(AY94,$A$89,1)&lt;BA92,MATCH(AY94,$A$89,1)+1,MATCH(AY94,$A$89,1)),IF(MATCH(AY91,$B$88:$I$88,1)&lt;BA93,MATCH(AY91,$B$88:$I$88,1)+1,MATCH(AY91,$B$88:$I$88,1)))</f>
        <v>#N/A</v>
      </c>
    </row>
    <row r="101" spans="1:55" ht="14.25" customHeight="1" x14ac:dyDescent="0.3">
      <c r="B101" s="16" t="s">
        <v>206</v>
      </c>
      <c r="C101" s="141">
        <f ca="1">IFERROR(C97+(C91-C92)*(C98-C97)/(C93-C92),C97)</f>
        <v>6409.0671919150636</v>
      </c>
      <c r="G101" s="2"/>
      <c r="H101" s="2"/>
      <c r="I101" s="2"/>
      <c r="J101" s="16" t="s">
        <v>206</v>
      </c>
      <c r="K101" s="141">
        <f ca="1">IFERROR(K97+(K91-K92)*(K98-K97)/(K93-K92),K97)</f>
        <v>6118.2071603986406</v>
      </c>
      <c r="O101" s="2"/>
      <c r="P101" s="2"/>
      <c r="Q101" s="2"/>
      <c r="R101" s="16" t="s">
        <v>206</v>
      </c>
      <c r="S101" s="141">
        <f ca="1">IFERROR(S97+(S91-S92)*(S98-S97)/(S93-S92),S97)</f>
        <v>5689.7408797945445</v>
      </c>
      <c r="W101" s="2"/>
      <c r="X101" s="2"/>
      <c r="Y101" s="2"/>
      <c r="Z101" s="16" t="s">
        <v>206</v>
      </c>
      <c r="AA101" s="141">
        <f ca="1">IFERROR(AA97+(AA91-AA92)*(AA98-AA97)/(AA93-AA92),AA97)</f>
        <v>5373.2350013536707</v>
      </c>
      <c r="AE101" s="2"/>
      <c r="AF101" s="2"/>
      <c r="AG101" s="2"/>
      <c r="AH101" s="16" t="s">
        <v>206</v>
      </c>
      <c r="AI101" s="141">
        <f ca="1">IFERROR(AI97+(AI91-AI92)*(AI98-AI97)/(AI93-AI92),AI97)</f>
        <v>5277.2903097866038</v>
      </c>
      <c r="AM101" s="2"/>
      <c r="AN101" s="2"/>
      <c r="AO101" s="2"/>
      <c r="AP101" s="16" t="s">
        <v>206</v>
      </c>
      <c r="AQ101" s="141">
        <f ca="1">IFERROR(AQ97+(AQ91-AQ92)*(AQ98-AQ97)/(AQ93-AQ92),AQ97)</f>
        <v>5190.8146769987316</v>
      </c>
      <c r="AU101" s="2"/>
      <c r="AV101" s="2"/>
      <c r="AW101" s="2"/>
      <c r="AX101" s="16" t="s">
        <v>206</v>
      </c>
      <c r="AY101" s="141" t="e">
        <f ca="1">IFERROR(AY97+(AY91-AY92)*(AY98-AY97)/(AY93-AY92),AY97)</f>
        <v>#N/A</v>
      </c>
    </row>
    <row r="102" spans="1:55" ht="14.25" customHeight="1" x14ac:dyDescent="0.3">
      <c r="B102" s="16" t="s">
        <v>207</v>
      </c>
      <c r="C102" s="141">
        <f ca="1">IFERROR(C99+(C91-C92)*(C100-C99)/(C93-C92),C99)</f>
        <v>6409.0671919150636</v>
      </c>
      <c r="G102" s="2"/>
      <c r="H102" s="2"/>
      <c r="I102" s="2"/>
      <c r="J102" s="16" t="s">
        <v>207</v>
      </c>
      <c r="K102" s="141">
        <f ca="1">IFERROR(K99+(K91-K92)*(K100-K99)/(K93-K92),K99)</f>
        <v>6118.2071603986406</v>
      </c>
      <c r="O102" s="2"/>
      <c r="P102" s="2"/>
      <c r="Q102" s="2"/>
      <c r="R102" s="16" t="s">
        <v>207</v>
      </c>
      <c r="S102" s="141">
        <f ca="1">IFERROR(S99+(S91-S92)*(S100-S99)/(S93-S92),S99)</f>
        <v>5689.7408797945445</v>
      </c>
      <c r="W102" s="2"/>
      <c r="X102" s="2"/>
      <c r="Y102" s="2"/>
      <c r="Z102" s="16" t="s">
        <v>207</v>
      </c>
      <c r="AA102" s="141">
        <f ca="1">IFERROR(AA99+(AA91-AA92)*(AA100-AA99)/(AA93-AA92),AA99)</f>
        <v>5373.2350013536707</v>
      </c>
      <c r="AE102" s="2"/>
      <c r="AF102" s="2"/>
      <c r="AG102" s="2"/>
      <c r="AH102" s="16" t="s">
        <v>207</v>
      </c>
      <c r="AI102" s="141">
        <f ca="1">IFERROR(AI99+(AI91-AI92)*(AI100-AI99)/(AI93-AI92),AI99)</f>
        <v>5277.2903097866038</v>
      </c>
      <c r="AM102" s="2"/>
      <c r="AN102" s="2"/>
      <c r="AO102" s="2"/>
      <c r="AP102" s="16" t="s">
        <v>207</v>
      </c>
      <c r="AQ102" s="141">
        <f ca="1">IFERROR(AQ99+(AQ91-AQ92)*(AQ100-AQ99)/(AQ93-AQ92),AQ99)</f>
        <v>5190.8146769987316</v>
      </c>
      <c r="AU102" s="2"/>
      <c r="AV102" s="2"/>
      <c r="AW102" s="2"/>
      <c r="AX102" s="16" t="s">
        <v>207</v>
      </c>
      <c r="AY102" s="141" t="e">
        <f ca="1">IFERROR(AY99+(AY91-AY92)*(AY100-AY99)/(AY93-AY92),AY99)</f>
        <v>#N/A</v>
      </c>
    </row>
    <row r="103" spans="1:55" ht="14.25" customHeight="1" x14ac:dyDescent="0.3">
      <c r="B103" s="139" t="s">
        <v>208</v>
      </c>
      <c r="C103" s="140">
        <f ca="1">IFERROR(C101+(C94-C95)*(C102-C101)/(C96-C95),C101)</f>
        <v>6409.0671919150636</v>
      </c>
      <c r="G103" s="2"/>
      <c r="H103" s="2"/>
      <c r="I103" s="2"/>
      <c r="J103" s="139" t="s">
        <v>208</v>
      </c>
      <c r="K103" s="140">
        <f ca="1">IFERROR(K101+(K94-K95)*(K102-K101)/(K96-K95),K101)</f>
        <v>6118.2071603986406</v>
      </c>
      <c r="O103" s="2"/>
      <c r="P103" s="2"/>
      <c r="Q103" s="2"/>
      <c r="R103" s="139" t="s">
        <v>208</v>
      </c>
      <c r="S103" s="140">
        <f ca="1">IFERROR(S101+(S94-S95)*(S102-S101)/(S96-S95),S101)</f>
        <v>5689.7408797945445</v>
      </c>
      <c r="W103" s="2"/>
      <c r="X103" s="2"/>
      <c r="Y103" s="2"/>
      <c r="Z103" s="139" t="s">
        <v>208</v>
      </c>
      <c r="AA103" s="140">
        <f ca="1">IFERROR(AA101+(AA94-AA95)*(AA102-AA101)/(AA96-AA95),AA101)</f>
        <v>5373.2350013536707</v>
      </c>
      <c r="AE103" s="2"/>
      <c r="AF103" s="2"/>
      <c r="AG103" s="2"/>
      <c r="AH103" s="139" t="s">
        <v>208</v>
      </c>
      <c r="AI103" s="140">
        <f ca="1">IFERROR(AI101+(AI94-AI95)*(AI102-AI101)/(AI96-AI95),AI101)</f>
        <v>5277.2903097866038</v>
      </c>
      <c r="AM103" s="2"/>
      <c r="AN103" s="2"/>
      <c r="AO103" s="2"/>
      <c r="AP103" s="139" t="s">
        <v>208</v>
      </c>
      <c r="AQ103" s="140">
        <f ca="1">IFERROR(AQ101+(AQ94-AQ95)*(AQ102-AQ101)/(AQ96-AQ95),AQ101)</f>
        <v>5190.8146769987316</v>
      </c>
      <c r="AU103" s="2"/>
      <c r="AV103" s="2"/>
      <c r="AW103" s="2"/>
      <c r="AX103" s="139" t="s">
        <v>208</v>
      </c>
      <c r="AY103" s="140" t="e">
        <f ca="1">IFERROR(AY101+(AY94-AY95)*(AY102-AY101)/(AY96-AY95),AY101)</f>
        <v>#N/A</v>
      </c>
    </row>
    <row r="104" spans="1:55" ht="14.25" customHeight="1" x14ac:dyDescent="0.3">
      <c r="B104" s="139"/>
      <c r="C104" s="140"/>
      <c r="G104" s="2"/>
      <c r="H104" s="2"/>
      <c r="I104" s="2"/>
      <c r="J104" s="139"/>
      <c r="K104" s="140"/>
      <c r="O104" s="2"/>
      <c r="P104" s="2"/>
      <c r="Q104" s="2"/>
      <c r="R104" s="139"/>
      <c r="S104" s="140"/>
      <c r="W104" s="2"/>
      <c r="X104" s="2"/>
      <c r="Y104" s="2"/>
      <c r="Z104" s="139"/>
      <c r="AA104" s="140"/>
      <c r="AE104" s="2"/>
      <c r="AF104" s="2"/>
      <c r="AG104" s="2"/>
      <c r="AH104" s="139"/>
      <c r="AI104" s="140"/>
      <c r="AM104" s="2"/>
      <c r="AN104" s="2"/>
      <c r="AO104" s="2"/>
      <c r="AP104" s="139"/>
      <c r="AQ104" s="140"/>
      <c r="AU104" s="2"/>
      <c r="AV104" s="2"/>
      <c r="AW104" s="2"/>
      <c r="AX104" s="139"/>
      <c r="AY104" s="140"/>
    </row>
    <row r="105" spans="1:55" ht="14.25" customHeight="1" x14ac:dyDescent="0.3">
      <c r="B105" s="273" t="s">
        <v>232</v>
      </c>
      <c r="C105" s="140"/>
      <c r="G105" s="2"/>
      <c r="H105" s="2"/>
      <c r="I105" s="2"/>
      <c r="J105" s="139"/>
      <c r="K105" s="140"/>
      <c r="O105" s="2"/>
      <c r="P105" s="2"/>
      <c r="Q105" s="2"/>
      <c r="R105" s="139"/>
      <c r="S105" s="140"/>
      <c r="W105" s="2"/>
      <c r="X105" s="2"/>
      <c r="Y105" s="2"/>
      <c r="Z105" s="139"/>
      <c r="AA105" s="140"/>
      <c r="AE105" s="2"/>
      <c r="AF105" s="2"/>
      <c r="AG105" s="2"/>
      <c r="AH105" s="139"/>
      <c r="AI105" s="140"/>
      <c r="AM105" s="2"/>
      <c r="AN105" s="2"/>
      <c r="AO105" s="2"/>
      <c r="AP105" s="139"/>
      <c r="AQ105" s="140"/>
      <c r="AU105" s="2"/>
      <c r="AV105" s="2"/>
      <c r="AW105" s="2"/>
      <c r="AX105" s="139"/>
      <c r="AY105" s="140"/>
    </row>
    <row r="106" spans="1:55" ht="14.25" customHeight="1" x14ac:dyDescent="0.3">
      <c r="A106" s="266" t="s">
        <v>186</v>
      </c>
      <c r="B106" s="139"/>
      <c r="C106" s="140"/>
      <c r="G106" s="2"/>
      <c r="H106" s="2"/>
      <c r="I106" s="2"/>
      <c r="J106" s="139"/>
      <c r="K106" s="140"/>
      <c r="O106" s="2"/>
      <c r="P106" s="2"/>
      <c r="Q106" s="2"/>
      <c r="R106" s="139"/>
      <c r="S106" s="140"/>
      <c r="W106" s="2"/>
      <c r="X106" s="2"/>
      <c r="Y106" s="2"/>
      <c r="Z106" s="139"/>
      <c r="AA106" s="140"/>
      <c r="AE106" s="2"/>
      <c r="AF106" s="2"/>
      <c r="AG106" s="2"/>
      <c r="AH106" s="139"/>
      <c r="AI106" s="140"/>
      <c r="AM106" s="2"/>
      <c r="AN106" s="2"/>
      <c r="AO106" s="2"/>
      <c r="AP106" s="139"/>
      <c r="AQ106" s="140"/>
      <c r="AU106" s="2"/>
      <c r="AV106" s="2"/>
      <c r="AW106" s="2"/>
      <c r="AX106" s="139"/>
      <c r="AY106" s="140"/>
    </row>
    <row r="107" spans="1:55" ht="14.25" customHeight="1" x14ac:dyDescent="0.3">
      <c r="A107" s="356" t="s">
        <v>215</v>
      </c>
      <c r="B107" s="356"/>
      <c r="C107" s="356"/>
      <c r="D107" s="356"/>
      <c r="E107" s="356"/>
      <c r="F107" s="356"/>
      <c r="G107" s="356"/>
      <c r="H107" s="131"/>
      <c r="I107" s="356" t="s">
        <v>215</v>
      </c>
      <c r="J107" s="356"/>
      <c r="K107" s="356"/>
      <c r="L107" s="356"/>
      <c r="M107" s="356"/>
      <c r="N107" s="356"/>
      <c r="O107" s="356"/>
      <c r="P107" s="131"/>
      <c r="Q107" s="356" t="s">
        <v>215</v>
      </c>
      <c r="R107" s="356"/>
      <c r="S107" s="356"/>
      <c r="T107" s="356"/>
      <c r="U107" s="356"/>
      <c r="V107" s="356"/>
      <c r="W107" s="356"/>
      <c r="X107" s="131"/>
      <c r="Y107" s="356" t="s">
        <v>215</v>
      </c>
      <c r="Z107" s="356"/>
      <c r="AA107" s="356"/>
      <c r="AB107" s="356"/>
      <c r="AC107" s="356"/>
      <c r="AD107" s="356"/>
      <c r="AE107" s="356"/>
      <c r="AF107" s="131"/>
      <c r="AG107" s="356" t="s">
        <v>215</v>
      </c>
      <c r="AH107" s="356"/>
      <c r="AI107" s="356"/>
      <c r="AJ107" s="356"/>
      <c r="AK107" s="356"/>
      <c r="AL107" s="356"/>
      <c r="AM107" s="356"/>
      <c r="AN107" s="131"/>
      <c r="AO107" s="356" t="s">
        <v>215</v>
      </c>
      <c r="AP107" s="356"/>
      <c r="AQ107" s="356"/>
      <c r="AR107" s="356"/>
      <c r="AS107" s="356"/>
      <c r="AT107" s="356"/>
      <c r="AU107" s="356"/>
      <c r="AV107" s="240"/>
      <c r="AW107" s="356" t="s">
        <v>215</v>
      </c>
      <c r="AX107" s="356"/>
      <c r="AY107" s="356"/>
      <c r="AZ107" s="356"/>
      <c r="BA107" s="356"/>
      <c r="BB107" s="356"/>
      <c r="BC107" s="356"/>
    </row>
    <row r="108" spans="1:55" ht="14.25" customHeight="1" x14ac:dyDescent="0.3">
      <c r="A108" s="406" t="s">
        <v>216</v>
      </c>
      <c r="B108" s="406"/>
      <c r="C108" s="406"/>
      <c r="D108" s="406"/>
      <c r="E108" s="406"/>
      <c r="F108" s="406"/>
      <c r="G108" s="406"/>
      <c r="H108" s="131"/>
      <c r="I108" s="406" t="s">
        <v>216</v>
      </c>
      <c r="J108" s="406"/>
      <c r="K108" s="406"/>
      <c r="L108" s="406"/>
      <c r="M108" s="406"/>
      <c r="N108" s="406"/>
      <c r="O108" s="406"/>
      <c r="P108" s="228"/>
      <c r="Q108" s="406" t="s">
        <v>216</v>
      </c>
      <c r="R108" s="406"/>
      <c r="S108" s="406"/>
      <c r="T108" s="406"/>
      <c r="U108" s="406"/>
      <c r="V108" s="406"/>
      <c r="W108" s="406"/>
      <c r="X108" s="131"/>
      <c r="Y108" s="406" t="s">
        <v>216</v>
      </c>
      <c r="Z108" s="406"/>
      <c r="AA108" s="406"/>
      <c r="AB108" s="406"/>
      <c r="AC108" s="406"/>
      <c r="AD108" s="406"/>
      <c r="AE108" s="406"/>
      <c r="AF108" s="131"/>
      <c r="AG108" s="406" t="s">
        <v>216</v>
      </c>
      <c r="AH108" s="406"/>
      <c r="AI108" s="406"/>
      <c r="AJ108" s="406"/>
      <c r="AK108" s="406"/>
      <c r="AL108" s="406"/>
      <c r="AM108" s="406"/>
      <c r="AN108" s="131"/>
      <c r="AO108" s="406" t="s">
        <v>216</v>
      </c>
      <c r="AP108" s="406"/>
      <c r="AQ108" s="406"/>
      <c r="AR108" s="406"/>
      <c r="AS108" s="406"/>
      <c r="AT108" s="406"/>
      <c r="AU108" s="406"/>
      <c r="AV108" s="241"/>
      <c r="AW108" s="406" t="s">
        <v>216</v>
      </c>
      <c r="AX108" s="406"/>
      <c r="AY108" s="406"/>
      <c r="AZ108" s="406"/>
      <c r="BA108" s="406"/>
      <c r="BB108" s="406"/>
      <c r="BC108" s="406"/>
    </row>
    <row r="109" spans="1:55" ht="14.25" customHeight="1" x14ac:dyDescent="0.3">
      <c r="A109" s="2"/>
      <c r="B109" s="2"/>
      <c r="C109" s="51">
        <v>16600</v>
      </c>
      <c r="D109" s="53" t="s">
        <v>29</v>
      </c>
      <c r="E109" s="2"/>
      <c r="F109" s="2"/>
      <c r="G109" s="2"/>
      <c r="H109" s="2"/>
      <c r="I109" s="2"/>
      <c r="J109" s="2"/>
      <c r="K109" s="51">
        <v>16000</v>
      </c>
      <c r="L109" s="53" t="s">
        <v>29</v>
      </c>
      <c r="M109" s="2"/>
      <c r="N109" s="2"/>
      <c r="O109" s="2"/>
      <c r="P109" s="2"/>
      <c r="Q109" s="2"/>
      <c r="R109" s="2"/>
      <c r="S109" s="51">
        <v>15000</v>
      </c>
      <c r="T109" s="53" t="s">
        <v>29</v>
      </c>
      <c r="U109" s="2"/>
      <c r="V109" s="2"/>
      <c r="W109" s="2"/>
      <c r="X109" s="2"/>
      <c r="Y109" s="2"/>
      <c r="Z109" s="2"/>
      <c r="AA109" s="51">
        <v>14000</v>
      </c>
      <c r="AB109" s="53" t="s">
        <v>29</v>
      </c>
      <c r="AC109" s="2"/>
      <c r="AD109" s="2"/>
      <c r="AE109" s="2"/>
      <c r="AF109" s="2"/>
      <c r="AG109" s="2"/>
      <c r="AH109" s="2"/>
      <c r="AI109" s="51">
        <v>13000</v>
      </c>
      <c r="AJ109" s="53" t="s">
        <v>29</v>
      </c>
      <c r="AK109" s="2"/>
      <c r="AL109" s="2"/>
      <c r="AM109" s="2"/>
      <c r="AN109" s="2"/>
      <c r="AO109" s="2"/>
      <c r="AP109" s="2"/>
      <c r="AQ109" s="51">
        <v>12000</v>
      </c>
      <c r="AR109" s="53" t="s">
        <v>29</v>
      </c>
      <c r="AS109" s="2"/>
      <c r="AT109" s="2"/>
      <c r="AU109" s="2"/>
      <c r="AV109" s="242"/>
      <c r="AW109" s="2"/>
      <c r="AX109" s="2"/>
      <c r="AY109" s="51">
        <v>13000</v>
      </c>
      <c r="AZ109" s="53" t="s">
        <v>29</v>
      </c>
      <c r="BA109" s="2"/>
      <c r="BB109" s="2"/>
      <c r="BC109" s="2"/>
    </row>
    <row r="110" spans="1:55" ht="14.25" customHeight="1" x14ac:dyDescent="0.3">
      <c r="A110" s="412" t="s">
        <v>217</v>
      </c>
      <c r="B110" s="412"/>
      <c r="C110" s="413" t="s">
        <v>218</v>
      </c>
      <c r="D110" s="413"/>
      <c r="E110" s="413"/>
      <c r="F110" s="413"/>
      <c r="G110" s="413"/>
      <c r="H110" s="228"/>
      <c r="I110" s="412" t="s">
        <v>217</v>
      </c>
      <c r="J110" s="412"/>
      <c r="K110" s="413" t="s">
        <v>218</v>
      </c>
      <c r="L110" s="413"/>
      <c r="M110" s="413"/>
      <c r="N110" s="413"/>
      <c r="O110" s="413"/>
      <c r="P110" s="243"/>
      <c r="Q110" s="412" t="s">
        <v>217</v>
      </c>
      <c r="R110" s="412"/>
      <c r="S110" s="413" t="s">
        <v>218</v>
      </c>
      <c r="T110" s="413"/>
      <c r="U110" s="413"/>
      <c r="V110" s="413"/>
      <c r="W110" s="413"/>
      <c r="X110" s="228"/>
      <c r="Y110" s="412" t="s">
        <v>217</v>
      </c>
      <c r="Z110" s="412"/>
      <c r="AA110" s="413" t="s">
        <v>218</v>
      </c>
      <c r="AB110" s="413"/>
      <c r="AC110" s="413"/>
      <c r="AD110" s="413"/>
      <c r="AE110" s="413"/>
      <c r="AF110" s="228"/>
      <c r="AG110" s="412" t="s">
        <v>217</v>
      </c>
      <c r="AH110" s="412"/>
      <c r="AI110" s="413" t="s">
        <v>218</v>
      </c>
      <c r="AJ110" s="413"/>
      <c r="AK110" s="413"/>
      <c r="AL110" s="413"/>
      <c r="AM110" s="413"/>
      <c r="AN110" s="228"/>
      <c r="AO110" s="412" t="s">
        <v>217</v>
      </c>
      <c r="AP110" s="412"/>
      <c r="AQ110" s="413" t="s">
        <v>218</v>
      </c>
      <c r="AR110" s="413"/>
      <c r="AS110" s="413"/>
      <c r="AT110" s="413"/>
      <c r="AU110" s="413"/>
      <c r="AV110" s="244"/>
      <c r="AW110" s="412" t="s">
        <v>217</v>
      </c>
      <c r="AX110" s="412"/>
      <c r="AY110" s="413" t="s">
        <v>218</v>
      </c>
      <c r="AZ110" s="413"/>
      <c r="BA110" s="413"/>
      <c r="BB110" s="413"/>
      <c r="BC110" s="413"/>
    </row>
    <row r="111" spans="1:55" ht="14.25" customHeight="1" x14ac:dyDescent="0.3">
      <c r="A111" s="412"/>
      <c r="B111" s="412"/>
      <c r="C111" s="413"/>
      <c r="D111" s="413"/>
      <c r="E111" s="413"/>
      <c r="F111" s="413"/>
      <c r="G111" s="413"/>
      <c r="H111" s="228"/>
      <c r="I111" s="412"/>
      <c r="J111" s="412"/>
      <c r="K111" s="413"/>
      <c r="L111" s="413"/>
      <c r="M111" s="413"/>
      <c r="N111" s="413"/>
      <c r="O111" s="413"/>
      <c r="P111" s="243"/>
      <c r="Q111" s="412"/>
      <c r="R111" s="412"/>
      <c r="S111" s="413"/>
      <c r="T111" s="413"/>
      <c r="U111" s="413"/>
      <c r="V111" s="413"/>
      <c r="W111" s="413"/>
      <c r="X111" s="228"/>
      <c r="Y111" s="412"/>
      <c r="Z111" s="412"/>
      <c r="AA111" s="413"/>
      <c r="AB111" s="413"/>
      <c r="AC111" s="413"/>
      <c r="AD111" s="413"/>
      <c r="AE111" s="413"/>
      <c r="AF111" s="228"/>
      <c r="AG111" s="412"/>
      <c r="AH111" s="412"/>
      <c r="AI111" s="413"/>
      <c r="AJ111" s="413"/>
      <c r="AK111" s="413"/>
      <c r="AL111" s="413"/>
      <c r="AM111" s="413"/>
      <c r="AN111" s="228"/>
      <c r="AO111" s="412"/>
      <c r="AP111" s="412"/>
      <c r="AQ111" s="413"/>
      <c r="AR111" s="413"/>
      <c r="AS111" s="413"/>
      <c r="AT111" s="413"/>
      <c r="AU111" s="413"/>
      <c r="AV111" s="244"/>
      <c r="AW111" s="412"/>
      <c r="AX111" s="412"/>
      <c r="AY111" s="413"/>
      <c r="AZ111" s="413"/>
      <c r="BA111" s="413"/>
      <c r="BB111" s="413"/>
      <c r="BC111" s="413"/>
    </row>
    <row r="112" spans="1:55" ht="14.25" customHeight="1" x14ac:dyDescent="0.3">
      <c r="A112" s="410" t="s">
        <v>10</v>
      </c>
      <c r="B112" s="410"/>
      <c r="C112" s="245">
        <v>0</v>
      </c>
      <c r="D112" s="246">
        <v>1000</v>
      </c>
      <c r="E112" s="246">
        <v>2000</v>
      </c>
      <c r="F112" s="247">
        <v>3000</v>
      </c>
      <c r="G112" s="247">
        <v>4000</v>
      </c>
      <c r="H112" s="243"/>
      <c r="I112" s="410" t="s">
        <v>10</v>
      </c>
      <c r="J112" s="410"/>
      <c r="K112" s="245">
        <v>0</v>
      </c>
      <c r="L112" s="246">
        <v>1000</v>
      </c>
      <c r="M112" s="246">
        <v>2000</v>
      </c>
      <c r="N112" s="247">
        <v>3000</v>
      </c>
      <c r="O112" s="247">
        <v>4000</v>
      </c>
      <c r="P112" s="243"/>
      <c r="Q112" s="410" t="s">
        <v>10</v>
      </c>
      <c r="R112" s="410"/>
      <c r="S112" s="245">
        <v>0</v>
      </c>
      <c r="T112" s="246">
        <v>1000</v>
      </c>
      <c r="U112" s="246">
        <v>2000</v>
      </c>
      <c r="V112" s="247">
        <v>3000</v>
      </c>
      <c r="W112" s="247">
        <v>4000</v>
      </c>
      <c r="X112" s="243"/>
      <c r="Y112" s="410" t="s">
        <v>10</v>
      </c>
      <c r="Z112" s="410"/>
      <c r="AA112" s="245">
        <v>0</v>
      </c>
      <c r="AB112" s="246">
        <v>1000</v>
      </c>
      <c r="AC112" s="246">
        <v>2000</v>
      </c>
      <c r="AD112" s="247">
        <v>3000</v>
      </c>
      <c r="AE112" s="247">
        <v>4000</v>
      </c>
      <c r="AF112" s="243"/>
      <c r="AG112" s="410" t="s">
        <v>10</v>
      </c>
      <c r="AH112" s="410"/>
      <c r="AI112" s="245">
        <v>0</v>
      </c>
      <c r="AJ112" s="246">
        <v>1000</v>
      </c>
      <c r="AK112" s="246">
        <v>2000</v>
      </c>
      <c r="AL112" s="247">
        <v>3000</v>
      </c>
      <c r="AM112" s="247">
        <v>4000</v>
      </c>
      <c r="AN112" s="243"/>
      <c r="AO112" s="410" t="s">
        <v>10</v>
      </c>
      <c r="AP112" s="410"/>
      <c r="AQ112" s="245">
        <v>0</v>
      </c>
      <c r="AR112" s="246">
        <v>1000</v>
      </c>
      <c r="AS112" s="246">
        <v>2000</v>
      </c>
      <c r="AT112" s="247">
        <v>3000</v>
      </c>
      <c r="AU112" s="247">
        <v>4000</v>
      </c>
      <c r="AV112" s="244"/>
      <c r="AW112" s="410" t="s">
        <v>10</v>
      </c>
      <c r="AX112" s="410"/>
      <c r="AY112" s="245">
        <v>0</v>
      </c>
      <c r="AZ112" s="246">
        <v>1000</v>
      </c>
      <c r="BA112" s="246">
        <v>2000</v>
      </c>
      <c r="BB112" s="247">
        <v>3000</v>
      </c>
      <c r="BC112" s="247">
        <v>4000</v>
      </c>
    </row>
    <row r="113" spans="1:55" ht="14.25" customHeight="1" x14ac:dyDescent="0.3">
      <c r="A113" s="411">
        <v>-30</v>
      </c>
      <c r="B113" s="411"/>
      <c r="C113" s="248">
        <v>108</v>
      </c>
      <c r="D113" s="249">
        <v>108</v>
      </c>
      <c r="E113" s="249">
        <v>108</v>
      </c>
      <c r="F113" s="249">
        <v>108</v>
      </c>
      <c r="G113" s="250">
        <v>99999</v>
      </c>
      <c r="H113" s="2"/>
      <c r="I113" s="411">
        <v>-30</v>
      </c>
      <c r="J113" s="411"/>
      <c r="K113" s="251">
        <v>107</v>
      </c>
      <c r="L113" s="251">
        <v>107</v>
      </c>
      <c r="M113" s="251">
        <v>107</v>
      </c>
      <c r="N113" s="251">
        <v>107</v>
      </c>
      <c r="O113" s="250">
        <v>99999</v>
      </c>
      <c r="P113" s="42"/>
      <c r="Q113" s="411">
        <v>-30</v>
      </c>
      <c r="R113" s="411"/>
      <c r="S113" s="251">
        <v>104</v>
      </c>
      <c r="T113" s="251">
        <v>104</v>
      </c>
      <c r="U113" s="251">
        <v>104</v>
      </c>
      <c r="V113" s="251">
        <v>104</v>
      </c>
      <c r="W113" s="250">
        <v>99999</v>
      </c>
      <c r="X113" s="2"/>
      <c r="Y113" s="411">
        <v>-30</v>
      </c>
      <c r="Z113" s="411"/>
      <c r="AA113" s="251">
        <v>102</v>
      </c>
      <c r="AB113" s="251">
        <v>102</v>
      </c>
      <c r="AC113" s="251">
        <v>102</v>
      </c>
      <c r="AD113" s="251">
        <v>102</v>
      </c>
      <c r="AE113" s="250">
        <v>99999</v>
      </c>
      <c r="AF113" s="2"/>
      <c r="AG113" s="411">
        <v>-30</v>
      </c>
      <c r="AH113" s="411"/>
      <c r="AI113" s="251">
        <v>102</v>
      </c>
      <c r="AJ113" s="251">
        <v>102</v>
      </c>
      <c r="AK113" s="251">
        <v>102</v>
      </c>
      <c r="AL113" s="251">
        <v>102</v>
      </c>
      <c r="AM113" s="250">
        <v>99999</v>
      </c>
      <c r="AN113" s="2"/>
      <c r="AO113" s="411">
        <v>-30</v>
      </c>
      <c r="AP113" s="411"/>
      <c r="AQ113" s="251">
        <v>102</v>
      </c>
      <c r="AR113" s="251">
        <v>102</v>
      </c>
      <c r="AS113" s="251">
        <v>102</v>
      </c>
      <c r="AT113" s="251">
        <v>102</v>
      </c>
      <c r="AU113" s="250">
        <v>99999</v>
      </c>
      <c r="AV113" s="252"/>
      <c r="AW113" s="408">
        <v>0</v>
      </c>
      <c r="AX113" s="408"/>
      <c r="AY113" s="251"/>
      <c r="AZ113" s="251"/>
      <c r="BA113" s="251"/>
      <c r="BB113" s="250"/>
      <c r="BC113" s="250">
        <v>99999</v>
      </c>
    </row>
    <row r="114" spans="1:55" ht="14.25" customHeight="1" x14ac:dyDescent="0.3">
      <c r="A114" s="408">
        <v>-25</v>
      </c>
      <c r="B114" s="408"/>
      <c r="C114" s="248">
        <v>108</v>
      </c>
      <c r="D114" s="249">
        <v>108</v>
      </c>
      <c r="E114" s="249">
        <v>108</v>
      </c>
      <c r="F114" s="249">
        <v>108</v>
      </c>
      <c r="G114" s="250">
        <v>99999</v>
      </c>
      <c r="H114" s="2"/>
      <c r="I114" s="408">
        <v>-25</v>
      </c>
      <c r="J114" s="408"/>
      <c r="K114" s="251">
        <v>107</v>
      </c>
      <c r="L114" s="251">
        <v>107</v>
      </c>
      <c r="M114" s="251">
        <v>107</v>
      </c>
      <c r="N114" s="251">
        <v>107</v>
      </c>
      <c r="O114" s="250">
        <v>99999</v>
      </c>
      <c r="P114" s="42"/>
      <c r="Q114" s="408">
        <v>-25</v>
      </c>
      <c r="R114" s="408"/>
      <c r="S114" s="251">
        <v>104</v>
      </c>
      <c r="T114" s="251">
        <v>104</v>
      </c>
      <c r="U114" s="251">
        <v>104</v>
      </c>
      <c r="V114" s="251">
        <v>104</v>
      </c>
      <c r="W114" s="250">
        <v>99999</v>
      </c>
      <c r="X114" s="2"/>
      <c r="Y114" s="408">
        <v>-25</v>
      </c>
      <c r="Z114" s="408"/>
      <c r="AA114" s="251">
        <v>102</v>
      </c>
      <c r="AB114" s="251">
        <v>102</v>
      </c>
      <c r="AC114" s="251">
        <v>102</v>
      </c>
      <c r="AD114" s="251">
        <v>102</v>
      </c>
      <c r="AE114" s="250">
        <v>99999</v>
      </c>
      <c r="AF114" s="2"/>
      <c r="AG114" s="408">
        <v>-25</v>
      </c>
      <c r="AH114" s="408"/>
      <c r="AI114" s="251">
        <v>102</v>
      </c>
      <c r="AJ114" s="251">
        <v>102</v>
      </c>
      <c r="AK114" s="251">
        <v>102</v>
      </c>
      <c r="AL114" s="251">
        <v>102</v>
      </c>
      <c r="AM114" s="250">
        <v>99999</v>
      </c>
      <c r="AN114" s="2"/>
      <c r="AO114" s="408">
        <v>-25</v>
      </c>
      <c r="AP114" s="408"/>
      <c r="AQ114" s="251">
        <v>102</v>
      </c>
      <c r="AR114" s="251">
        <v>102</v>
      </c>
      <c r="AS114" s="251">
        <v>102</v>
      </c>
      <c r="AT114" s="251">
        <v>102</v>
      </c>
      <c r="AU114" s="250">
        <v>99999</v>
      </c>
      <c r="AV114" s="252"/>
      <c r="AW114" s="408">
        <v>10</v>
      </c>
      <c r="AX114" s="408"/>
      <c r="AY114" s="251"/>
      <c r="AZ114" s="251"/>
      <c r="BA114" s="251"/>
      <c r="BB114" s="250"/>
      <c r="BC114" s="250">
        <v>99999</v>
      </c>
    </row>
    <row r="115" spans="1:55" ht="14.25" customHeight="1" x14ac:dyDescent="0.3">
      <c r="A115" s="408">
        <v>-20</v>
      </c>
      <c r="B115" s="408"/>
      <c r="C115" s="248">
        <v>108</v>
      </c>
      <c r="D115" s="249">
        <v>108</v>
      </c>
      <c r="E115" s="249">
        <v>108</v>
      </c>
      <c r="F115" s="249">
        <v>108</v>
      </c>
      <c r="G115" s="250">
        <v>99999</v>
      </c>
      <c r="H115" s="2"/>
      <c r="I115" s="408">
        <v>-20</v>
      </c>
      <c r="J115" s="408"/>
      <c r="K115" s="251">
        <v>107</v>
      </c>
      <c r="L115" s="251">
        <v>107</v>
      </c>
      <c r="M115" s="251">
        <v>107</v>
      </c>
      <c r="N115" s="251">
        <v>107</v>
      </c>
      <c r="O115" s="250">
        <v>99999</v>
      </c>
      <c r="P115" s="42"/>
      <c r="Q115" s="408">
        <v>-20</v>
      </c>
      <c r="R115" s="408"/>
      <c r="S115" s="251">
        <v>104</v>
      </c>
      <c r="T115" s="251">
        <v>104</v>
      </c>
      <c r="U115" s="251">
        <v>104</v>
      </c>
      <c r="V115" s="251">
        <v>104</v>
      </c>
      <c r="W115" s="250">
        <v>99999</v>
      </c>
      <c r="X115" s="2"/>
      <c r="Y115" s="408">
        <v>-20</v>
      </c>
      <c r="Z115" s="408"/>
      <c r="AA115" s="251">
        <v>102</v>
      </c>
      <c r="AB115" s="251">
        <v>102</v>
      </c>
      <c r="AC115" s="251">
        <v>102</v>
      </c>
      <c r="AD115" s="251">
        <v>102</v>
      </c>
      <c r="AE115" s="250">
        <v>99999</v>
      </c>
      <c r="AF115" s="2"/>
      <c r="AG115" s="408">
        <v>-20</v>
      </c>
      <c r="AH115" s="408"/>
      <c r="AI115" s="251">
        <v>102</v>
      </c>
      <c r="AJ115" s="251">
        <v>102</v>
      </c>
      <c r="AK115" s="251">
        <v>102</v>
      </c>
      <c r="AL115" s="251">
        <v>102</v>
      </c>
      <c r="AM115" s="250">
        <v>99999</v>
      </c>
      <c r="AN115" s="2"/>
      <c r="AO115" s="408">
        <v>-20</v>
      </c>
      <c r="AP115" s="408"/>
      <c r="AQ115" s="251">
        <v>102</v>
      </c>
      <c r="AR115" s="251">
        <v>102</v>
      </c>
      <c r="AS115" s="251">
        <v>102</v>
      </c>
      <c r="AT115" s="251">
        <v>102</v>
      </c>
      <c r="AU115" s="250">
        <v>99999</v>
      </c>
      <c r="AV115" s="252"/>
      <c r="AW115" s="253"/>
      <c r="AX115" s="254"/>
      <c r="AY115" s="251"/>
      <c r="AZ115" s="251"/>
      <c r="BA115" s="251"/>
      <c r="BB115" s="250"/>
      <c r="BC115" s="250">
        <v>99999</v>
      </c>
    </row>
    <row r="116" spans="1:55" ht="14.25" customHeight="1" x14ac:dyDescent="0.3">
      <c r="A116" s="408">
        <v>-15</v>
      </c>
      <c r="B116" s="408"/>
      <c r="C116" s="248">
        <v>108</v>
      </c>
      <c r="D116" s="249">
        <v>108</v>
      </c>
      <c r="E116" s="249">
        <v>108</v>
      </c>
      <c r="F116" s="249">
        <v>108</v>
      </c>
      <c r="G116" s="250">
        <v>99999</v>
      </c>
      <c r="H116" s="2"/>
      <c r="I116" s="408">
        <v>-15</v>
      </c>
      <c r="J116" s="408"/>
      <c r="K116" s="251">
        <v>107</v>
      </c>
      <c r="L116" s="251">
        <v>107</v>
      </c>
      <c r="M116" s="251">
        <v>107</v>
      </c>
      <c r="N116" s="251">
        <v>107</v>
      </c>
      <c r="O116" s="250">
        <v>99999</v>
      </c>
      <c r="P116" s="42"/>
      <c r="Q116" s="408">
        <v>-15</v>
      </c>
      <c r="R116" s="408"/>
      <c r="S116" s="251">
        <v>104</v>
      </c>
      <c r="T116" s="251">
        <v>104</v>
      </c>
      <c r="U116" s="251">
        <v>104</v>
      </c>
      <c r="V116" s="251">
        <v>104</v>
      </c>
      <c r="W116" s="250">
        <v>99999</v>
      </c>
      <c r="X116" s="2"/>
      <c r="Y116" s="408">
        <v>-15</v>
      </c>
      <c r="Z116" s="408"/>
      <c r="AA116" s="251">
        <v>102</v>
      </c>
      <c r="AB116" s="251">
        <v>102</v>
      </c>
      <c r="AC116" s="251">
        <v>102</v>
      </c>
      <c r="AD116" s="251">
        <v>102</v>
      </c>
      <c r="AE116" s="250">
        <v>99999</v>
      </c>
      <c r="AF116" s="2"/>
      <c r="AG116" s="408">
        <v>-15</v>
      </c>
      <c r="AH116" s="408"/>
      <c r="AI116" s="251">
        <v>102</v>
      </c>
      <c r="AJ116" s="251">
        <v>102</v>
      </c>
      <c r="AK116" s="251">
        <v>102</v>
      </c>
      <c r="AL116" s="251">
        <v>102</v>
      </c>
      <c r="AM116" s="250">
        <v>99999</v>
      </c>
      <c r="AN116" s="2"/>
      <c r="AO116" s="408">
        <v>-15</v>
      </c>
      <c r="AP116" s="408"/>
      <c r="AQ116" s="251">
        <v>102</v>
      </c>
      <c r="AR116" s="251">
        <v>102</v>
      </c>
      <c r="AS116" s="251">
        <v>102</v>
      </c>
      <c r="AT116" s="251">
        <v>102</v>
      </c>
      <c r="AU116" s="250">
        <v>99999</v>
      </c>
      <c r="AV116" s="252"/>
      <c r="AW116" s="253"/>
      <c r="AX116" s="254"/>
      <c r="AY116" s="251"/>
      <c r="AZ116" s="251"/>
      <c r="BA116" s="251"/>
      <c r="BB116" s="250"/>
      <c r="BC116" s="250">
        <v>99999</v>
      </c>
    </row>
    <row r="117" spans="1:55" ht="14.25" customHeight="1" x14ac:dyDescent="0.3">
      <c r="A117" s="408">
        <v>-10</v>
      </c>
      <c r="B117" s="408"/>
      <c r="C117" s="248">
        <v>108</v>
      </c>
      <c r="D117" s="249">
        <v>108</v>
      </c>
      <c r="E117" s="249">
        <v>108</v>
      </c>
      <c r="F117" s="249">
        <v>108</v>
      </c>
      <c r="G117" s="250">
        <v>99999</v>
      </c>
      <c r="H117" s="2"/>
      <c r="I117" s="408">
        <v>-10</v>
      </c>
      <c r="J117" s="408"/>
      <c r="K117" s="251">
        <v>107</v>
      </c>
      <c r="L117" s="251">
        <v>107</v>
      </c>
      <c r="M117" s="251">
        <v>107</v>
      </c>
      <c r="N117" s="251">
        <v>107</v>
      </c>
      <c r="O117" s="250">
        <v>99999</v>
      </c>
      <c r="P117" s="42"/>
      <c r="Q117" s="408">
        <v>-10</v>
      </c>
      <c r="R117" s="408"/>
      <c r="S117" s="251">
        <v>104</v>
      </c>
      <c r="T117" s="251">
        <v>104</v>
      </c>
      <c r="U117" s="251">
        <v>104</v>
      </c>
      <c r="V117" s="251">
        <v>104</v>
      </c>
      <c r="W117" s="250">
        <v>99999</v>
      </c>
      <c r="X117" s="2"/>
      <c r="Y117" s="408">
        <v>-10</v>
      </c>
      <c r="Z117" s="408"/>
      <c r="AA117" s="251">
        <v>102</v>
      </c>
      <c r="AB117" s="251">
        <v>102</v>
      </c>
      <c r="AC117" s="251">
        <v>102</v>
      </c>
      <c r="AD117" s="251">
        <v>102</v>
      </c>
      <c r="AE117" s="250">
        <v>99999</v>
      </c>
      <c r="AF117" s="2"/>
      <c r="AG117" s="408">
        <v>-10</v>
      </c>
      <c r="AH117" s="408"/>
      <c r="AI117" s="251">
        <v>102</v>
      </c>
      <c r="AJ117" s="251">
        <v>102</v>
      </c>
      <c r="AK117" s="251">
        <v>102</v>
      </c>
      <c r="AL117" s="251">
        <v>102</v>
      </c>
      <c r="AM117" s="250">
        <v>99999</v>
      </c>
      <c r="AN117" s="2"/>
      <c r="AO117" s="408">
        <v>-10</v>
      </c>
      <c r="AP117" s="408"/>
      <c r="AQ117" s="251">
        <v>102</v>
      </c>
      <c r="AR117" s="251">
        <v>102</v>
      </c>
      <c r="AS117" s="251">
        <v>102</v>
      </c>
      <c r="AT117" s="251">
        <v>102</v>
      </c>
      <c r="AU117" s="250">
        <v>99999</v>
      </c>
      <c r="AV117" s="252"/>
      <c r="AW117" s="253"/>
      <c r="AX117" s="254"/>
      <c r="AY117" s="251"/>
      <c r="AZ117" s="251"/>
      <c r="BA117" s="251"/>
      <c r="BB117" s="250"/>
      <c r="BC117" s="250">
        <v>99999</v>
      </c>
    </row>
    <row r="118" spans="1:55" ht="14.25" customHeight="1" x14ac:dyDescent="0.3">
      <c r="A118" s="408">
        <v>-5</v>
      </c>
      <c r="B118" s="408"/>
      <c r="C118" s="248">
        <v>108</v>
      </c>
      <c r="D118" s="249">
        <v>108</v>
      </c>
      <c r="E118" s="249">
        <v>108</v>
      </c>
      <c r="F118" s="250">
        <v>109</v>
      </c>
      <c r="G118" s="250">
        <v>99999</v>
      </c>
      <c r="H118" s="2"/>
      <c r="I118" s="408">
        <v>-5</v>
      </c>
      <c r="J118" s="408"/>
      <c r="K118" s="251">
        <v>107</v>
      </c>
      <c r="L118" s="251">
        <v>107</v>
      </c>
      <c r="M118" s="251">
        <v>107</v>
      </c>
      <c r="N118" s="251">
        <v>107</v>
      </c>
      <c r="O118" s="250">
        <v>99999</v>
      </c>
      <c r="P118" s="42"/>
      <c r="Q118" s="408">
        <v>-5</v>
      </c>
      <c r="R118" s="408"/>
      <c r="S118" s="251">
        <v>104</v>
      </c>
      <c r="T118" s="251">
        <v>104</v>
      </c>
      <c r="U118" s="251">
        <v>104</v>
      </c>
      <c r="V118" s="251">
        <v>104</v>
      </c>
      <c r="W118" s="250">
        <v>99999</v>
      </c>
      <c r="X118" s="2"/>
      <c r="Y118" s="408">
        <v>-5</v>
      </c>
      <c r="Z118" s="408"/>
      <c r="AA118" s="251">
        <v>102</v>
      </c>
      <c r="AB118" s="251">
        <v>102</v>
      </c>
      <c r="AC118" s="251">
        <v>102</v>
      </c>
      <c r="AD118" s="251">
        <v>102</v>
      </c>
      <c r="AE118" s="250">
        <v>99999</v>
      </c>
      <c r="AF118" s="2"/>
      <c r="AG118" s="408">
        <v>-5</v>
      </c>
      <c r="AH118" s="408"/>
      <c r="AI118" s="251">
        <v>102</v>
      </c>
      <c r="AJ118" s="251">
        <v>102</v>
      </c>
      <c r="AK118" s="251">
        <v>102</v>
      </c>
      <c r="AL118" s="251">
        <v>102</v>
      </c>
      <c r="AM118" s="250">
        <v>99999</v>
      </c>
      <c r="AN118" s="2"/>
      <c r="AO118" s="408">
        <v>-5</v>
      </c>
      <c r="AP118" s="408"/>
      <c r="AQ118" s="251">
        <v>102</v>
      </c>
      <c r="AR118" s="251">
        <v>102</v>
      </c>
      <c r="AS118" s="251">
        <v>102</v>
      </c>
      <c r="AT118" s="251">
        <v>102</v>
      </c>
      <c r="AU118" s="250">
        <v>99999</v>
      </c>
      <c r="AV118" s="252"/>
      <c r="AW118" s="253"/>
      <c r="AX118" s="254"/>
      <c r="AY118" s="251"/>
      <c r="AZ118" s="251"/>
      <c r="BA118" s="251"/>
      <c r="BB118" s="250"/>
      <c r="BC118" s="250">
        <v>99999</v>
      </c>
    </row>
    <row r="119" spans="1:55" ht="14.25" customHeight="1" x14ac:dyDescent="0.3">
      <c r="A119" s="408">
        <v>0</v>
      </c>
      <c r="B119" s="408"/>
      <c r="C119" s="248">
        <v>108</v>
      </c>
      <c r="D119" s="249">
        <v>108</v>
      </c>
      <c r="E119" s="249">
        <v>108</v>
      </c>
      <c r="F119" s="250">
        <v>109</v>
      </c>
      <c r="G119" s="250">
        <v>99999</v>
      </c>
      <c r="H119" s="2"/>
      <c r="I119" s="408">
        <v>0</v>
      </c>
      <c r="J119" s="408"/>
      <c r="K119" s="251">
        <v>107</v>
      </c>
      <c r="L119" s="251">
        <v>107</v>
      </c>
      <c r="M119" s="251">
        <v>107</v>
      </c>
      <c r="N119" s="251">
        <v>107</v>
      </c>
      <c r="O119" s="250">
        <v>99999</v>
      </c>
      <c r="P119" s="42"/>
      <c r="Q119" s="408">
        <v>0</v>
      </c>
      <c r="R119" s="408"/>
      <c r="S119" s="251">
        <v>104</v>
      </c>
      <c r="T119" s="251">
        <v>104</v>
      </c>
      <c r="U119" s="251">
        <v>104</v>
      </c>
      <c r="V119" s="251">
        <v>104</v>
      </c>
      <c r="W119" s="250">
        <v>99999</v>
      </c>
      <c r="X119" s="2"/>
      <c r="Y119" s="408">
        <v>0</v>
      </c>
      <c r="Z119" s="408"/>
      <c r="AA119" s="251">
        <v>102</v>
      </c>
      <c r="AB119" s="251">
        <v>102</v>
      </c>
      <c r="AC119" s="251">
        <v>102</v>
      </c>
      <c r="AD119" s="251">
        <v>102</v>
      </c>
      <c r="AE119" s="250">
        <v>99999</v>
      </c>
      <c r="AF119" s="2"/>
      <c r="AG119" s="408">
        <v>0</v>
      </c>
      <c r="AH119" s="408"/>
      <c r="AI119" s="251">
        <v>102</v>
      </c>
      <c r="AJ119" s="251">
        <v>102</v>
      </c>
      <c r="AK119" s="251">
        <v>102</v>
      </c>
      <c r="AL119" s="251">
        <v>102</v>
      </c>
      <c r="AM119" s="250">
        <v>99999</v>
      </c>
      <c r="AN119" s="2"/>
      <c r="AO119" s="408">
        <v>0</v>
      </c>
      <c r="AP119" s="408"/>
      <c r="AQ119" s="251">
        <v>102</v>
      </c>
      <c r="AR119" s="251">
        <v>102</v>
      </c>
      <c r="AS119" s="251">
        <v>102</v>
      </c>
      <c r="AT119" s="251">
        <v>102</v>
      </c>
      <c r="AU119" s="250">
        <v>99999</v>
      </c>
      <c r="AV119" s="252"/>
      <c r="AW119" s="253"/>
      <c r="AX119" s="254"/>
      <c r="AY119" s="251"/>
      <c r="AZ119" s="251"/>
      <c r="BA119" s="251"/>
      <c r="BB119" s="250"/>
      <c r="BC119" s="250">
        <v>99999</v>
      </c>
    </row>
    <row r="120" spans="1:55" ht="14.25" customHeight="1" x14ac:dyDescent="0.3">
      <c r="A120" s="408">
        <v>5</v>
      </c>
      <c r="B120" s="408"/>
      <c r="C120" s="248">
        <v>108</v>
      </c>
      <c r="D120" s="249">
        <v>108</v>
      </c>
      <c r="E120" s="249">
        <v>109</v>
      </c>
      <c r="F120" s="250">
        <v>109</v>
      </c>
      <c r="G120" s="250">
        <v>99999</v>
      </c>
      <c r="H120" s="2"/>
      <c r="I120" s="408">
        <v>5</v>
      </c>
      <c r="J120" s="408"/>
      <c r="K120" s="251">
        <v>107</v>
      </c>
      <c r="L120" s="251">
        <v>107</v>
      </c>
      <c r="M120" s="251">
        <v>107</v>
      </c>
      <c r="N120" s="251">
        <v>107</v>
      </c>
      <c r="O120" s="250">
        <v>99999</v>
      </c>
      <c r="P120" s="42"/>
      <c r="Q120" s="408">
        <v>5</v>
      </c>
      <c r="R120" s="408"/>
      <c r="S120" s="251">
        <v>104</v>
      </c>
      <c r="T120" s="251">
        <v>104</v>
      </c>
      <c r="U120" s="251">
        <v>104</v>
      </c>
      <c r="V120" s="251">
        <v>104</v>
      </c>
      <c r="W120" s="250">
        <v>99999</v>
      </c>
      <c r="X120" s="2"/>
      <c r="Y120" s="408">
        <v>5</v>
      </c>
      <c r="Z120" s="408"/>
      <c r="AA120" s="251">
        <v>102</v>
      </c>
      <c r="AB120" s="251">
        <v>102</v>
      </c>
      <c r="AC120" s="251">
        <v>102</v>
      </c>
      <c r="AD120" s="251">
        <v>102</v>
      </c>
      <c r="AE120" s="250">
        <v>99999</v>
      </c>
      <c r="AF120" s="2"/>
      <c r="AG120" s="408">
        <v>5</v>
      </c>
      <c r="AH120" s="408"/>
      <c r="AI120" s="251">
        <v>102</v>
      </c>
      <c r="AJ120" s="251">
        <v>102</v>
      </c>
      <c r="AK120" s="251">
        <v>102</v>
      </c>
      <c r="AL120" s="251">
        <v>102</v>
      </c>
      <c r="AM120" s="250">
        <v>99999</v>
      </c>
      <c r="AN120" s="2"/>
      <c r="AO120" s="408">
        <v>5</v>
      </c>
      <c r="AP120" s="408"/>
      <c r="AQ120" s="251">
        <v>102</v>
      </c>
      <c r="AR120" s="251">
        <v>102</v>
      </c>
      <c r="AS120" s="251">
        <v>102</v>
      </c>
      <c r="AT120" s="251">
        <v>102</v>
      </c>
      <c r="AU120" s="250">
        <v>99999</v>
      </c>
      <c r="AV120" s="252"/>
      <c r="AW120" s="253"/>
      <c r="AX120" s="254"/>
      <c r="AY120" s="251"/>
      <c r="AZ120" s="251"/>
      <c r="BA120" s="251"/>
      <c r="BB120" s="250"/>
      <c r="BC120" s="250">
        <v>99999</v>
      </c>
    </row>
    <row r="121" spans="1:55" ht="14.25" customHeight="1" x14ac:dyDescent="0.3">
      <c r="A121" s="408">
        <v>10</v>
      </c>
      <c r="B121" s="408"/>
      <c r="C121" s="248">
        <v>108</v>
      </c>
      <c r="D121" s="249">
        <v>108</v>
      </c>
      <c r="E121" s="249">
        <v>109</v>
      </c>
      <c r="F121" s="250">
        <v>109</v>
      </c>
      <c r="G121" s="250">
        <v>99999</v>
      </c>
      <c r="H121" s="2"/>
      <c r="I121" s="408">
        <v>10</v>
      </c>
      <c r="J121" s="408"/>
      <c r="K121" s="251">
        <v>107</v>
      </c>
      <c r="L121" s="251">
        <v>107</v>
      </c>
      <c r="M121" s="251">
        <v>107</v>
      </c>
      <c r="N121" s="251">
        <v>107</v>
      </c>
      <c r="O121" s="250">
        <v>99999</v>
      </c>
      <c r="P121" s="42"/>
      <c r="Q121" s="408">
        <v>10</v>
      </c>
      <c r="R121" s="408"/>
      <c r="S121" s="251">
        <v>104</v>
      </c>
      <c r="T121" s="251">
        <v>104</v>
      </c>
      <c r="U121" s="251">
        <v>104</v>
      </c>
      <c r="V121" s="251">
        <v>104</v>
      </c>
      <c r="W121" s="250">
        <v>99999</v>
      </c>
      <c r="X121" s="2"/>
      <c r="Y121" s="408">
        <v>10</v>
      </c>
      <c r="Z121" s="408"/>
      <c r="AA121" s="251">
        <v>102</v>
      </c>
      <c r="AB121" s="251">
        <v>102</v>
      </c>
      <c r="AC121" s="251">
        <v>102</v>
      </c>
      <c r="AD121" s="251">
        <v>102</v>
      </c>
      <c r="AE121" s="250">
        <v>99999</v>
      </c>
      <c r="AF121" s="2"/>
      <c r="AG121" s="408">
        <v>10</v>
      </c>
      <c r="AH121" s="408"/>
      <c r="AI121" s="251">
        <v>102</v>
      </c>
      <c r="AJ121" s="251">
        <v>102</v>
      </c>
      <c r="AK121" s="251">
        <v>102</v>
      </c>
      <c r="AL121" s="251">
        <v>102</v>
      </c>
      <c r="AM121" s="250">
        <v>99999</v>
      </c>
      <c r="AN121" s="2"/>
      <c r="AO121" s="408">
        <v>10</v>
      </c>
      <c r="AP121" s="408"/>
      <c r="AQ121" s="251">
        <v>102</v>
      </c>
      <c r="AR121" s="251">
        <v>102</v>
      </c>
      <c r="AS121" s="251">
        <v>102</v>
      </c>
      <c r="AT121" s="251">
        <v>102</v>
      </c>
      <c r="AU121" s="250">
        <v>99999</v>
      </c>
      <c r="AV121" s="252"/>
      <c r="AW121" s="253"/>
      <c r="AX121" s="254"/>
      <c r="AY121" s="251"/>
      <c r="AZ121" s="251"/>
      <c r="BA121" s="251"/>
      <c r="BB121" s="250"/>
      <c r="BC121" s="250">
        <v>99999</v>
      </c>
    </row>
    <row r="122" spans="1:55" ht="14.25" customHeight="1" x14ac:dyDescent="0.3">
      <c r="A122" s="408">
        <v>15</v>
      </c>
      <c r="B122" s="408"/>
      <c r="C122" s="248">
        <v>108</v>
      </c>
      <c r="D122" s="249">
        <v>109</v>
      </c>
      <c r="E122" s="249">
        <v>109</v>
      </c>
      <c r="F122" s="250">
        <v>110</v>
      </c>
      <c r="G122" s="250">
        <v>99999</v>
      </c>
      <c r="H122" s="2"/>
      <c r="I122" s="408">
        <v>15</v>
      </c>
      <c r="J122" s="408"/>
      <c r="K122" s="251">
        <v>107</v>
      </c>
      <c r="L122" s="251">
        <v>107</v>
      </c>
      <c r="M122" s="251">
        <v>107</v>
      </c>
      <c r="N122" s="251">
        <v>107</v>
      </c>
      <c r="O122" s="250">
        <v>99999</v>
      </c>
      <c r="P122" s="42"/>
      <c r="Q122" s="408">
        <v>15</v>
      </c>
      <c r="R122" s="408"/>
      <c r="S122" s="251">
        <v>104</v>
      </c>
      <c r="T122" s="251">
        <v>104</v>
      </c>
      <c r="U122" s="251">
        <v>104</v>
      </c>
      <c r="V122" s="251">
        <v>104</v>
      </c>
      <c r="W122" s="250">
        <v>99999</v>
      </c>
      <c r="X122" s="2"/>
      <c r="Y122" s="408">
        <v>15</v>
      </c>
      <c r="Z122" s="408"/>
      <c r="AA122" s="251">
        <v>102</v>
      </c>
      <c r="AB122" s="251">
        <v>102</v>
      </c>
      <c r="AC122" s="251">
        <v>102</v>
      </c>
      <c r="AD122" s="251">
        <v>102</v>
      </c>
      <c r="AE122" s="250">
        <v>99999</v>
      </c>
      <c r="AF122" s="2"/>
      <c r="AG122" s="408">
        <v>15</v>
      </c>
      <c r="AH122" s="408"/>
      <c r="AI122" s="251">
        <v>102</v>
      </c>
      <c r="AJ122" s="251">
        <v>102</v>
      </c>
      <c r="AK122" s="251">
        <v>102</v>
      </c>
      <c r="AL122" s="251">
        <v>102</v>
      </c>
      <c r="AM122" s="250">
        <v>99999</v>
      </c>
      <c r="AN122" s="2"/>
      <c r="AO122" s="408">
        <v>15</v>
      </c>
      <c r="AP122" s="408"/>
      <c r="AQ122" s="251">
        <v>102</v>
      </c>
      <c r="AR122" s="251">
        <v>102</v>
      </c>
      <c r="AS122" s="251">
        <v>102</v>
      </c>
      <c r="AT122" s="251">
        <v>102</v>
      </c>
      <c r="AU122" s="250">
        <v>99999</v>
      </c>
      <c r="AV122" s="252"/>
      <c r="AW122" s="253"/>
      <c r="AX122" s="254"/>
      <c r="AY122" s="251"/>
      <c r="AZ122" s="251"/>
      <c r="BA122" s="251"/>
      <c r="BB122" s="250"/>
      <c r="BC122" s="250">
        <v>99999</v>
      </c>
    </row>
    <row r="123" spans="1:55" ht="14.25" customHeight="1" x14ac:dyDescent="0.3">
      <c r="A123" s="408">
        <v>20</v>
      </c>
      <c r="B123" s="408"/>
      <c r="C123" s="248">
        <v>108</v>
      </c>
      <c r="D123" s="249">
        <v>109</v>
      </c>
      <c r="E123" s="249">
        <v>109</v>
      </c>
      <c r="F123" s="250">
        <v>110</v>
      </c>
      <c r="G123" s="250">
        <v>99999</v>
      </c>
      <c r="H123" s="2"/>
      <c r="I123" s="408">
        <v>20</v>
      </c>
      <c r="J123" s="408"/>
      <c r="K123" s="251">
        <v>107</v>
      </c>
      <c r="L123" s="251">
        <v>107</v>
      </c>
      <c r="M123" s="251">
        <v>107</v>
      </c>
      <c r="N123" s="251">
        <v>107</v>
      </c>
      <c r="O123" s="250">
        <v>99999</v>
      </c>
      <c r="P123" s="42"/>
      <c r="Q123" s="408">
        <v>20</v>
      </c>
      <c r="R123" s="408"/>
      <c r="S123" s="251">
        <v>104</v>
      </c>
      <c r="T123" s="251">
        <v>104</v>
      </c>
      <c r="U123" s="251">
        <v>104</v>
      </c>
      <c r="V123" s="251">
        <v>104</v>
      </c>
      <c r="W123" s="250">
        <v>99999</v>
      </c>
      <c r="X123" s="2"/>
      <c r="Y123" s="408">
        <v>20</v>
      </c>
      <c r="Z123" s="408"/>
      <c r="AA123" s="251">
        <v>102</v>
      </c>
      <c r="AB123" s="251">
        <v>102</v>
      </c>
      <c r="AC123" s="251">
        <v>102</v>
      </c>
      <c r="AD123" s="251">
        <v>102</v>
      </c>
      <c r="AE123" s="250">
        <v>99999</v>
      </c>
      <c r="AF123" s="2"/>
      <c r="AG123" s="408">
        <v>20</v>
      </c>
      <c r="AH123" s="408"/>
      <c r="AI123" s="251">
        <v>102</v>
      </c>
      <c r="AJ123" s="251">
        <v>102</v>
      </c>
      <c r="AK123" s="251">
        <v>102</v>
      </c>
      <c r="AL123" s="251">
        <v>102</v>
      </c>
      <c r="AM123" s="250">
        <v>99999</v>
      </c>
      <c r="AN123" s="2"/>
      <c r="AO123" s="408">
        <v>20</v>
      </c>
      <c r="AP123" s="408"/>
      <c r="AQ123" s="251">
        <v>102</v>
      </c>
      <c r="AR123" s="251">
        <v>102</v>
      </c>
      <c r="AS123" s="251">
        <v>102</v>
      </c>
      <c r="AT123" s="251">
        <v>102</v>
      </c>
      <c r="AU123" s="250">
        <v>99999</v>
      </c>
      <c r="AV123" s="252"/>
      <c r="AW123" s="408">
        <v>20</v>
      </c>
      <c r="AX123" s="408"/>
      <c r="AY123" s="251"/>
      <c r="AZ123" s="251"/>
      <c r="BA123" s="251"/>
      <c r="BB123" s="250"/>
      <c r="BC123" s="250">
        <v>99999</v>
      </c>
    </row>
    <row r="124" spans="1:55" ht="14.25" customHeight="1" x14ac:dyDescent="0.3">
      <c r="A124" s="408">
        <v>25</v>
      </c>
      <c r="B124" s="408"/>
      <c r="C124" s="248">
        <v>108</v>
      </c>
      <c r="D124" s="249">
        <v>109</v>
      </c>
      <c r="E124" s="249">
        <v>110</v>
      </c>
      <c r="F124" s="250">
        <v>110</v>
      </c>
      <c r="G124" s="250">
        <v>99999</v>
      </c>
      <c r="H124" s="2"/>
      <c r="I124" s="408">
        <v>25</v>
      </c>
      <c r="J124" s="408"/>
      <c r="K124" s="251">
        <v>107</v>
      </c>
      <c r="L124" s="251">
        <v>107</v>
      </c>
      <c r="M124" s="251">
        <v>107</v>
      </c>
      <c r="N124" s="251">
        <v>107</v>
      </c>
      <c r="O124" s="250">
        <v>99999</v>
      </c>
      <c r="P124" s="42"/>
      <c r="Q124" s="408">
        <v>25</v>
      </c>
      <c r="R124" s="408"/>
      <c r="S124" s="251">
        <v>104</v>
      </c>
      <c r="T124" s="251">
        <v>104</v>
      </c>
      <c r="U124" s="251">
        <v>104</v>
      </c>
      <c r="V124" s="251">
        <v>104</v>
      </c>
      <c r="W124" s="250">
        <v>99999</v>
      </c>
      <c r="X124" s="2"/>
      <c r="Y124" s="408">
        <v>25</v>
      </c>
      <c r="Z124" s="408"/>
      <c r="AA124" s="251">
        <v>102</v>
      </c>
      <c r="AB124" s="251">
        <v>102</v>
      </c>
      <c r="AC124" s="251">
        <v>102</v>
      </c>
      <c r="AD124" s="251">
        <v>102</v>
      </c>
      <c r="AE124" s="250">
        <v>99999</v>
      </c>
      <c r="AF124" s="2"/>
      <c r="AG124" s="408">
        <v>25</v>
      </c>
      <c r="AH124" s="408"/>
      <c r="AI124" s="251">
        <v>102</v>
      </c>
      <c r="AJ124" s="251">
        <v>102</v>
      </c>
      <c r="AK124" s="251">
        <v>102</v>
      </c>
      <c r="AL124" s="251">
        <v>102</v>
      </c>
      <c r="AM124" s="250">
        <v>99999</v>
      </c>
      <c r="AN124" s="2"/>
      <c r="AO124" s="408">
        <v>25</v>
      </c>
      <c r="AP124" s="408"/>
      <c r="AQ124" s="251">
        <v>102</v>
      </c>
      <c r="AR124" s="251">
        <v>102</v>
      </c>
      <c r="AS124" s="251">
        <v>102</v>
      </c>
      <c r="AT124" s="251">
        <v>102</v>
      </c>
      <c r="AU124" s="250">
        <v>99999</v>
      </c>
      <c r="AV124" s="252"/>
      <c r="AW124" s="253"/>
      <c r="AX124" s="254"/>
      <c r="AY124" s="251"/>
      <c r="AZ124" s="251"/>
      <c r="BA124" s="251"/>
      <c r="BB124" s="250"/>
      <c r="BC124" s="250">
        <v>99999</v>
      </c>
    </row>
    <row r="125" spans="1:55" ht="14.25" customHeight="1" x14ac:dyDescent="0.3">
      <c r="A125" s="408">
        <v>30</v>
      </c>
      <c r="B125" s="408"/>
      <c r="C125" s="248">
        <v>109</v>
      </c>
      <c r="D125" s="249">
        <v>109</v>
      </c>
      <c r="E125" s="249">
        <v>110</v>
      </c>
      <c r="F125" s="250">
        <v>999</v>
      </c>
      <c r="G125" s="250">
        <v>99999</v>
      </c>
      <c r="H125" s="2"/>
      <c r="I125" s="408">
        <v>30</v>
      </c>
      <c r="J125" s="408"/>
      <c r="K125" s="251">
        <v>107</v>
      </c>
      <c r="L125" s="251">
        <v>107</v>
      </c>
      <c r="M125" s="251">
        <v>107</v>
      </c>
      <c r="N125" s="250">
        <v>109</v>
      </c>
      <c r="O125" s="250">
        <v>99999</v>
      </c>
      <c r="P125" s="42"/>
      <c r="Q125" s="408">
        <v>30</v>
      </c>
      <c r="R125" s="408"/>
      <c r="S125" s="251">
        <v>104</v>
      </c>
      <c r="T125" s="251">
        <v>104</v>
      </c>
      <c r="U125" s="251">
        <v>104</v>
      </c>
      <c r="V125" s="251">
        <v>104</v>
      </c>
      <c r="W125" s="250">
        <v>99999</v>
      </c>
      <c r="X125" s="2"/>
      <c r="Y125" s="408">
        <v>30</v>
      </c>
      <c r="Z125" s="408"/>
      <c r="AA125" s="251">
        <v>102</v>
      </c>
      <c r="AB125" s="251">
        <v>102</v>
      </c>
      <c r="AC125" s="251">
        <v>102</v>
      </c>
      <c r="AD125" s="251">
        <v>102</v>
      </c>
      <c r="AE125" s="250">
        <v>99999</v>
      </c>
      <c r="AF125" s="2"/>
      <c r="AG125" s="408">
        <v>30</v>
      </c>
      <c r="AH125" s="408"/>
      <c r="AI125" s="251">
        <v>102</v>
      </c>
      <c r="AJ125" s="251">
        <v>102</v>
      </c>
      <c r="AK125" s="251">
        <v>102</v>
      </c>
      <c r="AL125" s="251">
        <v>102</v>
      </c>
      <c r="AM125" s="250">
        <v>99999</v>
      </c>
      <c r="AN125" s="2"/>
      <c r="AO125" s="408">
        <v>30</v>
      </c>
      <c r="AP125" s="408"/>
      <c r="AQ125" s="251">
        <v>102</v>
      </c>
      <c r="AR125" s="251">
        <v>102</v>
      </c>
      <c r="AS125" s="251">
        <v>102</v>
      </c>
      <c r="AT125" s="251">
        <v>102</v>
      </c>
      <c r="AU125" s="250">
        <v>99999</v>
      </c>
      <c r="AV125" s="252"/>
      <c r="AW125" s="408">
        <v>30</v>
      </c>
      <c r="AX125" s="408"/>
      <c r="AY125" s="251"/>
      <c r="AZ125" s="251"/>
      <c r="BA125" s="251"/>
      <c r="BB125" s="250"/>
      <c r="BC125" s="250">
        <v>99999</v>
      </c>
    </row>
    <row r="126" spans="1:55" ht="14.25" customHeight="1" x14ac:dyDescent="0.3">
      <c r="A126" s="408">
        <v>40</v>
      </c>
      <c r="B126" s="408"/>
      <c r="C126" s="255">
        <v>99999</v>
      </c>
      <c r="D126" s="255">
        <v>99999</v>
      </c>
      <c r="E126" s="255">
        <v>99999</v>
      </c>
      <c r="F126" s="255">
        <v>99999</v>
      </c>
      <c r="G126" s="250">
        <v>99999</v>
      </c>
      <c r="H126" s="2"/>
      <c r="I126" s="408">
        <v>40</v>
      </c>
      <c r="J126" s="408"/>
      <c r="K126" s="255">
        <v>99999</v>
      </c>
      <c r="L126" s="255">
        <v>99999</v>
      </c>
      <c r="M126" s="255">
        <v>99999</v>
      </c>
      <c r="N126" s="255">
        <v>99999</v>
      </c>
      <c r="O126" s="250">
        <v>99999</v>
      </c>
      <c r="P126" s="42"/>
      <c r="Q126" s="408">
        <v>40</v>
      </c>
      <c r="R126" s="408"/>
      <c r="S126" s="255">
        <v>99999</v>
      </c>
      <c r="T126" s="255">
        <v>99999</v>
      </c>
      <c r="U126" s="255">
        <v>99999</v>
      </c>
      <c r="V126" s="255">
        <v>99999</v>
      </c>
      <c r="W126" s="250">
        <v>99999</v>
      </c>
      <c r="X126" s="2"/>
      <c r="Y126" s="408">
        <v>40</v>
      </c>
      <c r="Z126" s="408"/>
      <c r="AA126" s="255">
        <v>99999</v>
      </c>
      <c r="AB126" s="255">
        <v>99999</v>
      </c>
      <c r="AC126" s="255">
        <v>99999</v>
      </c>
      <c r="AD126" s="255">
        <v>99999</v>
      </c>
      <c r="AE126" s="250">
        <v>99999</v>
      </c>
      <c r="AF126" s="2"/>
      <c r="AG126" s="408">
        <v>40</v>
      </c>
      <c r="AH126" s="408"/>
      <c r="AI126" s="255">
        <v>99999</v>
      </c>
      <c r="AJ126" s="255">
        <v>99999</v>
      </c>
      <c r="AK126" s="255">
        <v>99999</v>
      </c>
      <c r="AL126" s="255">
        <v>99999</v>
      </c>
      <c r="AM126" s="250">
        <v>99999</v>
      </c>
      <c r="AN126" s="2"/>
      <c r="AO126" s="408">
        <v>40</v>
      </c>
      <c r="AP126" s="408"/>
      <c r="AQ126" s="255">
        <v>99999</v>
      </c>
      <c r="AR126" s="255">
        <v>99999</v>
      </c>
      <c r="AS126" s="255">
        <v>99999</v>
      </c>
      <c r="AT126" s="255">
        <v>99999</v>
      </c>
      <c r="AU126" s="250">
        <v>99999</v>
      </c>
      <c r="AV126" s="252"/>
      <c r="AW126" s="408">
        <v>40</v>
      </c>
      <c r="AX126" s="408"/>
      <c r="AY126" s="255">
        <v>99999</v>
      </c>
      <c r="AZ126" s="255">
        <v>99999</v>
      </c>
      <c r="BA126" s="255">
        <v>99999</v>
      </c>
      <c r="BB126" s="255">
        <v>99999</v>
      </c>
      <c r="BC126" s="250">
        <v>99999</v>
      </c>
    </row>
    <row r="127" spans="1:55" ht="14.25" customHeight="1" x14ac:dyDescent="0.3">
      <c r="A127" s="409"/>
      <c r="B127" s="409"/>
      <c r="C127" s="256" t="s">
        <v>219</v>
      </c>
      <c r="D127" s="257" t="s">
        <v>219</v>
      </c>
      <c r="E127" s="257" t="s">
        <v>219</v>
      </c>
      <c r="F127" s="257" t="s">
        <v>219</v>
      </c>
      <c r="G127" s="258" t="s">
        <v>219</v>
      </c>
      <c r="H127" s="2"/>
      <c r="I127" s="409"/>
      <c r="J127" s="409"/>
      <c r="K127" s="256" t="s">
        <v>219</v>
      </c>
      <c r="L127" s="257" t="s">
        <v>219</v>
      </c>
      <c r="M127" s="257" t="s">
        <v>219</v>
      </c>
      <c r="N127" s="257" t="s">
        <v>219</v>
      </c>
      <c r="O127" s="258" t="s">
        <v>219</v>
      </c>
      <c r="P127" s="42"/>
      <c r="Q127" s="409"/>
      <c r="R127" s="409"/>
      <c r="S127" s="256" t="s">
        <v>219</v>
      </c>
      <c r="T127" s="257" t="s">
        <v>219</v>
      </c>
      <c r="U127" s="257" t="s">
        <v>219</v>
      </c>
      <c r="V127" s="257" t="s">
        <v>219</v>
      </c>
      <c r="W127" s="258" t="s">
        <v>219</v>
      </c>
      <c r="X127" s="2"/>
      <c r="Y127" s="409"/>
      <c r="Z127" s="409"/>
      <c r="AA127" s="256" t="s">
        <v>219</v>
      </c>
      <c r="AB127" s="257" t="s">
        <v>219</v>
      </c>
      <c r="AC127" s="257" t="s">
        <v>219</v>
      </c>
      <c r="AD127" s="257" t="s">
        <v>219</v>
      </c>
      <c r="AE127" s="258" t="s">
        <v>219</v>
      </c>
      <c r="AF127" s="2"/>
      <c r="AG127" s="409"/>
      <c r="AH127" s="409"/>
      <c r="AI127" s="256" t="s">
        <v>219</v>
      </c>
      <c r="AJ127" s="257" t="s">
        <v>219</v>
      </c>
      <c r="AK127" s="257" t="s">
        <v>219</v>
      </c>
      <c r="AL127" s="257" t="s">
        <v>219</v>
      </c>
      <c r="AM127" s="258" t="s">
        <v>219</v>
      </c>
      <c r="AN127" s="2"/>
      <c r="AO127" s="409"/>
      <c r="AP127" s="409"/>
      <c r="AQ127" s="256" t="s">
        <v>219</v>
      </c>
      <c r="AR127" s="257" t="s">
        <v>219</v>
      </c>
      <c r="AS127" s="257" t="s">
        <v>219</v>
      </c>
      <c r="AT127" s="257" t="s">
        <v>219</v>
      </c>
      <c r="AU127" s="258" t="s">
        <v>219</v>
      </c>
      <c r="AV127" s="252"/>
      <c r="AW127" s="409"/>
      <c r="AX127" s="409"/>
      <c r="AY127" s="256" t="s">
        <v>219</v>
      </c>
      <c r="AZ127" s="257" t="s">
        <v>219</v>
      </c>
      <c r="BA127" s="257" t="s">
        <v>219</v>
      </c>
      <c r="BB127" s="257" t="s">
        <v>219</v>
      </c>
      <c r="BC127" s="258" t="s">
        <v>219</v>
      </c>
    </row>
    <row r="128" spans="1:55" ht="14.25" customHeight="1" x14ac:dyDescent="0.3"/>
    <row r="129" spans="1:55" ht="14.25" customHeight="1" x14ac:dyDescent="0.3">
      <c r="B129" s="139" t="s">
        <v>146</v>
      </c>
      <c r="C129" s="140">
        <f ca="1">$D$1</f>
        <v>770</v>
      </c>
      <c r="D129" s="355" t="s">
        <v>201</v>
      </c>
      <c r="E129" s="355"/>
      <c r="F129" s="137"/>
      <c r="G129" s="137"/>
      <c r="H129" s="2"/>
      <c r="I129" s="2"/>
      <c r="J129" s="139" t="s">
        <v>146</v>
      </c>
      <c r="K129" s="140">
        <f ca="1">$D$1</f>
        <v>770</v>
      </c>
      <c r="L129" s="355" t="s">
        <v>201</v>
      </c>
      <c r="M129" s="355"/>
      <c r="N129" s="137"/>
      <c r="O129" s="137"/>
      <c r="P129" s="137"/>
      <c r="Q129" s="2"/>
      <c r="R129" s="139" t="s">
        <v>146</v>
      </c>
      <c r="S129" s="140">
        <f ca="1">$D$1</f>
        <v>770</v>
      </c>
      <c r="T129" s="355" t="s">
        <v>201</v>
      </c>
      <c r="U129" s="355"/>
      <c r="V129" s="137"/>
      <c r="W129" s="137"/>
      <c r="X129" s="2"/>
      <c r="Y129" s="2"/>
      <c r="Z129" s="139" t="s">
        <v>146</v>
      </c>
      <c r="AA129" s="140">
        <f ca="1">$D$1</f>
        <v>770</v>
      </c>
      <c r="AB129" s="355" t="s">
        <v>201</v>
      </c>
      <c r="AC129" s="355"/>
      <c r="AD129" s="137"/>
      <c r="AE129" s="137"/>
      <c r="AF129" s="2"/>
      <c r="AG129" s="2"/>
      <c r="AH129" s="139" t="s">
        <v>146</v>
      </c>
      <c r="AI129" s="140">
        <f ca="1">$D$1</f>
        <v>770</v>
      </c>
      <c r="AJ129" s="355" t="s">
        <v>201</v>
      </c>
      <c r="AK129" s="355"/>
      <c r="AL129" s="137"/>
      <c r="AM129" s="137"/>
      <c r="AN129" s="2"/>
      <c r="AO129" s="2"/>
      <c r="AP129" s="139" t="s">
        <v>146</v>
      </c>
      <c r="AQ129" s="140">
        <f ca="1">$D$1</f>
        <v>770</v>
      </c>
      <c r="AR129" s="355" t="s">
        <v>201</v>
      </c>
      <c r="AS129" s="355"/>
      <c r="AT129" s="137"/>
      <c r="AU129" s="137"/>
      <c r="AV129" s="137"/>
      <c r="AW129" s="2"/>
      <c r="AX129" s="139" t="s">
        <v>146</v>
      </c>
      <c r="AY129" s="140">
        <f ca="1">$D$1</f>
        <v>770</v>
      </c>
      <c r="AZ129" s="355" t="s">
        <v>201</v>
      </c>
      <c r="BA129" s="355"/>
    </row>
    <row r="130" spans="1:55" ht="14.25" customHeight="1" x14ac:dyDescent="0.3">
      <c r="B130" s="16" t="s">
        <v>202</v>
      </c>
      <c r="C130" s="141">
        <f t="array" aca="1" ref="C130" ca="1">INDEX(C112:G112,MATCH(C129,C112:G112,1))</f>
        <v>0</v>
      </c>
      <c r="D130" s="16" t="s">
        <v>144</v>
      </c>
      <c r="E130" s="17">
        <f>MATCH(MAX(A113:A127),A113:A127,0)</f>
        <v>14</v>
      </c>
      <c r="F130" s="17"/>
      <c r="H130" s="2"/>
      <c r="I130" s="2"/>
      <c r="J130" s="16" t="s">
        <v>202</v>
      </c>
      <c r="K130" s="141">
        <f t="array" aca="1" ref="K130" ca="1">INDEX(K112:O112,MATCH(K129,K112:O112,1))</f>
        <v>0</v>
      </c>
      <c r="L130" s="16" t="s">
        <v>144</v>
      </c>
      <c r="M130" s="17">
        <f>MATCH(MAX(I113:I127),I113:I127,0)</f>
        <v>14</v>
      </c>
      <c r="N130" s="17"/>
      <c r="O130" s="17"/>
      <c r="P130" s="17"/>
      <c r="Q130" s="2"/>
      <c r="R130" s="16" t="s">
        <v>202</v>
      </c>
      <c r="S130" s="141">
        <f t="array" aca="1" ref="S130" ca="1">INDEX(S112:W112,MATCH(S129,S112:W112,1))</f>
        <v>0</v>
      </c>
      <c r="T130" s="16" t="s">
        <v>144</v>
      </c>
      <c r="U130" s="17">
        <f>MATCH(MAX(Q113:Q127),Q113:Q127,0)</f>
        <v>14</v>
      </c>
      <c r="V130" s="17"/>
      <c r="W130" s="17"/>
      <c r="X130" s="2"/>
      <c r="Y130" s="2"/>
      <c r="Z130" s="16" t="s">
        <v>202</v>
      </c>
      <c r="AA130" s="141">
        <f t="array" aca="1" ref="AA130" ca="1">INDEX(AA112:AE112,MATCH(AA129,AA112:AE112,1))</f>
        <v>0</v>
      </c>
      <c r="AB130" s="16" t="s">
        <v>144</v>
      </c>
      <c r="AC130" s="17">
        <f>MATCH(MAX(Y113:Y127),Y113:Y127,0)</f>
        <v>14</v>
      </c>
      <c r="AD130" s="17"/>
      <c r="AE130" s="17"/>
      <c r="AF130" s="2"/>
      <c r="AG130" s="2"/>
      <c r="AH130" s="16" t="s">
        <v>202</v>
      </c>
      <c r="AI130" s="141">
        <f t="array" aca="1" ref="AI130" ca="1">INDEX(AI112:AM112,MATCH(AI129,AI112:AM112,1))</f>
        <v>0</v>
      </c>
      <c r="AJ130" s="16" t="s">
        <v>144</v>
      </c>
      <c r="AK130" s="17">
        <f>MATCH(MAX(AG113:AG127),AG113:AG127,0)</f>
        <v>14</v>
      </c>
      <c r="AL130" s="17"/>
      <c r="AM130" s="17"/>
      <c r="AN130" s="2"/>
      <c r="AO130" s="2"/>
      <c r="AP130" s="16" t="s">
        <v>202</v>
      </c>
      <c r="AQ130" s="141">
        <f t="array" aca="1" ref="AQ130" ca="1">INDEX(AQ112:AU112,MATCH(AQ129,AQ112:AU112,1))</f>
        <v>0</v>
      </c>
      <c r="AR130" s="16" t="s">
        <v>144</v>
      </c>
      <c r="AS130" s="17">
        <f>MATCH(MAX(AO113:AO127),AO113:AO127,0)</f>
        <v>14</v>
      </c>
      <c r="AT130" s="17"/>
      <c r="AU130" s="17"/>
      <c r="AV130" s="17"/>
      <c r="AW130" s="2"/>
      <c r="AX130" s="16" t="s">
        <v>202</v>
      </c>
      <c r="AY130" s="141">
        <f t="array" aca="1" ref="AY130" ca="1">INDEX(AY112:BC112,MATCH(AY129,AY112:BC112,1))</f>
        <v>0</v>
      </c>
      <c r="AZ130" s="16" t="s">
        <v>144</v>
      </c>
      <c r="BA130" s="17">
        <f>MATCH(MAX(AW113:AW127),AW113:AW127,0)</f>
        <v>14</v>
      </c>
    </row>
    <row r="131" spans="1:55" ht="14.25" customHeight="1" x14ac:dyDescent="0.3">
      <c r="B131" s="16" t="s">
        <v>203</v>
      </c>
      <c r="C131" s="141">
        <f t="array" aca="1" ref="C131" ca="1">INDEX(C112:G112,IF(MATCH(C129,C112:G112,1)&lt;E131,MATCH(C129,C112:G112,1)+1,MATCH(C129,C112:G112,1)))</f>
        <v>1000</v>
      </c>
      <c r="D131" s="16" t="s">
        <v>145</v>
      </c>
      <c r="E131" s="17">
        <f>MATCH(MAX(C112:G112),C112:G112,0)</f>
        <v>5</v>
      </c>
      <c r="F131" s="17"/>
      <c r="H131" s="2"/>
      <c r="I131" s="2"/>
      <c r="J131" s="16" t="s">
        <v>203</v>
      </c>
      <c r="K131" s="141">
        <f t="array" aca="1" ref="K131" ca="1">INDEX(K112:O112,IF(MATCH(K129,K112:O112,1)&lt;M131,MATCH(K129,K112:O112,1)+1,MATCH(K129,K112:O112,1)))</f>
        <v>1000</v>
      </c>
      <c r="L131" s="16" t="s">
        <v>145</v>
      </c>
      <c r="M131" s="17">
        <f>MATCH(MAX(K112:O112),K112:O112,0)</f>
        <v>5</v>
      </c>
      <c r="N131" s="17"/>
      <c r="O131" s="17"/>
      <c r="P131" s="17"/>
      <c r="Q131" s="2"/>
      <c r="R131" s="16" t="s">
        <v>203</v>
      </c>
      <c r="S131" s="141">
        <f t="array" aca="1" ref="S131" ca="1">INDEX(S112:W112,IF(MATCH(S129,S112:W112,1)&lt;U131,MATCH(S129,S112:W112,1)+1,MATCH(S129,S112:W112,1)))</f>
        <v>1000</v>
      </c>
      <c r="T131" s="16" t="s">
        <v>145</v>
      </c>
      <c r="U131" s="17">
        <f>MATCH(MAX(S112:W112),S112:W112,0)</f>
        <v>5</v>
      </c>
      <c r="V131" s="17"/>
      <c r="W131" s="17"/>
      <c r="X131" s="2"/>
      <c r="Y131" s="2"/>
      <c r="Z131" s="16" t="s">
        <v>203</v>
      </c>
      <c r="AA131" s="141">
        <f t="array" aca="1" ref="AA131" ca="1">INDEX(AA112:AE112,IF(MATCH(AA129,AA112:AE112,1)&lt;AC131,MATCH(AA129,AA112:AE112,1)+1,MATCH(AA129,AA112:AE112,1)))</f>
        <v>1000</v>
      </c>
      <c r="AB131" s="16" t="s">
        <v>145</v>
      </c>
      <c r="AC131" s="17">
        <f>MATCH(MAX(AA112:AE112),AA112:AE112,0)</f>
        <v>5</v>
      </c>
      <c r="AD131" s="17"/>
      <c r="AE131" s="17"/>
      <c r="AF131" s="2"/>
      <c r="AG131" s="2"/>
      <c r="AH131" s="16" t="s">
        <v>203</v>
      </c>
      <c r="AI131" s="141">
        <f t="array" aca="1" ref="AI131" ca="1">INDEX(AI112:AM112,IF(MATCH(AI129,AI112:AM112,1)&lt;AK131,MATCH(AI129,AI112:AM112,1)+1,MATCH(AI129,AI112:AM112,1)))</f>
        <v>1000</v>
      </c>
      <c r="AJ131" s="16" t="s">
        <v>145</v>
      </c>
      <c r="AK131" s="17">
        <f>MATCH(MAX(AI112:AM112),AI112:AM112,0)</f>
        <v>5</v>
      </c>
      <c r="AL131" s="17"/>
      <c r="AM131" s="17"/>
      <c r="AN131" s="2"/>
      <c r="AO131" s="2"/>
      <c r="AP131" s="16" t="s">
        <v>203</v>
      </c>
      <c r="AQ131" s="141">
        <f t="array" aca="1" ref="AQ131" ca="1">INDEX(AQ112:AU112,IF(MATCH(AQ129,AQ112:AU112,1)&lt;AS131,MATCH(AQ129,AQ112:AU112,1)+1,MATCH(AQ129,AQ112:AU112,1)))</f>
        <v>1000</v>
      </c>
      <c r="AR131" s="16" t="s">
        <v>145</v>
      </c>
      <c r="AS131" s="17">
        <f>MATCH(MAX(AQ112:AU112),AQ112:AU112,0)</f>
        <v>5</v>
      </c>
      <c r="AT131" s="17"/>
      <c r="AU131" s="17"/>
      <c r="AV131" s="17"/>
      <c r="AW131" s="2"/>
      <c r="AX131" s="16" t="s">
        <v>203</v>
      </c>
      <c r="AY131" s="141">
        <f t="array" aca="1" ref="AY131" ca="1">INDEX(AY112:BC112,IF(MATCH(AY129,AY112:BC112,1)&lt;BA131,MATCH(AY129,AY112:BC112,1)+1,MATCH(AY129,AY112:BC112,1)))</f>
        <v>1000</v>
      </c>
      <c r="AZ131" s="16" t="s">
        <v>145</v>
      </c>
      <c r="BA131" s="17">
        <f>MATCH(MAX(AY112:BC112),AY112:BC112,0)</f>
        <v>5</v>
      </c>
    </row>
    <row r="132" spans="1:55" ht="14.25" customHeight="1" x14ac:dyDescent="0.3">
      <c r="B132" s="139" t="s">
        <v>147</v>
      </c>
      <c r="C132" s="140">
        <f ca="1">$D$2</f>
        <v>15</v>
      </c>
      <c r="D132" s="2"/>
      <c r="E132" s="2"/>
      <c r="F132" s="2"/>
      <c r="G132" s="17"/>
      <c r="H132" s="2"/>
      <c r="I132" s="2"/>
      <c r="J132" s="139" t="s">
        <v>147</v>
      </c>
      <c r="K132" s="140">
        <f ca="1">$D$2</f>
        <v>15</v>
      </c>
      <c r="L132" s="2"/>
      <c r="M132" s="2"/>
      <c r="N132" s="2"/>
      <c r="O132" s="17"/>
      <c r="P132" s="17"/>
      <c r="Q132" s="2"/>
      <c r="R132" s="139" t="s">
        <v>147</v>
      </c>
      <c r="S132" s="140">
        <f ca="1">$D$2</f>
        <v>15</v>
      </c>
      <c r="T132" s="2"/>
      <c r="U132" s="2"/>
      <c r="V132" s="2"/>
      <c r="W132" s="17"/>
      <c r="X132" s="2"/>
      <c r="Y132" s="2"/>
      <c r="Z132" s="139" t="s">
        <v>147</v>
      </c>
      <c r="AA132" s="140">
        <f ca="1">$D$2</f>
        <v>15</v>
      </c>
      <c r="AB132" s="2"/>
      <c r="AC132" s="2"/>
      <c r="AD132" s="2"/>
      <c r="AE132" s="17"/>
      <c r="AF132" s="2"/>
      <c r="AG132" s="2"/>
      <c r="AH132" s="139" t="s">
        <v>147</v>
      </c>
      <c r="AI132" s="140">
        <f ca="1">$D$2</f>
        <v>15</v>
      </c>
      <c r="AJ132" s="2"/>
      <c r="AK132" s="2"/>
      <c r="AL132" s="2"/>
      <c r="AM132" s="17"/>
      <c r="AN132" s="2"/>
      <c r="AO132" s="2"/>
      <c r="AP132" s="139" t="s">
        <v>147</v>
      </c>
      <c r="AQ132" s="140">
        <f ca="1">$D$2</f>
        <v>15</v>
      </c>
      <c r="AR132" s="2"/>
      <c r="AS132" s="2"/>
      <c r="AT132" s="2"/>
      <c r="AU132" s="17"/>
      <c r="AV132" s="17"/>
      <c r="AW132" s="2"/>
      <c r="AX132" s="139" t="s">
        <v>147</v>
      </c>
      <c r="AY132" s="140">
        <f ca="1">$D$2</f>
        <v>15</v>
      </c>
      <c r="AZ132" s="2"/>
      <c r="BA132" s="2"/>
    </row>
    <row r="133" spans="1:55" ht="14.25" customHeight="1" x14ac:dyDescent="0.3">
      <c r="B133" s="16" t="s">
        <v>148</v>
      </c>
      <c r="C133" s="141">
        <f t="array" aca="1" ref="C133" ca="1">INDEX(A113:A127,MATCH(C132,A113:A127,1))</f>
        <v>15</v>
      </c>
      <c r="D133" s="2"/>
      <c r="E133" s="268" t="s">
        <v>229</v>
      </c>
      <c r="F133" s="42"/>
      <c r="G133" s="2"/>
      <c r="H133" s="2"/>
      <c r="I133" s="2"/>
      <c r="J133" s="16" t="s">
        <v>148</v>
      </c>
      <c r="K133" s="141">
        <f t="array" aca="1" ref="K133" ca="1">INDEX(I113:I127,MATCH(K132,I113:I127,1))</f>
        <v>15</v>
      </c>
      <c r="L133" s="2"/>
      <c r="M133" s="2"/>
      <c r="N133" s="2"/>
      <c r="O133" s="2"/>
      <c r="P133" s="2"/>
      <c r="Q133" s="2"/>
      <c r="R133" s="16" t="s">
        <v>148</v>
      </c>
      <c r="S133" s="141">
        <f t="array" aca="1" ref="S133" ca="1">INDEX(Q113:Q127,MATCH(S132,Q113:Q127,1))</f>
        <v>15</v>
      </c>
      <c r="T133" s="2"/>
      <c r="U133" s="2"/>
      <c r="V133" s="2"/>
      <c r="W133" s="2"/>
      <c r="X133" s="2"/>
      <c r="Y133" s="2"/>
      <c r="Z133" s="16" t="s">
        <v>148</v>
      </c>
      <c r="AA133" s="141">
        <f t="array" aca="1" ref="AA133" ca="1">INDEX(Y113:Y127,MATCH(AA132,Y113:Y127,1))</f>
        <v>15</v>
      </c>
      <c r="AB133" s="2"/>
      <c r="AC133" s="2"/>
      <c r="AD133" s="2"/>
      <c r="AE133" s="2"/>
      <c r="AF133" s="2"/>
      <c r="AG133" s="2"/>
      <c r="AH133" s="16" t="s">
        <v>148</v>
      </c>
      <c r="AI133" s="141">
        <f t="array" aca="1" ref="AI133" ca="1">INDEX(AG113:AG127,MATCH(AI132,AG113:AG127,1))</f>
        <v>15</v>
      </c>
      <c r="AJ133" s="2"/>
      <c r="AK133" s="2"/>
      <c r="AL133" s="2"/>
      <c r="AM133" s="2"/>
      <c r="AN133" s="2"/>
      <c r="AO133" s="2"/>
      <c r="AP133" s="16" t="s">
        <v>148</v>
      </c>
      <c r="AQ133" s="141">
        <f t="array" aca="1" ref="AQ133" ca="1">INDEX(AO113:AO127,MATCH(AQ132,AO113:AO127,1))</f>
        <v>15</v>
      </c>
      <c r="AR133" s="2"/>
      <c r="AS133" s="2"/>
      <c r="AT133" s="2"/>
      <c r="AU133" s="2"/>
      <c r="AV133" s="2"/>
      <c r="AW133" s="2"/>
      <c r="AX133" s="16" t="s">
        <v>148</v>
      </c>
      <c r="AY133" s="141">
        <f t="array" aca="1" ref="AY133" ca="1">INDEX(AW113:AW127,MATCH(AY132,AW113:AW127,1))</f>
        <v>10</v>
      </c>
      <c r="AZ133" s="2"/>
      <c r="BA133" s="2"/>
    </row>
    <row r="134" spans="1:55" ht="14.25" customHeight="1" x14ac:dyDescent="0.3">
      <c r="B134" s="16" t="s">
        <v>149</v>
      </c>
      <c r="C134" s="141">
        <f t="array" aca="1" ref="C134" ca="1">INDEX(A113:A127,IF(MATCH(C132,A113:A127,1)&lt;E130,MATCH(C132,A113:A127,1)+1,MATCH(C132,A113:A127,1)))</f>
        <v>20</v>
      </c>
      <c r="D134" s="2"/>
      <c r="E134" s="42"/>
      <c r="F134" s="42"/>
      <c r="G134" s="2"/>
      <c r="H134" s="2"/>
      <c r="I134" s="2"/>
      <c r="J134" s="16" t="s">
        <v>149</v>
      </c>
      <c r="K134" s="141">
        <f t="array" aca="1" ref="K134" ca="1">INDEX(I113:I127,IF(MATCH(K132,I113:I127,1)&lt;M130,MATCH(K132,I113:I127,1)+1,MATCH(K132,I113:I127,1)))</f>
        <v>20</v>
      </c>
      <c r="L134" s="2"/>
      <c r="M134" s="2"/>
      <c r="N134" s="2"/>
      <c r="O134" s="2"/>
      <c r="P134" s="2"/>
      <c r="Q134" s="2"/>
      <c r="R134" s="16" t="s">
        <v>149</v>
      </c>
      <c r="S134" s="141">
        <f t="array" aca="1" ref="S134" ca="1">INDEX(Q113:Q127,IF(MATCH(S132,Q113:Q127,1)&lt;U130,MATCH(S132,Q113:Q127,1)+1,MATCH(S132,Q113:Q127,1)))</f>
        <v>20</v>
      </c>
      <c r="T134" s="2"/>
      <c r="U134" s="2"/>
      <c r="V134" s="2"/>
      <c r="W134" s="2"/>
      <c r="X134" s="2"/>
      <c r="Y134" s="2"/>
      <c r="Z134" s="16" t="s">
        <v>149</v>
      </c>
      <c r="AA134" s="141">
        <f t="array" aca="1" ref="AA134" ca="1">INDEX(Y113:Y127,IF(MATCH(AA132,Y113:Y127,1)&lt;AC130,MATCH(AA132,Y113:Y127,1)+1,MATCH(AA132,Y113:Y127,1)))</f>
        <v>20</v>
      </c>
      <c r="AB134" s="2"/>
      <c r="AC134" s="2"/>
      <c r="AD134" s="2"/>
      <c r="AE134" s="2"/>
      <c r="AF134" s="2"/>
      <c r="AG134" s="2"/>
      <c r="AH134" s="16" t="s">
        <v>149</v>
      </c>
      <c r="AI134" s="141">
        <f t="array" aca="1" ref="AI134" ca="1">INDEX(AG113:AG127,IF(MATCH(AI132,AG113:AG127,1)&lt;AK130,MATCH(AI132,AG113:AG127,1)+1,MATCH(AI132,AG113:AG127,1)))</f>
        <v>20</v>
      </c>
      <c r="AJ134" s="2"/>
      <c r="AK134" s="2"/>
      <c r="AL134" s="2"/>
      <c r="AM134" s="2"/>
      <c r="AN134" s="2"/>
      <c r="AO134" s="2"/>
      <c r="AP134" s="16" t="s">
        <v>149</v>
      </c>
      <c r="AQ134" s="141">
        <f t="array" aca="1" ref="AQ134" ca="1">INDEX(AO113:AO127,IF(MATCH(AQ132,AO113:AO127,1)&lt;AS130,MATCH(AQ132,AO113:AO127,1)+1,MATCH(AQ132,AO113:AO127,1)))</f>
        <v>20</v>
      </c>
      <c r="AR134" s="2"/>
      <c r="AS134" s="2"/>
      <c r="AT134" s="2"/>
      <c r="AU134" s="2"/>
      <c r="AV134" s="2"/>
      <c r="AW134" s="2"/>
      <c r="AX134" s="16" t="s">
        <v>149</v>
      </c>
      <c r="AY134" s="141">
        <f ca="1">INDEX(AW113:AW127,IF(MATCH(AY132,AW113:AW127,1)&lt;BA130,MATCH(AY132,AW113:AW127,1)+1,MATCH(AY132,AW113:AW127,1)))</f>
        <v>0</v>
      </c>
      <c r="AZ134" s="2"/>
      <c r="BA134" s="2"/>
    </row>
    <row r="135" spans="1:55" ht="14.25" customHeight="1" x14ac:dyDescent="0.3">
      <c r="B135" s="139" t="s">
        <v>150</v>
      </c>
      <c r="C135" s="140">
        <f t="array" aca="1" ref="C135" ca="1">INDEX(C113:G127,MATCH(C132,A113:A127,1),MATCH(C129,C112:G112,1))</f>
        <v>108</v>
      </c>
      <c r="D135" s="2"/>
      <c r="E135" s="42"/>
      <c r="F135" s="42"/>
      <c r="G135" s="2"/>
      <c r="H135" s="2"/>
      <c r="I135" s="2"/>
      <c r="J135" s="139" t="s">
        <v>150</v>
      </c>
      <c r="K135" s="140">
        <f t="array" aca="1" ref="K135" ca="1">INDEX(K113:O127,MATCH(K132,I113:I127,1),MATCH(K129,K112:O112,1))</f>
        <v>107</v>
      </c>
      <c r="L135" s="2"/>
      <c r="M135" s="2"/>
      <c r="N135" s="2"/>
      <c r="O135" s="2"/>
      <c r="P135" s="2"/>
      <c r="Q135" s="2"/>
      <c r="R135" s="139" t="s">
        <v>150</v>
      </c>
      <c r="S135" s="140">
        <f t="array" aca="1" ref="S135" ca="1">INDEX(S113:W127,MATCH(S132,Q113:Q127,1),MATCH(S129,S112:W112,1))</f>
        <v>104</v>
      </c>
      <c r="T135" s="2"/>
      <c r="U135" s="2"/>
      <c r="V135" s="2"/>
      <c r="W135" s="2"/>
      <c r="X135" s="2"/>
      <c r="Y135" s="2"/>
      <c r="Z135" s="139" t="s">
        <v>150</v>
      </c>
      <c r="AA135" s="140">
        <f t="array" aca="1" ref="AA135" ca="1">INDEX(AA113:AE127,MATCH(AA132,Y113:Y127,1),MATCH(AA129,AA112:AE112,1))</f>
        <v>102</v>
      </c>
      <c r="AB135" s="2"/>
      <c r="AC135" s="2"/>
      <c r="AD135" s="2"/>
      <c r="AE135" s="2"/>
      <c r="AF135" s="2"/>
      <c r="AG135" s="2"/>
      <c r="AH135" s="139" t="s">
        <v>150</v>
      </c>
      <c r="AI135" s="140">
        <f t="array" aca="1" ref="AI135" ca="1">INDEX(AI113:AM127,MATCH(AI132,AG113:AG127,1),MATCH(AI129,AI112:AM112,1))</f>
        <v>102</v>
      </c>
      <c r="AJ135" s="2"/>
      <c r="AK135" s="2"/>
      <c r="AL135" s="2"/>
      <c r="AM135" s="2"/>
      <c r="AN135" s="2"/>
      <c r="AO135" s="2"/>
      <c r="AP135" s="139" t="s">
        <v>150</v>
      </c>
      <c r="AQ135" s="140">
        <f t="array" aca="1" ref="AQ135" ca="1">INDEX(AQ113:AU127,MATCH(AQ132,AO113:AO127,1),MATCH(AQ129,AQ112:AU112,1))</f>
        <v>102</v>
      </c>
      <c r="AR135" s="2"/>
      <c r="AS135" s="2"/>
      <c r="AT135" s="2"/>
      <c r="AU135" s="2"/>
      <c r="AV135" s="2"/>
      <c r="AW135" s="2"/>
      <c r="AX135" s="139" t="s">
        <v>150</v>
      </c>
      <c r="AY135" s="140">
        <f ca="1">INDEX(AY113:BC127,MATCH(AY132,AW113:AW127,1),MATCH(AY129,AY112:BC112,1))</f>
        <v>0</v>
      </c>
      <c r="AZ135" s="2"/>
      <c r="BA135" s="2"/>
    </row>
    <row r="136" spans="1:55" ht="14.25" customHeight="1" x14ac:dyDescent="0.3">
      <c r="B136" s="139" t="s">
        <v>204</v>
      </c>
      <c r="C136" s="140">
        <f t="array" aca="1" ref="C136" ca="1">INDEX(C113:G127,MATCH(C132,A113:A127,1),IF(MATCH(C129,C112:G112,1)&lt;E131,MATCH(C129,C112:G112,1)+1,MATCH(C132,A113:A127,1)))</f>
        <v>109</v>
      </c>
      <c r="E136" s="42"/>
      <c r="F136" s="42"/>
      <c r="G136" s="2"/>
      <c r="H136" s="2"/>
      <c r="I136" s="2"/>
      <c r="J136" s="139" t="s">
        <v>204</v>
      </c>
      <c r="K136" s="140">
        <f t="array" aca="1" ref="K136" ca="1">INDEX(K113:O127,MATCH(K132,I113:I127,1),IF(MATCH(K129,K112:O112,1)&lt;M131,MATCH(K129,K112:O112,1)+1,MATCH(K132,I113:I127,1)))</f>
        <v>107</v>
      </c>
      <c r="O136" s="2"/>
      <c r="P136" s="2"/>
      <c r="Q136" s="2"/>
      <c r="R136" s="139" t="s">
        <v>204</v>
      </c>
      <c r="S136" s="140">
        <f t="array" aca="1" ref="S136" ca="1">INDEX(S113:W127,MATCH(S132,Q113:Q127,1),IF(MATCH(S129,S112:W112,1)&lt;U131,MATCH(S129,S112:W112,1)+1,MATCH(S132,Q113:Q127,1)))</f>
        <v>104</v>
      </c>
      <c r="W136" s="2"/>
      <c r="X136" s="2"/>
      <c r="Y136" s="2"/>
      <c r="Z136" s="139" t="s">
        <v>204</v>
      </c>
      <c r="AA136" s="140">
        <f t="array" aca="1" ref="AA136" ca="1">INDEX(AA113:AE127,MATCH(AA132,Y113:Y127,1),IF(MATCH(AA129,AA112:AE112,1)&lt;AC131,MATCH(AA129,AA112:AE112,1)+1,MATCH(AA132,Y113:Y127,1)))</f>
        <v>102</v>
      </c>
      <c r="AE136" s="2"/>
      <c r="AF136" s="2"/>
      <c r="AG136" s="2"/>
      <c r="AH136" s="139" t="s">
        <v>204</v>
      </c>
      <c r="AI136" s="140">
        <f t="array" aca="1" ref="AI136" ca="1">INDEX(AI113:AM127,MATCH(AI132,AG113:AG127,1),IF(MATCH(AI129,AI112:AM112,1)&lt;AK131,MATCH(AI129,AI112:AM112,1)+1,MATCH(AI132,AG113:AG127,1)))</f>
        <v>102</v>
      </c>
      <c r="AM136" s="2"/>
      <c r="AN136" s="2"/>
      <c r="AO136" s="2"/>
      <c r="AP136" s="139" t="s">
        <v>204</v>
      </c>
      <c r="AQ136" s="140">
        <f t="array" aca="1" ref="AQ136" ca="1">INDEX(AQ113:AU127,MATCH(AQ132,AO113:AO127,1),IF(MATCH(AQ129,AQ112:AU112,1)&lt;AS131,MATCH(AQ129,AQ112:AU112,1)+1,MATCH(AQ132,AO113:AO127,1)))</f>
        <v>102</v>
      </c>
      <c r="AU136" s="2"/>
      <c r="AV136" s="2"/>
      <c r="AW136" s="2"/>
      <c r="AX136" s="139" t="s">
        <v>204</v>
      </c>
      <c r="AY136" s="140">
        <f ca="1">INDEX(AY113:BC127,MATCH(AY132,AW113:AW127,1),IF(MATCH(AY129,AY112:BC112,1)&lt;BA131,MATCH(AY129,AY112:BC112,1)+1,MATCH(AY132,AW113:AW127,1)))</f>
        <v>0</v>
      </c>
    </row>
    <row r="137" spans="1:55" ht="14.25" customHeight="1" x14ac:dyDescent="0.3">
      <c r="B137" s="139" t="s">
        <v>151</v>
      </c>
      <c r="C137" s="140">
        <f t="array" aca="1" ref="C137" ca="1">INDEX(C113:G127,IF(MATCH(C132,A113:A127,1)&lt;E130,MATCH(C132,A113:A127,1)+1,MATCH(C132,A113:A127,1)),MATCH(C129,C112:G112,1))</f>
        <v>108</v>
      </c>
      <c r="E137" s="42"/>
      <c r="F137" s="42"/>
      <c r="G137" s="2"/>
      <c r="H137" s="2"/>
      <c r="I137" s="2"/>
      <c r="J137" s="139" t="s">
        <v>151</v>
      </c>
      <c r="K137" s="140">
        <f t="array" aca="1" ref="K137" ca="1">INDEX(K113:O127,IF(MATCH(K132,I113:I127,1)&lt;M130,MATCH(K132,I113:I127,1)+1,MATCH(K132,I113:I127,1)),MATCH(K129,K112:O112,1))</f>
        <v>107</v>
      </c>
      <c r="O137" s="2"/>
      <c r="P137" s="2"/>
      <c r="Q137" s="2"/>
      <c r="R137" s="139" t="s">
        <v>151</v>
      </c>
      <c r="S137" s="140">
        <f t="array" aca="1" ref="S137" ca="1">INDEX(S113:W127,IF(MATCH(S132,Q113:Q127,1)&lt;U130,MATCH(S132,Q113:Q127,1)+1,MATCH(S132,Q113:Q127,1)),MATCH(S129,S112:W112,1))</f>
        <v>104</v>
      </c>
      <c r="W137" s="2"/>
      <c r="X137" s="2"/>
      <c r="Y137" s="2"/>
      <c r="Z137" s="139" t="s">
        <v>151</v>
      </c>
      <c r="AA137" s="140">
        <f t="array" aca="1" ref="AA137" ca="1">INDEX(AA113:AE127,IF(MATCH(AA132,Y113:Y127,1)&lt;AC130,MATCH(AA132,Y113:Y127,1)+1,MATCH(AA132,Y113:Y127,1)),MATCH(AA129,AA112:AE112,1))</f>
        <v>102</v>
      </c>
      <c r="AE137" s="2"/>
      <c r="AF137" s="2"/>
      <c r="AG137" s="2"/>
      <c r="AH137" s="139" t="s">
        <v>151</v>
      </c>
      <c r="AI137" s="140">
        <f t="array" aca="1" ref="AI137" ca="1">INDEX(AI113:AM127,IF(MATCH(AI132,AG113:AG127,1)&lt;AK130,MATCH(AI132,AG113:AG127,1)+1,MATCH(AI132,AG113:AG127,1)),MATCH(AI129,AI112:AM112,1))</f>
        <v>102</v>
      </c>
      <c r="AM137" s="2"/>
      <c r="AN137" s="2"/>
      <c r="AO137" s="2"/>
      <c r="AP137" s="139" t="s">
        <v>151</v>
      </c>
      <c r="AQ137" s="140">
        <f t="array" aca="1" ref="AQ137" ca="1">INDEX(AQ113:AU127,IF(MATCH(AQ132,AO113:AO127,1)&lt;AS130,MATCH(AQ132,AO113:AO127,1)+1,MATCH(AQ132,AO113:AO127,1)),MATCH(AQ129,AQ112:AU112,1))</f>
        <v>102</v>
      </c>
      <c r="AU137" s="2"/>
      <c r="AV137" s="2"/>
      <c r="AW137" s="2"/>
      <c r="AX137" s="139" t="s">
        <v>151</v>
      </c>
      <c r="AY137" s="140">
        <f ca="1">INDEX(AY113:BC127,IF(MATCH(AY132,AW113:AW127,1)&lt;BA130,MATCH(AY132,AW113:AW127,1)+1,MATCH(AY132,AW113:AW127,1)),MATCH(AY129,AY112:BC112,1))</f>
        <v>0</v>
      </c>
    </row>
    <row r="138" spans="1:55" ht="14.25" customHeight="1" x14ac:dyDescent="0.3">
      <c r="B138" s="139" t="s">
        <v>205</v>
      </c>
      <c r="C138" s="140">
        <f t="array" aca="1" ref="C138" ca="1">INDEX(C113:G127,IF(MATCH(C132,A113:A127,1)&lt;E130,MATCH(C132,A113:A127,1)+1,MATCH(C132,A113:A127,1)),IF(MATCH(C129,C112:G112,1)&lt;E131,MATCH(C129,C112:G112,1)+1,MATCH(C129,C112:G112,1)))</f>
        <v>109</v>
      </c>
      <c r="G138" s="2"/>
      <c r="H138" s="2"/>
      <c r="I138" s="2"/>
      <c r="J138" s="139" t="s">
        <v>205</v>
      </c>
      <c r="K138" s="140">
        <f t="array" aca="1" ref="K138" ca="1">INDEX(K113:O127,IF(MATCH(K132,I113:I127,1)&lt;M130,MATCH(K132,I113:I127,1)+1,MATCH(K132,I113:I127,1)),IF(MATCH(K129,K112:O112,1)&lt;M131,MATCH(K129,K112:O112,1)+1,MATCH(K129,K112:O112,1)))</f>
        <v>107</v>
      </c>
      <c r="O138" s="2"/>
      <c r="P138" s="2"/>
      <c r="Q138" s="2"/>
      <c r="R138" s="139" t="s">
        <v>205</v>
      </c>
      <c r="S138" s="140">
        <f t="array" aca="1" ref="S138" ca="1">INDEX(S113:W127,IF(MATCH(S132,Q113:Q127,1)&lt;U130,MATCH(S132,Q113:Q127,1)+1,MATCH(S132,Q113:Q127,1)),IF(MATCH(S129,S112:W112,1)&lt;U131,MATCH(S129,S112:W112,1)+1,MATCH(S129,S112:W112,1)))</f>
        <v>104</v>
      </c>
      <c r="W138" s="2"/>
      <c r="X138" s="2"/>
      <c r="Y138" s="2"/>
      <c r="Z138" s="139" t="s">
        <v>205</v>
      </c>
      <c r="AA138" s="140">
        <f t="array" aca="1" ref="AA138" ca="1">INDEX(AA113:AE127,IF(MATCH(AA132,Y113:Y127,1)&lt;AC130,MATCH(AA132,Y113:Y127,1)+1,MATCH(AA132,Y113:Y127,1)),IF(MATCH(AA129,AA112:AE112,1)&lt;AC131,MATCH(AA129,AA112:AE112,1)+1,MATCH(AA129,AA112:AE112,1)))</f>
        <v>102</v>
      </c>
      <c r="AE138" s="2"/>
      <c r="AF138" s="2"/>
      <c r="AG138" s="2"/>
      <c r="AH138" s="139" t="s">
        <v>205</v>
      </c>
      <c r="AI138" s="140">
        <f t="array" aca="1" ref="AI138" ca="1">INDEX(AI113:AM127,IF(MATCH(AI132,AG113:AG127,1)&lt;AK130,MATCH(AI132,AG113:AG127,1)+1,MATCH(AI132,AG113:AG127,1)),IF(MATCH(AI129,AI112:AM112,1)&lt;AK131,MATCH(AI129,AI112:AM112,1)+1,MATCH(AI129,AI112:AM112,1)))</f>
        <v>102</v>
      </c>
      <c r="AM138" s="2"/>
      <c r="AN138" s="2"/>
      <c r="AO138" s="2"/>
      <c r="AP138" s="139" t="s">
        <v>205</v>
      </c>
      <c r="AQ138" s="140">
        <f t="array" aca="1" ref="AQ138" ca="1">INDEX(AQ113:AU127,IF(MATCH(AQ132,AO113:AO127,1)&lt;AS130,MATCH(AQ132,AO113:AO127,1)+1,MATCH(AQ132,AO113:AO127,1)),IF(MATCH(AQ129,AQ112:AU112,1)&lt;AS131,MATCH(AQ129,AQ112:AU112,1)+1,MATCH(AQ129,AQ112:AU112,1)))</f>
        <v>102</v>
      </c>
      <c r="AU138" s="2"/>
      <c r="AV138" s="2"/>
      <c r="AW138" s="2"/>
      <c r="AX138" s="139" t="s">
        <v>205</v>
      </c>
      <c r="AY138" s="140">
        <f ca="1">INDEX(AY113:BC127,IF(MATCH(AY132,AW113:AW127,1)&lt;BA130,MATCH(AY132,AW113:AW127,1)+1,MATCH(AY132,AW113:AW127,1)),IF(MATCH(AY129,AY112:BC112,1)&lt;BA131,MATCH(AY129,AY112:BC112,1)+1,MATCH(AY129,AY112:BC112,1)))</f>
        <v>0</v>
      </c>
    </row>
    <row r="139" spans="1:55" ht="14.25" customHeight="1" x14ac:dyDescent="0.3">
      <c r="B139" s="16" t="s">
        <v>206</v>
      </c>
      <c r="C139" s="141">
        <f ca="1">IFERROR(C135+(C129-C130)*(C136-C135)/(C131-C130),C135)</f>
        <v>108.77</v>
      </c>
      <c r="G139" s="2"/>
      <c r="H139" s="2"/>
      <c r="I139" s="2"/>
      <c r="J139" s="16" t="s">
        <v>206</v>
      </c>
      <c r="K139" s="141">
        <f ca="1">IFERROR(K135+(K129-K130)*(K136-K135)/(K131-K130),K135)</f>
        <v>107</v>
      </c>
      <c r="O139" s="2"/>
      <c r="P139" s="2"/>
      <c r="Q139" s="2"/>
      <c r="R139" s="16" t="s">
        <v>206</v>
      </c>
      <c r="S139" s="141">
        <f ca="1">IFERROR(S135+(S129-S130)*(S136-S135)/(S131-S130),S135)</f>
        <v>104</v>
      </c>
      <c r="W139" s="2"/>
      <c r="X139" s="2"/>
      <c r="Y139" s="2"/>
      <c r="Z139" s="16" t="s">
        <v>206</v>
      </c>
      <c r="AA139" s="141">
        <f ca="1">IFERROR(AA135+(AA129-AA130)*(AA136-AA135)/(AA131-AA130),AA135)</f>
        <v>102</v>
      </c>
      <c r="AE139" s="2"/>
      <c r="AF139" s="2"/>
      <c r="AG139" s="2"/>
      <c r="AH139" s="16" t="s">
        <v>206</v>
      </c>
      <c r="AI139" s="141">
        <f ca="1">IFERROR(AI135+(AI129-AI130)*(AI136-AI135)/(AI131-AI130),AI135)</f>
        <v>102</v>
      </c>
      <c r="AM139" s="2"/>
      <c r="AN139" s="2"/>
      <c r="AO139" s="2"/>
      <c r="AP139" s="16" t="s">
        <v>206</v>
      </c>
      <c r="AQ139" s="141">
        <f ca="1">IFERROR(AQ135+(AQ129-AQ130)*(AQ136-AQ135)/(AQ131-AQ130),AQ135)</f>
        <v>102</v>
      </c>
      <c r="AU139" s="2"/>
      <c r="AV139" s="2"/>
      <c r="AW139" s="2"/>
      <c r="AX139" s="16" t="s">
        <v>206</v>
      </c>
      <c r="AY139" s="141">
        <f ca="1">IFERROR(AY135+(AY129-AY130)*(AY136-AY135)/(AY131-AY130),AY135)</f>
        <v>0</v>
      </c>
    </row>
    <row r="140" spans="1:55" ht="14.25" customHeight="1" x14ac:dyDescent="0.3">
      <c r="B140" s="16" t="s">
        <v>207</v>
      </c>
      <c r="C140" s="141">
        <f ca="1">IFERROR(C137+(C129-C130)*(C138-C137)/(C131-C130),C137)</f>
        <v>108.77</v>
      </c>
      <c r="G140" s="2"/>
      <c r="H140" s="2"/>
      <c r="I140" s="2"/>
      <c r="J140" s="16" t="s">
        <v>207</v>
      </c>
      <c r="K140" s="141">
        <f ca="1">IFERROR(K137+(K129-K130)*(K138-K137)/(K131-K130),K137)</f>
        <v>107</v>
      </c>
      <c r="O140" s="2"/>
      <c r="P140" s="2"/>
      <c r="Q140" s="2"/>
      <c r="R140" s="16" t="s">
        <v>207</v>
      </c>
      <c r="S140" s="141">
        <f ca="1">IFERROR(S137+(S129-S130)*(S138-S137)/(S131-S130),S137)</f>
        <v>104</v>
      </c>
      <c r="W140" s="2"/>
      <c r="X140" s="2"/>
      <c r="Y140" s="2"/>
      <c r="Z140" s="16" t="s">
        <v>207</v>
      </c>
      <c r="AA140" s="141">
        <f ca="1">IFERROR(AA137+(AA129-AA130)*(AA138-AA137)/(AA131-AA130),AA137)</f>
        <v>102</v>
      </c>
      <c r="AE140" s="2"/>
      <c r="AF140" s="2"/>
      <c r="AG140" s="2"/>
      <c r="AH140" s="16" t="s">
        <v>207</v>
      </c>
      <c r="AI140" s="141">
        <f ca="1">IFERROR(AI137+(AI129-AI130)*(AI138-AI137)/(AI131-AI130),AI137)</f>
        <v>102</v>
      </c>
      <c r="AM140" s="2"/>
      <c r="AN140" s="2"/>
      <c r="AO140" s="2"/>
      <c r="AP140" s="16" t="s">
        <v>207</v>
      </c>
      <c r="AQ140" s="141">
        <f ca="1">IFERROR(AQ137+(AQ129-AQ130)*(AQ138-AQ137)/(AQ131-AQ130),AQ137)</f>
        <v>102</v>
      </c>
      <c r="AU140" s="2"/>
      <c r="AV140" s="2"/>
      <c r="AW140" s="2"/>
      <c r="AX140" s="16" t="s">
        <v>207</v>
      </c>
      <c r="AY140" s="141">
        <f ca="1">IFERROR(AY137+(AY129-AY130)*(AY138-AY137)/(AY131-AY130),AY137)</f>
        <v>0</v>
      </c>
    </row>
    <row r="141" spans="1:55" ht="14.25" customHeight="1" x14ac:dyDescent="0.3">
      <c r="B141" s="139" t="s">
        <v>186</v>
      </c>
      <c r="C141" s="140">
        <f ca="1">IFERROR(C139+(C132-C133)*(C140-C139)/(C134-C133),C139)</f>
        <v>108.77</v>
      </c>
      <c r="G141" s="2"/>
      <c r="H141" s="2"/>
      <c r="I141" s="2"/>
      <c r="J141" s="139" t="s">
        <v>186</v>
      </c>
      <c r="K141" s="140">
        <f ca="1">IFERROR(K139+(K132-K133)*(K140-K139)/(K134-K133),K139)</f>
        <v>107</v>
      </c>
      <c r="O141" s="2"/>
      <c r="P141" s="2"/>
      <c r="Q141" s="2"/>
      <c r="R141" s="139" t="s">
        <v>186</v>
      </c>
      <c r="S141" s="140">
        <f ca="1">IFERROR(S139+(S132-S133)*(S140-S139)/(S134-S133),S139)</f>
        <v>104</v>
      </c>
      <c r="W141" s="2"/>
      <c r="X141" s="2"/>
      <c r="Y141" s="2"/>
      <c r="Z141" s="139" t="s">
        <v>186</v>
      </c>
      <c r="AA141" s="140">
        <f ca="1">IFERROR(AA139+(AA132-AA133)*(AA140-AA139)/(AA134-AA133),AA139)</f>
        <v>102</v>
      </c>
      <c r="AE141" s="2"/>
      <c r="AF141" s="2"/>
      <c r="AG141" s="2"/>
      <c r="AH141" s="139" t="s">
        <v>186</v>
      </c>
      <c r="AI141" s="140">
        <f ca="1">IFERROR(AI139+(AI132-AI133)*(AI140-AI139)/(AI134-AI133),AI139)</f>
        <v>102</v>
      </c>
      <c r="AM141" s="2"/>
      <c r="AN141" s="2"/>
      <c r="AO141" s="2"/>
      <c r="AP141" s="139" t="s">
        <v>186</v>
      </c>
      <c r="AQ141" s="140">
        <f ca="1">IFERROR(AQ139+(AQ132-AQ133)*(AQ140-AQ139)/(AQ134-AQ133),AQ139)</f>
        <v>102</v>
      </c>
      <c r="AU141" s="2"/>
      <c r="AV141" s="2"/>
      <c r="AW141" s="2"/>
      <c r="AX141" s="139" t="s">
        <v>186</v>
      </c>
      <c r="AY141" s="140">
        <f ca="1">IFERROR(AY139+(AY132-AY133)*(AY140-AY139)/(AY134-AY133),AY139)</f>
        <v>0</v>
      </c>
    </row>
    <row r="142" spans="1:55" ht="14.25" customHeight="1" x14ac:dyDescent="0.3">
      <c r="A142" s="266" t="s">
        <v>187</v>
      </c>
      <c r="B142" s="139"/>
      <c r="C142" s="140"/>
      <c r="G142" s="2"/>
      <c r="H142" s="2"/>
      <c r="I142" s="2"/>
      <c r="J142" s="139"/>
      <c r="K142" s="140"/>
      <c r="O142" s="2"/>
      <c r="P142" s="2"/>
      <c r="Q142" s="2"/>
      <c r="R142" s="139"/>
      <c r="S142" s="140"/>
      <c r="W142" s="2"/>
      <c r="X142" s="2"/>
      <c r="Y142" s="2"/>
      <c r="Z142" s="139"/>
      <c r="AA142" s="140"/>
      <c r="AE142" s="2"/>
      <c r="AF142" s="2"/>
      <c r="AG142" s="2"/>
      <c r="AH142" s="139"/>
      <c r="AI142" s="140"/>
      <c r="AM142" s="2"/>
      <c r="AN142" s="2"/>
      <c r="AO142" s="2"/>
      <c r="AP142" s="139"/>
      <c r="AQ142" s="140"/>
      <c r="AU142" s="2"/>
      <c r="AV142" s="2"/>
      <c r="AW142" s="2"/>
      <c r="AX142" s="139"/>
      <c r="AY142" s="140"/>
    </row>
    <row r="143" spans="1:55" ht="14.25" customHeight="1" x14ac:dyDescent="0.3">
      <c r="A143" s="356" t="s">
        <v>215</v>
      </c>
      <c r="B143" s="356"/>
      <c r="C143" s="356"/>
      <c r="D143" s="356"/>
      <c r="E143" s="356"/>
      <c r="F143" s="356"/>
      <c r="G143" s="356"/>
      <c r="H143" s="131"/>
      <c r="I143" s="356" t="s">
        <v>215</v>
      </c>
      <c r="J143" s="356"/>
      <c r="K143" s="356"/>
      <c r="L143" s="356"/>
      <c r="M143" s="356"/>
      <c r="N143" s="356"/>
      <c r="O143" s="356"/>
      <c r="P143" s="131"/>
      <c r="Q143" s="356" t="s">
        <v>215</v>
      </c>
      <c r="R143" s="356"/>
      <c r="S143" s="356"/>
      <c r="T143" s="356"/>
      <c r="U143" s="356"/>
      <c r="V143" s="356"/>
      <c r="W143" s="356"/>
      <c r="X143" s="131"/>
      <c r="Y143" s="356" t="s">
        <v>215</v>
      </c>
      <c r="Z143" s="356"/>
      <c r="AA143" s="356"/>
      <c r="AB143" s="356"/>
      <c r="AC143" s="356"/>
      <c r="AD143" s="356"/>
      <c r="AE143" s="356"/>
      <c r="AF143" s="131"/>
      <c r="AG143" s="356" t="s">
        <v>215</v>
      </c>
      <c r="AH143" s="356"/>
      <c r="AI143" s="356"/>
      <c r="AJ143" s="356"/>
      <c r="AK143" s="356"/>
      <c r="AL143" s="356"/>
      <c r="AM143" s="356"/>
      <c r="AN143" s="131"/>
      <c r="AO143" s="356" t="s">
        <v>215</v>
      </c>
      <c r="AP143" s="356"/>
      <c r="AQ143" s="356"/>
      <c r="AR143" s="356"/>
      <c r="AS143" s="356"/>
      <c r="AT143" s="356"/>
      <c r="AU143" s="356"/>
      <c r="AV143" s="240"/>
      <c r="AW143" s="356" t="s">
        <v>215</v>
      </c>
      <c r="AX143" s="356"/>
      <c r="AY143" s="356"/>
      <c r="AZ143" s="356"/>
      <c r="BA143" s="356"/>
      <c r="BB143" s="356"/>
      <c r="BC143" s="356"/>
    </row>
    <row r="144" spans="1:55" ht="14.25" customHeight="1" x14ac:dyDescent="0.3">
      <c r="A144" s="406" t="s">
        <v>216</v>
      </c>
      <c r="B144" s="406"/>
      <c r="C144" s="406"/>
      <c r="D144" s="406"/>
      <c r="E144" s="406"/>
      <c r="F144" s="406"/>
      <c r="G144" s="406"/>
      <c r="H144" s="131"/>
      <c r="I144" s="406" t="s">
        <v>216</v>
      </c>
      <c r="J144" s="406"/>
      <c r="K144" s="406"/>
      <c r="L144" s="406"/>
      <c r="M144" s="406"/>
      <c r="N144" s="406"/>
      <c r="O144" s="406"/>
      <c r="P144" s="228"/>
      <c r="Q144" s="406" t="s">
        <v>216</v>
      </c>
      <c r="R144" s="406"/>
      <c r="S144" s="406"/>
      <c r="T144" s="406"/>
      <c r="U144" s="406"/>
      <c r="V144" s="406"/>
      <c r="W144" s="406"/>
      <c r="X144" s="131"/>
      <c r="Y144" s="406" t="s">
        <v>216</v>
      </c>
      <c r="Z144" s="406"/>
      <c r="AA144" s="406"/>
      <c r="AB144" s="406"/>
      <c r="AC144" s="406"/>
      <c r="AD144" s="406"/>
      <c r="AE144" s="406"/>
      <c r="AF144" s="131"/>
      <c r="AG144" s="406" t="s">
        <v>216</v>
      </c>
      <c r="AH144" s="406"/>
      <c r="AI144" s="406"/>
      <c r="AJ144" s="406"/>
      <c r="AK144" s="406"/>
      <c r="AL144" s="406"/>
      <c r="AM144" s="406"/>
      <c r="AN144" s="131"/>
      <c r="AO144" s="406" t="s">
        <v>216</v>
      </c>
      <c r="AP144" s="406"/>
      <c r="AQ144" s="406"/>
      <c r="AR144" s="406"/>
      <c r="AS144" s="406"/>
      <c r="AT144" s="406"/>
      <c r="AU144" s="406"/>
      <c r="AV144" s="241"/>
      <c r="AW144" s="406" t="s">
        <v>216</v>
      </c>
      <c r="AX144" s="406"/>
      <c r="AY144" s="406"/>
      <c r="AZ144" s="406"/>
      <c r="BA144" s="406"/>
      <c r="BB144" s="406"/>
      <c r="BC144" s="406"/>
    </row>
    <row r="145" spans="1:55" ht="14.25" customHeight="1" x14ac:dyDescent="0.3">
      <c r="A145" s="2"/>
      <c r="B145" s="2"/>
      <c r="C145" s="51">
        <v>16600</v>
      </c>
      <c r="D145" s="53" t="s">
        <v>29</v>
      </c>
      <c r="E145" s="2"/>
      <c r="F145" s="2"/>
      <c r="G145" s="2"/>
      <c r="H145" s="2"/>
      <c r="I145" s="2"/>
      <c r="J145" s="2"/>
      <c r="K145" s="51">
        <v>16000</v>
      </c>
      <c r="L145" s="53" t="s">
        <v>29</v>
      </c>
      <c r="M145" s="2"/>
      <c r="N145" s="2"/>
      <c r="O145" s="2"/>
      <c r="P145" s="2"/>
      <c r="Q145" s="2"/>
      <c r="R145" s="2"/>
      <c r="S145" s="51">
        <v>15000</v>
      </c>
      <c r="T145" s="53" t="s">
        <v>29</v>
      </c>
      <c r="U145" s="2"/>
      <c r="V145" s="2"/>
      <c r="W145" s="2"/>
      <c r="X145" s="2"/>
      <c r="Y145" s="2"/>
      <c r="Z145" s="2"/>
      <c r="AA145" s="51">
        <v>14000</v>
      </c>
      <c r="AB145" s="53" t="s">
        <v>29</v>
      </c>
      <c r="AC145" s="2"/>
      <c r="AD145" s="2"/>
      <c r="AE145" s="2"/>
      <c r="AF145" s="2"/>
      <c r="AG145" s="2"/>
      <c r="AH145" s="2"/>
      <c r="AI145" s="51">
        <v>13000</v>
      </c>
      <c r="AJ145" s="53" t="s">
        <v>29</v>
      </c>
      <c r="AK145" s="2"/>
      <c r="AL145" s="2"/>
      <c r="AM145" s="2"/>
      <c r="AN145" s="2"/>
      <c r="AO145" s="2"/>
      <c r="AP145" s="2"/>
      <c r="AQ145" s="51">
        <v>12000</v>
      </c>
      <c r="AR145" s="53" t="s">
        <v>29</v>
      </c>
      <c r="AS145" s="2"/>
      <c r="AT145" s="2"/>
      <c r="AU145" s="2"/>
      <c r="AV145" s="242"/>
      <c r="AW145" s="2"/>
      <c r="AX145" s="2"/>
      <c r="AY145" s="51">
        <v>13000</v>
      </c>
      <c r="AZ145" s="53" t="s">
        <v>29</v>
      </c>
      <c r="BA145" s="2"/>
      <c r="BB145" s="2"/>
      <c r="BC145" s="2"/>
    </row>
    <row r="146" spans="1:55" ht="14.25" customHeight="1" x14ac:dyDescent="0.3">
      <c r="A146" s="412" t="s">
        <v>217</v>
      </c>
      <c r="B146" s="412"/>
      <c r="C146" s="413" t="s">
        <v>218</v>
      </c>
      <c r="D146" s="413"/>
      <c r="E146" s="413"/>
      <c r="F146" s="413"/>
      <c r="G146" s="413"/>
      <c r="H146" s="228"/>
      <c r="I146" s="412" t="s">
        <v>217</v>
      </c>
      <c r="J146" s="412"/>
      <c r="K146" s="413" t="s">
        <v>218</v>
      </c>
      <c r="L146" s="413"/>
      <c r="M146" s="413"/>
      <c r="N146" s="413"/>
      <c r="O146" s="413"/>
      <c r="P146" s="243"/>
      <c r="Q146" s="412" t="s">
        <v>217</v>
      </c>
      <c r="R146" s="412"/>
      <c r="S146" s="413" t="s">
        <v>218</v>
      </c>
      <c r="T146" s="413"/>
      <c r="U146" s="413"/>
      <c r="V146" s="413"/>
      <c r="W146" s="413"/>
      <c r="X146" s="228"/>
      <c r="Y146" s="412" t="s">
        <v>217</v>
      </c>
      <c r="Z146" s="412"/>
      <c r="AA146" s="413" t="s">
        <v>218</v>
      </c>
      <c r="AB146" s="413"/>
      <c r="AC146" s="413"/>
      <c r="AD146" s="413"/>
      <c r="AE146" s="413"/>
      <c r="AF146" s="228"/>
      <c r="AG146" s="412" t="s">
        <v>217</v>
      </c>
      <c r="AH146" s="412"/>
      <c r="AI146" s="413" t="s">
        <v>218</v>
      </c>
      <c r="AJ146" s="413"/>
      <c r="AK146" s="413"/>
      <c r="AL146" s="413"/>
      <c r="AM146" s="413"/>
      <c r="AN146" s="228"/>
      <c r="AO146" s="412" t="s">
        <v>217</v>
      </c>
      <c r="AP146" s="412"/>
      <c r="AQ146" s="413" t="s">
        <v>218</v>
      </c>
      <c r="AR146" s="413"/>
      <c r="AS146" s="413"/>
      <c r="AT146" s="413"/>
      <c r="AU146" s="413"/>
      <c r="AV146" s="244"/>
      <c r="AW146" s="412" t="s">
        <v>217</v>
      </c>
      <c r="AX146" s="412"/>
      <c r="AY146" s="413" t="s">
        <v>218</v>
      </c>
      <c r="AZ146" s="413"/>
      <c r="BA146" s="413"/>
      <c r="BB146" s="413"/>
      <c r="BC146" s="413"/>
    </row>
    <row r="147" spans="1:55" ht="14.25" customHeight="1" x14ac:dyDescent="0.3">
      <c r="A147" s="412"/>
      <c r="B147" s="412"/>
      <c r="C147" s="413"/>
      <c r="D147" s="413"/>
      <c r="E147" s="413"/>
      <c r="F147" s="413"/>
      <c r="G147" s="413"/>
      <c r="H147" s="228"/>
      <c r="I147" s="412"/>
      <c r="J147" s="412"/>
      <c r="K147" s="413"/>
      <c r="L147" s="413"/>
      <c r="M147" s="413"/>
      <c r="N147" s="413"/>
      <c r="O147" s="413"/>
      <c r="P147" s="243"/>
      <c r="Q147" s="412"/>
      <c r="R147" s="412"/>
      <c r="S147" s="413"/>
      <c r="T147" s="413"/>
      <c r="U147" s="413"/>
      <c r="V147" s="413"/>
      <c r="W147" s="413"/>
      <c r="X147" s="228"/>
      <c r="Y147" s="412"/>
      <c r="Z147" s="412"/>
      <c r="AA147" s="413"/>
      <c r="AB147" s="413"/>
      <c r="AC147" s="413"/>
      <c r="AD147" s="413"/>
      <c r="AE147" s="413"/>
      <c r="AF147" s="228"/>
      <c r="AG147" s="412"/>
      <c r="AH147" s="412"/>
      <c r="AI147" s="413"/>
      <c r="AJ147" s="413"/>
      <c r="AK147" s="413"/>
      <c r="AL147" s="413"/>
      <c r="AM147" s="413"/>
      <c r="AN147" s="228"/>
      <c r="AO147" s="412"/>
      <c r="AP147" s="412"/>
      <c r="AQ147" s="413"/>
      <c r="AR147" s="413"/>
      <c r="AS147" s="413"/>
      <c r="AT147" s="413"/>
      <c r="AU147" s="413"/>
      <c r="AV147" s="244"/>
      <c r="AW147" s="412"/>
      <c r="AX147" s="412"/>
      <c r="AY147" s="413"/>
      <c r="AZ147" s="413"/>
      <c r="BA147" s="413"/>
      <c r="BB147" s="413"/>
      <c r="BC147" s="413"/>
    </row>
    <row r="148" spans="1:55" ht="14.25" customHeight="1" x14ac:dyDescent="0.3">
      <c r="A148" s="410" t="s">
        <v>10</v>
      </c>
      <c r="B148" s="410"/>
      <c r="C148" s="245">
        <v>0</v>
      </c>
      <c r="D148" s="246">
        <v>1000</v>
      </c>
      <c r="E148" s="246">
        <v>2000</v>
      </c>
      <c r="F148" s="247">
        <v>3000</v>
      </c>
      <c r="G148" s="247">
        <v>4000</v>
      </c>
      <c r="H148" s="243"/>
      <c r="I148" s="410" t="s">
        <v>10</v>
      </c>
      <c r="J148" s="410"/>
      <c r="K148" s="245">
        <v>0</v>
      </c>
      <c r="L148" s="246">
        <v>1000</v>
      </c>
      <c r="M148" s="246">
        <v>2000</v>
      </c>
      <c r="N148" s="247">
        <v>3000</v>
      </c>
      <c r="O148" s="247">
        <v>4000</v>
      </c>
      <c r="P148" s="243"/>
      <c r="Q148" s="410" t="s">
        <v>10</v>
      </c>
      <c r="R148" s="410"/>
      <c r="S148" s="245">
        <v>0</v>
      </c>
      <c r="T148" s="246">
        <v>1000</v>
      </c>
      <c r="U148" s="246">
        <v>2000</v>
      </c>
      <c r="V148" s="247">
        <v>3000</v>
      </c>
      <c r="W148" s="247">
        <v>4000</v>
      </c>
      <c r="X148" s="243"/>
      <c r="Y148" s="410" t="s">
        <v>10</v>
      </c>
      <c r="Z148" s="410"/>
      <c r="AA148" s="245">
        <v>0</v>
      </c>
      <c r="AB148" s="246">
        <v>1000</v>
      </c>
      <c r="AC148" s="246">
        <v>2000</v>
      </c>
      <c r="AD148" s="247">
        <v>3000</v>
      </c>
      <c r="AE148" s="247">
        <v>4000</v>
      </c>
      <c r="AF148" s="243"/>
      <c r="AG148" s="410" t="s">
        <v>10</v>
      </c>
      <c r="AH148" s="410"/>
      <c r="AI148" s="245">
        <v>0</v>
      </c>
      <c r="AJ148" s="246">
        <v>1000</v>
      </c>
      <c r="AK148" s="246">
        <v>2000</v>
      </c>
      <c r="AL148" s="247">
        <v>3000</v>
      </c>
      <c r="AM148" s="247">
        <v>4000</v>
      </c>
      <c r="AN148" s="243"/>
      <c r="AO148" s="410" t="s">
        <v>10</v>
      </c>
      <c r="AP148" s="410"/>
      <c r="AQ148" s="245">
        <v>0</v>
      </c>
      <c r="AR148" s="246">
        <v>1000</v>
      </c>
      <c r="AS148" s="246">
        <v>2000</v>
      </c>
      <c r="AT148" s="247">
        <v>3000</v>
      </c>
      <c r="AU148" s="247">
        <v>4000</v>
      </c>
      <c r="AV148" s="244"/>
      <c r="AW148" s="410" t="s">
        <v>10</v>
      </c>
      <c r="AX148" s="410"/>
      <c r="AY148" s="245">
        <v>0</v>
      </c>
      <c r="AZ148" s="246">
        <v>1000</v>
      </c>
      <c r="BA148" s="246">
        <v>2000</v>
      </c>
      <c r="BB148" s="247">
        <v>3000</v>
      </c>
      <c r="BC148" s="247">
        <v>4000</v>
      </c>
    </row>
    <row r="149" spans="1:55" ht="14.25" customHeight="1" x14ac:dyDescent="0.3">
      <c r="A149" s="411">
        <v>-30</v>
      </c>
      <c r="B149" s="411"/>
      <c r="C149" s="248">
        <v>114</v>
      </c>
      <c r="D149" s="248">
        <v>114</v>
      </c>
      <c r="E149" s="248">
        <v>114</v>
      </c>
      <c r="F149" s="248">
        <v>114</v>
      </c>
      <c r="G149" s="250">
        <v>99999</v>
      </c>
      <c r="H149" s="2"/>
      <c r="I149" s="411">
        <v>-30</v>
      </c>
      <c r="J149" s="411"/>
      <c r="K149" s="251">
        <v>112</v>
      </c>
      <c r="L149" s="251">
        <v>112</v>
      </c>
      <c r="M149" s="251">
        <v>112</v>
      </c>
      <c r="N149" s="251">
        <v>112</v>
      </c>
      <c r="O149" s="250">
        <v>99999</v>
      </c>
      <c r="P149" s="42"/>
      <c r="Q149" s="411">
        <v>-30</v>
      </c>
      <c r="R149" s="411"/>
      <c r="S149" s="251">
        <v>108</v>
      </c>
      <c r="T149" s="251">
        <v>109</v>
      </c>
      <c r="U149" s="251">
        <v>109</v>
      </c>
      <c r="V149" s="251">
        <v>109</v>
      </c>
      <c r="W149" s="250">
        <v>99999</v>
      </c>
      <c r="X149" s="2"/>
      <c r="Y149" s="411">
        <v>-30</v>
      </c>
      <c r="Z149" s="411"/>
      <c r="AA149" s="251">
        <v>105</v>
      </c>
      <c r="AB149" s="251">
        <v>105</v>
      </c>
      <c r="AC149" s="251">
        <v>105</v>
      </c>
      <c r="AD149" s="251">
        <v>106</v>
      </c>
      <c r="AE149" s="250">
        <v>99999</v>
      </c>
      <c r="AF149" s="2"/>
      <c r="AG149" s="411">
        <v>-30</v>
      </c>
      <c r="AH149" s="411"/>
      <c r="AI149" s="251">
        <v>102</v>
      </c>
      <c r="AJ149" s="251">
        <v>102</v>
      </c>
      <c r="AK149" s="251">
        <v>102</v>
      </c>
      <c r="AL149" s="251">
        <v>102</v>
      </c>
      <c r="AM149" s="250">
        <v>99999</v>
      </c>
      <c r="AN149" s="2"/>
      <c r="AO149" s="411">
        <v>-30</v>
      </c>
      <c r="AP149" s="411"/>
      <c r="AQ149" s="251">
        <v>102</v>
      </c>
      <c r="AR149" s="251">
        <v>102</v>
      </c>
      <c r="AS149" s="251">
        <v>102</v>
      </c>
      <c r="AT149" s="251">
        <v>102</v>
      </c>
      <c r="AU149" s="250">
        <v>99999</v>
      </c>
      <c r="AV149" s="252"/>
      <c r="AW149" s="408">
        <v>0</v>
      </c>
      <c r="AX149" s="408"/>
      <c r="AY149" s="251"/>
      <c r="AZ149" s="251"/>
      <c r="BA149" s="251"/>
      <c r="BB149" s="250"/>
      <c r="BC149" s="250">
        <v>99999</v>
      </c>
    </row>
    <row r="150" spans="1:55" ht="14.25" customHeight="1" x14ac:dyDescent="0.3">
      <c r="A150" s="408">
        <v>-25</v>
      </c>
      <c r="B150" s="408"/>
      <c r="C150" s="248">
        <v>114</v>
      </c>
      <c r="D150" s="248">
        <v>114</v>
      </c>
      <c r="E150" s="248">
        <v>114</v>
      </c>
      <c r="F150" s="248">
        <v>114</v>
      </c>
      <c r="G150" s="250">
        <v>99999</v>
      </c>
      <c r="H150" s="2"/>
      <c r="I150" s="408">
        <v>-25</v>
      </c>
      <c r="J150" s="408"/>
      <c r="K150" s="251">
        <v>112</v>
      </c>
      <c r="L150" s="251">
        <v>112</v>
      </c>
      <c r="M150" s="251">
        <v>112</v>
      </c>
      <c r="N150" s="251">
        <v>112</v>
      </c>
      <c r="O150" s="250">
        <v>99999</v>
      </c>
      <c r="P150" s="42"/>
      <c r="Q150" s="408">
        <v>-25</v>
      </c>
      <c r="R150" s="408"/>
      <c r="S150" s="251">
        <v>109</v>
      </c>
      <c r="T150" s="251">
        <v>109</v>
      </c>
      <c r="U150" s="251">
        <v>109</v>
      </c>
      <c r="V150" s="251">
        <v>109</v>
      </c>
      <c r="W150" s="250">
        <v>99999</v>
      </c>
      <c r="X150" s="2"/>
      <c r="Y150" s="408">
        <v>-25</v>
      </c>
      <c r="Z150" s="408"/>
      <c r="AA150" s="251">
        <v>105</v>
      </c>
      <c r="AB150" s="251">
        <v>105</v>
      </c>
      <c r="AC150" s="251">
        <v>105</v>
      </c>
      <c r="AD150" s="251">
        <v>106</v>
      </c>
      <c r="AE150" s="250">
        <v>99999</v>
      </c>
      <c r="AF150" s="2"/>
      <c r="AG150" s="408">
        <v>-25</v>
      </c>
      <c r="AH150" s="408"/>
      <c r="AI150" s="251">
        <v>102</v>
      </c>
      <c r="AJ150" s="251">
        <v>102</v>
      </c>
      <c r="AK150" s="251">
        <v>102</v>
      </c>
      <c r="AL150" s="251">
        <v>102</v>
      </c>
      <c r="AM150" s="250">
        <v>99999</v>
      </c>
      <c r="AN150" s="2"/>
      <c r="AO150" s="408">
        <v>-25</v>
      </c>
      <c r="AP150" s="408"/>
      <c r="AQ150" s="251">
        <v>102</v>
      </c>
      <c r="AR150" s="251">
        <v>102</v>
      </c>
      <c r="AS150" s="251">
        <v>102</v>
      </c>
      <c r="AT150" s="251">
        <v>102</v>
      </c>
      <c r="AU150" s="250">
        <v>99999</v>
      </c>
      <c r="AV150" s="252"/>
      <c r="AW150" s="408">
        <v>10</v>
      </c>
      <c r="AX150" s="408"/>
      <c r="AY150" s="251"/>
      <c r="AZ150" s="251"/>
      <c r="BA150" s="251"/>
      <c r="BB150" s="250"/>
      <c r="BC150" s="250">
        <v>99999</v>
      </c>
    </row>
    <row r="151" spans="1:55" ht="14.25" customHeight="1" x14ac:dyDescent="0.3">
      <c r="A151" s="408">
        <v>-20</v>
      </c>
      <c r="B151" s="408"/>
      <c r="C151" s="248">
        <v>114</v>
      </c>
      <c r="D151" s="248">
        <v>114</v>
      </c>
      <c r="E151" s="248">
        <v>114</v>
      </c>
      <c r="F151" s="248">
        <v>114</v>
      </c>
      <c r="G151" s="250">
        <v>99999</v>
      </c>
      <c r="H151" s="2"/>
      <c r="I151" s="408">
        <v>-20</v>
      </c>
      <c r="J151" s="408"/>
      <c r="K151" s="251">
        <v>112</v>
      </c>
      <c r="L151" s="251">
        <v>112</v>
      </c>
      <c r="M151" s="251">
        <v>112</v>
      </c>
      <c r="N151" s="251">
        <v>112</v>
      </c>
      <c r="O151" s="250">
        <v>99999</v>
      </c>
      <c r="P151" s="42"/>
      <c r="Q151" s="408">
        <v>-20</v>
      </c>
      <c r="R151" s="408"/>
      <c r="S151" s="251">
        <v>109</v>
      </c>
      <c r="T151" s="251">
        <v>109</v>
      </c>
      <c r="U151" s="251">
        <v>109</v>
      </c>
      <c r="V151" s="251">
        <v>109</v>
      </c>
      <c r="W151" s="250">
        <v>99999</v>
      </c>
      <c r="X151" s="2"/>
      <c r="Y151" s="408">
        <v>-20</v>
      </c>
      <c r="Z151" s="408"/>
      <c r="AA151" s="251">
        <v>105</v>
      </c>
      <c r="AB151" s="251">
        <v>105</v>
      </c>
      <c r="AC151" s="251">
        <v>106</v>
      </c>
      <c r="AD151" s="251">
        <v>106</v>
      </c>
      <c r="AE151" s="250">
        <v>99999</v>
      </c>
      <c r="AF151" s="2"/>
      <c r="AG151" s="408">
        <v>-20</v>
      </c>
      <c r="AH151" s="408"/>
      <c r="AI151" s="251">
        <v>102</v>
      </c>
      <c r="AJ151" s="251">
        <v>102</v>
      </c>
      <c r="AK151" s="251">
        <v>102</v>
      </c>
      <c r="AL151" s="251">
        <v>102</v>
      </c>
      <c r="AM151" s="250">
        <v>99999</v>
      </c>
      <c r="AN151" s="2"/>
      <c r="AO151" s="408">
        <v>-20</v>
      </c>
      <c r="AP151" s="408"/>
      <c r="AQ151" s="251">
        <v>102</v>
      </c>
      <c r="AR151" s="251">
        <v>102</v>
      </c>
      <c r="AS151" s="251">
        <v>102</v>
      </c>
      <c r="AT151" s="251">
        <v>102</v>
      </c>
      <c r="AU151" s="250">
        <v>99999</v>
      </c>
      <c r="AV151" s="252"/>
      <c r="AW151" s="253"/>
      <c r="AX151" s="254"/>
      <c r="AY151" s="251"/>
      <c r="AZ151" s="251"/>
      <c r="BA151" s="251"/>
      <c r="BB151" s="250"/>
      <c r="BC151" s="250">
        <v>99999</v>
      </c>
    </row>
    <row r="152" spans="1:55" ht="14.25" customHeight="1" x14ac:dyDescent="0.3">
      <c r="A152" s="408">
        <v>-15</v>
      </c>
      <c r="B152" s="408"/>
      <c r="C152" s="248">
        <v>114</v>
      </c>
      <c r="D152" s="248">
        <v>114</v>
      </c>
      <c r="E152" s="248">
        <v>114</v>
      </c>
      <c r="F152" s="248">
        <v>114</v>
      </c>
      <c r="G152" s="250">
        <v>99999</v>
      </c>
      <c r="H152" s="2"/>
      <c r="I152" s="408">
        <v>-15</v>
      </c>
      <c r="J152" s="408"/>
      <c r="K152" s="251">
        <v>112</v>
      </c>
      <c r="L152" s="251">
        <v>112</v>
      </c>
      <c r="M152" s="251">
        <v>112</v>
      </c>
      <c r="N152" s="251">
        <v>113</v>
      </c>
      <c r="O152" s="250">
        <v>99999</v>
      </c>
      <c r="P152" s="42"/>
      <c r="Q152" s="408">
        <v>-15</v>
      </c>
      <c r="R152" s="408"/>
      <c r="S152" s="251">
        <v>109</v>
      </c>
      <c r="T152" s="251">
        <v>109</v>
      </c>
      <c r="U152" s="251">
        <v>109</v>
      </c>
      <c r="V152" s="251">
        <v>109</v>
      </c>
      <c r="W152" s="250">
        <v>99999</v>
      </c>
      <c r="X152" s="2"/>
      <c r="Y152" s="408">
        <v>-15</v>
      </c>
      <c r="Z152" s="408"/>
      <c r="AA152" s="251">
        <v>105</v>
      </c>
      <c r="AB152" s="251">
        <v>105</v>
      </c>
      <c r="AC152" s="251">
        <v>106</v>
      </c>
      <c r="AD152" s="251">
        <v>106</v>
      </c>
      <c r="AE152" s="250">
        <v>99999</v>
      </c>
      <c r="AF152" s="2"/>
      <c r="AG152" s="408">
        <v>-15</v>
      </c>
      <c r="AH152" s="408"/>
      <c r="AI152" s="251">
        <v>102</v>
      </c>
      <c r="AJ152" s="251">
        <v>102</v>
      </c>
      <c r="AK152" s="251">
        <v>102</v>
      </c>
      <c r="AL152" s="251">
        <v>102</v>
      </c>
      <c r="AM152" s="250">
        <v>99999</v>
      </c>
      <c r="AN152" s="2"/>
      <c r="AO152" s="408">
        <v>-15</v>
      </c>
      <c r="AP152" s="408"/>
      <c r="AQ152" s="251">
        <v>102</v>
      </c>
      <c r="AR152" s="251">
        <v>102</v>
      </c>
      <c r="AS152" s="251">
        <v>102</v>
      </c>
      <c r="AT152" s="251">
        <v>102</v>
      </c>
      <c r="AU152" s="250">
        <v>99999</v>
      </c>
      <c r="AV152" s="252"/>
      <c r="AW152" s="253"/>
      <c r="AX152" s="254"/>
      <c r="AY152" s="251"/>
      <c r="AZ152" s="251"/>
      <c r="BA152" s="251"/>
      <c r="BB152" s="250"/>
      <c r="BC152" s="250">
        <v>99999</v>
      </c>
    </row>
    <row r="153" spans="1:55" ht="14.25" customHeight="1" x14ac:dyDescent="0.3">
      <c r="A153" s="408">
        <v>-10</v>
      </c>
      <c r="B153" s="408"/>
      <c r="C153" s="248">
        <v>114</v>
      </c>
      <c r="D153" s="248">
        <v>114</v>
      </c>
      <c r="E153" s="248">
        <v>114</v>
      </c>
      <c r="F153" s="250">
        <v>115</v>
      </c>
      <c r="G153" s="250">
        <v>99999</v>
      </c>
      <c r="H153" s="2"/>
      <c r="I153" s="408">
        <v>-10</v>
      </c>
      <c r="J153" s="408"/>
      <c r="K153" s="251">
        <v>112</v>
      </c>
      <c r="L153" s="251">
        <v>112</v>
      </c>
      <c r="M153" s="251">
        <v>112</v>
      </c>
      <c r="N153" s="251">
        <v>113</v>
      </c>
      <c r="O153" s="250">
        <v>99999</v>
      </c>
      <c r="P153" s="42"/>
      <c r="Q153" s="408">
        <v>-10</v>
      </c>
      <c r="R153" s="408"/>
      <c r="S153" s="251">
        <v>109</v>
      </c>
      <c r="T153" s="251">
        <v>109</v>
      </c>
      <c r="U153" s="251">
        <v>109</v>
      </c>
      <c r="V153" s="251">
        <v>109</v>
      </c>
      <c r="W153" s="250">
        <v>99999</v>
      </c>
      <c r="X153" s="2"/>
      <c r="Y153" s="408">
        <v>-10</v>
      </c>
      <c r="Z153" s="408"/>
      <c r="AA153" s="251">
        <v>105</v>
      </c>
      <c r="AB153" s="251">
        <v>106</v>
      </c>
      <c r="AC153" s="251">
        <v>106</v>
      </c>
      <c r="AD153" s="251">
        <v>106</v>
      </c>
      <c r="AE153" s="250">
        <v>99999</v>
      </c>
      <c r="AF153" s="2"/>
      <c r="AG153" s="408">
        <v>-10</v>
      </c>
      <c r="AH153" s="408"/>
      <c r="AI153" s="251">
        <v>102</v>
      </c>
      <c r="AJ153" s="251">
        <v>102</v>
      </c>
      <c r="AK153" s="251">
        <v>102</v>
      </c>
      <c r="AL153" s="251">
        <v>102</v>
      </c>
      <c r="AM153" s="250">
        <v>99999</v>
      </c>
      <c r="AN153" s="2"/>
      <c r="AO153" s="408">
        <v>-10</v>
      </c>
      <c r="AP153" s="408"/>
      <c r="AQ153" s="251">
        <v>102</v>
      </c>
      <c r="AR153" s="251">
        <v>102</v>
      </c>
      <c r="AS153" s="251">
        <v>102</v>
      </c>
      <c r="AT153" s="251">
        <v>102</v>
      </c>
      <c r="AU153" s="250">
        <v>99999</v>
      </c>
      <c r="AV153" s="252"/>
      <c r="AW153" s="253"/>
      <c r="AX153" s="254"/>
      <c r="AY153" s="251"/>
      <c r="AZ153" s="251"/>
      <c r="BA153" s="251"/>
      <c r="BB153" s="250"/>
      <c r="BC153" s="250">
        <v>99999</v>
      </c>
    </row>
    <row r="154" spans="1:55" ht="14.25" customHeight="1" x14ac:dyDescent="0.3">
      <c r="A154" s="408">
        <v>-5</v>
      </c>
      <c r="B154" s="408"/>
      <c r="C154" s="248">
        <v>114</v>
      </c>
      <c r="D154" s="248">
        <v>114</v>
      </c>
      <c r="E154" s="248">
        <v>114</v>
      </c>
      <c r="F154" s="250">
        <v>115</v>
      </c>
      <c r="G154" s="250">
        <v>99999</v>
      </c>
      <c r="H154" s="2"/>
      <c r="I154" s="408">
        <v>-5</v>
      </c>
      <c r="J154" s="408"/>
      <c r="K154" s="251">
        <v>112</v>
      </c>
      <c r="L154" s="251">
        <v>112</v>
      </c>
      <c r="M154" s="251">
        <v>113</v>
      </c>
      <c r="N154" s="251">
        <v>113</v>
      </c>
      <c r="O154" s="250">
        <v>99999</v>
      </c>
      <c r="P154" s="42"/>
      <c r="Q154" s="408">
        <v>-5</v>
      </c>
      <c r="R154" s="408"/>
      <c r="S154" s="251">
        <v>109</v>
      </c>
      <c r="T154" s="251">
        <v>109</v>
      </c>
      <c r="U154" s="251">
        <v>109</v>
      </c>
      <c r="V154" s="251">
        <v>109</v>
      </c>
      <c r="W154" s="250">
        <v>99999</v>
      </c>
      <c r="X154" s="2"/>
      <c r="Y154" s="408">
        <v>-5</v>
      </c>
      <c r="Z154" s="408"/>
      <c r="AA154" s="251">
        <v>105</v>
      </c>
      <c r="AB154" s="251">
        <v>106</v>
      </c>
      <c r="AC154" s="251">
        <v>106</v>
      </c>
      <c r="AD154" s="251">
        <v>106</v>
      </c>
      <c r="AE154" s="250">
        <v>99999</v>
      </c>
      <c r="AF154" s="2"/>
      <c r="AG154" s="408">
        <v>-5</v>
      </c>
      <c r="AH154" s="408"/>
      <c r="AI154" s="251">
        <v>102</v>
      </c>
      <c r="AJ154" s="251">
        <v>102</v>
      </c>
      <c r="AK154" s="251">
        <v>102</v>
      </c>
      <c r="AL154" s="251">
        <v>103</v>
      </c>
      <c r="AM154" s="250">
        <v>99999</v>
      </c>
      <c r="AN154" s="2"/>
      <c r="AO154" s="408">
        <v>-5</v>
      </c>
      <c r="AP154" s="408"/>
      <c r="AQ154" s="251">
        <v>102</v>
      </c>
      <c r="AR154" s="251">
        <v>102</v>
      </c>
      <c r="AS154" s="251">
        <v>102</v>
      </c>
      <c r="AT154" s="251">
        <v>102</v>
      </c>
      <c r="AU154" s="250">
        <v>99999</v>
      </c>
      <c r="AV154" s="252"/>
      <c r="AW154" s="253"/>
      <c r="AX154" s="254"/>
      <c r="AY154" s="251"/>
      <c r="AZ154" s="251"/>
      <c r="BA154" s="251"/>
      <c r="BB154" s="250"/>
      <c r="BC154" s="250">
        <v>99999</v>
      </c>
    </row>
    <row r="155" spans="1:55" ht="14.25" customHeight="1" x14ac:dyDescent="0.3">
      <c r="A155" s="408">
        <v>0</v>
      </c>
      <c r="B155" s="408"/>
      <c r="C155" s="248">
        <v>114</v>
      </c>
      <c r="D155" s="248">
        <v>114</v>
      </c>
      <c r="E155" s="248">
        <v>115</v>
      </c>
      <c r="F155" s="250">
        <v>115</v>
      </c>
      <c r="G155" s="250">
        <v>99999</v>
      </c>
      <c r="H155" s="2"/>
      <c r="I155" s="408">
        <v>0</v>
      </c>
      <c r="J155" s="408"/>
      <c r="K155" s="251">
        <v>112</v>
      </c>
      <c r="L155" s="251">
        <v>112</v>
      </c>
      <c r="M155" s="251">
        <v>113</v>
      </c>
      <c r="N155" s="251">
        <v>113</v>
      </c>
      <c r="O155" s="250">
        <v>99999</v>
      </c>
      <c r="P155" s="42"/>
      <c r="Q155" s="408">
        <v>0</v>
      </c>
      <c r="R155" s="408"/>
      <c r="S155" s="251">
        <v>109</v>
      </c>
      <c r="T155" s="251">
        <v>109</v>
      </c>
      <c r="U155" s="251">
        <v>109</v>
      </c>
      <c r="V155" s="251">
        <v>109</v>
      </c>
      <c r="W155" s="250">
        <v>99999</v>
      </c>
      <c r="X155" s="2"/>
      <c r="Y155" s="408">
        <v>0</v>
      </c>
      <c r="Z155" s="408"/>
      <c r="AA155" s="251">
        <v>106</v>
      </c>
      <c r="AB155" s="251">
        <v>106</v>
      </c>
      <c r="AC155" s="251">
        <v>106</v>
      </c>
      <c r="AD155" s="251">
        <v>106</v>
      </c>
      <c r="AE155" s="250">
        <v>99999</v>
      </c>
      <c r="AF155" s="2"/>
      <c r="AG155" s="408">
        <v>0</v>
      </c>
      <c r="AH155" s="408"/>
      <c r="AI155" s="251">
        <v>102</v>
      </c>
      <c r="AJ155" s="251">
        <v>102</v>
      </c>
      <c r="AK155" s="251">
        <v>102</v>
      </c>
      <c r="AL155" s="251">
        <v>103</v>
      </c>
      <c r="AM155" s="250">
        <v>99999</v>
      </c>
      <c r="AN155" s="2"/>
      <c r="AO155" s="408">
        <v>0</v>
      </c>
      <c r="AP155" s="408"/>
      <c r="AQ155" s="251">
        <v>102</v>
      </c>
      <c r="AR155" s="251">
        <v>102</v>
      </c>
      <c r="AS155" s="251">
        <v>102</v>
      </c>
      <c r="AT155" s="251">
        <v>102</v>
      </c>
      <c r="AU155" s="250">
        <v>99999</v>
      </c>
      <c r="AV155" s="252"/>
      <c r="AW155" s="253"/>
      <c r="AX155" s="254"/>
      <c r="AY155" s="251"/>
      <c r="AZ155" s="251"/>
      <c r="BA155" s="251"/>
      <c r="BB155" s="250"/>
      <c r="BC155" s="250">
        <v>99999</v>
      </c>
    </row>
    <row r="156" spans="1:55" ht="14.25" customHeight="1" x14ac:dyDescent="0.3">
      <c r="A156" s="408">
        <v>5</v>
      </c>
      <c r="B156" s="408"/>
      <c r="C156" s="248">
        <v>114</v>
      </c>
      <c r="D156" s="248">
        <v>114</v>
      </c>
      <c r="E156" s="248">
        <v>115</v>
      </c>
      <c r="F156" s="250">
        <v>115</v>
      </c>
      <c r="G156" s="250">
        <v>99999</v>
      </c>
      <c r="H156" s="2"/>
      <c r="I156" s="408">
        <v>5</v>
      </c>
      <c r="J156" s="408"/>
      <c r="K156" s="251">
        <v>112</v>
      </c>
      <c r="L156" s="251">
        <v>113</v>
      </c>
      <c r="M156" s="251">
        <v>113</v>
      </c>
      <c r="N156" s="251">
        <v>113</v>
      </c>
      <c r="O156" s="250">
        <v>99999</v>
      </c>
      <c r="P156" s="42"/>
      <c r="Q156" s="408">
        <v>5</v>
      </c>
      <c r="R156" s="408"/>
      <c r="S156" s="251">
        <v>109</v>
      </c>
      <c r="T156" s="251">
        <v>109</v>
      </c>
      <c r="U156" s="251">
        <v>109</v>
      </c>
      <c r="V156" s="251">
        <v>110</v>
      </c>
      <c r="W156" s="250">
        <v>99999</v>
      </c>
      <c r="X156" s="2"/>
      <c r="Y156" s="408">
        <v>5</v>
      </c>
      <c r="Z156" s="408"/>
      <c r="AA156" s="251">
        <v>106</v>
      </c>
      <c r="AB156" s="251">
        <v>106</v>
      </c>
      <c r="AC156" s="251">
        <v>106</v>
      </c>
      <c r="AD156" s="251">
        <v>106</v>
      </c>
      <c r="AE156" s="250">
        <v>99999</v>
      </c>
      <c r="AF156" s="2"/>
      <c r="AG156" s="408">
        <v>5</v>
      </c>
      <c r="AH156" s="408"/>
      <c r="AI156" s="251">
        <v>102</v>
      </c>
      <c r="AJ156" s="251">
        <v>102</v>
      </c>
      <c r="AK156" s="251">
        <v>103</v>
      </c>
      <c r="AL156" s="251">
        <v>103</v>
      </c>
      <c r="AM156" s="250">
        <v>99999</v>
      </c>
      <c r="AN156" s="2"/>
      <c r="AO156" s="408">
        <v>5</v>
      </c>
      <c r="AP156" s="408"/>
      <c r="AQ156" s="251">
        <v>102</v>
      </c>
      <c r="AR156" s="251">
        <v>102</v>
      </c>
      <c r="AS156" s="251">
        <v>102</v>
      </c>
      <c r="AT156" s="251">
        <v>102</v>
      </c>
      <c r="AU156" s="250">
        <v>99999</v>
      </c>
      <c r="AV156" s="252"/>
      <c r="AW156" s="253"/>
      <c r="AX156" s="254"/>
      <c r="AY156" s="251"/>
      <c r="AZ156" s="251"/>
      <c r="BA156" s="251"/>
      <c r="BB156" s="250"/>
      <c r="BC156" s="250">
        <v>99999</v>
      </c>
    </row>
    <row r="157" spans="1:55" ht="14.25" customHeight="1" x14ac:dyDescent="0.3">
      <c r="A157" s="408">
        <v>10</v>
      </c>
      <c r="B157" s="408"/>
      <c r="C157" s="248">
        <v>114</v>
      </c>
      <c r="D157" s="248">
        <v>114</v>
      </c>
      <c r="E157" s="248">
        <v>115</v>
      </c>
      <c r="F157" s="250">
        <v>115</v>
      </c>
      <c r="G157" s="250">
        <v>99999</v>
      </c>
      <c r="H157" s="2"/>
      <c r="I157" s="408">
        <v>10</v>
      </c>
      <c r="J157" s="408"/>
      <c r="K157" s="251">
        <v>112</v>
      </c>
      <c r="L157" s="251">
        <v>113</v>
      </c>
      <c r="M157" s="251">
        <v>113</v>
      </c>
      <c r="N157" s="251">
        <v>113</v>
      </c>
      <c r="O157" s="250">
        <v>99999</v>
      </c>
      <c r="P157" s="42"/>
      <c r="Q157" s="408">
        <v>10</v>
      </c>
      <c r="R157" s="408"/>
      <c r="S157" s="251">
        <v>109</v>
      </c>
      <c r="T157" s="251">
        <v>109</v>
      </c>
      <c r="U157" s="251">
        <v>109</v>
      </c>
      <c r="V157" s="251">
        <v>110</v>
      </c>
      <c r="W157" s="250">
        <v>99999</v>
      </c>
      <c r="X157" s="2"/>
      <c r="Y157" s="408">
        <v>10</v>
      </c>
      <c r="Z157" s="408"/>
      <c r="AA157" s="251">
        <v>106</v>
      </c>
      <c r="AB157" s="251">
        <v>106</v>
      </c>
      <c r="AC157" s="251">
        <v>106</v>
      </c>
      <c r="AD157" s="251">
        <v>106</v>
      </c>
      <c r="AE157" s="250">
        <v>99999</v>
      </c>
      <c r="AF157" s="2"/>
      <c r="AG157" s="408">
        <v>10</v>
      </c>
      <c r="AH157" s="408"/>
      <c r="AI157" s="251">
        <v>102</v>
      </c>
      <c r="AJ157" s="251">
        <v>102</v>
      </c>
      <c r="AK157" s="251">
        <v>103</v>
      </c>
      <c r="AL157" s="251">
        <v>103</v>
      </c>
      <c r="AM157" s="250">
        <v>99999</v>
      </c>
      <c r="AN157" s="2"/>
      <c r="AO157" s="408">
        <v>10</v>
      </c>
      <c r="AP157" s="408"/>
      <c r="AQ157" s="251">
        <v>102</v>
      </c>
      <c r="AR157" s="251">
        <v>102</v>
      </c>
      <c r="AS157" s="251">
        <v>102</v>
      </c>
      <c r="AT157" s="251">
        <v>102</v>
      </c>
      <c r="AU157" s="250">
        <v>99999</v>
      </c>
      <c r="AV157" s="252"/>
      <c r="AW157" s="253"/>
      <c r="AX157" s="254"/>
      <c r="AY157" s="251"/>
      <c r="AZ157" s="251"/>
      <c r="BA157" s="251"/>
      <c r="BB157" s="250"/>
      <c r="BC157" s="250">
        <v>99999</v>
      </c>
    </row>
    <row r="158" spans="1:55" ht="14.25" customHeight="1" x14ac:dyDescent="0.3">
      <c r="A158" s="408">
        <v>15</v>
      </c>
      <c r="B158" s="408"/>
      <c r="C158" s="248">
        <v>114</v>
      </c>
      <c r="D158" s="248">
        <v>115</v>
      </c>
      <c r="E158" s="248">
        <v>115</v>
      </c>
      <c r="F158" s="248">
        <v>115</v>
      </c>
      <c r="G158" s="250">
        <v>99999</v>
      </c>
      <c r="H158" s="2"/>
      <c r="I158" s="408">
        <v>15</v>
      </c>
      <c r="J158" s="408"/>
      <c r="K158" s="251">
        <v>113</v>
      </c>
      <c r="L158" s="251">
        <v>113</v>
      </c>
      <c r="M158" s="251">
        <v>113</v>
      </c>
      <c r="N158" s="251">
        <v>113</v>
      </c>
      <c r="O158" s="250">
        <v>99999</v>
      </c>
      <c r="P158" s="42"/>
      <c r="Q158" s="408">
        <v>15</v>
      </c>
      <c r="R158" s="408"/>
      <c r="S158" s="251">
        <v>109</v>
      </c>
      <c r="T158" s="251">
        <v>109</v>
      </c>
      <c r="U158" s="251">
        <v>110</v>
      </c>
      <c r="V158" s="251">
        <v>110</v>
      </c>
      <c r="W158" s="250">
        <v>99999</v>
      </c>
      <c r="X158" s="2"/>
      <c r="Y158" s="408">
        <v>15</v>
      </c>
      <c r="Z158" s="408"/>
      <c r="AA158" s="251">
        <v>106</v>
      </c>
      <c r="AB158" s="251">
        <v>106</v>
      </c>
      <c r="AC158" s="251">
        <v>106</v>
      </c>
      <c r="AD158" s="251">
        <v>106</v>
      </c>
      <c r="AE158" s="250">
        <v>99999</v>
      </c>
      <c r="AF158" s="2"/>
      <c r="AG158" s="408">
        <v>15</v>
      </c>
      <c r="AH158" s="408"/>
      <c r="AI158" s="251">
        <v>102</v>
      </c>
      <c r="AJ158" s="251">
        <v>103</v>
      </c>
      <c r="AK158" s="251">
        <v>103</v>
      </c>
      <c r="AL158" s="251">
        <v>103</v>
      </c>
      <c r="AM158" s="250">
        <v>99999</v>
      </c>
      <c r="AN158" s="2"/>
      <c r="AO158" s="408">
        <v>15</v>
      </c>
      <c r="AP158" s="408"/>
      <c r="AQ158" s="251">
        <v>102</v>
      </c>
      <c r="AR158" s="251">
        <v>102</v>
      </c>
      <c r="AS158" s="251">
        <v>102</v>
      </c>
      <c r="AT158" s="251">
        <v>102</v>
      </c>
      <c r="AU158" s="250">
        <v>99999</v>
      </c>
      <c r="AV158" s="252"/>
      <c r="AW158" s="253"/>
      <c r="AX158" s="254"/>
      <c r="AY158" s="251"/>
      <c r="AZ158" s="251"/>
      <c r="BA158" s="251"/>
      <c r="BB158" s="250"/>
      <c r="BC158" s="250">
        <v>99999</v>
      </c>
    </row>
    <row r="159" spans="1:55" ht="14.25" customHeight="1" x14ac:dyDescent="0.3">
      <c r="A159" s="408">
        <v>20</v>
      </c>
      <c r="B159" s="408"/>
      <c r="C159" s="248">
        <v>114</v>
      </c>
      <c r="D159" s="248">
        <v>115</v>
      </c>
      <c r="E159" s="248">
        <v>115</v>
      </c>
      <c r="F159" s="248">
        <v>115</v>
      </c>
      <c r="G159" s="250">
        <v>99999</v>
      </c>
      <c r="H159" s="2"/>
      <c r="I159" s="408">
        <v>20</v>
      </c>
      <c r="J159" s="408"/>
      <c r="K159" s="251">
        <v>113</v>
      </c>
      <c r="L159" s="251">
        <v>113</v>
      </c>
      <c r="M159" s="251">
        <v>113</v>
      </c>
      <c r="N159" s="251">
        <v>113</v>
      </c>
      <c r="O159" s="250">
        <v>99999</v>
      </c>
      <c r="P159" s="42"/>
      <c r="Q159" s="408">
        <v>20</v>
      </c>
      <c r="R159" s="408"/>
      <c r="S159" s="251">
        <v>109</v>
      </c>
      <c r="T159" s="251">
        <v>109</v>
      </c>
      <c r="U159" s="251">
        <v>110</v>
      </c>
      <c r="V159" s="251">
        <v>110</v>
      </c>
      <c r="W159" s="250">
        <v>99999</v>
      </c>
      <c r="X159" s="2"/>
      <c r="Y159" s="408">
        <v>20</v>
      </c>
      <c r="Z159" s="408"/>
      <c r="AA159" s="251">
        <v>106</v>
      </c>
      <c r="AB159" s="251">
        <v>106</v>
      </c>
      <c r="AC159" s="251">
        <v>106</v>
      </c>
      <c r="AD159" s="251">
        <v>106</v>
      </c>
      <c r="AE159" s="250">
        <v>99999</v>
      </c>
      <c r="AF159" s="2"/>
      <c r="AG159" s="408">
        <v>20</v>
      </c>
      <c r="AH159" s="408"/>
      <c r="AI159" s="251">
        <v>102</v>
      </c>
      <c r="AJ159" s="251">
        <v>103</v>
      </c>
      <c r="AK159" s="251">
        <v>103</v>
      </c>
      <c r="AL159" s="251">
        <v>103</v>
      </c>
      <c r="AM159" s="250">
        <v>99999</v>
      </c>
      <c r="AN159" s="2"/>
      <c r="AO159" s="408">
        <v>20</v>
      </c>
      <c r="AP159" s="408"/>
      <c r="AQ159" s="251">
        <v>102</v>
      </c>
      <c r="AR159" s="251">
        <v>102</v>
      </c>
      <c r="AS159" s="251">
        <v>102</v>
      </c>
      <c r="AT159" s="251">
        <v>102</v>
      </c>
      <c r="AU159" s="250">
        <v>99999</v>
      </c>
      <c r="AV159" s="252"/>
      <c r="AW159" s="408">
        <v>20</v>
      </c>
      <c r="AX159" s="408"/>
      <c r="AY159" s="251"/>
      <c r="AZ159" s="251"/>
      <c r="BA159" s="251"/>
      <c r="BB159" s="250"/>
      <c r="BC159" s="250">
        <v>99999</v>
      </c>
    </row>
    <row r="160" spans="1:55" ht="14.25" customHeight="1" x14ac:dyDescent="0.3">
      <c r="A160" s="408">
        <v>25</v>
      </c>
      <c r="B160" s="408"/>
      <c r="C160" s="248">
        <v>115</v>
      </c>
      <c r="D160" s="248">
        <v>115</v>
      </c>
      <c r="E160" s="248">
        <v>115</v>
      </c>
      <c r="F160" s="248">
        <v>115</v>
      </c>
      <c r="G160" s="250">
        <v>99999</v>
      </c>
      <c r="H160" s="2"/>
      <c r="I160" s="408">
        <v>25</v>
      </c>
      <c r="J160" s="408"/>
      <c r="K160" s="251">
        <v>113</v>
      </c>
      <c r="L160" s="251">
        <v>113</v>
      </c>
      <c r="M160" s="251">
        <v>113</v>
      </c>
      <c r="N160" s="251">
        <v>113</v>
      </c>
      <c r="O160" s="250">
        <v>99999</v>
      </c>
      <c r="P160" s="42"/>
      <c r="Q160" s="408">
        <v>25</v>
      </c>
      <c r="R160" s="408"/>
      <c r="S160" s="251">
        <v>109</v>
      </c>
      <c r="T160" s="251">
        <v>110</v>
      </c>
      <c r="U160" s="251">
        <v>110</v>
      </c>
      <c r="V160" s="251">
        <v>110</v>
      </c>
      <c r="W160" s="250">
        <v>99999</v>
      </c>
      <c r="X160" s="2"/>
      <c r="Y160" s="408">
        <v>25</v>
      </c>
      <c r="Z160" s="408"/>
      <c r="AA160" s="251">
        <v>106</v>
      </c>
      <c r="AB160" s="251">
        <v>106</v>
      </c>
      <c r="AC160" s="251">
        <v>106</v>
      </c>
      <c r="AD160" s="251">
        <v>107</v>
      </c>
      <c r="AE160" s="250">
        <v>99999</v>
      </c>
      <c r="AF160" s="2"/>
      <c r="AG160" s="408">
        <v>25</v>
      </c>
      <c r="AH160" s="408"/>
      <c r="AI160" s="251">
        <v>103</v>
      </c>
      <c r="AJ160" s="251">
        <v>103</v>
      </c>
      <c r="AK160" s="251">
        <v>103</v>
      </c>
      <c r="AL160" s="251">
        <v>103</v>
      </c>
      <c r="AM160" s="250">
        <v>99999</v>
      </c>
      <c r="AN160" s="2"/>
      <c r="AO160" s="408">
        <v>25</v>
      </c>
      <c r="AP160" s="408"/>
      <c r="AQ160" s="251">
        <v>102</v>
      </c>
      <c r="AR160" s="251">
        <v>102</v>
      </c>
      <c r="AS160" s="251">
        <v>102</v>
      </c>
      <c r="AT160" s="251">
        <v>102</v>
      </c>
      <c r="AU160" s="250">
        <v>99999</v>
      </c>
      <c r="AV160" s="252"/>
      <c r="AW160" s="253"/>
      <c r="AX160" s="254"/>
      <c r="AY160" s="251"/>
      <c r="AZ160" s="251"/>
      <c r="BA160" s="251"/>
      <c r="BB160" s="250"/>
      <c r="BC160" s="250">
        <v>99999</v>
      </c>
    </row>
    <row r="161" spans="1:55" ht="14.25" customHeight="1" x14ac:dyDescent="0.3">
      <c r="A161" s="408">
        <v>30</v>
      </c>
      <c r="B161" s="408"/>
      <c r="C161" s="248">
        <v>115</v>
      </c>
      <c r="D161" s="248">
        <v>115</v>
      </c>
      <c r="E161" s="248">
        <v>115</v>
      </c>
      <c r="F161" s="250">
        <v>999</v>
      </c>
      <c r="G161" s="250">
        <v>99999</v>
      </c>
      <c r="H161" s="2"/>
      <c r="I161" s="408">
        <v>30</v>
      </c>
      <c r="J161" s="408"/>
      <c r="K161" s="251">
        <v>113</v>
      </c>
      <c r="L161" s="251">
        <v>113</v>
      </c>
      <c r="M161" s="251">
        <v>113</v>
      </c>
      <c r="N161" s="251">
        <v>113</v>
      </c>
      <c r="O161" s="250">
        <v>99999</v>
      </c>
      <c r="P161" s="42"/>
      <c r="Q161" s="408">
        <v>30</v>
      </c>
      <c r="R161" s="408"/>
      <c r="S161" s="251">
        <v>109</v>
      </c>
      <c r="T161" s="251">
        <v>110</v>
      </c>
      <c r="U161" s="251">
        <v>110</v>
      </c>
      <c r="V161" s="251">
        <v>110</v>
      </c>
      <c r="W161" s="250">
        <v>99999</v>
      </c>
      <c r="X161" s="2"/>
      <c r="Y161" s="408">
        <v>30</v>
      </c>
      <c r="Z161" s="408"/>
      <c r="AA161" s="251">
        <v>106</v>
      </c>
      <c r="AB161" s="251">
        <v>106</v>
      </c>
      <c r="AC161" s="251">
        <v>106</v>
      </c>
      <c r="AD161" s="251">
        <v>107</v>
      </c>
      <c r="AE161" s="250">
        <v>99999</v>
      </c>
      <c r="AF161" s="2"/>
      <c r="AG161" s="408">
        <v>30</v>
      </c>
      <c r="AH161" s="408"/>
      <c r="AI161" s="251">
        <v>103</v>
      </c>
      <c r="AJ161" s="251">
        <v>103</v>
      </c>
      <c r="AK161" s="251">
        <v>103</v>
      </c>
      <c r="AL161" s="251">
        <v>103</v>
      </c>
      <c r="AM161" s="250">
        <v>99999</v>
      </c>
      <c r="AN161" s="2"/>
      <c r="AO161" s="408">
        <v>30</v>
      </c>
      <c r="AP161" s="408"/>
      <c r="AQ161" s="251">
        <v>102</v>
      </c>
      <c r="AR161" s="251">
        <v>102</v>
      </c>
      <c r="AS161" s="251">
        <v>102</v>
      </c>
      <c r="AT161" s="251">
        <v>102</v>
      </c>
      <c r="AU161" s="250">
        <v>99999</v>
      </c>
      <c r="AV161" s="252"/>
      <c r="AW161" s="408">
        <v>30</v>
      </c>
      <c r="AX161" s="408"/>
      <c r="AY161" s="251"/>
      <c r="AZ161" s="251"/>
      <c r="BA161" s="251"/>
      <c r="BB161" s="250"/>
      <c r="BC161" s="250">
        <v>99999</v>
      </c>
    </row>
    <row r="162" spans="1:55" ht="14.25" customHeight="1" x14ac:dyDescent="0.3">
      <c r="A162" s="408">
        <v>40</v>
      </c>
      <c r="B162" s="408"/>
      <c r="C162" s="255">
        <v>99999</v>
      </c>
      <c r="D162" s="255">
        <v>99999</v>
      </c>
      <c r="E162" s="255">
        <v>99999</v>
      </c>
      <c r="F162" s="255">
        <v>99999</v>
      </c>
      <c r="G162" s="250">
        <v>99999</v>
      </c>
      <c r="H162" s="2"/>
      <c r="I162" s="408">
        <v>40</v>
      </c>
      <c r="J162" s="408"/>
      <c r="K162" s="255">
        <v>99999</v>
      </c>
      <c r="L162" s="255">
        <v>99999</v>
      </c>
      <c r="M162" s="255">
        <v>99999</v>
      </c>
      <c r="N162" s="255">
        <v>99999</v>
      </c>
      <c r="O162" s="250">
        <v>99999</v>
      </c>
      <c r="P162" s="42"/>
      <c r="Q162" s="408">
        <v>40</v>
      </c>
      <c r="R162" s="408"/>
      <c r="S162" s="255">
        <v>99999</v>
      </c>
      <c r="T162" s="255">
        <v>99999</v>
      </c>
      <c r="U162" s="255">
        <v>99999</v>
      </c>
      <c r="V162" s="255">
        <v>99999</v>
      </c>
      <c r="W162" s="250">
        <v>99999</v>
      </c>
      <c r="X162" s="2"/>
      <c r="Y162" s="408">
        <v>40</v>
      </c>
      <c r="Z162" s="408"/>
      <c r="AA162" s="255">
        <v>99999</v>
      </c>
      <c r="AB162" s="255">
        <v>99999</v>
      </c>
      <c r="AC162" s="255">
        <v>99999</v>
      </c>
      <c r="AD162" s="255">
        <v>99999</v>
      </c>
      <c r="AE162" s="250">
        <v>99999</v>
      </c>
      <c r="AF162" s="2"/>
      <c r="AG162" s="408">
        <v>40</v>
      </c>
      <c r="AH162" s="408"/>
      <c r="AI162" s="255">
        <v>99999</v>
      </c>
      <c r="AJ162" s="255">
        <v>99999</v>
      </c>
      <c r="AK162" s="255">
        <v>99999</v>
      </c>
      <c r="AL162" s="255">
        <v>99999</v>
      </c>
      <c r="AM162" s="250">
        <v>99999</v>
      </c>
      <c r="AN162" s="2"/>
      <c r="AO162" s="408">
        <v>40</v>
      </c>
      <c r="AP162" s="408"/>
      <c r="AQ162" s="255">
        <v>99999</v>
      </c>
      <c r="AR162" s="255">
        <v>99999</v>
      </c>
      <c r="AS162" s="255">
        <v>99999</v>
      </c>
      <c r="AT162" s="255">
        <v>99999</v>
      </c>
      <c r="AU162" s="250">
        <v>99999</v>
      </c>
      <c r="AV162" s="252"/>
      <c r="AW162" s="408">
        <v>40</v>
      </c>
      <c r="AX162" s="408"/>
      <c r="AY162" s="255">
        <v>99999</v>
      </c>
      <c r="AZ162" s="255">
        <v>99999</v>
      </c>
      <c r="BA162" s="255">
        <v>99999</v>
      </c>
      <c r="BB162" s="255">
        <v>99999</v>
      </c>
      <c r="BC162" s="250">
        <v>99999</v>
      </c>
    </row>
    <row r="163" spans="1:55" ht="14.25" customHeight="1" x14ac:dyDescent="0.3">
      <c r="A163" s="409"/>
      <c r="B163" s="409"/>
      <c r="C163" s="256" t="s">
        <v>219</v>
      </c>
      <c r="D163" s="257" t="s">
        <v>219</v>
      </c>
      <c r="E163" s="257" t="s">
        <v>219</v>
      </c>
      <c r="F163" s="257" t="s">
        <v>219</v>
      </c>
      <c r="G163" s="258" t="s">
        <v>219</v>
      </c>
      <c r="H163" s="2"/>
      <c r="I163" s="409"/>
      <c r="J163" s="409"/>
      <c r="K163" s="256" t="s">
        <v>219</v>
      </c>
      <c r="L163" s="257" t="s">
        <v>219</v>
      </c>
      <c r="M163" s="257" t="s">
        <v>219</v>
      </c>
      <c r="N163" s="257" t="s">
        <v>219</v>
      </c>
      <c r="O163" s="258" t="s">
        <v>219</v>
      </c>
      <c r="P163" s="42"/>
      <c r="Q163" s="409"/>
      <c r="R163" s="409"/>
      <c r="S163" s="256" t="s">
        <v>219</v>
      </c>
      <c r="T163" s="257" t="s">
        <v>219</v>
      </c>
      <c r="U163" s="257" t="s">
        <v>219</v>
      </c>
      <c r="V163" s="257" t="s">
        <v>219</v>
      </c>
      <c r="W163" s="258" t="s">
        <v>219</v>
      </c>
      <c r="X163" s="2"/>
      <c r="Y163" s="409"/>
      <c r="Z163" s="409"/>
      <c r="AA163" s="256" t="s">
        <v>219</v>
      </c>
      <c r="AB163" s="257" t="s">
        <v>219</v>
      </c>
      <c r="AC163" s="257" t="s">
        <v>219</v>
      </c>
      <c r="AD163" s="257" t="s">
        <v>219</v>
      </c>
      <c r="AE163" s="258" t="s">
        <v>219</v>
      </c>
      <c r="AF163" s="2"/>
      <c r="AG163" s="409"/>
      <c r="AH163" s="409"/>
      <c r="AI163" s="256" t="s">
        <v>219</v>
      </c>
      <c r="AJ163" s="257" t="s">
        <v>219</v>
      </c>
      <c r="AK163" s="257" t="s">
        <v>219</v>
      </c>
      <c r="AL163" s="257" t="s">
        <v>219</v>
      </c>
      <c r="AM163" s="258" t="s">
        <v>219</v>
      </c>
      <c r="AN163" s="2"/>
      <c r="AO163" s="409"/>
      <c r="AP163" s="409"/>
      <c r="AQ163" s="256" t="s">
        <v>219</v>
      </c>
      <c r="AR163" s="257" t="s">
        <v>219</v>
      </c>
      <c r="AS163" s="257" t="s">
        <v>219</v>
      </c>
      <c r="AT163" s="257" t="s">
        <v>219</v>
      </c>
      <c r="AU163" s="258" t="s">
        <v>219</v>
      </c>
      <c r="AV163" s="252"/>
      <c r="AW163" s="409"/>
      <c r="AX163" s="409"/>
      <c r="AY163" s="256" t="s">
        <v>219</v>
      </c>
      <c r="AZ163" s="257" t="s">
        <v>219</v>
      </c>
      <c r="BA163" s="257" t="s">
        <v>219</v>
      </c>
      <c r="BB163" s="257" t="s">
        <v>219</v>
      </c>
      <c r="BC163" s="258" t="s">
        <v>219</v>
      </c>
    </row>
    <row r="164" spans="1:55" ht="14.25" customHeight="1" x14ac:dyDescent="0.3"/>
    <row r="165" spans="1:55" ht="14.25" customHeight="1" x14ac:dyDescent="0.3">
      <c r="B165" s="139" t="s">
        <v>146</v>
      </c>
      <c r="C165" s="140">
        <f ca="1">$D$1</f>
        <v>770</v>
      </c>
      <c r="D165" s="355" t="s">
        <v>201</v>
      </c>
      <c r="E165" s="355"/>
      <c r="F165" s="137"/>
      <c r="G165" s="137"/>
      <c r="H165" s="2"/>
      <c r="I165" s="2"/>
      <c r="J165" s="139" t="s">
        <v>146</v>
      </c>
      <c r="K165" s="140">
        <f ca="1">$D$1</f>
        <v>770</v>
      </c>
      <c r="L165" s="355" t="s">
        <v>201</v>
      </c>
      <c r="M165" s="355"/>
      <c r="N165" s="137"/>
      <c r="O165" s="137"/>
      <c r="P165" s="137"/>
      <c r="Q165" s="2"/>
      <c r="R165" s="139" t="s">
        <v>146</v>
      </c>
      <c r="S165" s="140">
        <f ca="1">$D$1</f>
        <v>770</v>
      </c>
      <c r="T165" s="355" t="s">
        <v>201</v>
      </c>
      <c r="U165" s="355"/>
      <c r="V165" s="137"/>
      <c r="W165" s="137"/>
      <c r="X165" s="2"/>
      <c r="Y165" s="2"/>
      <c r="Z165" s="139" t="s">
        <v>146</v>
      </c>
      <c r="AA165" s="140">
        <f ca="1">$D$1</f>
        <v>770</v>
      </c>
      <c r="AB165" s="355" t="s">
        <v>201</v>
      </c>
      <c r="AC165" s="355"/>
      <c r="AD165" s="137"/>
      <c r="AE165" s="137"/>
      <c r="AF165" s="2"/>
      <c r="AG165" s="2"/>
      <c r="AH165" s="139" t="s">
        <v>146</v>
      </c>
      <c r="AI165" s="140">
        <f ca="1">$D$1</f>
        <v>770</v>
      </c>
      <c r="AJ165" s="355" t="s">
        <v>201</v>
      </c>
      <c r="AK165" s="355"/>
      <c r="AL165" s="137"/>
      <c r="AM165" s="137"/>
      <c r="AN165" s="2"/>
      <c r="AO165" s="2"/>
      <c r="AP165" s="139" t="s">
        <v>146</v>
      </c>
      <c r="AQ165" s="140">
        <f ca="1">$D$1</f>
        <v>770</v>
      </c>
      <c r="AR165" s="355" t="s">
        <v>201</v>
      </c>
      <c r="AS165" s="355"/>
      <c r="AT165" s="137"/>
      <c r="AU165" s="137"/>
      <c r="AV165" s="137"/>
      <c r="AW165" s="2"/>
      <c r="AX165" s="139" t="s">
        <v>146</v>
      </c>
      <c r="AY165" s="140">
        <f ca="1">$D$1</f>
        <v>770</v>
      </c>
      <c r="AZ165" s="355" t="s">
        <v>201</v>
      </c>
      <c r="BA165" s="355"/>
    </row>
    <row r="166" spans="1:55" ht="14.25" customHeight="1" x14ac:dyDescent="0.3">
      <c r="B166" s="16" t="s">
        <v>202</v>
      </c>
      <c r="C166" s="141">
        <f t="array" aca="1" ref="C166" ca="1">INDEX(C148:G148,MATCH(C165,C148:G148,1))</f>
        <v>0</v>
      </c>
      <c r="D166" s="16" t="s">
        <v>144</v>
      </c>
      <c r="E166" s="17">
        <f>MATCH(MAX(A149:A163),A149:A163,0)</f>
        <v>14</v>
      </c>
      <c r="F166" s="17"/>
      <c r="H166" s="2"/>
      <c r="I166" s="2"/>
      <c r="J166" s="16" t="s">
        <v>202</v>
      </c>
      <c r="K166" s="141">
        <f t="array" aca="1" ref="K166" ca="1">INDEX(K148:O148,MATCH(K165,K148:O148,1))</f>
        <v>0</v>
      </c>
      <c r="L166" s="16" t="s">
        <v>144</v>
      </c>
      <c r="M166" s="17">
        <f>MATCH(MAX(I149:I163),I149:I163,0)</f>
        <v>14</v>
      </c>
      <c r="N166" s="17"/>
      <c r="O166" s="17"/>
      <c r="P166" s="17"/>
      <c r="Q166" s="2"/>
      <c r="R166" s="16" t="s">
        <v>202</v>
      </c>
      <c r="S166" s="141">
        <f t="array" aca="1" ref="S166" ca="1">INDEX(S148:W148,MATCH(S165,S148:W148,1))</f>
        <v>0</v>
      </c>
      <c r="T166" s="16" t="s">
        <v>144</v>
      </c>
      <c r="U166" s="17">
        <f>MATCH(MAX(Q149:Q163),Q149:Q163,0)</f>
        <v>14</v>
      </c>
      <c r="V166" s="17"/>
      <c r="W166" s="17"/>
      <c r="X166" s="2"/>
      <c r="Y166" s="2"/>
      <c r="Z166" s="16" t="s">
        <v>202</v>
      </c>
      <c r="AA166" s="141">
        <f t="array" aca="1" ref="AA166" ca="1">INDEX(AA148:AE148,MATCH(AA165,AA148:AE148,1))</f>
        <v>0</v>
      </c>
      <c r="AB166" s="16" t="s">
        <v>144</v>
      </c>
      <c r="AC166" s="17">
        <f>MATCH(MAX(Y149:Y163),Y149:Y163,0)</f>
        <v>14</v>
      </c>
      <c r="AD166" s="17"/>
      <c r="AE166" s="17"/>
      <c r="AF166" s="2"/>
      <c r="AG166" s="2"/>
      <c r="AH166" s="16" t="s">
        <v>202</v>
      </c>
      <c r="AI166" s="141">
        <f t="array" aca="1" ref="AI166" ca="1">INDEX(AI148:AM148,MATCH(AI165,AI148:AM148,1))</f>
        <v>0</v>
      </c>
      <c r="AJ166" s="16" t="s">
        <v>144</v>
      </c>
      <c r="AK166" s="17">
        <f>MATCH(MAX(AG149:AG163),AG149:AG163,0)</f>
        <v>14</v>
      </c>
      <c r="AL166" s="17"/>
      <c r="AM166" s="17"/>
      <c r="AN166" s="2"/>
      <c r="AO166" s="2"/>
      <c r="AP166" s="16" t="s">
        <v>202</v>
      </c>
      <c r="AQ166" s="141">
        <f t="array" aca="1" ref="AQ166" ca="1">INDEX(AQ148:AU148,MATCH(AQ165,AQ148:AU148,1))</f>
        <v>0</v>
      </c>
      <c r="AR166" s="16" t="s">
        <v>144</v>
      </c>
      <c r="AS166" s="17">
        <f>MATCH(MAX(AO149:AO163),AO149:AO163,0)</f>
        <v>14</v>
      </c>
      <c r="AT166" s="17"/>
      <c r="AU166" s="17"/>
      <c r="AV166" s="17"/>
      <c r="AW166" s="2"/>
      <c r="AX166" s="16" t="s">
        <v>202</v>
      </c>
      <c r="AY166" s="141">
        <f t="array" aca="1" ref="AY166" ca="1">INDEX(AY148:BC148,MATCH(AY165,AY148:BC148,1))</f>
        <v>0</v>
      </c>
      <c r="AZ166" s="16" t="s">
        <v>144</v>
      </c>
      <c r="BA166" s="17">
        <f>MATCH(MAX(AW149:AW163),AW149:AW163,0)</f>
        <v>14</v>
      </c>
    </row>
    <row r="167" spans="1:55" ht="14.25" customHeight="1" x14ac:dyDescent="0.3">
      <c r="B167" s="16" t="s">
        <v>203</v>
      </c>
      <c r="C167" s="141">
        <f t="array" aca="1" ref="C167" ca="1">INDEX(C148:G148,IF(MATCH(C165,C148:G148,1)&lt;E167,MATCH(C165,C148:G148,1)+1,MATCH(C165,C148:G148,1)))</f>
        <v>1000</v>
      </c>
      <c r="D167" s="16" t="s">
        <v>145</v>
      </c>
      <c r="E167" s="17">
        <f>MATCH(MAX(C148:G148),C148:G148,0)</f>
        <v>5</v>
      </c>
      <c r="F167" s="17"/>
      <c r="H167" s="2"/>
      <c r="I167" s="2"/>
      <c r="J167" s="16" t="s">
        <v>203</v>
      </c>
      <c r="K167" s="141">
        <f t="array" aca="1" ref="K167" ca="1">INDEX(K148:O148,IF(MATCH(K165,K148:O148,1)&lt;M167,MATCH(K165,K148:O148,1)+1,MATCH(K165,K148:O148,1)))</f>
        <v>1000</v>
      </c>
      <c r="L167" s="16" t="s">
        <v>145</v>
      </c>
      <c r="M167" s="17">
        <f>MATCH(MAX(K148:O148),K148:O148,0)</f>
        <v>5</v>
      </c>
      <c r="N167" s="17"/>
      <c r="O167" s="17"/>
      <c r="P167" s="17"/>
      <c r="Q167" s="2"/>
      <c r="R167" s="16" t="s">
        <v>203</v>
      </c>
      <c r="S167" s="141">
        <f t="array" aca="1" ref="S167" ca="1">INDEX(S148:W148,IF(MATCH(S165,S148:W148,1)&lt;U167,MATCH(S165,S148:W148,1)+1,MATCH(S165,S148:W148,1)))</f>
        <v>1000</v>
      </c>
      <c r="T167" s="16" t="s">
        <v>145</v>
      </c>
      <c r="U167" s="17">
        <f>MATCH(MAX(S148:W148),S148:W148,0)</f>
        <v>5</v>
      </c>
      <c r="V167" s="17"/>
      <c r="W167" s="17"/>
      <c r="X167" s="2"/>
      <c r="Y167" s="2"/>
      <c r="Z167" s="16" t="s">
        <v>203</v>
      </c>
      <c r="AA167" s="141">
        <f t="array" aca="1" ref="AA167" ca="1">INDEX(AA148:AE148,IF(MATCH(AA165,AA148:AE148,1)&lt;AC167,MATCH(AA165,AA148:AE148,1)+1,MATCH(AA165,AA148:AE148,1)))</f>
        <v>1000</v>
      </c>
      <c r="AB167" s="16" t="s">
        <v>145</v>
      </c>
      <c r="AC167" s="17">
        <f>MATCH(MAX(AA148:AE148),AA148:AE148,0)</f>
        <v>5</v>
      </c>
      <c r="AD167" s="17"/>
      <c r="AE167" s="17"/>
      <c r="AF167" s="2"/>
      <c r="AG167" s="2"/>
      <c r="AH167" s="16" t="s">
        <v>203</v>
      </c>
      <c r="AI167" s="141">
        <f t="array" aca="1" ref="AI167" ca="1">INDEX(AI148:AM148,IF(MATCH(AI165,AI148:AM148,1)&lt;AK167,MATCH(AI165,AI148:AM148,1)+1,MATCH(AI165,AI148:AM148,1)))</f>
        <v>1000</v>
      </c>
      <c r="AJ167" s="16" t="s">
        <v>145</v>
      </c>
      <c r="AK167" s="17">
        <f>MATCH(MAX(AI148:AM148),AI148:AM148,0)</f>
        <v>5</v>
      </c>
      <c r="AL167" s="17"/>
      <c r="AM167" s="17"/>
      <c r="AN167" s="2"/>
      <c r="AO167" s="2"/>
      <c r="AP167" s="16" t="s">
        <v>203</v>
      </c>
      <c r="AQ167" s="141">
        <f t="array" aca="1" ref="AQ167" ca="1">INDEX(AQ148:AU148,IF(MATCH(AQ165,AQ148:AU148,1)&lt;AS167,MATCH(AQ165,AQ148:AU148,1)+1,MATCH(AQ165,AQ148:AU148,1)))</f>
        <v>1000</v>
      </c>
      <c r="AR167" s="16" t="s">
        <v>145</v>
      </c>
      <c r="AS167" s="17">
        <f>MATCH(MAX(AQ148:AU148),AQ148:AU148,0)</f>
        <v>5</v>
      </c>
      <c r="AT167" s="17"/>
      <c r="AU167" s="17"/>
      <c r="AV167" s="17"/>
      <c r="AW167" s="2"/>
      <c r="AX167" s="16" t="s">
        <v>203</v>
      </c>
      <c r="AY167" s="141">
        <f t="array" aca="1" ref="AY167" ca="1">INDEX(AY148:BC148,IF(MATCH(AY165,AY148:BC148,1)&lt;BA167,MATCH(AY165,AY148:BC148,1)+1,MATCH(AY165,AY148:BC148,1)))</f>
        <v>1000</v>
      </c>
      <c r="AZ167" s="16" t="s">
        <v>145</v>
      </c>
      <c r="BA167" s="17">
        <f>MATCH(MAX(AY148:BC148),AY148:BC148,0)</f>
        <v>5</v>
      </c>
    </row>
    <row r="168" spans="1:55" ht="14.25" customHeight="1" x14ac:dyDescent="0.3">
      <c r="B168" s="139" t="s">
        <v>147</v>
      </c>
      <c r="C168" s="140">
        <f ca="1">$D$2</f>
        <v>15</v>
      </c>
      <c r="D168" s="2"/>
      <c r="E168" s="2"/>
      <c r="F168" s="2"/>
      <c r="G168" s="17"/>
      <c r="H168" s="2"/>
      <c r="I168" s="2"/>
      <c r="J168" s="139" t="s">
        <v>147</v>
      </c>
      <c r="K168" s="140">
        <f ca="1">$D$2</f>
        <v>15</v>
      </c>
      <c r="L168" s="2"/>
      <c r="M168" s="2"/>
      <c r="N168" s="2"/>
      <c r="O168" s="17"/>
      <c r="P168" s="17"/>
      <c r="Q168" s="2"/>
      <c r="R168" s="139" t="s">
        <v>147</v>
      </c>
      <c r="S168" s="140">
        <f ca="1">$D$2</f>
        <v>15</v>
      </c>
      <c r="T168" s="2"/>
      <c r="U168" s="2"/>
      <c r="V168" s="2"/>
      <c r="W168" s="17"/>
      <c r="X168" s="2"/>
      <c r="Y168" s="2"/>
      <c r="Z168" s="139" t="s">
        <v>147</v>
      </c>
      <c r="AA168" s="140">
        <f ca="1">$D$2</f>
        <v>15</v>
      </c>
      <c r="AB168" s="2"/>
      <c r="AC168" s="2"/>
      <c r="AD168" s="2"/>
      <c r="AE168" s="17"/>
      <c r="AF168" s="2"/>
      <c r="AG168" s="2"/>
      <c r="AH168" s="139" t="s">
        <v>147</v>
      </c>
      <c r="AI168" s="140">
        <f ca="1">$D$2</f>
        <v>15</v>
      </c>
      <c r="AJ168" s="2"/>
      <c r="AK168" s="2"/>
      <c r="AL168" s="2"/>
      <c r="AM168" s="17"/>
      <c r="AN168" s="2"/>
      <c r="AO168" s="2"/>
      <c r="AP168" s="139" t="s">
        <v>147</v>
      </c>
      <c r="AQ168" s="140">
        <f ca="1">$D$2</f>
        <v>15</v>
      </c>
      <c r="AR168" s="2"/>
      <c r="AS168" s="2"/>
      <c r="AT168" s="2"/>
      <c r="AU168" s="17"/>
      <c r="AV168" s="17"/>
      <c r="AW168" s="2"/>
      <c r="AX168" s="139" t="s">
        <v>147</v>
      </c>
      <c r="AY168" s="140">
        <f ca="1">$D$2</f>
        <v>15</v>
      </c>
      <c r="AZ168" s="2"/>
      <c r="BA168" s="2"/>
    </row>
    <row r="169" spans="1:55" ht="14.25" customHeight="1" x14ac:dyDescent="0.3">
      <c r="B169" s="16" t="s">
        <v>148</v>
      </c>
      <c r="C169" s="141">
        <f t="array" aca="1" ref="C169" ca="1">INDEX(A149:A163,MATCH(C168,A149:A163,1))</f>
        <v>15</v>
      </c>
      <c r="D169" s="2"/>
      <c r="E169" s="268" t="s">
        <v>229</v>
      </c>
      <c r="F169" s="42"/>
      <c r="G169" s="2"/>
      <c r="H169" s="2"/>
      <c r="I169" s="2"/>
      <c r="J169" s="16" t="s">
        <v>148</v>
      </c>
      <c r="K169" s="141">
        <f t="array" aca="1" ref="K169" ca="1">INDEX(I149:I163,MATCH(K168,I149:I163,1))</f>
        <v>15</v>
      </c>
      <c r="L169" s="2"/>
      <c r="M169" s="2"/>
      <c r="N169" s="2"/>
      <c r="O169" s="2"/>
      <c r="P169" s="2"/>
      <c r="Q169" s="2"/>
      <c r="R169" s="16" t="s">
        <v>148</v>
      </c>
      <c r="S169" s="141">
        <f t="array" aca="1" ref="S169" ca="1">INDEX(Q149:Q163,MATCH(S168,Q149:Q163,1))</f>
        <v>15</v>
      </c>
      <c r="T169" s="2"/>
      <c r="U169" s="2"/>
      <c r="V169" s="2"/>
      <c r="W169" s="2"/>
      <c r="X169" s="2"/>
      <c r="Y169" s="2"/>
      <c r="Z169" s="16" t="s">
        <v>148</v>
      </c>
      <c r="AA169" s="141">
        <f t="array" aca="1" ref="AA169" ca="1">INDEX(Y149:Y163,MATCH(AA168,Y149:Y163,1))</f>
        <v>15</v>
      </c>
      <c r="AB169" s="2"/>
      <c r="AC169" s="2"/>
      <c r="AD169" s="2"/>
      <c r="AE169" s="2"/>
      <c r="AF169" s="2"/>
      <c r="AG169" s="2"/>
      <c r="AH169" s="16" t="s">
        <v>148</v>
      </c>
      <c r="AI169" s="141">
        <f t="array" aca="1" ref="AI169" ca="1">INDEX(AG149:AG163,MATCH(AI168,AG149:AG163,1))</f>
        <v>15</v>
      </c>
      <c r="AJ169" s="2"/>
      <c r="AK169" s="2"/>
      <c r="AL169" s="2"/>
      <c r="AM169" s="2"/>
      <c r="AN169" s="2"/>
      <c r="AO169" s="2"/>
      <c r="AP169" s="16" t="s">
        <v>148</v>
      </c>
      <c r="AQ169" s="141">
        <f t="array" aca="1" ref="AQ169" ca="1">INDEX(AO149:AO163,MATCH(AQ168,AO149:AO163,1))</f>
        <v>15</v>
      </c>
      <c r="AR169" s="2"/>
      <c r="AS169" s="2"/>
      <c r="AT169" s="2"/>
      <c r="AU169" s="2"/>
      <c r="AV169" s="2"/>
      <c r="AW169" s="2"/>
      <c r="AX169" s="16" t="s">
        <v>148</v>
      </c>
      <c r="AY169" s="141">
        <f t="array" aca="1" ref="AY169" ca="1">INDEX(AW149:AW163,MATCH(AY168,AW149:AW163,1))</f>
        <v>10</v>
      </c>
      <c r="AZ169" s="2"/>
      <c r="BA169" s="2"/>
    </row>
    <row r="170" spans="1:55" ht="14.25" customHeight="1" x14ac:dyDescent="0.3">
      <c r="B170" s="16" t="s">
        <v>149</v>
      </c>
      <c r="C170" s="141">
        <f t="array" aca="1" ref="C170" ca="1">INDEX(A149:A163,IF(MATCH(C168,A149:A163,1)&lt;E166,MATCH(C168,A149:A163,1)+1,MATCH(C168,A149:A163,1)))</f>
        <v>20</v>
      </c>
      <c r="D170" s="2"/>
      <c r="E170" s="42"/>
      <c r="F170" s="42"/>
      <c r="G170" s="2"/>
      <c r="H170" s="2"/>
      <c r="I170" s="2"/>
      <c r="J170" s="16" t="s">
        <v>149</v>
      </c>
      <c r="K170" s="141">
        <f t="array" aca="1" ref="K170" ca="1">INDEX(I149:I163,IF(MATCH(K168,I149:I163,1)&lt;M166,MATCH(K168,I149:I163,1)+1,MATCH(K168,I149:I163,1)))</f>
        <v>20</v>
      </c>
      <c r="L170" s="2"/>
      <c r="M170" s="2"/>
      <c r="N170" s="2"/>
      <c r="O170" s="2"/>
      <c r="P170" s="2"/>
      <c r="Q170" s="2"/>
      <c r="R170" s="16" t="s">
        <v>149</v>
      </c>
      <c r="S170" s="141">
        <f t="array" aca="1" ref="S170" ca="1">INDEX(Q149:Q163,IF(MATCH(S168,Q149:Q163,1)&lt;U166,MATCH(S168,Q149:Q163,1)+1,MATCH(S168,Q149:Q163,1)))</f>
        <v>20</v>
      </c>
      <c r="T170" s="2"/>
      <c r="U170" s="2"/>
      <c r="V170" s="2"/>
      <c r="W170" s="2"/>
      <c r="X170" s="2"/>
      <c r="Y170" s="2"/>
      <c r="Z170" s="16" t="s">
        <v>149</v>
      </c>
      <c r="AA170" s="141">
        <f t="array" aca="1" ref="AA170" ca="1">INDEX(Y149:Y163,IF(MATCH(AA168,Y149:Y163,1)&lt;AC166,MATCH(AA168,Y149:Y163,1)+1,MATCH(AA168,Y149:Y163,1)))</f>
        <v>20</v>
      </c>
      <c r="AB170" s="2"/>
      <c r="AC170" s="2"/>
      <c r="AD170" s="2"/>
      <c r="AE170" s="2"/>
      <c r="AF170" s="2"/>
      <c r="AG170" s="2"/>
      <c r="AH170" s="16" t="s">
        <v>149</v>
      </c>
      <c r="AI170" s="141">
        <f t="array" aca="1" ref="AI170" ca="1">INDEX(AG149:AG163,IF(MATCH(AI168,AG149:AG163,1)&lt;AK166,MATCH(AI168,AG149:AG163,1)+1,MATCH(AI168,AG149:AG163,1)))</f>
        <v>20</v>
      </c>
      <c r="AJ170" s="2"/>
      <c r="AK170" s="2"/>
      <c r="AL170" s="2"/>
      <c r="AM170" s="2"/>
      <c r="AN170" s="2"/>
      <c r="AO170" s="2"/>
      <c r="AP170" s="16" t="s">
        <v>149</v>
      </c>
      <c r="AQ170" s="141">
        <f t="array" aca="1" ref="AQ170" ca="1">INDEX(AO149:AO163,IF(MATCH(AQ168,AO149:AO163,1)&lt;AS166,MATCH(AQ168,AO149:AO163,1)+1,MATCH(AQ168,AO149:AO163,1)))</f>
        <v>20</v>
      </c>
      <c r="AR170" s="2"/>
      <c r="AS170" s="2"/>
      <c r="AT170" s="2"/>
      <c r="AU170" s="2"/>
      <c r="AV170" s="2"/>
      <c r="AW170" s="2"/>
      <c r="AX170" s="16" t="s">
        <v>149</v>
      </c>
      <c r="AY170" s="141">
        <f ca="1">INDEX(AW149:AW163,IF(MATCH(AY168,AW149:AW163,1)&lt;BA166,MATCH(AY168,AW149:AW163,1)+1,MATCH(AY168,AW149:AW163,1)))</f>
        <v>0</v>
      </c>
      <c r="AZ170" s="2"/>
      <c r="BA170" s="2"/>
    </row>
    <row r="171" spans="1:55" ht="14.25" customHeight="1" x14ac:dyDescent="0.3">
      <c r="B171" s="139" t="s">
        <v>150</v>
      </c>
      <c r="C171" s="140">
        <f t="array" aca="1" ref="C171" ca="1">INDEX(C149:G163,MATCH(C168,A149:A163,1),MATCH(C165,C148:G148,1))</f>
        <v>114</v>
      </c>
      <c r="D171" s="2"/>
      <c r="E171" s="42"/>
      <c r="F171" s="42"/>
      <c r="G171" s="2"/>
      <c r="H171" s="2"/>
      <c r="I171" s="2"/>
      <c r="J171" s="139" t="s">
        <v>150</v>
      </c>
      <c r="K171" s="140">
        <f t="array" aca="1" ref="K171" ca="1">INDEX(K149:O163,MATCH(K168,I149:I163,1),MATCH(K165,K148:O148,1))</f>
        <v>113</v>
      </c>
      <c r="L171" s="2"/>
      <c r="M171" s="2"/>
      <c r="N171" s="2"/>
      <c r="O171" s="2"/>
      <c r="P171" s="2"/>
      <c r="Q171" s="2"/>
      <c r="R171" s="139" t="s">
        <v>150</v>
      </c>
      <c r="S171" s="140">
        <f t="array" aca="1" ref="S171" ca="1">INDEX(S149:W163,MATCH(S168,Q149:Q163,1),MATCH(S165,S148:W148,1))</f>
        <v>109</v>
      </c>
      <c r="T171" s="2"/>
      <c r="U171" s="2"/>
      <c r="V171" s="2"/>
      <c r="W171" s="2"/>
      <c r="X171" s="2"/>
      <c r="Y171" s="2"/>
      <c r="Z171" s="139" t="s">
        <v>150</v>
      </c>
      <c r="AA171" s="140">
        <f t="array" aca="1" ref="AA171" ca="1">INDEX(AA149:AE163,MATCH(AA168,Y149:Y163,1),MATCH(AA165,AA148:AE148,1))</f>
        <v>106</v>
      </c>
      <c r="AB171" s="2"/>
      <c r="AC171" s="2"/>
      <c r="AD171" s="2"/>
      <c r="AE171" s="2"/>
      <c r="AF171" s="2"/>
      <c r="AG171" s="2"/>
      <c r="AH171" s="139" t="s">
        <v>150</v>
      </c>
      <c r="AI171" s="140">
        <f t="array" aca="1" ref="AI171" ca="1">INDEX(AI149:AM163,MATCH(AI168,AG149:AG163,1),MATCH(AI165,AI148:AM148,1))</f>
        <v>102</v>
      </c>
      <c r="AJ171" s="2"/>
      <c r="AK171" s="2"/>
      <c r="AL171" s="2"/>
      <c r="AM171" s="2"/>
      <c r="AN171" s="2"/>
      <c r="AO171" s="2"/>
      <c r="AP171" s="139" t="s">
        <v>150</v>
      </c>
      <c r="AQ171" s="140">
        <f t="array" aca="1" ref="AQ171" ca="1">INDEX(AQ149:AU163,MATCH(AQ168,AO149:AO163,1),MATCH(AQ165,AQ148:AU148,1))</f>
        <v>102</v>
      </c>
      <c r="AR171" s="2"/>
      <c r="AS171" s="2"/>
      <c r="AT171" s="2"/>
      <c r="AU171" s="2"/>
      <c r="AV171" s="2"/>
      <c r="AW171" s="2"/>
      <c r="AX171" s="139" t="s">
        <v>150</v>
      </c>
      <c r="AY171" s="140">
        <f ca="1">INDEX(AY149:BC163,MATCH(AY168,AW149:AW163,1),MATCH(AY165,AY148:BC148,1))</f>
        <v>0</v>
      </c>
      <c r="AZ171" s="2"/>
      <c r="BA171" s="2"/>
    </row>
    <row r="172" spans="1:55" ht="14.25" customHeight="1" x14ac:dyDescent="0.3">
      <c r="B172" s="139" t="s">
        <v>204</v>
      </c>
      <c r="C172" s="140">
        <f t="array" aca="1" ref="C172" ca="1">INDEX(C149:G163,MATCH(C168,A149:A163,1),IF(MATCH(C165,C148:G148,1)&lt;E167,MATCH(C165,C148:G148,1)+1,MATCH(C168,A149:A163,1)))</f>
        <v>115</v>
      </c>
      <c r="E172" s="42"/>
      <c r="F172" s="42"/>
      <c r="G172" s="2"/>
      <c r="H172" s="2"/>
      <c r="I172" s="2"/>
      <c r="J172" s="139" t="s">
        <v>204</v>
      </c>
      <c r="K172" s="140">
        <f t="array" aca="1" ref="K172" ca="1">INDEX(K149:O163,MATCH(K168,I149:I163,1),IF(MATCH(K165,K148:O148,1)&lt;M167,MATCH(K165,K148:O148,1)+1,MATCH(K168,I149:I163,1)))</f>
        <v>113</v>
      </c>
      <c r="O172" s="2"/>
      <c r="P172" s="2"/>
      <c r="Q172" s="2"/>
      <c r="R172" s="139" t="s">
        <v>204</v>
      </c>
      <c r="S172" s="140">
        <f t="array" aca="1" ref="S172" ca="1">INDEX(S149:W163,MATCH(S168,Q149:Q163,1),IF(MATCH(S165,S148:W148,1)&lt;U167,MATCH(S165,S148:W148,1)+1,MATCH(S168,Q149:Q163,1)))</f>
        <v>109</v>
      </c>
      <c r="W172" s="2"/>
      <c r="X172" s="2"/>
      <c r="Y172" s="2"/>
      <c r="Z172" s="139" t="s">
        <v>204</v>
      </c>
      <c r="AA172" s="140">
        <f t="array" aca="1" ref="AA172" ca="1">INDEX(AA149:AE163,MATCH(AA168,Y149:Y163,1),IF(MATCH(AA165,AA148:AE148,1)&lt;AC167,MATCH(AA165,AA148:AE148,1)+1,MATCH(AA168,Y149:Y163,1)))</f>
        <v>106</v>
      </c>
      <c r="AE172" s="2"/>
      <c r="AF172" s="2"/>
      <c r="AG172" s="2"/>
      <c r="AH172" s="139" t="s">
        <v>204</v>
      </c>
      <c r="AI172" s="140">
        <f t="array" aca="1" ref="AI172" ca="1">INDEX(AI149:AM163,MATCH(AI168,AG149:AG163,1),IF(MATCH(AI165,AI148:AM148,1)&lt;AK167,MATCH(AI165,AI148:AM148,1)+1,MATCH(AI168,AG149:AG163,1)))</f>
        <v>103</v>
      </c>
      <c r="AM172" s="2"/>
      <c r="AN172" s="2"/>
      <c r="AO172" s="2"/>
      <c r="AP172" s="139" t="s">
        <v>204</v>
      </c>
      <c r="AQ172" s="140">
        <f t="array" aca="1" ref="AQ172" ca="1">INDEX(AQ149:AU163,MATCH(AQ168,AO149:AO163,1),IF(MATCH(AQ165,AQ148:AU148,1)&lt;AS167,MATCH(AQ165,AQ148:AU148,1)+1,MATCH(AQ168,AO149:AO163,1)))</f>
        <v>102</v>
      </c>
      <c r="AU172" s="2"/>
      <c r="AV172" s="2"/>
      <c r="AW172" s="2"/>
      <c r="AX172" s="139" t="s">
        <v>204</v>
      </c>
      <c r="AY172" s="140">
        <f ca="1">INDEX(AY149:BC163,MATCH(AY168,AW149:AW163,1),IF(MATCH(AY165,AY148:BC148,1)&lt;BA167,MATCH(AY165,AY148:BC148,1)+1,MATCH(AY168,AW149:AW163,1)))</f>
        <v>0</v>
      </c>
    </row>
    <row r="173" spans="1:55" ht="14.25" customHeight="1" x14ac:dyDescent="0.3">
      <c r="B173" s="139" t="s">
        <v>151</v>
      </c>
      <c r="C173" s="140">
        <f t="array" aca="1" ref="C173" ca="1">INDEX(C149:G163,IF(MATCH(C168,A149:A163,1)&lt;E166,MATCH(C168,A149:A163,1)+1,MATCH(C168,A149:A163,1)),MATCH(C165,C148:G148,1))</f>
        <v>114</v>
      </c>
      <c r="E173" s="42"/>
      <c r="F173" s="42"/>
      <c r="G173" s="2"/>
      <c r="H173" s="2"/>
      <c r="I173" s="2"/>
      <c r="J173" s="139" t="s">
        <v>151</v>
      </c>
      <c r="K173" s="140">
        <f t="array" aca="1" ref="K173" ca="1">INDEX(K149:O163,IF(MATCH(K168,I149:I163,1)&lt;M166,MATCH(K168,I149:I163,1)+1,MATCH(K168,I149:I163,1)),MATCH(K165,K148:O148,1))</f>
        <v>113</v>
      </c>
      <c r="O173" s="2"/>
      <c r="P173" s="2"/>
      <c r="Q173" s="2"/>
      <c r="R173" s="139" t="s">
        <v>151</v>
      </c>
      <c r="S173" s="140">
        <f t="array" aca="1" ref="S173" ca="1">INDEX(S149:W163,IF(MATCH(S168,Q149:Q163,1)&lt;U166,MATCH(S168,Q149:Q163,1)+1,MATCH(S168,Q149:Q163,1)),MATCH(S165,S148:W148,1))</f>
        <v>109</v>
      </c>
      <c r="W173" s="2"/>
      <c r="X173" s="2"/>
      <c r="Y173" s="2"/>
      <c r="Z173" s="139" t="s">
        <v>151</v>
      </c>
      <c r="AA173" s="140">
        <f t="array" aca="1" ref="AA173" ca="1">INDEX(AA149:AE163,IF(MATCH(AA168,Y149:Y163,1)&lt;AC166,MATCH(AA168,Y149:Y163,1)+1,MATCH(AA168,Y149:Y163,1)),MATCH(AA165,AA148:AE148,1))</f>
        <v>106</v>
      </c>
      <c r="AE173" s="2"/>
      <c r="AF173" s="2"/>
      <c r="AG173" s="2"/>
      <c r="AH173" s="139" t="s">
        <v>151</v>
      </c>
      <c r="AI173" s="140">
        <f t="array" aca="1" ref="AI173" ca="1">INDEX(AI149:AM163,IF(MATCH(AI168,AG149:AG163,1)&lt;AK166,MATCH(AI168,AG149:AG163,1)+1,MATCH(AI168,AG149:AG163,1)),MATCH(AI165,AI148:AM148,1))</f>
        <v>102</v>
      </c>
      <c r="AM173" s="2"/>
      <c r="AN173" s="2"/>
      <c r="AO173" s="2"/>
      <c r="AP173" s="139" t="s">
        <v>151</v>
      </c>
      <c r="AQ173" s="140">
        <f t="array" aca="1" ref="AQ173" ca="1">INDEX(AQ149:AU163,IF(MATCH(AQ168,AO149:AO163,1)&lt;AS166,MATCH(AQ168,AO149:AO163,1)+1,MATCH(AQ168,AO149:AO163,1)),MATCH(AQ165,AQ148:AU148,1))</f>
        <v>102</v>
      </c>
      <c r="AU173" s="2"/>
      <c r="AV173" s="2"/>
      <c r="AW173" s="2"/>
      <c r="AX173" s="139" t="s">
        <v>151</v>
      </c>
      <c r="AY173" s="140">
        <f ca="1">INDEX(AY149:BC163,IF(MATCH(AY168,AW149:AW163,1)&lt;BA166,MATCH(AY168,AW149:AW163,1)+1,MATCH(AY168,AW149:AW163,1)),MATCH(AY165,AY148:BC148,1))</f>
        <v>0</v>
      </c>
    </row>
    <row r="174" spans="1:55" ht="14.25" customHeight="1" x14ac:dyDescent="0.3">
      <c r="B174" s="139" t="s">
        <v>205</v>
      </c>
      <c r="C174" s="140">
        <f t="array" aca="1" ref="C174" ca="1">INDEX(C149:G163,IF(MATCH(C168,A149:A163,1)&lt;E166,MATCH(C168,A149:A163,1)+1,MATCH(C168,A149:A163,1)),IF(MATCH(C165,C148:G148,1)&lt;E167,MATCH(C165,C148:G148,1)+1,MATCH(C165,C148:G148,1)))</f>
        <v>115</v>
      </c>
      <c r="G174" s="2"/>
      <c r="H174" s="2"/>
      <c r="I174" s="2"/>
      <c r="J174" s="139" t="s">
        <v>205</v>
      </c>
      <c r="K174" s="140">
        <f t="array" aca="1" ref="K174" ca="1">INDEX(K149:O163,IF(MATCH(K168,I149:I163,1)&lt;M166,MATCH(K168,I149:I163,1)+1,MATCH(K168,I149:I163,1)),IF(MATCH(K165,K148:O148,1)&lt;M167,MATCH(K165,K148:O148,1)+1,MATCH(K165,K148:O148,1)))</f>
        <v>113</v>
      </c>
      <c r="O174" s="2"/>
      <c r="P174" s="2"/>
      <c r="Q174" s="2"/>
      <c r="R174" s="139" t="s">
        <v>205</v>
      </c>
      <c r="S174" s="140">
        <f t="array" aca="1" ref="S174" ca="1">INDEX(S149:W163,IF(MATCH(S168,Q149:Q163,1)&lt;U166,MATCH(S168,Q149:Q163,1)+1,MATCH(S168,Q149:Q163,1)),IF(MATCH(S165,S148:W148,1)&lt;U167,MATCH(S165,S148:W148,1)+1,MATCH(S165,S148:W148,1)))</f>
        <v>109</v>
      </c>
      <c r="W174" s="2"/>
      <c r="X174" s="2"/>
      <c r="Y174" s="2"/>
      <c r="Z174" s="139" t="s">
        <v>205</v>
      </c>
      <c r="AA174" s="140">
        <f t="array" aca="1" ref="AA174" ca="1">INDEX(AA149:AE163,IF(MATCH(AA168,Y149:Y163,1)&lt;AC166,MATCH(AA168,Y149:Y163,1)+1,MATCH(AA168,Y149:Y163,1)),IF(MATCH(AA165,AA148:AE148,1)&lt;AC167,MATCH(AA165,AA148:AE148,1)+1,MATCH(AA165,AA148:AE148,1)))</f>
        <v>106</v>
      </c>
      <c r="AE174" s="2"/>
      <c r="AF174" s="2"/>
      <c r="AG174" s="2"/>
      <c r="AH174" s="139" t="s">
        <v>205</v>
      </c>
      <c r="AI174" s="140">
        <f t="array" aca="1" ref="AI174" ca="1">INDEX(AI149:AM163,IF(MATCH(AI168,AG149:AG163,1)&lt;AK166,MATCH(AI168,AG149:AG163,1)+1,MATCH(AI168,AG149:AG163,1)),IF(MATCH(AI165,AI148:AM148,1)&lt;AK167,MATCH(AI165,AI148:AM148,1)+1,MATCH(AI165,AI148:AM148,1)))</f>
        <v>103</v>
      </c>
      <c r="AM174" s="2"/>
      <c r="AN174" s="2"/>
      <c r="AO174" s="2"/>
      <c r="AP174" s="139" t="s">
        <v>205</v>
      </c>
      <c r="AQ174" s="140">
        <f t="array" aca="1" ref="AQ174" ca="1">INDEX(AQ149:AU163,IF(MATCH(AQ168,AO149:AO163,1)&lt;AS166,MATCH(AQ168,AO149:AO163,1)+1,MATCH(AQ168,AO149:AO163,1)),IF(MATCH(AQ165,AQ148:AU148,1)&lt;AS167,MATCH(AQ165,AQ148:AU148,1)+1,MATCH(AQ165,AQ148:AU148,1)))</f>
        <v>102</v>
      </c>
      <c r="AU174" s="2"/>
      <c r="AV174" s="2"/>
      <c r="AW174" s="2"/>
      <c r="AX174" s="139" t="s">
        <v>205</v>
      </c>
      <c r="AY174" s="140">
        <f ca="1">INDEX(AY149:BC163,IF(MATCH(AY168,AW149:AW163,1)&lt;BA166,MATCH(AY168,AW149:AW163,1)+1,MATCH(AY168,AW149:AW163,1)),IF(MATCH(AY165,AY148:BC148,1)&lt;BA167,MATCH(AY165,AY148:BC148,1)+1,MATCH(AY165,AY148:BC148,1)))</f>
        <v>0</v>
      </c>
    </row>
    <row r="175" spans="1:55" ht="14.25" customHeight="1" x14ac:dyDescent="0.3">
      <c r="B175" s="16" t="s">
        <v>206</v>
      </c>
      <c r="C175" s="141">
        <f ca="1">IFERROR(C171+(C165-C166)*(C172-C171)/(C167-C166),C171)</f>
        <v>114.77</v>
      </c>
      <c r="G175" s="2"/>
      <c r="H175" s="2"/>
      <c r="I175" s="2"/>
      <c r="J175" s="16" t="s">
        <v>206</v>
      </c>
      <c r="K175" s="141">
        <f ca="1">IFERROR(K171+(K165-K166)*(K172-K171)/(K167-K166),K171)</f>
        <v>113</v>
      </c>
      <c r="O175" s="2"/>
      <c r="P175" s="2"/>
      <c r="Q175" s="2"/>
      <c r="R175" s="16" t="s">
        <v>206</v>
      </c>
      <c r="S175" s="141">
        <f ca="1">IFERROR(S171+(S165-S166)*(S172-S171)/(S167-S166),S171)</f>
        <v>109</v>
      </c>
      <c r="W175" s="2"/>
      <c r="X175" s="2"/>
      <c r="Y175" s="2"/>
      <c r="Z175" s="16" t="s">
        <v>206</v>
      </c>
      <c r="AA175" s="141">
        <f ca="1">IFERROR(AA171+(AA165-AA166)*(AA172-AA171)/(AA167-AA166),AA171)</f>
        <v>106</v>
      </c>
      <c r="AE175" s="2"/>
      <c r="AF175" s="2"/>
      <c r="AG175" s="2"/>
      <c r="AH175" s="16" t="s">
        <v>206</v>
      </c>
      <c r="AI175" s="141">
        <f ca="1">IFERROR(AI171+(AI165-AI166)*(AI172-AI171)/(AI167-AI166),AI171)</f>
        <v>102.77</v>
      </c>
      <c r="AM175" s="2"/>
      <c r="AN175" s="2"/>
      <c r="AO175" s="2"/>
      <c r="AP175" s="16" t="s">
        <v>206</v>
      </c>
      <c r="AQ175" s="141">
        <f ca="1">IFERROR(AQ171+(AQ165-AQ166)*(AQ172-AQ171)/(AQ167-AQ166),AQ171)</f>
        <v>102</v>
      </c>
      <c r="AU175" s="2"/>
      <c r="AV175" s="2"/>
      <c r="AW175" s="2"/>
      <c r="AX175" s="16" t="s">
        <v>206</v>
      </c>
      <c r="AY175" s="141">
        <f ca="1">IFERROR(AY171+(AY165-AY166)*(AY172-AY171)/(AY167-AY166),AY171)</f>
        <v>0</v>
      </c>
    </row>
    <row r="176" spans="1:55" ht="14.25" customHeight="1" x14ac:dyDescent="0.3">
      <c r="B176" s="16" t="s">
        <v>207</v>
      </c>
      <c r="C176" s="141">
        <f ca="1">IFERROR(C173+(C165-C166)*(C174-C173)/(C167-C166),C173)</f>
        <v>114.77</v>
      </c>
      <c r="G176" s="2"/>
      <c r="H176" s="2"/>
      <c r="I176" s="2"/>
      <c r="J176" s="16" t="s">
        <v>207</v>
      </c>
      <c r="K176" s="141">
        <f ca="1">IFERROR(K173+(K165-K166)*(K174-K173)/(K167-K166),K173)</f>
        <v>113</v>
      </c>
      <c r="O176" s="2"/>
      <c r="P176" s="2"/>
      <c r="Q176" s="2"/>
      <c r="R176" s="16" t="s">
        <v>207</v>
      </c>
      <c r="S176" s="141">
        <f ca="1">IFERROR(S173+(S165-S166)*(S174-S173)/(S167-S166),S173)</f>
        <v>109</v>
      </c>
      <c r="W176" s="2"/>
      <c r="X176" s="2"/>
      <c r="Y176" s="2"/>
      <c r="Z176" s="16" t="s">
        <v>207</v>
      </c>
      <c r="AA176" s="141">
        <f ca="1">IFERROR(AA173+(AA165-AA166)*(AA174-AA173)/(AA167-AA166),AA173)</f>
        <v>106</v>
      </c>
      <c r="AE176" s="2"/>
      <c r="AF176" s="2"/>
      <c r="AG176" s="2"/>
      <c r="AH176" s="16" t="s">
        <v>207</v>
      </c>
      <c r="AI176" s="141">
        <f ca="1">IFERROR(AI173+(AI165-AI166)*(AI174-AI173)/(AI167-AI166),AI173)</f>
        <v>102.77</v>
      </c>
      <c r="AM176" s="2"/>
      <c r="AN176" s="2"/>
      <c r="AO176" s="2"/>
      <c r="AP176" s="16" t="s">
        <v>207</v>
      </c>
      <c r="AQ176" s="141">
        <f ca="1">IFERROR(AQ173+(AQ165-AQ166)*(AQ174-AQ173)/(AQ167-AQ166),AQ173)</f>
        <v>102</v>
      </c>
      <c r="AU176" s="2"/>
      <c r="AV176" s="2"/>
      <c r="AW176" s="2"/>
      <c r="AX176" s="16" t="s">
        <v>207</v>
      </c>
      <c r="AY176" s="141">
        <f ca="1">IFERROR(AY173+(AY165-AY166)*(AY174-AY173)/(AY167-AY166),AY173)</f>
        <v>0</v>
      </c>
    </row>
    <row r="177" spans="1:55" ht="14.25" customHeight="1" x14ac:dyDescent="0.3">
      <c r="B177" s="139" t="s">
        <v>186</v>
      </c>
      <c r="C177" s="140">
        <f ca="1">IFERROR(C175+(C168-C169)*(C176-C175)/(C170-C169),C175)</f>
        <v>114.77</v>
      </c>
      <c r="G177" s="2"/>
      <c r="H177" s="2"/>
      <c r="I177" s="2"/>
      <c r="J177" s="139" t="s">
        <v>186</v>
      </c>
      <c r="K177" s="140">
        <f ca="1">IFERROR(K175+(K168-K169)*(K176-K175)/(K170-K169),K175)</f>
        <v>113</v>
      </c>
      <c r="O177" s="2"/>
      <c r="P177" s="2"/>
      <c r="Q177" s="2"/>
      <c r="R177" s="139" t="s">
        <v>186</v>
      </c>
      <c r="S177" s="140">
        <f ca="1">IFERROR(S175+(S168-S169)*(S176-S175)/(S170-S169),S175)</f>
        <v>109</v>
      </c>
      <c r="W177" s="2"/>
      <c r="X177" s="2"/>
      <c r="Y177" s="2"/>
      <c r="Z177" s="139" t="s">
        <v>186</v>
      </c>
      <c r="AA177" s="140">
        <f ca="1">IFERROR(AA175+(AA168-AA169)*(AA176-AA175)/(AA170-AA169),AA175)</f>
        <v>106</v>
      </c>
      <c r="AE177" s="2"/>
      <c r="AF177" s="2"/>
      <c r="AG177" s="2"/>
      <c r="AH177" s="139" t="s">
        <v>186</v>
      </c>
      <c r="AI177" s="140">
        <f ca="1">IFERROR(AI175+(AI168-AI169)*(AI176-AI175)/(AI170-AI169),AI175)</f>
        <v>102.77</v>
      </c>
      <c r="AM177" s="2"/>
      <c r="AN177" s="2"/>
      <c r="AO177" s="2"/>
      <c r="AP177" s="139" t="s">
        <v>186</v>
      </c>
      <c r="AQ177" s="140">
        <f ca="1">IFERROR(AQ175+(AQ168-AQ169)*(AQ176-AQ175)/(AQ170-AQ169),AQ175)</f>
        <v>102</v>
      </c>
      <c r="AU177" s="2"/>
      <c r="AV177" s="2"/>
      <c r="AW177" s="2"/>
      <c r="AX177" s="139" t="s">
        <v>186</v>
      </c>
      <c r="AY177" s="140">
        <f ca="1">IFERROR(AY175+(AY168-AY169)*(AY176-AY175)/(AY170-AY169),AY175)</f>
        <v>0</v>
      </c>
    </row>
    <row r="178" spans="1:55" ht="14.25" customHeight="1" x14ac:dyDescent="0.3">
      <c r="A178" s="266" t="s">
        <v>166</v>
      </c>
      <c r="B178" s="139"/>
      <c r="C178" s="140"/>
      <c r="G178" s="2"/>
      <c r="H178" s="2"/>
      <c r="I178" s="2"/>
      <c r="J178" s="139"/>
      <c r="K178" s="140"/>
      <c r="O178" s="2"/>
      <c r="P178" s="2"/>
      <c r="Q178" s="2"/>
      <c r="R178" s="139"/>
      <c r="S178" s="140"/>
      <c r="W178" s="2"/>
      <c r="X178" s="2"/>
      <c r="Y178" s="2"/>
      <c r="Z178" s="139"/>
      <c r="AA178" s="140"/>
      <c r="AE178" s="2"/>
      <c r="AF178" s="2"/>
      <c r="AG178" s="2"/>
      <c r="AH178" s="139"/>
      <c r="AI178" s="140"/>
      <c r="AM178" s="2"/>
      <c r="AN178" s="2"/>
      <c r="AO178" s="2"/>
      <c r="AP178" s="139"/>
      <c r="AQ178" s="140"/>
      <c r="AU178" s="2"/>
      <c r="AV178" s="2"/>
      <c r="AW178" s="2"/>
      <c r="AX178" s="139"/>
      <c r="AY178" s="140"/>
    </row>
    <row r="179" spans="1:55" ht="14.25" customHeight="1" x14ac:dyDescent="0.3">
      <c r="A179" s="356" t="s">
        <v>215</v>
      </c>
      <c r="B179" s="356"/>
      <c r="C179" s="356"/>
      <c r="D179" s="356"/>
      <c r="E179" s="356"/>
      <c r="F179" s="356"/>
      <c r="G179" s="356"/>
      <c r="H179" s="131"/>
      <c r="I179" s="356" t="s">
        <v>215</v>
      </c>
      <c r="J179" s="356"/>
      <c r="K179" s="356"/>
      <c r="L179" s="356"/>
      <c r="M179" s="356"/>
      <c r="N179" s="356"/>
      <c r="O179" s="356"/>
      <c r="P179" s="131"/>
      <c r="Q179" s="356" t="s">
        <v>215</v>
      </c>
      <c r="R179" s="356"/>
      <c r="S179" s="356"/>
      <c r="T179" s="356"/>
      <c r="U179" s="356"/>
      <c r="V179" s="356"/>
      <c r="W179" s="356"/>
      <c r="X179" s="131"/>
      <c r="Y179" s="356" t="s">
        <v>215</v>
      </c>
      <c r="Z179" s="356"/>
      <c r="AA179" s="356"/>
      <c r="AB179" s="356"/>
      <c r="AC179" s="356"/>
      <c r="AD179" s="356"/>
      <c r="AE179" s="356"/>
      <c r="AF179" s="131"/>
      <c r="AG179" s="356" t="s">
        <v>215</v>
      </c>
      <c r="AH179" s="356"/>
      <c r="AI179" s="356"/>
      <c r="AJ179" s="356"/>
      <c r="AK179" s="356"/>
      <c r="AL179" s="356"/>
      <c r="AM179" s="356"/>
      <c r="AN179" s="131"/>
      <c r="AO179" s="356" t="s">
        <v>215</v>
      </c>
      <c r="AP179" s="356"/>
      <c r="AQ179" s="356"/>
      <c r="AR179" s="356"/>
      <c r="AS179" s="356"/>
      <c r="AT179" s="356"/>
      <c r="AU179" s="356"/>
      <c r="AV179" s="240"/>
      <c r="AW179" s="356" t="s">
        <v>215</v>
      </c>
      <c r="AX179" s="356"/>
      <c r="AY179" s="356"/>
      <c r="AZ179" s="356"/>
      <c r="BA179" s="356"/>
      <c r="BB179" s="356"/>
      <c r="BC179" s="356"/>
    </row>
    <row r="180" spans="1:55" ht="14.25" customHeight="1" x14ac:dyDescent="0.3">
      <c r="A180" s="406" t="s">
        <v>216</v>
      </c>
      <c r="B180" s="406"/>
      <c r="C180" s="406"/>
      <c r="D180" s="406"/>
      <c r="E180" s="406"/>
      <c r="F180" s="406"/>
      <c r="G180" s="406"/>
      <c r="H180" s="131"/>
      <c r="I180" s="406" t="s">
        <v>216</v>
      </c>
      <c r="J180" s="406"/>
      <c r="K180" s="406"/>
      <c r="L180" s="406"/>
      <c r="M180" s="406"/>
      <c r="N180" s="406"/>
      <c r="O180" s="406"/>
      <c r="P180" s="228"/>
      <c r="Q180" s="406" t="s">
        <v>216</v>
      </c>
      <c r="R180" s="406"/>
      <c r="S180" s="406"/>
      <c r="T180" s="406"/>
      <c r="U180" s="406"/>
      <c r="V180" s="406"/>
      <c r="W180" s="406"/>
      <c r="X180" s="131"/>
      <c r="Y180" s="406" t="s">
        <v>216</v>
      </c>
      <c r="Z180" s="406"/>
      <c r="AA180" s="406"/>
      <c r="AB180" s="406"/>
      <c r="AC180" s="406"/>
      <c r="AD180" s="406"/>
      <c r="AE180" s="406"/>
      <c r="AF180" s="131"/>
      <c r="AG180" s="406" t="s">
        <v>216</v>
      </c>
      <c r="AH180" s="406"/>
      <c r="AI180" s="406"/>
      <c r="AJ180" s="406"/>
      <c r="AK180" s="406"/>
      <c r="AL180" s="406"/>
      <c r="AM180" s="406"/>
      <c r="AN180" s="131"/>
      <c r="AO180" s="406" t="s">
        <v>216</v>
      </c>
      <c r="AP180" s="406"/>
      <c r="AQ180" s="406"/>
      <c r="AR180" s="406"/>
      <c r="AS180" s="406"/>
      <c r="AT180" s="406"/>
      <c r="AU180" s="406"/>
      <c r="AV180" s="241"/>
      <c r="AW180" s="406" t="s">
        <v>216</v>
      </c>
      <c r="AX180" s="406"/>
      <c r="AY180" s="406"/>
      <c r="AZ180" s="406"/>
      <c r="BA180" s="406"/>
      <c r="BB180" s="406"/>
      <c r="BC180" s="406"/>
    </row>
    <row r="181" spans="1:55" ht="14.25" customHeight="1" x14ac:dyDescent="0.3">
      <c r="A181" s="2"/>
      <c r="B181" s="2"/>
      <c r="C181" s="51">
        <v>16600</v>
      </c>
      <c r="D181" s="53" t="s">
        <v>29</v>
      </c>
      <c r="E181" s="2"/>
      <c r="F181" s="2"/>
      <c r="G181" s="2"/>
      <c r="H181" s="2"/>
      <c r="I181" s="2"/>
      <c r="J181" s="2"/>
      <c r="K181" s="51">
        <v>16000</v>
      </c>
      <c r="L181" s="53" t="s">
        <v>29</v>
      </c>
      <c r="M181" s="2"/>
      <c r="N181" s="2"/>
      <c r="O181" s="2"/>
      <c r="P181" s="2"/>
      <c r="Q181" s="2"/>
      <c r="R181" s="2"/>
      <c r="S181" s="51">
        <v>15000</v>
      </c>
      <c r="T181" s="53" t="s">
        <v>29</v>
      </c>
      <c r="U181" s="2"/>
      <c r="V181" s="2"/>
      <c r="W181" s="2"/>
      <c r="X181" s="2"/>
      <c r="Y181" s="2"/>
      <c r="Z181" s="2"/>
      <c r="AA181" s="51">
        <v>14000</v>
      </c>
      <c r="AB181" s="53" t="s">
        <v>29</v>
      </c>
      <c r="AC181" s="2"/>
      <c r="AD181" s="2"/>
      <c r="AE181" s="2"/>
      <c r="AF181" s="2"/>
      <c r="AG181" s="2"/>
      <c r="AH181" s="2"/>
      <c r="AI181" s="51">
        <v>13000</v>
      </c>
      <c r="AJ181" s="53" t="s">
        <v>29</v>
      </c>
      <c r="AK181" s="2"/>
      <c r="AL181" s="2"/>
      <c r="AM181" s="2"/>
      <c r="AN181" s="2"/>
      <c r="AO181" s="2"/>
      <c r="AP181" s="2"/>
      <c r="AQ181" s="51">
        <v>12000</v>
      </c>
      <c r="AR181" s="53" t="s">
        <v>29</v>
      </c>
      <c r="AS181" s="2"/>
      <c r="AT181" s="2"/>
      <c r="AU181" s="2"/>
      <c r="AV181" s="242"/>
      <c r="AW181" s="2"/>
      <c r="AX181" s="2"/>
      <c r="AY181" s="51">
        <v>13000</v>
      </c>
      <c r="AZ181" s="53" t="s">
        <v>29</v>
      </c>
      <c r="BA181" s="2"/>
      <c r="BB181" s="2"/>
      <c r="BC181" s="2"/>
    </row>
    <row r="182" spans="1:55" ht="14.25" customHeight="1" x14ac:dyDescent="0.3">
      <c r="A182" s="412" t="s">
        <v>217</v>
      </c>
      <c r="B182" s="412"/>
      <c r="C182" s="413" t="s">
        <v>218</v>
      </c>
      <c r="D182" s="413"/>
      <c r="E182" s="413"/>
      <c r="F182" s="413"/>
      <c r="G182" s="413"/>
      <c r="H182" s="228"/>
      <c r="I182" s="412" t="s">
        <v>217</v>
      </c>
      <c r="J182" s="412"/>
      <c r="K182" s="413" t="s">
        <v>218</v>
      </c>
      <c r="L182" s="413"/>
      <c r="M182" s="413"/>
      <c r="N182" s="413"/>
      <c r="O182" s="413"/>
      <c r="P182" s="243"/>
      <c r="Q182" s="412" t="s">
        <v>217</v>
      </c>
      <c r="R182" s="412"/>
      <c r="S182" s="413" t="s">
        <v>218</v>
      </c>
      <c r="T182" s="413"/>
      <c r="U182" s="413"/>
      <c r="V182" s="413"/>
      <c r="W182" s="413"/>
      <c r="X182" s="228"/>
      <c r="Y182" s="412" t="s">
        <v>217</v>
      </c>
      <c r="Z182" s="412"/>
      <c r="AA182" s="413" t="s">
        <v>218</v>
      </c>
      <c r="AB182" s="413"/>
      <c r="AC182" s="413"/>
      <c r="AD182" s="413"/>
      <c r="AE182" s="413"/>
      <c r="AF182" s="228"/>
      <c r="AG182" s="412" t="s">
        <v>217</v>
      </c>
      <c r="AH182" s="412"/>
      <c r="AI182" s="413" t="s">
        <v>218</v>
      </c>
      <c r="AJ182" s="413"/>
      <c r="AK182" s="413"/>
      <c r="AL182" s="413"/>
      <c r="AM182" s="413"/>
      <c r="AN182" s="228"/>
      <c r="AO182" s="412" t="s">
        <v>217</v>
      </c>
      <c r="AP182" s="412"/>
      <c r="AQ182" s="413" t="s">
        <v>218</v>
      </c>
      <c r="AR182" s="413"/>
      <c r="AS182" s="413"/>
      <c r="AT182" s="413"/>
      <c r="AU182" s="413"/>
      <c r="AV182" s="244"/>
      <c r="AW182" s="412" t="s">
        <v>217</v>
      </c>
      <c r="AX182" s="412"/>
      <c r="AY182" s="413" t="s">
        <v>218</v>
      </c>
      <c r="AZ182" s="413"/>
      <c r="BA182" s="413"/>
      <c r="BB182" s="413"/>
      <c r="BC182" s="413"/>
    </row>
    <row r="183" spans="1:55" ht="14.25" customHeight="1" x14ac:dyDescent="0.3">
      <c r="A183" s="412"/>
      <c r="B183" s="412"/>
      <c r="C183" s="413"/>
      <c r="D183" s="413"/>
      <c r="E183" s="413"/>
      <c r="F183" s="413"/>
      <c r="G183" s="413"/>
      <c r="H183" s="228"/>
      <c r="I183" s="412"/>
      <c r="J183" s="412"/>
      <c r="K183" s="413"/>
      <c r="L183" s="413"/>
      <c r="M183" s="413"/>
      <c r="N183" s="413"/>
      <c r="O183" s="413"/>
      <c r="P183" s="243"/>
      <c r="Q183" s="412"/>
      <c r="R183" s="412"/>
      <c r="S183" s="413"/>
      <c r="T183" s="413"/>
      <c r="U183" s="413"/>
      <c r="V183" s="413"/>
      <c r="W183" s="413"/>
      <c r="X183" s="228"/>
      <c r="Y183" s="412"/>
      <c r="Z183" s="412"/>
      <c r="AA183" s="413"/>
      <c r="AB183" s="413"/>
      <c r="AC183" s="413"/>
      <c r="AD183" s="413"/>
      <c r="AE183" s="413"/>
      <c r="AF183" s="228"/>
      <c r="AG183" s="412"/>
      <c r="AH183" s="412"/>
      <c r="AI183" s="413"/>
      <c r="AJ183" s="413"/>
      <c r="AK183" s="413"/>
      <c r="AL183" s="413"/>
      <c r="AM183" s="413"/>
      <c r="AN183" s="228"/>
      <c r="AO183" s="412"/>
      <c r="AP183" s="412"/>
      <c r="AQ183" s="413"/>
      <c r="AR183" s="413"/>
      <c r="AS183" s="413"/>
      <c r="AT183" s="413"/>
      <c r="AU183" s="413"/>
      <c r="AV183" s="244"/>
      <c r="AW183" s="412"/>
      <c r="AX183" s="412"/>
      <c r="AY183" s="413"/>
      <c r="AZ183" s="413"/>
      <c r="BA183" s="413"/>
      <c r="BB183" s="413"/>
      <c r="BC183" s="413"/>
    </row>
    <row r="184" spans="1:55" ht="14.25" customHeight="1" x14ac:dyDescent="0.3">
      <c r="A184" s="410" t="s">
        <v>10</v>
      </c>
      <c r="B184" s="410"/>
      <c r="C184" s="245">
        <v>0</v>
      </c>
      <c r="D184" s="246">
        <v>1000</v>
      </c>
      <c r="E184" s="246">
        <v>2000</v>
      </c>
      <c r="F184" s="247">
        <v>3000</v>
      </c>
      <c r="G184" s="247">
        <v>4000</v>
      </c>
      <c r="H184" s="243"/>
      <c r="I184" s="410" t="s">
        <v>10</v>
      </c>
      <c r="J184" s="410"/>
      <c r="K184" s="245">
        <v>0</v>
      </c>
      <c r="L184" s="246">
        <v>1000</v>
      </c>
      <c r="M184" s="246">
        <v>2000</v>
      </c>
      <c r="N184" s="247">
        <v>3000</v>
      </c>
      <c r="O184" s="247">
        <v>4000</v>
      </c>
      <c r="P184" s="243"/>
      <c r="Q184" s="410" t="s">
        <v>10</v>
      </c>
      <c r="R184" s="410"/>
      <c r="S184" s="245">
        <v>0</v>
      </c>
      <c r="T184" s="246">
        <v>1000</v>
      </c>
      <c r="U184" s="246">
        <v>2000</v>
      </c>
      <c r="V184" s="247">
        <v>3000</v>
      </c>
      <c r="W184" s="247">
        <v>4000</v>
      </c>
      <c r="X184" s="243"/>
      <c r="Y184" s="410" t="s">
        <v>10</v>
      </c>
      <c r="Z184" s="410"/>
      <c r="AA184" s="245">
        <v>0</v>
      </c>
      <c r="AB184" s="246">
        <v>1000</v>
      </c>
      <c r="AC184" s="246">
        <v>2000</v>
      </c>
      <c r="AD184" s="247">
        <v>3000</v>
      </c>
      <c r="AE184" s="247">
        <v>4000</v>
      </c>
      <c r="AF184" s="243"/>
      <c r="AG184" s="410" t="s">
        <v>10</v>
      </c>
      <c r="AH184" s="410"/>
      <c r="AI184" s="245">
        <v>0</v>
      </c>
      <c r="AJ184" s="246">
        <v>1000</v>
      </c>
      <c r="AK184" s="246">
        <v>2000</v>
      </c>
      <c r="AL184" s="247">
        <v>3000</v>
      </c>
      <c r="AM184" s="247">
        <v>4000</v>
      </c>
      <c r="AN184" s="243"/>
      <c r="AO184" s="410" t="s">
        <v>10</v>
      </c>
      <c r="AP184" s="410"/>
      <c r="AQ184" s="245">
        <v>0</v>
      </c>
      <c r="AR184" s="246">
        <v>1000</v>
      </c>
      <c r="AS184" s="246">
        <v>2000</v>
      </c>
      <c r="AT184" s="247">
        <v>3000</v>
      </c>
      <c r="AU184" s="247">
        <v>4000</v>
      </c>
      <c r="AV184" s="244"/>
      <c r="AW184" s="410" t="s">
        <v>10</v>
      </c>
      <c r="AX184" s="410"/>
      <c r="AY184" s="245">
        <v>0</v>
      </c>
      <c r="AZ184" s="246">
        <v>1000</v>
      </c>
      <c r="BA184" s="246">
        <v>2000</v>
      </c>
      <c r="BB184" s="247">
        <v>3000</v>
      </c>
      <c r="BC184" s="247">
        <v>4000</v>
      </c>
    </row>
    <row r="185" spans="1:55" ht="14.25" customHeight="1" x14ac:dyDescent="0.3">
      <c r="A185" s="411">
        <v>-30</v>
      </c>
      <c r="B185" s="411"/>
      <c r="C185" s="248">
        <v>115</v>
      </c>
      <c r="D185" s="248">
        <v>115</v>
      </c>
      <c r="E185" s="248">
        <v>115</v>
      </c>
      <c r="F185" s="248">
        <v>115</v>
      </c>
      <c r="G185" s="250">
        <v>99999</v>
      </c>
      <c r="H185" s="2"/>
      <c r="I185" s="411">
        <v>-30</v>
      </c>
      <c r="J185" s="411"/>
      <c r="K185" s="251">
        <v>114</v>
      </c>
      <c r="L185" s="251">
        <v>114</v>
      </c>
      <c r="M185" s="251">
        <v>114</v>
      </c>
      <c r="N185" s="251">
        <v>114</v>
      </c>
      <c r="O185" s="250">
        <v>99999</v>
      </c>
      <c r="P185" s="42"/>
      <c r="Q185" s="411">
        <v>-30</v>
      </c>
      <c r="R185" s="411"/>
      <c r="S185" s="251">
        <v>111</v>
      </c>
      <c r="T185" s="251">
        <v>111</v>
      </c>
      <c r="U185" s="251">
        <v>111</v>
      </c>
      <c r="V185" s="251">
        <v>111</v>
      </c>
      <c r="W185" s="250">
        <v>99999</v>
      </c>
      <c r="X185" s="2"/>
      <c r="Y185" s="411">
        <v>-30</v>
      </c>
      <c r="Z185" s="411"/>
      <c r="AA185" s="251">
        <v>108</v>
      </c>
      <c r="AB185" s="251">
        <v>108</v>
      </c>
      <c r="AC185" s="251">
        <v>108</v>
      </c>
      <c r="AD185" s="251">
        <v>108</v>
      </c>
      <c r="AE185" s="250">
        <v>99999</v>
      </c>
      <c r="AF185" s="2"/>
      <c r="AG185" s="411">
        <v>-30</v>
      </c>
      <c r="AH185" s="411"/>
      <c r="AI185" s="251">
        <v>106</v>
      </c>
      <c r="AJ185" s="251">
        <v>105</v>
      </c>
      <c r="AK185" s="251">
        <v>105</v>
      </c>
      <c r="AL185" s="251">
        <v>105</v>
      </c>
      <c r="AM185" s="250">
        <v>99999</v>
      </c>
      <c r="AN185" s="2"/>
      <c r="AO185" s="411">
        <v>-30</v>
      </c>
      <c r="AP185" s="411"/>
      <c r="AQ185" s="251">
        <v>106</v>
      </c>
      <c r="AR185" s="251">
        <v>106</v>
      </c>
      <c r="AS185" s="251">
        <v>106</v>
      </c>
      <c r="AT185" s="251">
        <v>106</v>
      </c>
      <c r="AU185" s="250">
        <v>99999</v>
      </c>
      <c r="AV185" s="252"/>
      <c r="AW185" s="408">
        <v>0</v>
      </c>
      <c r="AX185" s="408"/>
      <c r="AY185" s="251"/>
      <c r="AZ185" s="251"/>
      <c r="BA185" s="251"/>
      <c r="BB185" s="250"/>
      <c r="BC185" s="250">
        <v>99999</v>
      </c>
    </row>
    <row r="186" spans="1:55" ht="14.25" customHeight="1" x14ac:dyDescent="0.3">
      <c r="A186" s="408">
        <v>-25</v>
      </c>
      <c r="B186" s="408"/>
      <c r="C186" s="248">
        <v>115</v>
      </c>
      <c r="D186" s="248">
        <v>115</v>
      </c>
      <c r="E186" s="248">
        <v>115</v>
      </c>
      <c r="F186" s="248">
        <v>115</v>
      </c>
      <c r="G186" s="250">
        <v>99999</v>
      </c>
      <c r="H186" s="2"/>
      <c r="I186" s="408">
        <v>-25</v>
      </c>
      <c r="J186" s="408"/>
      <c r="K186" s="251">
        <v>114</v>
      </c>
      <c r="L186" s="251">
        <v>114</v>
      </c>
      <c r="M186" s="251">
        <v>114</v>
      </c>
      <c r="N186" s="251">
        <v>114</v>
      </c>
      <c r="O186" s="250">
        <v>99999</v>
      </c>
      <c r="P186" s="42"/>
      <c r="Q186" s="408">
        <v>-25</v>
      </c>
      <c r="R186" s="408"/>
      <c r="S186" s="251">
        <v>111</v>
      </c>
      <c r="T186" s="251">
        <v>111</v>
      </c>
      <c r="U186" s="251">
        <v>111</v>
      </c>
      <c r="V186" s="251">
        <v>111</v>
      </c>
      <c r="W186" s="250">
        <v>99999</v>
      </c>
      <c r="X186" s="2"/>
      <c r="Y186" s="408">
        <v>-25</v>
      </c>
      <c r="Z186" s="408"/>
      <c r="AA186" s="251">
        <v>108</v>
      </c>
      <c r="AB186" s="251">
        <v>108</v>
      </c>
      <c r="AC186" s="251">
        <v>108</v>
      </c>
      <c r="AD186" s="251">
        <v>108</v>
      </c>
      <c r="AE186" s="250">
        <v>99999</v>
      </c>
      <c r="AF186" s="2"/>
      <c r="AG186" s="408">
        <v>-25</v>
      </c>
      <c r="AH186" s="408"/>
      <c r="AI186" s="251">
        <v>106</v>
      </c>
      <c r="AJ186" s="251">
        <v>105</v>
      </c>
      <c r="AK186" s="251">
        <v>105</v>
      </c>
      <c r="AL186" s="251">
        <v>105</v>
      </c>
      <c r="AM186" s="250">
        <v>99999</v>
      </c>
      <c r="AN186" s="2"/>
      <c r="AO186" s="408">
        <v>-25</v>
      </c>
      <c r="AP186" s="408"/>
      <c r="AQ186" s="251">
        <v>106</v>
      </c>
      <c r="AR186" s="251">
        <v>106</v>
      </c>
      <c r="AS186" s="251">
        <v>106</v>
      </c>
      <c r="AT186" s="251">
        <v>106</v>
      </c>
      <c r="AU186" s="250">
        <v>99999</v>
      </c>
      <c r="AV186" s="252"/>
      <c r="AW186" s="408">
        <v>10</v>
      </c>
      <c r="AX186" s="408"/>
      <c r="AY186" s="251"/>
      <c r="AZ186" s="251"/>
      <c r="BA186" s="251"/>
      <c r="BB186" s="250"/>
      <c r="BC186" s="250">
        <v>99999</v>
      </c>
    </row>
    <row r="187" spans="1:55" ht="14.25" customHeight="1" x14ac:dyDescent="0.3">
      <c r="A187" s="408">
        <v>-20</v>
      </c>
      <c r="B187" s="408"/>
      <c r="C187" s="248">
        <v>115</v>
      </c>
      <c r="D187" s="248">
        <v>115</v>
      </c>
      <c r="E187" s="248">
        <v>115</v>
      </c>
      <c r="F187" s="248">
        <v>115</v>
      </c>
      <c r="G187" s="250">
        <v>99999</v>
      </c>
      <c r="H187" s="2"/>
      <c r="I187" s="408">
        <v>-20</v>
      </c>
      <c r="J187" s="408"/>
      <c r="K187" s="251">
        <v>114</v>
      </c>
      <c r="L187" s="251">
        <v>114</v>
      </c>
      <c r="M187" s="251">
        <v>114</v>
      </c>
      <c r="N187" s="251">
        <v>114</v>
      </c>
      <c r="O187" s="250">
        <v>99999</v>
      </c>
      <c r="P187" s="42"/>
      <c r="Q187" s="408">
        <v>-20</v>
      </c>
      <c r="R187" s="408"/>
      <c r="S187" s="251">
        <v>111</v>
      </c>
      <c r="T187" s="251">
        <v>111</v>
      </c>
      <c r="U187" s="251">
        <v>111</v>
      </c>
      <c r="V187" s="251">
        <v>111</v>
      </c>
      <c r="W187" s="250">
        <v>99999</v>
      </c>
      <c r="X187" s="2"/>
      <c r="Y187" s="408">
        <v>-20</v>
      </c>
      <c r="Z187" s="408"/>
      <c r="AA187" s="251">
        <v>108</v>
      </c>
      <c r="AB187" s="251">
        <v>108</v>
      </c>
      <c r="AC187" s="251">
        <v>108</v>
      </c>
      <c r="AD187" s="251">
        <v>108</v>
      </c>
      <c r="AE187" s="250">
        <v>99999</v>
      </c>
      <c r="AF187" s="2"/>
      <c r="AG187" s="408">
        <v>-20</v>
      </c>
      <c r="AH187" s="408"/>
      <c r="AI187" s="251">
        <v>105</v>
      </c>
      <c r="AJ187" s="251">
        <v>105</v>
      </c>
      <c r="AK187" s="251">
        <v>105</v>
      </c>
      <c r="AL187" s="251">
        <v>105</v>
      </c>
      <c r="AM187" s="250">
        <v>99999</v>
      </c>
      <c r="AN187" s="2"/>
      <c r="AO187" s="408">
        <v>-20</v>
      </c>
      <c r="AP187" s="408"/>
      <c r="AQ187" s="251">
        <v>106</v>
      </c>
      <c r="AR187" s="251">
        <v>106</v>
      </c>
      <c r="AS187" s="251">
        <v>106</v>
      </c>
      <c r="AT187" s="251">
        <v>105</v>
      </c>
      <c r="AU187" s="250">
        <v>99999</v>
      </c>
      <c r="AV187" s="252"/>
      <c r="AW187" s="253"/>
      <c r="AX187" s="254"/>
      <c r="AY187" s="251"/>
      <c r="AZ187" s="251"/>
      <c r="BA187" s="251"/>
      <c r="BB187" s="250"/>
      <c r="BC187" s="250">
        <v>99999</v>
      </c>
    </row>
    <row r="188" spans="1:55" ht="14.25" customHeight="1" x14ac:dyDescent="0.3">
      <c r="A188" s="408">
        <v>-15</v>
      </c>
      <c r="B188" s="408"/>
      <c r="C188" s="248">
        <v>115</v>
      </c>
      <c r="D188" s="248">
        <v>115</v>
      </c>
      <c r="E188" s="248">
        <v>115</v>
      </c>
      <c r="F188" s="248">
        <v>115</v>
      </c>
      <c r="G188" s="250">
        <v>99999</v>
      </c>
      <c r="H188" s="2"/>
      <c r="I188" s="408">
        <v>-15</v>
      </c>
      <c r="J188" s="408"/>
      <c r="K188" s="251">
        <v>114</v>
      </c>
      <c r="L188" s="251">
        <v>114</v>
      </c>
      <c r="M188" s="251">
        <v>114</v>
      </c>
      <c r="N188" s="251">
        <v>114</v>
      </c>
      <c r="O188" s="250">
        <v>99999</v>
      </c>
      <c r="P188" s="42"/>
      <c r="Q188" s="408">
        <v>-15</v>
      </c>
      <c r="R188" s="408"/>
      <c r="S188" s="251">
        <v>111</v>
      </c>
      <c r="T188" s="251">
        <v>111</v>
      </c>
      <c r="U188" s="251">
        <v>111</v>
      </c>
      <c r="V188" s="251">
        <v>111</v>
      </c>
      <c r="W188" s="250">
        <v>99999</v>
      </c>
      <c r="X188" s="2"/>
      <c r="Y188" s="408">
        <v>-15</v>
      </c>
      <c r="Z188" s="408"/>
      <c r="AA188" s="251">
        <v>108</v>
      </c>
      <c r="AB188" s="251">
        <v>108</v>
      </c>
      <c r="AC188" s="251">
        <v>108</v>
      </c>
      <c r="AD188" s="251">
        <v>108</v>
      </c>
      <c r="AE188" s="250">
        <v>99999</v>
      </c>
      <c r="AF188" s="2"/>
      <c r="AG188" s="408">
        <v>-15</v>
      </c>
      <c r="AH188" s="408"/>
      <c r="AI188" s="251">
        <v>105</v>
      </c>
      <c r="AJ188" s="251">
        <v>105</v>
      </c>
      <c r="AK188" s="251">
        <v>105</v>
      </c>
      <c r="AL188" s="251">
        <v>105</v>
      </c>
      <c r="AM188" s="250">
        <v>99999</v>
      </c>
      <c r="AN188" s="2"/>
      <c r="AO188" s="408">
        <v>-15</v>
      </c>
      <c r="AP188" s="408"/>
      <c r="AQ188" s="251">
        <v>106</v>
      </c>
      <c r="AR188" s="251">
        <v>106</v>
      </c>
      <c r="AS188" s="251">
        <v>106</v>
      </c>
      <c r="AT188" s="251">
        <v>105</v>
      </c>
      <c r="AU188" s="250">
        <v>99999</v>
      </c>
      <c r="AV188" s="252"/>
      <c r="AW188" s="253"/>
      <c r="AX188" s="254"/>
      <c r="AY188" s="251"/>
      <c r="AZ188" s="251"/>
      <c r="BA188" s="251"/>
      <c r="BB188" s="250"/>
      <c r="BC188" s="250">
        <v>99999</v>
      </c>
    </row>
    <row r="189" spans="1:55" ht="14.25" customHeight="1" x14ac:dyDescent="0.3">
      <c r="A189" s="408">
        <v>-10</v>
      </c>
      <c r="B189" s="408"/>
      <c r="C189" s="248">
        <v>115</v>
      </c>
      <c r="D189" s="248">
        <v>115</v>
      </c>
      <c r="E189" s="248">
        <v>115</v>
      </c>
      <c r="F189" s="248">
        <v>115</v>
      </c>
      <c r="G189" s="250">
        <v>99999</v>
      </c>
      <c r="H189" s="2"/>
      <c r="I189" s="408">
        <v>-10</v>
      </c>
      <c r="J189" s="408"/>
      <c r="K189" s="251">
        <v>114</v>
      </c>
      <c r="L189" s="251">
        <v>114</v>
      </c>
      <c r="M189" s="251">
        <v>114</v>
      </c>
      <c r="N189" s="251">
        <v>114</v>
      </c>
      <c r="O189" s="250">
        <v>99999</v>
      </c>
      <c r="P189" s="42"/>
      <c r="Q189" s="408">
        <v>-10</v>
      </c>
      <c r="R189" s="408"/>
      <c r="S189" s="251">
        <v>111</v>
      </c>
      <c r="T189" s="251">
        <v>111</v>
      </c>
      <c r="U189" s="251">
        <v>111</v>
      </c>
      <c r="V189" s="251">
        <v>111</v>
      </c>
      <c r="W189" s="250">
        <v>99999</v>
      </c>
      <c r="X189" s="2"/>
      <c r="Y189" s="408">
        <v>-10</v>
      </c>
      <c r="Z189" s="408"/>
      <c r="AA189" s="251">
        <v>108</v>
      </c>
      <c r="AB189" s="251">
        <v>108</v>
      </c>
      <c r="AC189" s="251">
        <v>108</v>
      </c>
      <c r="AD189" s="251">
        <v>108</v>
      </c>
      <c r="AE189" s="250">
        <v>99999</v>
      </c>
      <c r="AF189" s="2"/>
      <c r="AG189" s="408">
        <v>-10</v>
      </c>
      <c r="AH189" s="408"/>
      <c r="AI189" s="251">
        <v>105</v>
      </c>
      <c r="AJ189" s="251">
        <v>105</v>
      </c>
      <c r="AK189" s="251">
        <v>105</v>
      </c>
      <c r="AL189" s="251">
        <v>105</v>
      </c>
      <c r="AM189" s="250">
        <v>99999</v>
      </c>
      <c r="AN189" s="2"/>
      <c r="AO189" s="408">
        <v>-10</v>
      </c>
      <c r="AP189" s="408"/>
      <c r="AQ189" s="251">
        <v>106</v>
      </c>
      <c r="AR189" s="251">
        <v>106</v>
      </c>
      <c r="AS189" s="251">
        <v>105</v>
      </c>
      <c r="AT189" s="251">
        <v>105</v>
      </c>
      <c r="AU189" s="250">
        <v>99999</v>
      </c>
      <c r="AV189" s="252"/>
      <c r="AW189" s="253"/>
      <c r="AX189" s="254"/>
      <c r="AY189" s="251"/>
      <c r="AZ189" s="251"/>
      <c r="BA189" s="251"/>
      <c r="BB189" s="250"/>
      <c r="BC189" s="250">
        <v>99999</v>
      </c>
    </row>
    <row r="190" spans="1:55" ht="14.25" customHeight="1" x14ac:dyDescent="0.3">
      <c r="A190" s="408">
        <v>-5</v>
      </c>
      <c r="B190" s="408"/>
      <c r="C190" s="248">
        <v>115</v>
      </c>
      <c r="D190" s="248">
        <v>115</v>
      </c>
      <c r="E190" s="248">
        <v>115</v>
      </c>
      <c r="F190" s="248">
        <v>115</v>
      </c>
      <c r="G190" s="250">
        <v>99999</v>
      </c>
      <c r="H190" s="2"/>
      <c r="I190" s="408">
        <v>-5</v>
      </c>
      <c r="J190" s="408"/>
      <c r="K190" s="251">
        <v>114</v>
      </c>
      <c r="L190" s="251">
        <v>114</v>
      </c>
      <c r="M190" s="251">
        <v>114</v>
      </c>
      <c r="N190" s="251">
        <v>114</v>
      </c>
      <c r="O190" s="250">
        <v>99999</v>
      </c>
      <c r="P190" s="42"/>
      <c r="Q190" s="408">
        <v>-5</v>
      </c>
      <c r="R190" s="408"/>
      <c r="S190" s="251">
        <v>111</v>
      </c>
      <c r="T190" s="251">
        <v>111</v>
      </c>
      <c r="U190" s="251">
        <v>111</v>
      </c>
      <c r="V190" s="251">
        <v>111</v>
      </c>
      <c r="W190" s="250">
        <v>99999</v>
      </c>
      <c r="X190" s="2"/>
      <c r="Y190" s="408">
        <v>-5</v>
      </c>
      <c r="Z190" s="408"/>
      <c r="AA190" s="251">
        <v>108</v>
      </c>
      <c r="AB190" s="251">
        <v>108</v>
      </c>
      <c r="AC190" s="251">
        <v>108</v>
      </c>
      <c r="AD190" s="251">
        <v>108</v>
      </c>
      <c r="AE190" s="250">
        <v>99999</v>
      </c>
      <c r="AF190" s="2"/>
      <c r="AG190" s="408">
        <v>-5</v>
      </c>
      <c r="AH190" s="408"/>
      <c r="AI190" s="251">
        <v>105</v>
      </c>
      <c r="AJ190" s="251">
        <v>105</v>
      </c>
      <c r="AK190" s="251">
        <v>105</v>
      </c>
      <c r="AL190" s="251">
        <v>105</v>
      </c>
      <c r="AM190" s="250">
        <v>99999</v>
      </c>
      <c r="AN190" s="2"/>
      <c r="AO190" s="408">
        <v>-5</v>
      </c>
      <c r="AP190" s="408"/>
      <c r="AQ190" s="251">
        <v>106</v>
      </c>
      <c r="AR190" s="251">
        <v>106</v>
      </c>
      <c r="AS190" s="251">
        <v>105</v>
      </c>
      <c r="AT190" s="251">
        <v>105</v>
      </c>
      <c r="AU190" s="250">
        <v>99999</v>
      </c>
      <c r="AV190" s="252"/>
      <c r="AW190" s="253"/>
      <c r="AX190" s="254"/>
      <c r="AY190" s="251"/>
      <c r="AZ190" s="251"/>
      <c r="BA190" s="251"/>
      <c r="BB190" s="250"/>
      <c r="BC190" s="250">
        <v>99999</v>
      </c>
    </row>
    <row r="191" spans="1:55" ht="14.25" customHeight="1" x14ac:dyDescent="0.3">
      <c r="A191" s="408">
        <v>0</v>
      </c>
      <c r="B191" s="408"/>
      <c r="C191" s="248">
        <v>115</v>
      </c>
      <c r="D191" s="248">
        <v>115</v>
      </c>
      <c r="E191" s="248">
        <v>115</v>
      </c>
      <c r="F191" s="248">
        <v>115</v>
      </c>
      <c r="G191" s="250">
        <v>99999</v>
      </c>
      <c r="H191" s="2"/>
      <c r="I191" s="408">
        <v>0</v>
      </c>
      <c r="J191" s="408"/>
      <c r="K191" s="251">
        <v>114</v>
      </c>
      <c r="L191" s="251">
        <v>114</v>
      </c>
      <c r="M191" s="251">
        <v>114</v>
      </c>
      <c r="N191" s="251">
        <v>114</v>
      </c>
      <c r="O191" s="250">
        <v>99999</v>
      </c>
      <c r="P191" s="42"/>
      <c r="Q191" s="408">
        <v>0</v>
      </c>
      <c r="R191" s="408"/>
      <c r="S191" s="251">
        <v>111</v>
      </c>
      <c r="T191" s="251">
        <v>111</v>
      </c>
      <c r="U191" s="251">
        <v>111</v>
      </c>
      <c r="V191" s="251">
        <v>111</v>
      </c>
      <c r="W191" s="250">
        <v>99999</v>
      </c>
      <c r="X191" s="2"/>
      <c r="Y191" s="408">
        <v>0</v>
      </c>
      <c r="Z191" s="408"/>
      <c r="AA191" s="251">
        <v>108</v>
      </c>
      <c r="AB191" s="251">
        <v>108</v>
      </c>
      <c r="AC191" s="251">
        <v>108</v>
      </c>
      <c r="AD191" s="251">
        <v>108</v>
      </c>
      <c r="AE191" s="250">
        <v>99999</v>
      </c>
      <c r="AF191" s="2"/>
      <c r="AG191" s="408">
        <v>0</v>
      </c>
      <c r="AH191" s="408"/>
      <c r="AI191" s="251">
        <v>105</v>
      </c>
      <c r="AJ191" s="251">
        <v>105</v>
      </c>
      <c r="AK191" s="251">
        <v>105</v>
      </c>
      <c r="AL191" s="251">
        <v>105</v>
      </c>
      <c r="AM191" s="250">
        <v>99999</v>
      </c>
      <c r="AN191" s="2"/>
      <c r="AO191" s="408">
        <v>0</v>
      </c>
      <c r="AP191" s="408"/>
      <c r="AQ191" s="251">
        <v>106</v>
      </c>
      <c r="AR191" s="251">
        <v>105</v>
      </c>
      <c r="AS191" s="251">
        <v>105</v>
      </c>
      <c r="AT191" s="251">
        <v>105</v>
      </c>
      <c r="AU191" s="250">
        <v>99999</v>
      </c>
      <c r="AV191" s="252"/>
      <c r="AW191" s="253"/>
      <c r="AX191" s="254"/>
      <c r="AY191" s="251"/>
      <c r="AZ191" s="251"/>
      <c r="BA191" s="251"/>
      <c r="BB191" s="250"/>
      <c r="BC191" s="250">
        <v>99999</v>
      </c>
    </row>
    <row r="192" spans="1:55" ht="14.25" customHeight="1" x14ac:dyDescent="0.3">
      <c r="A192" s="408">
        <v>5</v>
      </c>
      <c r="B192" s="408"/>
      <c r="C192" s="248">
        <v>115</v>
      </c>
      <c r="D192" s="248">
        <v>115</v>
      </c>
      <c r="E192" s="248">
        <v>115</v>
      </c>
      <c r="F192" s="248">
        <v>115</v>
      </c>
      <c r="G192" s="250">
        <v>99999</v>
      </c>
      <c r="H192" s="2"/>
      <c r="I192" s="408">
        <v>5</v>
      </c>
      <c r="J192" s="408"/>
      <c r="K192" s="251">
        <v>114</v>
      </c>
      <c r="L192" s="251">
        <v>114</v>
      </c>
      <c r="M192" s="251">
        <v>114</v>
      </c>
      <c r="N192" s="251">
        <v>114</v>
      </c>
      <c r="O192" s="250">
        <v>99999</v>
      </c>
      <c r="P192" s="42"/>
      <c r="Q192" s="408">
        <v>5</v>
      </c>
      <c r="R192" s="408"/>
      <c r="S192" s="251">
        <v>111</v>
      </c>
      <c r="T192" s="251">
        <v>111</v>
      </c>
      <c r="U192" s="251">
        <v>111</v>
      </c>
      <c r="V192" s="251">
        <v>111</v>
      </c>
      <c r="W192" s="250">
        <v>99999</v>
      </c>
      <c r="X192" s="2"/>
      <c r="Y192" s="408">
        <v>5</v>
      </c>
      <c r="Z192" s="408"/>
      <c r="AA192" s="251">
        <v>108</v>
      </c>
      <c r="AB192" s="251">
        <v>108</v>
      </c>
      <c r="AC192" s="251">
        <v>108</v>
      </c>
      <c r="AD192" s="251">
        <v>108</v>
      </c>
      <c r="AE192" s="250">
        <v>99999</v>
      </c>
      <c r="AF192" s="2"/>
      <c r="AG192" s="408">
        <v>5</v>
      </c>
      <c r="AH192" s="408"/>
      <c r="AI192" s="251">
        <v>105</v>
      </c>
      <c r="AJ192" s="251">
        <v>105</v>
      </c>
      <c r="AK192" s="251">
        <v>105</v>
      </c>
      <c r="AL192" s="251">
        <v>105</v>
      </c>
      <c r="AM192" s="250">
        <v>99999</v>
      </c>
      <c r="AN192" s="2"/>
      <c r="AO192" s="408">
        <v>5</v>
      </c>
      <c r="AP192" s="408"/>
      <c r="AQ192" s="251">
        <v>106</v>
      </c>
      <c r="AR192" s="251">
        <v>105</v>
      </c>
      <c r="AS192" s="251">
        <v>105</v>
      </c>
      <c r="AT192" s="251">
        <v>105</v>
      </c>
      <c r="AU192" s="250">
        <v>99999</v>
      </c>
      <c r="AV192" s="252"/>
      <c r="AW192" s="253"/>
      <c r="AX192" s="254"/>
      <c r="AY192" s="251"/>
      <c r="AZ192" s="251"/>
      <c r="BA192" s="251"/>
      <c r="BB192" s="250"/>
      <c r="BC192" s="250">
        <v>99999</v>
      </c>
    </row>
    <row r="193" spans="1:55" ht="14.25" customHeight="1" x14ac:dyDescent="0.3">
      <c r="A193" s="408">
        <v>10</v>
      </c>
      <c r="B193" s="408"/>
      <c r="C193" s="248">
        <v>115</v>
      </c>
      <c r="D193" s="248">
        <v>115</v>
      </c>
      <c r="E193" s="248">
        <v>115</v>
      </c>
      <c r="F193" s="248">
        <v>115</v>
      </c>
      <c r="G193" s="250">
        <v>99999</v>
      </c>
      <c r="H193" s="2"/>
      <c r="I193" s="408">
        <v>10</v>
      </c>
      <c r="J193" s="408"/>
      <c r="K193" s="251">
        <v>114</v>
      </c>
      <c r="L193" s="251">
        <v>114</v>
      </c>
      <c r="M193" s="251">
        <v>114</v>
      </c>
      <c r="N193" s="251">
        <v>114</v>
      </c>
      <c r="O193" s="250">
        <v>99999</v>
      </c>
      <c r="P193" s="42"/>
      <c r="Q193" s="408">
        <v>10</v>
      </c>
      <c r="R193" s="408"/>
      <c r="S193" s="251">
        <v>111</v>
      </c>
      <c r="T193" s="251">
        <v>111</v>
      </c>
      <c r="U193" s="251">
        <v>111</v>
      </c>
      <c r="V193" s="251">
        <v>111</v>
      </c>
      <c r="W193" s="250">
        <v>99999</v>
      </c>
      <c r="X193" s="2"/>
      <c r="Y193" s="408">
        <v>10</v>
      </c>
      <c r="Z193" s="408"/>
      <c r="AA193" s="251">
        <v>108</v>
      </c>
      <c r="AB193" s="251">
        <v>108</v>
      </c>
      <c r="AC193" s="251">
        <v>108</v>
      </c>
      <c r="AD193" s="251">
        <v>108</v>
      </c>
      <c r="AE193" s="250">
        <v>99999</v>
      </c>
      <c r="AF193" s="2"/>
      <c r="AG193" s="408">
        <v>10</v>
      </c>
      <c r="AH193" s="408"/>
      <c r="AI193" s="251">
        <v>105</v>
      </c>
      <c r="AJ193" s="251">
        <v>105</v>
      </c>
      <c r="AK193" s="251">
        <v>105</v>
      </c>
      <c r="AL193" s="251">
        <v>105</v>
      </c>
      <c r="AM193" s="250">
        <v>99999</v>
      </c>
      <c r="AN193" s="2"/>
      <c r="AO193" s="408">
        <v>10</v>
      </c>
      <c r="AP193" s="408"/>
      <c r="AQ193" s="251">
        <v>106</v>
      </c>
      <c r="AR193" s="251">
        <v>105</v>
      </c>
      <c r="AS193" s="251">
        <v>105</v>
      </c>
      <c r="AT193" s="251">
        <v>105</v>
      </c>
      <c r="AU193" s="250">
        <v>99999</v>
      </c>
      <c r="AV193" s="252"/>
      <c r="AW193" s="253"/>
      <c r="AX193" s="254"/>
      <c r="AY193" s="251"/>
      <c r="AZ193" s="251"/>
      <c r="BA193" s="251"/>
      <c r="BB193" s="250"/>
      <c r="BC193" s="250">
        <v>99999</v>
      </c>
    </row>
    <row r="194" spans="1:55" ht="14.25" customHeight="1" x14ac:dyDescent="0.3">
      <c r="A194" s="408">
        <v>15</v>
      </c>
      <c r="B194" s="408"/>
      <c r="C194" s="248">
        <v>115</v>
      </c>
      <c r="D194" s="248">
        <v>115</v>
      </c>
      <c r="E194" s="248">
        <v>115</v>
      </c>
      <c r="F194" s="248">
        <v>115</v>
      </c>
      <c r="G194" s="250">
        <v>99999</v>
      </c>
      <c r="H194" s="2"/>
      <c r="I194" s="408">
        <v>15</v>
      </c>
      <c r="J194" s="408"/>
      <c r="K194" s="251">
        <v>114</v>
      </c>
      <c r="L194" s="251">
        <v>114</v>
      </c>
      <c r="M194" s="251">
        <v>114</v>
      </c>
      <c r="N194" s="251">
        <v>114</v>
      </c>
      <c r="O194" s="250">
        <v>99999</v>
      </c>
      <c r="P194" s="42"/>
      <c r="Q194" s="408">
        <v>15</v>
      </c>
      <c r="R194" s="408"/>
      <c r="S194" s="251">
        <v>111</v>
      </c>
      <c r="T194" s="251">
        <v>111</v>
      </c>
      <c r="U194" s="251">
        <v>111</v>
      </c>
      <c r="V194" s="251">
        <v>111</v>
      </c>
      <c r="W194" s="250">
        <v>99999</v>
      </c>
      <c r="X194" s="2"/>
      <c r="Y194" s="408">
        <v>15</v>
      </c>
      <c r="Z194" s="408"/>
      <c r="AA194" s="251">
        <v>108</v>
      </c>
      <c r="AB194" s="251">
        <v>108</v>
      </c>
      <c r="AC194" s="251">
        <v>108</v>
      </c>
      <c r="AD194" s="251">
        <v>108</v>
      </c>
      <c r="AE194" s="250">
        <v>99999</v>
      </c>
      <c r="AF194" s="2"/>
      <c r="AG194" s="408">
        <v>15</v>
      </c>
      <c r="AH194" s="408"/>
      <c r="AI194" s="251">
        <v>105</v>
      </c>
      <c r="AJ194" s="251">
        <v>105</v>
      </c>
      <c r="AK194" s="251">
        <v>105</v>
      </c>
      <c r="AL194" s="251">
        <v>105</v>
      </c>
      <c r="AM194" s="250">
        <v>99999</v>
      </c>
      <c r="AN194" s="2"/>
      <c r="AO194" s="408">
        <v>15</v>
      </c>
      <c r="AP194" s="408"/>
      <c r="AQ194" s="251">
        <v>105</v>
      </c>
      <c r="AR194" s="251">
        <v>105</v>
      </c>
      <c r="AS194" s="251">
        <v>105</v>
      </c>
      <c r="AT194" s="251">
        <v>105</v>
      </c>
      <c r="AU194" s="250">
        <v>99999</v>
      </c>
      <c r="AV194" s="252"/>
      <c r="AW194" s="253"/>
      <c r="AX194" s="254"/>
      <c r="AY194" s="251"/>
      <c r="AZ194" s="251"/>
      <c r="BA194" s="251"/>
      <c r="BB194" s="250"/>
      <c r="BC194" s="250">
        <v>99999</v>
      </c>
    </row>
    <row r="195" spans="1:55" ht="14.25" customHeight="1" x14ac:dyDescent="0.3">
      <c r="A195" s="408">
        <v>20</v>
      </c>
      <c r="B195" s="408"/>
      <c r="C195" s="248">
        <v>115</v>
      </c>
      <c r="D195" s="248">
        <v>115</v>
      </c>
      <c r="E195" s="248">
        <v>115</v>
      </c>
      <c r="F195" s="248">
        <v>115</v>
      </c>
      <c r="G195" s="250">
        <v>99999</v>
      </c>
      <c r="H195" s="2"/>
      <c r="I195" s="408">
        <v>20</v>
      </c>
      <c r="J195" s="408"/>
      <c r="K195" s="251">
        <v>114</v>
      </c>
      <c r="L195" s="251">
        <v>114</v>
      </c>
      <c r="M195" s="251">
        <v>114</v>
      </c>
      <c r="N195" s="251">
        <v>114</v>
      </c>
      <c r="O195" s="250">
        <v>99999</v>
      </c>
      <c r="P195" s="42"/>
      <c r="Q195" s="408">
        <v>20</v>
      </c>
      <c r="R195" s="408"/>
      <c r="S195" s="251">
        <v>111</v>
      </c>
      <c r="T195" s="251">
        <v>111</v>
      </c>
      <c r="U195" s="251">
        <v>111</v>
      </c>
      <c r="V195" s="251">
        <v>111</v>
      </c>
      <c r="W195" s="250">
        <v>99999</v>
      </c>
      <c r="X195" s="2"/>
      <c r="Y195" s="408">
        <v>20</v>
      </c>
      <c r="Z195" s="408"/>
      <c r="AA195" s="251">
        <v>108</v>
      </c>
      <c r="AB195" s="251">
        <v>108</v>
      </c>
      <c r="AC195" s="251">
        <v>108</v>
      </c>
      <c r="AD195" s="251">
        <v>108</v>
      </c>
      <c r="AE195" s="250">
        <v>99999</v>
      </c>
      <c r="AF195" s="2"/>
      <c r="AG195" s="408">
        <v>20</v>
      </c>
      <c r="AH195" s="408"/>
      <c r="AI195" s="251">
        <v>105</v>
      </c>
      <c r="AJ195" s="251">
        <v>105</v>
      </c>
      <c r="AK195" s="251">
        <v>105</v>
      </c>
      <c r="AL195" s="251">
        <v>105</v>
      </c>
      <c r="AM195" s="250">
        <v>99999</v>
      </c>
      <c r="AN195" s="2"/>
      <c r="AO195" s="408">
        <v>20</v>
      </c>
      <c r="AP195" s="408"/>
      <c r="AQ195" s="251">
        <v>105</v>
      </c>
      <c r="AR195" s="251">
        <v>105</v>
      </c>
      <c r="AS195" s="251">
        <v>105</v>
      </c>
      <c r="AT195" s="251">
        <v>105</v>
      </c>
      <c r="AU195" s="250">
        <v>99999</v>
      </c>
      <c r="AV195" s="252"/>
      <c r="AW195" s="408">
        <v>20</v>
      </c>
      <c r="AX195" s="408"/>
      <c r="AY195" s="251"/>
      <c r="AZ195" s="251"/>
      <c r="BA195" s="251"/>
      <c r="BB195" s="250"/>
      <c r="BC195" s="250">
        <v>99999</v>
      </c>
    </row>
    <row r="196" spans="1:55" ht="14.25" customHeight="1" x14ac:dyDescent="0.3">
      <c r="A196" s="408">
        <v>25</v>
      </c>
      <c r="B196" s="408"/>
      <c r="C196" s="248">
        <v>115</v>
      </c>
      <c r="D196" s="248">
        <v>115</v>
      </c>
      <c r="E196" s="248">
        <v>115</v>
      </c>
      <c r="F196" s="248">
        <v>115</v>
      </c>
      <c r="G196" s="250">
        <v>99999</v>
      </c>
      <c r="H196" s="2"/>
      <c r="I196" s="408">
        <v>25</v>
      </c>
      <c r="J196" s="408"/>
      <c r="K196" s="251">
        <v>114</v>
      </c>
      <c r="L196" s="251">
        <v>114</v>
      </c>
      <c r="M196" s="251">
        <v>114</v>
      </c>
      <c r="N196" s="251">
        <v>114</v>
      </c>
      <c r="O196" s="250">
        <v>99999</v>
      </c>
      <c r="P196" s="42"/>
      <c r="Q196" s="408">
        <v>25</v>
      </c>
      <c r="R196" s="408"/>
      <c r="S196" s="251">
        <v>111</v>
      </c>
      <c r="T196" s="251">
        <v>111</v>
      </c>
      <c r="U196" s="251">
        <v>111</v>
      </c>
      <c r="V196" s="251">
        <v>111</v>
      </c>
      <c r="W196" s="250">
        <v>99999</v>
      </c>
      <c r="X196" s="2"/>
      <c r="Y196" s="408">
        <v>25</v>
      </c>
      <c r="Z196" s="408"/>
      <c r="AA196" s="251">
        <v>108</v>
      </c>
      <c r="AB196" s="251">
        <v>108</v>
      </c>
      <c r="AC196" s="251">
        <v>108</v>
      </c>
      <c r="AD196" s="251">
        <v>108</v>
      </c>
      <c r="AE196" s="250">
        <v>99999</v>
      </c>
      <c r="AF196" s="2"/>
      <c r="AG196" s="408">
        <v>25</v>
      </c>
      <c r="AH196" s="408"/>
      <c r="AI196" s="251">
        <v>105</v>
      </c>
      <c r="AJ196" s="251">
        <v>105</v>
      </c>
      <c r="AK196" s="251">
        <v>105</v>
      </c>
      <c r="AL196" s="251">
        <v>105</v>
      </c>
      <c r="AM196" s="250">
        <v>99999</v>
      </c>
      <c r="AN196" s="2"/>
      <c r="AO196" s="408">
        <v>25</v>
      </c>
      <c r="AP196" s="408"/>
      <c r="AQ196" s="251">
        <v>105</v>
      </c>
      <c r="AR196" s="251">
        <v>105</v>
      </c>
      <c r="AS196" s="251">
        <v>105</v>
      </c>
      <c r="AT196" s="251">
        <v>105</v>
      </c>
      <c r="AU196" s="250">
        <v>99999</v>
      </c>
      <c r="AV196" s="252"/>
      <c r="AW196" s="253"/>
      <c r="AX196" s="254"/>
      <c r="AY196" s="251"/>
      <c r="AZ196" s="251"/>
      <c r="BA196" s="251"/>
      <c r="BB196" s="250"/>
      <c r="BC196" s="250">
        <v>99999</v>
      </c>
    </row>
    <row r="197" spans="1:55" ht="14.25" customHeight="1" x14ac:dyDescent="0.3">
      <c r="A197" s="408">
        <v>30</v>
      </c>
      <c r="B197" s="408"/>
      <c r="C197" s="248">
        <v>115</v>
      </c>
      <c r="D197" s="248">
        <v>115</v>
      </c>
      <c r="E197" s="248">
        <v>115</v>
      </c>
      <c r="F197" s="248">
        <v>115</v>
      </c>
      <c r="G197" s="250">
        <v>99999</v>
      </c>
      <c r="H197" s="2"/>
      <c r="I197" s="408">
        <v>30</v>
      </c>
      <c r="J197" s="408"/>
      <c r="K197" s="251">
        <v>114</v>
      </c>
      <c r="L197" s="251">
        <v>114</v>
      </c>
      <c r="M197" s="251">
        <v>114</v>
      </c>
      <c r="N197" s="251">
        <v>114</v>
      </c>
      <c r="O197" s="250">
        <v>99999</v>
      </c>
      <c r="P197" s="42"/>
      <c r="Q197" s="408">
        <v>30</v>
      </c>
      <c r="R197" s="408"/>
      <c r="S197" s="251">
        <v>111</v>
      </c>
      <c r="T197" s="251">
        <v>111</v>
      </c>
      <c r="U197" s="251">
        <v>111</v>
      </c>
      <c r="V197" s="251">
        <v>111</v>
      </c>
      <c r="W197" s="250">
        <v>99999</v>
      </c>
      <c r="X197" s="2"/>
      <c r="Y197" s="408">
        <v>30</v>
      </c>
      <c r="Z197" s="408"/>
      <c r="AA197" s="251">
        <v>108</v>
      </c>
      <c r="AB197" s="251">
        <v>108</v>
      </c>
      <c r="AC197" s="251">
        <v>108</v>
      </c>
      <c r="AD197" s="251">
        <v>108</v>
      </c>
      <c r="AE197" s="250">
        <v>99999</v>
      </c>
      <c r="AF197" s="2"/>
      <c r="AG197" s="408">
        <v>30</v>
      </c>
      <c r="AH197" s="408"/>
      <c r="AI197" s="251">
        <v>105</v>
      </c>
      <c r="AJ197" s="251">
        <v>105</v>
      </c>
      <c r="AK197" s="251">
        <v>105</v>
      </c>
      <c r="AL197" s="251">
        <v>105</v>
      </c>
      <c r="AM197" s="250">
        <v>99999</v>
      </c>
      <c r="AN197" s="2"/>
      <c r="AO197" s="408">
        <v>30</v>
      </c>
      <c r="AP197" s="408"/>
      <c r="AQ197" s="251">
        <v>105</v>
      </c>
      <c r="AR197" s="251">
        <v>105</v>
      </c>
      <c r="AS197" s="251">
        <v>105</v>
      </c>
      <c r="AT197" s="251">
        <v>104</v>
      </c>
      <c r="AU197" s="250">
        <v>99999</v>
      </c>
      <c r="AV197" s="252"/>
      <c r="AW197" s="408">
        <v>30</v>
      </c>
      <c r="AX197" s="408"/>
      <c r="AY197" s="251"/>
      <c r="AZ197" s="251"/>
      <c r="BA197" s="251"/>
      <c r="BB197" s="250"/>
      <c r="BC197" s="250">
        <v>99999</v>
      </c>
    </row>
    <row r="198" spans="1:55" ht="14.25" customHeight="1" x14ac:dyDescent="0.3">
      <c r="A198" s="408">
        <v>40</v>
      </c>
      <c r="B198" s="408"/>
      <c r="C198" s="255">
        <v>99999</v>
      </c>
      <c r="D198" s="255">
        <v>99999</v>
      </c>
      <c r="E198" s="255">
        <v>99999</v>
      </c>
      <c r="F198" s="255">
        <v>99999</v>
      </c>
      <c r="G198" s="250">
        <v>99999</v>
      </c>
      <c r="H198" s="2"/>
      <c r="I198" s="408">
        <v>40</v>
      </c>
      <c r="J198" s="408"/>
      <c r="K198" s="255">
        <v>99999</v>
      </c>
      <c r="L198" s="255">
        <v>99999</v>
      </c>
      <c r="M198" s="255">
        <v>99999</v>
      </c>
      <c r="N198" s="255">
        <v>99999</v>
      </c>
      <c r="O198" s="250">
        <v>99999</v>
      </c>
      <c r="P198" s="42"/>
      <c r="Q198" s="408">
        <v>40</v>
      </c>
      <c r="R198" s="408"/>
      <c r="S198" s="255">
        <v>99999</v>
      </c>
      <c r="T198" s="255">
        <v>99999</v>
      </c>
      <c r="U198" s="255">
        <v>99999</v>
      </c>
      <c r="V198" s="255">
        <v>99999</v>
      </c>
      <c r="W198" s="250">
        <v>99999</v>
      </c>
      <c r="X198" s="2"/>
      <c r="Y198" s="408">
        <v>40</v>
      </c>
      <c r="Z198" s="408"/>
      <c r="AA198" s="255">
        <v>99999</v>
      </c>
      <c r="AB198" s="255">
        <v>99999</v>
      </c>
      <c r="AC198" s="255">
        <v>99999</v>
      </c>
      <c r="AD198" s="255">
        <v>99999</v>
      </c>
      <c r="AE198" s="250">
        <v>99999</v>
      </c>
      <c r="AF198" s="2"/>
      <c r="AG198" s="408">
        <v>40</v>
      </c>
      <c r="AH198" s="408"/>
      <c r="AI198" s="255">
        <v>99999</v>
      </c>
      <c r="AJ198" s="255">
        <v>99999</v>
      </c>
      <c r="AK198" s="255">
        <v>99999</v>
      </c>
      <c r="AL198" s="255">
        <v>99999</v>
      </c>
      <c r="AM198" s="250">
        <v>99999</v>
      </c>
      <c r="AN198" s="2"/>
      <c r="AO198" s="408">
        <v>40</v>
      </c>
      <c r="AP198" s="408"/>
      <c r="AQ198" s="255">
        <v>99999</v>
      </c>
      <c r="AR198" s="255">
        <v>99999</v>
      </c>
      <c r="AS198" s="255">
        <v>99999</v>
      </c>
      <c r="AT198" s="255">
        <v>99999</v>
      </c>
      <c r="AU198" s="250">
        <v>99999</v>
      </c>
      <c r="AV198" s="252"/>
      <c r="AW198" s="408">
        <v>40</v>
      </c>
      <c r="AX198" s="408"/>
      <c r="AY198" s="255">
        <v>99999</v>
      </c>
      <c r="AZ198" s="255">
        <v>99999</v>
      </c>
      <c r="BA198" s="255">
        <v>99999</v>
      </c>
      <c r="BB198" s="255">
        <v>99999</v>
      </c>
      <c r="BC198" s="250">
        <v>99999</v>
      </c>
    </row>
    <row r="199" spans="1:55" ht="14.25" customHeight="1" x14ac:dyDescent="0.3">
      <c r="A199" s="409"/>
      <c r="B199" s="409"/>
      <c r="C199" s="256" t="s">
        <v>219</v>
      </c>
      <c r="D199" s="257" t="s">
        <v>219</v>
      </c>
      <c r="E199" s="257" t="s">
        <v>219</v>
      </c>
      <c r="F199" s="257" t="s">
        <v>219</v>
      </c>
      <c r="G199" s="258" t="s">
        <v>219</v>
      </c>
      <c r="H199" s="2"/>
      <c r="I199" s="409"/>
      <c r="J199" s="409"/>
      <c r="K199" s="256" t="s">
        <v>219</v>
      </c>
      <c r="L199" s="257" t="s">
        <v>219</v>
      </c>
      <c r="M199" s="257" t="s">
        <v>219</v>
      </c>
      <c r="N199" s="257" t="s">
        <v>219</v>
      </c>
      <c r="O199" s="258" t="s">
        <v>219</v>
      </c>
      <c r="P199" s="42"/>
      <c r="Q199" s="409"/>
      <c r="R199" s="409"/>
      <c r="S199" s="256" t="s">
        <v>219</v>
      </c>
      <c r="T199" s="257" t="s">
        <v>219</v>
      </c>
      <c r="U199" s="257" t="s">
        <v>219</v>
      </c>
      <c r="V199" s="257" t="s">
        <v>219</v>
      </c>
      <c r="W199" s="258" t="s">
        <v>219</v>
      </c>
      <c r="X199" s="2"/>
      <c r="Y199" s="409"/>
      <c r="Z199" s="409"/>
      <c r="AA199" s="256" t="s">
        <v>219</v>
      </c>
      <c r="AB199" s="257" t="s">
        <v>219</v>
      </c>
      <c r="AC199" s="257" t="s">
        <v>219</v>
      </c>
      <c r="AD199" s="257" t="s">
        <v>219</v>
      </c>
      <c r="AE199" s="258" t="s">
        <v>219</v>
      </c>
      <c r="AF199" s="2"/>
      <c r="AG199" s="409"/>
      <c r="AH199" s="409"/>
      <c r="AI199" s="256" t="s">
        <v>219</v>
      </c>
      <c r="AJ199" s="257" t="s">
        <v>219</v>
      </c>
      <c r="AK199" s="257" t="s">
        <v>219</v>
      </c>
      <c r="AL199" s="257" t="s">
        <v>219</v>
      </c>
      <c r="AM199" s="258" t="s">
        <v>219</v>
      </c>
      <c r="AN199" s="2"/>
      <c r="AO199" s="409"/>
      <c r="AP199" s="409"/>
      <c r="AQ199" s="256" t="s">
        <v>219</v>
      </c>
      <c r="AR199" s="257" t="s">
        <v>219</v>
      </c>
      <c r="AS199" s="257" t="s">
        <v>219</v>
      </c>
      <c r="AT199" s="257" t="s">
        <v>219</v>
      </c>
      <c r="AU199" s="258" t="s">
        <v>219</v>
      </c>
      <c r="AV199" s="252"/>
      <c r="AW199" s="409"/>
      <c r="AX199" s="409"/>
      <c r="AY199" s="256" t="s">
        <v>219</v>
      </c>
      <c r="AZ199" s="257" t="s">
        <v>219</v>
      </c>
      <c r="BA199" s="257" t="s">
        <v>219</v>
      </c>
      <c r="BB199" s="257" t="s">
        <v>219</v>
      </c>
      <c r="BC199" s="258" t="s">
        <v>219</v>
      </c>
    </row>
    <row r="200" spans="1:55" ht="14.25" customHeight="1" x14ac:dyDescent="0.3"/>
    <row r="201" spans="1:55" ht="14.25" customHeight="1" x14ac:dyDescent="0.3">
      <c r="B201" s="139" t="s">
        <v>146</v>
      </c>
      <c r="C201" s="140">
        <f ca="1">$D$1</f>
        <v>770</v>
      </c>
      <c r="D201" s="355" t="s">
        <v>201</v>
      </c>
      <c r="E201" s="355"/>
      <c r="F201" s="137"/>
      <c r="G201" s="137"/>
      <c r="H201" s="2"/>
      <c r="I201" s="2"/>
      <c r="J201" s="139" t="s">
        <v>146</v>
      </c>
      <c r="K201" s="140">
        <f ca="1">$D$1</f>
        <v>770</v>
      </c>
      <c r="L201" s="355" t="s">
        <v>201</v>
      </c>
      <c r="M201" s="355"/>
      <c r="N201" s="137"/>
      <c r="O201" s="137"/>
      <c r="P201" s="137"/>
      <c r="Q201" s="2"/>
      <c r="R201" s="139" t="s">
        <v>146</v>
      </c>
      <c r="S201" s="140">
        <f ca="1">$D$1</f>
        <v>770</v>
      </c>
      <c r="T201" s="355" t="s">
        <v>201</v>
      </c>
      <c r="U201" s="355"/>
      <c r="V201" s="137"/>
      <c r="W201" s="137"/>
      <c r="X201" s="2"/>
      <c r="Y201" s="2"/>
      <c r="Z201" s="139" t="s">
        <v>146</v>
      </c>
      <c r="AA201" s="140">
        <f ca="1">$D$1</f>
        <v>770</v>
      </c>
      <c r="AB201" s="355" t="s">
        <v>201</v>
      </c>
      <c r="AC201" s="355"/>
      <c r="AD201" s="137"/>
      <c r="AE201" s="137"/>
      <c r="AF201" s="2"/>
      <c r="AG201" s="2"/>
      <c r="AH201" s="139" t="s">
        <v>146</v>
      </c>
      <c r="AI201" s="140">
        <f ca="1">$D$1</f>
        <v>770</v>
      </c>
      <c r="AJ201" s="355" t="s">
        <v>201</v>
      </c>
      <c r="AK201" s="355"/>
      <c r="AL201" s="137"/>
      <c r="AM201" s="137"/>
      <c r="AN201" s="2"/>
      <c r="AO201" s="2"/>
      <c r="AP201" s="139" t="s">
        <v>146</v>
      </c>
      <c r="AQ201" s="140">
        <f ca="1">$D$1</f>
        <v>770</v>
      </c>
      <c r="AR201" s="355" t="s">
        <v>201</v>
      </c>
      <c r="AS201" s="355"/>
      <c r="AT201" s="137"/>
      <c r="AU201" s="137"/>
      <c r="AV201" s="137"/>
      <c r="AW201" s="2"/>
      <c r="AX201" s="139" t="s">
        <v>146</v>
      </c>
      <c r="AY201" s="140">
        <f ca="1">$D$1</f>
        <v>770</v>
      </c>
      <c r="AZ201" s="355" t="s">
        <v>201</v>
      </c>
      <c r="BA201" s="355"/>
    </row>
    <row r="202" spans="1:55" ht="14.25" customHeight="1" x14ac:dyDescent="0.3">
      <c r="B202" s="16" t="s">
        <v>202</v>
      </c>
      <c r="C202" s="141">
        <f t="array" aca="1" ref="C202" ca="1">INDEX(C184:G184,MATCH(C201,C184:G184,1))</f>
        <v>0</v>
      </c>
      <c r="D202" s="16" t="s">
        <v>144</v>
      </c>
      <c r="E202" s="17">
        <f>MATCH(MAX(A185:A199),A185:A199,0)</f>
        <v>14</v>
      </c>
      <c r="F202" s="17"/>
      <c r="H202" s="2"/>
      <c r="I202" s="2"/>
      <c r="J202" s="16" t="s">
        <v>202</v>
      </c>
      <c r="K202" s="141">
        <f t="array" aca="1" ref="K202" ca="1">INDEX(K184:O184,MATCH(K201,K184:O184,1))</f>
        <v>0</v>
      </c>
      <c r="L202" s="16" t="s">
        <v>144</v>
      </c>
      <c r="M202" s="17">
        <f>MATCH(MAX(I185:I199),I185:I199,0)</f>
        <v>14</v>
      </c>
      <c r="N202" s="17"/>
      <c r="O202" s="17"/>
      <c r="P202" s="17"/>
      <c r="Q202" s="2"/>
      <c r="R202" s="16" t="s">
        <v>202</v>
      </c>
      <c r="S202" s="141">
        <f t="array" aca="1" ref="S202" ca="1">INDEX(S184:W184,MATCH(S201,S184:W184,1))</f>
        <v>0</v>
      </c>
      <c r="T202" s="16" t="s">
        <v>144</v>
      </c>
      <c r="U202" s="17">
        <f>MATCH(MAX(Q185:Q199),Q185:Q199,0)</f>
        <v>14</v>
      </c>
      <c r="V202" s="17"/>
      <c r="W202" s="17"/>
      <c r="X202" s="2"/>
      <c r="Y202" s="2"/>
      <c r="Z202" s="16" t="s">
        <v>202</v>
      </c>
      <c r="AA202" s="141">
        <f t="array" aca="1" ref="AA202" ca="1">INDEX(AA184:AE184,MATCH(AA201,AA184:AE184,1))</f>
        <v>0</v>
      </c>
      <c r="AB202" s="16" t="s">
        <v>144</v>
      </c>
      <c r="AC202" s="17">
        <f>MATCH(MAX(Y185:Y199),Y185:Y199,0)</f>
        <v>14</v>
      </c>
      <c r="AD202" s="17"/>
      <c r="AE202" s="17"/>
      <c r="AF202" s="2"/>
      <c r="AG202" s="2"/>
      <c r="AH202" s="16" t="s">
        <v>202</v>
      </c>
      <c r="AI202" s="141">
        <f t="array" aca="1" ref="AI202" ca="1">INDEX(AI184:AM184,MATCH(AI201,AI184:AM184,1))</f>
        <v>0</v>
      </c>
      <c r="AJ202" s="16" t="s">
        <v>144</v>
      </c>
      <c r="AK202" s="17">
        <f>MATCH(MAX(AG185:AG199),AG185:AG199,0)</f>
        <v>14</v>
      </c>
      <c r="AL202" s="17"/>
      <c r="AM202" s="17"/>
      <c r="AN202" s="2"/>
      <c r="AO202" s="2"/>
      <c r="AP202" s="16" t="s">
        <v>202</v>
      </c>
      <c r="AQ202" s="141">
        <f t="array" aca="1" ref="AQ202" ca="1">INDEX(AQ184:AU184,MATCH(AQ201,AQ184:AU184,1))</f>
        <v>0</v>
      </c>
      <c r="AR202" s="16" t="s">
        <v>144</v>
      </c>
      <c r="AS202" s="17">
        <f>MATCH(MAX(AO185:AO199),AO185:AO199,0)</f>
        <v>14</v>
      </c>
      <c r="AT202" s="17"/>
      <c r="AU202" s="17"/>
      <c r="AV202" s="17"/>
      <c r="AW202" s="2"/>
      <c r="AX202" s="16" t="s">
        <v>202</v>
      </c>
      <c r="AY202" s="141">
        <f t="array" aca="1" ref="AY202" ca="1">INDEX(AY184:BC184,MATCH(AY201,AY184:BC184,1))</f>
        <v>0</v>
      </c>
      <c r="AZ202" s="16" t="s">
        <v>144</v>
      </c>
      <c r="BA202" s="17">
        <f>MATCH(MAX(AW185:AW199),AW185:AW199,0)</f>
        <v>14</v>
      </c>
    </row>
    <row r="203" spans="1:55" ht="14.25" customHeight="1" x14ac:dyDescent="0.3">
      <c r="B203" s="16" t="s">
        <v>203</v>
      </c>
      <c r="C203" s="141">
        <f t="array" aca="1" ref="C203" ca="1">INDEX(C184:G184,IF(MATCH(C201,C184:G184,1)&lt;E203,MATCH(C201,C184:G184,1)+1,MATCH(C201,C184:G184,1)))</f>
        <v>1000</v>
      </c>
      <c r="D203" s="16" t="s">
        <v>145</v>
      </c>
      <c r="E203" s="17">
        <f>MATCH(MAX(C184:G184),C184:G184,0)</f>
        <v>5</v>
      </c>
      <c r="F203" s="17"/>
      <c r="H203" s="2"/>
      <c r="I203" s="2"/>
      <c r="J203" s="16" t="s">
        <v>203</v>
      </c>
      <c r="K203" s="141">
        <f t="array" aca="1" ref="K203" ca="1">INDEX(K184:O184,IF(MATCH(K201,K184:O184,1)&lt;M203,MATCH(K201,K184:O184,1)+1,MATCH(K201,K184:O184,1)))</f>
        <v>1000</v>
      </c>
      <c r="L203" s="16" t="s">
        <v>145</v>
      </c>
      <c r="M203" s="17">
        <f>MATCH(MAX(K184:O184),K184:O184,0)</f>
        <v>5</v>
      </c>
      <c r="N203" s="17"/>
      <c r="O203" s="17"/>
      <c r="P203" s="17"/>
      <c r="Q203" s="2"/>
      <c r="R203" s="16" t="s">
        <v>203</v>
      </c>
      <c r="S203" s="141">
        <f t="array" aca="1" ref="S203" ca="1">INDEX(S184:W184,IF(MATCH(S201,S184:W184,1)&lt;U203,MATCH(S201,S184:W184,1)+1,MATCH(S201,S184:W184,1)))</f>
        <v>1000</v>
      </c>
      <c r="T203" s="16" t="s">
        <v>145</v>
      </c>
      <c r="U203" s="17">
        <f>MATCH(MAX(S184:W184),S184:W184,0)</f>
        <v>5</v>
      </c>
      <c r="V203" s="17"/>
      <c r="W203" s="17"/>
      <c r="X203" s="2"/>
      <c r="Y203" s="2"/>
      <c r="Z203" s="16" t="s">
        <v>203</v>
      </c>
      <c r="AA203" s="141">
        <f t="array" aca="1" ref="AA203" ca="1">INDEX(AA184:AE184,IF(MATCH(AA201,AA184:AE184,1)&lt;AC203,MATCH(AA201,AA184:AE184,1)+1,MATCH(AA201,AA184:AE184,1)))</f>
        <v>1000</v>
      </c>
      <c r="AB203" s="16" t="s">
        <v>145</v>
      </c>
      <c r="AC203" s="17">
        <f>MATCH(MAX(AA184:AE184),AA184:AE184,0)</f>
        <v>5</v>
      </c>
      <c r="AD203" s="17"/>
      <c r="AE203" s="17"/>
      <c r="AF203" s="2"/>
      <c r="AG203" s="2"/>
      <c r="AH203" s="16" t="s">
        <v>203</v>
      </c>
      <c r="AI203" s="141">
        <f t="array" aca="1" ref="AI203" ca="1">INDEX(AI184:AM184,IF(MATCH(AI201,AI184:AM184,1)&lt;AK203,MATCH(AI201,AI184:AM184,1)+1,MATCH(AI201,AI184:AM184,1)))</f>
        <v>1000</v>
      </c>
      <c r="AJ203" s="16" t="s">
        <v>145</v>
      </c>
      <c r="AK203" s="17">
        <f>MATCH(MAX(AI184:AM184),AI184:AM184,0)</f>
        <v>5</v>
      </c>
      <c r="AL203" s="17"/>
      <c r="AM203" s="17"/>
      <c r="AN203" s="2"/>
      <c r="AO203" s="2"/>
      <c r="AP203" s="16" t="s">
        <v>203</v>
      </c>
      <c r="AQ203" s="141">
        <f t="array" aca="1" ref="AQ203" ca="1">INDEX(AQ184:AU184,IF(MATCH(AQ201,AQ184:AU184,1)&lt;AS203,MATCH(AQ201,AQ184:AU184,1)+1,MATCH(AQ201,AQ184:AU184,1)))</f>
        <v>1000</v>
      </c>
      <c r="AR203" s="16" t="s">
        <v>145</v>
      </c>
      <c r="AS203" s="17">
        <f>MATCH(MAX(AQ184:AU184),AQ184:AU184,0)</f>
        <v>5</v>
      </c>
      <c r="AT203" s="17"/>
      <c r="AU203" s="17"/>
      <c r="AV203" s="17"/>
      <c r="AW203" s="2"/>
      <c r="AX203" s="16" t="s">
        <v>203</v>
      </c>
      <c r="AY203" s="141">
        <f t="array" aca="1" ref="AY203" ca="1">INDEX(AY184:BC184,IF(MATCH(AY201,AY184:BC184,1)&lt;BA203,MATCH(AY201,AY184:BC184,1)+1,MATCH(AY201,AY184:BC184,1)))</f>
        <v>1000</v>
      </c>
      <c r="AZ203" s="16" t="s">
        <v>145</v>
      </c>
      <c r="BA203" s="17">
        <f>MATCH(MAX(AY184:BC184),AY184:BC184,0)</f>
        <v>5</v>
      </c>
    </row>
    <row r="204" spans="1:55" ht="14.25" customHeight="1" x14ac:dyDescent="0.3">
      <c r="B204" s="139" t="s">
        <v>147</v>
      </c>
      <c r="C204" s="140">
        <f ca="1">$D$2</f>
        <v>15</v>
      </c>
      <c r="D204" s="2"/>
      <c r="E204" s="2"/>
      <c r="F204" s="2"/>
      <c r="G204" s="17"/>
      <c r="H204" s="2"/>
      <c r="I204" s="2"/>
      <c r="J204" s="139" t="s">
        <v>147</v>
      </c>
      <c r="K204" s="140">
        <f ca="1">$D$2</f>
        <v>15</v>
      </c>
      <c r="L204" s="2"/>
      <c r="M204" s="2"/>
      <c r="N204" s="2"/>
      <c r="O204" s="17"/>
      <c r="P204" s="17"/>
      <c r="Q204" s="2"/>
      <c r="R204" s="139" t="s">
        <v>147</v>
      </c>
      <c r="S204" s="140">
        <f ca="1">$D$2</f>
        <v>15</v>
      </c>
      <c r="T204" s="2"/>
      <c r="U204" s="2"/>
      <c r="V204" s="2"/>
      <c r="W204" s="17"/>
      <c r="X204" s="2"/>
      <c r="Y204" s="2"/>
      <c r="Z204" s="139" t="s">
        <v>147</v>
      </c>
      <c r="AA204" s="140">
        <f ca="1">$D$2</f>
        <v>15</v>
      </c>
      <c r="AB204" s="2"/>
      <c r="AC204" s="2"/>
      <c r="AD204" s="2"/>
      <c r="AE204" s="17"/>
      <c r="AF204" s="2"/>
      <c r="AG204" s="2"/>
      <c r="AH204" s="139" t="s">
        <v>147</v>
      </c>
      <c r="AI204" s="140">
        <f ca="1">$D$2</f>
        <v>15</v>
      </c>
      <c r="AJ204" s="2"/>
      <c r="AK204" s="2"/>
      <c r="AL204" s="2"/>
      <c r="AM204" s="17"/>
      <c r="AN204" s="2"/>
      <c r="AO204" s="2"/>
      <c r="AP204" s="139" t="s">
        <v>147</v>
      </c>
      <c r="AQ204" s="140">
        <f ca="1">$D$2</f>
        <v>15</v>
      </c>
      <c r="AR204" s="2"/>
      <c r="AS204" s="2"/>
      <c r="AT204" s="2"/>
      <c r="AU204" s="17"/>
      <c r="AV204" s="17"/>
      <c r="AW204" s="2"/>
      <c r="AX204" s="139" t="s">
        <v>147</v>
      </c>
      <c r="AY204" s="140">
        <f ca="1">$D$2</f>
        <v>15</v>
      </c>
      <c r="AZ204" s="2"/>
      <c r="BA204" s="2"/>
    </row>
    <row r="205" spans="1:55" ht="14.25" customHeight="1" x14ac:dyDescent="0.3">
      <c r="B205" s="16" t="s">
        <v>148</v>
      </c>
      <c r="C205" s="141">
        <f t="array" aca="1" ref="C205" ca="1">INDEX(A185:A199,MATCH(C204,A185:A199,1))</f>
        <v>15</v>
      </c>
      <c r="D205" s="2"/>
      <c r="E205" s="268" t="s">
        <v>229</v>
      </c>
      <c r="F205" s="42"/>
      <c r="G205" s="2"/>
      <c r="H205" s="2"/>
      <c r="I205" s="2"/>
      <c r="J205" s="16" t="s">
        <v>148</v>
      </c>
      <c r="K205" s="141">
        <f t="array" aca="1" ref="K205" ca="1">INDEX(I185:I199,MATCH(K204,I185:I199,1))</f>
        <v>15</v>
      </c>
      <c r="L205" s="2"/>
      <c r="M205" s="2"/>
      <c r="N205" s="2"/>
      <c r="O205" s="2"/>
      <c r="P205" s="2"/>
      <c r="Q205" s="2"/>
      <c r="R205" s="16" t="s">
        <v>148</v>
      </c>
      <c r="S205" s="141">
        <f t="array" aca="1" ref="S205" ca="1">INDEX(Q185:Q199,MATCH(S204,Q185:Q199,1))</f>
        <v>15</v>
      </c>
      <c r="T205" s="2"/>
      <c r="U205" s="2"/>
      <c r="V205" s="2"/>
      <c r="W205" s="2"/>
      <c r="X205" s="2"/>
      <c r="Y205" s="2"/>
      <c r="Z205" s="16" t="s">
        <v>148</v>
      </c>
      <c r="AA205" s="141">
        <f t="array" aca="1" ref="AA205" ca="1">INDEX(Y185:Y199,MATCH(AA204,Y185:Y199,1))</f>
        <v>15</v>
      </c>
      <c r="AB205" s="2"/>
      <c r="AC205" s="2"/>
      <c r="AD205" s="2"/>
      <c r="AE205" s="2"/>
      <c r="AF205" s="2"/>
      <c r="AG205" s="2"/>
      <c r="AH205" s="16" t="s">
        <v>148</v>
      </c>
      <c r="AI205" s="141">
        <f t="array" aca="1" ref="AI205" ca="1">INDEX(AG185:AG199,MATCH(AI204,AG185:AG199,1))</f>
        <v>15</v>
      </c>
      <c r="AJ205" s="2"/>
      <c r="AK205" s="2"/>
      <c r="AL205" s="2"/>
      <c r="AM205" s="2"/>
      <c r="AN205" s="2"/>
      <c r="AO205" s="2"/>
      <c r="AP205" s="16" t="s">
        <v>148</v>
      </c>
      <c r="AQ205" s="141">
        <f t="array" aca="1" ref="AQ205" ca="1">INDEX(AO185:AO199,MATCH(AQ204,AO185:AO199,1))</f>
        <v>15</v>
      </c>
      <c r="AR205" s="2"/>
      <c r="AS205" s="2"/>
      <c r="AT205" s="2"/>
      <c r="AU205" s="2"/>
      <c r="AV205" s="2"/>
      <c r="AW205" s="2"/>
      <c r="AX205" s="16" t="s">
        <v>148</v>
      </c>
      <c r="AY205" s="141">
        <f t="array" aca="1" ref="AY205" ca="1">INDEX(AW185:AW199,MATCH(AY204,AW185:AW199,1))</f>
        <v>10</v>
      </c>
      <c r="AZ205" s="2"/>
      <c r="BA205" s="2"/>
    </row>
    <row r="206" spans="1:55" ht="14.25" customHeight="1" x14ac:dyDescent="0.3">
      <c r="B206" s="16" t="s">
        <v>149</v>
      </c>
      <c r="C206" s="141">
        <f t="array" aca="1" ref="C206" ca="1">INDEX(A185:A199,IF(MATCH(C204,A185:A199,1)&lt;E202,MATCH(C204,A185:A199,1)+1,MATCH(C204,A185:A199,1)))</f>
        <v>20</v>
      </c>
      <c r="D206" s="2"/>
      <c r="E206" s="42"/>
      <c r="F206" s="42"/>
      <c r="G206" s="2"/>
      <c r="H206" s="2"/>
      <c r="I206" s="2"/>
      <c r="J206" s="16" t="s">
        <v>149</v>
      </c>
      <c r="K206" s="141">
        <f t="array" aca="1" ref="K206" ca="1">INDEX(I185:I199,IF(MATCH(K204,I185:I199,1)&lt;M202,MATCH(K204,I185:I199,1)+1,MATCH(K204,I185:I199,1)))</f>
        <v>20</v>
      </c>
      <c r="L206" s="2"/>
      <c r="M206" s="2"/>
      <c r="N206" s="2"/>
      <c r="O206" s="2"/>
      <c r="P206" s="2"/>
      <c r="Q206" s="2"/>
      <c r="R206" s="16" t="s">
        <v>149</v>
      </c>
      <c r="S206" s="141">
        <f t="array" aca="1" ref="S206" ca="1">INDEX(Q185:Q199,IF(MATCH(S204,Q185:Q199,1)&lt;U202,MATCH(S204,Q185:Q199,1)+1,MATCH(S204,Q185:Q199,1)))</f>
        <v>20</v>
      </c>
      <c r="T206" s="2"/>
      <c r="U206" s="2"/>
      <c r="V206" s="2"/>
      <c r="W206" s="2"/>
      <c r="X206" s="2"/>
      <c r="Y206" s="2"/>
      <c r="Z206" s="16" t="s">
        <v>149</v>
      </c>
      <c r="AA206" s="141">
        <f t="array" aca="1" ref="AA206" ca="1">INDEX(Y185:Y199,IF(MATCH(AA204,Y185:Y199,1)&lt;AC202,MATCH(AA204,Y185:Y199,1)+1,MATCH(AA204,Y185:Y199,1)))</f>
        <v>20</v>
      </c>
      <c r="AB206" s="2"/>
      <c r="AC206" s="2"/>
      <c r="AD206" s="2"/>
      <c r="AE206" s="2"/>
      <c r="AF206" s="2"/>
      <c r="AG206" s="2"/>
      <c r="AH206" s="16" t="s">
        <v>149</v>
      </c>
      <c r="AI206" s="141">
        <f t="array" aca="1" ref="AI206" ca="1">INDEX(AG185:AG199,IF(MATCH(AI204,AG185:AG199,1)&lt;AK202,MATCH(AI204,AG185:AG199,1)+1,MATCH(AI204,AG185:AG199,1)))</f>
        <v>20</v>
      </c>
      <c r="AJ206" s="2"/>
      <c r="AK206" s="2"/>
      <c r="AL206" s="2"/>
      <c r="AM206" s="2"/>
      <c r="AN206" s="2"/>
      <c r="AO206" s="2"/>
      <c r="AP206" s="16" t="s">
        <v>149</v>
      </c>
      <c r="AQ206" s="141">
        <f t="array" aca="1" ref="AQ206" ca="1">INDEX(AO185:AO199,IF(MATCH(AQ204,AO185:AO199,1)&lt;AS202,MATCH(AQ204,AO185:AO199,1)+1,MATCH(AQ204,AO185:AO199,1)))</f>
        <v>20</v>
      </c>
      <c r="AR206" s="2"/>
      <c r="AS206" s="2"/>
      <c r="AT206" s="2"/>
      <c r="AU206" s="2"/>
      <c r="AV206" s="2"/>
      <c r="AW206" s="2"/>
      <c r="AX206" s="16" t="s">
        <v>149</v>
      </c>
      <c r="AY206" s="141">
        <f ca="1">INDEX(AW185:AW199,IF(MATCH(AY204,AW185:AW199,1)&lt;BA202,MATCH(AY204,AW185:AW199,1)+1,MATCH(AY204,AW185:AW199,1)))</f>
        <v>0</v>
      </c>
      <c r="AZ206" s="2"/>
      <c r="BA206" s="2"/>
    </row>
    <row r="207" spans="1:55" ht="14.25" customHeight="1" x14ac:dyDescent="0.3">
      <c r="B207" s="139" t="s">
        <v>150</v>
      </c>
      <c r="C207" s="140">
        <f t="array" aca="1" ref="C207" ca="1">INDEX(C185:G199,MATCH(C204,A185:A199,1),MATCH(C201,C184:G184,1))</f>
        <v>115</v>
      </c>
      <c r="D207" s="2"/>
      <c r="E207" s="42"/>
      <c r="F207" s="42"/>
      <c r="G207" s="2"/>
      <c r="H207" s="2"/>
      <c r="I207" s="2"/>
      <c r="J207" s="139" t="s">
        <v>150</v>
      </c>
      <c r="K207" s="140">
        <f t="array" aca="1" ref="K207" ca="1">INDEX(K185:O199,MATCH(K204,I185:I199,1),MATCH(K201,K184:O184,1))</f>
        <v>114</v>
      </c>
      <c r="L207" s="2"/>
      <c r="M207" s="2"/>
      <c r="N207" s="2"/>
      <c r="O207" s="2"/>
      <c r="P207" s="2"/>
      <c r="Q207" s="2"/>
      <c r="R207" s="139" t="s">
        <v>150</v>
      </c>
      <c r="S207" s="140">
        <f t="array" aca="1" ref="S207" ca="1">INDEX(S185:W199,MATCH(S204,Q185:Q199,1),MATCH(S201,S184:W184,1))</f>
        <v>111</v>
      </c>
      <c r="T207" s="2"/>
      <c r="U207" s="2"/>
      <c r="V207" s="2"/>
      <c r="W207" s="2"/>
      <c r="X207" s="2"/>
      <c r="Y207" s="2"/>
      <c r="Z207" s="139" t="s">
        <v>150</v>
      </c>
      <c r="AA207" s="140">
        <f t="array" aca="1" ref="AA207" ca="1">INDEX(AA185:AE199,MATCH(AA204,Y185:Y199,1),MATCH(AA201,AA184:AE184,1))</f>
        <v>108</v>
      </c>
      <c r="AB207" s="2"/>
      <c r="AC207" s="2"/>
      <c r="AD207" s="2"/>
      <c r="AE207" s="2"/>
      <c r="AF207" s="2"/>
      <c r="AG207" s="2"/>
      <c r="AH207" s="139" t="s">
        <v>150</v>
      </c>
      <c r="AI207" s="140">
        <f t="array" aca="1" ref="AI207" ca="1">INDEX(AI185:AM199,MATCH(AI204,AG185:AG199,1),MATCH(AI201,AI184:AM184,1))</f>
        <v>105</v>
      </c>
      <c r="AJ207" s="2"/>
      <c r="AK207" s="2"/>
      <c r="AL207" s="2"/>
      <c r="AM207" s="2"/>
      <c r="AN207" s="2"/>
      <c r="AO207" s="2"/>
      <c r="AP207" s="139" t="s">
        <v>150</v>
      </c>
      <c r="AQ207" s="140">
        <f t="array" aca="1" ref="AQ207" ca="1">INDEX(AQ185:AU199,MATCH(AQ204,AO185:AO199,1),MATCH(AQ201,AQ184:AU184,1))</f>
        <v>105</v>
      </c>
      <c r="AR207" s="2"/>
      <c r="AS207" s="2"/>
      <c r="AT207" s="2"/>
      <c r="AU207" s="2"/>
      <c r="AV207" s="2"/>
      <c r="AW207" s="2"/>
      <c r="AX207" s="139" t="s">
        <v>150</v>
      </c>
      <c r="AY207" s="140">
        <f ca="1">INDEX(AY185:BC199,MATCH(AY204,AW185:AW199,1),MATCH(AY201,AY184:BC184,1))</f>
        <v>0</v>
      </c>
      <c r="AZ207" s="2"/>
      <c r="BA207" s="2"/>
    </row>
    <row r="208" spans="1:55" ht="14.25" customHeight="1" x14ac:dyDescent="0.3">
      <c r="B208" s="139" t="s">
        <v>204</v>
      </c>
      <c r="C208" s="140">
        <f t="array" aca="1" ref="C208" ca="1">INDEX(C185:G199,MATCH(C204,A185:A199,1),IF(MATCH(C201,C184:G184,1)&lt;E203,MATCH(C201,C184:G184,1)+1,MATCH(C204,A185:A199,1)))</f>
        <v>115</v>
      </c>
      <c r="E208" s="42"/>
      <c r="F208" s="42"/>
      <c r="G208" s="2"/>
      <c r="H208" s="2"/>
      <c r="I208" s="2"/>
      <c r="J208" s="139" t="s">
        <v>204</v>
      </c>
      <c r="K208" s="140">
        <f t="array" aca="1" ref="K208" ca="1">INDEX(K185:O199,MATCH(K204,I185:I199,1),IF(MATCH(K201,K184:O184,1)&lt;M203,MATCH(K201,K184:O184,1)+1,MATCH(K204,I185:I199,1)))</f>
        <v>114</v>
      </c>
      <c r="O208" s="2"/>
      <c r="P208" s="2"/>
      <c r="Q208" s="2"/>
      <c r="R208" s="139" t="s">
        <v>204</v>
      </c>
      <c r="S208" s="140">
        <f t="array" aca="1" ref="S208" ca="1">INDEX(S185:W199,MATCH(S204,Q185:Q199,1),IF(MATCH(S201,S184:W184,1)&lt;U203,MATCH(S201,S184:W184,1)+1,MATCH(S204,Q185:Q199,1)))</f>
        <v>111</v>
      </c>
      <c r="W208" s="2"/>
      <c r="X208" s="2"/>
      <c r="Y208" s="2"/>
      <c r="Z208" s="139" t="s">
        <v>204</v>
      </c>
      <c r="AA208" s="140">
        <f t="array" aca="1" ref="AA208" ca="1">INDEX(AA185:AE199,MATCH(AA204,Y185:Y199,1),IF(MATCH(AA201,AA184:AE184,1)&lt;AC203,MATCH(AA201,AA184:AE184,1)+1,MATCH(AA204,Y185:Y199,1)))</f>
        <v>108</v>
      </c>
      <c r="AE208" s="2"/>
      <c r="AF208" s="2"/>
      <c r="AG208" s="2"/>
      <c r="AH208" s="139" t="s">
        <v>204</v>
      </c>
      <c r="AI208" s="140">
        <f t="array" aca="1" ref="AI208" ca="1">INDEX(AI185:AM199,MATCH(AI204,AG185:AG199,1),IF(MATCH(AI201,AI184:AM184,1)&lt;AK203,MATCH(AI201,AI184:AM184,1)+1,MATCH(AI204,AG185:AG199,1)))</f>
        <v>105</v>
      </c>
      <c r="AM208" s="2"/>
      <c r="AN208" s="2"/>
      <c r="AO208" s="2"/>
      <c r="AP208" s="139" t="s">
        <v>204</v>
      </c>
      <c r="AQ208" s="140">
        <f t="array" aca="1" ref="AQ208" ca="1">INDEX(AQ185:AU199,MATCH(AQ204,AO185:AO199,1),IF(MATCH(AQ201,AQ184:AU184,1)&lt;AS203,MATCH(AQ201,AQ184:AU184,1)+1,MATCH(AQ204,AO185:AO199,1)))</f>
        <v>105</v>
      </c>
      <c r="AU208" s="2"/>
      <c r="AV208" s="2"/>
      <c r="AW208" s="2"/>
      <c r="AX208" s="139" t="s">
        <v>204</v>
      </c>
      <c r="AY208" s="140">
        <f ca="1">INDEX(AY185:BC199,MATCH(AY204,AW185:AW199,1),IF(MATCH(AY201,AY184:BC184,1)&lt;BA203,MATCH(AY201,AY184:BC184,1)+1,MATCH(AY204,AW185:AW199,1)))</f>
        <v>0</v>
      </c>
    </row>
    <row r="209" spans="1:55" ht="14.25" customHeight="1" x14ac:dyDescent="0.3">
      <c r="B209" s="139" t="s">
        <v>151</v>
      </c>
      <c r="C209" s="140">
        <f t="array" aca="1" ref="C209" ca="1">INDEX(C185:G199,IF(MATCH(C204,A185:A199,1)&lt;E202,MATCH(C204,A185:A199,1)+1,MATCH(C204,A185:A199,1)),MATCH(C201,C184:G184,1))</f>
        <v>115</v>
      </c>
      <c r="E209" s="42"/>
      <c r="F209" s="42"/>
      <c r="G209" s="2"/>
      <c r="H209" s="2"/>
      <c r="I209" s="2"/>
      <c r="J209" s="139" t="s">
        <v>151</v>
      </c>
      <c r="K209" s="140">
        <f t="array" aca="1" ref="K209" ca="1">INDEX(K185:O199,IF(MATCH(K204,I185:I199,1)&lt;M202,MATCH(K204,I185:I199,1)+1,MATCH(K204,I185:I199,1)),MATCH(K201,K184:O184,1))</f>
        <v>114</v>
      </c>
      <c r="O209" s="2"/>
      <c r="P209" s="2"/>
      <c r="Q209" s="2"/>
      <c r="R209" s="139" t="s">
        <v>151</v>
      </c>
      <c r="S209" s="140">
        <f t="array" aca="1" ref="S209" ca="1">INDEX(S185:W199,IF(MATCH(S204,Q185:Q199,1)&lt;U202,MATCH(S204,Q185:Q199,1)+1,MATCH(S204,Q185:Q199,1)),MATCH(S201,S184:W184,1))</f>
        <v>111</v>
      </c>
      <c r="W209" s="2"/>
      <c r="X209" s="2"/>
      <c r="Y209" s="2"/>
      <c r="Z209" s="139" t="s">
        <v>151</v>
      </c>
      <c r="AA209" s="140">
        <f t="array" aca="1" ref="AA209" ca="1">INDEX(AA185:AE199,IF(MATCH(AA204,Y185:Y199,1)&lt;AC202,MATCH(AA204,Y185:Y199,1)+1,MATCH(AA204,Y185:Y199,1)),MATCH(AA201,AA184:AE184,1))</f>
        <v>108</v>
      </c>
      <c r="AE209" s="2"/>
      <c r="AF209" s="2"/>
      <c r="AG209" s="2"/>
      <c r="AH209" s="139" t="s">
        <v>151</v>
      </c>
      <c r="AI209" s="140">
        <f t="array" aca="1" ref="AI209" ca="1">INDEX(AI185:AM199,IF(MATCH(AI204,AG185:AG199,1)&lt;AK202,MATCH(AI204,AG185:AG199,1)+1,MATCH(AI204,AG185:AG199,1)),MATCH(AI201,AI184:AM184,1))</f>
        <v>105</v>
      </c>
      <c r="AM209" s="2"/>
      <c r="AN209" s="2"/>
      <c r="AO209" s="2"/>
      <c r="AP209" s="139" t="s">
        <v>151</v>
      </c>
      <c r="AQ209" s="140">
        <f t="array" aca="1" ref="AQ209" ca="1">INDEX(AQ185:AU199,IF(MATCH(AQ204,AO185:AO199,1)&lt;AS202,MATCH(AQ204,AO185:AO199,1)+1,MATCH(AQ204,AO185:AO199,1)),MATCH(AQ201,AQ184:AU184,1))</f>
        <v>105</v>
      </c>
      <c r="AU209" s="2"/>
      <c r="AV209" s="2"/>
      <c r="AW209" s="2"/>
      <c r="AX209" s="139" t="s">
        <v>151</v>
      </c>
      <c r="AY209" s="140">
        <f ca="1">INDEX(AY185:BC199,IF(MATCH(AY204,AW185:AW199,1)&lt;BA202,MATCH(AY204,AW185:AW199,1)+1,MATCH(AY204,AW185:AW199,1)),MATCH(AY201,AY184:BC184,1))</f>
        <v>0</v>
      </c>
    </row>
    <row r="210" spans="1:55" ht="14.25" customHeight="1" x14ac:dyDescent="0.3">
      <c r="B210" s="139" t="s">
        <v>205</v>
      </c>
      <c r="C210" s="140">
        <f t="array" aca="1" ref="C210" ca="1">INDEX(C185:G199,IF(MATCH(C204,A185:A199,1)&lt;E202,MATCH(C204,A185:A199,1)+1,MATCH(C204,A185:A199,1)),IF(MATCH(C201,C184:G184,1)&lt;E203,MATCH(C201,C184:G184,1)+1,MATCH(C201,C184:G184,1)))</f>
        <v>115</v>
      </c>
      <c r="G210" s="2"/>
      <c r="H210" s="2"/>
      <c r="I210" s="2"/>
      <c r="J210" s="139" t="s">
        <v>205</v>
      </c>
      <c r="K210" s="140">
        <f t="array" aca="1" ref="K210" ca="1">INDEX(K185:O199,IF(MATCH(K204,I185:I199,1)&lt;M202,MATCH(K204,I185:I199,1)+1,MATCH(K204,I185:I199,1)),IF(MATCH(K201,K184:O184,1)&lt;M203,MATCH(K201,K184:O184,1)+1,MATCH(K201,K184:O184,1)))</f>
        <v>114</v>
      </c>
      <c r="O210" s="2"/>
      <c r="P210" s="2"/>
      <c r="Q210" s="2"/>
      <c r="R210" s="139" t="s">
        <v>205</v>
      </c>
      <c r="S210" s="140">
        <f t="array" aca="1" ref="S210" ca="1">INDEX(S185:W199,IF(MATCH(S204,Q185:Q199,1)&lt;U202,MATCH(S204,Q185:Q199,1)+1,MATCH(S204,Q185:Q199,1)),IF(MATCH(S201,S184:W184,1)&lt;U203,MATCH(S201,S184:W184,1)+1,MATCH(S201,S184:W184,1)))</f>
        <v>111</v>
      </c>
      <c r="W210" s="2"/>
      <c r="X210" s="2"/>
      <c r="Y210" s="2"/>
      <c r="Z210" s="139" t="s">
        <v>205</v>
      </c>
      <c r="AA210" s="140">
        <f t="array" aca="1" ref="AA210" ca="1">INDEX(AA185:AE199,IF(MATCH(AA204,Y185:Y199,1)&lt;AC202,MATCH(AA204,Y185:Y199,1)+1,MATCH(AA204,Y185:Y199,1)),IF(MATCH(AA201,AA184:AE184,1)&lt;AC203,MATCH(AA201,AA184:AE184,1)+1,MATCH(AA201,AA184:AE184,1)))</f>
        <v>108</v>
      </c>
      <c r="AE210" s="2"/>
      <c r="AF210" s="2"/>
      <c r="AG210" s="2"/>
      <c r="AH210" s="139" t="s">
        <v>205</v>
      </c>
      <c r="AI210" s="140">
        <f t="array" aca="1" ref="AI210" ca="1">INDEX(AI185:AM199,IF(MATCH(AI204,AG185:AG199,1)&lt;AK202,MATCH(AI204,AG185:AG199,1)+1,MATCH(AI204,AG185:AG199,1)),IF(MATCH(AI201,AI184:AM184,1)&lt;AK203,MATCH(AI201,AI184:AM184,1)+1,MATCH(AI201,AI184:AM184,1)))</f>
        <v>105</v>
      </c>
      <c r="AM210" s="2"/>
      <c r="AN210" s="2"/>
      <c r="AO210" s="2"/>
      <c r="AP210" s="139" t="s">
        <v>205</v>
      </c>
      <c r="AQ210" s="140">
        <f t="array" aca="1" ref="AQ210" ca="1">INDEX(AQ185:AU199,IF(MATCH(AQ204,AO185:AO199,1)&lt;AS202,MATCH(AQ204,AO185:AO199,1)+1,MATCH(AQ204,AO185:AO199,1)),IF(MATCH(AQ201,AQ184:AU184,1)&lt;AS203,MATCH(AQ201,AQ184:AU184,1)+1,MATCH(AQ201,AQ184:AU184,1)))</f>
        <v>105</v>
      </c>
      <c r="AU210" s="2"/>
      <c r="AV210" s="2"/>
      <c r="AW210" s="2"/>
      <c r="AX210" s="139" t="s">
        <v>205</v>
      </c>
      <c r="AY210" s="140">
        <f ca="1">INDEX(AY185:BC199,IF(MATCH(AY204,AW185:AW199,1)&lt;BA202,MATCH(AY204,AW185:AW199,1)+1,MATCH(AY204,AW185:AW199,1)),IF(MATCH(AY201,AY184:BC184,1)&lt;BA203,MATCH(AY201,AY184:BC184,1)+1,MATCH(AY201,AY184:BC184,1)))</f>
        <v>0</v>
      </c>
    </row>
    <row r="211" spans="1:55" ht="14.25" customHeight="1" x14ac:dyDescent="0.3">
      <c r="B211" s="16" t="s">
        <v>206</v>
      </c>
      <c r="C211" s="141">
        <f ca="1">IFERROR(C207+(C201-C202)*(C208-C207)/(C203-C202),C207)</f>
        <v>115</v>
      </c>
      <c r="G211" s="2"/>
      <c r="H211" s="2"/>
      <c r="I211" s="2"/>
      <c r="J211" s="16" t="s">
        <v>206</v>
      </c>
      <c r="K211" s="141">
        <f ca="1">IFERROR(K207+(K201-K202)*(K208-K207)/(K203-K202),K207)</f>
        <v>114</v>
      </c>
      <c r="O211" s="2"/>
      <c r="P211" s="2"/>
      <c r="Q211" s="2"/>
      <c r="R211" s="16" t="s">
        <v>206</v>
      </c>
      <c r="S211" s="141">
        <f ca="1">IFERROR(S207+(S201-S202)*(S208-S207)/(S203-S202),S207)</f>
        <v>111</v>
      </c>
      <c r="W211" s="2"/>
      <c r="X211" s="2"/>
      <c r="Y211" s="2"/>
      <c r="Z211" s="16" t="s">
        <v>206</v>
      </c>
      <c r="AA211" s="141">
        <f ca="1">IFERROR(AA207+(AA201-AA202)*(AA208-AA207)/(AA203-AA202),AA207)</f>
        <v>108</v>
      </c>
      <c r="AE211" s="2"/>
      <c r="AF211" s="2"/>
      <c r="AG211" s="2"/>
      <c r="AH211" s="16" t="s">
        <v>206</v>
      </c>
      <c r="AI211" s="141">
        <f ca="1">IFERROR(AI207+(AI201-AI202)*(AI208-AI207)/(AI203-AI202),AI207)</f>
        <v>105</v>
      </c>
      <c r="AM211" s="2"/>
      <c r="AN211" s="2"/>
      <c r="AO211" s="2"/>
      <c r="AP211" s="16" t="s">
        <v>206</v>
      </c>
      <c r="AQ211" s="141">
        <f ca="1">IFERROR(AQ207+(AQ201-AQ202)*(AQ208-AQ207)/(AQ203-AQ202),AQ207)</f>
        <v>105</v>
      </c>
      <c r="AU211" s="2"/>
      <c r="AV211" s="2"/>
      <c r="AW211" s="2"/>
      <c r="AX211" s="16" t="s">
        <v>206</v>
      </c>
      <c r="AY211" s="141">
        <f ca="1">IFERROR(AY207+(AY201-AY202)*(AY208-AY207)/(AY203-AY202),AY207)</f>
        <v>0</v>
      </c>
    </row>
    <row r="212" spans="1:55" ht="14.25" customHeight="1" x14ac:dyDescent="0.3">
      <c r="B212" s="16" t="s">
        <v>207</v>
      </c>
      <c r="C212" s="141">
        <f ca="1">IFERROR(C209+(C201-C202)*(C210-C209)/(C203-C202),C209)</f>
        <v>115</v>
      </c>
      <c r="G212" s="2"/>
      <c r="H212" s="2"/>
      <c r="I212" s="2"/>
      <c r="J212" s="16" t="s">
        <v>207</v>
      </c>
      <c r="K212" s="141">
        <f ca="1">IFERROR(K209+(K201-K202)*(K210-K209)/(K203-K202),K209)</f>
        <v>114</v>
      </c>
      <c r="O212" s="2"/>
      <c r="P212" s="2"/>
      <c r="Q212" s="2"/>
      <c r="R212" s="16" t="s">
        <v>207</v>
      </c>
      <c r="S212" s="141">
        <f ca="1">IFERROR(S209+(S201-S202)*(S210-S209)/(S203-S202),S209)</f>
        <v>111</v>
      </c>
      <c r="W212" s="2"/>
      <c r="X212" s="2"/>
      <c r="Y212" s="2"/>
      <c r="Z212" s="16" t="s">
        <v>207</v>
      </c>
      <c r="AA212" s="141">
        <f ca="1">IFERROR(AA209+(AA201-AA202)*(AA210-AA209)/(AA203-AA202),AA209)</f>
        <v>108</v>
      </c>
      <c r="AE212" s="2"/>
      <c r="AF212" s="2"/>
      <c r="AG212" s="2"/>
      <c r="AH212" s="16" t="s">
        <v>207</v>
      </c>
      <c r="AI212" s="141">
        <f ca="1">IFERROR(AI209+(AI201-AI202)*(AI210-AI209)/(AI203-AI202),AI209)</f>
        <v>105</v>
      </c>
      <c r="AM212" s="2"/>
      <c r="AN212" s="2"/>
      <c r="AO212" s="2"/>
      <c r="AP212" s="16" t="s">
        <v>207</v>
      </c>
      <c r="AQ212" s="141">
        <f ca="1">IFERROR(AQ209+(AQ201-AQ202)*(AQ210-AQ209)/(AQ203-AQ202),AQ209)</f>
        <v>105</v>
      </c>
      <c r="AU212" s="2"/>
      <c r="AV212" s="2"/>
      <c r="AW212" s="2"/>
      <c r="AX212" s="16" t="s">
        <v>207</v>
      </c>
      <c r="AY212" s="141">
        <f ca="1">IFERROR(AY209+(AY201-AY202)*(AY210-AY209)/(AY203-AY202),AY209)</f>
        <v>0</v>
      </c>
    </row>
    <row r="213" spans="1:55" ht="14.25" customHeight="1" x14ac:dyDescent="0.3">
      <c r="B213" s="139" t="s">
        <v>186</v>
      </c>
      <c r="C213" s="140">
        <f ca="1">IFERROR(C211+(C204-C205)*(C212-C211)/(C206-C205),C211)</f>
        <v>115</v>
      </c>
      <c r="G213" s="2"/>
      <c r="H213" s="2"/>
      <c r="I213" s="2"/>
      <c r="J213" s="139" t="s">
        <v>186</v>
      </c>
      <c r="K213" s="140">
        <f ca="1">IFERROR(K211+(K204-K205)*(K212-K211)/(K206-K205),K211)</f>
        <v>114</v>
      </c>
      <c r="O213" s="2"/>
      <c r="P213" s="2"/>
      <c r="Q213" s="2"/>
      <c r="R213" s="139" t="s">
        <v>186</v>
      </c>
      <c r="S213" s="140">
        <f ca="1">IFERROR(S211+(S204-S205)*(S212-S211)/(S206-S205),S211)</f>
        <v>111</v>
      </c>
      <c r="W213" s="2"/>
      <c r="X213" s="2"/>
      <c r="Y213" s="2"/>
      <c r="Z213" s="139" t="s">
        <v>186</v>
      </c>
      <c r="AA213" s="140">
        <f ca="1">IFERROR(AA211+(AA204-AA205)*(AA212-AA211)/(AA206-AA205),AA211)</f>
        <v>108</v>
      </c>
      <c r="AE213" s="2"/>
      <c r="AF213" s="2"/>
      <c r="AG213" s="2"/>
      <c r="AH213" s="139" t="s">
        <v>186</v>
      </c>
      <c r="AI213" s="140">
        <f ca="1">IFERROR(AI211+(AI204-AI205)*(AI212-AI211)/(AI206-AI205),AI211)</f>
        <v>105</v>
      </c>
      <c r="AM213" s="2"/>
      <c r="AN213" s="2"/>
      <c r="AO213" s="2"/>
      <c r="AP213" s="139" t="s">
        <v>186</v>
      </c>
      <c r="AQ213" s="140">
        <f ca="1">IFERROR(AQ211+(AQ204-AQ205)*(AQ212-AQ211)/(AQ206-AQ205),AQ211)</f>
        <v>105</v>
      </c>
      <c r="AU213" s="2"/>
      <c r="AV213" s="2"/>
      <c r="AW213" s="2"/>
      <c r="AX213" s="139" t="s">
        <v>186</v>
      </c>
      <c r="AY213" s="140">
        <f ca="1">IFERROR(AY211+(AY204-AY205)*(AY212-AY211)/(AY206-AY205),AY211)</f>
        <v>0</v>
      </c>
    </row>
    <row r="214" spans="1:55" ht="14.25" customHeight="1" x14ac:dyDescent="0.3">
      <c r="B214" s="139"/>
      <c r="C214" s="140"/>
      <c r="G214" s="2"/>
      <c r="H214" s="2"/>
      <c r="I214" s="2"/>
      <c r="J214" s="139"/>
      <c r="K214" s="140"/>
      <c r="O214" s="2"/>
      <c r="P214" s="2"/>
      <c r="Q214" s="2"/>
      <c r="R214" s="139"/>
      <c r="S214" s="140"/>
      <c r="W214" s="2"/>
      <c r="X214" s="2"/>
      <c r="Y214" s="2"/>
      <c r="Z214" s="139"/>
      <c r="AA214" s="140"/>
      <c r="AE214" s="2"/>
      <c r="AF214" s="2"/>
      <c r="AG214" s="2"/>
      <c r="AH214" s="139"/>
      <c r="AI214" s="140"/>
      <c r="AM214" s="2"/>
      <c r="AN214" s="2"/>
      <c r="AO214" s="2"/>
      <c r="AP214" s="139"/>
      <c r="AQ214" s="140"/>
      <c r="AU214" s="2"/>
      <c r="AV214" s="2"/>
      <c r="AW214" s="2"/>
      <c r="AX214" s="139"/>
      <c r="AY214" s="140"/>
    </row>
    <row r="215" spans="1:55" ht="14.25" customHeight="1" x14ac:dyDescent="0.3">
      <c r="A215" s="417" t="s">
        <v>130</v>
      </c>
      <c r="B215" s="417"/>
      <c r="C215" s="417"/>
      <c r="D215" s="417"/>
      <c r="E215" s="417"/>
      <c r="F215" s="417"/>
      <c r="G215" s="417"/>
      <c r="H215" s="417"/>
      <c r="I215" s="417"/>
      <c r="J215" s="417"/>
      <c r="K215" s="417"/>
      <c r="L215" s="417"/>
      <c r="M215" s="417"/>
      <c r="N215" s="417"/>
      <c r="O215" s="2"/>
      <c r="P215" s="2"/>
      <c r="Q215" s="2"/>
      <c r="R215" s="139"/>
      <c r="S215" s="140"/>
      <c r="W215" s="2"/>
      <c r="X215" s="2"/>
      <c r="Y215" s="2"/>
      <c r="Z215" s="139"/>
      <c r="AA215" s="140"/>
      <c r="AE215" s="2"/>
      <c r="AF215" s="2"/>
      <c r="AG215" s="2"/>
      <c r="AH215" s="139"/>
      <c r="AI215" s="140"/>
      <c r="AM215" s="2"/>
      <c r="AN215" s="2"/>
      <c r="AO215" s="2"/>
      <c r="AP215" s="139"/>
      <c r="AQ215" s="140"/>
      <c r="AU215" s="2"/>
      <c r="AV215" s="2"/>
      <c r="AW215" s="2"/>
      <c r="AX215" s="139"/>
      <c r="AY215" s="140"/>
    </row>
    <row r="216" spans="1:55" ht="14.25" customHeight="1" x14ac:dyDescent="0.3">
      <c r="B216" s="139"/>
      <c r="C216" s="140"/>
      <c r="G216" s="2"/>
      <c r="H216" s="2"/>
      <c r="I216" s="2"/>
      <c r="J216" s="139"/>
      <c r="K216" s="140"/>
      <c r="O216" s="2"/>
      <c r="P216" s="2"/>
      <c r="Q216" s="2"/>
      <c r="R216" s="139"/>
      <c r="S216" s="140"/>
      <c r="W216" s="2"/>
      <c r="X216" s="2"/>
      <c r="Y216" s="2"/>
      <c r="Z216" s="139"/>
      <c r="AA216" s="140"/>
      <c r="AE216" s="2"/>
      <c r="AF216" s="2"/>
      <c r="AG216" s="2"/>
      <c r="AH216" s="139"/>
      <c r="AI216" s="140"/>
      <c r="AM216" s="2"/>
      <c r="AN216" s="2"/>
      <c r="AO216" s="2"/>
      <c r="AP216" s="139"/>
      <c r="AQ216" s="140"/>
      <c r="AU216" s="2"/>
      <c r="AV216" s="2"/>
      <c r="AW216" s="2"/>
      <c r="AX216" s="139"/>
      <c r="AY216" s="140"/>
    </row>
    <row r="217" spans="1:55" ht="14.25" customHeight="1" x14ac:dyDescent="0.3">
      <c r="B217" s="139"/>
      <c r="C217" s="140"/>
      <c r="G217" s="2"/>
      <c r="H217" s="2"/>
      <c r="I217" s="2"/>
      <c r="J217" s="139"/>
      <c r="K217" s="140"/>
      <c r="O217" s="2"/>
      <c r="P217" s="2"/>
      <c r="Q217" s="2"/>
      <c r="R217" s="139"/>
      <c r="S217" s="140"/>
      <c r="W217" s="2"/>
      <c r="X217" s="2"/>
      <c r="Y217" s="2"/>
      <c r="Z217" s="139"/>
      <c r="AA217" s="140"/>
      <c r="AE217" s="2"/>
      <c r="AF217" s="2"/>
      <c r="AG217" s="2"/>
      <c r="AH217" s="139"/>
      <c r="AI217" s="140"/>
      <c r="AM217" s="2"/>
      <c r="AN217" s="2"/>
      <c r="AO217" s="2"/>
      <c r="AP217" s="139"/>
      <c r="AQ217" s="140"/>
      <c r="AU217" s="2"/>
      <c r="AV217" s="2"/>
      <c r="AW217" s="2"/>
      <c r="AX217" s="139"/>
      <c r="AY217" s="140"/>
    </row>
    <row r="218" spans="1:55" ht="14.25" customHeight="1" x14ac:dyDescent="0.3">
      <c r="A218" s="356" t="s">
        <v>233</v>
      </c>
      <c r="B218" s="356"/>
      <c r="C218" s="356"/>
      <c r="D218" s="356"/>
      <c r="E218" s="356"/>
      <c r="F218" s="356"/>
      <c r="G218" s="356"/>
      <c r="H218" s="131"/>
      <c r="I218" s="356" t="s">
        <v>233</v>
      </c>
      <c r="J218" s="356"/>
      <c r="K218" s="356"/>
      <c r="L218" s="356"/>
      <c r="M218" s="356"/>
      <c r="N218" s="356"/>
      <c r="O218" s="356"/>
      <c r="P218" s="131"/>
      <c r="Q218" s="356" t="s">
        <v>233</v>
      </c>
      <c r="R218" s="356"/>
      <c r="S218" s="356"/>
      <c r="T218" s="356"/>
      <c r="U218" s="356"/>
      <c r="V218" s="356"/>
      <c r="W218" s="356"/>
      <c r="X218" s="131"/>
      <c r="Y218" s="356" t="s">
        <v>233</v>
      </c>
      <c r="Z218" s="356"/>
      <c r="AA218" s="356"/>
      <c r="AB218" s="356"/>
      <c r="AC218" s="356"/>
      <c r="AD218" s="356"/>
      <c r="AE218" s="356"/>
      <c r="AF218" s="131"/>
      <c r="AG218" s="356" t="s">
        <v>233</v>
      </c>
      <c r="AH218" s="356"/>
      <c r="AI218" s="356"/>
      <c r="AJ218" s="356"/>
      <c r="AK218" s="356"/>
      <c r="AL218" s="356"/>
      <c r="AM218" s="356"/>
      <c r="AN218" s="131"/>
      <c r="AO218" s="356" t="s">
        <v>233</v>
      </c>
      <c r="AP218" s="356"/>
      <c r="AQ218" s="356"/>
      <c r="AR218" s="356"/>
      <c r="AS218" s="356"/>
      <c r="AT218" s="356"/>
      <c r="AU218" s="356"/>
      <c r="AV218" s="240"/>
      <c r="AW218" s="356" t="s">
        <v>233</v>
      </c>
      <c r="AX218" s="356"/>
      <c r="AY218" s="356"/>
      <c r="AZ218" s="356"/>
      <c r="BA218" s="356"/>
      <c r="BB218" s="356"/>
      <c r="BC218" s="356"/>
    </row>
    <row r="219" spans="1:55" ht="14.25" customHeight="1" x14ac:dyDescent="0.3">
      <c r="A219" s="406" t="s">
        <v>216</v>
      </c>
      <c r="B219" s="406"/>
      <c r="C219" s="406"/>
      <c r="D219" s="406"/>
      <c r="E219" s="406"/>
      <c r="F219" s="406"/>
      <c r="G219" s="406"/>
      <c r="H219" s="131"/>
      <c r="I219" s="406" t="s">
        <v>216</v>
      </c>
      <c r="J219" s="406"/>
      <c r="K219" s="406"/>
      <c r="L219" s="406"/>
      <c r="M219" s="406"/>
      <c r="N219" s="406"/>
      <c r="O219" s="406"/>
      <c r="P219" s="228"/>
      <c r="Q219" s="406" t="s">
        <v>216</v>
      </c>
      <c r="R219" s="406"/>
      <c r="S219" s="406"/>
      <c r="T219" s="406"/>
      <c r="U219" s="406"/>
      <c r="V219" s="406"/>
      <c r="W219" s="406"/>
      <c r="X219" s="131"/>
      <c r="Y219" s="406" t="s">
        <v>216</v>
      </c>
      <c r="Z219" s="406"/>
      <c r="AA219" s="406"/>
      <c r="AB219" s="406"/>
      <c r="AC219" s="406"/>
      <c r="AD219" s="406"/>
      <c r="AE219" s="406"/>
      <c r="AF219" s="131"/>
      <c r="AG219" s="406" t="s">
        <v>216</v>
      </c>
      <c r="AH219" s="406"/>
      <c r="AI219" s="406"/>
      <c r="AJ219" s="406"/>
      <c r="AK219" s="406"/>
      <c r="AL219" s="406"/>
      <c r="AM219" s="406"/>
      <c r="AN219" s="131"/>
      <c r="AO219" s="406" t="s">
        <v>216</v>
      </c>
      <c r="AP219" s="406"/>
      <c r="AQ219" s="406"/>
      <c r="AR219" s="406"/>
      <c r="AS219" s="406"/>
      <c r="AT219" s="406"/>
      <c r="AU219" s="406"/>
      <c r="AV219" s="241"/>
      <c r="AW219" s="406" t="s">
        <v>216</v>
      </c>
      <c r="AX219" s="406"/>
      <c r="AY219" s="406"/>
      <c r="AZ219" s="406"/>
      <c r="BA219" s="406"/>
      <c r="BB219" s="406"/>
      <c r="BC219" s="406"/>
    </row>
    <row r="220" spans="1:55" ht="14.25" customHeight="1" x14ac:dyDescent="0.3">
      <c r="A220" s="2"/>
      <c r="B220" s="2"/>
      <c r="C220" s="51">
        <v>16600</v>
      </c>
      <c r="D220" s="53" t="s">
        <v>29</v>
      </c>
      <c r="E220" s="2"/>
      <c r="F220" s="2"/>
      <c r="G220" s="2"/>
      <c r="H220" s="2"/>
      <c r="I220" s="2"/>
      <c r="J220" s="2"/>
      <c r="K220" s="51">
        <v>16000</v>
      </c>
      <c r="L220" s="53" t="s">
        <v>29</v>
      </c>
      <c r="M220" s="2"/>
      <c r="N220" s="2"/>
      <c r="O220" s="2"/>
      <c r="P220" s="2"/>
      <c r="Q220" s="2"/>
      <c r="R220" s="2"/>
      <c r="S220" s="51">
        <v>15000</v>
      </c>
      <c r="T220" s="53" t="s">
        <v>29</v>
      </c>
      <c r="U220" s="2"/>
      <c r="V220" s="2"/>
      <c r="W220" s="2"/>
      <c r="X220" s="2"/>
      <c r="Y220" s="2"/>
      <c r="Z220" s="2"/>
      <c r="AA220" s="51">
        <v>14000</v>
      </c>
      <c r="AB220" s="53" t="s">
        <v>29</v>
      </c>
      <c r="AC220" s="2"/>
      <c r="AD220" s="2"/>
      <c r="AE220" s="2"/>
      <c r="AF220" s="2"/>
      <c r="AG220" s="2"/>
      <c r="AH220" s="2"/>
      <c r="AI220" s="51">
        <v>13000</v>
      </c>
      <c r="AJ220" s="53" t="s">
        <v>29</v>
      </c>
      <c r="AK220" s="2"/>
      <c r="AL220" s="2"/>
      <c r="AM220" s="2"/>
      <c r="AN220" s="2"/>
      <c r="AO220" s="2"/>
      <c r="AP220" s="2"/>
      <c r="AQ220" s="51">
        <v>12000</v>
      </c>
      <c r="AR220" s="53" t="s">
        <v>29</v>
      </c>
      <c r="AS220" s="2"/>
      <c r="AT220" s="2"/>
      <c r="AU220" s="2"/>
      <c r="AV220" s="242"/>
      <c r="AW220" s="2"/>
      <c r="AX220" s="2"/>
      <c r="AY220" s="51">
        <v>13000</v>
      </c>
      <c r="AZ220" s="53" t="s">
        <v>29</v>
      </c>
      <c r="BA220" s="2"/>
      <c r="BB220" s="2"/>
      <c r="BC220" s="2"/>
    </row>
    <row r="221" spans="1:55" ht="15" customHeight="1" x14ac:dyDescent="0.3">
      <c r="A221" s="412" t="s">
        <v>217</v>
      </c>
      <c r="B221" s="412"/>
      <c r="C221" s="413" t="s">
        <v>218</v>
      </c>
      <c r="D221" s="413"/>
      <c r="E221" s="413"/>
      <c r="F221" s="413"/>
      <c r="G221" s="413"/>
      <c r="H221" s="228"/>
      <c r="I221" s="412" t="s">
        <v>217</v>
      </c>
      <c r="J221" s="412"/>
      <c r="K221" s="413" t="s">
        <v>218</v>
      </c>
      <c r="L221" s="413"/>
      <c r="M221" s="413"/>
      <c r="N221" s="413"/>
      <c r="O221" s="413"/>
      <c r="P221" s="243"/>
      <c r="Q221" s="412" t="s">
        <v>217</v>
      </c>
      <c r="R221" s="412"/>
      <c r="S221" s="413" t="s">
        <v>218</v>
      </c>
      <c r="T221" s="413"/>
      <c r="U221" s="413"/>
      <c r="V221" s="413"/>
      <c r="W221" s="413"/>
      <c r="X221" s="228"/>
      <c r="Y221" s="412" t="s">
        <v>217</v>
      </c>
      <c r="Z221" s="412"/>
      <c r="AA221" s="413" t="s">
        <v>218</v>
      </c>
      <c r="AB221" s="413"/>
      <c r="AC221" s="413"/>
      <c r="AD221" s="413"/>
      <c r="AE221" s="413"/>
      <c r="AF221" s="228"/>
      <c r="AG221" s="412" t="s">
        <v>217</v>
      </c>
      <c r="AH221" s="412"/>
      <c r="AI221" s="413" t="s">
        <v>218</v>
      </c>
      <c r="AJ221" s="413"/>
      <c r="AK221" s="413"/>
      <c r="AL221" s="413"/>
      <c r="AM221" s="413"/>
      <c r="AN221" s="228"/>
      <c r="AO221" s="412" t="s">
        <v>217</v>
      </c>
      <c r="AP221" s="412"/>
      <c r="AQ221" s="413" t="s">
        <v>218</v>
      </c>
      <c r="AR221" s="413"/>
      <c r="AS221" s="413"/>
      <c r="AT221" s="413"/>
      <c r="AU221" s="413"/>
      <c r="AV221" s="244"/>
      <c r="AW221" s="412" t="s">
        <v>217</v>
      </c>
      <c r="AX221" s="412"/>
      <c r="AY221" s="413" t="s">
        <v>218</v>
      </c>
      <c r="AZ221" s="413"/>
      <c r="BA221" s="413"/>
      <c r="BB221" s="413"/>
      <c r="BC221" s="413"/>
    </row>
    <row r="222" spans="1:55" ht="15" customHeight="1" x14ac:dyDescent="0.3">
      <c r="A222" s="412"/>
      <c r="B222" s="412"/>
      <c r="C222" s="413"/>
      <c r="D222" s="413"/>
      <c r="E222" s="413"/>
      <c r="F222" s="413"/>
      <c r="G222" s="413"/>
      <c r="H222" s="228"/>
      <c r="I222" s="412"/>
      <c r="J222" s="412"/>
      <c r="K222" s="413"/>
      <c r="L222" s="413"/>
      <c r="M222" s="413"/>
      <c r="N222" s="413"/>
      <c r="O222" s="413"/>
      <c r="P222" s="243"/>
      <c r="Q222" s="412"/>
      <c r="R222" s="412"/>
      <c r="S222" s="413"/>
      <c r="T222" s="413"/>
      <c r="U222" s="413"/>
      <c r="V222" s="413"/>
      <c r="W222" s="413"/>
      <c r="X222" s="228"/>
      <c r="Y222" s="412"/>
      <c r="Z222" s="412"/>
      <c r="AA222" s="413"/>
      <c r="AB222" s="413"/>
      <c r="AC222" s="413"/>
      <c r="AD222" s="413"/>
      <c r="AE222" s="413"/>
      <c r="AF222" s="228"/>
      <c r="AG222" s="412"/>
      <c r="AH222" s="412"/>
      <c r="AI222" s="413"/>
      <c r="AJ222" s="413"/>
      <c r="AK222" s="413"/>
      <c r="AL222" s="413"/>
      <c r="AM222" s="413"/>
      <c r="AN222" s="228"/>
      <c r="AO222" s="412"/>
      <c r="AP222" s="412"/>
      <c r="AQ222" s="413"/>
      <c r="AR222" s="413"/>
      <c r="AS222" s="413"/>
      <c r="AT222" s="413"/>
      <c r="AU222" s="413"/>
      <c r="AV222" s="244"/>
      <c r="AW222" s="412"/>
      <c r="AX222" s="412"/>
      <c r="AY222" s="413"/>
      <c r="AZ222" s="413"/>
      <c r="BA222" s="413"/>
      <c r="BB222" s="413"/>
      <c r="BC222" s="413"/>
    </row>
    <row r="223" spans="1:55" ht="15" customHeight="1" x14ac:dyDescent="0.3">
      <c r="A223" s="410" t="s">
        <v>10</v>
      </c>
      <c r="B223" s="410"/>
      <c r="C223" s="245">
        <v>0</v>
      </c>
      <c r="D223" s="246">
        <v>1000</v>
      </c>
      <c r="E223" s="246">
        <v>2000</v>
      </c>
      <c r="F223" s="247">
        <v>3000</v>
      </c>
      <c r="G223" s="247">
        <v>4000</v>
      </c>
      <c r="H223" s="243"/>
      <c r="I223" s="410" t="s">
        <v>10</v>
      </c>
      <c r="J223" s="410"/>
      <c r="K223" s="245">
        <v>0</v>
      </c>
      <c r="L223" s="246">
        <v>1000</v>
      </c>
      <c r="M223" s="246">
        <v>2000</v>
      </c>
      <c r="N223" s="247">
        <v>3000</v>
      </c>
      <c r="O223" s="247">
        <v>4000</v>
      </c>
      <c r="P223" s="243"/>
      <c r="Q223" s="410" t="s">
        <v>10</v>
      </c>
      <c r="R223" s="410"/>
      <c r="S223" s="245">
        <v>0</v>
      </c>
      <c r="T223" s="246">
        <v>1000</v>
      </c>
      <c r="U223" s="246">
        <v>2000</v>
      </c>
      <c r="V223" s="247">
        <v>3000</v>
      </c>
      <c r="W223" s="247">
        <v>4000</v>
      </c>
      <c r="X223" s="243"/>
      <c r="Y223" s="410" t="s">
        <v>10</v>
      </c>
      <c r="Z223" s="410"/>
      <c r="AA223" s="245">
        <v>0</v>
      </c>
      <c r="AB223" s="246">
        <v>1000</v>
      </c>
      <c r="AC223" s="246">
        <v>2000</v>
      </c>
      <c r="AD223" s="247">
        <v>3000</v>
      </c>
      <c r="AE223" s="247">
        <v>4000</v>
      </c>
      <c r="AF223" s="243"/>
      <c r="AG223" s="410" t="s">
        <v>10</v>
      </c>
      <c r="AH223" s="410"/>
      <c r="AI223" s="245">
        <v>0</v>
      </c>
      <c r="AJ223" s="246">
        <v>1000</v>
      </c>
      <c r="AK223" s="246">
        <v>2000</v>
      </c>
      <c r="AL223" s="247">
        <v>3000</v>
      </c>
      <c r="AM223" s="247">
        <v>4000</v>
      </c>
      <c r="AN223" s="243"/>
      <c r="AO223" s="410" t="s">
        <v>10</v>
      </c>
      <c r="AP223" s="410"/>
      <c r="AQ223" s="245">
        <v>0</v>
      </c>
      <c r="AR223" s="246">
        <v>1000</v>
      </c>
      <c r="AS223" s="246">
        <v>2000</v>
      </c>
      <c r="AT223" s="247">
        <v>3000</v>
      </c>
      <c r="AU223" s="247">
        <v>4000</v>
      </c>
      <c r="AV223" s="244"/>
      <c r="AW223" s="410" t="s">
        <v>10</v>
      </c>
      <c r="AX223" s="410"/>
      <c r="AY223" s="245">
        <v>0</v>
      </c>
      <c r="AZ223" s="246">
        <v>1000</v>
      </c>
      <c r="BA223" s="246">
        <v>2000</v>
      </c>
      <c r="BB223" s="247">
        <v>3000</v>
      </c>
      <c r="BC223" s="247">
        <v>4000</v>
      </c>
    </row>
    <row r="224" spans="1:55" ht="15" customHeight="1" x14ac:dyDescent="0.3">
      <c r="A224" s="411">
        <v>-30</v>
      </c>
      <c r="B224" s="411"/>
      <c r="C224" s="248">
        <v>4101</v>
      </c>
      <c r="D224" s="249">
        <v>4264</v>
      </c>
      <c r="E224" s="249">
        <v>4438</v>
      </c>
      <c r="F224" s="250">
        <v>4677</v>
      </c>
      <c r="G224" s="250">
        <v>99999</v>
      </c>
      <c r="H224" s="2"/>
      <c r="I224" s="411">
        <v>-30</v>
      </c>
      <c r="J224" s="411"/>
      <c r="K224" s="251">
        <v>3935</v>
      </c>
      <c r="L224" s="251">
        <v>4089</v>
      </c>
      <c r="M224" s="251">
        <v>4253</v>
      </c>
      <c r="N224" s="250">
        <v>4427</v>
      </c>
      <c r="O224" s="250">
        <v>99999</v>
      </c>
      <c r="P224" s="42"/>
      <c r="Q224" s="411">
        <v>-30</v>
      </c>
      <c r="R224" s="411"/>
      <c r="S224" s="251">
        <v>3671</v>
      </c>
      <c r="T224" s="251">
        <v>3810</v>
      </c>
      <c r="U224" s="251">
        <v>3957</v>
      </c>
      <c r="V224" s="250">
        <v>4114</v>
      </c>
      <c r="W224" s="250">
        <v>99999</v>
      </c>
      <c r="X224" s="2"/>
      <c r="Y224" s="411">
        <v>-30</v>
      </c>
      <c r="Z224" s="411"/>
      <c r="AA224" s="251">
        <v>3478</v>
      </c>
      <c r="AB224" s="251">
        <v>3605</v>
      </c>
      <c r="AC224" s="251">
        <v>3740</v>
      </c>
      <c r="AD224" s="250">
        <v>3884</v>
      </c>
      <c r="AE224" s="250">
        <v>99999</v>
      </c>
      <c r="AF224" s="2"/>
      <c r="AG224" s="411">
        <v>-30</v>
      </c>
      <c r="AH224" s="411"/>
      <c r="AI224" s="251">
        <v>3424</v>
      </c>
      <c r="AJ224" s="251">
        <v>3546</v>
      </c>
      <c r="AK224" s="251">
        <v>3675</v>
      </c>
      <c r="AL224" s="250">
        <v>3813</v>
      </c>
      <c r="AM224" s="250">
        <v>99999</v>
      </c>
      <c r="AN224" s="2"/>
      <c r="AO224" s="411">
        <v>-30</v>
      </c>
      <c r="AP224" s="411"/>
      <c r="AQ224" s="251">
        <v>3376</v>
      </c>
      <c r="AR224" s="251">
        <v>3494</v>
      </c>
      <c r="AS224" s="251">
        <v>3618</v>
      </c>
      <c r="AT224" s="250">
        <v>3749</v>
      </c>
      <c r="AU224" s="250">
        <v>99999</v>
      </c>
      <c r="AV224" s="252"/>
      <c r="AW224" s="408">
        <v>0</v>
      </c>
      <c r="AX224" s="408"/>
      <c r="AY224" s="251"/>
      <c r="AZ224" s="251"/>
      <c r="BA224" s="251"/>
      <c r="BB224" s="250"/>
      <c r="BC224" s="250">
        <v>99999</v>
      </c>
    </row>
    <row r="225" spans="1:55" ht="15" customHeight="1" x14ac:dyDescent="0.3">
      <c r="A225" s="408">
        <v>-25</v>
      </c>
      <c r="B225" s="408"/>
      <c r="C225" s="248">
        <v>4192</v>
      </c>
      <c r="D225" s="249">
        <v>4360</v>
      </c>
      <c r="E225" s="249">
        <v>4565</v>
      </c>
      <c r="F225" s="250">
        <v>4802</v>
      </c>
      <c r="G225" s="250">
        <v>99999</v>
      </c>
      <c r="H225" s="2"/>
      <c r="I225" s="408">
        <v>-25</v>
      </c>
      <c r="J225" s="408"/>
      <c r="K225" s="251">
        <v>4021</v>
      </c>
      <c r="L225" s="251">
        <v>4180</v>
      </c>
      <c r="M225" s="251">
        <v>4348</v>
      </c>
      <c r="N225" s="250">
        <v>4528</v>
      </c>
      <c r="O225" s="250">
        <v>99999</v>
      </c>
      <c r="P225" s="42"/>
      <c r="Q225" s="408">
        <v>-25</v>
      </c>
      <c r="R225" s="408"/>
      <c r="S225" s="251">
        <v>3748</v>
      </c>
      <c r="T225" s="251">
        <v>3891</v>
      </c>
      <c r="U225" s="251">
        <v>4043</v>
      </c>
      <c r="V225" s="250">
        <v>4205</v>
      </c>
      <c r="W225" s="250">
        <v>99999</v>
      </c>
      <c r="X225" s="2"/>
      <c r="Y225" s="408">
        <v>-25</v>
      </c>
      <c r="Z225" s="408"/>
      <c r="AA225" s="251">
        <v>3549</v>
      </c>
      <c r="AB225" s="251">
        <v>3680</v>
      </c>
      <c r="AC225" s="251">
        <v>3819</v>
      </c>
      <c r="AD225" s="250">
        <v>3892</v>
      </c>
      <c r="AE225" s="250">
        <v>99999</v>
      </c>
      <c r="AF225" s="2"/>
      <c r="AG225" s="408">
        <v>-25</v>
      </c>
      <c r="AH225" s="408"/>
      <c r="AI225" s="251">
        <v>3492</v>
      </c>
      <c r="AJ225" s="251">
        <v>3617</v>
      </c>
      <c r="AK225" s="251">
        <v>3750</v>
      </c>
      <c r="AL225" s="250">
        <v>3892</v>
      </c>
      <c r="AM225" s="250">
        <v>99999</v>
      </c>
      <c r="AN225" s="2"/>
      <c r="AO225" s="408">
        <v>-25</v>
      </c>
      <c r="AP225" s="408"/>
      <c r="AQ225" s="251">
        <v>3443</v>
      </c>
      <c r="AR225" s="251">
        <v>3563</v>
      </c>
      <c r="AS225" s="251">
        <v>3690</v>
      </c>
      <c r="AT225" s="250">
        <v>3825</v>
      </c>
      <c r="AU225" s="250">
        <v>99999</v>
      </c>
      <c r="AV225" s="252"/>
      <c r="AW225" s="408">
        <v>10</v>
      </c>
      <c r="AX225" s="408"/>
      <c r="AY225" s="251"/>
      <c r="AZ225" s="251"/>
      <c r="BA225" s="251"/>
      <c r="BB225" s="250"/>
      <c r="BC225" s="250">
        <v>99999</v>
      </c>
    </row>
    <row r="226" spans="1:55" ht="14.25" customHeight="1" x14ac:dyDescent="0.3">
      <c r="A226" s="408">
        <v>-20</v>
      </c>
      <c r="B226" s="408"/>
      <c r="C226" s="248">
        <v>4284</v>
      </c>
      <c r="D226" s="249">
        <v>4457</v>
      </c>
      <c r="E226" s="249">
        <v>4689</v>
      </c>
      <c r="F226" s="250">
        <v>4942</v>
      </c>
      <c r="G226" s="250">
        <v>99999</v>
      </c>
      <c r="H226" s="2"/>
      <c r="I226" s="408">
        <v>-20</v>
      </c>
      <c r="J226" s="408"/>
      <c r="K226" s="251">
        <v>4107</v>
      </c>
      <c r="L226" s="251">
        <v>4271</v>
      </c>
      <c r="M226" s="251">
        <v>4445</v>
      </c>
      <c r="N226" s="250">
        <v>4630</v>
      </c>
      <c r="O226" s="250">
        <v>99999</v>
      </c>
      <c r="P226" s="42"/>
      <c r="Q226" s="408">
        <v>-20</v>
      </c>
      <c r="R226" s="408"/>
      <c r="S226" s="251">
        <v>3826</v>
      </c>
      <c r="T226" s="251">
        <v>3974</v>
      </c>
      <c r="U226" s="251">
        <v>4130</v>
      </c>
      <c r="V226" s="250">
        <v>4298</v>
      </c>
      <c r="W226" s="250">
        <v>99999</v>
      </c>
      <c r="X226" s="2"/>
      <c r="Y226" s="408">
        <v>-20</v>
      </c>
      <c r="Z226" s="408"/>
      <c r="AA226" s="251">
        <v>3619</v>
      </c>
      <c r="AB226" s="251">
        <v>3755</v>
      </c>
      <c r="AC226" s="251">
        <v>3898</v>
      </c>
      <c r="AD226" s="250">
        <v>3973</v>
      </c>
      <c r="AE226" s="250">
        <v>99999</v>
      </c>
      <c r="AF226" s="2"/>
      <c r="AG226" s="408">
        <v>-20</v>
      </c>
      <c r="AH226" s="408"/>
      <c r="AI226" s="251">
        <v>3560</v>
      </c>
      <c r="AJ226" s="251">
        <v>3689</v>
      </c>
      <c r="AK226" s="251">
        <v>3827</v>
      </c>
      <c r="AL226" s="250">
        <v>3973</v>
      </c>
      <c r="AM226" s="250">
        <v>99999</v>
      </c>
      <c r="AN226" s="2"/>
      <c r="AO226" s="408">
        <v>-20</v>
      </c>
      <c r="AP226" s="408"/>
      <c r="AQ226" s="251">
        <v>3508</v>
      </c>
      <c r="AR226" s="251">
        <v>3632</v>
      </c>
      <c r="AS226" s="251">
        <v>3762</v>
      </c>
      <c r="AT226" s="250">
        <v>3902</v>
      </c>
      <c r="AU226" s="250">
        <v>99999</v>
      </c>
      <c r="AV226" s="252"/>
      <c r="AW226" s="253"/>
      <c r="AX226" s="254"/>
      <c r="AY226" s="251"/>
      <c r="AZ226" s="251"/>
      <c r="BA226" s="251"/>
      <c r="BB226" s="250"/>
      <c r="BC226" s="250">
        <v>99999</v>
      </c>
    </row>
    <row r="227" spans="1:55" ht="14.25" customHeight="1" x14ac:dyDescent="0.3">
      <c r="A227" s="408">
        <v>-15</v>
      </c>
      <c r="B227" s="408"/>
      <c r="C227" s="248">
        <v>4377</v>
      </c>
      <c r="D227" s="249">
        <v>4585</v>
      </c>
      <c r="E227" s="249">
        <v>4820</v>
      </c>
      <c r="F227" s="250">
        <v>5085</v>
      </c>
      <c r="G227" s="250">
        <v>99999</v>
      </c>
      <c r="H227" s="2"/>
      <c r="I227" s="408">
        <v>-15</v>
      </c>
      <c r="J227" s="408"/>
      <c r="K227" s="251">
        <v>4195</v>
      </c>
      <c r="L227" s="251">
        <v>4363</v>
      </c>
      <c r="M227" s="251">
        <v>4542</v>
      </c>
      <c r="N227" s="250">
        <v>4734</v>
      </c>
      <c r="O227" s="250">
        <v>99999</v>
      </c>
      <c r="P227" s="42"/>
      <c r="Q227" s="408">
        <v>-15</v>
      </c>
      <c r="R227" s="408"/>
      <c r="S227" s="251">
        <v>3905</v>
      </c>
      <c r="T227" s="251">
        <v>4057</v>
      </c>
      <c r="U227" s="251">
        <v>4218</v>
      </c>
      <c r="V227" s="250">
        <v>4391</v>
      </c>
      <c r="W227" s="250">
        <v>99999</v>
      </c>
      <c r="X227" s="2"/>
      <c r="Y227" s="408">
        <v>-15</v>
      </c>
      <c r="Z227" s="408"/>
      <c r="AA227" s="251">
        <v>3692</v>
      </c>
      <c r="AB227" s="251">
        <v>3831</v>
      </c>
      <c r="AC227" s="251">
        <v>3979</v>
      </c>
      <c r="AD227" s="250">
        <v>4054</v>
      </c>
      <c r="AE227" s="250">
        <v>99999</v>
      </c>
      <c r="AF227" s="2"/>
      <c r="AG227" s="408">
        <v>-15</v>
      </c>
      <c r="AH227" s="408"/>
      <c r="AI227" s="251">
        <v>3629</v>
      </c>
      <c r="AJ227" s="251">
        <v>3762</v>
      </c>
      <c r="AK227" s="251">
        <v>3904</v>
      </c>
      <c r="AL227" s="250">
        <v>4054</v>
      </c>
      <c r="AM227" s="250">
        <v>99999</v>
      </c>
      <c r="AN227" s="2"/>
      <c r="AO227" s="408">
        <v>-15</v>
      </c>
      <c r="AP227" s="408"/>
      <c r="AQ227" s="251">
        <v>3574</v>
      </c>
      <c r="AR227" s="251">
        <v>3701</v>
      </c>
      <c r="AS227" s="251">
        <v>3836</v>
      </c>
      <c r="AT227" s="250">
        <v>3979</v>
      </c>
      <c r="AU227" s="250">
        <v>99999</v>
      </c>
      <c r="AV227" s="252"/>
      <c r="AW227" s="253"/>
      <c r="AX227" s="254"/>
      <c r="AY227" s="251"/>
      <c r="AZ227" s="251"/>
      <c r="BA227" s="251"/>
      <c r="BB227" s="250"/>
      <c r="BC227" s="250">
        <v>99999</v>
      </c>
    </row>
    <row r="228" spans="1:55" ht="14.25" customHeight="1" x14ac:dyDescent="0.3">
      <c r="A228" s="408">
        <v>-10</v>
      </c>
      <c r="B228" s="408"/>
      <c r="C228" s="248">
        <v>4472</v>
      </c>
      <c r="D228" s="249">
        <v>4704</v>
      </c>
      <c r="E228" s="249">
        <v>4956</v>
      </c>
      <c r="F228" s="250">
        <v>5230</v>
      </c>
      <c r="G228" s="250">
        <v>99999</v>
      </c>
      <c r="H228" s="2"/>
      <c r="I228" s="408">
        <v>-10</v>
      </c>
      <c r="J228" s="408"/>
      <c r="K228" s="251">
        <v>4283</v>
      </c>
      <c r="L228" s="251">
        <v>4456</v>
      </c>
      <c r="M228" s="251">
        <v>4641</v>
      </c>
      <c r="N228" s="250">
        <v>4864</v>
      </c>
      <c r="O228" s="250">
        <v>99999</v>
      </c>
      <c r="P228" s="42"/>
      <c r="Q228" s="408">
        <v>-10</v>
      </c>
      <c r="R228" s="408"/>
      <c r="S228" s="251">
        <v>3985</v>
      </c>
      <c r="T228" s="251">
        <v>4141</v>
      </c>
      <c r="U228" s="251">
        <v>4307</v>
      </c>
      <c r="V228" s="250">
        <v>4485</v>
      </c>
      <c r="W228" s="250">
        <v>99999</v>
      </c>
      <c r="X228" s="2"/>
      <c r="Y228" s="408">
        <v>-10</v>
      </c>
      <c r="Z228" s="408"/>
      <c r="AA228" s="251">
        <v>3765</v>
      </c>
      <c r="AB228" s="251">
        <v>3908</v>
      </c>
      <c r="AC228" s="251">
        <v>4060</v>
      </c>
      <c r="AD228" s="250">
        <v>4136</v>
      </c>
      <c r="AE228" s="250">
        <v>99999</v>
      </c>
      <c r="AF228" s="2"/>
      <c r="AG228" s="408">
        <v>-10</v>
      </c>
      <c r="AH228" s="408"/>
      <c r="AI228" s="251">
        <v>3699</v>
      </c>
      <c r="AJ228" s="251">
        <v>3836</v>
      </c>
      <c r="AK228" s="251">
        <v>3982</v>
      </c>
      <c r="AL228" s="250">
        <v>4136</v>
      </c>
      <c r="AM228" s="250">
        <v>99999</v>
      </c>
      <c r="AN228" s="2"/>
      <c r="AO228" s="408">
        <v>-10</v>
      </c>
      <c r="AP228" s="408"/>
      <c r="AQ228" s="251">
        <v>3641</v>
      </c>
      <c r="AR228" s="251">
        <v>3771</v>
      </c>
      <c r="AS228" s="251">
        <v>3910</v>
      </c>
      <c r="AT228" s="250">
        <v>4057</v>
      </c>
      <c r="AU228" s="250">
        <v>99999</v>
      </c>
      <c r="AV228" s="252"/>
      <c r="AW228" s="253"/>
      <c r="AX228" s="254"/>
      <c r="AY228" s="251"/>
      <c r="AZ228" s="251"/>
      <c r="BA228" s="251"/>
      <c r="BB228" s="250"/>
      <c r="BC228" s="250">
        <v>99999</v>
      </c>
    </row>
    <row r="229" spans="1:55" ht="16.5" customHeight="1" x14ac:dyDescent="0.3">
      <c r="A229" s="408">
        <v>-5</v>
      </c>
      <c r="B229" s="408"/>
      <c r="C229" s="248">
        <v>4597</v>
      </c>
      <c r="D229" s="249">
        <v>4831</v>
      </c>
      <c r="E229" s="249">
        <v>5094</v>
      </c>
      <c r="F229" s="250">
        <v>5377</v>
      </c>
      <c r="G229" s="250">
        <v>99999</v>
      </c>
      <c r="H229" s="2"/>
      <c r="I229" s="408">
        <v>-5</v>
      </c>
      <c r="J229" s="408"/>
      <c r="K229" s="251">
        <v>4372</v>
      </c>
      <c r="L229" s="251">
        <v>4550</v>
      </c>
      <c r="M229" s="251">
        <v>4741</v>
      </c>
      <c r="N229" s="250">
        <v>4994</v>
      </c>
      <c r="O229" s="250">
        <v>99999</v>
      </c>
      <c r="P229" s="42"/>
      <c r="Q229" s="408">
        <v>-5</v>
      </c>
      <c r="R229" s="408"/>
      <c r="S229" s="251">
        <v>4065</v>
      </c>
      <c r="T229" s="251">
        <v>4226</v>
      </c>
      <c r="U229" s="251">
        <v>4398</v>
      </c>
      <c r="V229" s="250">
        <v>4581</v>
      </c>
      <c r="W229" s="250">
        <v>99999</v>
      </c>
      <c r="X229" s="2"/>
      <c r="Y229" s="408">
        <v>-5</v>
      </c>
      <c r="Z229" s="408"/>
      <c r="AA229" s="251">
        <v>3839</v>
      </c>
      <c r="AB229" s="251">
        <v>3986</v>
      </c>
      <c r="AC229" s="251">
        <v>4143</v>
      </c>
      <c r="AD229" s="250">
        <v>4219</v>
      </c>
      <c r="AE229" s="250">
        <v>99999</v>
      </c>
      <c r="AF229" s="2"/>
      <c r="AG229" s="408">
        <v>-5</v>
      </c>
      <c r="AH229" s="408"/>
      <c r="AI229" s="251">
        <v>3769</v>
      </c>
      <c r="AJ229" s="251">
        <v>3910</v>
      </c>
      <c r="AK229" s="251">
        <v>4060</v>
      </c>
      <c r="AL229" s="250">
        <v>4219</v>
      </c>
      <c r="AM229" s="250">
        <v>99999</v>
      </c>
      <c r="AN229" s="2"/>
      <c r="AO229" s="408">
        <v>-5</v>
      </c>
      <c r="AP229" s="408"/>
      <c r="AQ229" s="251">
        <v>3708</v>
      </c>
      <c r="AR229" s="251">
        <v>3842</v>
      </c>
      <c r="AS229" s="251">
        <v>3985</v>
      </c>
      <c r="AT229" s="250">
        <v>4136</v>
      </c>
      <c r="AU229" s="250">
        <v>99999</v>
      </c>
      <c r="AV229" s="252"/>
      <c r="AW229" s="253"/>
      <c r="AX229" s="254"/>
      <c r="AY229" s="251"/>
      <c r="AZ229" s="251"/>
      <c r="BA229" s="251"/>
      <c r="BB229" s="250"/>
      <c r="BC229" s="250">
        <v>99999</v>
      </c>
    </row>
    <row r="230" spans="1:55" ht="14.25" customHeight="1" x14ac:dyDescent="0.3">
      <c r="A230" s="408">
        <v>0</v>
      </c>
      <c r="B230" s="408"/>
      <c r="C230" s="248">
        <v>4711</v>
      </c>
      <c r="D230" s="249">
        <v>4962</v>
      </c>
      <c r="E230" s="249">
        <v>5233</v>
      </c>
      <c r="F230" s="250">
        <v>5525</v>
      </c>
      <c r="G230" s="250">
        <v>99999</v>
      </c>
      <c r="H230" s="2"/>
      <c r="I230" s="408">
        <v>0</v>
      </c>
      <c r="J230" s="408"/>
      <c r="K230" s="251">
        <v>4462</v>
      </c>
      <c r="L230" s="251">
        <v>4646</v>
      </c>
      <c r="M230" s="251">
        <v>4868</v>
      </c>
      <c r="N230" s="250">
        <v>5131</v>
      </c>
      <c r="O230" s="250">
        <v>99999</v>
      </c>
      <c r="P230" s="42"/>
      <c r="Q230" s="408">
        <v>0</v>
      </c>
      <c r="R230" s="408"/>
      <c r="S230" s="251">
        <v>4146</v>
      </c>
      <c r="T230" s="251">
        <v>4312</v>
      </c>
      <c r="U230" s="251">
        <v>4488</v>
      </c>
      <c r="V230" s="250">
        <v>4677</v>
      </c>
      <c r="W230" s="250">
        <v>99999</v>
      </c>
      <c r="X230" s="2"/>
      <c r="Y230" s="408">
        <v>0</v>
      </c>
      <c r="Z230" s="408"/>
      <c r="AA230" s="251">
        <v>3913</v>
      </c>
      <c r="AB230" s="251">
        <v>4064</v>
      </c>
      <c r="AC230" s="251">
        <v>4225</v>
      </c>
      <c r="AD230" s="250">
        <v>4303</v>
      </c>
      <c r="AE230" s="250">
        <v>99999</v>
      </c>
      <c r="AF230" s="2"/>
      <c r="AG230" s="408">
        <v>0</v>
      </c>
      <c r="AH230" s="408"/>
      <c r="AI230" s="251">
        <v>3840</v>
      </c>
      <c r="AJ230" s="251">
        <v>3985</v>
      </c>
      <c r="AK230" s="251">
        <v>4139</v>
      </c>
      <c r="AL230" s="250">
        <v>4303</v>
      </c>
      <c r="AM230" s="250">
        <v>99999</v>
      </c>
      <c r="AN230" s="2"/>
      <c r="AO230" s="408">
        <v>0</v>
      </c>
      <c r="AP230" s="408"/>
      <c r="AQ230" s="251">
        <v>3776</v>
      </c>
      <c r="AR230" s="251">
        <v>3914</v>
      </c>
      <c r="AS230" s="251">
        <v>4060</v>
      </c>
      <c r="AT230" s="250">
        <v>4216</v>
      </c>
      <c r="AU230" s="250">
        <v>99999</v>
      </c>
      <c r="AV230" s="252"/>
      <c r="AW230" s="253"/>
      <c r="AX230" s="254"/>
      <c r="AY230" s="251"/>
      <c r="AZ230" s="251"/>
      <c r="BA230" s="251"/>
      <c r="BB230" s="250"/>
      <c r="BC230" s="250">
        <v>99999</v>
      </c>
    </row>
    <row r="231" spans="1:55" ht="14.25" customHeight="1" x14ac:dyDescent="0.3">
      <c r="A231" s="408">
        <v>5</v>
      </c>
      <c r="B231" s="408"/>
      <c r="C231" s="248">
        <v>4833</v>
      </c>
      <c r="D231" s="249">
        <v>5094</v>
      </c>
      <c r="E231" s="249">
        <v>5375</v>
      </c>
      <c r="F231" s="250">
        <v>5677</v>
      </c>
      <c r="G231" s="250">
        <v>99999</v>
      </c>
      <c r="H231" s="2"/>
      <c r="I231" s="408">
        <v>5</v>
      </c>
      <c r="J231" s="408"/>
      <c r="K231" s="251">
        <v>4553</v>
      </c>
      <c r="L231" s="251">
        <v>4742</v>
      </c>
      <c r="M231" s="251">
        <v>4992</v>
      </c>
      <c r="N231" s="250">
        <v>5269</v>
      </c>
      <c r="O231" s="250">
        <v>99999</v>
      </c>
      <c r="P231" s="42"/>
      <c r="Q231" s="408">
        <v>5</v>
      </c>
      <c r="R231" s="408"/>
      <c r="S231" s="251">
        <v>4228</v>
      </c>
      <c r="T231" s="251">
        <v>4398</v>
      </c>
      <c r="U231" s="251">
        <v>4580</v>
      </c>
      <c r="V231" s="250">
        <v>4774</v>
      </c>
      <c r="W231" s="250">
        <v>99999</v>
      </c>
      <c r="X231" s="2"/>
      <c r="Y231" s="408">
        <v>5</v>
      </c>
      <c r="Z231" s="408"/>
      <c r="AA231" s="251">
        <v>3988</v>
      </c>
      <c r="AB231" s="251">
        <v>4143</v>
      </c>
      <c r="AC231" s="251">
        <v>4309</v>
      </c>
      <c r="AD231" s="250">
        <v>4387</v>
      </c>
      <c r="AE231" s="250">
        <v>99999</v>
      </c>
      <c r="AF231" s="2"/>
      <c r="AG231" s="408">
        <v>5</v>
      </c>
      <c r="AH231" s="408"/>
      <c r="AI231" s="251">
        <v>3912</v>
      </c>
      <c r="AJ231" s="251">
        <v>4061</v>
      </c>
      <c r="AK231" s="251">
        <v>4219</v>
      </c>
      <c r="AL231" s="250">
        <v>4387</v>
      </c>
      <c r="AM231" s="250">
        <v>99999</v>
      </c>
      <c r="AN231" s="2"/>
      <c r="AO231" s="408">
        <v>5</v>
      </c>
      <c r="AP231" s="408"/>
      <c r="AQ231" s="251">
        <v>3844</v>
      </c>
      <c r="AR231" s="251">
        <v>3986</v>
      </c>
      <c r="AS231" s="251">
        <v>4136</v>
      </c>
      <c r="AT231" s="250">
        <v>4297</v>
      </c>
      <c r="AU231" s="250">
        <v>99999</v>
      </c>
      <c r="AV231" s="252"/>
      <c r="AW231" s="253"/>
      <c r="AX231" s="254"/>
      <c r="AY231" s="251"/>
      <c r="AZ231" s="251"/>
      <c r="BA231" s="251"/>
      <c r="BB231" s="250"/>
      <c r="BC231" s="250">
        <v>99999</v>
      </c>
    </row>
    <row r="232" spans="1:55" ht="14.25" customHeight="1" x14ac:dyDescent="0.3">
      <c r="A232" s="408">
        <v>10</v>
      </c>
      <c r="B232" s="408"/>
      <c r="C232" s="248">
        <v>4960</v>
      </c>
      <c r="D232" s="249">
        <v>5229</v>
      </c>
      <c r="E232" s="249">
        <v>5518</v>
      </c>
      <c r="F232" s="250">
        <v>5830</v>
      </c>
      <c r="G232" s="250">
        <v>99999</v>
      </c>
      <c r="H232" s="2"/>
      <c r="I232" s="408">
        <v>10</v>
      </c>
      <c r="J232" s="408"/>
      <c r="K232" s="251">
        <v>4645</v>
      </c>
      <c r="L232" s="251">
        <v>4863</v>
      </c>
      <c r="M232" s="251">
        <v>5124</v>
      </c>
      <c r="N232" s="250">
        <v>5410</v>
      </c>
      <c r="O232" s="250">
        <v>99999</v>
      </c>
      <c r="P232" s="42"/>
      <c r="Q232" s="408">
        <v>10</v>
      </c>
      <c r="R232" s="408"/>
      <c r="S232" s="251">
        <v>4311</v>
      </c>
      <c r="T232" s="251">
        <v>4486</v>
      </c>
      <c r="U232" s="251">
        <v>4673</v>
      </c>
      <c r="V232" s="250">
        <v>4873</v>
      </c>
      <c r="W232" s="250">
        <v>99999</v>
      </c>
      <c r="X232" s="2"/>
      <c r="Y232" s="408">
        <v>10</v>
      </c>
      <c r="Z232" s="408"/>
      <c r="AA232" s="251">
        <v>4063</v>
      </c>
      <c r="AB232" s="251">
        <v>4223</v>
      </c>
      <c r="AC232" s="251">
        <v>4394</v>
      </c>
      <c r="AD232" s="250">
        <v>4473</v>
      </c>
      <c r="AE232" s="250">
        <v>99999</v>
      </c>
      <c r="AF232" s="2"/>
      <c r="AG232" s="408">
        <v>10</v>
      </c>
      <c r="AH232" s="408"/>
      <c r="AI232" s="251">
        <v>3985</v>
      </c>
      <c r="AJ232" s="251">
        <v>4137</v>
      </c>
      <c r="AK232" s="251">
        <v>4300</v>
      </c>
      <c r="AL232" s="250">
        <v>4473</v>
      </c>
      <c r="AM232" s="250">
        <v>99999</v>
      </c>
      <c r="AN232" s="2"/>
      <c r="AO232" s="408">
        <v>10</v>
      </c>
      <c r="AP232" s="408"/>
      <c r="AQ232" s="251">
        <v>3913</v>
      </c>
      <c r="AR232" s="251">
        <v>4058</v>
      </c>
      <c r="AS232" s="251">
        <v>4213</v>
      </c>
      <c r="AT232" s="250">
        <v>4378</v>
      </c>
      <c r="AU232" s="250">
        <v>99999</v>
      </c>
      <c r="AV232" s="252"/>
      <c r="AW232" s="253"/>
      <c r="AX232" s="254"/>
      <c r="AY232" s="251"/>
      <c r="AZ232" s="251"/>
      <c r="BA232" s="251"/>
      <c r="BB232" s="250"/>
      <c r="BC232" s="250">
        <v>99999</v>
      </c>
    </row>
    <row r="233" spans="1:55" ht="14.25" customHeight="1" x14ac:dyDescent="0.3">
      <c r="A233" s="408">
        <v>15</v>
      </c>
      <c r="B233" s="408"/>
      <c r="C233" s="248">
        <v>9999</v>
      </c>
      <c r="D233" s="249">
        <v>9999</v>
      </c>
      <c r="E233" s="249">
        <v>9999</v>
      </c>
      <c r="F233" s="250">
        <v>9999</v>
      </c>
      <c r="G233" s="250">
        <v>99999</v>
      </c>
      <c r="H233" s="2"/>
      <c r="I233" s="408">
        <v>15</v>
      </c>
      <c r="J233" s="408"/>
      <c r="K233" s="251">
        <v>9999</v>
      </c>
      <c r="L233" s="251">
        <v>9999</v>
      </c>
      <c r="M233" s="251">
        <v>9999</v>
      </c>
      <c r="N233" s="250">
        <v>9999</v>
      </c>
      <c r="O233" s="250">
        <v>99999</v>
      </c>
      <c r="P233" s="42"/>
      <c r="Q233" s="408">
        <v>15</v>
      </c>
      <c r="R233" s="408"/>
      <c r="S233" s="251">
        <v>9999</v>
      </c>
      <c r="T233" s="251">
        <v>9999</v>
      </c>
      <c r="U233" s="251">
        <v>9999</v>
      </c>
      <c r="V233" s="250">
        <v>9999</v>
      </c>
      <c r="W233" s="250">
        <v>99999</v>
      </c>
      <c r="X233" s="2"/>
      <c r="Y233" s="408">
        <v>15</v>
      </c>
      <c r="Z233" s="408"/>
      <c r="AA233" s="251">
        <v>9999</v>
      </c>
      <c r="AB233" s="251">
        <v>9999</v>
      </c>
      <c r="AC233" s="251">
        <v>9999</v>
      </c>
      <c r="AD233" s="250">
        <v>9999</v>
      </c>
      <c r="AE233" s="250">
        <v>99999</v>
      </c>
      <c r="AF233" s="2"/>
      <c r="AG233" s="408">
        <v>15</v>
      </c>
      <c r="AH233" s="408"/>
      <c r="AI233" s="251">
        <v>9999</v>
      </c>
      <c r="AJ233" s="251">
        <v>9999</v>
      </c>
      <c r="AK233" s="251">
        <v>9999</v>
      </c>
      <c r="AL233" s="250">
        <v>9999</v>
      </c>
      <c r="AM233" s="250">
        <v>99999</v>
      </c>
      <c r="AN233" s="2"/>
      <c r="AO233" s="408">
        <v>15</v>
      </c>
      <c r="AP233" s="408"/>
      <c r="AQ233" s="251">
        <v>9999</v>
      </c>
      <c r="AR233" s="251">
        <v>9999</v>
      </c>
      <c r="AS233" s="251">
        <v>9999</v>
      </c>
      <c r="AT233" s="250">
        <v>9999</v>
      </c>
      <c r="AU233" s="250">
        <v>99999</v>
      </c>
      <c r="AV233" s="252"/>
      <c r="AW233" s="253"/>
      <c r="AX233" s="254"/>
      <c r="AY233" s="251"/>
      <c r="AZ233" s="251"/>
      <c r="BA233" s="251"/>
      <c r="BB233" s="250"/>
      <c r="BC233" s="250">
        <v>99999</v>
      </c>
    </row>
    <row r="234" spans="1:55" ht="14.25" customHeight="1" x14ac:dyDescent="0.3">
      <c r="A234" s="408">
        <v>20</v>
      </c>
      <c r="B234" s="408"/>
      <c r="C234" s="248">
        <v>9999</v>
      </c>
      <c r="D234" s="249">
        <v>9999</v>
      </c>
      <c r="E234" s="249">
        <v>9999</v>
      </c>
      <c r="F234" s="250">
        <v>9999</v>
      </c>
      <c r="G234" s="250">
        <v>99999</v>
      </c>
      <c r="H234" s="2"/>
      <c r="I234" s="408">
        <v>20</v>
      </c>
      <c r="J234" s="408"/>
      <c r="K234" s="251">
        <v>9999</v>
      </c>
      <c r="L234" s="251">
        <v>9999</v>
      </c>
      <c r="M234" s="251">
        <v>9999</v>
      </c>
      <c r="N234" s="250">
        <v>9999</v>
      </c>
      <c r="O234" s="250">
        <v>99999</v>
      </c>
      <c r="P234" s="42"/>
      <c r="Q234" s="408">
        <v>20</v>
      </c>
      <c r="R234" s="408"/>
      <c r="S234" s="251">
        <v>9999</v>
      </c>
      <c r="T234" s="251">
        <v>9999</v>
      </c>
      <c r="U234" s="251">
        <v>9999</v>
      </c>
      <c r="V234" s="250">
        <v>9999</v>
      </c>
      <c r="W234" s="250">
        <v>99999</v>
      </c>
      <c r="X234" s="2"/>
      <c r="Y234" s="408">
        <v>20</v>
      </c>
      <c r="Z234" s="408"/>
      <c r="AA234" s="251">
        <v>9999</v>
      </c>
      <c r="AB234" s="251">
        <v>9999</v>
      </c>
      <c r="AC234" s="251">
        <v>9999</v>
      </c>
      <c r="AD234" s="250">
        <v>9999</v>
      </c>
      <c r="AE234" s="250">
        <v>99999</v>
      </c>
      <c r="AF234" s="2"/>
      <c r="AG234" s="408">
        <v>20</v>
      </c>
      <c r="AH234" s="408"/>
      <c r="AI234" s="251">
        <v>9999</v>
      </c>
      <c r="AJ234" s="251">
        <v>9999</v>
      </c>
      <c r="AK234" s="251">
        <v>9999</v>
      </c>
      <c r="AL234" s="250">
        <v>9999</v>
      </c>
      <c r="AM234" s="250">
        <v>99999</v>
      </c>
      <c r="AN234" s="2"/>
      <c r="AO234" s="408">
        <v>20</v>
      </c>
      <c r="AP234" s="408"/>
      <c r="AQ234" s="251">
        <v>9999</v>
      </c>
      <c r="AR234" s="251">
        <v>9999</v>
      </c>
      <c r="AS234" s="251">
        <v>9999</v>
      </c>
      <c r="AT234" s="250">
        <v>9999</v>
      </c>
      <c r="AU234" s="250">
        <v>99999</v>
      </c>
      <c r="AV234" s="252"/>
      <c r="AW234" s="408">
        <v>20</v>
      </c>
      <c r="AX234" s="408"/>
      <c r="AY234" s="251"/>
      <c r="AZ234" s="251"/>
      <c r="BA234" s="251"/>
      <c r="BB234" s="250"/>
      <c r="BC234" s="250">
        <v>99999</v>
      </c>
    </row>
    <row r="235" spans="1:55" ht="14.25" customHeight="1" x14ac:dyDescent="0.3">
      <c r="A235" s="408">
        <v>25</v>
      </c>
      <c r="B235" s="408"/>
      <c r="C235" s="248">
        <v>9999</v>
      </c>
      <c r="D235" s="249">
        <v>9999</v>
      </c>
      <c r="E235" s="249">
        <v>9999</v>
      </c>
      <c r="F235" s="250">
        <v>9999</v>
      </c>
      <c r="G235" s="250">
        <v>99999</v>
      </c>
      <c r="H235" s="2"/>
      <c r="I235" s="408">
        <v>25</v>
      </c>
      <c r="J235" s="408"/>
      <c r="K235" s="251">
        <v>9999</v>
      </c>
      <c r="L235" s="251">
        <v>9999</v>
      </c>
      <c r="M235" s="251">
        <v>9999</v>
      </c>
      <c r="N235" s="250">
        <v>9999</v>
      </c>
      <c r="O235" s="250">
        <v>99999</v>
      </c>
      <c r="P235" s="42"/>
      <c r="Q235" s="408">
        <v>25</v>
      </c>
      <c r="R235" s="408"/>
      <c r="S235" s="251">
        <v>9999</v>
      </c>
      <c r="T235" s="251">
        <v>9999</v>
      </c>
      <c r="U235" s="251">
        <v>9999</v>
      </c>
      <c r="V235" s="250">
        <v>9999</v>
      </c>
      <c r="W235" s="250">
        <v>99999</v>
      </c>
      <c r="X235" s="2"/>
      <c r="Y235" s="408">
        <v>25</v>
      </c>
      <c r="Z235" s="408"/>
      <c r="AA235" s="251">
        <v>9999</v>
      </c>
      <c r="AB235" s="251">
        <v>9999</v>
      </c>
      <c r="AC235" s="251">
        <v>9999</v>
      </c>
      <c r="AD235" s="250">
        <v>9999</v>
      </c>
      <c r="AE235" s="250">
        <v>99999</v>
      </c>
      <c r="AF235" s="2"/>
      <c r="AG235" s="408">
        <v>25</v>
      </c>
      <c r="AH235" s="408"/>
      <c r="AI235" s="251">
        <v>9999</v>
      </c>
      <c r="AJ235" s="251">
        <v>9999</v>
      </c>
      <c r="AK235" s="251">
        <v>9999</v>
      </c>
      <c r="AL235" s="250">
        <v>9999</v>
      </c>
      <c r="AM235" s="250">
        <v>99999</v>
      </c>
      <c r="AN235" s="2"/>
      <c r="AO235" s="408">
        <v>25</v>
      </c>
      <c r="AP235" s="408"/>
      <c r="AQ235" s="251">
        <v>9999</v>
      </c>
      <c r="AR235" s="251">
        <v>9999</v>
      </c>
      <c r="AS235" s="251">
        <v>9999</v>
      </c>
      <c r="AT235" s="250">
        <v>9999</v>
      </c>
      <c r="AU235" s="250">
        <v>99999</v>
      </c>
      <c r="AV235" s="252"/>
      <c r="AW235" s="253"/>
      <c r="AX235" s="254"/>
      <c r="AY235" s="251"/>
      <c r="AZ235" s="251"/>
      <c r="BA235" s="251"/>
      <c r="BB235" s="250"/>
      <c r="BC235" s="250">
        <v>99999</v>
      </c>
    </row>
    <row r="236" spans="1:55" ht="14.25" customHeight="1" x14ac:dyDescent="0.3">
      <c r="A236" s="408">
        <v>30</v>
      </c>
      <c r="B236" s="408"/>
      <c r="C236" s="248">
        <v>9999</v>
      </c>
      <c r="D236" s="249">
        <v>9999</v>
      </c>
      <c r="E236" s="249">
        <v>9999</v>
      </c>
      <c r="F236" s="250">
        <v>9999</v>
      </c>
      <c r="G236" s="250">
        <v>99999</v>
      </c>
      <c r="H236" s="2"/>
      <c r="I236" s="408">
        <v>30</v>
      </c>
      <c r="J236" s="408"/>
      <c r="K236" s="251">
        <v>9999</v>
      </c>
      <c r="L236" s="251">
        <v>9999</v>
      </c>
      <c r="M236" s="251">
        <v>9999</v>
      </c>
      <c r="N236" s="250">
        <v>9999</v>
      </c>
      <c r="O236" s="250">
        <v>99999</v>
      </c>
      <c r="P236" s="42"/>
      <c r="Q236" s="408">
        <v>30</v>
      </c>
      <c r="R236" s="408"/>
      <c r="S236" s="251">
        <v>9999</v>
      </c>
      <c r="T236" s="251">
        <v>9999</v>
      </c>
      <c r="U236" s="251">
        <v>9999</v>
      </c>
      <c r="V236" s="250">
        <v>9999</v>
      </c>
      <c r="W236" s="250">
        <v>99999</v>
      </c>
      <c r="X236" s="2"/>
      <c r="Y236" s="408">
        <v>30</v>
      </c>
      <c r="Z236" s="408"/>
      <c r="AA236" s="251">
        <v>9999</v>
      </c>
      <c r="AB236" s="251">
        <v>9999</v>
      </c>
      <c r="AC236" s="251">
        <v>9999</v>
      </c>
      <c r="AD236" s="250">
        <v>9999</v>
      </c>
      <c r="AE236" s="250">
        <v>99999</v>
      </c>
      <c r="AF236" s="2"/>
      <c r="AG236" s="408">
        <v>30</v>
      </c>
      <c r="AH236" s="408"/>
      <c r="AI236" s="251">
        <v>9999</v>
      </c>
      <c r="AJ236" s="251">
        <v>9999</v>
      </c>
      <c r="AK236" s="251">
        <v>9999</v>
      </c>
      <c r="AL236" s="250">
        <v>9999</v>
      </c>
      <c r="AM236" s="250">
        <v>99999</v>
      </c>
      <c r="AN236" s="2"/>
      <c r="AO236" s="408">
        <v>30</v>
      </c>
      <c r="AP236" s="408"/>
      <c r="AQ236" s="251">
        <v>9999</v>
      </c>
      <c r="AR236" s="251">
        <v>9999</v>
      </c>
      <c r="AS236" s="251">
        <v>9999</v>
      </c>
      <c r="AT236" s="250">
        <v>9999</v>
      </c>
      <c r="AU236" s="250">
        <v>99999</v>
      </c>
      <c r="AV236" s="252"/>
      <c r="AW236" s="408">
        <v>30</v>
      </c>
      <c r="AX236" s="408"/>
      <c r="AY236" s="251"/>
      <c r="AZ236" s="251"/>
      <c r="BA236" s="251"/>
      <c r="BB236" s="250"/>
      <c r="BC236" s="250">
        <v>99999</v>
      </c>
    </row>
    <row r="237" spans="1:55" ht="14.25" customHeight="1" x14ac:dyDescent="0.3">
      <c r="A237" s="408">
        <v>40</v>
      </c>
      <c r="B237" s="408"/>
      <c r="C237" s="255">
        <v>99999</v>
      </c>
      <c r="D237" s="255">
        <v>99999</v>
      </c>
      <c r="E237" s="255">
        <v>99999</v>
      </c>
      <c r="F237" s="255">
        <v>99999</v>
      </c>
      <c r="G237" s="250">
        <v>99999</v>
      </c>
      <c r="H237" s="2"/>
      <c r="I237" s="408">
        <v>40</v>
      </c>
      <c r="J237" s="408"/>
      <c r="K237" s="255">
        <v>99999</v>
      </c>
      <c r="L237" s="255">
        <v>99999</v>
      </c>
      <c r="M237" s="255">
        <v>99999</v>
      </c>
      <c r="N237" s="255">
        <v>99999</v>
      </c>
      <c r="O237" s="250">
        <v>99999</v>
      </c>
      <c r="P237" s="42"/>
      <c r="Q237" s="408">
        <v>40</v>
      </c>
      <c r="R237" s="408"/>
      <c r="S237" s="255">
        <v>99999</v>
      </c>
      <c r="T237" s="255">
        <v>99999</v>
      </c>
      <c r="U237" s="255">
        <v>99999</v>
      </c>
      <c r="V237" s="255">
        <v>99999</v>
      </c>
      <c r="W237" s="250">
        <v>99999</v>
      </c>
      <c r="X237" s="2"/>
      <c r="Y237" s="408">
        <v>40</v>
      </c>
      <c r="Z237" s="408"/>
      <c r="AA237" s="255">
        <v>99999</v>
      </c>
      <c r="AB237" s="255">
        <v>99999</v>
      </c>
      <c r="AC237" s="255">
        <v>99999</v>
      </c>
      <c r="AD237" s="255">
        <v>99999</v>
      </c>
      <c r="AE237" s="250">
        <v>99999</v>
      </c>
      <c r="AF237" s="2"/>
      <c r="AG237" s="408">
        <v>40</v>
      </c>
      <c r="AH237" s="408"/>
      <c r="AI237" s="255">
        <v>99999</v>
      </c>
      <c r="AJ237" s="255">
        <v>99999</v>
      </c>
      <c r="AK237" s="255">
        <v>99999</v>
      </c>
      <c r="AL237" s="255">
        <v>99999</v>
      </c>
      <c r="AM237" s="250">
        <v>99999</v>
      </c>
      <c r="AN237" s="2"/>
      <c r="AO237" s="408">
        <v>40</v>
      </c>
      <c r="AP237" s="408"/>
      <c r="AQ237" s="255">
        <v>99999</v>
      </c>
      <c r="AR237" s="255">
        <v>99999</v>
      </c>
      <c r="AS237" s="255">
        <v>99999</v>
      </c>
      <c r="AT237" s="255">
        <v>99999</v>
      </c>
      <c r="AU237" s="250">
        <v>99999</v>
      </c>
      <c r="AV237" s="252"/>
      <c r="AW237" s="408">
        <v>40</v>
      </c>
      <c r="AX237" s="408"/>
      <c r="AY237" s="255">
        <v>99999</v>
      </c>
      <c r="AZ237" s="255">
        <v>99999</v>
      </c>
      <c r="BA237" s="255">
        <v>99999</v>
      </c>
      <c r="BB237" s="255">
        <v>99999</v>
      </c>
      <c r="BC237" s="250">
        <v>99999</v>
      </c>
    </row>
    <row r="238" spans="1:55" ht="14.25" customHeight="1" x14ac:dyDescent="0.3">
      <c r="A238" s="409"/>
      <c r="B238" s="409"/>
      <c r="C238" s="256" t="s">
        <v>219</v>
      </c>
      <c r="D238" s="257" t="s">
        <v>219</v>
      </c>
      <c r="E238" s="257" t="s">
        <v>219</v>
      </c>
      <c r="F238" s="257" t="s">
        <v>219</v>
      </c>
      <c r="G238" s="258" t="s">
        <v>219</v>
      </c>
      <c r="H238" s="2"/>
      <c r="I238" s="409"/>
      <c r="J238" s="409"/>
      <c r="K238" s="256" t="s">
        <v>219</v>
      </c>
      <c r="L238" s="257" t="s">
        <v>219</v>
      </c>
      <c r="M238" s="257" t="s">
        <v>219</v>
      </c>
      <c r="N238" s="257" t="s">
        <v>219</v>
      </c>
      <c r="O238" s="258" t="s">
        <v>219</v>
      </c>
      <c r="P238" s="42"/>
      <c r="Q238" s="409"/>
      <c r="R238" s="409"/>
      <c r="S238" s="256" t="s">
        <v>219</v>
      </c>
      <c r="T238" s="257" t="s">
        <v>219</v>
      </c>
      <c r="U238" s="257" t="s">
        <v>219</v>
      </c>
      <c r="V238" s="257" t="s">
        <v>219</v>
      </c>
      <c r="W238" s="258" t="s">
        <v>219</v>
      </c>
      <c r="X238" s="2"/>
      <c r="Y238" s="409"/>
      <c r="Z238" s="409"/>
      <c r="AA238" s="256" t="s">
        <v>219</v>
      </c>
      <c r="AB238" s="257" t="s">
        <v>219</v>
      </c>
      <c r="AC238" s="257" t="s">
        <v>219</v>
      </c>
      <c r="AD238" s="257" t="s">
        <v>219</v>
      </c>
      <c r="AE238" s="258" t="s">
        <v>219</v>
      </c>
      <c r="AF238" s="2"/>
      <c r="AG238" s="409"/>
      <c r="AH238" s="409"/>
      <c r="AI238" s="256" t="s">
        <v>219</v>
      </c>
      <c r="AJ238" s="257" t="s">
        <v>219</v>
      </c>
      <c r="AK238" s="257" t="s">
        <v>219</v>
      </c>
      <c r="AL238" s="257" t="s">
        <v>219</v>
      </c>
      <c r="AM238" s="258" t="s">
        <v>219</v>
      </c>
      <c r="AN238" s="2"/>
      <c r="AO238" s="409"/>
      <c r="AP238" s="409"/>
      <c r="AQ238" s="256" t="s">
        <v>219</v>
      </c>
      <c r="AR238" s="257" t="s">
        <v>219</v>
      </c>
      <c r="AS238" s="257" t="s">
        <v>219</v>
      </c>
      <c r="AT238" s="257" t="s">
        <v>219</v>
      </c>
      <c r="AU238" s="258" t="s">
        <v>219</v>
      </c>
      <c r="AV238" s="252"/>
      <c r="AW238" s="409"/>
      <c r="AX238" s="409"/>
      <c r="AY238" s="256" t="s">
        <v>219</v>
      </c>
      <c r="AZ238" s="257" t="s">
        <v>219</v>
      </c>
      <c r="BA238" s="257" t="s">
        <v>219</v>
      </c>
      <c r="BB238" s="257" t="s">
        <v>219</v>
      </c>
      <c r="BC238" s="258" t="s">
        <v>219</v>
      </c>
    </row>
    <row r="239" spans="1:55" ht="14.25" customHeight="1" x14ac:dyDescent="0.3"/>
    <row r="240" spans="1:55" ht="14.25" customHeight="1" x14ac:dyDescent="0.3">
      <c r="B240" s="139" t="s">
        <v>146</v>
      </c>
      <c r="C240" s="140">
        <f ca="1">$D$1</f>
        <v>770</v>
      </c>
      <c r="D240" s="355" t="s">
        <v>201</v>
      </c>
      <c r="E240" s="355"/>
      <c r="F240" s="137"/>
      <c r="G240" s="137"/>
      <c r="H240" s="2"/>
      <c r="I240" s="2"/>
      <c r="J240" s="139" t="s">
        <v>146</v>
      </c>
      <c r="K240" s="140">
        <f ca="1">$D$1</f>
        <v>770</v>
      </c>
      <c r="L240" s="355" t="s">
        <v>201</v>
      </c>
      <c r="M240" s="355"/>
      <c r="N240" s="137"/>
      <c r="O240" s="137"/>
      <c r="P240" s="137"/>
      <c r="Q240" s="2"/>
      <c r="R240" s="139" t="s">
        <v>146</v>
      </c>
      <c r="S240" s="140">
        <f ca="1">$D$1</f>
        <v>770</v>
      </c>
      <c r="T240" s="355" t="s">
        <v>201</v>
      </c>
      <c r="U240" s="355"/>
      <c r="V240" s="137"/>
      <c r="W240" s="137"/>
      <c r="X240" s="2"/>
      <c r="Y240" s="2"/>
      <c r="Z240" s="139" t="s">
        <v>146</v>
      </c>
      <c r="AA240" s="140">
        <f ca="1">$D$1</f>
        <v>770</v>
      </c>
      <c r="AB240" s="355" t="s">
        <v>201</v>
      </c>
      <c r="AC240" s="355"/>
      <c r="AD240" s="137"/>
      <c r="AE240" s="137"/>
      <c r="AF240" s="2"/>
      <c r="AG240" s="2"/>
      <c r="AH240" s="139" t="s">
        <v>146</v>
      </c>
      <c r="AI240" s="140">
        <f ca="1">$D$1</f>
        <v>770</v>
      </c>
      <c r="AJ240" s="355" t="s">
        <v>201</v>
      </c>
      <c r="AK240" s="355"/>
      <c r="AL240" s="137"/>
      <c r="AM240" s="137"/>
      <c r="AN240" s="2"/>
      <c r="AO240" s="2"/>
      <c r="AP240" s="139" t="s">
        <v>146</v>
      </c>
      <c r="AQ240" s="140">
        <f ca="1">$D$1</f>
        <v>770</v>
      </c>
      <c r="AR240" s="355" t="s">
        <v>201</v>
      </c>
      <c r="AS240" s="355"/>
      <c r="AT240" s="137"/>
      <c r="AU240" s="137"/>
      <c r="AV240" s="137"/>
      <c r="AW240" s="2"/>
      <c r="AX240" s="139" t="s">
        <v>146</v>
      </c>
      <c r="AY240" s="140">
        <f ca="1">$D$1</f>
        <v>770</v>
      </c>
      <c r="AZ240" s="355" t="s">
        <v>201</v>
      </c>
      <c r="BA240" s="355"/>
    </row>
    <row r="241" spans="1:53" ht="14.25" customHeight="1" x14ac:dyDescent="0.3">
      <c r="B241" s="16" t="s">
        <v>202</v>
      </c>
      <c r="C241" s="141">
        <f t="array" aca="1" ref="C241" ca="1">INDEX(C223:G223,MATCH(C240,C223:G223,1))</f>
        <v>0</v>
      </c>
      <c r="D241" s="16" t="s">
        <v>144</v>
      </c>
      <c r="E241" s="17">
        <f>MATCH(MAX(A224:A238),A224:A238,0)</f>
        <v>14</v>
      </c>
      <c r="F241" s="17"/>
      <c r="H241" s="2"/>
      <c r="I241" s="2"/>
      <c r="J241" s="16" t="s">
        <v>202</v>
      </c>
      <c r="K241" s="141">
        <f t="array" aca="1" ref="K241" ca="1">INDEX(K223:O223,MATCH(K240,K223:O223,1))</f>
        <v>0</v>
      </c>
      <c r="L241" s="16" t="s">
        <v>144</v>
      </c>
      <c r="M241" s="17">
        <f>MATCH(MAX(I224:I238),I224:I238,0)</f>
        <v>14</v>
      </c>
      <c r="N241" s="17"/>
      <c r="O241" s="17"/>
      <c r="P241" s="17"/>
      <c r="Q241" s="2"/>
      <c r="R241" s="16" t="s">
        <v>202</v>
      </c>
      <c r="S241" s="141">
        <f t="array" aca="1" ref="S241" ca="1">INDEX(S223:W223,MATCH(S240,S223:W223,1))</f>
        <v>0</v>
      </c>
      <c r="T241" s="16" t="s">
        <v>144</v>
      </c>
      <c r="U241" s="17">
        <f>MATCH(MAX(Q224:Q238),Q224:Q238,0)</f>
        <v>14</v>
      </c>
      <c r="V241" s="17"/>
      <c r="W241" s="17"/>
      <c r="X241" s="2"/>
      <c r="Y241" s="2"/>
      <c r="Z241" s="16" t="s">
        <v>202</v>
      </c>
      <c r="AA241" s="141">
        <f t="array" aca="1" ref="AA241" ca="1">INDEX(AA223:AE223,MATCH(AA240,AA223:AE223,1))</f>
        <v>0</v>
      </c>
      <c r="AB241" s="16" t="s">
        <v>144</v>
      </c>
      <c r="AC241" s="17">
        <f>MATCH(MAX(Y224:Y238),Y224:Y238,0)</f>
        <v>14</v>
      </c>
      <c r="AD241" s="17"/>
      <c r="AE241" s="17"/>
      <c r="AF241" s="2"/>
      <c r="AG241" s="2"/>
      <c r="AH241" s="16" t="s">
        <v>202</v>
      </c>
      <c r="AI241" s="141">
        <f t="array" aca="1" ref="AI241" ca="1">INDEX(AI223:AM223,MATCH(AI240,AI223:AM223,1))</f>
        <v>0</v>
      </c>
      <c r="AJ241" s="16" t="s">
        <v>144</v>
      </c>
      <c r="AK241" s="17">
        <f>MATCH(MAX(AG224:AG238),AG224:AG238,0)</f>
        <v>14</v>
      </c>
      <c r="AL241" s="17"/>
      <c r="AM241" s="17"/>
      <c r="AN241" s="2"/>
      <c r="AO241" s="2"/>
      <c r="AP241" s="16" t="s">
        <v>202</v>
      </c>
      <c r="AQ241" s="141">
        <f t="array" aca="1" ref="AQ241" ca="1">INDEX(AQ223:AU223,MATCH(AQ240,AQ223:AU223,1))</f>
        <v>0</v>
      </c>
      <c r="AR241" s="16" t="s">
        <v>144</v>
      </c>
      <c r="AS241" s="17">
        <f>MATCH(MAX(AO224:AO238),AO224:AO238,0)</f>
        <v>14</v>
      </c>
      <c r="AT241" s="17"/>
      <c r="AU241" s="17"/>
      <c r="AV241" s="17"/>
      <c r="AW241" s="2"/>
      <c r="AX241" s="16" t="s">
        <v>202</v>
      </c>
      <c r="AY241" s="141">
        <f t="array" aca="1" ref="AY241" ca="1">INDEX(AY223:BC223,MATCH(AY240,AY223:BC223,1))</f>
        <v>0</v>
      </c>
      <c r="AZ241" s="16" t="s">
        <v>144</v>
      </c>
      <c r="BA241" s="17">
        <f>MATCH(MAX(AW224:AW238),AW224:AW238,0)</f>
        <v>14</v>
      </c>
    </row>
    <row r="242" spans="1:53" ht="14.25" customHeight="1" x14ac:dyDescent="0.3">
      <c r="B242" s="16" t="s">
        <v>203</v>
      </c>
      <c r="C242" s="141">
        <f t="array" aca="1" ref="C242" ca="1">INDEX(C223:G223,IF(MATCH(C240,C223:G223,1)&lt;E242,MATCH(C240,C223:G223,1)+1,MATCH(C240,C223:G223,1)))</f>
        <v>1000</v>
      </c>
      <c r="D242" s="16" t="s">
        <v>145</v>
      </c>
      <c r="E242" s="17">
        <f>MATCH(MAX(C223:G223),C223:G223,0)</f>
        <v>5</v>
      </c>
      <c r="F242" s="17"/>
      <c r="H242" s="2"/>
      <c r="I242" s="2"/>
      <c r="J242" s="16" t="s">
        <v>203</v>
      </c>
      <c r="K242" s="141">
        <f t="array" aca="1" ref="K242" ca="1">INDEX(K223:O223,IF(MATCH(K240,K223:O223,1)&lt;M242,MATCH(K240,K223:O223,1)+1,MATCH(K240,K223:O223,1)))</f>
        <v>1000</v>
      </c>
      <c r="L242" s="16" t="s">
        <v>145</v>
      </c>
      <c r="M242" s="17">
        <f>MATCH(MAX(K223:O223),K223:O223,0)</f>
        <v>5</v>
      </c>
      <c r="N242" s="17"/>
      <c r="O242" s="17"/>
      <c r="P242" s="17"/>
      <c r="Q242" s="2"/>
      <c r="R242" s="16" t="s">
        <v>203</v>
      </c>
      <c r="S242" s="141">
        <f t="array" aca="1" ref="S242" ca="1">INDEX(S223:W223,IF(MATCH(S240,S223:W223,1)&lt;U242,MATCH(S240,S223:W223,1)+1,MATCH(S240,S223:W223,1)))</f>
        <v>1000</v>
      </c>
      <c r="T242" s="16" t="s">
        <v>145</v>
      </c>
      <c r="U242" s="17">
        <f>MATCH(MAX(S223:W223),S223:W223,0)</f>
        <v>5</v>
      </c>
      <c r="V242" s="17"/>
      <c r="W242" s="17"/>
      <c r="X242" s="2"/>
      <c r="Y242" s="2"/>
      <c r="Z242" s="16" t="s">
        <v>203</v>
      </c>
      <c r="AA242" s="141">
        <f t="array" aca="1" ref="AA242" ca="1">INDEX(AA223:AE223,IF(MATCH(AA240,AA223:AE223,1)&lt;AC242,MATCH(AA240,AA223:AE223,1)+1,MATCH(AA240,AA223:AE223,1)))</f>
        <v>1000</v>
      </c>
      <c r="AB242" s="16" t="s">
        <v>145</v>
      </c>
      <c r="AC242" s="17">
        <f>MATCH(MAX(AA223:AE223),AA223:AE223,0)</f>
        <v>5</v>
      </c>
      <c r="AD242" s="17"/>
      <c r="AE242" s="17"/>
      <c r="AF242" s="2"/>
      <c r="AG242" s="2"/>
      <c r="AH242" s="16" t="s">
        <v>203</v>
      </c>
      <c r="AI242" s="141">
        <f t="array" aca="1" ref="AI242" ca="1">INDEX(AI223:AM223,IF(MATCH(AI240,AI223:AM223,1)&lt;AK242,MATCH(AI240,AI223:AM223,1)+1,MATCH(AI240,AI223:AM223,1)))</f>
        <v>1000</v>
      </c>
      <c r="AJ242" s="16" t="s">
        <v>145</v>
      </c>
      <c r="AK242" s="17">
        <f>MATCH(MAX(AI223:AM223),AI223:AM223,0)</f>
        <v>5</v>
      </c>
      <c r="AL242" s="17"/>
      <c r="AM242" s="17"/>
      <c r="AN242" s="2"/>
      <c r="AO242" s="2"/>
      <c r="AP242" s="16" t="s">
        <v>203</v>
      </c>
      <c r="AQ242" s="141">
        <f t="array" aca="1" ref="AQ242" ca="1">INDEX(AQ223:AU223,IF(MATCH(AQ240,AQ223:AU223,1)&lt;AS242,MATCH(AQ240,AQ223:AU223,1)+1,MATCH(AQ240,AQ223:AU223,1)))</f>
        <v>1000</v>
      </c>
      <c r="AR242" s="16" t="s">
        <v>145</v>
      </c>
      <c r="AS242" s="17">
        <f>MATCH(MAX(AQ223:AU223),AQ223:AU223,0)</f>
        <v>5</v>
      </c>
      <c r="AT242" s="17"/>
      <c r="AU242" s="17"/>
      <c r="AV242" s="17"/>
      <c r="AW242" s="2"/>
      <c r="AX242" s="16" t="s">
        <v>203</v>
      </c>
      <c r="AY242" s="141">
        <f t="array" aca="1" ref="AY242" ca="1">INDEX(AY223:BC223,IF(MATCH(AY240,AY223:BC223,1)&lt;BA242,MATCH(AY240,AY223:BC223,1)+1,MATCH(AY240,AY223:BC223,1)))</f>
        <v>1000</v>
      </c>
      <c r="AZ242" s="16" t="s">
        <v>145</v>
      </c>
      <c r="BA242" s="17">
        <f>MATCH(MAX(AY223:BC223),AY223:BC223,0)</f>
        <v>5</v>
      </c>
    </row>
    <row r="243" spans="1:53" ht="14.25" customHeight="1" x14ac:dyDescent="0.3">
      <c r="B243" s="139" t="s">
        <v>147</v>
      </c>
      <c r="C243" s="140">
        <f ca="1">$D$2</f>
        <v>15</v>
      </c>
      <c r="D243" s="2"/>
      <c r="E243" s="2"/>
      <c r="F243" s="2"/>
      <c r="G243" s="17"/>
      <c r="H243" s="2"/>
      <c r="I243" s="2"/>
      <c r="J243" s="139" t="s">
        <v>147</v>
      </c>
      <c r="K243" s="140">
        <f ca="1">$D$2</f>
        <v>15</v>
      </c>
      <c r="L243" s="2"/>
      <c r="M243" s="2"/>
      <c r="N243" s="2"/>
      <c r="O243" s="17"/>
      <c r="P243" s="17"/>
      <c r="Q243" s="2"/>
      <c r="R243" s="139" t="s">
        <v>147</v>
      </c>
      <c r="S243" s="140">
        <f ca="1">$D$2</f>
        <v>15</v>
      </c>
      <c r="T243" s="2"/>
      <c r="U243" s="2"/>
      <c r="V243" s="2"/>
      <c r="W243" s="17"/>
      <c r="X243" s="2"/>
      <c r="Y243" s="2"/>
      <c r="Z243" s="139" t="s">
        <v>147</v>
      </c>
      <c r="AA243" s="140">
        <f ca="1">$D$2</f>
        <v>15</v>
      </c>
      <c r="AB243" s="2"/>
      <c r="AC243" s="2"/>
      <c r="AD243" s="2"/>
      <c r="AE243" s="17"/>
      <c r="AF243" s="2"/>
      <c r="AG243" s="2"/>
      <c r="AH243" s="139" t="s">
        <v>147</v>
      </c>
      <c r="AI243" s="140">
        <f ca="1">$D$2</f>
        <v>15</v>
      </c>
      <c r="AJ243" s="2"/>
      <c r="AK243" s="2"/>
      <c r="AL243" s="2"/>
      <c r="AM243" s="17"/>
      <c r="AN243" s="2"/>
      <c r="AO243" s="2"/>
      <c r="AP243" s="139" t="s">
        <v>147</v>
      </c>
      <c r="AQ243" s="140">
        <f ca="1">$D$2</f>
        <v>15</v>
      </c>
      <c r="AR243" s="2"/>
      <c r="AS243" s="2"/>
      <c r="AT243" s="2"/>
      <c r="AU243" s="17"/>
      <c r="AV243" s="17"/>
      <c r="AW243" s="2"/>
      <c r="AX243" s="139" t="s">
        <v>147</v>
      </c>
      <c r="AY243" s="140">
        <f ca="1">$D$2</f>
        <v>15</v>
      </c>
      <c r="AZ243" s="2"/>
      <c r="BA243" s="2"/>
    </row>
    <row r="244" spans="1:53" ht="14.25" customHeight="1" x14ac:dyDescent="0.3">
      <c r="B244" s="16" t="s">
        <v>148</v>
      </c>
      <c r="C244" s="141">
        <f t="array" aca="1" ref="C244" ca="1">INDEX(A224:A238,MATCH(C243,A224:A238,1))</f>
        <v>15</v>
      </c>
      <c r="D244" s="2"/>
      <c r="E244" s="42"/>
      <c r="F244" s="42"/>
      <c r="G244" s="2"/>
      <c r="H244" s="2"/>
      <c r="I244" s="2"/>
      <c r="J244" s="16" t="s">
        <v>148</v>
      </c>
      <c r="K244" s="141">
        <f t="array" aca="1" ref="K244" ca="1">INDEX(I224:I238,MATCH(K243,I224:I238,1))</f>
        <v>15</v>
      </c>
      <c r="L244" s="2"/>
      <c r="M244" s="2"/>
      <c r="N244" s="2"/>
      <c r="O244" s="2"/>
      <c r="P244" s="2"/>
      <c r="Q244" s="2"/>
      <c r="R244" s="16" t="s">
        <v>148</v>
      </c>
      <c r="S244" s="141">
        <f t="array" aca="1" ref="S244" ca="1">INDEX(Q224:Q238,MATCH(S243,Q224:Q238,1))</f>
        <v>15</v>
      </c>
      <c r="T244" s="2"/>
      <c r="U244" s="2"/>
      <c r="V244" s="2"/>
      <c r="W244" s="2"/>
      <c r="X244" s="2"/>
      <c r="Y244" s="2"/>
      <c r="Z244" s="16" t="s">
        <v>148</v>
      </c>
      <c r="AA244" s="141">
        <f t="array" aca="1" ref="AA244" ca="1">INDEX(Y224:Y238,MATCH(AA243,Y224:Y238,1))</f>
        <v>15</v>
      </c>
      <c r="AB244" s="2"/>
      <c r="AC244" s="2"/>
      <c r="AD244" s="2"/>
      <c r="AE244" s="2"/>
      <c r="AF244" s="2"/>
      <c r="AG244" s="2"/>
      <c r="AH244" s="16" t="s">
        <v>148</v>
      </c>
      <c r="AI244" s="141">
        <f t="array" aca="1" ref="AI244" ca="1">INDEX(AG224:AG238,MATCH(AI243,AG224:AG238,1))</f>
        <v>15</v>
      </c>
      <c r="AJ244" s="2"/>
      <c r="AK244" s="2"/>
      <c r="AL244" s="2"/>
      <c r="AM244" s="2"/>
      <c r="AN244" s="2"/>
      <c r="AO244" s="2"/>
      <c r="AP244" s="16" t="s">
        <v>148</v>
      </c>
      <c r="AQ244" s="141">
        <f t="array" aca="1" ref="AQ244" ca="1">INDEX(AO224:AO238,MATCH(AQ243,AO224:AO238,1))</f>
        <v>15</v>
      </c>
      <c r="AR244" s="2"/>
      <c r="AS244" s="2"/>
      <c r="AT244" s="2"/>
      <c r="AU244" s="2"/>
      <c r="AV244" s="2"/>
      <c r="AW244" s="2"/>
      <c r="AX244" s="16" t="s">
        <v>148</v>
      </c>
      <c r="AY244" s="141">
        <f t="array" aca="1" ref="AY244" ca="1">INDEX(AW224:AW238,MATCH(AY243,AW224:AW238,1))</f>
        <v>10</v>
      </c>
      <c r="AZ244" s="2"/>
      <c r="BA244" s="2"/>
    </row>
    <row r="245" spans="1:53" ht="14.25" customHeight="1" x14ac:dyDescent="0.3">
      <c r="B245" s="16" t="s">
        <v>149</v>
      </c>
      <c r="C245" s="141">
        <f t="array" aca="1" ref="C245" ca="1">INDEX(A224:A238,IF(MATCH(C243,A224:A238,1)&lt;E241,MATCH(C243,A224:A238,1)+1,MATCH(C243,A224:A238,1)))</f>
        <v>20</v>
      </c>
      <c r="D245" s="2"/>
      <c r="E245" s="42"/>
      <c r="F245" s="42"/>
      <c r="G245" s="2"/>
      <c r="H245" s="2"/>
      <c r="I245" s="2"/>
      <c r="J245" s="16" t="s">
        <v>149</v>
      </c>
      <c r="K245" s="141">
        <f t="array" aca="1" ref="K245" ca="1">INDEX(I224:I238,IF(MATCH(K243,I224:I238,1)&lt;M241,MATCH(K243,I224:I238,1)+1,MATCH(K243,I224:I238,1)))</f>
        <v>20</v>
      </c>
      <c r="L245" s="2"/>
      <c r="M245" s="2"/>
      <c r="N245" s="2"/>
      <c r="O245" s="2"/>
      <c r="P245" s="2"/>
      <c r="Q245" s="2"/>
      <c r="R245" s="16" t="s">
        <v>149</v>
      </c>
      <c r="S245" s="141">
        <f t="array" aca="1" ref="S245" ca="1">INDEX(Q224:Q238,IF(MATCH(S243,Q224:Q238,1)&lt;U241,MATCH(S243,Q224:Q238,1)+1,MATCH(S243,Q224:Q238,1)))</f>
        <v>20</v>
      </c>
      <c r="T245" s="2"/>
      <c r="U245" s="2"/>
      <c r="V245" s="2"/>
      <c r="W245" s="2"/>
      <c r="X245" s="2"/>
      <c r="Y245" s="2"/>
      <c r="Z245" s="16" t="s">
        <v>149</v>
      </c>
      <c r="AA245" s="141">
        <f t="array" aca="1" ref="AA245" ca="1">INDEX(Y224:Y238,IF(MATCH(AA243,Y224:Y238,1)&lt;AC241,MATCH(AA243,Y224:Y238,1)+1,MATCH(AA243,Y224:Y238,1)))</f>
        <v>20</v>
      </c>
      <c r="AB245" s="2"/>
      <c r="AC245" s="2"/>
      <c r="AD245" s="2"/>
      <c r="AE245" s="2"/>
      <c r="AF245" s="2"/>
      <c r="AG245" s="2"/>
      <c r="AH245" s="16" t="s">
        <v>149</v>
      </c>
      <c r="AI245" s="141">
        <f t="array" aca="1" ref="AI245" ca="1">INDEX(AG224:AG238,IF(MATCH(AI243,AG224:AG238,1)&lt;AK241,MATCH(AI243,AG224:AG238,1)+1,MATCH(AI243,AG224:AG238,1)))</f>
        <v>20</v>
      </c>
      <c r="AJ245" s="2"/>
      <c r="AK245" s="2"/>
      <c r="AL245" s="2"/>
      <c r="AM245" s="2"/>
      <c r="AN245" s="2"/>
      <c r="AO245" s="2"/>
      <c r="AP245" s="16" t="s">
        <v>149</v>
      </c>
      <c r="AQ245" s="141">
        <f t="array" aca="1" ref="AQ245" ca="1">INDEX(AO224:AO238,IF(MATCH(AQ243,AO224:AO238,1)&lt;AS241,MATCH(AQ243,AO224:AO238,1)+1,MATCH(AQ243,AO224:AO238,1)))</f>
        <v>20</v>
      </c>
      <c r="AR245" s="2"/>
      <c r="AS245" s="2"/>
      <c r="AT245" s="2"/>
      <c r="AU245" s="2"/>
      <c r="AV245" s="2"/>
      <c r="AW245" s="2"/>
      <c r="AX245" s="16" t="s">
        <v>149</v>
      </c>
      <c r="AY245" s="141">
        <f ca="1">INDEX(AW224:AW238,IF(MATCH(AY243,AW224:AW238,1)&lt;BA241,MATCH(AY243,AW224:AW238,1)+1,MATCH(AY243,AW224:AW238,1)))</f>
        <v>0</v>
      </c>
      <c r="AZ245" s="2"/>
      <c r="BA245" s="2"/>
    </row>
    <row r="246" spans="1:53" ht="14.25" customHeight="1" x14ac:dyDescent="0.3">
      <c r="B246" s="139" t="s">
        <v>150</v>
      </c>
      <c r="C246" s="140">
        <f t="array" aca="1" ref="C246" ca="1">INDEX(C224:G238,MATCH(C243,A224:A238,1),MATCH(C240,C223:G223,1))</f>
        <v>9999</v>
      </c>
      <c r="D246" s="2"/>
      <c r="E246" s="42"/>
      <c r="F246" s="42"/>
      <c r="G246" s="2"/>
      <c r="H246" s="2"/>
      <c r="I246" s="2"/>
      <c r="J246" s="139" t="s">
        <v>150</v>
      </c>
      <c r="K246" s="140">
        <f t="array" aca="1" ref="K246" ca="1">INDEX(K224:O238,MATCH(K243,I224:I238,1),MATCH(K240,K223:O223,1))</f>
        <v>9999</v>
      </c>
      <c r="L246" s="2"/>
      <c r="M246" s="2"/>
      <c r="N246" s="2"/>
      <c r="O246" s="2"/>
      <c r="P246" s="2"/>
      <c r="Q246" s="2"/>
      <c r="R246" s="139" t="s">
        <v>150</v>
      </c>
      <c r="S246" s="140">
        <f t="array" aca="1" ref="S246" ca="1">INDEX(S224:W238,MATCH(S243,Q224:Q238,1),MATCH(S240,S223:W223,1))</f>
        <v>9999</v>
      </c>
      <c r="T246" s="2"/>
      <c r="U246" s="2"/>
      <c r="V246" s="2"/>
      <c r="W246" s="2"/>
      <c r="X246" s="2"/>
      <c r="Y246" s="2"/>
      <c r="Z246" s="139" t="s">
        <v>150</v>
      </c>
      <c r="AA246" s="140">
        <f t="array" aca="1" ref="AA246" ca="1">INDEX(AA224:AE238,MATCH(AA243,Y224:Y238,1),MATCH(AA240,AA223:AE223,1))</f>
        <v>9999</v>
      </c>
      <c r="AB246" s="2"/>
      <c r="AC246" s="2"/>
      <c r="AD246" s="2"/>
      <c r="AE246" s="2"/>
      <c r="AF246" s="2"/>
      <c r="AG246" s="2"/>
      <c r="AH246" s="139" t="s">
        <v>150</v>
      </c>
      <c r="AI246" s="140">
        <f t="array" aca="1" ref="AI246" ca="1">INDEX(AI224:AM238,MATCH(AI243,AG224:AG238,1),MATCH(AI240,AI223:AM223,1))</f>
        <v>9999</v>
      </c>
      <c r="AJ246" s="2"/>
      <c r="AK246" s="2"/>
      <c r="AL246" s="2"/>
      <c r="AM246" s="2"/>
      <c r="AN246" s="2"/>
      <c r="AO246" s="2"/>
      <c r="AP246" s="139" t="s">
        <v>150</v>
      </c>
      <c r="AQ246" s="140">
        <f t="array" aca="1" ref="AQ246" ca="1">INDEX(AQ224:AU238,MATCH(AQ243,AO224:AO238,1),MATCH(AQ240,AQ223:AU223,1))</f>
        <v>9999</v>
      </c>
      <c r="AR246" s="2"/>
      <c r="AS246" s="2"/>
      <c r="AT246" s="2"/>
      <c r="AU246" s="2"/>
      <c r="AV246" s="2"/>
      <c r="AW246" s="2"/>
      <c r="AX246" s="139" t="s">
        <v>150</v>
      </c>
      <c r="AY246" s="140">
        <f ca="1">INDEX(AY224:BC238,MATCH(AY243,AW224:AW238,1),MATCH(AY240,AY223:BC223,1))</f>
        <v>0</v>
      </c>
      <c r="AZ246" s="2"/>
      <c r="BA246" s="2"/>
    </row>
    <row r="247" spans="1:53" ht="14.25" customHeight="1" x14ac:dyDescent="0.3">
      <c r="B247" s="139" t="s">
        <v>204</v>
      </c>
      <c r="C247" s="140">
        <f t="array" aca="1" ref="C247" ca="1">INDEX(C224:G238,MATCH(C243,A224:A238,1),IF(MATCH(C240,C223:G223,1)&lt;E242,MATCH(C240,C223:G223,1)+1,MATCH(C243,A224:A238,1)))</f>
        <v>9999</v>
      </c>
      <c r="E247" s="42"/>
      <c r="F247" s="42"/>
      <c r="G247" s="2"/>
      <c r="H247" s="2"/>
      <c r="I247" s="2"/>
      <c r="J247" s="139" t="s">
        <v>204</v>
      </c>
      <c r="K247" s="140">
        <f t="array" aca="1" ref="K247" ca="1">INDEX(K224:O238,MATCH(K243,I224:I238,1),IF(MATCH(K240,K223:O223,1)&lt;M242,MATCH(K240,K223:O223,1)+1,MATCH(K243,I224:I238,1)))</f>
        <v>9999</v>
      </c>
      <c r="O247" s="2"/>
      <c r="P247" s="2"/>
      <c r="Q247" s="2"/>
      <c r="R247" s="139" t="s">
        <v>204</v>
      </c>
      <c r="S247" s="140">
        <f t="array" aca="1" ref="S247" ca="1">INDEX(S224:W238,MATCH(S243,Q224:Q238,1),IF(MATCH(S240,S223:W223,1)&lt;U242,MATCH(S240,S223:W223,1)+1,MATCH(S243,Q224:Q238,1)))</f>
        <v>9999</v>
      </c>
      <c r="W247" s="2"/>
      <c r="X247" s="2"/>
      <c r="Y247" s="2"/>
      <c r="Z247" s="139" t="s">
        <v>204</v>
      </c>
      <c r="AA247" s="140">
        <f t="array" aca="1" ref="AA247" ca="1">INDEX(AA224:AE238,MATCH(AA243,Y224:Y238,1),IF(MATCH(AA240,AA223:AE223,1)&lt;AC242,MATCH(AA240,AA223:AE223,1)+1,MATCH(AA243,Y224:Y238,1)))</f>
        <v>9999</v>
      </c>
      <c r="AE247" s="2"/>
      <c r="AF247" s="2"/>
      <c r="AG247" s="2"/>
      <c r="AH247" s="139" t="s">
        <v>204</v>
      </c>
      <c r="AI247" s="140">
        <f t="array" aca="1" ref="AI247" ca="1">INDEX(AI224:AM238,MATCH(AI243,AG224:AG238,1),IF(MATCH(AI240,AI223:AM223,1)&lt;AK242,MATCH(AI240,AI223:AM223,1)+1,MATCH(AI243,AG224:AG238,1)))</f>
        <v>9999</v>
      </c>
      <c r="AM247" s="2"/>
      <c r="AN247" s="2"/>
      <c r="AO247" s="2"/>
      <c r="AP247" s="139" t="s">
        <v>204</v>
      </c>
      <c r="AQ247" s="140">
        <f t="array" aca="1" ref="AQ247" ca="1">INDEX(AQ224:AU238,MATCH(AQ243,AO224:AO238,1),IF(MATCH(AQ240,AQ223:AU223,1)&lt;AS242,MATCH(AQ240,AQ223:AU223,1)+1,MATCH(AQ243,AO224:AO238,1)))</f>
        <v>9999</v>
      </c>
      <c r="AU247" s="2"/>
      <c r="AV247" s="2"/>
      <c r="AW247" s="2"/>
      <c r="AX247" s="139" t="s">
        <v>204</v>
      </c>
      <c r="AY247" s="140">
        <f ca="1">INDEX(AY224:BC238,MATCH(AY243,AW224:AW238,1),IF(MATCH(AY240,AY223:BC223,1)&lt;BA242,MATCH(AY240,AY223:BC223,1)+1,MATCH(AY243,AW224:AW238,1)))</f>
        <v>0</v>
      </c>
    </row>
    <row r="248" spans="1:53" ht="14.25" customHeight="1" x14ac:dyDescent="0.3">
      <c r="B248" s="139" t="s">
        <v>151</v>
      </c>
      <c r="C248" s="140">
        <f t="array" aca="1" ref="C248" ca="1">INDEX(C224:G238,IF(MATCH(C243,A224:A238,1)&lt;E241,MATCH(C243,A224:A238,1)+1,MATCH(C243,A224:A238,1)),MATCH(C240,C223:G223,1))</f>
        <v>9999</v>
      </c>
      <c r="E248" s="42"/>
      <c r="F248" s="42"/>
      <c r="G248" s="2"/>
      <c r="H248" s="2"/>
      <c r="I248" s="2"/>
      <c r="J248" s="139" t="s">
        <v>151</v>
      </c>
      <c r="K248" s="140">
        <f t="array" aca="1" ref="K248" ca="1">INDEX(K224:O238,IF(MATCH(K243,I224:I238,1)&lt;M241,MATCH(K243,I224:I238,1)+1,MATCH(K243,I224:I238,1)),MATCH(K240,K223:O223,1))</f>
        <v>9999</v>
      </c>
      <c r="O248" s="2"/>
      <c r="P248" s="2"/>
      <c r="Q248" s="2"/>
      <c r="R248" s="139" t="s">
        <v>151</v>
      </c>
      <c r="S248" s="140">
        <f t="array" aca="1" ref="S248" ca="1">INDEX(S224:W238,IF(MATCH(S243,Q224:Q238,1)&lt;U241,MATCH(S243,Q224:Q238,1)+1,MATCH(S243,Q224:Q238,1)),MATCH(S240,S223:W223,1))</f>
        <v>9999</v>
      </c>
      <c r="W248" s="2"/>
      <c r="X248" s="2"/>
      <c r="Y248" s="2"/>
      <c r="Z248" s="139" t="s">
        <v>151</v>
      </c>
      <c r="AA248" s="140">
        <f t="array" aca="1" ref="AA248" ca="1">INDEX(AA224:AE238,IF(MATCH(AA243,Y224:Y238,1)&lt;AC241,MATCH(AA243,Y224:Y238,1)+1,MATCH(AA243,Y224:Y238,1)),MATCH(AA240,AA223:AE223,1))</f>
        <v>9999</v>
      </c>
      <c r="AE248" s="2"/>
      <c r="AF248" s="2"/>
      <c r="AG248" s="2"/>
      <c r="AH248" s="139" t="s">
        <v>151</v>
      </c>
      <c r="AI248" s="140">
        <f t="array" aca="1" ref="AI248" ca="1">INDEX(AI224:AM238,IF(MATCH(AI243,AG224:AG238,1)&lt;AK241,MATCH(AI243,AG224:AG238,1)+1,MATCH(AI243,AG224:AG238,1)),MATCH(AI240,AI223:AM223,1))</f>
        <v>9999</v>
      </c>
      <c r="AM248" s="2"/>
      <c r="AN248" s="2"/>
      <c r="AO248" s="2"/>
      <c r="AP248" s="139" t="s">
        <v>151</v>
      </c>
      <c r="AQ248" s="140">
        <f t="array" aca="1" ref="AQ248" ca="1">INDEX(AQ224:AU238,IF(MATCH(AQ243,AO224:AO238,1)&lt;AS241,MATCH(AQ243,AO224:AO238,1)+1,MATCH(AQ243,AO224:AO238,1)),MATCH(AQ240,AQ223:AU223,1))</f>
        <v>9999</v>
      </c>
      <c r="AU248" s="2"/>
      <c r="AV248" s="2"/>
      <c r="AW248" s="2"/>
      <c r="AX248" s="139" t="s">
        <v>151</v>
      </c>
      <c r="AY248" s="140">
        <f ca="1">INDEX(AY224:BC238,IF(MATCH(AY243,AW224:AW238,1)&lt;BA241,MATCH(AY243,AW224:AW238,1)+1,MATCH(AY243,AW224:AW238,1)),MATCH(AY240,AY223:BC223,1))</f>
        <v>0</v>
      </c>
    </row>
    <row r="249" spans="1:53" ht="14.25" customHeight="1" x14ac:dyDescent="0.3">
      <c r="B249" s="139" t="s">
        <v>205</v>
      </c>
      <c r="C249" s="140">
        <f t="array" aca="1" ref="C249" ca="1">INDEX(C224:G238,IF(MATCH(C243,A224:A238,1)&lt;E241,MATCH(C243,A224:A238,1)+1,MATCH(C243,A224:A238,1)),IF(MATCH(C240,C223:G223,1)&lt;E242,MATCH(C240,C223:G223,1)+1,MATCH(C240,C223:G223,1)))</f>
        <v>9999</v>
      </c>
      <c r="G249" s="2"/>
      <c r="H249" s="2"/>
      <c r="I249" s="2"/>
      <c r="J249" s="139" t="s">
        <v>205</v>
      </c>
      <c r="K249" s="140">
        <f t="array" aca="1" ref="K249" ca="1">INDEX(K224:O238,IF(MATCH(K243,I224:I238,1)&lt;M241,MATCH(K243,I224:I238,1)+1,MATCH(K243,I224:I238,1)),IF(MATCH(K240,K223:O223,1)&lt;M242,MATCH(K240,K223:O223,1)+1,MATCH(K240,K223:O223,1)))</f>
        <v>9999</v>
      </c>
      <c r="O249" s="2"/>
      <c r="P249" s="2"/>
      <c r="Q249" s="2"/>
      <c r="R249" s="139" t="s">
        <v>205</v>
      </c>
      <c r="S249" s="140">
        <f t="array" aca="1" ref="S249" ca="1">INDEX(S224:W238,IF(MATCH(S243,Q224:Q238,1)&lt;U241,MATCH(S243,Q224:Q238,1)+1,MATCH(S243,Q224:Q238,1)),IF(MATCH(S240,S223:W223,1)&lt;U242,MATCH(S240,S223:W223,1)+1,MATCH(S240,S223:W223,1)))</f>
        <v>9999</v>
      </c>
      <c r="W249" s="2"/>
      <c r="X249" s="2"/>
      <c r="Y249" s="2"/>
      <c r="Z249" s="139" t="s">
        <v>205</v>
      </c>
      <c r="AA249" s="140">
        <f t="array" aca="1" ref="AA249" ca="1">INDEX(AA224:AE238,IF(MATCH(AA243,Y224:Y238,1)&lt;AC241,MATCH(AA243,Y224:Y238,1)+1,MATCH(AA243,Y224:Y238,1)),IF(MATCH(AA240,AA223:AE223,1)&lt;AC242,MATCH(AA240,AA223:AE223,1)+1,MATCH(AA240,AA223:AE223,1)))</f>
        <v>9999</v>
      </c>
      <c r="AE249" s="2"/>
      <c r="AF249" s="2"/>
      <c r="AG249" s="2"/>
      <c r="AH249" s="139" t="s">
        <v>205</v>
      </c>
      <c r="AI249" s="140">
        <f t="array" aca="1" ref="AI249" ca="1">INDEX(AI224:AM238,IF(MATCH(AI243,AG224:AG238,1)&lt;AK241,MATCH(AI243,AG224:AG238,1)+1,MATCH(AI243,AG224:AG238,1)),IF(MATCH(AI240,AI223:AM223,1)&lt;AK242,MATCH(AI240,AI223:AM223,1)+1,MATCH(AI240,AI223:AM223,1)))</f>
        <v>9999</v>
      </c>
      <c r="AM249" s="2"/>
      <c r="AN249" s="2"/>
      <c r="AO249" s="2"/>
      <c r="AP249" s="139" t="s">
        <v>205</v>
      </c>
      <c r="AQ249" s="140">
        <f t="array" aca="1" ref="AQ249" ca="1">INDEX(AQ224:AU238,IF(MATCH(AQ243,AO224:AO238,1)&lt;AS241,MATCH(AQ243,AO224:AO238,1)+1,MATCH(AQ243,AO224:AO238,1)),IF(MATCH(AQ240,AQ223:AU223,1)&lt;AS242,MATCH(AQ240,AQ223:AU223,1)+1,MATCH(AQ240,AQ223:AU223,1)))</f>
        <v>9999</v>
      </c>
      <c r="AU249" s="2"/>
      <c r="AV249" s="2"/>
      <c r="AW249" s="2"/>
      <c r="AX249" s="139" t="s">
        <v>205</v>
      </c>
      <c r="AY249" s="140">
        <f ca="1">INDEX(AY224:BC238,IF(MATCH(AY243,AW224:AW238,1)&lt;BA241,MATCH(AY243,AW224:AW238,1)+1,MATCH(AY243,AW224:AW238,1)),IF(MATCH(AY240,AY223:BC223,1)&lt;BA242,MATCH(AY240,AY223:BC223,1)+1,MATCH(AY240,AY223:BC223,1)))</f>
        <v>0</v>
      </c>
    </row>
    <row r="250" spans="1:53" ht="14.25" customHeight="1" x14ac:dyDescent="0.3">
      <c r="B250" s="16" t="s">
        <v>206</v>
      </c>
      <c r="C250" s="141">
        <f ca="1">IFERROR(C246+(C240-C241)*(C247-C246)/(C242-C241),C246)</f>
        <v>9999</v>
      </c>
      <c r="G250" s="2"/>
      <c r="H250" s="2"/>
      <c r="I250" s="2"/>
      <c r="J250" s="16" t="s">
        <v>206</v>
      </c>
      <c r="K250" s="141">
        <f ca="1">IFERROR(K246+(K240-K241)*(K247-K246)/(K242-K241),K246)</f>
        <v>9999</v>
      </c>
      <c r="O250" s="2"/>
      <c r="P250" s="2"/>
      <c r="Q250" s="2"/>
      <c r="R250" s="16" t="s">
        <v>206</v>
      </c>
      <c r="S250" s="141">
        <f ca="1">IFERROR(S246+(S240-S241)*(S247-S246)/(S242-S241),S246)</f>
        <v>9999</v>
      </c>
      <c r="W250" s="2"/>
      <c r="X250" s="2"/>
      <c r="Y250" s="2"/>
      <c r="Z250" s="16" t="s">
        <v>206</v>
      </c>
      <c r="AA250" s="141">
        <f ca="1">IFERROR(AA246+(AA240-AA241)*(AA247-AA246)/(AA242-AA241),AA246)</f>
        <v>9999</v>
      </c>
      <c r="AE250" s="2"/>
      <c r="AF250" s="2"/>
      <c r="AG250" s="2"/>
      <c r="AH250" s="16" t="s">
        <v>206</v>
      </c>
      <c r="AI250" s="141">
        <f ca="1">IFERROR(AI246+(AI240-AI241)*(AI247-AI246)/(AI242-AI241),AI246)</f>
        <v>9999</v>
      </c>
      <c r="AM250" s="2"/>
      <c r="AN250" s="2"/>
      <c r="AO250" s="2"/>
      <c r="AP250" s="16" t="s">
        <v>206</v>
      </c>
      <c r="AQ250" s="141">
        <f ca="1">IFERROR(AQ246+(AQ240-AQ241)*(AQ247-AQ246)/(AQ242-AQ241),AQ246)</f>
        <v>9999</v>
      </c>
      <c r="AU250" s="2"/>
      <c r="AV250" s="2"/>
      <c r="AW250" s="2"/>
      <c r="AX250" s="16" t="s">
        <v>206</v>
      </c>
      <c r="AY250" s="141">
        <f ca="1">IFERROR(AY246+(AY240-AY241)*(AY247-AY246)/(AY242-AY241),AY246)</f>
        <v>0</v>
      </c>
    </row>
    <row r="251" spans="1:53" ht="14.25" customHeight="1" x14ac:dyDescent="0.3">
      <c r="B251" s="16" t="s">
        <v>207</v>
      </c>
      <c r="C251" s="141">
        <f ca="1">IFERROR(C248+(C240-C241)*(C249-C248)/(C242-C241),C248)</f>
        <v>9999</v>
      </c>
      <c r="G251" s="2"/>
      <c r="H251" s="2"/>
      <c r="I251" s="2"/>
      <c r="J251" s="16" t="s">
        <v>207</v>
      </c>
      <c r="K251" s="141">
        <f ca="1">IFERROR(K248+(K240-K241)*(K249-K248)/(K242-K241),K248)</f>
        <v>9999</v>
      </c>
      <c r="O251" s="2"/>
      <c r="P251" s="2"/>
      <c r="Q251" s="2"/>
      <c r="R251" s="16" t="s">
        <v>207</v>
      </c>
      <c r="S251" s="141">
        <f ca="1">IFERROR(S248+(S240-S241)*(S249-S248)/(S242-S241),S248)</f>
        <v>9999</v>
      </c>
      <c r="W251" s="2"/>
      <c r="X251" s="2"/>
      <c r="Y251" s="2"/>
      <c r="Z251" s="16" t="s">
        <v>207</v>
      </c>
      <c r="AA251" s="141">
        <f ca="1">IFERROR(AA248+(AA240-AA241)*(AA249-AA248)/(AA242-AA241),AA248)</f>
        <v>9999</v>
      </c>
      <c r="AE251" s="2"/>
      <c r="AF251" s="2"/>
      <c r="AG251" s="2"/>
      <c r="AH251" s="16" t="s">
        <v>207</v>
      </c>
      <c r="AI251" s="141">
        <f ca="1">IFERROR(AI248+(AI240-AI241)*(AI249-AI248)/(AI242-AI241),AI248)</f>
        <v>9999</v>
      </c>
      <c r="AM251" s="2"/>
      <c r="AN251" s="2"/>
      <c r="AO251" s="2"/>
      <c r="AP251" s="16" t="s">
        <v>207</v>
      </c>
      <c r="AQ251" s="141">
        <f ca="1">IFERROR(AQ248+(AQ240-AQ241)*(AQ249-AQ248)/(AQ242-AQ241),AQ248)</f>
        <v>9999</v>
      </c>
      <c r="AU251" s="2"/>
      <c r="AV251" s="2"/>
      <c r="AW251" s="2"/>
      <c r="AX251" s="16" t="s">
        <v>207</v>
      </c>
      <c r="AY251" s="141">
        <f ca="1">IFERROR(AY248+(AY240-AY241)*(AY249-AY248)/(AY242-AY241),AY248)</f>
        <v>0</v>
      </c>
    </row>
    <row r="252" spans="1:53" ht="14.25" customHeight="1" x14ac:dyDescent="0.3">
      <c r="B252" s="139" t="s">
        <v>93</v>
      </c>
      <c r="C252" s="140">
        <f ca="1">IFERROR(C250+(C243-C244)*(C251-C250)/(C245-C244),C250)</f>
        <v>9999</v>
      </c>
      <c r="G252" s="2"/>
      <c r="H252" s="2"/>
      <c r="I252" s="2"/>
      <c r="J252" s="139" t="s">
        <v>93</v>
      </c>
      <c r="K252" s="140">
        <f ca="1">IFERROR(K250+(K243-K244)*(K251-K250)/(K245-K244),K250)</f>
        <v>9999</v>
      </c>
      <c r="O252" s="2"/>
      <c r="P252" s="2"/>
      <c r="Q252" s="2"/>
      <c r="R252" s="139" t="s">
        <v>93</v>
      </c>
      <c r="S252" s="140">
        <f ca="1">IFERROR(S250+(S243-S244)*(S251-S250)/(S245-S244),S250)</f>
        <v>9999</v>
      </c>
      <c r="W252" s="2"/>
      <c r="X252" s="2"/>
      <c r="Y252" s="2"/>
      <c r="Z252" s="139" t="s">
        <v>93</v>
      </c>
      <c r="AA252" s="140">
        <f ca="1">IFERROR(AA250+(AA243-AA244)*(AA251-AA250)/(AA245-AA244),AA250)</f>
        <v>9999</v>
      </c>
      <c r="AE252" s="2"/>
      <c r="AF252" s="2"/>
      <c r="AG252" s="2"/>
      <c r="AH252" s="139" t="s">
        <v>93</v>
      </c>
      <c r="AI252" s="140">
        <f ca="1">IFERROR(AI250+(AI243-AI244)*(AI251-AI250)/(AI245-AI244),AI250)</f>
        <v>9999</v>
      </c>
      <c r="AM252" s="2"/>
      <c r="AN252" s="2"/>
      <c r="AO252" s="2"/>
      <c r="AP252" s="139" t="s">
        <v>93</v>
      </c>
      <c r="AQ252" s="140">
        <f ca="1">IFERROR(AQ250+(AQ243-AQ244)*(AQ251-AQ250)/(AQ245-AQ244),AQ250)</f>
        <v>9999</v>
      </c>
      <c r="AU252" s="2"/>
      <c r="AV252" s="2"/>
      <c r="AW252" s="2"/>
      <c r="AX252" s="139" t="s">
        <v>93</v>
      </c>
      <c r="AY252" s="140">
        <f ca="1">IFERROR(AY250+(AY243-AY244)*(AY251-AY250)/(AY245-AY244),AY250)</f>
        <v>0</v>
      </c>
    </row>
    <row r="253" spans="1:53" ht="14.25" customHeight="1" x14ac:dyDescent="0.3">
      <c r="B253" s="139"/>
      <c r="C253" s="140"/>
      <c r="G253" s="2"/>
      <c r="H253" s="2"/>
      <c r="I253" s="2"/>
      <c r="J253" s="139"/>
      <c r="K253" s="140"/>
      <c r="O253" s="2"/>
      <c r="P253" s="2"/>
      <c r="Q253" s="2"/>
      <c r="R253" s="139"/>
      <c r="S253" s="140"/>
      <c r="W253" s="2"/>
      <c r="X253" s="2"/>
      <c r="Y253" s="2"/>
      <c r="Z253" s="139"/>
      <c r="AA253" s="140"/>
      <c r="AE253" s="2"/>
      <c r="AF253" s="2"/>
      <c r="AG253" s="2"/>
      <c r="AH253" s="139"/>
      <c r="AI253" s="140"/>
      <c r="AM253" s="2"/>
      <c r="AN253" s="2"/>
      <c r="AO253" s="2"/>
      <c r="AP253" s="139"/>
      <c r="AQ253" s="140"/>
      <c r="AU253" s="2"/>
      <c r="AV253" s="2"/>
      <c r="AW253" s="2"/>
      <c r="AX253" s="139"/>
      <c r="AY253" s="140"/>
    </row>
    <row r="254" spans="1:53" ht="14.25" customHeight="1" x14ac:dyDescent="0.3">
      <c r="A254" t="s">
        <v>221</v>
      </c>
      <c r="B254" s="355" t="s">
        <v>222</v>
      </c>
      <c r="C254" s="355"/>
      <c r="D254" s="355"/>
      <c r="E254" s="355"/>
      <c r="F254" s="355"/>
      <c r="G254" s="355"/>
      <c r="H254" s="355"/>
      <c r="I254" s="355"/>
      <c r="J254" s="139"/>
      <c r="K254" s="140"/>
      <c r="O254" s="2"/>
      <c r="P254" s="2"/>
      <c r="Q254" s="2"/>
      <c r="R254" s="139"/>
      <c r="S254" s="140"/>
      <c r="W254" s="2"/>
      <c r="X254" s="2"/>
      <c r="Y254" s="2"/>
      <c r="Z254" s="139"/>
      <c r="AA254" s="140"/>
      <c r="AE254" s="2"/>
      <c r="AF254" s="2"/>
      <c r="AG254" s="2"/>
      <c r="AH254" s="139"/>
      <c r="AI254" s="140"/>
      <c r="AM254" s="2"/>
      <c r="AN254" s="2"/>
      <c r="AO254" s="2"/>
      <c r="AP254" s="139"/>
      <c r="AQ254" s="140"/>
      <c r="AU254" s="2"/>
      <c r="AV254" s="2"/>
      <c r="AW254" s="2"/>
      <c r="AX254" s="139"/>
      <c r="AY254" s="140"/>
    </row>
    <row r="255" spans="1:53" ht="14.25" customHeight="1" x14ac:dyDescent="0.3">
      <c r="A255" t="s">
        <v>35</v>
      </c>
      <c r="B255" s="229">
        <v>3500</v>
      </c>
      <c r="C255" s="230">
        <v>4100</v>
      </c>
      <c r="D255" s="55">
        <v>4700</v>
      </c>
      <c r="E255" s="55">
        <v>5300</v>
      </c>
      <c r="F255" s="55">
        <v>5900</v>
      </c>
      <c r="G255" s="259">
        <v>6500</v>
      </c>
      <c r="H255" s="259">
        <v>7100</v>
      </c>
      <c r="I255" s="231">
        <v>7700</v>
      </c>
      <c r="J255" s="139"/>
      <c r="K255" s="140"/>
      <c r="M255" s="139"/>
      <c r="N255" s="140"/>
      <c r="R255" s="2"/>
      <c r="S255" s="2"/>
      <c r="T255" s="2"/>
      <c r="W255" s="2"/>
      <c r="X255" s="2"/>
      <c r="Y255" s="2"/>
      <c r="Z255" s="139"/>
      <c r="AA255" s="140"/>
      <c r="AE255" s="2"/>
      <c r="AF255" s="2"/>
      <c r="AG255" s="2"/>
      <c r="AH255" s="139"/>
      <c r="AI255" s="140"/>
      <c r="AM255" s="2"/>
      <c r="AN255" s="2"/>
      <c r="AO255" s="2"/>
      <c r="AP255" s="139"/>
      <c r="AQ255" s="140"/>
      <c r="AU255" s="2"/>
      <c r="AV255" s="2"/>
      <c r="AW255" s="2"/>
      <c r="AX255" s="139"/>
      <c r="AY255" s="140"/>
    </row>
    <row r="256" spans="1:53" ht="15" customHeight="1" x14ac:dyDescent="0.3">
      <c r="A256">
        <v>-2</v>
      </c>
      <c r="B256" s="274">
        <v>3700</v>
      </c>
      <c r="C256" s="275">
        <v>4300</v>
      </c>
      <c r="D256" s="276">
        <v>4900</v>
      </c>
      <c r="E256" s="276">
        <v>5500</v>
      </c>
      <c r="F256" s="276">
        <v>6150</v>
      </c>
      <c r="G256" s="277">
        <v>6750</v>
      </c>
      <c r="H256" s="277">
        <v>7300</v>
      </c>
      <c r="I256" s="278">
        <v>7880</v>
      </c>
      <c r="J256" s="139"/>
      <c r="K256" s="140"/>
      <c r="M256" s="139"/>
      <c r="N256" s="140"/>
      <c r="R256" s="2"/>
      <c r="S256" s="2"/>
      <c r="T256" s="2"/>
      <c r="W256" s="2"/>
      <c r="X256" s="2"/>
      <c r="Y256" s="2"/>
      <c r="Z256" s="139"/>
      <c r="AA256" s="140"/>
      <c r="AE256" s="2"/>
      <c r="AF256" s="2"/>
      <c r="AG256" s="2"/>
      <c r="AH256" s="139"/>
      <c r="AI256" s="140"/>
      <c r="AM256" s="2"/>
      <c r="AN256" s="2"/>
      <c r="AO256" s="2"/>
      <c r="AP256" s="139"/>
      <c r="AQ256" s="140"/>
      <c r="AU256" s="2"/>
      <c r="AV256" s="2"/>
      <c r="AW256" s="2"/>
      <c r="AX256" s="139"/>
      <c r="AY256" s="140"/>
    </row>
    <row r="257" spans="1:53" ht="15" customHeight="1" x14ac:dyDescent="0.3">
      <c r="A257">
        <v>-1</v>
      </c>
      <c r="B257" s="279">
        <v>3600</v>
      </c>
      <c r="C257" s="203">
        <v>4200</v>
      </c>
      <c r="D257">
        <v>4800</v>
      </c>
      <c r="E257">
        <v>5400</v>
      </c>
      <c r="F257">
        <v>6000</v>
      </c>
      <c r="G257" s="12">
        <v>6600</v>
      </c>
      <c r="H257" s="12">
        <v>7200</v>
      </c>
      <c r="I257" s="280">
        <v>7750</v>
      </c>
      <c r="J257" s="139"/>
      <c r="K257" s="140"/>
      <c r="M257" s="139"/>
      <c r="N257" s="140"/>
      <c r="R257" s="2"/>
      <c r="S257" s="2"/>
      <c r="T257" s="2"/>
      <c r="W257" s="2"/>
      <c r="X257" s="2"/>
      <c r="Y257" s="2"/>
      <c r="Z257" s="139"/>
      <c r="AA257" s="140"/>
      <c r="AE257" s="2"/>
      <c r="AF257" s="2"/>
      <c r="AG257" s="2"/>
      <c r="AH257" s="139"/>
      <c r="AI257" s="140"/>
      <c r="AM257" s="2"/>
      <c r="AN257" s="2"/>
      <c r="AO257" s="2"/>
      <c r="AP257" s="139"/>
      <c r="AQ257" s="140"/>
      <c r="AU257" s="2"/>
      <c r="AV257" s="2"/>
      <c r="AW257" s="2"/>
      <c r="AX257" s="139"/>
      <c r="AY257" s="140"/>
    </row>
    <row r="258" spans="1:53" ht="14.25" customHeight="1" x14ac:dyDescent="0.3">
      <c r="A258">
        <v>0</v>
      </c>
      <c r="B258" s="279">
        <v>3500</v>
      </c>
      <c r="C258" s="203">
        <v>4100</v>
      </c>
      <c r="D258">
        <v>4700</v>
      </c>
      <c r="E258">
        <v>5300</v>
      </c>
      <c r="F258">
        <v>5900</v>
      </c>
      <c r="G258" s="12">
        <v>6500</v>
      </c>
      <c r="H258" s="12">
        <v>7100</v>
      </c>
      <c r="I258" s="280">
        <v>7700</v>
      </c>
      <c r="J258" s="139"/>
      <c r="K258" s="140"/>
      <c r="M258" s="139"/>
      <c r="N258" s="140"/>
      <c r="R258" s="2"/>
      <c r="S258" s="2"/>
      <c r="T258" s="2"/>
      <c r="W258" s="2"/>
      <c r="X258" s="2"/>
      <c r="Y258" s="2"/>
      <c r="Z258" s="139"/>
      <c r="AA258" s="140"/>
      <c r="AE258" s="2"/>
      <c r="AF258" s="2"/>
      <c r="AG258" s="2"/>
      <c r="AH258" s="139"/>
      <c r="AI258" s="140"/>
      <c r="AM258" s="2"/>
      <c r="AN258" s="2"/>
      <c r="AO258" s="2"/>
      <c r="AP258" s="139"/>
      <c r="AQ258" s="140"/>
      <c r="AU258" s="2"/>
      <c r="AV258" s="2"/>
      <c r="AW258" s="2"/>
      <c r="AX258" s="139"/>
      <c r="AY258" s="140"/>
    </row>
    <row r="259" spans="1:53" ht="14.25" customHeight="1" x14ac:dyDescent="0.3">
      <c r="A259">
        <v>1</v>
      </c>
      <c r="B259" s="279">
        <v>3400</v>
      </c>
      <c r="C259" s="203">
        <v>4200</v>
      </c>
      <c r="D259">
        <v>4950</v>
      </c>
      <c r="E259">
        <v>5600</v>
      </c>
      <c r="F259">
        <v>6200</v>
      </c>
      <c r="G259">
        <v>6790</v>
      </c>
      <c r="H259">
        <v>7360</v>
      </c>
      <c r="I259" s="281">
        <v>7950</v>
      </c>
      <c r="J259" s="139"/>
      <c r="K259" s="140"/>
      <c r="M259" s="139"/>
      <c r="N259" s="140"/>
      <c r="W259" s="2"/>
      <c r="X259" s="2"/>
      <c r="Y259" s="2"/>
      <c r="Z259" s="139"/>
      <c r="AA259" s="140"/>
      <c r="AE259" s="2"/>
      <c r="AF259" s="2"/>
      <c r="AG259" s="2"/>
      <c r="AH259" s="139"/>
      <c r="AI259" s="140"/>
      <c r="AM259" s="2"/>
      <c r="AN259" s="2"/>
      <c r="AO259" s="2"/>
      <c r="AP259" s="139"/>
      <c r="AQ259" s="140"/>
      <c r="AU259" s="2"/>
      <c r="AV259" s="2"/>
      <c r="AW259" s="2"/>
      <c r="AX259" s="139"/>
      <c r="AY259" s="140"/>
    </row>
    <row r="260" spans="1:53" ht="14.25" customHeight="1" x14ac:dyDescent="0.3">
      <c r="A260">
        <v>1.6</v>
      </c>
      <c r="B260" s="279">
        <v>3390</v>
      </c>
      <c r="C260" s="203">
        <v>4300</v>
      </c>
      <c r="D260">
        <v>5100</v>
      </c>
      <c r="E260">
        <v>5700</v>
      </c>
      <c r="F260">
        <v>6300</v>
      </c>
      <c r="G260" s="12">
        <v>6900</v>
      </c>
      <c r="H260" s="12">
        <v>7500</v>
      </c>
      <c r="I260" s="280">
        <v>8100</v>
      </c>
      <c r="J260" s="72"/>
      <c r="K260" s="140"/>
      <c r="M260" s="139"/>
      <c r="N260" s="140"/>
      <c r="R260" s="2"/>
      <c r="S260" s="2"/>
      <c r="T260" s="2"/>
      <c r="W260" s="2"/>
      <c r="X260" s="2"/>
      <c r="Y260" s="2"/>
      <c r="Z260" s="139"/>
      <c r="AA260" s="140"/>
      <c r="AE260" s="2"/>
      <c r="AF260" s="2"/>
      <c r="AG260" s="2"/>
      <c r="AH260" s="139"/>
      <c r="AI260" s="140"/>
      <c r="AM260" s="2"/>
      <c r="AN260" s="2"/>
      <c r="AO260" s="2"/>
      <c r="AP260" s="139"/>
      <c r="AQ260" s="140"/>
      <c r="AU260" s="2"/>
      <c r="AV260" s="2"/>
      <c r="AW260" s="2"/>
      <c r="AX260" s="139"/>
      <c r="AY260" s="140"/>
    </row>
    <row r="261" spans="1:53" ht="16.5" customHeight="1" x14ac:dyDescent="0.3">
      <c r="A261">
        <v>2</v>
      </c>
      <c r="B261" s="282">
        <v>3350</v>
      </c>
      <c r="C261" s="283">
        <v>4320</v>
      </c>
      <c r="D261" s="284">
        <v>5200</v>
      </c>
      <c r="E261" s="284">
        <v>5700</v>
      </c>
      <c r="F261" s="284">
        <v>6320</v>
      </c>
      <c r="G261" s="285">
        <v>6950</v>
      </c>
      <c r="H261" s="285">
        <v>7550</v>
      </c>
      <c r="I261" s="286">
        <v>8180</v>
      </c>
      <c r="J261" s="139"/>
      <c r="K261" s="140"/>
      <c r="M261" s="139"/>
      <c r="N261" s="140"/>
      <c r="R261" s="2"/>
      <c r="S261" s="2"/>
      <c r="T261" s="2"/>
      <c r="W261" s="2"/>
      <c r="X261" s="2"/>
      <c r="Y261" s="2"/>
      <c r="Z261" s="139"/>
      <c r="AA261" s="140"/>
      <c r="AE261" s="2"/>
      <c r="AF261" s="2"/>
      <c r="AG261" s="2"/>
      <c r="AH261" s="139"/>
      <c r="AI261" s="140"/>
      <c r="AM261" s="2"/>
      <c r="AN261" s="2"/>
      <c r="AO261" s="2"/>
      <c r="AP261" s="139"/>
      <c r="AQ261" s="140"/>
      <c r="AU261" s="2"/>
      <c r="AV261" s="2"/>
      <c r="AW261" s="2"/>
      <c r="AX261" s="139"/>
      <c r="AY261" s="140"/>
    </row>
    <row r="262" spans="1:53" ht="14.25" customHeight="1" x14ac:dyDescent="0.3">
      <c r="B262" s="139"/>
      <c r="C262" s="140"/>
      <c r="G262" s="2"/>
      <c r="H262" s="2"/>
      <c r="I262" s="2"/>
      <c r="J262" s="139"/>
      <c r="K262" s="140"/>
      <c r="O262" s="2"/>
      <c r="P262" s="2"/>
      <c r="Q262" s="2"/>
      <c r="R262" s="139"/>
      <c r="S262" s="140"/>
      <c r="W262" s="2"/>
      <c r="X262" s="2"/>
      <c r="Y262" s="2"/>
      <c r="Z262" s="139"/>
      <c r="AA262" s="140"/>
      <c r="AE262" s="2"/>
      <c r="AF262" s="2"/>
      <c r="AG262" s="2"/>
      <c r="AH262" s="139"/>
      <c r="AI262" s="140"/>
      <c r="AM262" s="2"/>
      <c r="AN262" s="2"/>
      <c r="AO262" s="2"/>
      <c r="AP262" s="139"/>
      <c r="AQ262" s="140"/>
      <c r="AU262" s="2"/>
      <c r="AV262" s="2"/>
      <c r="AW262" s="2"/>
      <c r="AX262" s="139"/>
      <c r="AY262" s="140"/>
    </row>
    <row r="263" spans="1:53" ht="14.25" customHeight="1" x14ac:dyDescent="0.3">
      <c r="B263" s="139" t="s">
        <v>146</v>
      </c>
      <c r="C263" s="140">
        <f ca="1">C252</f>
        <v>9999</v>
      </c>
      <c r="D263" s="355" t="s">
        <v>201</v>
      </c>
      <c r="E263" s="355"/>
      <c r="G263" s="2"/>
      <c r="H263" s="2"/>
      <c r="I263" s="2"/>
      <c r="J263" s="139" t="s">
        <v>146</v>
      </c>
      <c r="K263" s="140">
        <f ca="1">K252</f>
        <v>9999</v>
      </c>
      <c r="L263" s="355" t="s">
        <v>201</v>
      </c>
      <c r="M263" s="355"/>
      <c r="O263" s="2"/>
      <c r="P263" s="2"/>
      <c r="Q263" s="2"/>
      <c r="R263" s="139" t="s">
        <v>146</v>
      </c>
      <c r="S263" s="140">
        <f ca="1">S252</f>
        <v>9999</v>
      </c>
      <c r="T263" s="355" t="s">
        <v>201</v>
      </c>
      <c r="U263" s="355"/>
      <c r="W263" s="2"/>
      <c r="X263" s="2"/>
      <c r="Y263" s="2"/>
      <c r="Z263" s="139" t="s">
        <v>146</v>
      </c>
      <c r="AA263" s="140">
        <f ca="1">AA252</f>
        <v>9999</v>
      </c>
      <c r="AB263" s="355" t="s">
        <v>201</v>
      </c>
      <c r="AC263" s="355"/>
      <c r="AE263" s="2"/>
      <c r="AF263" s="2"/>
      <c r="AG263" s="2"/>
      <c r="AH263" s="139" t="s">
        <v>146</v>
      </c>
      <c r="AI263" s="140">
        <f ca="1">AI252</f>
        <v>9999</v>
      </c>
      <c r="AJ263" s="355" t="s">
        <v>201</v>
      </c>
      <c r="AK263" s="355"/>
      <c r="AM263" s="2"/>
      <c r="AN263" s="2"/>
      <c r="AO263" s="2"/>
      <c r="AP263" s="139" t="s">
        <v>146</v>
      </c>
      <c r="AQ263" s="140">
        <f ca="1">AQ252</f>
        <v>9999</v>
      </c>
      <c r="AR263" s="355" t="s">
        <v>201</v>
      </c>
      <c r="AS263" s="355"/>
      <c r="AU263" s="2"/>
      <c r="AV263" s="2"/>
      <c r="AW263" s="2"/>
      <c r="AX263" s="139" t="s">
        <v>146</v>
      </c>
      <c r="AY263" s="140">
        <f ca="1">AY252</f>
        <v>0</v>
      </c>
      <c r="AZ263" s="355" t="s">
        <v>201</v>
      </c>
      <c r="BA263" s="355"/>
    </row>
    <row r="264" spans="1:53" ht="14.25" customHeight="1" x14ac:dyDescent="0.3">
      <c r="B264" s="16" t="s">
        <v>202</v>
      </c>
      <c r="C264" s="141">
        <f t="array" aca="1" ref="C264" ca="1">INDEX(B255:I255,MATCH(C263,B255:I255,1))</f>
        <v>7700</v>
      </c>
      <c r="D264" s="16" t="s">
        <v>144</v>
      </c>
      <c r="E264" s="17">
        <f>MATCH(MAX(A256:A261),A256:A261,1)</f>
        <v>6</v>
      </c>
      <c r="G264" s="2"/>
      <c r="H264" s="2"/>
      <c r="I264" s="2"/>
      <c r="J264" s="16" t="s">
        <v>202</v>
      </c>
      <c r="K264" s="141">
        <f t="array" aca="1" ref="K264" ca="1">INDEX($B255:$I255,MATCH(K263,$B255:$I255,1))</f>
        <v>7700</v>
      </c>
      <c r="L264" s="16" t="s">
        <v>144</v>
      </c>
      <c r="M264" s="17">
        <f>MATCH(MAX($A$42:$A$47),$A$42:$A$47,1)</f>
        <v>6</v>
      </c>
      <c r="O264" s="2"/>
      <c r="P264" s="2"/>
      <c r="Q264" s="2"/>
      <c r="R264" s="16" t="s">
        <v>202</v>
      </c>
      <c r="S264" s="141">
        <f t="array" aca="1" ref="S264" ca="1">INDEX($B255:$I255,MATCH(S263,$B255:$I255,1))</f>
        <v>7700</v>
      </c>
      <c r="T264" s="16" t="s">
        <v>144</v>
      </c>
      <c r="U264" s="17">
        <f>MATCH(MAX($A$42:$A$47),$A$42:$A$47,1)</f>
        <v>6</v>
      </c>
      <c r="W264" s="2"/>
      <c r="X264" s="2"/>
      <c r="Y264" s="2"/>
      <c r="Z264" s="16" t="s">
        <v>202</v>
      </c>
      <c r="AA264" s="141">
        <f t="array" aca="1" ref="AA264" ca="1">INDEX($B255:$I255,MATCH(AA263,$B255:$I255,1))</f>
        <v>7700</v>
      </c>
      <c r="AB264" s="16" t="s">
        <v>144</v>
      </c>
      <c r="AC264" s="17">
        <f>MATCH(MAX($A$42:$A$47),$A$42:$A$47,1)</f>
        <v>6</v>
      </c>
      <c r="AE264" s="2"/>
      <c r="AF264" s="2"/>
      <c r="AG264" s="2"/>
      <c r="AH264" s="16" t="s">
        <v>202</v>
      </c>
      <c r="AI264" s="141">
        <f t="array" aca="1" ref="AI264" ca="1">INDEX($B255:$I255,MATCH(AI263,$B255:$I255,1))</f>
        <v>7700</v>
      </c>
      <c r="AJ264" s="16" t="s">
        <v>144</v>
      </c>
      <c r="AK264" s="17">
        <f>MATCH(MAX($A$42:$A$47),$A$42:$A$47,1)</f>
        <v>6</v>
      </c>
      <c r="AM264" s="2"/>
      <c r="AN264" s="2"/>
      <c r="AO264" s="2"/>
      <c r="AP264" s="16" t="s">
        <v>202</v>
      </c>
      <c r="AQ264" s="141">
        <f t="array" aca="1" ref="AQ264" ca="1">INDEX($B255:$I255,MATCH(AQ263,$B255:$I255,1))</f>
        <v>7700</v>
      </c>
      <c r="AR264" s="16" t="s">
        <v>144</v>
      </c>
      <c r="AS264" s="17">
        <f>MATCH(MAX($A$42:$A$47),$A$42:$A$47,1)</f>
        <v>6</v>
      </c>
      <c r="AU264" s="2"/>
      <c r="AV264" s="2"/>
      <c r="AW264" s="2"/>
      <c r="AX264" s="16" t="s">
        <v>202</v>
      </c>
      <c r="AY264" s="141" t="e">
        <f t="array" aca="1" ref="AY264" ca="1">INDEX($B255:$I255,MATCH(AY263,$B255:$I255,1))</f>
        <v>#N/A</v>
      </c>
      <c r="AZ264" s="16" t="s">
        <v>144</v>
      </c>
      <c r="BA264" s="17">
        <f>MATCH(MAX($A$42:$A$47),$A$42:$A$47,1)</f>
        <v>6</v>
      </c>
    </row>
    <row r="265" spans="1:53" ht="14.25" customHeight="1" x14ac:dyDescent="0.3">
      <c r="B265" s="16" t="s">
        <v>203</v>
      </c>
      <c r="C265" s="141">
        <f t="array" aca="1" ref="C265" ca="1">INDEX(B255:I255,IF(MATCH(C263,B255:I255,1)&lt;E265,MATCH(C263,B255:I255,1)+1,MATCH(C263,B255:I255,1)))</f>
        <v>7700</v>
      </c>
      <c r="D265" s="16" t="s">
        <v>145</v>
      </c>
      <c r="E265" s="17">
        <f>MATCH(MAX(B255:I255),B255:I255,0)</f>
        <v>8</v>
      </c>
      <c r="G265" s="2"/>
      <c r="H265" s="2"/>
      <c r="I265" s="2"/>
      <c r="J265" s="16" t="s">
        <v>203</v>
      </c>
      <c r="K265" s="141">
        <f t="array" aca="1" ref="K265" ca="1">INDEX($B255:$I255,IF(MATCH(K263,$B255:$I255,1)&lt;M265,MATCH(K263,$B255:$I255,1)+1,MATCH(K263,$B255:$I255,1)))</f>
        <v>7700</v>
      </c>
      <c r="L265" s="16" t="s">
        <v>145</v>
      </c>
      <c r="M265" s="17">
        <f>MATCH(MAX($B$41:$I$41),$B$41:$I$41,0)</f>
        <v>8</v>
      </c>
      <c r="O265" s="2"/>
      <c r="P265" s="2"/>
      <c r="Q265" s="2"/>
      <c r="R265" s="16" t="s">
        <v>203</v>
      </c>
      <c r="S265" s="141">
        <f t="array" aca="1" ref="S265" ca="1">INDEX($B255:$I255,IF(MATCH(S263,$B255:$I255,1)&lt;U265,MATCH(S263,$B255:$I255,1)+1,MATCH(S263,$B255:$I255,1)))</f>
        <v>7700</v>
      </c>
      <c r="T265" s="16" t="s">
        <v>145</v>
      </c>
      <c r="U265" s="17">
        <f>MATCH(MAX($B$41:$I$41),$B$41:$I$41,0)</f>
        <v>8</v>
      </c>
      <c r="W265" s="2"/>
      <c r="X265" s="2"/>
      <c r="Y265" s="2"/>
      <c r="Z265" s="16" t="s">
        <v>203</v>
      </c>
      <c r="AA265" s="141">
        <f t="array" aca="1" ref="AA265" ca="1">INDEX($B255:$I255,IF(MATCH(AA263,$B255:$I255,1)&lt;AC265,MATCH(AA263,$B255:$I255,1)+1,MATCH(AA263,$B255:$I255,1)))</f>
        <v>7700</v>
      </c>
      <c r="AB265" s="16" t="s">
        <v>145</v>
      </c>
      <c r="AC265" s="17">
        <f>MATCH(MAX($B$41:$I$41),$B$41:$I$41,0)</f>
        <v>8</v>
      </c>
      <c r="AE265" s="2"/>
      <c r="AF265" s="2"/>
      <c r="AG265" s="2"/>
      <c r="AH265" s="16" t="s">
        <v>203</v>
      </c>
      <c r="AI265" s="141">
        <f t="array" aca="1" ref="AI265" ca="1">INDEX($B255:$I255,IF(MATCH(AI263,$B255:$I255,1)&lt;AK265,MATCH(AI263,$B255:$I255,1)+1,MATCH(AI263,$B255:$I255,1)))</f>
        <v>7700</v>
      </c>
      <c r="AJ265" s="16" t="s">
        <v>145</v>
      </c>
      <c r="AK265" s="17">
        <f>MATCH(MAX($B$41:$I$41),$B$41:$I$41,0)</f>
        <v>8</v>
      </c>
      <c r="AM265" s="2"/>
      <c r="AN265" s="2"/>
      <c r="AO265" s="2"/>
      <c r="AP265" s="16" t="s">
        <v>203</v>
      </c>
      <c r="AQ265" s="141">
        <f t="array" aca="1" ref="AQ265" ca="1">INDEX($B255:$I255,IF(MATCH(AQ263,$B255:$I255,1)&lt;AS265,MATCH(AQ263,$B255:$I255,1)+1,MATCH(AQ263,$B255:$I255,1)))</f>
        <v>7700</v>
      </c>
      <c r="AR265" s="16" t="s">
        <v>145</v>
      </c>
      <c r="AS265" s="17">
        <f>MATCH(MAX($B$41:$I$41),$B$41:$I$41,0)</f>
        <v>8</v>
      </c>
      <c r="AU265" s="2"/>
      <c r="AV265" s="2"/>
      <c r="AW265" s="2"/>
      <c r="AX265" s="16" t="s">
        <v>203</v>
      </c>
      <c r="AY265" s="141" t="e">
        <f t="array" aca="1" ref="AY265" ca="1">INDEX($B255:$I255,IF(MATCH(AY263,$B255:$I255,1)&lt;BA265,MATCH(AY263,$B255:$I255,1)+1,MATCH(AY263,$B255:$I255,1)))</f>
        <v>#N/A</v>
      </c>
      <c r="AZ265" s="16" t="s">
        <v>145</v>
      </c>
      <c r="BA265" s="17">
        <f>MATCH(MAX($B$41:$I$41),$B$41:$I$41,0)</f>
        <v>8</v>
      </c>
    </row>
    <row r="266" spans="1:53" ht="14.25" customHeight="1" x14ac:dyDescent="0.3">
      <c r="B266" s="139" t="s">
        <v>147</v>
      </c>
      <c r="C266" s="186">
        <f>'Take-off'!$C$17</f>
        <v>0</v>
      </c>
      <c r="D266" s="2"/>
      <c r="E266" s="2"/>
      <c r="G266" s="2"/>
      <c r="H266" s="2"/>
      <c r="I266" s="2"/>
      <c r="J266" s="139" t="s">
        <v>147</v>
      </c>
      <c r="K266" s="186">
        <f>'Take-off'!$C$17</f>
        <v>0</v>
      </c>
      <c r="L266" s="2"/>
      <c r="M266" s="2"/>
      <c r="O266" s="2"/>
      <c r="P266" s="2"/>
      <c r="Q266" s="2"/>
      <c r="R266" s="139" t="s">
        <v>147</v>
      </c>
      <c r="S266" s="186">
        <f>'Take-off'!$C$17</f>
        <v>0</v>
      </c>
      <c r="T266" s="2"/>
      <c r="U266" s="2"/>
      <c r="W266" s="2"/>
      <c r="X266" s="2"/>
      <c r="Y266" s="2"/>
      <c r="Z266" s="139" t="s">
        <v>147</v>
      </c>
      <c r="AA266" s="186">
        <f>'Take-off'!$C$17</f>
        <v>0</v>
      </c>
      <c r="AB266" s="2"/>
      <c r="AC266" s="2"/>
      <c r="AE266" s="2"/>
      <c r="AF266" s="2"/>
      <c r="AG266" s="2"/>
      <c r="AH266" s="139" t="s">
        <v>147</v>
      </c>
      <c r="AI266" s="186">
        <f>'Take-off'!$C$17</f>
        <v>0</v>
      </c>
      <c r="AJ266" s="2"/>
      <c r="AK266" s="2"/>
      <c r="AM266" s="2"/>
      <c r="AN266" s="2"/>
      <c r="AO266" s="2"/>
      <c r="AP266" s="139" t="s">
        <v>147</v>
      </c>
      <c r="AQ266" s="186">
        <f>'Take-off'!$C$17</f>
        <v>0</v>
      </c>
      <c r="AR266" s="2"/>
      <c r="AS266" s="2"/>
      <c r="AU266" s="2"/>
      <c r="AV266" s="2"/>
      <c r="AW266" s="2"/>
      <c r="AX266" s="139" t="s">
        <v>147</v>
      </c>
      <c r="AY266" s="186">
        <f>'Take-off'!$C$17</f>
        <v>0</v>
      </c>
      <c r="AZ266" s="2"/>
      <c r="BA266" s="2"/>
    </row>
    <row r="267" spans="1:53" ht="14.25" customHeight="1" x14ac:dyDescent="0.3">
      <c r="B267" s="16" t="s">
        <v>148</v>
      </c>
      <c r="C267" s="141">
        <f t="array" ref="C267">INDEX(A256:A261,MATCH(C266,A256:A261,1))</f>
        <v>0</v>
      </c>
      <c r="D267" s="2"/>
      <c r="E267" s="42"/>
      <c r="G267" s="2"/>
      <c r="H267" s="2"/>
      <c r="I267" s="2"/>
      <c r="J267" s="16" t="s">
        <v>148</v>
      </c>
      <c r="K267" s="141">
        <f t="array" ref="K267">INDEX($A256:$A261,MATCH(K266,$A256:$A261,1))</f>
        <v>0</v>
      </c>
      <c r="L267" s="2"/>
      <c r="M267" s="42"/>
      <c r="O267" s="2"/>
      <c r="P267" s="2"/>
      <c r="Q267" s="2"/>
      <c r="R267" s="16" t="s">
        <v>148</v>
      </c>
      <c r="S267" s="141">
        <f t="array" ref="S267">INDEX($A256:$A261,MATCH(S266,$A256:$A261,1))</f>
        <v>0</v>
      </c>
      <c r="T267" s="2"/>
      <c r="U267" s="42"/>
      <c r="W267" s="2"/>
      <c r="X267" s="2"/>
      <c r="Y267" s="2"/>
      <c r="Z267" s="16" t="s">
        <v>148</v>
      </c>
      <c r="AA267" s="141">
        <f t="array" ref="AA267">INDEX($A256:$A261,MATCH(AA266,$A256:$A261,1))</f>
        <v>0</v>
      </c>
      <c r="AB267" s="2"/>
      <c r="AC267" s="42"/>
      <c r="AE267" s="2"/>
      <c r="AF267" s="2"/>
      <c r="AG267" s="2"/>
      <c r="AH267" s="16" t="s">
        <v>148</v>
      </c>
      <c r="AI267" s="141">
        <f t="array" ref="AI267">INDEX($A256:$A261,MATCH(AI266,$A256:$A261,1))</f>
        <v>0</v>
      </c>
      <c r="AJ267" s="2"/>
      <c r="AK267" s="42"/>
      <c r="AM267" s="2"/>
      <c r="AN267" s="2"/>
      <c r="AO267" s="2"/>
      <c r="AP267" s="16" t="s">
        <v>148</v>
      </c>
      <c r="AQ267" s="141">
        <f t="array" ref="AQ267">INDEX($A256:$A261,MATCH(AQ266,$A256:$A261,1))</f>
        <v>0</v>
      </c>
      <c r="AR267" s="2"/>
      <c r="AS267" s="42"/>
      <c r="AU267" s="2"/>
      <c r="AV267" s="2"/>
      <c r="AW267" s="2"/>
      <c r="AX267" s="16" t="s">
        <v>148</v>
      </c>
      <c r="AY267" s="141">
        <f t="array" ref="AY267">INDEX($A256:$A261,MATCH(AY266,$A256:$A261,1))</f>
        <v>0</v>
      </c>
      <c r="AZ267" s="2"/>
      <c r="BA267" s="42"/>
    </row>
    <row r="268" spans="1:53" ht="14.25" customHeight="1" x14ac:dyDescent="0.3">
      <c r="B268" s="16" t="s">
        <v>149</v>
      </c>
      <c r="C268" s="141">
        <f t="array" ref="C268">INDEX(A256:A261,IF(MATCH(C266,A256:A261,1)&lt;E264,MATCH(C266,A256:A261,1)+1,MATCH(C266,A256:A261,1)))</f>
        <v>1</v>
      </c>
      <c r="D268" s="2"/>
      <c r="E268" s="42"/>
      <c r="G268" s="2"/>
      <c r="H268" s="2"/>
      <c r="I268" s="2"/>
      <c r="J268" s="16" t="s">
        <v>149</v>
      </c>
      <c r="K268" s="141">
        <f t="array" ref="K268">INDEX($A256:$A261,IF(MATCH(K266,$A256:$A261,1)&lt;M264,MATCH(K266,$A256:$A261,1)+1,MATCH(K266,$A256:$A261,1)))</f>
        <v>1</v>
      </c>
      <c r="L268" s="2"/>
      <c r="M268" s="42"/>
      <c r="O268" s="2"/>
      <c r="P268" s="2"/>
      <c r="Q268" s="2"/>
      <c r="R268" s="16" t="s">
        <v>149</v>
      </c>
      <c r="S268" s="141">
        <f t="array" ref="S268">INDEX($A256:$A261,IF(MATCH(S266,$A256:$A261,1)&lt;U264,MATCH(S266,$A256:$A261,1)+1,MATCH(S266,$A256:$A261,1)))</f>
        <v>1</v>
      </c>
      <c r="T268" s="2"/>
      <c r="U268" s="42"/>
      <c r="W268" s="2"/>
      <c r="X268" s="2"/>
      <c r="Y268" s="2"/>
      <c r="Z268" s="16" t="s">
        <v>149</v>
      </c>
      <c r="AA268" s="141">
        <f t="array" ref="AA268">INDEX($A256:$A261,IF(MATCH(AA266,$A256:$A261,1)&lt;AC264,MATCH(AA266,$A256:$A261,1)+1,MATCH(AA266,$A256:$A261,1)))</f>
        <v>1</v>
      </c>
      <c r="AB268" s="2"/>
      <c r="AC268" s="42"/>
      <c r="AE268" s="2"/>
      <c r="AF268" s="2"/>
      <c r="AG268" s="2"/>
      <c r="AH268" s="16" t="s">
        <v>149</v>
      </c>
      <c r="AI268" s="141">
        <f t="array" ref="AI268">INDEX($A256:$A261,IF(MATCH(AI266,$A256:$A261,1)&lt;AK264,MATCH(AI266,$A256:$A261,1)+1,MATCH(AI266,$A256:$A261,1)))</f>
        <v>1</v>
      </c>
      <c r="AJ268" s="2"/>
      <c r="AK268" s="42"/>
      <c r="AM268" s="2"/>
      <c r="AN268" s="2"/>
      <c r="AO268" s="2"/>
      <c r="AP268" s="16" t="s">
        <v>149</v>
      </c>
      <c r="AQ268" s="141">
        <f t="array" ref="AQ268">INDEX($A256:$A261,IF(MATCH(AQ266,$A256:$A261,1)&lt;AS264,MATCH(AQ266,$A256:$A261,1)+1,MATCH(AQ266,$A256:$A261,1)))</f>
        <v>1</v>
      </c>
      <c r="AR268" s="2"/>
      <c r="AS268" s="42"/>
      <c r="AU268" s="2"/>
      <c r="AV268" s="2"/>
      <c r="AW268" s="2"/>
      <c r="AX268" s="16" t="s">
        <v>149</v>
      </c>
      <c r="AY268" s="141">
        <f t="array" ref="AY268">INDEX($A256:$A261,IF(MATCH(AY266,$A256:$A261,1)&lt;BA264,MATCH(AY266,$A256:$A261,1)+1,MATCH(AY266,$A256:$A261,1)))</f>
        <v>1</v>
      </c>
      <c r="AZ268" s="2"/>
      <c r="BA268" s="42"/>
    </row>
    <row r="269" spans="1:53" ht="14.25" customHeight="1" x14ac:dyDescent="0.3">
      <c r="B269" s="139" t="s">
        <v>150</v>
      </c>
      <c r="C269" s="140">
        <f t="array" aca="1" ref="C269" ca="1">INDEX(B256:I261,MATCH(C266,A256:A261,1),MATCH(C263,B255:I255,1))</f>
        <v>7700</v>
      </c>
      <c r="D269" s="2"/>
      <c r="E269" s="42"/>
      <c r="G269" s="2"/>
      <c r="H269" s="2"/>
      <c r="I269" s="2"/>
      <c r="J269" s="139" t="s">
        <v>150</v>
      </c>
      <c r="K269" s="140">
        <f t="array" aca="1" ref="K269" ca="1">INDEX($B256:$I261,MATCH(K266,$A256:$A261,1),MATCH(K263,$B255:$I255,1))</f>
        <v>7700</v>
      </c>
      <c r="L269" s="2"/>
      <c r="M269" s="42"/>
      <c r="O269" s="2"/>
      <c r="P269" s="2"/>
      <c r="Q269" s="2"/>
      <c r="R269" s="139" t="s">
        <v>150</v>
      </c>
      <c r="S269" s="140">
        <f t="array" aca="1" ref="S269" ca="1">INDEX($B256:$I261,MATCH(S266,$A256:$A261,1),MATCH(S263,$B255:$I255,1))</f>
        <v>7700</v>
      </c>
      <c r="T269" s="2"/>
      <c r="U269" s="42"/>
      <c r="W269" s="2"/>
      <c r="X269" s="2"/>
      <c r="Y269" s="2"/>
      <c r="Z269" s="139" t="s">
        <v>150</v>
      </c>
      <c r="AA269" s="140">
        <f t="array" aca="1" ref="AA269" ca="1">INDEX($B256:$I261,MATCH(AA266,$A256:$A261,1),MATCH(AA263,$B255:$I255,1))</f>
        <v>7700</v>
      </c>
      <c r="AB269" s="2"/>
      <c r="AC269" s="42"/>
      <c r="AE269" s="2"/>
      <c r="AF269" s="2"/>
      <c r="AG269" s="2"/>
      <c r="AH269" s="139" t="s">
        <v>150</v>
      </c>
      <c r="AI269" s="140">
        <f t="array" aca="1" ref="AI269" ca="1">INDEX($B256:$I261,MATCH(AI266,$A256:$A261,1),MATCH(AI263,$B255:$I255,1))</f>
        <v>7700</v>
      </c>
      <c r="AJ269" s="2"/>
      <c r="AK269" s="42"/>
      <c r="AM269" s="2"/>
      <c r="AN269" s="2"/>
      <c r="AO269" s="2"/>
      <c r="AP269" s="139" t="s">
        <v>150</v>
      </c>
      <c r="AQ269" s="140">
        <f t="array" aca="1" ref="AQ269" ca="1">INDEX($B256:$I261,MATCH(AQ266,$A256:$A261,1),MATCH(AQ263,$B255:$I255,1))</f>
        <v>7700</v>
      </c>
      <c r="AR269" s="2"/>
      <c r="AS269" s="42"/>
      <c r="AU269" s="2"/>
      <c r="AV269" s="2"/>
      <c r="AW269" s="2"/>
      <c r="AX269" s="139" t="s">
        <v>150</v>
      </c>
      <c r="AY269" s="140" t="e">
        <f t="array" aca="1" ref="AY269" ca="1">INDEX($B256:$I261,MATCH(AY266,$A256:$A261,1),MATCH(AY263,$B255:$I255,1))</f>
        <v>#N/A</v>
      </c>
      <c r="AZ269" s="2"/>
      <c r="BA269" s="42"/>
    </row>
    <row r="270" spans="1:53" ht="14.25" customHeight="1" x14ac:dyDescent="0.3">
      <c r="B270" s="139" t="s">
        <v>204</v>
      </c>
      <c r="C270" s="140">
        <f t="array" aca="1" ref="C270" ca="1">INDEX(B256:I261,MATCH(C266,A256:A261,1),IF(MATCH(C263,B255:I255,1)&lt;E265,MATCH(C263,B255:I255,1)+1,MATCH(C266,A256:A261,1)))</f>
        <v>4700</v>
      </c>
      <c r="E270" s="42"/>
      <c r="G270" s="2"/>
      <c r="H270" s="2"/>
      <c r="I270" s="2"/>
      <c r="J270" s="139" t="s">
        <v>204</v>
      </c>
      <c r="K270" s="140">
        <f t="array" aca="1" ref="K270" ca="1">INDEX($B256:$I261,MATCH(K266,$A256:$A261,1),IF(MATCH(K263,$B255:$I255,1)&lt;M265,MATCH(K263,$B255:$I255,1)+1,MATCH(K266,$A256:$A261,1)))</f>
        <v>4700</v>
      </c>
      <c r="M270" s="42"/>
      <c r="O270" s="2"/>
      <c r="P270" s="2"/>
      <c r="Q270" s="2"/>
      <c r="R270" s="139" t="s">
        <v>204</v>
      </c>
      <c r="S270" s="140">
        <f t="array" aca="1" ref="S270" ca="1">INDEX($B256:$I261,MATCH(S266,$A256:$A261,1),IF(MATCH(S263,$B255:$I255,1)&lt;U265,MATCH(S263,$B255:$I255,1)+1,MATCH(S266,$A256:$A261,1)))</f>
        <v>4700</v>
      </c>
      <c r="U270" s="42"/>
      <c r="W270" s="2"/>
      <c r="X270" s="2"/>
      <c r="Y270" s="2"/>
      <c r="Z270" s="139" t="s">
        <v>204</v>
      </c>
      <c r="AA270" s="140">
        <f t="array" aca="1" ref="AA270" ca="1">INDEX($B256:$I261,MATCH(AA266,$A256:$A261,1),IF(MATCH(AA263,$B255:$I255,1)&lt;AC265,MATCH(AA263,$B255:$I255,1)+1,MATCH(AA266,$A256:$A261,1)))</f>
        <v>4700</v>
      </c>
      <c r="AC270" s="42"/>
      <c r="AE270" s="2"/>
      <c r="AF270" s="2"/>
      <c r="AG270" s="2"/>
      <c r="AH270" s="139" t="s">
        <v>204</v>
      </c>
      <c r="AI270" s="140">
        <f t="array" aca="1" ref="AI270" ca="1">INDEX($B256:$I261,MATCH(AI266,$A256:$A261,1),IF(MATCH(AI263,$B255:$I255,1)&lt;AK265,MATCH(AI263,$B255:$I255,1)+1,MATCH(AI266,$A256:$A261,1)))</f>
        <v>4700</v>
      </c>
      <c r="AK270" s="42"/>
      <c r="AM270" s="2"/>
      <c r="AN270" s="2"/>
      <c r="AO270" s="2"/>
      <c r="AP270" s="139" t="s">
        <v>204</v>
      </c>
      <c r="AQ270" s="140">
        <f t="array" aca="1" ref="AQ270" ca="1">INDEX($B256:$I261,MATCH(AQ266,$A256:$A261,1),IF(MATCH(AQ263,$B255:$I255,1)&lt;AS265,MATCH(AQ263,$B255:$I255,1)+1,MATCH(AQ266,$A256:$A261,1)))</f>
        <v>4700</v>
      </c>
      <c r="AS270" s="42"/>
      <c r="AU270" s="2"/>
      <c r="AV270" s="2"/>
      <c r="AW270" s="2"/>
      <c r="AX270" s="139" t="s">
        <v>204</v>
      </c>
      <c r="AY270" s="140" t="e">
        <f t="array" aca="1" ref="AY270" ca="1">INDEX($B256:$I261,MATCH(AY266,$A256:$A261,1),IF(MATCH(AY263,$B255:$I255,1)&lt;BA265,MATCH(AY263,$B255:$I255,1)+1,MATCH(AY266,$A256:$A261,1)))</f>
        <v>#N/A</v>
      </c>
      <c r="BA270" s="42"/>
    </row>
    <row r="271" spans="1:53" ht="14.25" customHeight="1" x14ac:dyDescent="0.3">
      <c r="B271" s="139" t="s">
        <v>151</v>
      </c>
      <c r="C271" s="140">
        <f t="array" aca="1" ref="C271" ca="1">INDEX(B256:I261,IF(MATCH(C266,A256:A261,1)&lt;E264,MATCH(C266,A256:A261,1)+1,MATCH(C266,A256:A261,1)),MATCH(C263,B255:I255,1))</f>
        <v>7950</v>
      </c>
      <c r="E271" s="42"/>
      <c r="G271" s="2"/>
      <c r="H271" s="2"/>
      <c r="I271" s="2"/>
      <c r="J271" s="139" t="s">
        <v>151</v>
      </c>
      <c r="K271" s="140">
        <f t="array" aca="1" ref="K271" ca="1">INDEX($B256:$I261,IF(MATCH(K266,$A256:$A261,1)&lt;M264,MATCH(K266,$A256:$A261,1)+1,MATCH(K266,$A256:$A261,1)),MATCH(K263,$B255:$I255,1))</f>
        <v>7950</v>
      </c>
      <c r="M271" s="42"/>
      <c r="O271" s="2"/>
      <c r="P271" s="2"/>
      <c r="Q271" s="2"/>
      <c r="R271" s="139" t="s">
        <v>151</v>
      </c>
      <c r="S271" s="140">
        <f t="array" aca="1" ref="S271" ca="1">INDEX($B256:$I261,IF(MATCH(S266,$A256:$A261,1)&lt;U264,MATCH(S266,$A256:$A261,1)+1,MATCH(S266,$A256:$A261,1)),MATCH(S263,$B255:$I255,1))</f>
        <v>7950</v>
      </c>
      <c r="U271" s="42"/>
      <c r="W271" s="2"/>
      <c r="X271" s="2"/>
      <c r="Y271" s="2"/>
      <c r="Z271" s="139" t="s">
        <v>151</v>
      </c>
      <c r="AA271" s="140">
        <f t="array" aca="1" ref="AA271" ca="1">INDEX($B256:$I261,IF(MATCH(AA266,$A256:$A261,1)&lt;AC264,MATCH(AA266,$A256:$A261,1)+1,MATCH(AA266,$A256:$A261,1)),MATCH(AA263,$B255:$I255,1))</f>
        <v>7950</v>
      </c>
      <c r="AC271" s="42"/>
      <c r="AE271" s="2"/>
      <c r="AF271" s="2"/>
      <c r="AG271" s="2"/>
      <c r="AH271" s="139" t="s">
        <v>151</v>
      </c>
      <c r="AI271" s="140">
        <f t="array" aca="1" ref="AI271" ca="1">INDEX($B256:$I261,IF(MATCH(AI266,$A256:$A261,1)&lt;AK264,MATCH(AI266,$A256:$A261,1)+1,MATCH(AI266,$A256:$A261,1)),MATCH(AI263,$B255:$I255,1))</f>
        <v>7950</v>
      </c>
      <c r="AK271" s="42"/>
      <c r="AM271" s="2"/>
      <c r="AN271" s="2"/>
      <c r="AO271" s="2"/>
      <c r="AP271" s="139" t="s">
        <v>151</v>
      </c>
      <c r="AQ271" s="140">
        <f t="array" aca="1" ref="AQ271" ca="1">INDEX($B256:$I261,IF(MATCH(AQ266,$A256:$A261,1)&lt;AS264,MATCH(AQ266,$A256:$A261,1)+1,MATCH(AQ266,$A256:$A261,1)),MATCH(AQ263,$B255:$I255,1))</f>
        <v>7950</v>
      </c>
      <c r="AS271" s="42"/>
      <c r="AU271" s="2"/>
      <c r="AV271" s="2"/>
      <c r="AW271" s="2"/>
      <c r="AX271" s="139" t="s">
        <v>151</v>
      </c>
      <c r="AY271" s="140" t="e">
        <f t="array" aca="1" ref="AY271" ca="1">INDEX($B256:$I261,IF(MATCH(AY266,$A256:$A261,1)&lt;BA264,MATCH(AY266,$A256:$A261,1)+1,MATCH(AY266,$A256:$A261,1)),MATCH(AY263,$B255:$I255,1))</f>
        <v>#N/A</v>
      </c>
      <c r="BA271" s="42"/>
    </row>
    <row r="272" spans="1:53" ht="14.25" customHeight="1" x14ac:dyDescent="0.3">
      <c r="B272" s="139" t="s">
        <v>205</v>
      </c>
      <c r="C272" s="140">
        <f t="array" aca="1" ref="C272" ca="1">INDEX(B256:I261,IF(MATCH(C266,A256:A261,1)&lt;E264,MATCH(C266,A256:A261,1)+1,MATCH(C266,A256:A261,1)),IF(MATCH(C263,B255:I255,1)&lt;E265,MATCH(C263,B255:I255,1)+1,MATCH(C263,B255:I255,1)))</f>
        <v>7950</v>
      </c>
      <c r="G272" s="2"/>
      <c r="H272" s="2"/>
      <c r="I272" s="2"/>
      <c r="J272" s="139" t="s">
        <v>205</v>
      </c>
      <c r="K272" s="140">
        <f t="array" aca="1" ref="K272" ca="1">INDEX($B256:$I261,IF(MATCH(K266,$A256:$A261,1)&lt;M264,MATCH(K266,$A256:$A261,1)+1,MATCH(K266,$A256:$A261,1)),IF(MATCH(K263,$B255:$I255,1)&lt;M265,MATCH(K263,$B255:$I255,1)+1,MATCH(K263,$B255:$I255,1)))</f>
        <v>7950</v>
      </c>
      <c r="O272" s="2"/>
      <c r="P272" s="2"/>
      <c r="Q272" s="2"/>
      <c r="R272" s="139" t="s">
        <v>205</v>
      </c>
      <c r="S272" s="140">
        <f t="array" aca="1" ref="S272" ca="1">INDEX($B256:$I261,IF(MATCH(S266,$A256:$A261,1)&lt;U264,MATCH(S266,$A256:$A261,1)+1,MATCH(S266,$A256:$A261,1)),IF(MATCH(S263,$B255:$I255,1)&lt;U265,MATCH(S263,$B255:$I255,1)+1,MATCH(S263,$B255:$I255,1)))</f>
        <v>7950</v>
      </c>
      <c r="W272" s="2"/>
      <c r="X272" s="2"/>
      <c r="Y272" s="2"/>
      <c r="Z272" s="139" t="s">
        <v>205</v>
      </c>
      <c r="AA272" s="140">
        <f t="array" aca="1" ref="AA272" ca="1">INDEX($B256:$I261,IF(MATCH(AA266,$A256:$A261,1)&lt;AC264,MATCH(AA266,$A256:$A261,1)+1,MATCH(AA266,$A256:$A261,1)),IF(MATCH(AA263,$B255:$I255,1)&lt;AC265,MATCH(AA263,$B255:$I255,1)+1,MATCH(AA263,$B255:$I255,1)))</f>
        <v>7950</v>
      </c>
      <c r="AE272" s="2"/>
      <c r="AF272" s="2"/>
      <c r="AG272" s="2"/>
      <c r="AH272" s="139" t="s">
        <v>205</v>
      </c>
      <c r="AI272" s="140">
        <f t="array" aca="1" ref="AI272" ca="1">INDEX($B256:$I261,IF(MATCH(AI266,$A256:$A261,1)&lt;AK264,MATCH(AI266,$A256:$A261,1)+1,MATCH(AI266,$A256:$A261,1)),IF(MATCH(AI263,$B255:$I255,1)&lt;AK265,MATCH(AI263,$B255:$I255,1)+1,MATCH(AI263,$B255:$I255,1)))</f>
        <v>7950</v>
      </c>
      <c r="AM272" s="2"/>
      <c r="AN272" s="2"/>
      <c r="AO272" s="2"/>
      <c r="AP272" s="139" t="s">
        <v>205</v>
      </c>
      <c r="AQ272" s="140">
        <f t="array" aca="1" ref="AQ272" ca="1">INDEX($B256:$I261,IF(MATCH(AQ266,$A256:$A261,1)&lt;AS264,MATCH(AQ266,$A256:$A261,1)+1,MATCH(AQ266,$A256:$A261,1)),IF(MATCH(AQ263,$B255:$I255,1)&lt;AS265,MATCH(AQ263,$B255:$I255,1)+1,MATCH(AQ263,$B255:$I255,1)))</f>
        <v>7950</v>
      </c>
      <c r="AU272" s="2"/>
      <c r="AV272" s="2"/>
      <c r="AW272" s="2"/>
      <c r="AX272" s="139" t="s">
        <v>205</v>
      </c>
      <c r="AY272" s="140" t="e">
        <f t="array" aca="1" ref="AY272" ca="1">INDEX($B256:$I261,IF(MATCH(AY266,$A256:$A261,1)&lt;BA264,MATCH(AY266,$A256:$A261,1)+1,MATCH(AY266,$A256:$A261,1)),IF(MATCH(AY263,$B255:$I255,1)&lt;BA265,MATCH(AY263,$B255:$I255,1)+1,MATCH(AY263,$B255:$I255,1)))</f>
        <v>#N/A</v>
      </c>
    </row>
    <row r="273" spans="1:53" ht="14.25" customHeight="1" x14ac:dyDescent="0.3">
      <c r="B273" s="16" t="s">
        <v>206</v>
      </c>
      <c r="C273" s="141">
        <f ca="1">IFERROR(C269+(C263-C264)*(C270-C269)/(C265-C264),C269)</f>
        <v>7700</v>
      </c>
      <c r="G273" s="2"/>
      <c r="H273" s="2"/>
      <c r="I273" s="2"/>
      <c r="J273" s="16" t="s">
        <v>206</v>
      </c>
      <c r="K273" s="141">
        <f ca="1">IFERROR(K269+(K263-K264)*(K270-K269)/(K265-K264),K269)</f>
        <v>7700</v>
      </c>
      <c r="O273" s="2"/>
      <c r="P273" s="2"/>
      <c r="Q273" s="2"/>
      <c r="R273" s="16" t="s">
        <v>206</v>
      </c>
      <c r="S273" s="141">
        <f ca="1">IFERROR(S269+(S263-S264)*(S270-S269)/(S265-S264),S269)</f>
        <v>7700</v>
      </c>
      <c r="W273" s="2"/>
      <c r="X273" s="2"/>
      <c r="Y273" s="2"/>
      <c r="Z273" s="16" t="s">
        <v>206</v>
      </c>
      <c r="AA273" s="141">
        <f ca="1">IFERROR(AA269+(AA263-AA264)*(AA270-AA269)/(AA265-AA264),AA269)</f>
        <v>7700</v>
      </c>
      <c r="AE273" s="2"/>
      <c r="AF273" s="2"/>
      <c r="AG273" s="2"/>
      <c r="AH273" s="16" t="s">
        <v>206</v>
      </c>
      <c r="AI273" s="141">
        <f ca="1">IFERROR(AI269+(AI263-AI264)*(AI270-AI269)/(AI265-AI264),AI269)</f>
        <v>7700</v>
      </c>
      <c r="AM273" s="2"/>
      <c r="AN273" s="2"/>
      <c r="AO273" s="2"/>
      <c r="AP273" s="16" t="s">
        <v>206</v>
      </c>
      <c r="AQ273" s="141">
        <f ca="1">IFERROR(AQ269+(AQ263-AQ264)*(AQ270-AQ269)/(AQ265-AQ264),AQ269)</f>
        <v>7700</v>
      </c>
      <c r="AU273" s="2"/>
      <c r="AV273" s="2"/>
      <c r="AW273" s="2"/>
      <c r="AX273" s="16" t="s">
        <v>206</v>
      </c>
      <c r="AY273" s="141" t="e">
        <f ca="1">IFERROR(AY269+(AY263-AY264)*(AY270-AY269)/(AY265-AY264),AY269)</f>
        <v>#N/A</v>
      </c>
    </row>
    <row r="274" spans="1:53" ht="14.25" customHeight="1" x14ac:dyDescent="0.3">
      <c r="B274" s="16" t="s">
        <v>207</v>
      </c>
      <c r="C274" s="141">
        <f ca="1">IFERROR(C271+(C263-C264)*(C272-C271)/(C265-C264),C271)</f>
        <v>7950</v>
      </c>
      <c r="G274" s="2"/>
      <c r="H274" s="2"/>
      <c r="I274" s="2"/>
      <c r="J274" s="16" t="s">
        <v>207</v>
      </c>
      <c r="K274" s="141">
        <f ca="1">IFERROR(K271+(K263-K264)*(K272-K271)/(K265-K264),K271)</f>
        <v>7950</v>
      </c>
      <c r="O274" s="2"/>
      <c r="P274" s="2"/>
      <c r="Q274" s="2"/>
      <c r="R274" s="16" t="s">
        <v>207</v>
      </c>
      <c r="S274" s="141">
        <f ca="1">IFERROR(S271+(S263-S264)*(S272-S271)/(S265-S264),S271)</f>
        <v>7950</v>
      </c>
      <c r="W274" s="2"/>
      <c r="X274" s="2"/>
      <c r="Y274" s="2"/>
      <c r="Z274" s="16" t="s">
        <v>207</v>
      </c>
      <c r="AA274" s="141">
        <f ca="1">IFERROR(AA271+(AA263-AA264)*(AA272-AA271)/(AA265-AA264),AA271)</f>
        <v>7950</v>
      </c>
      <c r="AE274" s="2"/>
      <c r="AF274" s="2"/>
      <c r="AG274" s="2"/>
      <c r="AH274" s="16" t="s">
        <v>207</v>
      </c>
      <c r="AI274" s="141">
        <f ca="1">IFERROR(AI271+(AI263-AI264)*(AI272-AI271)/(AI265-AI264),AI271)</f>
        <v>7950</v>
      </c>
      <c r="AM274" s="2"/>
      <c r="AN274" s="2"/>
      <c r="AO274" s="2"/>
      <c r="AP274" s="16" t="s">
        <v>207</v>
      </c>
      <c r="AQ274" s="141">
        <f ca="1">IFERROR(AQ271+(AQ263-AQ264)*(AQ272-AQ271)/(AQ265-AQ264),AQ271)</f>
        <v>7950</v>
      </c>
      <c r="AU274" s="2"/>
      <c r="AV274" s="2"/>
      <c r="AW274" s="2"/>
      <c r="AX274" s="16" t="s">
        <v>207</v>
      </c>
      <c r="AY274" s="141" t="e">
        <f ca="1">IFERROR(AY271+(AY263-AY264)*(AY272-AY271)/(AY265-AY264),AY271)</f>
        <v>#N/A</v>
      </c>
    </row>
    <row r="275" spans="1:53" ht="14.25" customHeight="1" x14ac:dyDescent="0.3">
      <c r="B275" s="139" t="s">
        <v>208</v>
      </c>
      <c r="C275" s="140">
        <f ca="1">IFERROR(C273+(C266-C267)*(C274-C273)/(C268-C267),C273)</f>
        <v>7700</v>
      </c>
      <c r="G275" s="2"/>
      <c r="H275" s="2"/>
      <c r="I275" s="2"/>
      <c r="J275" s="139" t="s">
        <v>208</v>
      </c>
      <c r="K275" s="140">
        <f ca="1">IFERROR(K273+(K266-K267)*(K274-K273)/(K268-K267),K273)</f>
        <v>7700</v>
      </c>
      <c r="O275" s="2"/>
      <c r="P275" s="2"/>
      <c r="Q275" s="2"/>
      <c r="R275" s="139" t="s">
        <v>208</v>
      </c>
      <c r="S275" s="140">
        <f ca="1">IFERROR(S273+(S266-S267)*(S274-S273)/(S268-S267),S273)</f>
        <v>7700</v>
      </c>
      <c r="W275" s="2"/>
      <c r="X275" s="2"/>
      <c r="Y275" s="2"/>
      <c r="Z275" s="139" t="s">
        <v>208</v>
      </c>
      <c r="AA275" s="140">
        <f ca="1">IFERROR(AA273+(AA266-AA267)*(AA274-AA273)/(AA268-AA267),AA273)</f>
        <v>7700</v>
      </c>
      <c r="AE275" s="2"/>
      <c r="AF275" s="2"/>
      <c r="AG275" s="2"/>
      <c r="AH275" s="139" t="s">
        <v>208</v>
      </c>
      <c r="AI275" s="140">
        <f ca="1">IFERROR(AI273+(AI266-AI267)*(AI274-AI273)/(AI268-AI267),AI273)</f>
        <v>7700</v>
      </c>
      <c r="AM275" s="2"/>
      <c r="AN275" s="2"/>
      <c r="AO275" s="2"/>
      <c r="AP275" s="139" t="s">
        <v>208</v>
      </c>
      <c r="AQ275" s="140">
        <f ca="1">IFERROR(AQ273+(AQ266-AQ267)*(AQ274-AQ273)/(AQ268-AQ267),AQ273)</f>
        <v>7700</v>
      </c>
      <c r="AU275" s="2"/>
      <c r="AV275" s="2"/>
      <c r="AW275" s="2"/>
      <c r="AX275" s="139" t="s">
        <v>208</v>
      </c>
      <c r="AY275" s="140" t="e">
        <f ca="1">IFERROR(AY273+(AY266-AY267)*(AY274-AY273)/(AY268-AY267),AY273)</f>
        <v>#N/A</v>
      </c>
    </row>
    <row r="276" spans="1:53" ht="14.25" customHeight="1" x14ac:dyDescent="0.3">
      <c r="B276" s="139"/>
      <c r="C276" s="140"/>
      <c r="G276" s="2"/>
      <c r="H276" s="2"/>
      <c r="I276" s="2"/>
      <c r="J276" s="139"/>
      <c r="K276" s="140"/>
      <c r="O276" s="2"/>
      <c r="P276" s="2"/>
      <c r="Q276" s="2"/>
      <c r="R276" s="139"/>
      <c r="S276" s="140"/>
      <c r="W276" s="2"/>
      <c r="X276" s="2"/>
      <c r="Y276" s="2"/>
      <c r="Z276" s="139"/>
      <c r="AA276" s="140"/>
      <c r="AE276" s="2"/>
      <c r="AF276" s="2"/>
      <c r="AG276" s="2"/>
      <c r="AH276" s="139"/>
      <c r="AI276" s="140"/>
      <c r="AM276" s="2"/>
      <c r="AN276" s="2"/>
      <c r="AO276" s="2"/>
      <c r="AP276" s="139"/>
      <c r="AQ276" s="140"/>
      <c r="AU276" s="2"/>
      <c r="AV276" s="2"/>
      <c r="AW276" s="2"/>
      <c r="AX276" s="139"/>
      <c r="AY276" s="140"/>
    </row>
    <row r="277" spans="1:53" ht="14.25" customHeight="1" x14ac:dyDescent="0.3">
      <c r="A277" t="s">
        <v>210</v>
      </c>
      <c r="B277" s="355" t="s">
        <v>222</v>
      </c>
      <c r="C277" s="355"/>
      <c r="D277" s="355"/>
      <c r="E277" s="355"/>
      <c r="F277" s="355"/>
      <c r="G277" s="355"/>
      <c r="H277" s="355"/>
      <c r="I277" s="355"/>
      <c r="J277" s="139"/>
      <c r="K277" s="140"/>
      <c r="O277" s="2"/>
      <c r="P277" s="2"/>
      <c r="Q277" s="2"/>
      <c r="R277" s="139"/>
      <c r="S277" s="140"/>
      <c r="W277" s="2"/>
      <c r="X277" s="2"/>
      <c r="Y277" s="2"/>
      <c r="Z277" s="139"/>
      <c r="AA277" s="140"/>
      <c r="AE277" s="2"/>
      <c r="AF277" s="2"/>
      <c r="AG277" s="2"/>
      <c r="AH277" s="139"/>
      <c r="AI277" s="140"/>
      <c r="AM277" s="2"/>
      <c r="AN277" s="2"/>
      <c r="AO277" s="2"/>
      <c r="AP277" s="139"/>
      <c r="AQ277" s="140"/>
      <c r="AU277" s="2"/>
      <c r="AV277" s="2"/>
      <c r="AW277" s="2"/>
      <c r="AX277" s="139"/>
      <c r="AY277" s="140"/>
    </row>
    <row r="278" spans="1:53" ht="14.25" customHeight="1" x14ac:dyDescent="0.3">
      <c r="A278" t="s">
        <v>47</v>
      </c>
      <c r="B278" s="229">
        <v>3300</v>
      </c>
      <c r="C278" s="230">
        <v>3950</v>
      </c>
      <c r="D278" s="55">
        <v>4600</v>
      </c>
      <c r="E278" s="55">
        <v>5200</v>
      </c>
      <c r="F278" s="55">
        <v>5800</v>
      </c>
      <c r="G278" s="55">
        <v>6500</v>
      </c>
      <c r="H278" s="259">
        <v>7100</v>
      </c>
      <c r="I278" s="259">
        <v>7750</v>
      </c>
      <c r="J278" s="231">
        <v>8400</v>
      </c>
      <c r="K278" s="139"/>
      <c r="L278" s="140"/>
      <c r="N278" s="139"/>
      <c r="O278" s="140"/>
      <c r="S278" s="2"/>
      <c r="T278" s="2"/>
      <c r="U278" s="2"/>
      <c r="X278" s="2"/>
      <c r="Y278" s="2"/>
      <c r="Z278" s="2"/>
      <c r="AA278" s="139"/>
      <c r="AB278" s="140"/>
      <c r="AF278" s="2"/>
      <c r="AG278" s="2"/>
      <c r="AH278" s="2"/>
      <c r="AI278" s="139"/>
      <c r="AJ278" s="140"/>
      <c r="AN278" s="2"/>
      <c r="AO278" s="2"/>
      <c r="AP278" s="2"/>
      <c r="AQ278" s="139"/>
      <c r="AR278" s="140"/>
      <c r="AV278" s="2"/>
      <c r="AW278" s="2"/>
      <c r="AX278" s="2"/>
      <c r="AY278" s="139"/>
      <c r="AZ278" s="140"/>
    </row>
    <row r="279" spans="1:53" ht="14.25" customHeight="1" x14ac:dyDescent="0.3">
      <c r="A279">
        <v>-10</v>
      </c>
      <c r="B279" s="274">
        <v>4000</v>
      </c>
      <c r="C279" s="287">
        <v>5400</v>
      </c>
      <c r="D279" s="287">
        <v>6600</v>
      </c>
      <c r="E279" s="287">
        <v>7500</v>
      </c>
      <c r="F279" s="287">
        <v>8300</v>
      </c>
      <c r="G279" s="287">
        <v>8900</v>
      </c>
      <c r="H279" s="287">
        <v>9400</v>
      </c>
      <c r="I279" s="287">
        <v>9800</v>
      </c>
      <c r="J279" s="288">
        <v>10100</v>
      </c>
      <c r="K279" s="139"/>
      <c r="L279" s="140"/>
      <c r="N279" s="139"/>
      <c r="O279" s="140"/>
      <c r="S279" s="2"/>
      <c r="T279" s="2"/>
      <c r="U279" s="2"/>
      <c r="X279" s="2"/>
      <c r="Y279" s="2"/>
      <c r="Z279" s="2"/>
      <c r="AA279" s="139"/>
      <c r="AB279" s="140"/>
      <c r="AF279" s="2"/>
      <c r="AG279" s="2"/>
      <c r="AH279" s="2"/>
      <c r="AI279" s="139"/>
      <c r="AJ279" s="140"/>
      <c r="AN279" s="2"/>
      <c r="AO279" s="2"/>
      <c r="AP279" s="2"/>
      <c r="AQ279" s="139"/>
      <c r="AR279" s="140"/>
      <c r="AV279" s="2"/>
      <c r="AW279" s="2"/>
      <c r="AX279" s="2"/>
      <c r="AY279" s="139"/>
      <c r="AZ279" s="140"/>
    </row>
    <row r="280" spans="1:53" ht="14.25" customHeight="1" x14ac:dyDescent="0.3">
      <c r="A280">
        <v>0</v>
      </c>
      <c r="B280" s="279">
        <v>3300</v>
      </c>
      <c r="C280" s="203">
        <v>3950</v>
      </c>
      <c r="D280">
        <v>4600</v>
      </c>
      <c r="E280">
        <v>5200</v>
      </c>
      <c r="F280">
        <v>5800</v>
      </c>
      <c r="G280">
        <v>6500</v>
      </c>
      <c r="H280" s="12">
        <v>7100</v>
      </c>
      <c r="I280" s="12">
        <v>7750</v>
      </c>
      <c r="J280" s="280">
        <v>8400</v>
      </c>
      <c r="K280" s="139"/>
      <c r="L280" s="140"/>
      <c r="N280" s="139"/>
      <c r="O280" s="140"/>
      <c r="S280" s="2"/>
      <c r="T280" s="2"/>
      <c r="U280" s="2"/>
      <c r="X280" s="2"/>
      <c r="Y280" s="2"/>
      <c r="Z280" s="2"/>
      <c r="AA280" s="139"/>
      <c r="AB280" s="140"/>
      <c r="AF280" s="2"/>
      <c r="AG280" s="2"/>
      <c r="AH280" s="2"/>
      <c r="AI280" s="139"/>
      <c r="AJ280" s="140"/>
      <c r="AN280" s="2"/>
      <c r="AO280" s="2"/>
      <c r="AP280" s="2"/>
      <c r="AQ280" s="139"/>
      <c r="AR280" s="140"/>
      <c r="AV280" s="2"/>
      <c r="AW280" s="2"/>
      <c r="AX280" s="2"/>
      <c r="AY280" s="139"/>
      <c r="AZ280" s="140"/>
    </row>
    <row r="281" spans="1:53" ht="14.25" customHeight="1" x14ac:dyDescent="0.3">
      <c r="A281">
        <v>10</v>
      </c>
      <c r="B281" s="279">
        <v>3120</v>
      </c>
      <c r="C281" s="203">
        <v>3710</v>
      </c>
      <c r="D281">
        <v>4340</v>
      </c>
      <c r="E281">
        <v>4950</v>
      </c>
      <c r="F281">
        <v>5530</v>
      </c>
      <c r="G281">
        <v>6150</v>
      </c>
      <c r="H281">
        <v>6750</v>
      </c>
      <c r="I281">
        <v>7370</v>
      </c>
      <c r="J281" s="281">
        <v>7970</v>
      </c>
      <c r="K281" s="139"/>
      <c r="L281" s="140"/>
      <c r="N281" s="139"/>
      <c r="O281" s="140"/>
      <c r="X281" s="2"/>
      <c r="Y281" s="2"/>
      <c r="Z281" s="2"/>
      <c r="AA281" s="139"/>
      <c r="AB281" s="140"/>
      <c r="AF281" s="2"/>
      <c r="AG281" s="2"/>
      <c r="AH281" s="2"/>
      <c r="AI281" s="139"/>
      <c r="AJ281" s="140"/>
      <c r="AN281" s="2"/>
      <c r="AO281" s="2"/>
      <c r="AP281" s="2"/>
      <c r="AQ281" s="139"/>
      <c r="AR281" s="140"/>
      <c r="AV281" s="2"/>
      <c r="AW281" s="2"/>
      <c r="AX281" s="2"/>
      <c r="AY281" s="139"/>
      <c r="AZ281" s="140"/>
    </row>
    <row r="282" spans="1:53" ht="14.25" customHeight="1" x14ac:dyDescent="0.3">
      <c r="A282">
        <v>20</v>
      </c>
      <c r="B282" s="279">
        <v>2920</v>
      </c>
      <c r="C282" s="203">
        <v>3500</v>
      </c>
      <c r="D282">
        <v>4080</v>
      </c>
      <c r="E282">
        <v>4650</v>
      </c>
      <c r="F282">
        <v>5200</v>
      </c>
      <c r="G282">
        <v>5800</v>
      </c>
      <c r="H282" s="12">
        <v>6390</v>
      </c>
      <c r="I282" s="12">
        <v>6950</v>
      </c>
      <c r="J282" s="280">
        <v>7550</v>
      </c>
      <c r="K282" s="72"/>
      <c r="L282" s="140"/>
      <c r="N282" s="139"/>
      <c r="O282" s="140"/>
      <c r="S282" s="2"/>
      <c r="T282" s="2"/>
      <c r="U282" s="2"/>
      <c r="X282" s="2"/>
      <c r="Y282" s="2"/>
      <c r="Z282" s="2"/>
      <c r="AA282" s="139"/>
      <c r="AB282" s="140"/>
      <c r="AF282" s="2"/>
      <c r="AG282" s="2"/>
      <c r="AH282" s="2"/>
      <c r="AI282" s="139"/>
      <c r="AJ282" s="140"/>
      <c r="AN282" s="2"/>
      <c r="AO282" s="2"/>
      <c r="AP282" s="2"/>
      <c r="AQ282" s="139"/>
      <c r="AR282" s="140"/>
      <c r="AV282" s="2"/>
      <c r="AW282" s="2"/>
      <c r="AX282" s="2"/>
      <c r="AY282" s="139"/>
      <c r="AZ282" s="140"/>
    </row>
    <row r="283" spans="1:53" ht="15" customHeight="1" x14ac:dyDescent="0.3">
      <c r="A283">
        <v>30</v>
      </c>
      <c r="B283" s="282">
        <v>2700</v>
      </c>
      <c r="C283" s="283">
        <v>3250</v>
      </c>
      <c r="D283" s="284">
        <v>3800</v>
      </c>
      <c r="E283" s="284">
        <v>4350</v>
      </c>
      <c r="F283" s="284">
        <v>4900</v>
      </c>
      <c r="G283" s="284">
        <v>5425</v>
      </c>
      <c r="H283" s="285">
        <v>6000</v>
      </c>
      <c r="I283" s="285">
        <v>6550</v>
      </c>
      <c r="J283" s="286">
        <v>7100</v>
      </c>
      <c r="K283" s="139"/>
      <c r="L283" s="140"/>
      <c r="N283" s="139"/>
      <c r="O283" s="140"/>
      <c r="S283" s="2"/>
      <c r="T283" s="2"/>
      <c r="U283" s="2"/>
      <c r="X283" s="2"/>
      <c r="Y283" s="2"/>
      <c r="Z283" s="2"/>
      <c r="AA283" s="139"/>
      <c r="AB283" s="140"/>
      <c r="AF283" s="2"/>
      <c r="AG283" s="2"/>
      <c r="AH283" s="2"/>
      <c r="AI283" s="139"/>
      <c r="AJ283" s="140"/>
      <c r="AN283" s="2"/>
      <c r="AO283" s="2"/>
      <c r="AP283" s="2"/>
      <c r="AQ283" s="139"/>
      <c r="AR283" s="140"/>
      <c r="AV283" s="2"/>
      <c r="AW283" s="2"/>
      <c r="AX283" s="2"/>
      <c r="AY283" s="139"/>
      <c r="AZ283" s="140"/>
    </row>
    <row r="284" spans="1:53" ht="15" customHeight="1" x14ac:dyDescent="0.3">
      <c r="B284" s="139"/>
      <c r="C284" s="140"/>
      <c r="G284" s="2"/>
      <c r="H284" s="2"/>
      <c r="I284" s="2"/>
      <c r="J284" s="139"/>
      <c r="K284" s="140"/>
      <c r="O284" s="2"/>
      <c r="P284" s="2"/>
      <c r="Q284" s="2"/>
      <c r="R284" s="139"/>
      <c r="S284" s="140"/>
      <c r="W284" s="2"/>
      <c r="X284" s="2"/>
      <c r="Y284" s="2"/>
      <c r="Z284" s="139"/>
      <c r="AA284" s="140"/>
      <c r="AE284" s="2"/>
      <c r="AF284" s="2"/>
      <c r="AG284" s="2"/>
      <c r="AH284" s="139"/>
      <c r="AI284" s="140"/>
      <c r="AM284" s="2"/>
      <c r="AN284" s="2"/>
      <c r="AO284" s="2"/>
      <c r="AP284" s="139"/>
      <c r="AQ284" s="140"/>
      <c r="AU284" s="2"/>
      <c r="AV284" s="2"/>
      <c r="AW284" s="2"/>
      <c r="AX284" s="139"/>
      <c r="AY284" s="140"/>
    </row>
    <row r="285" spans="1:53" ht="15" customHeight="1" x14ac:dyDescent="0.3">
      <c r="B285" s="139" t="s">
        <v>146</v>
      </c>
      <c r="C285" s="140">
        <f ca="1">C275</f>
        <v>7700</v>
      </c>
      <c r="D285" s="355" t="s">
        <v>201</v>
      </c>
      <c r="E285" s="355"/>
      <c r="G285" s="2"/>
      <c r="H285" s="2"/>
      <c r="I285" s="2"/>
      <c r="J285" s="139" t="s">
        <v>146</v>
      </c>
      <c r="K285" s="140">
        <f ca="1">K275</f>
        <v>7700</v>
      </c>
      <c r="L285" s="355" t="s">
        <v>201</v>
      </c>
      <c r="M285" s="355"/>
      <c r="O285" s="2"/>
      <c r="P285" s="2"/>
      <c r="Q285" s="2"/>
      <c r="R285" s="139" t="s">
        <v>146</v>
      </c>
      <c r="S285" s="140">
        <f ca="1">S275</f>
        <v>7700</v>
      </c>
      <c r="T285" s="355" t="s">
        <v>201</v>
      </c>
      <c r="U285" s="355"/>
      <c r="W285" s="2"/>
      <c r="X285" s="2"/>
      <c r="Y285" s="2"/>
      <c r="Z285" s="139" t="s">
        <v>146</v>
      </c>
      <c r="AA285" s="140">
        <f ca="1">AA275</f>
        <v>7700</v>
      </c>
      <c r="AB285" s="355" t="s">
        <v>201</v>
      </c>
      <c r="AC285" s="355"/>
      <c r="AE285" s="2"/>
      <c r="AF285" s="2"/>
      <c r="AG285" s="2"/>
      <c r="AH285" s="139" t="s">
        <v>146</v>
      </c>
      <c r="AI285" s="140">
        <f ca="1">AI275</f>
        <v>7700</v>
      </c>
      <c r="AJ285" s="355" t="s">
        <v>201</v>
      </c>
      <c r="AK285" s="355"/>
      <c r="AM285" s="2"/>
      <c r="AN285" s="2"/>
      <c r="AO285" s="2"/>
      <c r="AP285" s="139" t="s">
        <v>146</v>
      </c>
      <c r="AQ285" s="140">
        <f ca="1">AQ275</f>
        <v>7700</v>
      </c>
      <c r="AR285" s="355" t="s">
        <v>201</v>
      </c>
      <c r="AS285" s="355"/>
      <c r="AU285" s="2"/>
      <c r="AV285" s="2"/>
      <c r="AW285" s="2"/>
      <c r="AX285" s="139" t="s">
        <v>146</v>
      </c>
      <c r="AY285" s="140" t="e">
        <f ca="1">AY275</f>
        <v>#N/A</v>
      </c>
      <c r="AZ285" s="355" t="s">
        <v>201</v>
      </c>
      <c r="BA285" s="355"/>
    </row>
    <row r="286" spans="1:53" ht="15" customHeight="1" x14ac:dyDescent="0.3">
      <c r="B286" s="16" t="s">
        <v>202</v>
      </c>
      <c r="C286" s="141">
        <f t="array" aca="1" ref="C286" ca="1">INDEX($B278:$J278,MATCH(C285,$B278:$J278,1))</f>
        <v>7100</v>
      </c>
      <c r="D286" s="16" t="s">
        <v>144</v>
      </c>
      <c r="E286" s="17">
        <f>MATCH(MAX($A$65:$A$71),$A$65:$A$71,1)</f>
        <v>7</v>
      </c>
      <c r="G286" s="2"/>
      <c r="H286" s="2"/>
      <c r="I286" s="2"/>
      <c r="J286" s="16" t="s">
        <v>202</v>
      </c>
      <c r="K286" s="141">
        <f t="array" aca="1" ref="K286" ca="1">INDEX($B278:$J278,MATCH(K285,$B278:$J278,1))</f>
        <v>7100</v>
      </c>
      <c r="L286" s="16" t="s">
        <v>144</v>
      </c>
      <c r="M286" s="17">
        <f>MATCH(MAX($A$65:$A$71),$A$65:$A$71,1)</f>
        <v>7</v>
      </c>
      <c r="O286" s="2"/>
      <c r="P286" s="2"/>
      <c r="Q286" s="2"/>
      <c r="R286" s="16" t="s">
        <v>202</v>
      </c>
      <c r="S286" s="141">
        <f t="array" aca="1" ref="S286" ca="1">INDEX($B278:$J278,MATCH(S285,$B278:$J278,1))</f>
        <v>7100</v>
      </c>
      <c r="T286" s="16" t="s">
        <v>144</v>
      </c>
      <c r="U286" s="17">
        <f>MATCH(MAX($A$65:$A$71),$A$65:$A$71,1)</f>
        <v>7</v>
      </c>
      <c r="W286" s="2"/>
      <c r="X286" s="2"/>
      <c r="Y286" s="2"/>
      <c r="Z286" s="16" t="s">
        <v>202</v>
      </c>
      <c r="AA286" s="141">
        <f t="array" aca="1" ref="AA286" ca="1">INDEX($B278:$J278,MATCH(AA285,$B278:$J278,1))</f>
        <v>7100</v>
      </c>
      <c r="AB286" s="16" t="s">
        <v>144</v>
      </c>
      <c r="AC286" s="17">
        <f>MATCH(MAX($A$65:$A$71),$A$65:$A$71,1)</f>
        <v>7</v>
      </c>
      <c r="AE286" s="2"/>
      <c r="AF286" s="2"/>
      <c r="AG286" s="2"/>
      <c r="AH286" s="16" t="s">
        <v>202</v>
      </c>
      <c r="AI286" s="141">
        <f t="array" aca="1" ref="AI286" ca="1">INDEX($B278:$J278,MATCH(AI285,$B278:$J278,1))</f>
        <v>7100</v>
      </c>
      <c r="AJ286" s="16" t="s">
        <v>144</v>
      </c>
      <c r="AK286" s="17">
        <f>MATCH(MAX($A$65:$A$71),$A$65:$A$71,1)</f>
        <v>7</v>
      </c>
      <c r="AM286" s="2"/>
      <c r="AN286" s="2"/>
      <c r="AO286" s="2"/>
      <c r="AP286" s="16" t="s">
        <v>202</v>
      </c>
      <c r="AQ286" s="141">
        <f t="array" aca="1" ref="AQ286" ca="1">INDEX($B278:$J278,MATCH(AQ285,$B278:$J278,1))</f>
        <v>7100</v>
      </c>
      <c r="AR286" s="16" t="s">
        <v>144</v>
      </c>
      <c r="AS286" s="17">
        <f>MATCH(MAX($A$65:$A$71),$A$65:$A$71,1)</f>
        <v>7</v>
      </c>
      <c r="AU286" s="2"/>
      <c r="AV286" s="2"/>
      <c r="AW286" s="2"/>
      <c r="AX286" s="16" t="s">
        <v>202</v>
      </c>
      <c r="AY286" s="141" t="e">
        <f t="array" aca="1" ref="AY286" ca="1">INDEX($B278:$J278,MATCH(AY285,$B278:$J278,1))</f>
        <v>#N/A</v>
      </c>
      <c r="AZ286" s="16" t="s">
        <v>144</v>
      </c>
      <c r="BA286" s="17">
        <f>MATCH(MAX($A$65:$A$71),$A$65:$A$71,1)</f>
        <v>7</v>
      </c>
    </row>
    <row r="287" spans="1:53" ht="15" customHeight="1" x14ac:dyDescent="0.3">
      <c r="B287" s="16" t="s">
        <v>203</v>
      </c>
      <c r="C287" s="141">
        <f t="array" aca="1" ref="C287" ca="1">INDEX($B278:$J278,IF(MATCH(C285,$B278:$J278,1)&lt;E287,MATCH(C285,$B278:$J278,1)+1,MATCH(C285,$B278:$J278,1)))</f>
        <v>7750</v>
      </c>
      <c r="D287" s="16" t="s">
        <v>145</v>
      </c>
      <c r="E287" s="17">
        <f>MATCH(MAX($B$64:$I$64),$B$64:$I$64,0)</f>
        <v>8</v>
      </c>
      <c r="G287" s="2"/>
      <c r="H287" s="2"/>
      <c r="I287" s="2"/>
      <c r="J287" s="16" t="s">
        <v>203</v>
      </c>
      <c r="K287" s="141">
        <f t="array" aca="1" ref="K287" ca="1">INDEX($B278:$J278,IF(MATCH(K285,$B278:$J278,1)&lt;M287,MATCH(K285,$B278:$J278,1)+1,MATCH(K285,$B278:$J278,1)))</f>
        <v>7750</v>
      </c>
      <c r="L287" s="16" t="s">
        <v>145</v>
      </c>
      <c r="M287" s="17">
        <f>MATCH(MAX($B$64:$I$64),$B$64:$I$64,0)</f>
        <v>8</v>
      </c>
      <c r="O287" s="2"/>
      <c r="P287" s="2"/>
      <c r="Q287" s="2"/>
      <c r="R287" s="16" t="s">
        <v>203</v>
      </c>
      <c r="S287" s="141">
        <f t="array" aca="1" ref="S287" ca="1">INDEX($B278:$J278,IF(MATCH(S285,$B278:$J278,1)&lt;U287,MATCH(S285,$B278:$J278,1)+1,MATCH(S285,$B278:$J278,1)))</f>
        <v>7750</v>
      </c>
      <c r="T287" s="16" t="s">
        <v>145</v>
      </c>
      <c r="U287" s="17">
        <f>MATCH(MAX($B$64:$I$64),$B$64:$I$64,0)</f>
        <v>8</v>
      </c>
      <c r="W287" s="2"/>
      <c r="X287" s="2"/>
      <c r="Y287" s="2"/>
      <c r="Z287" s="16" t="s">
        <v>203</v>
      </c>
      <c r="AA287" s="141">
        <f t="array" aca="1" ref="AA287" ca="1">INDEX($B278:$J278,IF(MATCH(AA285,$B278:$J278,1)&lt;AC287,MATCH(AA285,$B278:$J278,1)+1,MATCH(AA285,$B278:$J278,1)))</f>
        <v>7750</v>
      </c>
      <c r="AB287" s="16" t="s">
        <v>145</v>
      </c>
      <c r="AC287" s="17">
        <f>MATCH(MAX($B$64:$I$64),$B$64:$I$64,0)</f>
        <v>8</v>
      </c>
      <c r="AE287" s="2"/>
      <c r="AF287" s="2"/>
      <c r="AG287" s="2"/>
      <c r="AH287" s="16" t="s">
        <v>203</v>
      </c>
      <c r="AI287" s="141">
        <f t="array" aca="1" ref="AI287" ca="1">INDEX($B278:$J278,IF(MATCH(AI285,$B278:$J278,1)&lt;AK287,MATCH(AI285,$B278:$J278,1)+1,MATCH(AI285,$B278:$J278,1)))</f>
        <v>7750</v>
      </c>
      <c r="AJ287" s="16" t="s">
        <v>145</v>
      </c>
      <c r="AK287" s="17">
        <f>MATCH(MAX($B$64:$I$64),$B$64:$I$64,0)</f>
        <v>8</v>
      </c>
      <c r="AM287" s="2"/>
      <c r="AN287" s="2"/>
      <c r="AO287" s="2"/>
      <c r="AP287" s="16" t="s">
        <v>203</v>
      </c>
      <c r="AQ287" s="141">
        <f t="array" aca="1" ref="AQ287" ca="1">INDEX($B278:$J278,IF(MATCH(AQ285,$B278:$J278,1)&lt;AS287,MATCH(AQ285,$B278:$J278,1)+1,MATCH(AQ285,$B278:$J278,1)))</f>
        <v>7750</v>
      </c>
      <c r="AR287" s="16" t="s">
        <v>145</v>
      </c>
      <c r="AS287" s="17">
        <f>MATCH(MAX($B$64:$I$64),$B$64:$I$64,0)</f>
        <v>8</v>
      </c>
      <c r="AU287" s="2"/>
      <c r="AV287" s="2"/>
      <c r="AW287" s="2"/>
      <c r="AX287" s="16" t="s">
        <v>203</v>
      </c>
      <c r="AY287" s="141" t="e">
        <f t="array" aca="1" ref="AY287" ca="1">INDEX($B278:$J278,IF(MATCH(AY285,$B278:$J278,1)&lt;BA287,MATCH(AY285,$B278:$J278,1)+1,MATCH(AY285,$B278:$J278,1)))</f>
        <v>#N/A</v>
      </c>
      <c r="AZ287" s="16" t="s">
        <v>145</v>
      </c>
      <c r="BA287" s="17">
        <f>MATCH(MAX($B$64:$I$64),$B$64:$I$64,0)</f>
        <v>8</v>
      </c>
    </row>
    <row r="288" spans="1:53" ht="15" customHeight="1" x14ac:dyDescent="0.3">
      <c r="B288" s="139" t="s">
        <v>147</v>
      </c>
      <c r="C288" s="186">
        <f ca="1">'Take-off'!$C$24</f>
        <v>-2.3941410032796808</v>
      </c>
      <c r="D288" s="2"/>
      <c r="E288" s="2"/>
      <c r="G288" s="2"/>
      <c r="H288" s="2"/>
      <c r="I288" s="2"/>
      <c r="J288" s="139" t="s">
        <v>147</v>
      </c>
      <c r="K288" s="186">
        <f ca="1">'Take-off'!$C$24</f>
        <v>-2.3941410032796808</v>
      </c>
      <c r="L288" s="2"/>
      <c r="M288" s="2"/>
      <c r="O288" s="2"/>
      <c r="P288" s="2"/>
      <c r="Q288" s="2"/>
      <c r="R288" s="139" t="s">
        <v>147</v>
      </c>
      <c r="S288" s="186">
        <f ca="1">'Take-off'!$C$24</f>
        <v>-2.3941410032796808</v>
      </c>
      <c r="T288" s="2"/>
      <c r="U288" s="2"/>
      <c r="W288" s="2"/>
      <c r="X288" s="2"/>
      <c r="Y288" s="2"/>
      <c r="Z288" s="139" t="s">
        <v>147</v>
      </c>
      <c r="AA288" s="186">
        <f ca="1">'Take-off'!$C$24</f>
        <v>-2.3941410032796808</v>
      </c>
      <c r="AB288" s="2"/>
      <c r="AC288" s="2"/>
      <c r="AE288" s="2"/>
      <c r="AF288" s="2"/>
      <c r="AG288" s="2"/>
      <c r="AH288" s="139" t="s">
        <v>147</v>
      </c>
      <c r="AI288" s="186">
        <f ca="1">'Take-off'!$C$24</f>
        <v>-2.3941410032796808</v>
      </c>
      <c r="AJ288" s="2"/>
      <c r="AK288" s="2"/>
      <c r="AM288" s="2"/>
      <c r="AN288" s="2"/>
      <c r="AO288" s="2"/>
      <c r="AP288" s="139" t="s">
        <v>147</v>
      </c>
      <c r="AQ288" s="186">
        <f ca="1">'Take-off'!$C$24</f>
        <v>-2.3941410032796808</v>
      </c>
      <c r="AR288" s="2"/>
      <c r="AS288" s="2"/>
      <c r="AU288" s="2"/>
      <c r="AV288" s="2"/>
      <c r="AW288" s="2"/>
      <c r="AX288" s="139" t="s">
        <v>147</v>
      </c>
      <c r="AY288" s="186">
        <f ca="1">'Take-off'!$C$24</f>
        <v>-2.3941410032796808</v>
      </c>
      <c r="AZ288" s="2"/>
      <c r="BA288" s="2"/>
    </row>
    <row r="289" spans="1:53" ht="15" customHeight="1" x14ac:dyDescent="0.3">
      <c r="B289" s="16" t="s">
        <v>148</v>
      </c>
      <c r="C289" s="141">
        <f t="array" aca="1" ref="C289" ca="1">INDEX($A279:$A283,MATCH(C288,$A279:$A283,1))</f>
        <v>-10</v>
      </c>
      <c r="D289" s="2"/>
      <c r="E289" s="42"/>
      <c r="G289" s="2"/>
      <c r="H289" s="2"/>
      <c r="I289" s="2"/>
      <c r="J289" s="16" t="s">
        <v>148</v>
      </c>
      <c r="K289" s="141">
        <f t="array" aca="1" ref="K289" ca="1">INDEX($A279:$A283,MATCH(K288,$A279:$A283,1))</f>
        <v>-10</v>
      </c>
      <c r="L289" s="2"/>
      <c r="M289" s="42"/>
      <c r="O289" s="2"/>
      <c r="P289" s="2"/>
      <c r="Q289" s="2"/>
      <c r="R289" s="16" t="s">
        <v>148</v>
      </c>
      <c r="S289" s="141">
        <f t="array" aca="1" ref="S289" ca="1">INDEX($A279:$A283,MATCH(S288,$A279:$A283,1))</f>
        <v>-10</v>
      </c>
      <c r="T289" s="2"/>
      <c r="U289" s="42"/>
      <c r="W289" s="2"/>
      <c r="X289" s="2"/>
      <c r="Y289" s="2"/>
      <c r="Z289" s="16" t="s">
        <v>148</v>
      </c>
      <c r="AA289" s="141">
        <f t="array" aca="1" ref="AA289" ca="1">INDEX($A279:$A283,MATCH(AA288,$A279:$A283,1))</f>
        <v>-10</v>
      </c>
      <c r="AB289" s="2"/>
      <c r="AC289" s="42"/>
      <c r="AE289" s="2"/>
      <c r="AF289" s="2"/>
      <c r="AG289" s="2"/>
      <c r="AH289" s="16" t="s">
        <v>148</v>
      </c>
      <c r="AI289" s="141">
        <f t="array" aca="1" ref="AI289" ca="1">INDEX($A279:$A283,MATCH(AI288,$A279:$A283,1))</f>
        <v>-10</v>
      </c>
      <c r="AJ289" s="2"/>
      <c r="AK289" s="42"/>
      <c r="AM289" s="2"/>
      <c r="AN289" s="2"/>
      <c r="AO289" s="2"/>
      <c r="AP289" s="16" t="s">
        <v>148</v>
      </c>
      <c r="AQ289" s="141">
        <f t="array" aca="1" ref="AQ289" ca="1">INDEX($A279:$A283,MATCH(AQ288,$A279:$A283,1))</f>
        <v>-10</v>
      </c>
      <c r="AR289" s="2"/>
      <c r="AS289" s="42"/>
      <c r="AU289" s="2"/>
      <c r="AV289" s="2"/>
      <c r="AW289" s="2"/>
      <c r="AX289" s="16" t="s">
        <v>148</v>
      </c>
      <c r="AY289" s="141">
        <f t="array" aca="1" ref="AY289" ca="1">INDEX($A279:$A283,MATCH(AY288,$A279:$A283,1))</f>
        <v>-10</v>
      </c>
      <c r="AZ289" s="2"/>
      <c r="BA289" s="42"/>
    </row>
    <row r="290" spans="1:53" ht="15" customHeight="1" x14ac:dyDescent="0.3">
      <c r="B290" s="16" t="s">
        <v>149</v>
      </c>
      <c r="C290" s="141">
        <f t="array" aca="1" ref="C290" ca="1">INDEX($A279:$A283,IF(MATCH(C288,$A279:$A283,1)&lt;E286,MATCH(C288,$A279:$A283,1)+1,MATCH(C288,$A279:$A283,1)))</f>
        <v>0</v>
      </c>
      <c r="D290" s="2"/>
      <c r="E290" s="42"/>
      <c r="G290" s="2"/>
      <c r="H290" s="2"/>
      <c r="I290" s="2"/>
      <c r="J290" s="16" t="s">
        <v>149</v>
      </c>
      <c r="K290" s="141">
        <f t="array" aca="1" ref="K290" ca="1">INDEX($A279:$A283,IF(MATCH(K288,$A279:$A283,1)&lt;M286,MATCH(K288,$A279:$A283,1)+1,MATCH(K288,$A279:$A283,1)))</f>
        <v>0</v>
      </c>
      <c r="L290" s="2"/>
      <c r="M290" s="42"/>
      <c r="O290" s="2"/>
      <c r="P290" s="2"/>
      <c r="Q290" s="2"/>
      <c r="R290" s="16" t="s">
        <v>149</v>
      </c>
      <c r="S290" s="141">
        <f t="array" aca="1" ref="S290" ca="1">INDEX($A279:$A283,IF(MATCH(S288,$A279:$A283,1)&lt;U286,MATCH(S288,$A279:$A283,1)+1,MATCH(S288,$A279:$A283,1)))</f>
        <v>0</v>
      </c>
      <c r="T290" s="2"/>
      <c r="U290" s="42"/>
      <c r="W290" s="2"/>
      <c r="X290" s="2"/>
      <c r="Y290" s="2"/>
      <c r="Z290" s="16" t="s">
        <v>149</v>
      </c>
      <c r="AA290" s="141">
        <f t="array" aca="1" ref="AA290" ca="1">INDEX($A279:$A283,IF(MATCH(AA288,$A279:$A283,1)&lt;AC286,MATCH(AA288,$A279:$A283,1)+1,MATCH(AA288,$A279:$A283,1)))</f>
        <v>0</v>
      </c>
      <c r="AB290" s="2"/>
      <c r="AC290" s="42"/>
      <c r="AE290" s="2"/>
      <c r="AF290" s="2"/>
      <c r="AG290" s="2"/>
      <c r="AH290" s="16" t="s">
        <v>149</v>
      </c>
      <c r="AI290" s="141">
        <f t="array" aca="1" ref="AI290" ca="1">INDEX($A279:$A283,IF(MATCH(AI288,$A279:$A283,1)&lt;AK286,MATCH(AI288,$A279:$A283,1)+1,MATCH(AI288,$A279:$A283,1)))</f>
        <v>0</v>
      </c>
      <c r="AJ290" s="2"/>
      <c r="AK290" s="42"/>
      <c r="AM290" s="2"/>
      <c r="AN290" s="2"/>
      <c r="AO290" s="2"/>
      <c r="AP290" s="16" t="s">
        <v>149</v>
      </c>
      <c r="AQ290" s="141">
        <f t="array" aca="1" ref="AQ290" ca="1">INDEX($A279:$A283,IF(MATCH(AQ288,$A279:$A283,1)&lt;AS286,MATCH(AQ288,$A279:$A283,1)+1,MATCH(AQ288,$A279:$A283,1)))</f>
        <v>0</v>
      </c>
      <c r="AR290" s="2"/>
      <c r="AS290" s="42"/>
      <c r="AU290" s="2"/>
      <c r="AV290" s="2"/>
      <c r="AW290" s="2"/>
      <c r="AX290" s="16" t="s">
        <v>149</v>
      </c>
      <c r="AY290" s="141">
        <f t="array" aca="1" ref="AY290" ca="1">INDEX($A279:$A283,IF(MATCH(AY288,$A279:$A283,1)&lt;BA286,MATCH(AY288,$A279:$A283,1)+1,MATCH(AY288,$A279:$A283,1)))</f>
        <v>0</v>
      </c>
      <c r="AZ290" s="2"/>
      <c r="BA290" s="42"/>
    </row>
    <row r="291" spans="1:53" ht="15" customHeight="1" x14ac:dyDescent="0.3">
      <c r="B291" s="139" t="s">
        <v>150</v>
      </c>
      <c r="C291" s="140">
        <f t="array" aca="1" ref="C291" ca="1">INDEX($B279:$J283,MATCH(C288,$A279:$A283,1),MATCH(C285,$B278:$J278,1))</f>
        <v>9400</v>
      </c>
      <c r="D291" s="2"/>
      <c r="E291" s="42"/>
      <c r="G291" s="2"/>
      <c r="H291" s="2"/>
      <c r="I291" s="2"/>
      <c r="J291" s="139" t="s">
        <v>150</v>
      </c>
      <c r="K291" s="140">
        <f t="array" aca="1" ref="K291" ca="1">INDEX($B279:$J283,MATCH(K288,$A279:$A283,1),MATCH(K285,$B278:$J278,1))</f>
        <v>9400</v>
      </c>
      <c r="L291" s="2"/>
      <c r="M291" s="42"/>
      <c r="O291" s="2"/>
      <c r="P291" s="2"/>
      <c r="Q291" s="2"/>
      <c r="R291" s="139" t="s">
        <v>150</v>
      </c>
      <c r="S291" s="140">
        <f t="array" aca="1" ref="S291" ca="1">INDEX($B279:$J283,MATCH(S288,$A279:$A283,1),MATCH(S285,$B278:$J278,1))</f>
        <v>9400</v>
      </c>
      <c r="T291" s="2"/>
      <c r="U291" s="42"/>
      <c r="W291" s="2"/>
      <c r="X291" s="2"/>
      <c r="Y291" s="2"/>
      <c r="Z291" s="139" t="s">
        <v>150</v>
      </c>
      <c r="AA291" s="140">
        <f t="array" aca="1" ref="AA291" ca="1">INDEX($B279:$J283,MATCH(AA288,$A279:$A283,1),MATCH(AA285,$B278:$J278,1))</f>
        <v>9400</v>
      </c>
      <c r="AB291" s="2"/>
      <c r="AC291" s="42"/>
      <c r="AE291" s="2"/>
      <c r="AF291" s="2"/>
      <c r="AG291" s="2"/>
      <c r="AH291" s="139" t="s">
        <v>150</v>
      </c>
      <c r="AI291" s="140">
        <f t="array" aca="1" ref="AI291" ca="1">INDEX($B279:$J283,MATCH(AI288,$A279:$A283,1),MATCH(AI285,$B278:$J278,1))</f>
        <v>9400</v>
      </c>
      <c r="AJ291" s="2"/>
      <c r="AK291" s="42"/>
      <c r="AM291" s="2"/>
      <c r="AN291" s="2"/>
      <c r="AO291" s="2"/>
      <c r="AP291" s="139" t="s">
        <v>150</v>
      </c>
      <c r="AQ291" s="140">
        <f t="array" aca="1" ref="AQ291" ca="1">INDEX($B279:$J283,MATCH(AQ288,$A279:$A283,1),MATCH(AQ285,$B278:$J278,1))</f>
        <v>9400</v>
      </c>
      <c r="AR291" s="2"/>
      <c r="AS291" s="42"/>
      <c r="AU291" s="2"/>
      <c r="AV291" s="2"/>
      <c r="AW291" s="2"/>
      <c r="AX291" s="139" t="s">
        <v>150</v>
      </c>
      <c r="AY291" s="140" t="e">
        <f t="array" aca="1" ref="AY291" ca="1">INDEX($B279:$J283,MATCH(AY288,$A279:$A283,1),MATCH(AY285,$B278:$J278,1))</f>
        <v>#N/A</v>
      </c>
      <c r="AZ291" s="2"/>
      <c r="BA291" s="42"/>
    </row>
    <row r="292" spans="1:53" ht="15" customHeight="1" x14ac:dyDescent="0.3">
      <c r="B292" s="139" t="s">
        <v>204</v>
      </c>
      <c r="C292" s="140">
        <f t="array" aca="1" ref="C292" ca="1">INDEX($B279:$J283,MATCH(C288,$A279:$A283,1),IF(MATCH(C285,$B278:$J278,1)&lt;E287,MATCH(C285,$B278:$J278,1)+1,MATCH(C288,$A279:$A283,1)))</f>
        <v>9800</v>
      </c>
      <c r="E292" s="42"/>
      <c r="G292" s="2"/>
      <c r="H292" s="2"/>
      <c r="I292" s="2"/>
      <c r="J292" s="139" t="s">
        <v>204</v>
      </c>
      <c r="K292" s="140">
        <f t="array" aca="1" ref="K292" ca="1">INDEX($B279:$J283,MATCH(K288,$A279:$A283,1),IF(MATCH(K285,$B278:$J278,1)&lt;M287,MATCH(K285,$B278:$J278,1)+1,MATCH(K288,$A279:$A283,1)))</f>
        <v>9800</v>
      </c>
      <c r="M292" s="42"/>
      <c r="O292" s="2"/>
      <c r="P292" s="2"/>
      <c r="Q292" s="2"/>
      <c r="R292" s="139" t="s">
        <v>204</v>
      </c>
      <c r="S292" s="140">
        <f t="array" aca="1" ref="S292" ca="1">INDEX($B279:$J283,MATCH(S288,$A279:$A283,1),IF(MATCH(S285,$B278:$J278,1)&lt;U287,MATCH(S285,$B278:$J278,1)+1,MATCH(S288,$A279:$A283,1)))</f>
        <v>9800</v>
      </c>
      <c r="U292" s="42"/>
      <c r="W292" s="2"/>
      <c r="X292" s="2"/>
      <c r="Y292" s="2"/>
      <c r="Z292" s="139" t="s">
        <v>204</v>
      </c>
      <c r="AA292" s="140">
        <f t="array" aca="1" ref="AA292" ca="1">INDEX($B279:$J283,MATCH(AA288,$A279:$A283,1),IF(MATCH(AA285,$B278:$J278,1)&lt;AC287,MATCH(AA285,$B278:$J278,1)+1,MATCH(AA288,$A279:$A283,1)))</f>
        <v>9800</v>
      </c>
      <c r="AC292" s="42"/>
      <c r="AE292" s="2"/>
      <c r="AF292" s="2"/>
      <c r="AG292" s="2"/>
      <c r="AH292" s="139" t="s">
        <v>204</v>
      </c>
      <c r="AI292" s="140">
        <f t="array" aca="1" ref="AI292" ca="1">INDEX($B279:$J283,MATCH(AI288,$A279:$A283,1),IF(MATCH(AI285,$B278:$J278,1)&lt;AK287,MATCH(AI285,$B278:$J278,1)+1,MATCH(AI288,$A279:$A283,1)))</f>
        <v>9800</v>
      </c>
      <c r="AK292" s="42"/>
      <c r="AM292" s="2"/>
      <c r="AN292" s="2"/>
      <c r="AO292" s="2"/>
      <c r="AP292" s="139" t="s">
        <v>204</v>
      </c>
      <c r="AQ292" s="140">
        <f t="array" aca="1" ref="AQ292" ca="1">INDEX($B279:$J283,MATCH(AQ288,$A279:$A283,1),IF(MATCH(AQ285,$B278:$J278,1)&lt;AS287,MATCH(AQ285,$B278:$J278,1)+1,MATCH(AQ288,$A279:$A283,1)))</f>
        <v>9800</v>
      </c>
      <c r="AS292" s="42"/>
      <c r="AU292" s="2"/>
      <c r="AV292" s="2"/>
      <c r="AW292" s="2"/>
      <c r="AX292" s="139" t="s">
        <v>204</v>
      </c>
      <c r="AY292" s="140" t="e">
        <f t="array" aca="1" ref="AY292" ca="1">INDEX($B279:$J283,MATCH(AY288,$A279:$A283,1),IF(MATCH(AY285,$B278:$J278,1)&lt;BA287,MATCH(AY285,$B278:$J278,1)+1,MATCH(AY288,$A279:$A283,1)))</f>
        <v>#N/A</v>
      </c>
      <c r="BA292" s="42"/>
    </row>
    <row r="293" spans="1:53" ht="15" customHeight="1" x14ac:dyDescent="0.3">
      <c r="B293" s="139" t="s">
        <v>151</v>
      </c>
      <c r="C293" s="140">
        <f t="array" aca="1" ref="C293" ca="1">INDEX($B279:$J283,IF(MATCH(C288,$A279:$A283,1)&lt;E286,MATCH(C288,$A279:$A283,1)+1,MATCH(C288,$A279:$A283,1)),MATCH(C285,$B278:$J278,1))</f>
        <v>7100</v>
      </c>
      <c r="E293" s="42"/>
      <c r="G293" s="2"/>
      <c r="H293" s="2"/>
      <c r="I293" s="2"/>
      <c r="J293" s="139" t="s">
        <v>151</v>
      </c>
      <c r="K293" s="140">
        <f t="array" aca="1" ref="K293" ca="1">INDEX($B279:$J283,IF(MATCH(K288,$A279:$A283,1)&lt;M286,MATCH(K288,$A279:$A283,1)+1,MATCH(K288,$A279:$A283,1)),MATCH(K285,$B278:$J278,1))</f>
        <v>7100</v>
      </c>
      <c r="M293" s="42"/>
      <c r="O293" s="2"/>
      <c r="P293" s="2"/>
      <c r="Q293" s="2"/>
      <c r="R293" s="139" t="s">
        <v>151</v>
      </c>
      <c r="S293" s="140">
        <f t="array" aca="1" ref="S293" ca="1">INDEX($B279:$J283,IF(MATCH(S288,$A279:$A283,1)&lt;U286,MATCH(S288,$A279:$A283,1)+1,MATCH(S288,$A279:$A283,1)),MATCH(S285,$B278:$J278,1))</f>
        <v>7100</v>
      </c>
      <c r="U293" s="42"/>
      <c r="W293" s="2"/>
      <c r="X293" s="2"/>
      <c r="Y293" s="2"/>
      <c r="Z293" s="139" t="s">
        <v>151</v>
      </c>
      <c r="AA293" s="140">
        <f t="array" aca="1" ref="AA293" ca="1">INDEX($B279:$J283,IF(MATCH(AA288,$A279:$A283,1)&lt;AC286,MATCH(AA288,$A279:$A283,1)+1,MATCH(AA288,$A279:$A283,1)),MATCH(AA285,$B278:$J278,1))</f>
        <v>7100</v>
      </c>
      <c r="AC293" s="42"/>
      <c r="AE293" s="2"/>
      <c r="AF293" s="2"/>
      <c r="AG293" s="2"/>
      <c r="AH293" s="139" t="s">
        <v>151</v>
      </c>
      <c r="AI293" s="140">
        <f t="array" aca="1" ref="AI293" ca="1">INDEX($B279:$J283,IF(MATCH(AI288,$A279:$A283,1)&lt;AK286,MATCH(AI288,$A279:$A283,1)+1,MATCH(AI288,$A279:$A283,1)),MATCH(AI285,$B278:$J278,1))</f>
        <v>7100</v>
      </c>
      <c r="AK293" s="42"/>
      <c r="AM293" s="2"/>
      <c r="AN293" s="2"/>
      <c r="AO293" s="2"/>
      <c r="AP293" s="139" t="s">
        <v>151</v>
      </c>
      <c r="AQ293" s="140">
        <f t="array" aca="1" ref="AQ293" ca="1">INDEX($B279:$J283,IF(MATCH(AQ288,$A279:$A283,1)&lt;AS286,MATCH(AQ288,$A279:$A283,1)+1,MATCH(AQ288,$A279:$A283,1)),MATCH(AQ285,$B278:$J278,1))</f>
        <v>7100</v>
      </c>
      <c r="AS293" s="42"/>
      <c r="AU293" s="2"/>
      <c r="AV293" s="2"/>
      <c r="AW293" s="2"/>
      <c r="AX293" s="139" t="s">
        <v>151</v>
      </c>
      <c r="AY293" s="140" t="e">
        <f t="array" aca="1" ref="AY293" ca="1">INDEX($B279:$J283,IF(MATCH(AY288,$A279:$A283,1)&lt;BA286,MATCH(AY288,$A279:$A283,1)+1,MATCH(AY288,$A279:$A283,1)),MATCH(AY285,$B278:$J278,1))</f>
        <v>#N/A</v>
      </c>
      <c r="BA293" s="42"/>
    </row>
    <row r="294" spans="1:53" ht="15" customHeight="1" x14ac:dyDescent="0.3">
      <c r="B294" s="139" t="s">
        <v>205</v>
      </c>
      <c r="C294" s="140">
        <f t="array" aca="1" ref="C294" ca="1">INDEX($B279:$J283,IF(MATCH(C288,$A279:$A283,1)&lt;E286,MATCH(C288,$A279:$A283,1)+1,MATCH(C288,$A279:$A283,1)),IF(MATCH(C285,$B278:$J278,1)&lt;E287,MATCH(C285,$B278:$J278,1)+1,MATCH(C285,$B278:$J278,1)))</f>
        <v>7750</v>
      </c>
      <c r="G294" s="2"/>
      <c r="H294" s="2"/>
      <c r="I294" s="2"/>
      <c r="J294" s="139" t="s">
        <v>205</v>
      </c>
      <c r="K294" s="140">
        <f t="array" aca="1" ref="K294" ca="1">INDEX($B279:$J283,IF(MATCH(K288,$A279:$A283,1)&lt;M286,MATCH(K288,$A279:$A283,1)+1,MATCH(K288,$A279:$A283,1)),IF(MATCH(K285,$B278:$J278,1)&lt;M287,MATCH(K285,$B278:$J278,1)+1,MATCH(K285,$B278:$J278,1)))</f>
        <v>7750</v>
      </c>
      <c r="O294" s="2"/>
      <c r="P294" s="2"/>
      <c r="Q294" s="2"/>
      <c r="R294" s="139" t="s">
        <v>205</v>
      </c>
      <c r="S294" s="140">
        <f t="array" aca="1" ref="S294" ca="1">INDEX($B279:$J283,IF(MATCH(S288,$A279:$A283,1)&lt;U286,MATCH(S288,$A279:$A283,1)+1,MATCH(S288,$A279:$A283,1)),IF(MATCH(S285,$B278:$J278,1)&lt;U287,MATCH(S285,$B278:$J278,1)+1,MATCH(S285,$B278:$J278,1)))</f>
        <v>7750</v>
      </c>
      <c r="W294" s="2"/>
      <c r="X294" s="2"/>
      <c r="Y294" s="2"/>
      <c r="Z294" s="139" t="s">
        <v>205</v>
      </c>
      <c r="AA294" s="140">
        <f t="array" aca="1" ref="AA294" ca="1">INDEX($B279:$J283,IF(MATCH(AA288,$A279:$A283,1)&lt;AC286,MATCH(AA288,$A279:$A283,1)+1,MATCH(AA288,$A279:$A283,1)),IF(MATCH(AA285,$B278:$J278,1)&lt;AC287,MATCH(AA285,$B278:$J278,1)+1,MATCH(AA285,$B278:$J278,1)))</f>
        <v>7750</v>
      </c>
      <c r="AE294" s="2"/>
      <c r="AF294" s="2"/>
      <c r="AG294" s="2"/>
      <c r="AH294" s="139" t="s">
        <v>205</v>
      </c>
      <c r="AI294" s="140">
        <f t="array" aca="1" ref="AI294" ca="1">INDEX($B279:$J283,IF(MATCH(AI288,$A279:$A283,1)&lt;AK286,MATCH(AI288,$A279:$A283,1)+1,MATCH(AI288,$A279:$A283,1)),IF(MATCH(AI285,$B278:$J278,1)&lt;AK287,MATCH(AI285,$B278:$J278,1)+1,MATCH(AI285,$B278:$J278,1)))</f>
        <v>7750</v>
      </c>
      <c r="AM294" s="2"/>
      <c r="AN294" s="2"/>
      <c r="AO294" s="2"/>
      <c r="AP294" s="139" t="s">
        <v>205</v>
      </c>
      <c r="AQ294" s="140">
        <f t="array" aca="1" ref="AQ294" ca="1">INDEX($B279:$J283,IF(MATCH(AQ288,$A279:$A283,1)&lt;AS286,MATCH(AQ288,$A279:$A283,1)+1,MATCH(AQ288,$A279:$A283,1)),IF(MATCH(AQ285,$B278:$J278,1)&lt;AS287,MATCH(AQ285,$B278:$J278,1)+1,MATCH(AQ285,$B278:$J278,1)))</f>
        <v>7750</v>
      </c>
      <c r="AU294" s="2"/>
      <c r="AV294" s="2"/>
      <c r="AW294" s="2"/>
      <c r="AX294" s="139" t="s">
        <v>205</v>
      </c>
      <c r="AY294" s="140" t="e">
        <f t="array" aca="1" ref="AY294" ca="1">INDEX($B279:$J283,IF(MATCH(AY288,$A279:$A283,1)&lt;BA286,MATCH(AY288,$A279:$A283,1)+1,MATCH(AY288,$A279:$A283,1)),IF(MATCH(AY285,$B278:$J278,1)&lt;BA287,MATCH(AY285,$B278:$J278,1)+1,MATCH(AY285,$B278:$J278,1)))</f>
        <v>#N/A</v>
      </c>
    </row>
    <row r="295" spans="1:53" ht="15" customHeight="1" x14ac:dyDescent="0.3">
      <c r="B295" s="16" t="s">
        <v>206</v>
      </c>
      <c r="C295" s="141">
        <f ca="1">IFERROR(C291+(C285-C286)*(C292-C291)/(C287-C286),C291)</f>
        <v>9769.2307692307695</v>
      </c>
      <c r="G295" s="2"/>
      <c r="H295" s="2"/>
      <c r="I295" s="2"/>
      <c r="J295" s="16" t="s">
        <v>206</v>
      </c>
      <c r="K295" s="141">
        <f ca="1">IFERROR(K291+(K285-K286)*(K292-K291)/(K287-K286),K291)</f>
        <v>9769.2307692307695</v>
      </c>
      <c r="O295" s="2"/>
      <c r="P295" s="2"/>
      <c r="Q295" s="2"/>
      <c r="R295" s="16" t="s">
        <v>206</v>
      </c>
      <c r="S295" s="141">
        <f ca="1">IFERROR(S291+(S285-S286)*(S292-S291)/(S287-S286),S291)</f>
        <v>9769.2307692307695</v>
      </c>
      <c r="W295" s="2"/>
      <c r="X295" s="2"/>
      <c r="Y295" s="2"/>
      <c r="Z295" s="16" t="s">
        <v>206</v>
      </c>
      <c r="AA295" s="141">
        <f ca="1">IFERROR(AA291+(AA285-AA286)*(AA292-AA291)/(AA287-AA286),AA291)</f>
        <v>9769.2307692307695</v>
      </c>
      <c r="AE295" s="2"/>
      <c r="AF295" s="2"/>
      <c r="AG295" s="2"/>
      <c r="AH295" s="16" t="s">
        <v>206</v>
      </c>
      <c r="AI295" s="141">
        <f ca="1">IFERROR(AI291+(AI285-AI286)*(AI292-AI291)/(AI287-AI286),AI291)</f>
        <v>9769.2307692307695</v>
      </c>
      <c r="AM295" s="2"/>
      <c r="AN295" s="2"/>
      <c r="AO295" s="2"/>
      <c r="AP295" s="16" t="s">
        <v>206</v>
      </c>
      <c r="AQ295" s="141">
        <f ca="1">IFERROR(AQ291+(AQ285-AQ286)*(AQ292-AQ291)/(AQ287-AQ286),AQ291)</f>
        <v>9769.2307692307695</v>
      </c>
      <c r="AU295" s="2"/>
      <c r="AV295" s="2"/>
      <c r="AW295" s="2"/>
      <c r="AX295" s="16" t="s">
        <v>206</v>
      </c>
      <c r="AY295" s="141" t="e">
        <f ca="1">IFERROR(AY291+(AY285-AY286)*(AY292-AY291)/(AY287-AY286),AY291)</f>
        <v>#N/A</v>
      </c>
    </row>
    <row r="296" spans="1:53" ht="15" customHeight="1" x14ac:dyDescent="0.3">
      <c r="B296" s="16" t="s">
        <v>207</v>
      </c>
      <c r="C296" s="141">
        <f ca="1">IFERROR(C293+(C285-C286)*(C294-C293)/(C287-C286),C293)</f>
        <v>7700</v>
      </c>
      <c r="G296" s="2"/>
      <c r="H296" s="2"/>
      <c r="I296" s="2"/>
      <c r="J296" s="16" t="s">
        <v>207</v>
      </c>
      <c r="K296" s="141">
        <f ca="1">IFERROR(K293+(K285-K286)*(K294-K293)/(K287-K286),K293)</f>
        <v>7700</v>
      </c>
      <c r="O296" s="2"/>
      <c r="P296" s="2"/>
      <c r="Q296" s="2"/>
      <c r="R296" s="16" t="s">
        <v>207</v>
      </c>
      <c r="S296" s="141">
        <f ca="1">IFERROR(S293+(S285-S286)*(S294-S293)/(S287-S286),S293)</f>
        <v>7700</v>
      </c>
      <c r="W296" s="2"/>
      <c r="X296" s="2"/>
      <c r="Y296" s="2"/>
      <c r="Z296" s="16" t="s">
        <v>207</v>
      </c>
      <c r="AA296" s="141">
        <f ca="1">IFERROR(AA293+(AA285-AA286)*(AA294-AA293)/(AA287-AA286),AA293)</f>
        <v>7700</v>
      </c>
      <c r="AE296" s="2"/>
      <c r="AF296" s="2"/>
      <c r="AG296" s="2"/>
      <c r="AH296" s="16" t="s">
        <v>207</v>
      </c>
      <c r="AI296" s="141">
        <f ca="1">IFERROR(AI293+(AI285-AI286)*(AI294-AI293)/(AI287-AI286),AI293)</f>
        <v>7700</v>
      </c>
      <c r="AM296" s="2"/>
      <c r="AN296" s="2"/>
      <c r="AO296" s="2"/>
      <c r="AP296" s="16" t="s">
        <v>207</v>
      </c>
      <c r="AQ296" s="141">
        <f ca="1">IFERROR(AQ293+(AQ285-AQ286)*(AQ294-AQ293)/(AQ287-AQ286),AQ293)</f>
        <v>7700</v>
      </c>
      <c r="AU296" s="2"/>
      <c r="AV296" s="2"/>
      <c r="AW296" s="2"/>
      <c r="AX296" s="16" t="s">
        <v>207</v>
      </c>
      <c r="AY296" s="141" t="e">
        <f ca="1">IFERROR(AY293+(AY285-AY286)*(AY294-AY293)/(AY287-AY286),AY293)</f>
        <v>#N/A</v>
      </c>
    </row>
    <row r="297" spans="1:53" ht="15" customHeight="1" x14ac:dyDescent="0.3">
      <c r="B297" s="139" t="s">
        <v>208</v>
      </c>
      <c r="C297" s="140">
        <f ca="1">IFERROR(C295+(C288-C289)*(C296-C295)/(C290-C289),C295)</f>
        <v>8195.4030229863347</v>
      </c>
      <c r="G297" s="2"/>
      <c r="H297" s="2"/>
      <c r="I297" s="2"/>
      <c r="J297" s="139" t="s">
        <v>208</v>
      </c>
      <c r="K297" s="140">
        <f ca="1">IFERROR(K295+(K288-K289)*(K296-K295)/(K290-K289),K295)</f>
        <v>8195.4030229863347</v>
      </c>
      <c r="O297" s="2"/>
      <c r="P297" s="2"/>
      <c r="Q297" s="2"/>
      <c r="R297" s="139" t="s">
        <v>208</v>
      </c>
      <c r="S297" s="140">
        <f ca="1">IFERROR(S295+(S288-S289)*(S296-S295)/(S290-S289),S295)</f>
        <v>8195.4030229863347</v>
      </c>
      <c r="W297" s="2"/>
      <c r="X297" s="2"/>
      <c r="Y297" s="2"/>
      <c r="Z297" s="139" t="s">
        <v>208</v>
      </c>
      <c r="AA297" s="140">
        <f ca="1">IFERROR(AA295+(AA288-AA289)*(AA296-AA295)/(AA290-AA289),AA295)</f>
        <v>8195.4030229863347</v>
      </c>
      <c r="AE297" s="2"/>
      <c r="AF297" s="2"/>
      <c r="AG297" s="2"/>
      <c r="AH297" s="139" t="s">
        <v>208</v>
      </c>
      <c r="AI297" s="140">
        <f ca="1">IFERROR(AI295+(AI288-AI289)*(AI296-AI295)/(AI290-AI289),AI295)</f>
        <v>8195.4030229863347</v>
      </c>
      <c r="AM297" s="2"/>
      <c r="AN297" s="2"/>
      <c r="AO297" s="2"/>
      <c r="AP297" s="139" t="s">
        <v>208</v>
      </c>
      <c r="AQ297" s="140">
        <f ca="1">IFERROR(AQ295+(AQ288-AQ289)*(AQ296-AQ295)/(AQ290-AQ289),AQ295)</f>
        <v>8195.4030229863347</v>
      </c>
      <c r="AU297" s="2"/>
      <c r="AV297" s="2"/>
      <c r="AW297" s="2"/>
      <c r="AX297" s="139" t="s">
        <v>208</v>
      </c>
      <c r="AY297" s="140" t="e">
        <f ca="1">IFERROR(AY295+(AY288-AY289)*(AY296-AY295)/(AY290-AY289),AY295)</f>
        <v>#N/A</v>
      </c>
    </row>
    <row r="298" spans="1:53" ht="15" customHeight="1" x14ac:dyDescent="0.3">
      <c r="B298" s="139"/>
      <c r="C298" s="140"/>
      <c r="G298" s="2"/>
      <c r="H298" s="2"/>
      <c r="I298" s="2"/>
      <c r="J298" s="139"/>
      <c r="K298" s="140"/>
      <c r="O298" s="2"/>
      <c r="P298" s="2"/>
      <c r="Q298" s="2"/>
      <c r="R298" s="139"/>
      <c r="S298" s="140"/>
      <c r="W298" s="2"/>
      <c r="X298" s="2"/>
      <c r="Y298" s="2"/>
      <c r="Z298" s="139"/>
      <c r="AA298" s="140"/>
      <c r="AE298" s="2"/>
      <c r="AF298" s="2"/>
      <c r="AG298" s="2"/>
      <c r="AH298" s="139"/>
      <c r="AI298" s="140"/>
      <c r="AM298" s="2"/>
      <c r="AN298" s="2"/>
      <c r="AO298" s="2"/>
      <c r="AP298" s="139"/>
      <c r="AQ298" s="140"/>
      <c r="AU298" s="2"/>
      <c r="AV298" s="2"/>
      <c r="AW298" s="2"/>
      <c r="AX298" s="139"/>
      <c r="AY298" s="140"/>
    </row>
    <row r="299" spans="1:53" ht="15" customHeight="1" x14ac:dyDescent="0.3">
      <c r="A299" t="s">
        <v>231</v>
      </c>
      <c r="B299" s="355" t="s">
        <v>222</v>
      </c>
      <c r="C299" s="355"/>
      <c r="D299" s="355"/>
      <c r="E299" s="355"/>
      <c r="F299" s="355"/>
      <c r="G299" s="355"/>
      <c r="H299" s="355"/>
      <c r="I299" s="355"/>
      <c r="J299" s="139"/>
      <c r="K299" s="140"/>
      <c r="O299" s="2"/>
      <c r="P299" s="2"/>
      <c r="Q299" s="2"/>
      <c r="R299" s="139"/>
      <c r="S299" s="140"/>
      <c r="W299" s="2"/>
      <c r="X299" s="2"/>
      <c r="Y299" s="2"/>
      <c r="Z299" s="139"/>
      <c r="AA299" s="140"/>
      <c r="AE299" s="2"/>
      <c r="AF299" s="2"/>
      <c r="AG299" s="2"/>
      <c r="AH299" s="139"/>
      <c r="AI299" s="140"/>
      <c r="AM299" s="2"/>
      <c r="AN299" s="2"/>
      <c r="AO299" s="2"/>
      <c r="AP299" s="139"/>
      <c r="AQ299" s="140"/>
      <c r="AU299" s="2"/>
      <c r="AV299" s="2"/>
      <c r="AW299" s="2"/>
      <c r="AX299" s="139"/>
      <c r="AY299" s="140"/>
    </row>
    <row r="300" spans="1:53" ht="15" customHeight="1" x14ac:dyDescent="0.3">
      <c r="A300" t="s">
        <v>35</v>
      </c>
      <c r="B300" s="229">
        <v>2800</v>
      </c>
      <c r="C300" s="230">
        <v>3800</v>
      </c>
      <c r="D300" s="55">
        <v>4800</v>
      </c>
      <c r="E300" s="55">
        <v>5800</v>
      </c>
      <c r="F300" s="55">
        <v>6800</v>
      </c>
      <c r="G300" s="259">
        <v>7800</v>
      </c>
      <c r="H300" s="259">
        <v>8800</v>
      </c>
      <c r="I300" s="231">
        <v>9800</v>
      </c>
      <c r="J300" s="139"/>
      <c r="K300" s="140"/>
      <c r="O300" s="2"/>
      <c r="P300" s="2"/>
      <c r="Q300" s="2"/>
      <c r="R300" s="139"/>
      <c r="S300" s="140"/>
      <c r="W300" s="2"/>
      <c r="X300" s="2"/>
      <c r="Y300" s="2"/>
      <c r="Z300" s="139"/>
      <c r="AA300" s="140"/>
      <c r="AE300" s="2"/>
      <c r="AF300" s="2"/>
      <c r="AG300" s="2"/>
      <c r="AH300" s="139"/>
      <c r="AI300" s="140"/>
      <c r="AM300" s="2"/>
      <c r="AN300" s="2"/>
      <c r="AO300" s="2"/>
      <c r="AP300" s="139"/>
      <c r="AQ300" s="140"/>
      <c r="AU300" s="2"/>
      <c r="AV300" s="2"/>
      <c r="AW300" s="2"/>
      <c r="AX300" s="139"/>
      <c r="AY300" s="140"/>
    </row>
    <row r="301" spans="1:53" ht="15" customHeight="1" x14ac:dyDescent="0.3">
      <c r="A301">
        <v>0</v>
      </c>
      <c r="B301" s="289"/>
      <c r="C301" s="290"/>
      <c r="D301" s="290"/>
      <c r="E301" s="290"/>
      <c r="F301" s="290"/>
      <c r="G301" s="290"/>
      <c r="H301" s="290"/>
      <c r="I301" s="291"/>
      <c r="J301" s="139"/>
      <c r="K301" s="140"/>
      <c r="O301" s="2"/>
      <c r="P301" s="2"/>
      <c r="Q301" s="2"/>
      <c r="R301" s="139"/>
      <c r="S301" s="140"/>
      <c r="W301" s="2"/>
      <c r="X301" s="2"/>
      <c r="Y301" s="2"/>
      <c r="Z301" s="139"/>
      <c r="AA301" s="140"/>
      <c r="AE301" s="2"/>
      <c r="AF301" s="2"/>
      <c r="AG301" s="2"/>
      <c r="AH301" s="139"/>
      <c r="AI301" s="140"/>
      <c r="AM301" s="2"/>
      <c r="AN301" s="2"/>
      <c r="AO301" s="2"/>
      <c r="AP301" s="139"/>
      <c r="AQ301" s="140"/>
      <c r="AU301" s="2"/>
      <c r="AV301" s="2"/>
      <c r="AW301" s="2"/>
      <c r="AX301" s="139"/>
      <c r="AY301" s="140"/>
    </row>
    <row r="302" spans="1:53" ht="15" customHeight="1" x14ac:dyDescent="0.3">
      <c r="B302" s="139"/>
      <c r="C302" s="140"/>
      <c r="G302" s="2"/>
      <c r="H302" s="2"/>
      <c r="I302" s="2"/>
      <c r="J302" s="139"/>
      <c r="K302" s="140"/>
      <c r="O302" s="2"/>
      <c r="P302" s="2"/>
      <c r="Q302" s="2"/>
      <c r="R302" s="139"/>
      <c r="S302" s="140"/>
      <c r="W302" s="2"/>
      <c r="X302" s="2"/>
      <c r="Y302" s="2"/>
      <c r="Z302" s="139"/>
      <c r="AA302" s="140"/>
      <c r="AE302" s="2"/>
      <c r="AF302" s="2"/>
      <c r="AG302" s="2"/>
      <c r="AH302" s="139"/>
      <c r="AI302" s="140"/>
      <c r="AM302" s="2"/>
      <c r="AN302" s="2"/>
      <c r="AO302" s="2"/>
      <c r="AP302" s="139"/>
      <c r="AQ302" s="140"/>
      <c r="AU302" s="2"/>
      <c r="AV302" s="2"/>
      <c r="AW302" s="2"/>
      <c r="AX302" s="139"/>
      <c r="AY302" s="140"/>
    </row>
    <row r="303" spans="1:53" ht="15" customHeight="1" x14ac:dyDescent="0.3">
      <c r="B303" s="139" t="s">
        <v>146</v>
      </c>
      <c r="C303" s="140">
        <f ca="1">C297</f>
        <v>8195.4030229863347</v>
      </c>
      <c r="D303" s="355" t="s">
        <v>201</v>
      </c>
      <c r="E303" s="355"/>
      <c r="G303" s="2"/>
      <c r="H303" s="2"/>
      <c r="I303" s="2"/>
      <c r="J303" s="139" t="s">
        <v>146</v>
      </c>
      <c r="K303" s="140">
        <f ca="1">K297</f>
        <v>8195.4030229863347</v>
      </c>
      <c r="L303" s="355" t="s">
        <v>201</v>
      </c>
      <c r="M303" s="355"/>
      <c r="O303" s="2"/>
      <c r="P303" s="2"/>
      <c r="Q303" s="2"/>
      <c r="R303" s="139" t="s">
        <v>146</v>
      </c>
      <c r="S303" s="140">
        <f ca="1">S297</f>
        <v>8195.4030229863347</v>
      </c>
      <c r="T303" s="355" t="s">
        <v>201</v>
      </c>
      <c r="U303" s="355"/>
      <c r="W303" s="2"/>
      <c r="X303" s="2"/>
      <c r="Y303" s="2"/>
      <c r="Z303" s="139" t="s">
        <v>146</v>
      </c>
      <c r="AA303" s="140">
        <f ca="1">AA297</f>
        <v>8195.4030229863347</v>
      </c>
      <c r="AB303" s="355" t="s">
        <v>201</v>
      </c>
      <c r="AC303" s="355"/>
      <c r="AE303" s="2"/>
      <c r="AF303" s="2"/>
      <c r="AG303" s="2"/>
      <c r="AH303" s="139" t="s">
        <v>146</v>
      </c>
      <c r="AI303" s="140">
        <f ca="1">AI297</f>
        <v>8195.4030229863347</v>
      </c>
      <c r="AJ303" s="355" t="s">
        <v>201</v>
      </c>
      <c r="AK303" s="355"/>
      <c r="AM303" s="2"/>
      <c r="AN303" s="2"/>
      <c r="AO303" s="2"/>
      <c r="AP303" s="139" t="s">
        <v>146</v>
      </c>
      <c r="AQ303" s="140">
        <f ca="1">AQ297</f>
        <v>8195.4030229863347</v>
      </c>
      <c r="AR303" s="355" t="s">
        <v>201</v>
      </c>
      <c r="AS303" s="355"/>
      <c r="AU303" s="2"/>
      <c r="AV303" s="2"/>
      <c r="AW303" s="2"/>
      <c r="AX303" s="139" t="s">
        <v>146</v>
      </c>
      <c r="AY303" s="140" t="e">
        <f ca="1">AY297</f>
        <v>#N/A</v>
      </c>
      <c r="AZ303" s="355" t="s">
        <v>201</v>
      </c>
      <c r="BA303" s="355"/>
    </row>
    <row r="304" spans="1:53" ht="15" customHeight="1" x14ac:dyDescent="0.3">
      <c r="B304" s="16" t="s">
        <v>202</v>
      </c>
      <c r="C304" s="141">
        <f t="array" aca="1" ref="C304" ca="1">INDEX($B300:$I300,MATCH(C303,$B300:$I300,1))</f>
        <v>7800</v>
      </c>
      <c r="D304" s="16" t="s">
        <v>144</v>
      </c>
      <c r="E304" s="17">
        <f>MATCH(MAX($A$89),$A$89,1)</f>
        <v>1</v>
      </c>
      <c r="G304" s="2"/>
      <c r="H304" s="2"/>
      <c r="I304" s="2"/>
      <c r="J304" s="16" t="s">
        <v>202</v>
      </c>
      <c r="K304" s="141">
        <f t="array" aca="1" ref="K304" ca="1">INDEX($B300:$I300,MATCH(K303,$B300:$I300,1))</f>
        <v>7800</v>
      </c>
      <c r="L304" s="16" t="s">
        <v>144</v>
      </c>
      <c r="M304" s="17">
        <f>MATCH(MAX($A$89),$A$89,1)</f>
        <v>1</v>
      </c>
      <c r="O304" s="2"/>
      <c r="P304" s="2"/>
      <c r="Q304" s="2"/>
      <c r="R304" s="16" t="s">
        <v>202</v>
      </c>
      <c r="S304" s="141">
        <f t="array" aca="1" ref="S304" ca="1">INDEX($B300:$I300,MATCH(S303,$B300:$I300,1))</f>
        <v>7800</v>
      </c>
      <c r="T304" s="16" t="s">
        <v>144</v>
      </c>
      <c r="U304" s="17">
        <f>MATCH(MAX($A$89),$A$89,1)</f>
        <v>1</v>
      </c>
      <c r="W304" s="2"/>
      <c r="X304" s="2"/>
      <c r="Y304" s="2"/>
      <c r="Z304" s="16" t="s">
        <v>202</v>
      </c>
      <c r="AA304" s="141">
        <f t="array" aca="1" ref="AA304" ca="1">INDEX($B300:$I300,MATCH(AA303,$B300:$I300,1))</f>
        <v>7800</v>
      </c>
      <c r="AB304" s="16" t="s">
        <v>144</v>
      </c>
      <c r="AC304" s="17">
        <f>MATCH(MAX($A$89),$A$89,1)</f>
        <v>1</v>
      </c>
      <c r="AE304" s="2"/>
      <c r="AF304" s="2"/>
      <c r="AG304" s="2"/>
      <c r="AH304" s="16" t="s">
        <v>202</v>
      </c>
      <c r="AI304" s="141">
        <f t="array" aca="1" ref="AI304" ca="1">INDEX($B300:$I300,MATCH(AI303,$B300:$I300,1))</f>
        <v>7800</v>
      </c>
      <c r="AJ304" s="16" t="s">
        <v>144</v>
      </c>
      <c r="AK304" s="17">
        <f>MATCH(MAX($A$89),$A$89,1)</f>
        <v>1</v>
      </c>
      <c r="AM304" s="2"/>
      <c r="AN304" s="2"/>
      <c r="AO304" s="2"/>
      <c r="AP304" s="16" t="s">
        <v>202</v>
      </c>
      <c r="AQ304" s="141">
        <f t="array" aca="1" ref="AQ304" ca="1">INDEX($B300:$I300,MATCH(AQ303,$B300:$I300,1))</f>
        <v>7800</v>
      </c>
      <c r="AR304" s="16" t="s">
        <v>144</v>
      </c>
      <c r="AS304" s="17">
        <f>MATCH(MAX($A$89),$A$89,1)</f>
        <v>1</v>
      </c>
      <c r="AU304" s="2"/>
      <c r="AV304" s="2"/>
      <c r="AW304" s="2"/>
      <c r="AX304" s="16" t="s">
        <v>202</v>
      </c>
      <c r="AY304" s="141" t="e">
        <f t="array" aca="1" ref="AY304" ca="1">INDEX($B300:$I300,MATCH(AY303,$B300:$I300,1))</f>
        <v>#N/A</v>
      </c>
      <c r="AZ304" s="16" t="s">
        <v>144</v>
      </c>
      <c r="BA304" s="17">
        <f>MATCH(MAX($A$89),$A$89,1)</f>
        <v>1</v>
      </c>
    </row>
    <row r="305" spans="1:55" ht="15" customHeight="1" x14ac:dyDescent="0.3">
      <c r="B305" s="16" t="s">
        <v>203</v>
      </c>
      <c r="C305" s="141">
        <f t="array" aca="1" ref="C305" ca="1">INDEX($B300:$I300,IF(MATCH(C303,$B300:$I300,1)&lt;E305,MATCH(C303,$B300:$I300,1)+1,MATCH(C303,$B300:$I300,1)))</f>
        <v>8800</v>
      </c>
      <c r="D305" s="16" t="s">
        <v>145</v>
      </c>
      <c r="E305" s="17">
        <f>MATCH(MAX($B$88:$I$88),$B$88:$I$88,0)</f>
        <v>8</v>
      </c>
      <c r="G305" s="2"/>
      <c r="H305" s="2"/>
      <c r="I305" s="2"/>
      <c r="J305" s="16" t="s">
        <v>203</v>
      </c>
      <c r="K305" s="141">
        <f t="array" aca="1" ref="K305" ca="1">INDEX($B300:$I300,IF(MATCH(K303,$B300:$I300,1)&lt;M305,MATCH(K303,$B300:$I300,1)+1,MATCH(K303,$B300:$I300,1)))</f>
        <v>8800</v>
      </c>
      <c r="L305" s="16" t="s">
        <v>145</v>
      </c>
      <c r="M305" s="17">
        <f>MATCH(MAX($B$88:$I$88),$B$88:$I$88,0)</f>
        <v>8</v>
      </c>
      <c r="O305" s="2"/>
      <c r="P305" s="2"/>
      <c r="Q305" s="2"/>
      <c r="R305" s="16" t="s">
        <v>203</v>
      </c>
      <c r="S305" s="141">
        <f t="array" aca="1" ref="S305" ca="1">INDEX($B300:$I300,IF(MATCH(S303,$B300:$I300,1)&lt;U305,MATCH(S303,$B300:$I300,1)+1,MATCH(S303,$B300:$I300,1)))</f>
        <v>8800</v>
      </c>
      <c r="T305" s="16" t="s">
        <v>145</v>
      </c>
      <c r="U305" s="17">
        <f>MATCH(MAX($B$88:$I$88),$B$88:$I$88,0)</f>
        <v>8</v>
      </c>
      <c r="W305" s="2"/>
      <c r="X305" s="2"/>
      <c r="Y305" s="2"/>
      <c r="Z305" s="16" t="s">
        <v>203</v>
      </c>
      <c r="AA305" s="141">
        <f t="array" aca="1" ref="AA305" ca="1">INDEX($B300:$I300,IF(MATCH(AA303,$B300:$I300,1)&lt;AC305,MATCH(AA303,$B300:$I300,1)+1,MATCH(AA303,$B300:$I300,1)))</f>
        <v>8800</v>
      </c>
      <c r="AB305" s="16" t="s">
        <v>145</v>
      </c>
      <c r="AC305" s="17">
        <f>MATCH(MAX($B$88:$I$88),$B$88:$I$88,0)</f>
        <v>8</v>
      </c>
      <c r="AE305" s="2"/>
      <c r="AF305" s="2"/>
      <c r="AG305" s="2"/>
      <c r="AH305" s="16" t="s">
        <v>203</v>
      </c>
      <c r="AI305" s="141">
        <f t="array" aca="1" ref="AI305" ca="1">INDEX($B300:$I300,IF(MATCH(AI303,$B300:$I300,1)&lt;AK305,MATCH(AI303,$B300:$I300,1)+1,MATCH(AI303,$B300:$I300,1)))</f>
        <v>8800</v>
      </c>
      <c r="AJ305" s="16" t="s">
        <v>145</v>
      </c>
      <c r="AK305" s="17">
        <f>MATCH(MAX($B$88:$I$88),$B$88:$I$88,0)</f>
        <v>8</v>
      </c>
      <c r="AM305" s="2"/>
      <c r="AN305" s="2"/>
      <c r="AO305" s="2"/>
      <c r="AP305" s="16" t="s">
        <v>203</v>
      </c>
      <c r="AQ305" s="141">
        <f t="array" aca="1" ref="AQ305" ca="1">INDEX($B300:$I300,IF(MATCH(AQ303,$B300:$I300,1)&lt;AS305,MATCH(AQ303,$B300:$I300,1)+1,MATCH(AQ303,$B300:$I300,1)))</f>
        <v>8800</v>
      </c>
      <c r="AR305" s="16" t="s">
        <v>145</v>
      </c>
      <c r="AS305" s="17">
        <f>MATCH(MAX($B$88:$I$88),$B$88:$I$88,0)</f>
        <v>8</v>
      </c>
      <c r="AU305" s="2"/>
      <c r="AV305" s="2"/>
      <c r="AW305" s="2"/>
      <c r="AX305" s="16" t="s">
        <v>203</v>
      </c>
      <c r="AY305" s="141" t="e">
        <f t="array" aca="1" ref="AY305" ca="1">INDEX($B300:$I300,IF(MATCH(AY303,$B300:$I300,1)&lt;BA305,MATCH(AY303,$B300:$I300,1)+1,MATCH(AY303,$B300:$I300,1)))</f>
        <v>#N/A</v>
      </c>
      <c r="AZ305" s="16" t="s">
        <v>145</v>
      </c>
      <c r="BA305" s="17">
        <f>MATCH(MAX($B$88:$I$88),$B$88:$I$88,0)</f>
        <v>8</v>
      </c>
    </row>
    <row r="306" spans="1:55" ht="15" customHeight="1" x14ac:dyDescent="0.3">
      <c r="B306" s="139" t="s">
        <v>147</v>
      </c>
      <c r="C306" s="186">
        <f ca="1">'Take-off'!$C$24</f>
        <v>-2.3941410032796808</v>
      </c>
      <c r="D306" s="2"/>
      <c r="E306" s="2"/>
      <c r="G306" s="2"/>
      <c r="H306" s="2"/>
      <c r="I306" s="2"/>
      <c r="J306" s="139" t="s">
        <v>147</v>
      </c>
      <c r="K306" s="186">
        <f ca="1">'Take-off'!$C$24</f>
        <v>-2.3941410032796808</v>
      </c>
      <c r="L306" s="2"/>
      <c r="M306" s="2"/>
      <c r="O306" s="2"/>
      <c r="P306" s="2"/>
      <c r="Q306" s="2"/>
      <c r="R306" s="139" t="s">
        <v>147</v>
      </c>
      <c r="S306" s="186">
        <f ca="1">'Take-off'!$C$24</f>
        <v>-2.3941410032796808</v>
      </c>
      <c r="T306" s="2"/>
      <c r="U306" s="2"/>
      <c r="W306" s="2"/>
      <c r="X306" s="2"/>
      <c r="Y306" s="2"/>
      <c r="Z306" s="139" t="s">
        <v>147</v>
      </c>
      <c r="AA306" s="186">
        <f ca="1">'Take-off'!$C$24</f>
        <v>-2.3941410032796808</v>
      </c>
      <c r="AB306" s="2"/>
      <c r="AC306" s="2"/>
      <c r="AE306" s="2"/>
      <c r="AF306" s="2"/>
      <c r="AG306" s="2"/>
      <c r="AH306" s="139" t="s">
        <v>147</v>
      </c>
      <c r="AI306" s="186">
        <f ca="1">'Take-off'!$C$24</f>
        <v>-2.3941410032796808</v>
      </c>
      <c r="AJ306" s="2"/>
      <c r="AK306" s="2"/>
      <c r="AM306" s="2"/>
      <c r="AN306" s="2"/>
      <c r="AO306" s="2"/>
      <c r="AP306" s="139" t="s">
        <v>147</v>
      </c>
      <c r="AQ306" s="186">
        <f ca="1">'Take-off'!$C$24</f>
        <v>-2.3941410032796808</v>
      </c>
      <c r="AR306" s="2"/>
      <c r="AS306" s="2"/>
      <c r="AU306" s="2"/>
      <c r="AV306" s="2"/>
      <c r="AW306" s="2"/>
      <c r="AX306" s="139" t="s">
        <v>147</v>
      </c>
      <c r="AY306" s="186">
        <f ca="1">'Take-off'!$C$24</f>
        <v>-2.3941410032796808</v>
      </c>
      <c r="AZ306" s="2"/>
      <c r="BA306" s="2"/>
    </row>
    <row r="307" spans="1:55" ht="15" customHeight="1" x14ac:dyDescent="0.3">
      <c r="B307" s="16" t="s">
        <v>148</v>
      </c>
      <c r="C307" s="141" t="e">
        <f t="array" aca="1" ref="C307" ca="1">INDEX($A301,MATCH(C306,$A301,1))</f>
        <v>#N/A</v>
      </c>
      <c r="D307" s="2"/>
      <c r="E307" s="42"/>
      <c r="G307" s="2"/>
      <c r="H307" s="2"/>
      <c r="I307" s="2"/>
      <c r="J307" s="16" t="s">
        <v>148</v>
      </c>
      <c r="K307" s="141" t="e">
        <f t="array" aca="1" ref="K307" ca="1">INDEX($A301,MATCH(K306,$A301,1))</f>
        <v>#N/A</v>
      </c>
      <c r="L307" s="2"/>
      <c r="M307" s="42"/>
      <c r="O307" s="2"/>
      <c r="P307" s="2"/>
      <c r="Q307" s="2"/>
      <c r="R307" s="16" t="s">
        <v>148</v>
      </c>
      <c r="S307" s="141" t="e">
        <f t="array" aca="1" ref="S307" ca="1">INDEX($A301,MATCH(S306,$A301,1))</f>
        <v>#N/A</v>
      </c>
      <c r="T307" s="2"/>
      <c r="U307" s="42"/>
      <c r="W307" s="2"/>
      <c r="X307" s="2"/>
      <c r="Y307" s="2"/>
      <c r="Z307" s="16" t="s">
        <v>148</v>
      </c>
      <c r="AA307" s="141" t="e">
        <f t="array" aca="1" ref="AA307" ca="1">INDEX($A301,MATCH(AA306,$A301,1))</f>
        <v>#N/A</v>
      </c>
      <c r="AB307" s="2"/>
      <c r="AC307" s="42"/>
      <c r="AE307" s="2"/>
      <c r="AF307" s="2"/>
      <c r="AG307" s="2"/>
      <c r="AH307" s="16" t="s">
        <v>148</v>
      </c>
      <c r="AI307" s="141" t="e">
        <f t="array" aca="1" ref="AI307" ca="1">INDEX($A301,MATCH(AI306,$A301,1))</f>
        <v>#N/A</v>
      </c>
      <c r="AJ307" s="2"/>
      <c r="AK307" s="42"/>
      <c r="AM307" s="2"/>
      <c r="AN307" s="2"/>
      <c r="AO307" s="2"/>
      <c r="AP307" s="16" t="s">
        <v>148</v>
      </c>
      <c r="AQ307" s="141" t="e">
        <f t="array" aca="1" ref="AQ307" ca="1">INDEX($A301,MATCH(AQ306,$A301,1))</f>
        <v>#N/A</v>
      </c>
      <c r="AR307" s="2"/>
      <c r="AS307" s="42"/>
      <c r="AU307" s="2"/>
      <c r="AV307" s="2"/>
      <c r="AW307" s="2"/>
      <c r="AX307" s="16" t="s">
        <v>148</v>
      </c>
      <c r="AY307" s="141" t="e">
        <f t="array" aca="1" ref="AY307" ca="1">INDEX($A301,MATCH(AY306,$A301,1))</f>
        <v>#N/A</v>
      </c>
      <c r="AZ307" s="2"/>
      <c r="BA307" s="42"/>
    </row>
    <row r="308" spans="1:55" ht="15" customHeight="1" x14ac:dyDescent="0.3">
      <c r="B308" s="16" t="s">
        <v>149</v>
      </c>
      <c r="C308" s="141" t="e">
        <f t="array" aca="1" ref="C308" ca="1">INDEX($A301,IF(MATCH(C306,$A301,1)&lt;E304,MATCH(C306,$A301,1)+1,MATCH(C306,$A301,1)))</f>
        <v>#N/A</v>
      </c>
      <c r="D308" s="2"/>
      <c r="E308" s="42"/>
      <c r="G308" s="2"/>
      <c r="H308" s="2"/>
      <c r="I308" s="2"/>
      <c r="J308" s="16" t="s">
        <v>149</v>
      </c>
      <c r="K308" s="141" t="e">
        <f t="array" aca="1" ref="K308" ca="1">INDEX($A301,IF(MATCH(K306,$A301,1)&lt;M304,MATCH(K306,$A301,1)+1,MATCH(K306,$A301,1)))</f>
        <v>#N/A</v>
      </c>
      <c r="L308" s="2"/>
      <c r="M308" s="42"/>
      <c r="O308" s="2"/>
      <c r="P308" s="2"/>
      <c r="Q308" s="2"/>
      <c r="R308" s="16" t="s">
        <v>149</v>
      </c>
      <c r="S308" s="141" t="e">
        <f t="array" aca="1" ref="S308" ca="1">INDEX($A301,IF(MATCH(S306,$A301,1)&lt;U304,MATCH(S306,$A301,1)+1,MATCH(S306,$A301,1)))</f>
        <v>#N/A</v>
      </c>
      <c r="T308" s="2"/>
      <c r="U308" s="42"/>
      <c r="W308" s="2"/>
      <c r="X308" s="2"/>
      <c r="Y308" s="2"/>
      <c r="Z308" s="16" t="s">
        <v>149</v>
      </c>
      <c r="AA308" s="141" t="e">
        <f t="array" aca="1" ref="AA308" ca="1">INDEX($A301,IF(MATCH(AA306,$A301,1)&lt;AC304,MATCH(AA306,$A301,1)+1,MATCH(AA306,$A301,1)))</f>
        <v>#N/A</v>
      </c>
      <c r="AB308" s="2"/>
      <c r="AC308" s="42"/>
      <c r="AE308" s="2"/>
      <c r="AF308" s="2"/>
      <c r="AG308" s="2"/>
      <c r="AH308" s="16" t="s">
        <v>149</v>
      </c>
      <c r="AI308" s="141" t="e">
        <f t="array" aca="1" ref="AI308" ca="1">INDEX($A301,IF(MATCH(AI306,$A301,1)&lt;AK304,MATCH(AI306,$A301,1)+1,MATCH(AI306,$A301,1)))</f>
        <v>#N/A</v>
      </c>
      <c r="AJ308" s="2"/>
      <c r="AK308" s="42"/>
      <c r="AM308" s="2"/>
      <c r="AN308" s="2"/>
      <c r="AO308" s="2"/>
      <c r="AP308" s="16" t="s">
        <v>149</v>
      </c>
      <c r="AQ308" s="141" t="e">
        <f t="array" aca="1" ref="AQ308" ca="1">INDEX($A301,IF(MATCH(AQ306,$A301,1)&lt;AS304,MATCH(AQ306,$A301,1)+1,MATCH(AQ306,$A301,1)))</f>
        <v>#N/A</v>
      </c>
      <c r="AR308" s="2"/>
      <c r="AS308" s="42"/>
      <c r="AU308" s="2"/>
      <c r="AV308" s="2"/>
      <c r="AW308" s="2"/>
      <c r="AX308" s="16" t="s">
        <v>149</v>
      </c>
      <c r="AY308" s="141" t="e">
        <f t="array" aca="1" ref="AY308" ca="1">INDEX($A301,IF(MATCH(AY306,$A301,1)&lt;BA304,MATCH(AY306,$A301,1)+1,MATCH(AY306,$A301,1)))</f>
        <v>#N/A</v>
      </c>
      <c r="AZ308" s="2"/>
      <c r="BA308" s="42"/>
    </row>
    <row r="309" spans="1:55" ht="15" customHeight="1" x14ac:dyDescent="0.3">
      <c r="B309" s="139" t="s">
        <v>150</v>
      </c>
      <c r="C309" s="140" t="e">
        <f ca="1">INDEX($B301:$I301,MATCH(C306,$A301,1),MATCH(C303,$B300:$I300,1))</f>
        <v>#N/A</v>
      </c>
      <c r="D309" s="2"/>
      <c r="E309" s="42"/>
      <c r="G309" s="2"/>
      <c r="H309" s="2"/>
      <c r="I309" s="2"/>
      <c r="J309" s="139" t="s">
        <v>150</v>
      </c>
      <c r="K309" s="140" t="e">
        <f ca="1">INDEX($B301:$I301,MATCH(K306,$A301,1),MATCH(K303,$B300:$I300,1))</f>
        <v>#N/A</v>
      </c>
      <c r="L309" s="2"/>
      <c r="M309" s="42"/>
      <c r="O309" s="2"/>
      <c r="P309" s="2"/>
      <c r="Q309" s="2"/>
      <c r="R309" s="139" t="s">
        <v>150</v>
      </c>
      <c r="S309" s="140" t="e">
        <f ca="1">INDEX($B301:$I301,MATCH(S306,$A301,1),MATCH(S303,$B300:$I300,1))</f>
        <v>#N/A</v>
      </c>
      <c r="T309" s="2"/>
      <c r="U309" s="42"/>
      <c r="W309" s="2"/>
      <c r="X309" s="2"/>
      <c r="Y309" s="2"/>
      <c r="Z309" s="139" t="s">
        <v>150</v>
      </c>
      <c r="AA309" s="140" t="e">
        <f ca="1">INDEX($B301:$I301,MATCH(AA306,$A301,1),MATCH(AA303,$B300:$I300,1))</f>
        <v>#N/A</v>
      </c>
      <c r="AB309" s="2"/>
      <c r="AC309" s="42"/>
      <c r="AE309" s="2"/>
      <c r="AF309" s="2"/>
      <c r="AG309" s="2"/>
      <c r="AH309" s="139" t="s">
        <v>150</v>
      </c>
      <c r="AI309" s="140" t="e">
        <f ca="1">INDEX($B301:$I301,MATCH(AI306,$A301,1),MATCH(AI303,$B300:$I300,1))</f>
        <v>#N/A</v>
      </c>
      <c r="AJ309" s="2"/>
      <c r="AK309" s="42"/>
      <c r="AM309" s="2"/>
      <c r="AN309" s="2"/>
      <c r="AO309" s="2"/>
      <c r="AP309" s="139" t="s">
        <v>150</v>
      </c>
      <c r="AQ309" s="140" t="e">
        <f ca="1">INDEX($B301:$I301,MATCH(AQ306,$A301,1),MATCH(AQ303,$B300:$I300,1))</f>
        <v>#N/A</v>
      </c>
      <c r="AR309" s="2"/>
      <c r="AS309" s="42"/>
      <c r="AU309" s="2"/>
      <c r="AV309" s="2"/>
      <c r="AW309" s="2"/>
      <c r="AX309" s="139" t="s">
        <v>150</v>
      </c>
      <c r="AY309" s="140" t="e">
        <f t="array" aca="1" ref="AY309" ca="1">INDEX($B301:$I301,MATCH(AY306,$A301,1),MATCH(AY303,$B300:$I300,1))</f>
        <v>#N/A</v>
      </c>
      <c r="AZ309" s="2"/>
      <c r="BA309" s="42"/>
    </row>
    <row r="310" spans="1:55" ht="15" customHeight="1" x14ac:dyDescent="0.3">
      <c r="B310" s="139" t="s">
        <v>204</v>
      </c>
      <c r="C310" s="140" t="e">
        <f ca="1">INDEX($B301:$I301,MATCH(C306,$A301,1),IF(MATCH(C303,$B300:$I300,1)&lt;E305,MATCH(C303,$B300:$I300,1)+1,MATCH(C306,$A301,1)))</f>
        <v>#N/A</v>
      </c>
      <c r="E310" s="42"/>
      <c r="G310" s="2"/>
      <c r="H310" s="2"/>
      <c r="I310" s="2"/>
      <c r="J310" s="139" t="s">
        <v>204</v>
      </c>
      <c r="K310" s="140" t="e">
        <f ca="1">INDEX($B301:$I301,MATCH(K306,$A301,1),IF(MATCH(K303,$B300:$I300,1)&lt;M305,MATCH(K303,$B300:$I300,1)+1,MATCH(K306,$A301,1)))</f>
        <v>#N/A</v>
      </c>
      <c r="M310" s="42"/>
      <c r="O310" s="2"/>
      <c r="P310" s="2"/>
      <c r="Q310" s="2"/>
      <c r="R310" s="139" t="s">
        <v>204</v>
      </c>
      <c r="S310" s="140" t="e">
        <f ca="1">INDEX($B301:$I301,MATCH(S306,$A301,1),IF(MATCH(S303,$B300:$I300,1)&lt;U305,MATCH(S303,$B300:$I300,1)+1,MATCH(S306,$A301,1)))</f>
        <v>#N/A</v>
      </c>
      <c r="U310" s="42"/>
      <c r="W310" s="2"/>
      <c r="X310" s="2"/>
      <c r="Y310" s="2"/>
      <c r="Z310" s="139" t="s">
        <v>204</v>
      </c>
      <c r="AA310" s="140" t="e">
        <f ca="1">INDEX($B301:$I301,MATCH(AA306,$A301,1),IF(MATCH(AA303,$B300:$I300,1)&lt;AC305,MATCH(AA303,$B300:$I300,1)+1,MATCH(AA306,$A301,1)))</f>
        <v>#N/A</v>
      </c>
      <c r="AC310" s="42"/>
      <c r="AE310" s="2"/>
      <c r="AF310" s="2"/>
      <c r="AG310" s="2"/>
      <c r="AH310" s="139" t="s">
        <v>204</v>
      </c>
      <c r="AI310" s="140" t="e">
        <f ca="1">INDEX($B301:$I301,MATCH(AI306,$A301,1),IF(MATCH(AI303,$B300:$I300,1)&lt;AK305,MATCH(AI303,$B300:$I300,1)+1,MATCH(AI306,$A301,1)))</f>
        <v>#N/A</v>
      </c>
      <c r="AK310" s="42"/>
      <c r="AM310" s="2"/>
      <c r="AN310" s="2"/>
      <c r="AO310" s="2"/>
      <c r="AP310" s="139" t="s">
        <v>204</v>
      </c>
      <c r="AQ310" s="140" t="e">
        <f ca="1">INDEX($B301:$I301,MATCH(AQ306,$A301,1),IF(MATCH(AQ303,$B300:$I300,1)&lt;AS305,MATCH(AQ303,$B300:$I300,1)+1,MATCH(AQ306,$A301,1)))</f>
        <v>#N/A</v>
      </c>
      <c r="AS310" s="42"/>
      <c r="AU310" s="2"/>
      <c r="AV310" s="2"/>
      <c r="AW310" s="2"/>
      <c r="AX310" s="139" t="s">
        <v>204</v>
      </c>
      <c r="AY310" s="140" t="e">
        <f t="array" aca="1" ref="AY310" ca="1">INDEX($B301:$I301,MATCH(AY306,$A301,1),IF(MATCH(AY303,$B300:$I300,1)&lt;BA305,MATCH(AY303,$B300:$I300,1)+1,MATCH(AY306,$A301,1)))</f>
        <v>#N/A</v>
      </c>
      <c r="BA310" s="42"/>
    </row>
    <row r="311" spans="1:55" ht="15" customHeight="1" x14ac:dyDescent="0.3">
      <c r="B311" s="139" t="s">
        <v>151</v>
      </c>
      <c r="C311" s="140" t="e">
        <f ca="1">INDEX($B301:$I301,IF(MATCH(C306,$A301,1)&lt;E304,MATCH(C306,$A301,1)+1,MATCH(C306,$A301,1)),MATCH(C303,$B300:$I300,1))</f>
        <v>#N/A</v>
      </c>
      <c r="E311" s="42"/>
      <c r="G311" s="2"/>
      <c r="H311" s="2"/>
      <c r="I311" s="2"/>
      <c r="J311" s="139" t="s">
        <v>151</v>
      </c>
      <c r="K311" s="140" t="e">
        <f ca="1">INDEX($B301:$I301,IF(MATCH(K306,$A301,1)&lt;M304,MATCH(K306,$A301,1)+1,MATCH(K306,$A301,1)),MATCH(K303,$B300:$I300,1))</f>
        <v>#N/A</v>
      </c>
      <c r="M311" s="42"/>
      <c r="O311" s="2"/>
      <c r="P311" s="2"/>
      <c r="Q311" s="2"/>
      <c r="R311" s="139" t="s">
        <v>151</v>
      </c>
      <c r="S311" s="140" t="e">
        <f ca="1">INDEX($B301:$I301,IF(MATCH(S306,$A301,1)&lt;U304,MATCH(S306,$A301,1)+1,MATCH(S306,$A301,1)),MATCH(S303,$B300:$I300,1))</f>
        <v>#N/A</v>
      </c>
      <c r="U311" s="42"/>
      <c r="W311" s="2"/>
      <c r="X311" s="2"/>
      <c r="Y311" s="2"/>
      <c r="Z311" s="139" t="s">
        <v>151</v>
      </c>
      <c r="AA311" s="140" t="e">
        <f ca="1">INDEX($B301:$I301,IF(MATCH(AA306,$A301,1)&lt;AC304,MATCH(AA306,$A301,1)+1,MATCH(AA306,$A301,1)),MATCH(AA303,$B300:$I300,1))</f>
        <v>#N/A</v>
      </c>
      <c r="AC311" s="42"/>
      <c r="AE311" s="2"/>
      <c r="AF311" s="2"/>
      <c r="AG311" s="2"/>
      <c r="AH311" s="139" t="s">
        <v>151</v>
      </c>
      <c r="AI311" s="140" t="e">
        <f ca="1">INDEX($B301:$I301,IF(MATCH(AI306,$A301,1)&lt;AK304,MATCH(AI306,$A301,1)+1,MATCH(AI306,$A301,1)),MATCH(AI303,$B300:$I300,1))</f>
        <v>#N/A</v>
      </c>
      <c r="AK311" s="42"/>
      <c r="AM311" s="2"/>
      <c r="AN311" s="2"/>
      <c r="AO311" s="2"/>
      <c r="AP311" s="139" t="s">
        <v>151</v>
      </c>
      <c r="AQ311" s="140" t="e">
        <f ca="1">INDEX($B301:$I301,IF(MATCH(AQ306,$A301,1)&lt;AS304,MATCH(AQ306,$A301,1)+1,MATCH(AQ306,$A301,1)),MATCH(AQ303,$B300:$I300,1))</f>
        <v>#N/A</v>
      </c>
      <c r="AS311" s="42"/>
      <c r="AU311" s="2"/>
      <c r="AV311" s="2"/>
      <c r="AW311" s="2"/>
      <c r="AX311" s="139" t="s">
        <v>151</v>
      </c>
      <c r="AY311" s="140" t="e">
        <f t="array" aca="1" ref="AY311" ca="1">INDEX($B301:$I301,IF(MATCH(AY306,$A301,1)&lt;BA304,MATCH(AY306,$A301,1)+1,MATCH(AY306,$A301,1)),MATCH(AY303,$B300:$I300,1))</f>
        <v>#N/A</v>
      </c>
      <c r="BA311" s="42"/>
    </row>
    <row r="312" spans="1:55" ht="15" customHeight="1" x14ac:dyDescent="0.3">
      <c r="B312" s="139" t="s">
        <v>205</v>
      </c>
      <c r="C312" s="140" t="e">
        <f ca="1">INDEX($B301:$I301,IF(MATCH(C306,$A301,1)&lt;E304,MATCH(C306,$A301,1)+1,MATCH(C306,$A301,1)),IF(MATCH(C303,$B300:$I300,1)&lt;E305,MATCH(C303,$B300:$I300,1)+1,MATCH(C303,$B300:$I300,1)))</f>
        <v>#N/A</v>
      </c>
      <c r="G312" s="2"/>
      <c r="H312" s="2"/>
      <c r="I312" s="2"/>
      <c r="J312" s="139" t="s">
        <v>205</v>
      </c>
      <c r="K312" s="140" t="e">
        <f ca="1">INDEX($B301:$I301,IF(MATCH(K306,$A301,1)&lt;M304,MATCH(K306,$A301,1)+1,MATCH(K306,$A301,1)),IF(MATCH(K303,$B300:$I300,1)&lt;M305,MATCH(K303,$B300:$I300,1)+1,MATCH(K303,$B300:$I300,1)))</f>
        <v>#N/A</v>
      </c>
      <c r="O312" s="2"/>
      <c r="P312" s="2"/>
      <c r="Q312" s="2"/>
      <c r="R312" s="139" t="s">
        <v>205</v>
      </c>
      <c r="S312" s="140" t="e">
        <f ca="1">INDEX($B301:$I301,IF(MATCH(S306,$A301,1)&lt;U304,MATCH(S306,$A301,1)+1,MATCH(S306,$A301,1)),IF(MATCH(S303,$B300:$I300,1)&lt;U305,MATCH(S303,$B300:$I300,1)+1,MATCH(S303,$B300:$I300,1)))</f>
        <v>#N/A</v>
      </c>
      <c r="W312" s="2"/>
      <c r="X312" s="2"/>
      <c r="Y312" s="2"/>
      <c r="Z312" s="139" t="s">
        <v>205</v>
      </c>
      <c r="AA312" s="140" t="e">
        <f ca="1">INDEX($B301:$I301,IF(MATCH(AA306,$A301,1)&lt;AC304,MATCH(AA306,$A301,1)+1,MATCH(AA306,$A301,1)),IF(MATCH(AA303,$B300:$I300,1)&lt;AC305,MATCH(AA303,$B300:$I300,1)+1,MATCH(AA303,$B300:$I300,1)))</f>
        <v>#N/A</v>
      </c>
      <c r="AE312" s="2"/>
      <c r="AF312" s="2"/>
      <c r="AG312" s="2"/>
      <c r="AH312" s="139" t="s">
        <v>205</v>
      </c>
      <c r="AI312" s="140" t="e">
        <f ca="1">INDEX($B301:$I301,IF(MATCH(AI306,$A301,1)&lt;AK304,MATCH(AI306,$A301,1)+1,MATCH(AI306,$A301,1)),IF(MATCH(AI303,$B300:$I300,1)&lt;AK305,MATCH(AI303,$B300:$I300,1)+1,MATCH(AI303,$B300:$I300,1)))</f>
        <v>#N/A</v>
      </c>
      <c r="AM312" s="2"/>
      <c r="AN312" s="2"/>
      <c r="AO312" s="2"/>
      <c r="AP312" s="139" t="s">
        <v>205</v>
      </c>
      <c r="AQ312" s="140" t="e">
        <f ca="1">INDEX($B301:$I301,IF(MATCH(AQ306,$A301,1)&lt;AS304,MATCH(AQ306,$A301,1)+1,MATCH(AQ306,$A301,1)),IF(MATCH(AQ303,$B300:$I300,1)&lt;AS305,MATCH(AQ303,$B300:$I300,1)+1,MATCH(AQ303,$B300:$I300,1)))</f>
        <v>#N/A</v>
      </c>
      <c r="AU312" s="2"/>
      <c r="AV312" s="2"/>
      <c r="AW312" s="2"/>
      <c r="AX312" s="139" t="s">
        <v>205</v>
      </c>
      <c r="AY312" s="140" t="e">
        <f t="array" aca="1" ref="AY312" ca="1">INDEX($B301:$I301,IF(MATCH(AY306,$A301,1)&lt;BA304,MATCH(AY306,$A301,1)+1,MATCH(AY306,$A301,1)),IF(MATCH(AY303,$B300:$I300,1)&lt;BA305,MATCH(AY303,$B300:$I300,1)+1,MATCH(AY303,$B300:$I300,1)))</f>
        <v>#N/A</v>
      </c>
    </row>
    <row r="313" spans="1:55" ht="15" customHeight="1" x14ac:dyDescent="0.3">
      <c r="B313" s="16" t="s">
        <v>206</v>
      </c>
      <c r="C313" s="141" t="e">
        <f ca="1">IFERROR(C309+(C303-C304)*(C310-C309)/(C305-C304),C309)</f>
        <v>#N/A</v>
      </c>
      <c r="G313" s="2"/>
      <c r="H313" s="2"/>
      <c r="I313" s="2"/>
      <c r="J313" s="16" t="s">
        <v>206</v>
      </c>
      <c r="K313" s="141" t="e">
        <f ca="1">IFERROR(K309+(K303-K304)*(K310-K309)/(K305-K304),K309)</f>
        <v>#N/A</v>
      </c>
      <c r="O313" s="2"/>
      <c r="P313" s="2"/>
      <c r="Q313" s="2"/>
      <c r="R313" s="16" t="s">
        <v>206</v>
      </c>
      <c r="S313" s="141" t="e">
        <f ca="1">IFERROR(S309+(S303-S304)*(S310-S309)/(S305-S304),S309)</f>
        <v>#N/A</v>
      </c>
      <c r="W313" s="2"/>
      <c r="X313" s="2"/>
      <c r="Y313" s="2"/>
      <c r="Z313" s="16" t="s">
        <v>206</v>
      </c>
      <c r="AA313" s="141" t="e">
        <f ca="1">IFERROR(AA309+(AA303-AA304)*(AA310-AA309)/(AA305-AA304),AA309)</f>
        <v>#N/A</v>
      </c>
      <c r="AE313" s="2"/>
      <c r="AF313" s="2"/>
      <c r="AG313" s="2"/>
      <c r="AH313" s="16" t="s">
        <v>206</v>
      </c>
      <c r="AI313" s="141" t="e">
        <f ca="1">IFERROR(AI309+(AI303-AI304)*(AI310-AI309)/(AI305-AI304),AI309)</f>
        <v>#N/A</v>
      </c>
      <c r="AM313" s="2"/>
      <c r="AN313" s="2"/>
      <c r="AO313" s="2"/>
      <c r="AP313" s="16" t="s">
        <v>206</v>
      </c>
      <c r="AQ313" s="141" t="e">
        <f ca="1">IFERROR(AQ309+(AQ303-AQ304)*(AQ310-AQ309)/(AQ305-AQ304),AQ309)</f>
        <v>#N/A</v>
      </c>
      <c r="AU313" s="2"/>
      <c r="AV313" s="2"/>
      <c r="AW313" s="2"/>
      <c r="AX313" s="16" t="s">
        <v>206</v>
      </c>
      <c r="AY313" s="141" t="e">
        <f ca="1">IFERROR(AY309+(AY303-AY304)*(AY310-AY309)/(AY305-AY304),AY309)</f>
        <v>#N/A</v>
      </c>
    </row>
    <row r="314" spans="1:55" ht="15" customHeight="1" x14ac:dyDescent="0.3">
      <c r="B314" s="16" t="s">
        <v>207</v>
      </c>
      <c r="C314" s="141" t="e">
        <f ca="1">IFERROR(C311+(C303-C304)*(C312-C311)/(C305-C304),C311)</f>
        <v>#N/A</v>
      </c>
      <c r="G314" s="2"/>
      <c r="H314" s="2"/>
      <c r="I314" s="2"/>
      <c r="J314" s="16" t="s">
        <v>207</v>
      </c>
      <c r="K314" s="141" t="e">
        <f ca="1">IFERROR(K311+(K303-K304)*(K312-K311)/(K305-K304),K311)</f>
        <v>#N/A</v>
      </c>
      <c r="O314" s="2"/>
      <c r="P314" s="2"/>
      <c r="Q314" s="2"/>
      <c r="R314" s="16" t="s">
        <v>207</v>
      </c>
      <c r="S314" s="141" t="e">
        <f ca="1">IFERROR(S311+(S303-S304)*(S312-S311)/(S305-S304),S311)</f>
        <v>#N/A</v>
      </c>
      <c r="W314" s="2"/>
      <c r="X314" s="2"/>
      <c r="Y314" s="2"/>
      <c r="Z314" s="16" t="s">
        <v>207</v>
      </c>
      <c r="AA314" s="141" t="e">
        <f ca="1">IFERROR(AA311+(AA303-AA304)*(AA312-AA311)/(AA305-AA304),AA311)</f>
        <v>#N/A</v>
      </c>
      <c r="AE314" s="2"/>
      <c r="AF314" s="2"/>
      <c r="AG314" s="2"/>
      <c r="AH314" s="16" t="s">
        <v>207</v>
      </c>
      <c r="AI314" s="141" t="e">
        <f ca="1">IFERROR(AI311+(AI303-AI304)*(AI312-AI311)/(AI305-AI304),AI311)</f>
        <v>#N/A</v>
      </c>
      <c r="AM314" s="2"/>
      <c r="AN314" s="2"/>
      <c r="AO314" s="2"/>
      <c r="AP314" s="16" t="s">
        <v>207</v>
      </c>
      <c r="AQ314" s="141" t="e">
        <f ca="1">IFERROR(AQ311+(AQ303-AQ304)*(AQ312-AQ311)/(AQ305-AQ304),AQ311)</f>
        <v>#N/A</v>
      </c>
      <c r="AU314" s="2"/>
      <c r="AV314" s="2"/>
      <c r="AW314" s="2"/>
      <c r="AX314" s="16" t="s">
        <v>207</v>
      </c>
      <c r="AY314" s="141" t="e">
        <f ca="1">IFERROR(AY311+(AY303-AY304)*(AY312-AY311)/(AY305-AY304),AY311)</f>
        <v>#N/A</v>
      </c>
    </row>
    <row r="315" spans="1:55" ht="15" customHeight="1" x14ac:dyDescent="0.3">
      <c r="B315" s="139" t="s">
        <v>208</v>
      </c>
      <c r="C315" s="140" t="e">
        <f ca="1">IFERROR(C313+(C306-C307)*(C314-C313)/(C308-C307),C313)</f>
        <v>#N/A</v>
      </c>
      <c r="G315" s="2"/>
      <c r="H315" s="2"/>
      <c r="I315" s="2"/>
      <c r="J315" s="139" t="s">
        <v>208</v>
      </c>
      <c r="K315" s="140" t="e">
        <f ca="1">IFERROR(K313+(K306-K307)*(K314-K313)/(K308-K307),K313)</f>
        <v>#N/A</v>
      </c>
      <c r="O315" s="2"/>
      <c r="P315" s="2"/>
      <c r="Q315" s="2"/>
      <c r="R315" s="139" t="s">
        <v>208</v>
      </c>
      <c r="S315" s="140" t="e">
        <f ca="1">IFERROR(S313+(S306-S307)*(S314-S313)/(S308-S307),S313)</f>
        <v>#N/A</v>
      </c>
      <c r="W315" s="2"/>
      <c r="X315" s="2"/>
      <c r="Y315" s="2"/>
      <c r="Z315" s="139" t="s">
        <v>208</v>
      </c>
      <c r="AA315" s="140" t="e">
        <f ca="1">IFERROR(AA313+(AA306-AA307)*(AA314-AA313)/(AA308-AA307),AA313)</f>
        <v>#N/A</v>
      </c>
      <c r="AE315" s="2"/>
      <c r="AF315" s="2"/>
      <c r="AG315" s="2"/>
      <c r="AH315" s="139" t="s">
        <v>208</v>
      </c>
      <c r="AI315" s="140" t="e">
        <f ca="1">IFERROR(AI313+(AI306-AI307)*(AI314-AI313)/(AI308-AI307),AI313)</f>
        <v>#N/A</v>
      </c>
      <c r="AM315" s="2"/>
      <c r="AN315" s="2"/>
      <c r="AO315" s="2"/>
      <c r="AP315" s="139" t="s">
        <v>208</v>
      </c>
      <c r="AQ315" s="140" t="e">
        <f ca="1">IFERROR(AQ313+(AQ306-AQ307)*(AQ314-AQ313)/(AQ308-AQ307),AQ313)</f>
        <v>#N/A</v>
      </c>
      <c r="AU315" s="2"/>
      <c r="AV315" s="2"/>
      <c r="AW315" s="2"/>
      <c r="AX315" s="139" t="s">
        <v>208</v>
      </c>
      <c r="AY315" s="140" t="e">
        <f ca="1">IFERROR(AY313+(AY306-AY307)*(AY314-AY313)/(AY308-AY307),AY313)</f>
        <v>#N/A</v>
      </c>
    </row>
    <row r="316" spans="1:55" ht="15" customHeight="1" x14ac:dyDescent="0.3">
      <c r="B316" s="139"/>
      <c r="C316" s="140"/>
      <c r="G316" s="2"/>
      <c r="H316" s="2"/>
      <c r="I316" s="2"/>
      <c r="J316" s="139"/>
      <c r="K316" s="140"/>
      <c r="O316" s="2"/>
      <c r="P316" s="2"/>
      <c r="Q316" s="2"/>
      <c r="R316" s="139"/>
      <c r="S316" s="140"/>
      <c r="W316" s="2"/>
      <c r="X316" s="2"/>
      <c r="Y316" s="2"/>
      <c r="Z316" s="139"/>
      <c r="AA316" s="140"/>
      <c r="AE316" s="2"/>
      <c r="AF316" s="2"/>
      <c r="AG316" s="2"/>
      <c r="AH316" s="139"/>
      <c r="AI316" s="140"/>
      <c r="AM316" s="2"/>
      <c r="AN316" s="2"/>
      <c r="AO316" s="2"/>
      <c r="AP316" s="139"/>
      <c r="AQ316" s="140"/>
      <c r="AU316" s="2"/>
      <c r="AV316" s="2"/>
      <c r="AW316" s="2"/>
      <c r="AX316" s="139"/>
      <c r="AY316" s="140"/>
    </row>
    <row r="317" spans="1:55" ht="15" customHeight="1" x14ac:dyDescent="0.3">
      <c r="B317" s="236"/>
      <c r="C317" s="140"/>
      <c r="G317" s="2"/>
      <c r="H317" s="2"/>
      <c r="I317" s="2"/>
      <c r="J317" s="139"/>
      <c r="K317" s="140"/>
      <c r="O317" s="2"/>
      <c r="P317" s="2"/>
      <c r="Q317" s="2"/>
      <c r="R317" s="139"/>
      <c r="S317" s="140"/>
      <c r="W317" s="2"/>
      <c r="X317" s="2"/>
      <c r="Y317" s="2"/>
      <c r="Z317" s="139"/>
      <c r="AA317" s="140"/>
      <c r="AE317" s="2"/>
      <c r="AF317" s="2"/>
      <c r="AG317" s="2"/>
      <c r="AH317" s="139"/>
      <c r="AI317" s="140"/>
      <c r="AM317" s="2"/>
      <c r="AN317" s="2"/>
      <c r="AO317" s="2"/>
      <c r="AP317" s="139"/>
      <c r="AQ317" s="140"/>
      <c r="AU317" s="2"/>
      <c r="AV317" s="2"/>
      <c r="AW317" s="2"/>
      <c r="AX317" s="139"/>
      <c r="AY317" s="140"/>
    </row>
    <row r="318" spans="1:55" ht="15" customHeight="1" x14ac:dyDescent="0.3">
      <c r="A318" s="266" t="s">
        <v>186</v>
      </c>
      <c r="B318" s="139"/>
      <c r="C318" s="140"/>
      <c r="G318" s="2"/>
      <c r="H318" s="2"/>
      <c r="I318" s="2"/>
      <c r="J318" s="139"/>
      <c r="K318" s="140"/>
      <c r="O318" s="2"/>
      <c r="P318" s="2"/>
      <c r="Q318" s="2"/>
      <c r="R318" s="139"/>
      <c r="S318" s="140"/>
      <c r="W318" s="2"/>
      <c r="X318" s="2"/>
      <c r="Y318" s="2"/>
      <c r="Z318" s="139"/>
      <c r="AA318" s="140"/>
      <c r="AE318" s="2"/>
      <c r="AF318" s="2"/>
      <c r="AG318" s="2"/>
      <c r="AH318" s="139"/>
      <c r="AI318" s="140"/>
      <c r="AM318" s="2"/>
      <c r="AN318" s="2"/>
      <c r="AO318" s="2"/>
      <c r="AP318" s="139"/>
      <c r="AQ318" s="140"/>
      <c r="AU318" s="2"/>
      <c r="AV318" s="2"/>
      <c r="AW318" s="2"/>
      <c r="AX318" s="139"/>
      <c r="AY318" s="140"/>
    </row>
    <row r="319" spans="1:55" ht="15" customHeight="1" x14ac:dyDescent="0.3">
      <c r="A319" s="356" t="s">
        <v>234</v>
      </c>
      <c r="B319" s="356"/>
      <c r="C319" s="356"/>
      <c r="D319" s="356"/>
      <c r="E319" s="356"/>
      <c r="F319" s="356"/>
      <c r="G319" s="356"/>
      <c r="H319" s="131"/>
      <c r="I319" s="356" t="s">
        <v>234</v>
      </c>
      <c r="J319" s="356"/>
      <c r="K319" s="356"/>
      <c r="L319" s="356"/>
      <c r="M319" s="356"/>
      <c r="N319" s="356"/>
      <c r="O319" s="356"/>
      <c r="P319" s="131"/>
      <c r="Q319" s="356" t="s">
        <v>234</v>
      </c>
      <c r="R319" s="356"/>
      <c r="S319" s="356"/>
      <c r="T319" s="356"/>
      <c r="U319" s="356"/>
      <c r="V319" s="356"/>
      <c r="W319" s="356"/>
      <c r="X319" s="131"/>
      <c r="Y319" s="356" t="s">
        <v>234</v>
      </c>
      <c r="Z319" s="356"/>
      <c r="AA319" s="356"/>
      <c r="AB319" s="356"/>
      <c r="AC319" s="356"/>
      <c r="AD319" s="356"/>
      <c r="AE319" s="356"/>
      <c r="AF319" s="131"/>
      <c r="AG319" s="356" t="s">
        <v>234</v>
      </c>
      <c r="AH319" s="356"/>
      <c r="AI319" s="356"/>
      <c r="AJ319" s="356"/>
      <c r="AK319" s="356"/>
      <c r="AL319" s="356"/>
      <c r="AM319" s="356"/>
      <c r="AN319" s="131"/>
      <c r="AO319" s="356" t="s">
        <v>234</v>
      </c>
      <c r="AP319" s="356"/>
      <c r="AQ319" s="356"/>
      <c r="AR319" s="356"/>
      <c r="AS319" s="356"/>
      <c r="AT319" s="356"/>
      <c r="AU319" s="356"/>
      <c r="AV319" s="240"/>
      <c r="AW319" s="356" t="s">
        <v>234</v>
      </c>
      <c r="AX319" s="356"/>
      <c r="AY319" s="356"/>
      <c r="AZ319" s="356"/>
      <c r="BA319" s="356"/>
      <c r="BB319" s="356"/>
      <c r="BC319" s="356"/>
    </row>
    <row r="320" spans="1:55" ht="15" customHeight="1" x14ac:dyDescent="0.3">
      <c r="A320" s="406" t="s">
        <v>216</v>
      </c>
      <c r="B320" s="406"/>
      <c r="C320" s="406"/>
      <c r="D320" s="406"/>
      <c r="E320" s="406"/>
      <c r="F320" s="406"/>
      <c r="G320" s="406"/>
      <c r="H320" s="131"/>
      <c r="I320" s="406" t="s">
        <v>216</v>
      </c>
      <c r="J320" s="406"/>
      <c r="K320" s="406"/>
      <c r="L320" s="406"/>
      <c r="M320" s="406"/>
      <c r="N320" s="406"/>
      <c r="O320" s="406"/>
      <c r="P320" s="228"/>
      <c r="Q320" s="406" t="s">
        <v>216</v>
      </c>
      <c r="R320" s="406"/>
      <c r="S320" s="406"/>
      <c r="T320" s="406"/>
      <c r="U320" s="406"/>
      <c r="V320" s="406"/>
      <c r="W320" s="406"/>
      <c r="X320" s="131"/>
      <c r="Y320" s="406" t="s">
        <v>216</v>
      </c>
      <c r="Z320" s="406"/>
      <c r="AA320" s="406"/>
      <c r="AB320" s="406"/>
      <c r="AC320" s="406"/>
      <c r="AD320" s="406"/>
      <c r="AE320" s="406"/>
      <c r="AF320" s="131"/>
      <c r="AG320" s="406" t="s">
        <v>216</v>
      </c>
      <c r="AH320" s="406"/>
      <c r="AI320" s="406"/>
      <c r="AJ320" s="406"/>
      <c r="AK320" s="406"/>
      <c r="AL320" s="406"/>
      <c r="AM320" s="406"/>
      <c r="AN320" s="131"/>
      <c r="AO320" s="406" t="s">
        <v>216</v>
      </c>
      <c r="AP320" s="406"/>
      <c r="AQ320" s="406"/>
      <c r="AR320" s="406"/>
      <c r="AS320" s="406"/>
      <c r="AT320" s="406"/>
      <c r="AU320" s="406"/>
      <c r="AV320" s="241"/>
      <c r="AW320" s="406" t="s">
        <v>216</v>
      </c>
      <c r="AX320" s="406"/>
      <c r="AY320" s="406"/>
      <c r="AZ320" s="406"/>
      <c r="BA320" s="406"/>
      <c r="BB320" s="406"/>
      <c r="BC320" s="406"/>
    </row>
    <row r="321" spans="1:55" ht="15" customHeight="1" x14ac:dyDescent="0.3">
      <c r="A321" s="2"/>
      <c r="B321" s="2"/>
      <c r="C321" s="51">
        <v>16600</v>
      </c>
      <c r="D321" s="53" t="s">
        <v>29</v>
      </c>
      <c r="E321" s="2"/>
      <c r="F321" s="2"/>
      <c r="G321" s="2"/>
      <c r="H321" s="2"/>
      <c r="I321" s="2"/>
      <c r="J321" s="2"/>
      <c r="K321" s="51">
        <v>16000</v>
      </c>
      <c r="L321" s="53" t="s">
        <v>29</v>
      </c>
      <c r="M321" s="2"/>
      <c r="N321" s="2"/>
      <c r="O321" s="2"/>
      <c r="P321" s="2"/>
      <c r="Q321" s="2"/>
      <c r="R321" s="2"/>
      <c r="S321" s="51">
        <v>15000</v>
      </c>
      <c r="T321" s="53" t="s">
        <v>29</v>
      </c>
      <c r="U321" s="2"/>
      <c r="V321" s="2"/>
      <c r="W321" s="2"/>
      <c r="X321" s="2"/>
      <c r="Y321" s="2"/>
      <c r="Z321" s="2"/>
      <c r="AA321" s="51">
        <v>14000</v>
      </c>
      <c r="AB321" s="53" t="s">
        <v>29</v>
      </c>
      <c r="AC321" s="2"/>
      <c r="AD321" s="2"/>
      <c r="AE321" s="2"/>
      <c r="AF321" s="2"/>
      <c r="AG321" s="2"/>
      <c r="AH321" s="2"/>
      <c r="AI321" s="51">
        <v>13000</v>
      </c>
      <c r="AJ321" s="53" t="s">
        <v>29</v>
      </c>
      <c r="AK321" s="2"/>
      <c r="AL321" s="2"/>
      <c r="AM321" s="2"/>
      <c r="AN321" s="2"/>
      <c r="AO321" s="2"/>
      <c r="AP321" s="2"/>
      <c r="AQ321" s="51">
        <v>12000</v>
      </c>
      <c r="AR321" s="53" t="s">
        <v>29</v>
      </c>
      <c r="AS321" s="2"/>
      <c r="AT321" s="2"/>
      <c r="AU321" s="2"/>
      <c r="AV321" s="242"/>
      <c r="AW321" s="2"/>
      <c r="AX321" s="2"/>
      <c r="AY321" s="51">
        <v>13000</v>
      </c>
      <c r="AZ321" s="53" t="s">
        <v>29</v>
      </c>
      <c r="BA321" s="2"/>
      <c r="BB321" s="2"/>
      <c r="BC321" s="2"/>
    </row>
    <row r="322" spans="1:55" ht="15" customHeight="1" x14ac:dyDescent="0.3">
      <c r="A322" s="412" t="s">
        <v>217</v>
      </c>
      <c r="B322" s="412"/>
      <c r="C322" s="413" t="s">
        <v>218</v>
      </c>
      <c r="D322" s="413"/>
      <c r="E322" s="413"/>
      <c r="F322" s="413"/>
      <c r="G322" s="413"/>
      <c r="H322" s="228"/>
      <c r="I322" s="412" t="s">
        <v>217</v>
      </c>
      <c r="J322" s="412"/>
      <c r="K322" s="413" t="s">
        <v>218</v>
      </c>
      <c r="L322" s="413"/>
      <c r="M322" s="413"/>
      <c r="N322" s="413"/>
      <c r="O322" s="413"/>
      <c r="P322" s="243"/>
      <c r="Q322" s="412" t="s">
        <v>217</v>
      </c>
      <c r="R322" s="412"/>
      <c r="S322" s="413" t="s">
        <v>218</v>
      </c>
      <c r="T322" s="413"/>
      <c r="U322" s="413"/>
      <c r="V322" s="413"/>
      <c r="W322" s="413"/>
      <c r="X322" s="228"/>
      <c r="Y322" s="412" t="s">
        <v>217</v>
      </c>
      <c r="Z322" s="412"/>
      <c r="AA322" s="413" t="s">
        <v>218</v>
      </c>
      <c r="AB322" s="413"/>
      <c r="AC322" s="413"/>
      <c r="AD322" s="413"/>
      <c r="AE322" s="413"/>
      <c r="AF322" s="228"/>
      <c r="AG322" s="412" t="s">
        <v>217</v>
      </c>
      <c r="AH322" s="412"/>
      <c r="AI322" s="413" t="s">
        <v>218</v>
      </c>
      <c r="AJ322" s="413"/>
      <c r="AK322" s="413"/>
      <c r="AL322" s="413"/>
      <c r="AM322" s="413"/>
      <c r="AN322" s="228"/>
      <c r="AO322" s="412" t="s">
        <v>217</v>
      </c>
      <c r="AP322" s="412"/>
      <c r="AQ322" s="413" t="s">
        <v>218</v>
      </c>
      <c r="AR322" s="413"/>
      <c r="AS322" s="413"/>
      <c r="AT322" s="413"/>
      <c r="AU322" s="413"/>
      <c r="AV322" s="244"/>
      <c r="AW322" s="412" t="s">
        <v>217</v>
      </c>
      <c r="AX322" s="412"/>
      <c r="AY322" s="413" t="s">
        <v>218</v>
      </c>
      <c r="AZ322" s="413"/>
      <c r="BA322" s="413"/>
      <c r="BB322" s="413"/>
      <c r="BC322" s="413"/>
    </row>
    <row r="323" spans="1:55" ht="15" customHeight="1" x14ac:dyDescent="0.3">
      <c r="A323" s="412"/>
      <c r="B323" s="412"/>
      <c r="C323" s="413"/>
      <c r="D323" s="413"/>
      <c r="E323" s="413"/>
      <c r="F323" s="413"/>
      <c r="G323" s="413"/>
      <c r="H323" s="228"/>
      <c r="I323" s="412"/>
      <c r="J323" s="412"/>
      <c r="K323" s="413"/>
      <c r="L323" s="413"/>
      <c r="M323" s="413"/>
      <c r="N323" s="413"/>
      <c r="O323" s="413"/>
      <c r="P323" s="243"/>
      <c r="Q323" s="412"/>
      <c r="R323" s="412"/>
      <c r="S323" s="413"/>
      <c r="T323" s="413"/>
      <c r="U323" s="413"/>
      <c r="V323" s="413"/>
      <c r="W323" s="413"/>
      <c r="X323" s="228"/>
      <c r="Y323" s="412"/>
      <c r="Z323" s="412"/>
      <c r="AA323" s="413"/>
      <c r="AB323" s="413"/>
      <c r="AC323" s="413"/>
      <c r="AD323" s="413"/>
      <c r="AE323" s="413"/>
      <c r="AF323" s="228"/>
      <c r="AG323" s="412"/>
      <c r="AH323" s="412"/>
      <c r="AI323" s="413"/>
      <c r="AJ323" s="413"/>
      <c r="AK323" s="413"/>
      <c r="AL323" s="413"/>
      <c r="AM323" s="413"/>
      <c r="AN323" s="228"/>
      <c r="AO323" s="412"/>
      <c r="AP323" s="412"/>
      <c r="AQ323" s="413"/>
      <c r="AR323" s="413"/>
      <c r="AS323" s="413"/>
      <c r="AT323" s="413"/>
      <c r="AU323" s="413"/>
      <c r="AV323" s="244"/>
      <c r="AW323" s="412"/>
      <c r="AX323" s="412"/>
      <c r="AY323" s="413"/>
      <c r="AZ323" s="413"/>
      <c r="BA323" s="413"/>
      <c r="BB323" s="413"/>
      <c r="BC323" s="413"/>
    </row>
    <row r="324" spans="1:55" ht="15" customHeight="1" x14ac:dyDescent="0.3">
      <c r="A324" s="410" t="s">
        <v>10</v>
      </c>
      <c r="B324" s="410"/>
      <c r="C324" s="245">
        <v>0</v>
      </c>
      <c r="D324" s="246">
        <v>1000</v>
      </c>
      <c r="E324" s="246">
        <v>2000</v>
      </c>
      <c r="F324" s="247">
        <v>3000</v>
      </c>
      <c r="G324" s="247">
        <v>4000</v>
      </c>
      <c r="H324" s="243"/>
      <c r="I324" s="410" t="s">
        <v>10</v>
      </c>
      <c r="J324" s="410"/>
      <c r="K324" s="245">
        <v>0</v>
      </c>
      <c r="L324" s="246">
        <v>1000</v>
      </c>
      <c r="M324" s="246">
        <v>2000</v>
      </c>
      <c r="N324" s="247">
        <v>3000</v>
      </c>
      <c r="O324" s="247">
        <v>4000</v>
      </c>
      <c r="P324" s="243"/>
      <c r="Q324" s="410" t="s">
        <v>10</v>
      </c>
      <c r="R324" s="410"/>
      <c r="S324" s="245">
        <v>0</v>
      </c>
      <c r="T324" s="246">
        <v>1000</v>
      </c>
      <c r="U324" s="246">
        <v>2000</v>
      </c>
      <c r="V324" s="247">
        <v>3000</v>
      </c>
      <c r="W324" s="247">
        <v>4000</v>
      </c>
      <c r="X324" s="243"/>
      <c r="Y324" s="410" t="s">
        <v>10</v>
      </c>
      <c r="Z324" s="410"/>
      <c r="AA324" s="245">
        <v>0</v>
      </c>
      <c r="AB324" s="246">
        <v>1000</v>
      </c>
      <c r="AC324" s="246">
        <v>2000</v>
      </c>
      <c r="AD324" s="247">
        <v>3000</v>
      </c>
      <c r="AE324" s="247">
        <v>4000</v>
      </c>
      <c r="AF324" s="243"/>
      <c r="AG324" s="410" t="s">
        <v>10</v>
      </c>
      <c r="AH324" s="410"/>
      <c r="AI324" s="245">
        <v>0</v>
      </c>
      <c r="AJ324" s="246">
        <v>1000</v>
      </c>
      <c r="AK324" s="246">
        <v>2000</v>
      </c>
      <c r="AL324" s="247">
        <v>3000</v>
      </c>
      <c r="AM324" s="247">
        <v>4000</v>
      </c>
      <c r="AN324" s="243"/>
      <c r="AO324" s="410" t="s">
        <v>10</v>
      </c>
      <c r="AP324" s="410"/>
      <c r="AQ324" s="245">
        <v>0</v>
      </c>
      <c r="AR324" s="246">
        <v>1000</v>
      </c>
      <c r="AS324" s="246">
        <v>2000</v>
      </c>
      <c r="AT324" s="247">
        <v>3000</v>
      </c>
      <c r="AU324" s="247">
        <v>4000</v>
      </c>
      <c r="AV324" s="244"/>
      <c r="AW324" s="410" t="s">
        <v>10</v>
      </c>
      <c r="AX324" s="410"/>
      <c r="AY324" s="245">
        <v>0</v>
      </c>
      <c r="AZ324" s="246">
        <v>1000</v>
      </c>
      <c r="BA324" s="246">
        <v>2000</v>
      </c>
      <c r="BB324" s="247">
        <v>3000</v>
      </c>
      <c r="BC324" s="247">
        <v>4000</v>
      </c>
    </row>
    <row r="325" spans="1:55" ht="15" customHeight="1" x14ac:dyDescent="0.3">
      <c r="A325" s="411">
        <v>-30</v>
      </c>
      <c r="B325" s="411"/>
      <c r="C325" s="248">
        <v>108</v>
      </c>
      <c r="D325" s="249">
        <v>108</v>
      </c>
      <c r="E325" s="249">
        <v>108</v>
      </c>
      <c r="F325" s="250">
        <v>109</v>
      </c>
      <c r="G325" s="250">
        <v>99999</v>
      </c>
      <c r="H325" s="2"/>
      <c r="I325" s="411">
        <v>-30</v>
      </c>
      <c r="J325" s="411"/>
      <c r="K325" s="251">
        <v>107</v>
      </c>
      <c r="L325" s="251">
        <v>107</v>
      </c>
      <c r="M325" s="251">
        <v>107</v>
      </c>
      <c r="N325" s="251">
        <v>107</v>
      </c>
      <c r="O325" s="250">
        <v>99999</v>
      </c>
      <c r="P325" s="42"/>
      <c r="Q325" s="411">
        <v>-30</v>
      </c>
      <c r="R325" s="411"/>
      <c r="S325" s="251">
        <v>104</v>
      </c>
      <c r="T325" s="251">
        <v>104</v>
      </c>
      <c r="U325" s="251">
        <v>104</v>
      </c>
      <c r="V325" s="251">
        <v>104</v>
      </c>
      <c r="W325" s="250">
        <v>99999</v>
      </c>
      <c r="X325" s="2"/>
      <c r="Y325" s="411">
        <v>-30</v>
      </c>
      <c r="Z325" s="411"/>
      <c r="AA325" s="251">
        <v>102</v>
      </c>
      <c r="AB325" s="251">
        <v>102</v>
      </c>
      <c r="AC325" s="251">
        <v>102</v>
      </c>
      <c r="AD325" s="251">
        <v>102</v>
      </c>
      <c r="AE325" s="250">
        <v>99999</v>
      </c>
      <c r="AF325" s="2"/>
      <c r="AG325" s="411">
        <v>-30</v>
      </c>
      <c r="AH325" s="411"/>
      <c r="AI325" s="251">
        <v>102</v>
      </c>
      <c r="AJ325" s="251">
        <v>102</v>
      </c>
      <c r="AK325" s="251">
        <v>102</v>
      </c>
      <c r="AL325" s="251">
        <v>102</v>
      </c>
      <c r="AM325" s="250">
        <v>99999</v>
      </c>
      <c r="AN325" s="2"/>
      <c r="AO325" s="411">
        <v>-30</v>
      </c>
      <c r="AP325" s="411"/>
      <c r="AQ325" s="251">
        <v>102</v>
      </c>
      <c r="AR325" s="251">
        <v>102</v>
      </c>
      <c r="AS325" s="251">
        <v>102</v>
      </c>
      <c r="AT325" s="251">
        <v>102</v>
      </c>
      <c r="AU325" s="250">
        <v>99999</v>
      </c>
      <c r="AV325" s="252"/>
      <c r="AW325" s="408">
        <v>0</v>
      </c>
      <c r="AX325" s="408"/>
      <c r="AY325" s="251"/>
      <c r="AZ325" s="251"/>
      <c r="BA325" s="251"/>
      <c r="BB325" s="250"/>
      <c r="BC325" s="250">
        <v>99999</v>
      </c>
    </row>
    <row r="326" spans="1:55" ht="15" customHeight="1" x14ac:dyDescent="0.3">
      <c r="A326" s="408">
        <v>-25</v>
      </c>
      <c r="B326" s="408"/>
      <c r="C326" s="248">
        <v>108</v>
      </c>
      <c r="D326" s="249">
        <v>108</v>
      </c>
      <c r="E326" s="249">
        <v>109</v>
      </c>
      <c r="F326" s="250">
        <v>109</v>
      </c>
      <c r="G326" s="250">
        <v>99999</v>
      </c>
      <c r="H326" s="2"/>
      <c r="I326" s="408">
        <v>-25</v>
      </c>
      <c r="J326" s="408"/>
      <c r="K326" s="251">
        <v>107</v>
      </c>
      <c r="L326" s="251">
        <v>107</v>
      </c>
      <c r="M326" s="251">
        <v>107</v>
      </c>
      <c r="N326" s="251">
        <v>107</v>
      </c>
      <c r="O326" s="250">
        <v>99999</v>
      </c>
      <c r="P326" s="42"/>
      <c r="Q326" s="408">
        <v>-25</v>
      </c>
      <c r="R326" s="408"/>
      <c r="S326" s="251">
        <v>104</v>
      </c>
      <c r="T326" s="251">
        <v>104</v>
      </c>
      <c r="U326" s="251">
        <v>104</v>
      </c>
      <c r="V326" s="251">
        <v>104</v>
      </c>
      <c r="W326" s="250">
        <v>99999</v>
      </c>
      <c r="X326" s="2"/>
      <c r="Y326" s="408">
        <v>-25</v>
      </c>
      <c r="Z326" s="408"/>
      <c r="AA326" s="251">
        <v>102</v>
      </c>
      <c r="AB326" s="251">
        <v>102</v>
      </c>
      <c r="AC326" s="251">
        <v>102</v>
      </c>
      <c r="AD326" s="251">
        <v>102</v>
      </c>
      <c r="AE326" s="250">
        <v>99999</v>
      </c>
      <c r="AF326" s="2"/>
      <c r="AG326" s="408">
        <v>-25</v>
      </c>
      <c r="AH326" s="408"/>
      <c r="AI326" s="251">
        <v>102</v>
      </c>
      <c r="AJ326" s="251">
        <v>102</v>
      </c>
      <c r="AK326" s="251">
        <v>102</v>
      </c>
      <c r="AL326" s="251">
        <v>102</v>
      </c>
      <c r="AM326" s="250">
        <v>99999</v>
      </c>
      <c r="AN326" s="2"/>
      <c r="AO326" s="408">
        <v>-25</v>
      </c>
      <c r="AP326" s="408"/>
      <c r="AQ326" s="251">
        <v>102</v>
      </c>
      <c r="AR326" s="251">
        <v>102</v>
      </c>
      <c r="AS326" s="251">
        <v>102</v>
      </c>
      <c r="AT326" s="251">
        <v>102</v>
      </c>
      <c r="AU326" s="250">
        <v>99999</v>
      </c>
      <c r="AV326" s="252"/>
      <c r="AW326" s="408">
        <v>10</v>
      </c>
      <c r="AX326" s="408"/>
      <c r="AY326" s="251"/>
      <c r="AZ326" s="251"/>
      <c r="BA326" s="251"/>
      <c r="BB326" s="250"/>
      <c r="BC326" s="250">
        <v>99999</v>
      </c>
    </row>
    <row r="327" spans="1:55" ht="15" customHeight="1" x14ac:dyDescent="0.3">
      <c r="A327" s="408">
        <v>-20</v>
      </c>
      <c r="B327" s="408"/>
      <c r="C327" s="248">
        <v>108</v>
      </c>
      <c r="D327" s="249">
        <v>108</v>
      </c>
      <c r="E327" s="249">
        <v>109</v>
      </c>
      <c r="F327" s="250">
        <v>109</v>
      </c>
      <c r="G327" s="250">
        <v>99999</v>
      </c>
      <c r="H327" s="2"/>
      <c r="I327" s="408">
        <v>-20</v>
      </c>
      <c r="J327" s="408"/>
      <c r="K327" s="251">
        <v>107</v>
      </c>
      <c r="L327" s="251">
        <v>107</v>
      </c>
      <c r="M327" s="251">
        <v>107</v>
      </c>
      <c r="N327" s="251">
        <v>107</v>
      </c>
      <c r="O327" s="250">
        <v>99999</v>
      </c>
      <c r="P327" s="42"/>
      <c r="Q327" s="408">
        <v>-20</v>
      </c>
      <c r="R327" s="408"/>
      <c r="S327" s="251">
        <v>104</v>
      </c>
      <c r="T327" s="251">
        <v>104</v>
      </c>
      <c r="U327" s="251">
        <v>104</v>
      </c>
      <c r="V327" s="251">
        <v>104</v>
      </c>
      <c r="W327" s="250">
        <v>99999</v>
      </c>
      <c r="X327" s="2"/>
      <c r="Y327" s="408">
        <v>-20</v>
      </c>
      <c r="Z327" s="408"/>
      <c r="AA327" s="251">
        <v>102</v>
      </c>
      <c r="AB327" s="251">
        <v>102</v>
      </c>
      <c r="AC327" s="251">
        <v>102</v>
      </c>
      <c r="AD327" s="251">
        <v>102</v>
      </c>
      <c r="AE327" s="250">
        <v>99999</v>
      </c>
      <c r="AF327" s="2"/>
      <c r="AG327" s="408">
        <v>-20</v>
      </c>
      <c r="AH327" s="408"/>
      <c r="AI327" s="251">
        <v>102</v>
      </c>
      <c r="AJ327" s="251">
        <v>102</v>
      </c>
      <c r="AK327" s="251">
        <v>102</v>
      </c>
      <c r="AL327" s="251">
        <v>102</v>
      </c>
      <c r="AM327" s="250">
        <v>99999</v>
      </c>
      <c r="AN327" s="2"/>
      <c r="AO327" s="408">
        <v>-20</v>
      </c>
      <c r="AP327" s="408"/>
      <c r="AQ327" s="251">
        <v>102</v>
      </c>
      <c r="AR327" s="251">
        <v>102</v>
      </c>
      <c r="AS327" s="251">
        <v>102</v>
      </c>
      <c r="AT327" s="251">
        <v>102</v>
      </c>
      <c r="AU327" s="250">
        <v>99999</v>
      </c>
      <c r="AV327" s="252"/>
      <c r="AW327" s="253"/>
      <c r="AX327" s="254"/>
      <c r="AY327" s="251"/>
      <c r="AZ327" s="251"/>
      <c r="BA327" s="251"/>
      <c r="BB327" s="250"/>
      <c r="BC327" s="250">
        <v>99999</v>
      </c>
    </row>
    <row r="328" spans="1:55" ht="15" customHeight="1" x14ac:dyDescent="0.3">
      <c r="A328" s="408">
        <v>-15</v>
      </c>
      <c r="B328" s="408"/>
      <c r="C328" s="248">
        <v>108</v>
      </c>
      <c r="D328" s="249">
        <v>109</v>
      </c>
      <c r="E328" s="249">
        <v>109</v>
      </c>
      <c r="F328" s="250">
        <v>110</v>
      </c>
      <c r="G328" s="250">
        <v>99999</v>
      </c>
      <c r="H328" s="2"/>
      <c r="I328" s="408">
        <v>-15</v>
      </c>
      <c r="J328" s="408"/>
      <c r="K328" s="251">
        <v>107</v>
      </c>
      <c r="L328" s="251">
        <v>107</v>
      </c>
      <c r="M328" s="251">
        <v>107</v>
      </c>
      <c r="N328" s="251">
        <v>107</v>
      </c>
      <c r="O328" s="250">
        <v>99999</v>
      </c>
      <c r="P328" s="42"/>
      <c r="Q328" s="408">
        <v>-15</v>
      </c>
      <c r="R328" s="408"/>
      <c r="S328" s="251">
        <v>104</v>
      </c>
      <c r="T328" s="251">
        <v>104</v>
      </c>
      <c r="U328" s="251">
        <v>104</v>
      </c>
      <c r="V328" s="251">
        <v>104</v>
      </c>
      <c r="W328" s="250">
        <v>99999</v>
      </c>
      <c r="X328" s="2"/>
      <c r="Y328" s="408">
        <v>-15</v>
      </c>
      <c r="Z328" s="408"/>
      <c r="AA328" s="251">
        <v>102</v>
      </c>
      <c r="AB328" s="251">
        <v>102</v>
      </c>
      <c r="AC328" s="251">
        <v>102</v>
      </c>
      <c r="AD328" s="251">
        <v>102</v>
      </c>
      <c r="AE328" s="250">
        <v>99999</v>
      </c>
      <c r="AF328" s="2"/>
      <c r="AG328" s="408">
        <v>-15</v>
      </c>
      <c r="AH328" s="408"/>
      <c r="AI328" s="251">
        <v>102</v>
      </c>
      <c r="AJ328" s="251">
        <v>102</v>
      </c>
      <c r="AK328" s="251">
        <v>102</v>
      </c>
      <c r="AL328" s="251">
        <v>102</v>
      </c>
      <c r="AM328" s="250">
        <v>99999</v>
      </c>
      <c r="AN328" s="2"/>
      <c r="AO328" s="408">
        <v>-15</v>
      </c>
      <c r="AP328" s="408"/>
      <c r="AQ328" s="251">
        <v>102</v>
      </c>
      <c r="AR328" s="251">
        <v>102</v>
      </c>
      <c r="AS328" s="251">
        <v>102</v>
      </c>
      <c r="AT328" s="251">
        <v>102</v>
      </c>
      <c r="AU328" s="250">
        <v>99999</v>
      </c>
      <c r="AV328" s="252"/>
      <c r="AW328" s="253"/>
      <c r="AX328" s="254"/>
      <c r="AY328" s="251"/>
      <c r="AZ328" s="251"/>
      <c r="BA328" s="251"/>
      <c r="BB328" s="250"/>
      <c r="BC328" s="250">
        <v>99999</v>
      </c>
    </row>
    <row r="329" spans="1:55" ht="15" customHeight="1" x14ac:dyDescent="0.3">
      <c r="A329" s="408">
        <v>-10</v>
      </c>
      <c r="B329" s="408"/>
      <c r="C329" s="248">
        <v>108</v>
      </c>
      <c r="D329" s="249">
        <v>109</v>
      </c>
      <c r="E329" s="249">
        <v>109</v>
      </c>
      <c r="F329" s="250">
        <v>110</v>
      </c>
      <c r="G329" s="250">
        <v>99999</v>
      </c>
      <c r="H329" s="2"/>
      <c r="I329" s="408">
        <v>-10</v>
      </c>
      <c r="J329" s="408"/>
      <c r="K329" s="251">
        <v>107</v>
      </c>
      <c r="L329" s="251">
        <v>107</v>
      </c>
      <c r="M329" s="251">
        <v>107</v>
      </c>
      <c r="N329" s="251">
        <v>107</v>
      </c>
      <c r="O329" s="250">
        <v>99999</v>
      </c>
      <c r="P329" s="42"/>
      <c r="Q329" s="408">
        <v>-10</v>
      </c>
      <c r="R329" s="408"/>
      <c r="S329" s="251">
        <v>104</v>
      </c>
      <c r="T329" s="251">
        <v>104</v>
      </c>
      <c r="U329" s="251">
        <v>104</v>
      </c>
      <c r="V329" s="251">
        <v>104</v>
      </c>
      <c r="W329" s="250">
        <v>99999</v>
      </c>
      <c r="X329" s="2"/>
      <c r="Y329" s="408">
        <v>-10</v>
      </c>
      <c r="Z329" s="408"/>
      <c r="AA329" s="251">
        <v>102</v>
      </c>
      <c r="AB329" s="251">
        <v>102</v>
      </c>
      <c r="AC329" s="251">
        <v>102</v>
      </c>
      <c r="AD329" s="251">
        <v>102</v>
      </c>
      <c r="AE329" s="250">
        <v>99999</v>
      </c>
      <c r="AF329" s="2"/>
      <c r="AG329" s="408">
        <v>-10</v>
      </c>
      <c r="AH329" s="408"/>
      <c r="AI329" s="251">
        <v>102</v>
      </c>
      <c r="AJ329" s="251">
        <v>102</v>
      </c>
      <c r="AK329" s="251">
        <v>102</v>
      </c>
      <c r="AL329" s="251">
        <v>102</v>
      </c>
      <c r="AM329" s="250">
        <v>99999</v>
      </c>
      <c r="AN329" s="2"/>
      <c r="AO329" s="408">
        <v>-10</v>
      </c>
      <c r="AP329" s="408"/>
      <c r="AQ329" s="251">
        <v>102</v>
      </c>
      <c r="AR329" s="251">
        <v>102</v>
      </c>
      <c r="AS329" s="251">
        <v>102</v>
      </c>
      <c r="AT329" s="251">
        <v>102</v>
      </c>
      <c r="AU329" s="250">
        <v>99999</v>
      </c>
      <c r="AV329" s="252"/>
      <c r="AW329" s="253"/>
      <c r="AX329" s="254"/>
      <c r="AY329" s="251"/>
      <c r="AZ329" s="251"/>
      <c r="BA329" s="251"/>
      <c r="BB329" s="250"/>
      <c r="BC329" s="250">
        <v>99999</v>
      </c>
    </row>
    <row r="330" spans="1:55" ht="15" customHeight="1" x14ac:dyDescent="0.3">
      <c r="A330" s="408">
        <v>-5</v>
      </c>
      <c r="B330" s="408"/>
      <c r="C330" s="248">
        <v>109</v>
      </c>
      <c r="D330" s="249">
        <v>109</v>
      </c>
      <c r="E330" s="249">
        <v>110</v>
      </c>
      <c r="F330" s="250">
        <v>110</v>
      </c>
      <c r="G330" s="250">
        <v>99999</v>
      </c>
      <c r="H330" s="2"/>
      <c r="I330" s="408">
        <v>-5</v>
      </c>
      <c r="J330" s="408"/>
      <c r="K330" s="251">
        <v>107</v>
      </c>
      <c r="L330" s="251">
        <v>107</v>
      </c>
      <c r="M330" s="251">
        <v>107</v>
      </c>
      <c r="N330" s="251">
        <v>107</v>
      </c>
      <c r="O330" s="250">
        <v>99999</v>
      </c>
      <c r="P330" s="42"/>
      <c r="Q330" s="408">
        <v>-5</v>
      </c>
      <c r="R330" s="408"/>
      <c r="S330" s="251">
        <v>104</v>
      </c>
      <c r="T330" s="251">
        <v>104</v>
      </c>
      <c r="U330" s="251">
        <v>104</v>
      </c>
      <c r="V330" s="251">
        <v>104</v>
      </c>
      <c r="W330" s="250">
        <v>99999</v>
      </c>
      <c r="X330" s="2"/>
      <c r="Y330" s="408">
        <v>-5</v>
      </c>
      <c r="Z330" s="408"/>
      <c r="AA330" s="251">
        <v>102</v>
      </c>
      <c r="AB330" s="251">
        <v>102</v>
      </c>
      <c r="AC330" s="251">
        <v>102</v>
      </c>
      <c r="AD330" s="251">
        <v>102</v>
      </c>
      <c r="AE330" s="250">
        <v>99999</v>
      </c>
      <c r="AF330" s="2"/>
      <c r="AG330" s="408">
        <v>-5</v>
      </c>
      <c r="AH330" s="408"/>
      <c r="AI330" s="251">
        <v>102</v>
      </c>
      <c r="AJ330" s="251">
        <v>102</v>
      </c>
      <c r="AK330" s="251">
        <v>102</v>
      </c>
      <c r="AL330" s="251">
        <v>102</v>
      </c>
      <c r="AM330" s="250">
        <v>99999</v>
      </c>
      <c r="AN330" s="2"/>
      <c r="AO330" s="408">
        <v>-5</v>
      </c>
      <c r="AP330" s="408"/>
      <c r="AQ330" s="251">
        <v>102</v>
      </c>
      <c r="AR330" s="251">
        <v>102</v>
      </c>
      <c r="AS330" s="251">
        <v>102</v>
      </c>
      <c r="AT330" s="251">
        <v>102</v>
      </c>
      <c r="AU330" s="250">
        <v>99999</v>
      </c>
      <c r="AV330" s="252"/>
      <c r="AW330" s="253"/>
      <c r="AX330" s="254"/>
      <c r="AY330" s="251"/>
      <c r="AZ330" s="251"/>
      <c r="BA330" s="251"/>
      <c r="BB330" s="250"/>
      <c r="BC330" s="250">
        <v>99999</v>
      </c>
    </row>
    <row r="331" spans="1:55" ht="15" customHeight="1" x14ac:dyDescent="0.3">
      <c r="A331" s="408">
        <v>0</v>
      </c>
      <c r="B331" s="408"/>
      <c r="C331" s="248">
        <v>109</v>
      </c>
      <c r="D331" s="249">
        <v>109</v>
      </c>
      <c r="E331" s="249">
        <v>110</v>
      </c>
      <c r="F331" s="250">
        <v>110</v>
      </c>
      <c r="G331" s="250">
        <v>99999</v>
      </c>
      <c r="H331" s="2"/>
      <c r="I331" s="408">
        <v>0</v>
      </c>
      <c r="J331" s="408"/>
      <c r="K331" s="251">
        <v>107</v>
      </c>
      <c r="L331" s="251">
        <v>107</v>
      </c>
      <c r="M331" s="251">
        <v>107</v>
      </c>
      <c r="N331" s="251">
        <v>108</v>
      </c>
      <c r="O331" s="250">
        <v>99999</v>
      </c>
      <c r="P331" s="42"/>
      <c r="Q331" s="408">
        <v>0</v>
      </c>
      <c r="R331" s="408"/>
      <c r="S331" s="251">
        <v>104</v>
      </c>
      <c r="T331" s="251">
        <v>104</v>
      </c>
      <c r="U331" s="251">
        <v>104</v>
      </c>
      <c r="V331" s="251">
        <v>104</v>
      </c>
      <c r="W331" s="250">
        <v>99999</v>
      </c>
      <c r="X331" s="2"/>
      <c r="Y331" s="408">
        <v>0</v>
      </c>
      <c r="Z331" s="408"/>
      <c r="AA331" s="251">
        <v>102</v>
      </c>
      <c r="AB331" s="251">
        <v>102</v>
      </c>
      <c r="AC331" s="251">
        <v>102</v>
      </c>
      <c r="AD331" s="251">
        <v>102</v>
      </c>
      <c r="AE331" s="250">
        <v>99999</v>
      </c>
      <c r="AF331" s="2"/>
      <c r="AG331" s="408">
        <v>0</v>
      </c>
      <c r="AH331" s="408"/>
      <c r="AI331" s="251">
        <v>102</v>
      </c>
      <c r="AJ331" s="251">
        <v>102</v>
      </c>
      <c r="AK331" s="251">
        <v>102</v>
      </c>
      <c r="AL331" s="251">
        <v>102</v>
      </c>
      <c r="AM331" s="250">
        <v>99999</v>
      </c>
      <c r="AN331" s="2"/>
      <c r="AO331" s="408">
        <v>0</v>
      </c>
      <c r="AP331" s="408"/>
      <c r="AQ331" s="251">
        <v>102</v>
      </c>
      <c r="AR331" s="251">
        <v>102</v>
      </c>
      <c r="AS331" s="251">
        <v>102</v>
      </c>
      <c r="AT331" s="251">
        <v>102</v>
      </c>
      <c r="AU331" s="250">
        <v>99999</v>
      </c>
      <c r="AV331" s="252"/>
      <c r="AW331" s="253"/>
      <c r="AX331" s="254"/>
      <c r="AY331" s="251"/>
      <c r="AZ331" s="251"/>
      <c r="BA331" s="251"/>
      <c r="BB331" s="250"/>
      <c r="BC331" s="250">
        <v>99999</v>
      </c>
    </row>
    <row r="332" spans="1:55" ht="15" customHeight="1" x14ac:dyDescent="0.3">
      <c r="A332" s="408">
        <v>5</v>
      </c>
      <c r="B332" s="408"/>
      <c r="C332" s="248">
        <v>109</v>
      </c>
      <c r="D332" s="249">
        <v>110</v>
      </c>
      <c r="E332" s="249">
        <v>110</v>
      </c>
      <c r="F332" s="250">
        <v>111</v>
      </c>
      <c r="G332" s="250">
        <v>99999</v>
      </c>
      <c r="H332" s="2"/>
      <c r="I332" s="408">
        <v>5</v>
      </c>
      <c r="J332" s="408"/>
      <c r="K332" s="251">
        <v>107</v>
      </c>
      <c r="L332" s="251">
        <v>107</v>
      </c>
      <c r="M332" s="251">
        <v>107</v>
      </c>
      <c r="N332" s="251">
        <v>108</v>
      </c>
      <c r="O332" s="250">
        <v>99999</v>
      </c>
      <c r="P332" s="42"/>
      <c r="Q332" s="408">
        <v>5</v>
      </c>
      <c r="R332" s="408"/>
      <c r="S332" s="251">
        <v>104</v>
      </c>
      <c r="T332" s="251">
        <v>104</v>
      </c>
      <c r="U332" s="251">
        <v>104</v>
      </c>
      <c r="V332" s="251">
        <v>104</v>
      </c>
      <c r="W332" s="250">
        <v>99999</v>
      </c>
      <c r="X332" s="2"/>
      <c r="Y332" s="408">
        <v>5</v>
      </c>
      <c r="Z332" s="408"/>
      <c r="AA332" s="251">
        <v>102</v>
      </c>
      <c r="AB332" s="251">
        <v>102</v>
      </c>
      <c r="AC332" s="251">
        <v>102</v>
      </c>
      <c r="AD332" s="251">
        <v>102</v>
      </c>
      <c r="AE332" s="250">
        <v>99999</v>
      </c>
      <c r="AF332" s="2"/>
      <c r="AG332" s="408">
        <v>5</v>
      </c>
      <c r="AH332" s="408"/>
      <c r="AI332" s="251">
        <v>102</v>
      </c>
      <c r="AJ332" s="251">
        <v>102</v>
      </c>
      <c r="AK332" s="251">
        <v>102</v>
      </c>
      <c r="AL332" s="251">
        <v>102</v>
      </c>
      <c r="AM332" s="250">
        <v>99999</v>
      </c>
      <c r="AN332" s="2"/>
      <c r="AO332" s="408">
        <v>5</v>
      </c>
      <c r="AP332" s="408"/>
      <c r="AQ332" s="251">
        <v>102</v>
      </c>
      <c r="AR332" s="251">
        <v>102</v>
      </c>
      <c r="AS332" s="251">
        <v>102</v>
      </c>
      <c r="AT332" s="251">
        <v>102</v>
      </c>
      <c r="AU332" s="250">
        <v>99999</v>
      </c>
      <c r="AV332" s="252"/>
      <c r="AW332" s="253"/>
      <c r="AX332" s="254"/>
      <c r="AY332" s="251"/>
      <c r="AZ332" s="251"/>
      <c r="BA332" s="251"/>
      <c r="BB332" s="250"/>
      <c r="BC332" s="250">
        <v>99999</v>
      </c>
    </row>
    <row r="333" spans="1:55" ht="15" customHeight="1" x14ac:dyDescent="0.3">
      <c r="A333" s="408">
        <v>10</v>
      </c>
      <c r="B333" s="408"/>
      <c r="C333" s="248">
        <v>109</v>
      </c>
      <c r="D333" s="249">
        <v>110</v>
      </c>
      <c r="E333" s="249">
        <v>110</v>
      </c>
      <c r="F333" s="250">
        <v>111</v>
      </c>
      <c r="G333" s="250">
        <v>99999</v>
      </c>
      <c r="H333" s="2"/>
      <c r="I333" s="408">
        <v>10</v>
      </c>
      <c r="J333" s="408"/>
      <c r="K333" s="251">
        <v>107</v>
      </c>
      <c r="L333" s="251">
        <v>107</v>
      </c>
      <c r="M333" s="251">
        <v>108</v>
      </c>
      <c r="N333" s="251">
        <v>108</v>
      </c>
      <c r="O333" s="250">
        <v>99999</v>
      </c>
      <c r="P333" s="42"/>
      <c r="Q333" s="408">
        <v>10</v>
      </c>
      <c r="R333" s="408"/>
      <c r="S333" s="251">
        <v>104</v>
      </c>
      <c r="T333" s="251">
        <v>104</v>
      </c>
      <c r="U333" s="251">
        <v>104</v>
      </c>
      <c r="V333" s="251">
        <v>104</v>
      </c>
      <c r="W333" s="250">
        <v>99999</v>
      </c>
      <c r="X333" s="2"/>
      <c r="Y333" s="408">
        <v>10</v>
      </c>
      <c r="Z333" s="408"/>
      <c r="AA333" s="251">
        <v>102</v>
      </c>
      <c r="AB333" s="251">
        <v>102</v>
      </c>
      <c r="AC333" s="251">
        <v>102</v>
      </c>
      <c r="AD333" s="251">
        <v>102</v>
      </c>
      <c r="AE333" s="250">
        <v>99999</v>
      </c>
      <c r="AF333" s="2"/>
      <c r="AG333" s="408">
        <v>10</v>
      </c>
      <c r="AH333" s="408"/>
      <c r="AI333" s="251">
        <v>102</v>
      </c>
      <c r="AJ333" s="251">
        <v>102</v>
      </c>
      <c r="AK333" s="251">
        <v>102</v>
      </c>
      <c r="AL333" s="251">
        <v>102</v>
      </c>
      <c r="AM333" s="250">
        <v>99999</v>
      </c>
      <c r="AN333" s="2"/>
      <c r="AO333" s="408">
        <v>10</v>
      </c>
      <c r="AP333" s="408"/>
      <c r="AQ333" s="251">
        <v>102</v>
      </c>
      <c r="AR333" s="251">
        <v>102</v>
      </c>
      <c r="AS333" s="251">
        <v>102</v>
      </c>
      <c r="AT333" s="251">
        <v>102</v>
      </c>
      <c r="AU333" s="250">
        <v>99999</v>
      </c>
      <c r="AV333" s="252"/>
      <c r="AW333" s="253"/>
      <c r="AX333" s="254"/>
      <c r="AY333" s="251"/>
      <c r="AZ333" s="251"/>
      <c r="BA333" s="251"/>
      <c r="BB333" s="250"/>
      <c r="BC333" s="250">
        <v>99999</v>
      </c>
    </row>
    <row r="334" spans="1:55" ht="15" customHeight="1" x14ac:dyDescent="0.3">
      <c r="A334" s="408">
        <v>15</v>
      </c>
      <c r="B334" s="408"/>
      <c r="C334" s="248">
        <v>999</v>
      </c>
      <c r="D334" s="249">
        <v>999</v>
      </c>
      <c r="E334" s="249">
        <v>999</v>
      </c>
      <c r="F334" s="250">
        <v>999</v>
      </c>
      <c r="G334" s="250">
        <v>99999</v>
      </c>
      <c r="H334" s="2"/>
      <c r="I334" s="408">
        <v>15</v>
      </c>
      <c r="J334" s="408"/>
      <c r="K334" s="248">
        <v>999</v>
      </c>
      <c r="L334" s="249">
        <v>999</v>
      </c>
      <c r="M334" s="249">
        <v>999</v>
      </c>
      <c r="N334" s="250">
        <v>999</v>
      </c>
      <c r="O334" s="250">
        <v>99999</v>
      </c>
      <c r="P334" s="42"/>
      <c r="Q334" s="408">
        <v>15</v>
      </c>
      <c r="R334" s="408"/>
      <c r="S334" s="248">
        <v>999</v>
      </c>
      <c r="T334" s="249">
        <v>999</v>
      </c>
      <c r="U334" s="249">
        <v>999</v>
      </c>
      <c r="V334" s="250">
        <v>999</v>
      </c>
      <c r="W334" s="250">
        <v>99999</v>
      </c>
      <c r="X334" s="2"/>
      <c r="Y334" s="408">
        <v>15</v>
      </c>
      <c r="Z334" s="408"/>
      <c r="AA334" s="248">
        <v>999</v>
      </c>
      <c r="AB334" s="249">
        <v>999</v>
      </c>
      <c r="AC334" s="249">
        <v>999</v>
      </c>
      <c r="AD334" s="250">
        <v>999</v>
      </c>
      <c r="AE334" s="250">
        <v>99999</v>
      </c>
      <c r="AF334" s="2"/>
      <c r="AG334" s="408">
        <v>15</v>
      </c>
      <c r="AH334" s="408"/>
      <c r="AI334" s="248">
        <v>999</v>
      </c>
      <c r="AJ334" s="249">
        <v>999</v>
      </c>
      <c r="AK334" s="249">
        <v>999</v>
      </c>
      <c r="AL334" s="250">
        <v>999</v>
      </c>
      <c r="AM334" s="250">
        <v>99999</v>
      </c>
      <c r="AN334" s="2"/>
      <c r="AO334" s="408">
        <v>15</v>
      </c>
      <c r="AP334" s="408"/>
      <c r="AQ334" s="248">
        <v>999</v>
      </c>
      <c r="AR334" s="249">
        <v>999</v>
      </c>
      <c r="AS334" s="249">
        <v>999</v>
      </c>
      <c r="AT334" s="250">
        <v>999</v>
      </c>
      <c r="AU334" s="250">
        <v>99999</v>
      </c>
      <c r="AV334" s="252"/>
      <c r="AW334" s="253"/>
      <c r="AX334" s="254"/>
      <c r="AY334" s="251"/>
      <c r="AZ334" s="251"/>
      <c r="BA334" s="251"/>
      <c r="BB334" s="250"/>
      <c r="BC334" s="250">
        <v>99999</v>
      </c>
    </row>
    <row r="335" spans="1:55" ht="15" customHeight="1" x14ac:dyDescent="0.3">
      <c r="A335" s="408">
        <v>20</v>
      </c>
      <c r="B335" s="408"/>
      <c r="C335" s="248">
        <v>999</v>
      </c>
      <c r="D335" s="249">
        <v>999</v>
      </c>
      <c r="E335" s="249">
        <v>999</v>
      </c>
      <c r="F335" s="250">
        <v>999</v>
      </c>
      <c r="G335" s="250">
        <v>99999</v>
      </c>
      <c r="H335" s="2"/>
      <c r="I335" s="408">
        <v>20</v>
      </c>
      <c r="J335" s="408"/>
      <c r="K335" s="248">
        <v>999</v>
      </c>
      <c r="L335" s="249">
        <v>999</v>
      </c>
      <c r="M335" s="249">
        <v>999</v>
      </c>
      <c r="N335" s="250">
        <v>999</v>
      </c>
      <c r="O335" s="250">
        <v>99999</v>
      </c>
      <c r="P335" s="42"/>
      <c r="Q335" s="408">
        <v>20</v>
      </c>
      <c r="R335" s="408"/>
      <c r="S335" s="248">
        <v>999</v>
      </c>
      <c r="T335" s="249">
        <v>999</v>
      </c>
      <c r="U335" s="249">
        <v>999</v>
      </c>
      <c r="V335" s="250">
        <v>999</v>
      </c>
      <c r="W335" s="250">
        <v>99999</v>
      </c>
      <c r="X335" s="2"/>
      <c r="Y335" s="408">
        <v>20</v>
      </c>
      <c r="Z335" s="408"/>
      <c r="AA335" s="248">
        <v>999</v>
      </c>
      <c r="AB335" s="249">
        <v>999</v>
      </c>
      <c r="AC335" s="249">
        <v>999</v>
      </c>
      <c r="AD335" s="250">
        <v>999</v>
      </c>
      <c r="AE335" s="250">
        <v>99999</v>
      </c>
      <c r="AF335" s="2"/>
      <c r="AG335" s="408">
        <v>20</v>
      </c>
      <c r="AH335" s="408"/>
      <c r="AI335" s="248">
        <v>999</v>
      </c>
      <c r="AJ335" s="249">
        <v>999</v>
      </c>
      <c r="AK335" s="249">
        <v>999</v>
      </c>
      <c r="AL335" s="250">
        <v>999</v>
      </c>
      <c r="AM335" s="250">
        <v>99999</v>
      </c>
      <c r="AN335" s="2"/>
      <c r="AO335" s="408">
        <v>20</v>
      </c>
      <c r="AP335" s="408"/>
      <c r="AQ335" s="248">
        <v>999</v>
      </c>
      <c r="AR335" s="249">
        <v>999</v>
      </c>
      <c r="AS335" s="249">
        <v>999</v>
      </c>
      <c r="AT335" s="250">
        <v>999</v>
      </c>
      <c r="AU335" s="250">
        <v>99999</v>
      </c>
      <c r="AV335" s="252"/>
      <c r="AW335" s="408">
        <v>20</v>
      </c>
      <c r="AX335" s="408"/>
      <c r="AY335" s="251"/>
      <c r="AZ335" s="251"/>
      <c r="BA335" s="251"/>
      <c r="BB335" s="250"/>
      <c r="BC335" s="250">
        <v>99999</v>
      </c>
    </row>
    <row r="336" spans="1:55" ht="15" customHeight="1" x14ac:dyDescent="0.3">
      <c r="A336" s="408">
        <v>25</v>
      </c>
      <c r="B336" s="408"/>
      <c r="C336" s="248">
        <v>999</v>
      </c>
      <c r="D336" s="249">
        <v>999</v>
      </c>
      <c r="E336" s="249">
        <v>999</v>
      </c>
      <c r="F336" s="250">
        <v>999</v>
      </c>
      <c r="G336" s="250">
        <v>99999</v>
      </c>
      <c r="H336" s="2"/>
      <c r="I336" s="408">
        <v>25</v>
      </c>
      <c r="J336" s="408"/>
      <c r="K336" s="248">
        <v>999</v>
      </c>
      <c r="L336" s="249">
        <v>999</v>
      </c>
      <c r="M336" s="249">
        <v>999</v>
      </c>
      <c r="N336" s="250">
        <v>999</v>
      </c>
      <c r="O336" s="250">
        <v>99999</v>
      </c>
      <c r="P336" s="42"/>
      <c r="Q336" s="408">
        <v>25</v>
      </c>
      <c r="R336" s="408"/>
      <c r="S336" s="248">
        <v>999</v>
      </c>
      <c r="T336" s="249">
        <v>999</v>
      </c>
      <c r="U336" s="249">
        <v>999</v>
      </c>
      <c r="V336" s="250">
        <v>999</v>
      </c>
      <c r="W336" s="250">
        <v>99999</v>
      </c>
      <c r="X336" s="2"/>
      <c r="Y336" s="408">
        <v>25</v>
      </c>
      <c r="Z336" s="408"/>
      <c r="AA336" s="248">
        <v>999</v>
      </c>
      <c r="AB336" s="249">
        <v>999</v>
      </c>
      <c r="AC336" s="249">
        <v>999</v>
      </c>
      <c r="AD336" s="250">
        <v>999</v>
      </c>
      <c r="AE336" s="250">
        <v>99999</v>
      </c>
      <c r="AF336" s="2"/>
      <c r="AG336" s="408">
        <v>25</v>
      </c>
      <c r="AH336" s="408"/>
      <c r="AI336" s="248">
        <v>999</v>
      </c>
      <c r="AJ336" s="249">
        <v>999</v>
      </c>
      <c r="AK336" s="249">
        <v>999</v>
      </c>
      <c r="AL336" s="250">
        <v>999</v>
      </c>
      <c r="AM336" s="250">
        <v>99999</v>
      </c>
      <c r="AN336" s="2"/>
      <c r="AO336" s="408">
        <v>25</v>
      </c>
      <c r="AP336" s="408"/>
      <c r="AQ336" s="248">
        <v>999</v>
      </c>
      <c r="AR336" s="249">
        <v>999</v>
      </c>
      <c r="AS336" s="249">
        <v>999</v>
      </c>
      <c r="AT336" s="250">
        <v>999</v>
      </c>
      <c r="AU336" s="250">
        <v>99999</v>
      </c>
      <c r="AV336" s="252"/>
      <c r="AW336" s="253"/>
      <c r="AX336" s="254"/>
      <c r="AY336" s="251"/>
      <c r="AZ336" s="251"/>
      <c r="BA336" s="251"/>
      <c r="BB336" s="250"/>
      <c r="BC336" s="250">
        <v>99999</v>
      </c>
    </row>
    <row r="337" spans="1:55" ht="15" customHeight="1" x14ac:dyDescent="0.3">
      <c r="A337" s="408">
        <v>30</v>
      </c>
      <c r="B337" s="408"/>
      <c r="C337" s="248">
        <v>999</v>
      </c>
      <c r="D337" s="249">
        <v>999</v>
      </c>
      <c r="E337" s="249">
        <v>999</v>
      </c>
      <c r="F337" s="250">
        <v>999</v>
      </c>
      <c r="G337" s="250">
        <v>99999</v>
      </c>
      <c r="H337" s="2"/>
      <c r="I337" s="408">
        <v>30</v>
      </c>
      <c r="J337" s="408"/>
      <c r="K337" s="248">
        <v>999</v>
      </c>
      <c r="L337" s="249">
        <v>999</v>
      </c>
      <c r="M337" s="249">
        <v>999</v>
      </c>
      <c r="N337" s="250">
        <v>999</v>
      </c>
      <c r="O337" s="250">
        <v>99999</v>
      </c>
      <c r="P337" s="42"/>
      <c r="Q337" s="408">
        <v>30</v>
      </c>
      <c r="R337" s="408"/>
      <c r="S337" s="248">
        <v>999</v>
      </c>
      <c r="T337" s="249">
        <v>999</v>
      </c>
      <c r="U337" s="249">
        <v>999</v>
      </c>
      <c r="V337" s="250">
        <v>999</v>
      </c>
      <c r="W337" s="250">
        <v>99999</v>
      </c>
      <c r="X337" s="2"/>
      <c r="Y337" s="408">
        <v>30</v>
      </c>
      <c r="Z337" s="408"/>
      <c r="AA337" s="248">
        <v>999</v>
      </c>
      <c r="AB337" s="249">
        <v>999</v>
      </c>
      <c r="AC337" s="249">
        <v>999</v>
      </c>
      <c r="AD337" s="250">
        <v>999</v>
      </c>
      <c r="AE337" s="250">
        <v>99999</v>
      </c>
      <c r="AF337" s="2"/>
      <c r="AG337" s="408">
        <v>30</v>
      </c>
      <c r="AH337" s="408"/>
      <c r="AI337" s="248">
        <v>999</v>
      </c>
      <c r="AJ337" s="249">
        <v>999</v>
      </c>
      <c r="AK337" s="249">
        <v>999</v>
      </c>
      <c r="AL337" s="250">
        <v>999</v>
      </c>
      <c r="AM337" s="250">
        <v>99999</v>
      </c>
      <c r="AN337" s="2"/>
      <c r="AO337" s="408">
        <v>30</v>
      </c>
      <c r="AP337" s="408"/>
      <c r="AQ337" s="248">
        <v>999</v>
      </c>
      <c r="AR337" s="249">
        <v>999</v>
      </c>
      <c r="AS337" s="249">
        <v>999</v>
      </c>
      <c r="AT337" s="250">
        <v>999</v>
      </c>
      <c r="AU337" s="250">
        <v>99999</v>
      </c>
      <c r="AV337" s="252"/>
      <c r="AW337" s="408">
        <v>30</v>
      </c>
      <c r="AX337" s="408"/>
      <c r="AY337" s="251"/>
      <c r="AZ337" s="251"/>
      <c r="BA337" s="251"/>
      <c r="BB337" s="250"/>
      <c r="BC337" s="250">
        <v>99999</v>
      </c>
    </row>
    <row r="338" spans="1:55" ht="15" customHeight="1" x14ac:dyDescent="0.3">
      <c r="A338" s="408">
        <v>40</v>
      </c>
      <c r="B338" s="408"/>
      <c r="C338" s="255">
        <v>99999</v>
      </c>
      <c r="D338" s="255">
        <v>99999</v>
      </c>
      <c r="E338" s="255">
        <v>99999</v>
      </c>
      <c r="F338" s="255">
        <v>99999</v>
      </c>
      <c r="G338" s="250">
        <v>99999</v>
      </c>
      <c r="H338" s="2"/>
      <c r="I338" s="408">
        <v>40</v>
      </c>
      <c r="J338" s="408"/>
      <c r="K338" s="255">
        <v>99999</v>
      </c>
      <c r="L338" s="255">
        <v>99999</v>
      </c>
      <c r="M338" s="255">
        <v>99999</v>
      </c>
      <c r="N338" s="255">
        <v>99999</v>
      </c>
      <c r="O338" s="250">
        <v>99999</v>
      </c>
      <c r="P338" s="42"/>
      <c r="Q338" s="408">
        <v>40</v>
      </c>
      <c r="R338" s="408"/>
      <c r="S338" s="255">
        <v>99999</v>
      </c>
      <c r="T338" s="255">
        <v>99999</v>
      </c>
      <c r="U338" s="255">
        <v>99999</v>
      </c>
      <c r="V338" s="255">
        <v>99999</v>
      </c>
      <c r="W338" s="250">
        <v>99999</v>
      </c>
      <c r="X338" s="2"/>
      <c r="Y338" s="408">
        <v>40</v>
      </c>
      <c r="Z338" s="408"/>
      <c r="AA338" s="255">
        <v>99999</v>
      </c>
      <c r="AB338" s="255">
        <v>99999</v>
      </c>
      <c r="AC338" s="255">
        <v>99999</v>
      </c>
      <c r="AD338" s="255">
        <v>99999</v>
      </c>
      <c r="AE338" s="250">
        <v>99999</v>
      </c>
      <c r="AF338" s="2"/>
      <c r="AG338" s="408">
        <v>40</v>
      </c>
      <c r="AH338" s="408"/>
      <c r="AI338" s="255">
        <v>99999</v>
      </c>
      <c r="AJ338" s="255">
        <v>99999</v>
      </c>
      <c r="AK338" s="255">
        <v>99999</v>
      </c>
      <c r="AL338" s="255">
        <v>99999</v>
      </c>
      <c r="AM338" s="250">
        <v>99999</v>
      </c>
      <c r="AN338" s="2"/>
      <c r="AO338" s="408">
        <v>40</v>
      </c>
      <c r="AP338" s="408"/>
      <c r="AQ338" s="255">
        <v>99999</v>
      </c>
      <c r="AR338" s="255">
        <v>99999</v>
      </c>
      <c r="AS338" s="255">
        <v>99999</v>
      </c>
      <c r="AT338" s="255">
        <v>99999</v>
      </c>
      <c r="AU338" s="250">
        <v>99999</v>
      </c>
      <c r="AV338" s="252"/>
      <c r="AW338" s="408">
        <v>40</v>
      </c>
      <c r="AX338" s="408"/>
      <c r="AY338" s="255">
        <v>99999</v>
      </c>
      <c r="AZ338" s="255">
        <v>99999</v>
      </c>
      <c r="BA338" s="255">
        <v>99999</v>
      </c>
      <c r="BB338" s="255">
        <v>99999</v>
      </c>
      <c r="BC338" s="250">
        <v>99999</v>
      </c>
    </row>
    <row r="339" spans="1:55" ht="15" customHeight="1" x14ac:dyDescent="0.3">
      <c r="A339" s="409"/>
      <c r="B339" s="409"/>
      <c r="C339" s="256" t="s">
        <v>219</v>
      </c>
      <c r="D339" s="257" t="s">
        <v>219</v>
      </c>
      <c r="E339" s="257" t="s">
        <v>219</v>
      </c>
      <c r="F339" s="257" t="s">
        <v>219</v>
      </c>
      <c r="G339" s="258" t="s">
        <v>219</v>
      </c>
      <c r="H339" s="2"/>
      <c r="I339" s="409"/>
      <c r="J339" s="409"/>
      <c r="K339" s="256" t="s">
        <v>219</v>
      </c>
      <c r="L339" s="257" t="s">
        <v>219</v>
      </c>
      <c r="M339" s="257" t="s">
        <v>219</v>
      </c>
      <c r="N339" s="257" t="s">
        <v>219</v>
      </c>
      <c r="O339" s="258" t="s">
        <v>219</v>
      </c>
      <c r="P339" s="42"/>
      <c r="Q339" s="409"/>
      <c r="R339" s="409"/>
      <c r="S339" s="256" t="s">
        <v>219</v>
      </c>
      <c r="T339" s="257" t="s">
        <v>219</v>
      </c>
      <c r="U339" s="257" t="s">
        <v>219</v>
      </c>
      <c r="V339" s="257" t="s">
        <v>219</v>
      </c>
      <c r="W339" s="258" t="s">
        <v>219</v>
      </c>
      <c r="X339" s="2"/>
      <c r="Y339" s="409"/>
      <c r="Z339" s="409"/>
      <c r="AA339" s="256" t="s">
        <v>219</v>
      </c>
      <c r="AB339" s="257" t="s">
        <v>219</v>
      </c>
      <c r="AC339" s="257" t="s">
        <v>219</v>
      </c>
      <c r="AD339" s="257" t="s">
        <v>219</v>
      </c>
      <c r="AE339" s="258" t="s">
        <v>219</v>
      </c>
      <c r="AF339" s="2"/>
      <c r="AG339" s="409"/>
      <c r="AH339" s="409"/>
      <c r="AI339" s="256" t="s">
        <v>219</v>
      </c>
      <c r="AJ339" s="257" t="s">
        <v>219</v>
      </c>
      <c r="AK339" s="257" t="s">
        <v>219</v>
      </c>
      <c r="AL339" s="257" t="s">
        <v>219</v>
      </c>
      <c r="AM339" s="258" t="s">
        <v>219</v>
      </c>
      <c r="AN339" s="2"/>
      <c r="AO339" s="409"/>
      <c r="AP339" s="409"/>
      <c r="AQ339" s="256" t="s">
        <v>219</v>
      </c>
      <c r="AR339" s="257" t="s">
        <v>219</v>
      </c>
      <c r="AS339" s="257" t="s">
        <v>219</v>
      </c>
      <c r="AT339" s="257" t="s">
        <v>219</v>
      </c>
      <c r="AU339" s="258" t="s">
        <v>219</v>
      </c>
      <c r="AV339" s="252"/>
      <c r="AW339" s="409"/>
      <c r="AX339" s="409"/>
      <c r="AY339" s="256" t="s">
        <v>219</v>
      </c>
      <c r="AZ339" s="257" t="s">
        <v>219</v>
      </c>
      <c r="BA339" s="257" t="s">
        <v>219</v>
      </c>
      <c r="BB339" s="257" t="s">
        <v>219</v>
      </c>
      <c r="BC339" s="258" t="s">
        <v>219</v>
      </c>
    </row>
    <row r="340" spans="1:55" ht="15.75" customHeight="1" x14ac:dyDescent="0.3"/>
    <row r="341" spans="1:55" ht="15" customHeight="1" x14ac:dyDescent="0.3">
      <c r="B341" s="139" t="s">
        <v>146</v>
      </c>
      <c r="C341" s="140">
        <f ca="1">$D$1</f>
        <v>770</v>
      </c>
      <c r="D341" s="355" t="s">
        <v>201</v>
      </c>
      <c r="E341" s="355"/>
      <c r="F341" s="137"/>
      <c r="G341" s="137"/>
      <c r="H341" s="2"/>
      <c r="I341" s="2"/>
      <c r="J341" s="139" t="s">
        <v>146</v>
      </c>
      <c r="K341" s="140">
        <f ca="1">$D$1</f>
        <v>770</v>
      </c>
      <c r="L341" s="355" t="s">
        <v>201</v>
      </c>
      <c r="M341" s="355"/>
      <c r="N341" s="137"/>
      <c r="O341" s="137"/>
      <c r="P341" s="137"/>
      <c r="Q341" s="2"/>
      <c r="R341" s="139" t="s">
        <v>146</v>
      </c>
      <c r="S341" s="140">
        <f ca="1">$D$1</f>
        <v>770</v>
      </c>
      <c r="T341" s="355" t="s">
        <v>201</v>
      </c>
      <c r="U341" s="355"/>
      <c r="V341" s="137"/>
      <c r="W341" s="137"/>
      <c r="X341" s="2"/>
      <c r="Y341" s="2"/>
      <c r="Z341" s="139" t="s">
        <v>146</v>
      </c>
      <c r="AA341" s="140">
        <f ca="1">$D$1</f>
        <v>770</v>
      </c>
      <c r="AB341" s="355" t="s">
        <v>201</v>
      </c>
      <c r="AC341" s="355"/>
      <c r="AD341" s="137"/>
      <c r="AE341" s="137"/>
      <c r="AF341" s="2"/>
      <c r="AG341" s="2"/>
      <c r="AH341" s="139" t="s">
        <v>146</v>
      </c>
      <c r="AI341" s="140">
        <f ca="1">$D$1</f>
        <v>770</v>
      </c>
      <c r="AJ341" s="355" t="s">
        <v>201</v>
      </c>
      <c r="AK341" s="355"/>
      <c r="AL341" s="137"/>
      <c r="AM341" s="137"/>
      <c r="AN341" s="2"/>
      <c r="AO341" s="2"/>
      <c r="AP341" s="139" t="s">
        <v>146</v>
      </c>
      <c r="AQ341" s="140">
        <f ca="1">$D$1</f>
        <v>770</v>
      </c>
      <c r="AR341" s="355" t="s">
        <v>201</v>
      </c>
      <c r="AS341" s="355"/>
      <c r="AT341" s="137"/>
      <c r="AU341" s="137"/>
      <c r="AV341" s="137"/>
      <c r="AW341" s="2"/>
      <c r="AX341" s="139" t="s">
        <v>146</v>
      </c>
      <c r="AY341" s="140">
        <f ca="1">$D$1</f>
        <v>770</v>
      </c>
      <c r="AZ341" s="355" t="s">
        <v>201</v>
      </c>
      <c r="BA341" s="355"/>
    </row>
    <row r="342" spans="1:55" ht="15" customHeight="1" x14ac:dyDescent="0.3">
      <c r="B342" s="16" t="s">
        <v>202</v>
      </c>
      <c r="C342" s="141">
        <f t="array" aca="1" ref="C342" ca="1">INDEX(C324:G324,MATCH(C341,C324:G324,1))</f>
        <v>0</v>
      </c>
      <c r="D342" s="16" t="s">
        <v>144</v>
      </c>
      <c r="E342" s="17">
        <f>MATCH(MAX(A325:A339),A325:A339,0)</f>
        <v>14</v>
      </c>
      <c r="F342" s="17"/>
      <c r="H342" s="2"/>
      <c r="I342" s="2"/>
      <c r="J342" s="16" t="s">
        <v>202</v>
      </c>
      <c r="K342" s="141">
        <f t="array" aca="1" ref="K342" ca="1">INDEX(K324:O324,MATCH(K341,K324:O324,1))</f>
        <v>0</v>
      </c>
      <c r="L342" s="16" t="s">
        <v>144</v>
      </c>
      <c r="M342" s="17">
        <f>MATCH(MAX(I325:I339),I325:I339,0)</f>
        <v>14</v>
      </c>
      <c r="N342" s="17"/>
      <c r="O342" s="17"/>
      <c r="P342" s="17"/>
      <c r="Q342" s="2"/>
      <c r="R342" s="16" t="s">
        <v>202</v>
      </c>
      <c r="S342" s="141">
        <f t="array" aca="1" ref="S342" ca="1">INDEX(S324:W324,MATCH(S341,S324:W324,1))</f>
        <v>0</v>
      </c>
      <c r="T342" s="16" t="s">
        <v>144</v>
      </c>
      <c r="U342" s="17">
        <f>MATCH(MAX(Q325:Q339),Q325:Q339,0)</f>
        <v>14</v>
      </c>
      <c r="V342" s="17"/>
      <c r="W342" s="17"/>
      <c r="X342" s="2"/>
      <c r="Y342" s="2"/>
      <c r="Z342" s="16" t="s">
        <v>202</v>
      </c>
      <c r="AA342" s="141">
        <f t="array" aca="1" ref="AA342" ca="1">INDEX(AA324:AE324,MATCH(AA341,AA324:AE324,1))</f>
        <v>0</v>
      </c>
      <c r="AB342" s="16" t="s">
        <v>144</v>
      </c>
      <c r="AC342" s="17">
        <f>MATCH(MAX(Y325:Y339),Y325:Y339,0)</f>
        <v>14</v>
      </c>
      <c r="AD342" s="17"/>
      <c r="AE342" s="17"/>
      <c r="AF342" s="2"/>
      <c r="AG342" s="2"/>
      <c r="AH342" s="16" t="s">
        <v>202</v>
      </c>
      <c r="AI342" s="141">
        <f t="array" aca="1" ref="AI342" ca="1">INDEX(AI324:AM324,MATCH(AI341,AI324:AM324,1))</f>
        <v>0</v>
      </c>
      <c r="AJ342" s="16" t="s">
        <v>144</v>
      </c>
      <c r="AK342" s="17">
        <f>MATCH(MAX(AG325:AG339),AG325:AG339,0)</f>
        <v>14</v>
      </c>
      <c r="AL342" s="17"/>
      <c r="AM342" s="17"/>
      <c r="AN342" s="2"/>
      <c r="AO342" s="2"/>
      <c r="AP342" s="16" t="s">
        <v>202</v>
      </c>
      <c r="AQ342" s="141">
        <f t="array" aca="1" ref="AQ342" ca="1">INDEX(AQ324:AU324,MATCH(AQ341,AQ324:AU324,1))</f>
        <v>0</v>
      </c>
      <c r="AR342" s="16" t="s">
        <v>144</v>
      </c>
      <c r="AS342" s="17">
        <f>MATCH(MAX(AO325:AO339),AO325:AO339,0)</f>
        <v>14</v>
      </c>
      <c r="AT342" s="17"/>
      <c r="AU342" s="17"/>
      <c r="AV342" s="17"/>
      <c r="AW342" s="2"/>
      <c r="AX342" s="16" t="s">
        <v>202</v>
      </c>
      <c r="AY342" s="141">
        <f t="array" aca="1" ref="AY342" ca="1">INDEX(AY324:BC324,MATCH(AY341,AY324:BC324,1))</f>
        <v>0</v>
      </c>
      <c r="AZ342" s="16" t="s">
        <v>144</v>
      </c>
      <c r="BA342" s="17">
        <f>MATCH(MAX(AW325:AW339),AW325:AW339,0)</f>
        <v>14</v>
      </c>
    </row>
    <row r="343" spans="1:55" ht="15" customHeight="1" x14ac:dyDescent="0.3">
      <c r="B343" s="16" t="s">
        <v>203</v>
      </c>
      <c r="C343" s="141">
        <f t="array" aca="1" ref="C343" ca="1">INDEX(C324:G324,IF(MATCH(C341,C324:G324,1)&lt;E343,MATCH(C341,C324:G324,1)+1,MATCH(C341,C324:G324,1)))</f>
        <v>1000</v>
      </c>
      <c r="D343" s="16" t="s">
        <v>145</v>
      </c>
      <c r="E343" s="17">
        <f>MATCH(MAX(C324:G324),C324:G324,0)</f>
        <v>5</v>
      </c>
      <c r="F343" s="17"/>
      <c r="H343" s="2"/>
      <c r="I343" s="2"/>
      <c r="J343" s="16" t="s">
        <v>203</v>
      </c>
      <c r="K343" s="141">
        <f t="array" aca="1" ref="K343" ca="1">INDEX(K324:O324,IF(MATCH(K341,K324:O324,1)&lt;M343,MATCH(K341,K324:O324,1)+1,MATCH(K341,K324:O324,1)))</f>
        <v>1000</v>
      </c>
      <c r="L343" s="16" t="s">
        <v>145</v>
      </c>
      <c r="M343" s="17">
        <f>MATCH(MAX(K324:O324),K324:O324,0)</f>
        <v>5</v>
      </c>
      <c r="N343" s="17"/>
      <c r="O343" s="17"/>
      <c r="P343" s="17"/>
      <c r="Q343" s="2"/>
      <c r="R343" s="16" t="s">
        <v>203</v>
      </c>
      <c r="S343" s="141">
        <f t="array" aca="1" ref="S343" ca="1">INDEX(S324:W324,IF(MATCH(S341,S324:W324,1)&lt;U343,MATCH(S341,S324:W324,1)+1,MATCH(S341,S324:W324,1)))</f>
        <v>1000</v>
      </c>
      <c r="T343" s="16" t="s">
        <v>145</v>
      </c>
      <c r="U343" s="17">
        <f>MATCH(MAX(S324:W324),S324:W324,0)</f>
        <v>5</v>
      </c>
      <c r="V343" s="17"/>
      <c r="W343" s="17"/>
      <c r="X343" s="2"/>
      <c r="Y343" s="2"/>
      <c r="Z343" s="16" t="s">
        <v>203</v>
      </c>
      <c r="AA343" s="141">
        <f t="array" aca="1" ref="AA343" ca="1">INDEX(AA324:AE324,IF(MATCH(AA341,AA324:AE324,1)&lt;AC343,MATCH(AA341,AA324:AE324,1)+1,MATCH(AA341,AA324:AE324,1)))</f>
        <v>1000</v>
      </c>
      <c r="AB343" s="16" t="s">
        <v>145</v>
      </c>
      <c r="AC343" s="17">
        <f>MATCH(MAX(AA324:AE324),AA324:AE324,0)</f>
        <v>5</v>
      </c>
      <c r="AD343" s="17"/>
      <c r="AE343" s="17"/>
      <c r="AF343" s="2"/>
      <c r="AG343" s="2"/>
      <c r="AH343" s="16" t="s">
        <v>203</v>
      </c>
      <c r="AI343" s="141">
        <f t="array" aca="1" ref="AI343" ca="1">INDEX(AI324:AM324,IF(MATCH(AI341,AI324:AM324,1)&lt;AK343,MATCH(AI341,AI324:AM324,1)+1,MATCH(AI341,AI324:AM324,1)))</f>
        <v>1000</v>
      </c>
      <c r="AJ343" s="16" t="s">
        <v>145</v>
      </c>
      <c r="AK343" s="17">
        <f>MATCH(MAX(AI324:AM324),AI324:AM324,0)</f>
        <v>5</v>
      </c>
      <c r="AL343" s="17"/>
      <c r="AM343" s="17"/>
      <c r="AN343" s="2"/>
      <c r="AO343" s="2"/>
      <c r="AP343" s="16" t="s">
        <v>203</v>
      </c>
      <c r="AQ343" s="141">
        <f t="array" aca="1" ref="AQ343" ca="1">INDEX(AQ324:AU324,IF(MATCH(AQ341,AQ324:AU324,1)&lt;AS343,MATCH(AQ341,AQ324:AU324,1)+1,MATCH(AQ341,AQ324:AU324,1)))</f>
        <v>1000</v>
      </c>
      <c r="AR343" s="16" t="s">
        <v>145</v>
      </c>
      <c r="AS343" s="17">
        <f>MATCH(MAX(AQ324:AU324),AQ324:AU324,0)</f>
        <v>5</v>
      </c>
      <c r="AT343" s="17"/>
      <c r="AU343" s="17"/>
      <c r="AV343" s="17"/>
      <c r="AW343" s="2"/>
      <c r="AX343" s="16" t="s">
        <v>203</v>
      </c>
      <c r="AY343" s="141">
        <f t="array" aca="1" ref="AY343" ca="1">INDEX(AY324:BC324,IF(MATCH(AY341,AY324:BC324,1)&lt;BA343,MATCH(AY341,AY324:BC324,1)+1,MATCH(AY341,AY324:BC324,1)))</f>
        <v>1000</v>
      </c>
      <c r="AZ343" s="16" t="s">
        <v>145</v>
      </c>
      <c r="BA343" s="17">
        <f>MATCH(MAX(AY324:BC324),AY324:BC324,0)</f>
        <v>5</v>
      </c>
    </row>
    <row r="344" spans="1:55" ht="15" customHeight="1" x14ac:dyDescent="0.3">
      <c r="B344" s="139" t="s">
        <v>147</v>
      </c>
      <c r="C344" s="140">
        <f ca="1">$D$2</f>
        <v>15</v>
      </c>
      <c r="D344" s="2"/>
      <c r="E344" s="2"/>
      <c r="F344" s="2"/>
      <c r="G344" s="17"/>
      <c r="H344" s="2"/>
      <c r="I344" s="2"/>
      <c r="J344" s="139" t="s">
        <v>147</v>
      </c>
      <c r="K344" s="140">
        <f ca="1">$D$2</f>
        <v>15</v>
      </c>
      <c r="L344" s="2"/>
      <c r="M344" s="2"/>
      <c r="N344" s="2"/>
      <c r="O344" s="17"/>
      <c r="P344" s="17"/>
      <c r="Q344" s="2"/>
      <c r="R344" s="139" t="s">
        <v>147</v>
      </c>
      <c r="S344" s="140">
        <f ca="1">$D$2</f>
        <v>15</v>
      </c>
      <c r="T344" s="2"/>
      <c r="U344" s="2"/>
      <c r="V344" s="2"/>
      <c r="W344" s="17"/>
      <c r="X344" s="2"/>
      <c r="Y344" s="2"/>
      <c r="Z344" s="139" t="s">
        <v>147</v>
      </c>
      <c r="AA344" s="140">
        <f ca="1">$D$2</f>
        <v>15</v>
      </c>
      <c r="AB344" s="2"/>
      <c r="AC344" s="2"/>
      <c r="AD344" s="2"/>
      <c r="AE344" s="17"/>
      <c r="AF344" s="2"/>
      <c r="AG344" s="2"/>
      <c r="AH344" s="139" t="s">
        <v>147</v>
      </c>
      <c r="AI344" s="140">
        <f ca="1">$D$2</f>
        <v>15</v>
      </c>
      <c r="AJ344" s="2"/>
      <c r="AK344" s="2"/>
      <c r="AL344" s="2"/>
      <c r="AM344" s="17"/>
      <c r="AN344" s="2"/>
      <c r="AO344" s="2"/>
      <c r="AP344" s="139" t="s">
        <v>147</v>
      </c>
      <c r="AQ344" s="140">
        <f ca="1">$D$2</f>
        <v>15</v>
      </c>
      <c r="AR344" s="2"/>
      <c r="AS344" s="2"/>
      <c r="AT344" s="2"/>
      <c r="AU344" s="17"/>
      <c r="AV344" s="17"/>
      <c r="AW344" s="2"/>
      <c r="AX344" s="139" t="s">
        <v>147</v>
      </c>
      <c r="AY344" s="140">
        <f ca="1">$D$2</f>
        <v>15</v>
      </c>
      <c r="AZ344" s="2"/>
      <c r="BA344" s="2"/>
    </row>
    <row r="345" spans="1:55" ht="15" customHeight="1" x14ac:dyDescent="0.3">
      <c r="B345" s="16" t="s">
        <v>148</v>
      </c>
      <c r="C345" s="141">
        <f t="array" aca="1" ref="C345" ca="1">INDEX(A325:A339,MATCH(C344,A325:A339,1))</f>
        <v>15</v>
      </c>
      <c r="D345" s="2"/>
      <c r="E345" s="2"/>
      <c r="F345" s="42"/>
      <c r="G345" s="2"/>
      <c r="H345" s="2"/>
      <c r="I345" s="2"/>
      <c r="J345" s="16" t="s">
        <v>148</v>
      </c>
      <c r="K345" s="141">
        <f t="array" aca="1" ref="K345" ca="1">INDEX(I325:I339,MATCH(K344,I325:I339,1))</f>
        <v>15</v>
      </c>
      <c r="L345" s="2"/>
      <c r="M345" s="2"/>
      <c r="N345" s="2"/>
      <c r="O345" s="2"/>
      <c r="P345" s="2"/>
      <c r="Q345" s="2"/>
      <c r="R345" s="16" t="s">
        <v>148</v>
      </c>
      <c r="S345" s="141">
        <f t="array" aca="1" ref="S345" ca="1">INDEX(Q325:Q339,MATCH(S344,Q325:Q339,1))</f>
        <v>15</v>
      </c>
      <c r="T345" s="2"/>
      <c r="U345" s="2"/>
      <c r="V345" s="2"/>
      <c r="W345" s="2"/>
      <c r="X345" s="2"/>
      <c r="Y345" s="2"/>
      <c r="Z345" s="16" t="s">
        <v>148</v>
      </c>
      <c r="AA345" s="141">
        <f t="array" aca="1" ref="AA345" ca="1">INDEX(Y325:Y339,MATCH(AA344,Y325:Y339,1))</f>
        <v>15</v>
      </c>
      <c r="AB345" s="2"/>
      <c r="AC345" s="2"/>
      <c r="AD345" s="2"/>
      <c r="AE345" s="2"/>
      <c r="AF345" s="2"/>
      <c r="AG345" s="2"/>
      <c r="AH345" s="16" t="s">
        <v>148</v>
      </c>
      <c r="AI345" s="141">
        <f t="array" aca="1" ref="AI345" ca="1">INDEX(AG325:AG339,MATCH(AI344,AG325:AG339,1))</f>
        <v>15</v>
      </c>
      <c r="AJ345" s="2"/>
      <c r="AK345" s="2"/>
      <c r="AL345" s="2"/>
      <c r="AM345" s="2"/>
      <c r="AN345" s="2"/>
      <c r="AO345" s="2"/>
      <c r="AP345" s="16" t="s">
        <v>148</v>
      </c>
      <c r="AQ345" s="141">
        <f t="array" aca="1" ref="AQ345" ca="1">INDEX(AO325:AO339,MATCH(AQ344,AO325:AO339,1))</f>
        <v>15</v>
      </c>
      <c r="AR345" s="2"/>
      <c r="AS345" s="2"/>
      <c r="AT345" s="2"/>
      <c r="AU345" s="2"/>
      <c r="AV345" s="2"/>
      <c r="AW345" s="2"/>
      <c r="AX345" s="16" t="s">
        <v>148</v>
      </c>
      <c r="AY345" s="141">
        <f t="array" aca="1" ref="AY345" ca="1">INDEX(AW325:AW339,MATCH(AY344,AW325:AW339,1))</f>
        <v>10</v>
      </c>
      <c r="AZ345" s="2"/>
      <c r="BA345" s="2"/>
    </row>
    <row r="346" spans="1:55" ht="15" customHeight="1" x14ac:dyDescent="0.3">
      <c r="B346" s="16" t="s">
        <v>149</v>
      </c>
      <c r="C346" s="141">
        <f t="array" aca="1" ref="C346" ca="1">INDEX(A325:A339,IF(MATCH(C344,A325:A339,1)&lt;E342,MATCH(C344,A325:A339,1)+1,MATCH(C344,A325:A339,1)))</f>
        <v>20</v>
      </c>
      <c r="D346" s="2"/>
      <c r="E346" s="42"/>
      <c r="F346" s="42"/>
      <c r="G346" s="2"/>
      <c r="H346" s="2"/>
      <c r="I346" s="2"/>
      <c r="J346" s="16" t="s">
        <v>149</v>
      </c>
      <c r="K346" s="141">
        <f t="array" aca="1" ref="K346" ca="1">INDEX(I325:I339,IF(MATCH(K344,I325:I339,1)&lt;M342,MATCH(K344,I325:I339,1)+1,MATCH(K344,I325:I339,1)))</f>
        <v>20</v>
      </c>
      <c r="L346" s="2"/>
      <c r="M346" s="2"/>
      <c r="N346" s="2"/>
      <c r="O346" s="2"/>
      <c r="P346" s="2"/>
      <c r="Q346" s="2"/>
      <c r="R346" s="16" t="s">
        <v>149</v>
      </c>
      <c r="S346" s="141">
        <f t="array" aca="1" ref="S346" ca="1">INDEX(Q325:Q339,IF(MATCH(S344,Q325:Q339,1)&lt;U342,MATCH(S344,Q325:Q339,1)+1,MATCH(S344,Q325:Q339,1)))</f>
        <v>20</v>
      </c>
      <c r="T346" s="2"/>
      <c r="U346" s="2"/>
      <c r="V346" s="2"/>
      <c r="W346" s="2"/>
      <c r="X346" s="2"/>
      <c r="Y346" s="2"/>
      <c r="Z346" s="16" t="s">
        <v>149</v>
      </c>
      <c r="AA346" s="141">
        <f t="array" aca="1" ref="AA346" ca="1">INDEX(Y325:Y339,IF(MATCH(AA344,Y325:Y339,1)&lt;AC342,MATCH(AA344,Y325:Y339,1)+1,MATCH(AA344,Y325:Y339,1)))</f>
        <v>20</v>
      </c>
      <c r="AB346" s="2"/>
      <c r="AC346" s="2"/>
      <c r="AD346" s="2"/>
      <c r="AE346" s="2"/>
      <c r="AF346" s="2"/>
      <c r="AG346" s="2"/>
      <c r="AH346" s="16" t="s">
        <v>149</v>
      </c>
      <c r="AI346" s="141">
        <f t="array" aca="1" ref="AI346" ca="1">INDEX(AG325:AG339,IF(MATCH(AI344,AG325:AG339,1)&lt;AK342,MATCH(AI344,AG325:AG339,1)+1,MATCH(AI344,AG325:AG339,1)))</f>
        <v>20</v>
      </c>
      <c r="AJ346" s="2"/>
      <c r="AK346" s="2"/>
      <c r="AL346" s="2"/>
      <c r="AM346" s="2"/>
      <c r="AN346" s="2"/>
      <c r="AO346" s="2"/>
      <c r="AP346" s="16" t="s">
        <v>149</v>
      </c>
      <c r="AQ346" s="141">
        <f t="array" aca="1" ref="AQ346" ca="1">INDEX(AO325:AO339,IF(MATCH(AQ344,AO325:AO339,1)&lt;AS342,MATCH(AQ344,AO325:AO339,1)+1,MATCH(AQ344,AO325:AO339,1)))</f>
        <v>20</v>
      </c>
      <c r="AR346" s="2"/>
      <c r="AS346" s="2"/>
      <c r="AT346" s="2"/>
      <c r="AU346" s="2"/>
      <c r="AV346" s="2"/>
      <c r="AW346" s="2"/>
      <c r="AX346" s="16" t="s">
        <v>149</v>
      </c>
      <c r="AY346" s="141">
        <f ca="1">INDEX(AW325:AW339,IF(MATCH(AY344,AW325:AW339,1)&lt;BA342,MATCH(AY344,AW325:AW339,1)+1,MATCH(AY344,AW325:AW339,1)))</f>
        <v>0</v>
      </c>
      <c r="AZ346" s="2"/>
      <c r="BA346" s="2"/>
    </row>
    <row r="347" spans="1:55" ht="15" customHeight="1" x14ac:dyDescent="0.3">
      <c r="B347" s="139" t="s">
        <v>150</v>
      </c>
      <c r="C347" s="140">
        <f t="array" aca="1" ref="C347" ca="1">INDEX(C325:G339,MATCH(C344,A325:A339,1),MATCH(C341,C324:G324,1))</f>
        <v>999</v>
      </c>
      <c r="D347" s="2"/>
      <c r="E347" s="42"/>
      <c r="F347" s="42"/>
      <c r="G347" s="2"/>
      <c r="H347" s="2"/>
      <c r="I347" s="2"/>
      <c r="J347" s="139" t="s">
        <v>150</v>
      </c>
      <c r="K347" s="140">
        <f t="array" aca="1" ref="K347" ca="1">INDEX(K325:O339,MATCH(K344,I325:I339,1),MATCH(K341,K324:O324,1))</f>
        <v>999</v>
      </c>
      <c r="L347" s="2"/>
      <c r="M347" s="2"/>
      <c r="N347" s="2"/>
      <c r="O347" s="2"/>
      <c r="P347" s="2"/>
      <c r="Q347" s="2"/>
      <c r="R347" s="139" t="s">
        <v>150</v>
      </c>
      <c r="S347" s="140">
        <f t="array" aca="1" ref="S347" ca="1">INDEX(S325:W339,MATCH(S344,Q325:Q339,1),MATCH(S341,S324:W324,1))</f>
        <v>999</v>
      </c>
      <c r="T347" s="2"/>
      <c r="U347" s="2"/>
      <c r="V347" s="2"/>
      <c r="W347" s="2"/>
      <c r="X347" s="2"/>
      <c r="Y347" s="2"/>
      <c r="Z347" s="139" t="s">
        <v>150</v>
      </c>
      <c r="AA347" s="140">
        <f t="array" aca="1" ref="AA347" ca="1">INDEX(AA325:AE339,MATCH(AA344,Y325:Y339,1),MATCH(AA341,AA324:AE324,1))</f>
        <v>999</v>
      </c>
      <c r="AB347" s="2"/>
      <c r="AC347" s="2"/>
      <c r="AD347" s="2"/>
      <c r="AE347" s="2"/>
      <c r="AF347" s="2"/>
      <c r="AG347" s="2"/>
      <c r="AH347" s="139" t="s">
        <v>150</v>
      </c>
      <c r="AI347" s="140">
        <f t="array" aca="1" ref="AI347" ca="1">INDEX(AI325:AM339,MATCH(AI344,AG325:AG339,1),MATCH(AI341,AI324:AM324,1))</f>
        <v>999</v>
      </c>
      <c r="AJ347" s="2"/>
      <c r="AK347" s="2"/>
      <c r="AL347" s="2"/>
      <c r="AM347" s="2"/>
      <c r="AN347" s="2"/>
      <c r="AO347" s="2"/>
      <c r="AP347" s="139" t="s">
        <v>150</v>
      </c>
      <c r="AQ347" s="140">
        <f t="array" aca="1" ref="AQ347" ca="1">INDEX(AQ325:AU339,MATCH(AQ344,AO325:AO339,1),MATCH(AQ341,AQ324:AU324,1))</f>
        <v>999</v>
      </c>
      <c r="AR347" s="2"/>
      <c r="AS347" s="2"/>
      <c r="AT347" s="2"/>
      <c r="AU347" s="2"/>
      <c r="AV347" s="2"/>
      <c r="AW347" s="2"/>
      <c r="AX347" s="139" t="s">
        <v>150</v>
      </c>
      <c r="AY347" s="140">
        <f ca="1">INDEX(AY325:BC339,MATCH(AY344,AW325:AW339,1),MATCH(AY341,AY324:BC324,1))</f>
        <v>0</v>
      </c>
      <c r="AZ347" s="2"/>
      <c r="BA347" s="2"/>
    </row>
    <row r="348" spans="1:55" ht="15" customHeight="1" x14ac:dyDescent="0.3">
      <c r="B348" s="139" t="s">
        <v>204</v>
      </c>
      <c r="C348" s="140">
        <f t="array" aca="1" ref="C348" ca="1">INDEX(C325:G339,MATCH(C344,A325:A339,1),IF(MATCH(C341,C324:G324,1)&lt;E343,MATCH(C341,C324:G324,1)+1,MATCH(C344,A325:A339,1)))</f>
        <v>999</v>
      </c>
      <c r="E348" s="42"/>
      <c r="F348" s="42"/>
      <c r="G348" s="2"/>
      <c r="H348" s="2"/>
      <c r="I348" s="2"/>
      <c r="J348" s="139" t="s">
        <v>204</v>
      </c>
      <c r="K348" s="140">
        <f t="array" aca="1" ref="K348" ca="1">INDEX(K325:O339,MATCH(K344,I325:I339,1),IF(MATCH(K341,K324:O324,1)&lt;M343,MATCH(K341,K324:O324,1)+1,MATCH(K344,I325:I339,1)))</f>
        <v>999</v>
      </c>
      <c r="O348" s="2"/>
      <c r="P348" s="2"/>
      <c r="Q348" s="2"/>
      <c r="R348" s="139" t="s">
        <v>204</v>
      </c>
      <c r="S348" s="140">
        <f t="array" aca="1" ref="S348" ca="1">INDEX(S325:W339,MATCH(S344,Q325:Q339,1),IF(MATCH(S341,S324:W324,1)&lt;U343,MATCH(S341,S324:W324,1)+1,MATCH(S344,Q325:Q339,1)))</f>
        <v>999</v>
      </c>
      <c r="W348" s="2"/>
      <c r="X348" s="2"/>
      <c r="Y348" s="2"/>
      <c r="Z348" s="139" t="s">
        <v>204</v>
      </c>
      <c r="AA348" s="140">
        <f t="array" aca="1" ref="AA348" ca="1">INDEX(AA325:AE339,MATCH(AA344,Y325:Y339,1),IF(MATCH(AA341,AA324:AE324,1)&lt;AC343,MATCH(AA341,AA324:AE324,1)+1,MATCH(AA344,Y325:Y339,1)))</f>
        <v>999</v>
      </c>
      <c r="AE348" s="2"/>
      <c r="AF348" s="2"/>
      <c r="AG348" s="2"/>
      <c r="AH348" s="139" t="s">
        <v>204</v>
      </c>
      <c r="AI348" s="140">
        <f t="array" aca="1" ref="AI348" ca="1">INDEX(AI325:AM339,MATCH(AI344,AG325:AG339,1),IF(MATCH(AI341,AI324:AM324,1)&lt;AK343,MATCH(AI341,AI324:AM324,1)+1,MATCH(AI344,AG325:AG339,1)))</f>
        <v>999</v>
      </c>
      <c r="AM348" s="2"/>
      <c r="AN348" s="2"/>
      <c r="AO348" s="2"/>
      <c r="AP348" s="139" t="s">
        <v>204</v>
      </c>
      <c r="AQ348" s="140">
        <f t="array" aca="1" ref="AQ348" ca="1">INDEX(AQ325:AU339,MATCH(AQ344,AO325:AO339,1),IF(MATCH(AQ341,AQ324:AU324,1)&lt;AS343,MATCH(AQ341,AQ324:AU324,1)+1,MATCH(AQ344,AO325:AO339,1)))</f>
        <v>999</v>
      </c>
      <c r="AU348" s="2"/>
      <c r="AV348" s="2"/>
      <c r="AW348" s="2"/>
      <c r="AX348" s="139" t="s">
        <v>204</v>
      </c>
      <c r="AY348" s="140">
        <f ca="1">INDEX(AY325:BC339,MATCH(AY344,AW325:AW339,1),IF(MATCH(AY341,AY324:BC324,1)&lt;BA343,MATCH(AY341,AY324:BC324,1)+1,MATCH(AY344,AW325:AW339,1)))</f>
        <v>0</v>
      </c>
    </row>
    <row r="349" spans="1:55" ht="15" customHeight="1" x14ac:dyDescent="0.3">
      <c r="B349" s="139" t="s">
        <v>151</v>
      </c>
      <c r="C349" s="140">
        <f t="array" aca="1" ref="C349" ca="1">INDEX(C325:G339,IF(MATCH(C344,A325:A339,1)&lt;E342,MATCH(C344,A325:A339,1)+1,MATCH(C344,A325:A339,1)),MATCH(C341,C324:G324,1))</f>
        <v>999</v>
      </c>
      <c r="E349" s="42"/>
      <c r="F349" s="42"/>
      <c r="G349" s="2"/>
      <c r="H349" s="2"/>
      <c r="I349" s="2"/>
      <c r="J349" s="139" t="s">
        <v>151</v>
      </c>
      <c r="K349" s="140">
        <f t="array" aca="1" ref="K349" ca="1">INDEX(K325:O339,IF(MATCH(K344,I325:I339,1)&lt;M342,MATCH(K344,I325:I339,1)+1,MATCH(K344,I325:I339,1)),MATCH(K341,K324:O324,1))</f>
        <v>999</v>
      </c>
      <c r="O349" s="2"/>
      <c r="P349" s="2"/>
      <c r="Q349" s="2"/>
      <c r="R349" s="139" t="s">
        <v>151</v>
      </c>
      <c r="S349" s="140">
        <f t="array" aca="1" ref="S349" ca="1">INDEX(S325:W339,IF(MATCH(S344,Q325:Q339,1)&lt;U342,MATCH(S344,Q325:Q339,1)+1,MATCH(S344,Q325:Q339,1)),MATCH(S341,S324:W324,1))</f>
        <v>999</v>
      </c>
      <c r="W349" s="2"/>
      <c r="X349" s="2"/>
      <c r="Y349" s="2"/>
      <c r="Z349" s="139" t="s">
        <v>151</v>
      </c>
      <c r="AA349" s="140">
        <f t="array" aca="1" ref="AA349" ca="1">INDEX(AA325:AE339,IF(MATCH(AA344,Y325:Y339,1)&lt;AC342,MATCH(AA344,Y325:Y339,1)+1,MATCH(AA344,Y325:Y339,1)),MATCH(AA341,AA324:AE324,1))</f>
        <v>999</v>
      </c>
      <c r="AE349" s="2"/>
      <c r="AF349" s="2"/>
      <c r="AG349" s="2"/>
      <c r="AH349" s="139" t="s">
        <v>151</v>
      </c>
      <c r="AI349" s="140">
        <f t="array" aca="1" ref="AI349" ca="1">INDEX(AI325:AM339,IF(MATCH(AI344,AG325:AG339,1)&lt;AK342,MATCH(AI344,AG325:AG339,1)+1,MATCH(AI344,AG325:AG339,1)),MATCH(AI341,AI324:AM324,1))</f>
        <v>999</v>
      </c>
      <c r="AM349" s="2"/>
      <c r="AN349" s="2"/>
      <c r="AO349" s="2"/>
      <c r="AP349" s="139" t="s">
        <v>151</v>
      </c>
      <c r="AQ349" s="140">
        <f t="array" aca="1" ref="AQ349" ca="1">INDEX(AQ325:AU339,IF(MATCH(AQ344,AO325:AO339,1)&lt;AS342,MATCH(AQ344,AO325:AO339,1)+1,MATCH(AQ344,AO325:AO339,1)),MATCH(AQ341,AQ324:AU324,1))</f>
        <v>999</v>
      </c>
      <c r="AU349" s="2"/>
      <c r="AV349" s="2"/>
      <c r="AW349" s="2"/>
      <c r="AX349" s="139" t="s">
        <v>151</v>
      </c>
      <c r="AY349" s="140">
        <f ca="1">INDEX(AY325:BC339,IF(MATCH(AY344,AW325:AW339,1)&lt;BA342,MATCH(AY344,AW325:AW339,1)+1,MATCH(AY344,AW325:AW339,1)),MATCH(AY341,AY324:BC324,1))</f>
        <v>0</v>
      </c>
    </row>
    <row r="350" spans="1:55" ht="15" customHeight="1" x14ac:dyDescent="0.3">
      <c r="B350" s="139" t="s">
        <v>205</v>
      </c>
      <c r="C350" s="140">
        <f t="array" aca="1" ref="C350" ca="1">INDEX(C325:G339,IF(MATCH(C344,A325:A339,1)&lt;E342,MATCH(C344,A325:A339,1)+1,MATCH(C344,A325:A339,1)),IF(MATCH(C341,C324:G324,1)&lt;E343,MATCH(C341,C324:G324,1)+1,MATCH(C341,C324:G324,1)))</f>
        <v>999</v>
      </c>
      <c r="G350" s="2"/>
      <c r="H350" s="2"/>
      <c r="I350" s="2"/>
      <c r="J350" s="139" t="s">
        <v>205</v>
      </c>
      <c r="K350" s="140">
        <f t="array" aca="1" ref="K350" ca="1">INDEX(K325:O339,IF(MATCH(K344,I325:I339,1)&lt;M342,MATCH(K344,I325:I339,1)+1,MATCH(K344,I325:I339,1)),IF(MATCH(K341,K324:O324,1)&lt;M343,MATCH(K341,K324:O324,1)+1,MATCH(K341,K324:O324,1)))</f>
        <v>999</v>
      </c>
      <c r="O350" s="2"/>
      <c r="P350" s="2"/>
      <c r="Q350" s="2"/>
      <c r="R350" s="139" t="s">
        <v>205</v>
      </c>
      <c r="S350" s="140">
        <f t="array" aca="1" ref="S350" ca="1">INDEX(S325:W339,IF(MATCH(S344,Q325:Q339,1)&lt;U342,MATCH(S344,Q325:Q339,1)+1,MATCH(S344,Q325:Q339,1)),IF(MATCH(S341,S324:W324,1)&lt;U343,MATCH(S341,S324:W324,1)+1,MATCH(S341,S324:W324,1)))</f>
        <v>999</v>
      </c>
      <c r="W350" s="2"/>
      <c r="X350" s="2"/>
      <c r="Y350" s="2"/>
      <c r="Z350" s="139" t="s">
        <v>205</v>
      </c>
      <c r="AA350" s="140">
        <f t="array" aca="1" ref="AA350" ca="1">INDEX(AA325:AE339,IF(MATCH(AA344,Y325:Y339,1)&lt;AC342,MATCH(AA344,Y325:Y339,1)+1,MATCH(AA344,Y325:Y339,1)),IF(MATCH(AA341,AA324:AE324,1)&lt;AC343,MATCH(AA341,AA324:AE324,1)+1,MATCH(AA341,AA324:AE324,1)))</f>
        <v>999</v>
      </c>
      <c r="AE350" s="2"/>
      <c r="AF350" s="2"/>
      <c r="AG350" s="2"/>
      <c r="AH350" s="139" t="s">
        <v>205</v>
      </c>
      <c r="AI350" s="140">
        <f t="array" aca="1" ref="AI350" ca="1">INDEX(AI325:AM339,IF(MATCH(AI344,AG325:AG339,1)&lt;AK342,MATCH(AI344,AG325:AG339,1)+1,MATCH(AI344,AG325:AG339,1)),IF(MATCH(AI341,AI324:AM324,1)&lt;AK343,MATCH(AI341,AI324:AM324,1)+1,MATCH(AI341,AI324:AM324,1)))</f>
        <v>999</v>
      </c>
      <c r="AM350" s="2"/>
      <c r="AN350" s="2"/>
      <c r="AO350" s="2"/>
      <c r="AP350" s="139" t="s">
        <v>205</v>
      </c>
      <c r="AQ350" s="140">
        <f t="array" aca="1" ref="AQ350" ca="1">INDEX(AQ325:AU339,IF(MATCH(AQ344,AO325:AO339,1)&lt;AS342,MATCH(AQ344,AO325:AO339,1)+1,MATCH(AQ344,AO325:AO339,1)),IF(MATCH(AQ341,AQ324:AU324,1)&lt;AS343,MATCH(AQ341,AQ324:AU324,1)+1,MATCH(AQ341,AQ324:AU324,1)))</f>
        <v>999</v>
      </c>
      <c r="AU350" s="2"/>
      <c r="AV350" s="2"/>
      <c r="AW350" s="2"/>
      <c r="AX350" s="139" t="s">
        <v>205</v>
      </c>
      <c r="AY350" s="140">
        <f ca="1">INDEX(AY325:BC339,IF(MATCH(AY344,AW325:AW339,1)&lt;BA342,MATCH(AY344,AW325:AW339,1)+1,MATCH(AY344,AW325:AW339,1)),IF(MATCH(AY341,AY324:BC324,1)&lt;BA343,MATCH(AY341,AY324:BC324,1)+1,MATCH(AY341,AY324:BC324,1)))</f>
        <v>0</v>
      </c>
    </row>
    <row r="351" spans="1:55" ht="15" customHeight="1" x14ac:dyDescent="0.3">
      <c r="B351" s="16" t="s">
        <v>206</v>
      </c>
      <c r="C351" s="141">
        <f ca="1">IFERROR(C347+(C341-C342)*(C348-C347)/(C343-C342),C347)</f>
        <v>999</v>
      </c>
      <c r="G351" s="2"/>
      <c r="H351" s="2"/>
      <c r="I351" s="2"/>
      <c r="J351" s="16" t="s">
        <v>206</v>
      </c>
      <c r="K351" s="141">
        <f ca="1">IFERROR(K347+(K341-K342)*(K348-K347)/(K343-K342),K347)</f>
        <v>999</v>
      </c>
      <c r="O351" s="2"/>
      <c r="P351" s="2"/>
      <c r="Q351" s="2"/>
      <c r="R351" s="16" t="s">
        <v>206</v>
      </c>
      <c r="S351" s="141">
        <f ca="1">IFERROR(S347+(S341-S342)*(S348-S347)/(S343-S342),S347)</f>
        <v>999</v>
      </c>
      <c r="W351" s="2"/>
      <c r="X351" s="2"/>
      <c r="Y351" s="2"/>
      <c r="Z351" s="16" t="s">
        <v>206</v>
      </c>
      <c r="AA351" s="141">
        <f ca="1">IFERROR(AA347+(AA341-AA342)*(AA348-AA347)/(AA343-AA342),AA347)</f>
        <v>999</v>
      </c>
      <c r="AE351" s="2"/>
      <c r="AF351" s="2"/>
      <c r="AG351" s="2"/>
      <c r="AH351" s="16" t="s">
        <v>206</v>
      </c>
      <c r="AI351" s="141">
        <f ca="1">IFERROR(AI347+(AI341-AI342)*(AI348-AI347)/(AI343-AI342),AI347)</f>
        <v>999</v>
      </c>
      <c r="AM351" s="2"/>
      <c r="AN351" s="2"/>
      <c r="AO351" s="2"/>
      <c r="AP351" s="16" t="s">
        <v>206</v>
      </c>
      <c r="AQ351" s="141">
        <f ca="1">IFERROR(AQ347+(AQ341-AQ342)*(AQ348-AQ347)/(AQ343-AQ342),AQ347)</f>
        <v>999</v>
      </c>
      <c r="AU351" s="2"/>
      <c r="AV351" s="2"/>
      <c r="AW351" s="2"/>
      <c r="AX351" s="16" t="s">
        <v>206</v>
      </c>
      <c r="AY351" s="141">
        <f ca="1">IFERROR(AY347+(AY341-AY342)*(AY348-AY347)/(AY343-AY342),AY347)</f>
        <v>0</v>
      </c>
    </row>
    <row r="352" spans="1:55" ht="15" customHeight="1" x14ac:dyDescent="0.3">
      <c r="B352" s="16" t="s">
        <v>207</v>
      </c>
      <c r="C352" s="141">
        <f ca="1">IFERROR(C349+(C341-C342)*(C350-C349)/(C343-C342),C349)</f>
        <v>999</v>
      </c>
      <c r="G352" s="2"/>
      <c r="H352" s="2"/>
      <c r="I352" s="2"/>
      <c r="J352" s="16" t="s">
        <v>207</v>
      </c>
      <c r="K352" s="141">
        <f ca="1">IFERROR(K349+(K341-K342)*(K350-K349)/(K343-K342),K349)</f>
        <v>999</v>
      </c>
      <c r="O352" s="2"/>
      <c r="P352" s="2"/>
      <c r="Q352" s="2"/>
      <c r="R352" s="16" t="s">
        <v>207</v>
      </c>
      <c r="S352" s="141">
        <f ca="1">IFERROR(S349+(S341-S342)*(S350-S349)/(S343-S342),S349)</f>
        <v>999</v>
      </c>
      <c r="W352" s="2"/>
      <c r="X352" s="2"/>
      <c r="Y352" s="2"/>
      <c r="Z352" s="16" t="s">
        <v>207</v>
      </c>
      <c r="AA352" s="141">
        <f ca="1">IFERROR(AA349+(AA341-AA342)*(AA350-AA349)/(AA343-AA342),AA349)</f>
        <v>999</v>
      </c>
      <c r="AE352" s="2"/>
      <c r="AF352" s="2"/>
      <c r="AG352" s="2"/>
      <c r="AH352" s="16" t="s">
        <v>207</v>
      </c>
      <c r="AI352" s="141">
        <f ca="1">IFERROR(AI349+(AI341-AI342)*(AI350-AI349)/(AI343-AI342),AI349)</f>
        <v>999</v>
      </c>
      <c r="AM352" s="2"/>
      <c r="AN352" s="2"/>
      <c r="AO352" s="2"/>
      <c r="AP352" s="16" t="s">
        <v>207</v>
      </c>
      <c r="AQ352" s="141">
        <f ca="1">IFERROR(AQ349+(AQ341-AQ342)*(AQ350-AQ349)/(AQ343-AQ342),AQ349)</f>
        <v>999</v>
      </c>
      <c r="AU352" s="2"/>
      <c r="AV352" s="2"/>
      <c r="AW352" s="2"/>
      <c r="AX352" s="16" t="s">
        <v>207</v>
      </c>
      <c r="AY352" s="141">
        <f ca="1">IFERROR(AY349+(AY341-AY342)*(AY350-AY349)/(AY343-AY342),AY349)</f>
        <v>0</v>
      </c>
    </row>
    <row r="353" spans="1:53" ht="15" customHeight="1" x14ac:dyDescent="0.3">
      <c r="B353" s="139" t="s">
        <v>186</v>
      </c>
      <c r="C353" s="140">
        <f ca="1">IFERROR(C351+(C344-C345)*(C352-C351)/(C346-C345),C351)</f>
        <v>999</v>
      </c>
      <c r="G353" s="2"/>
      <c r="H353" s="2"/>
      <c r="I353" s="2"/>
      <c r="J353" s="139" t="s">
        <v>186</v>
      </c>
      <c r="K353" s="140">
        <f ca="1">IFERROR(K351+(K344-K345)*(K352-K351)/(K346-K345),K351)</f>
        <v>999</v>
      </c>
      <c r="O353" s="2"/>
      <c r="P353" s="2"/>
      <c r="Q353" s="2"/>
      <c r="R353" s="139" t="s">
        <v>186</v>
      </c>
      <c r="S353" s="140">
        <f ca="1">IFERROR(S351+(S344-S345)*(S352-S351)/(S346-S345),S351)</f>
        <v>999</v>
      </c>
      <c r="W353" s="2"/>
      <c r="X353" s="2"/>
      <c r="Y353" s="2"/>
      <c r="Z353" s="139" t="s">
        <v>186</v>
      </c>
      <c r="AA353" s="140">
        <f ca="1">IFERROR(AA351+(AA344-AA345)*(AA352-AA351)/(AA346-AA345),AA351)</f>
        <v>999</v>
      </c>
      <c r="AE353" s="2"/>
      <c r="AF353" s="2"/>
      <c r="AG353" s="2"/>
      <c r="AH353" s="139" t="s">
        <v>186</v>
      </c>
      <c r="AI353" s="140">
        <f ca="1">IFERROR(AI351+(AI344-AI345)*(AI352-AI351)/(AI346-AI345),AI351)</f>
        <v>999</v>
      </c>
      <c r="AM353" s="2"/>
      <c r="AN353" s="2"/>
      <c r="AO353" s="2"/>
      <c r="AP353" s="139" t="s">
        <v>186</v>
      </c>
      <c r="AQ353" s="140">
        <f ca="1">IFERROR(AQ351+(AQ344-AQ345)*(AQ352-AQ351)/(AQ346-AQ345),AQ351)</f>
        <v>999</v>
      </c>
      <c r="AU353" s="2"/>
      <c r="AV353" s="2"/>
      <c r="AW353" s="2"/>
      <c r="AX353" s="139" t="s">
        <v>186</v>
      </c>
      <c r="AY353" s="140">
        <f ca="1">IFERROR(AY351+(AY344-AY345)*(AY352-AY351)/(AY346-AY345),AY351)</f>
        <v>0</v>
      </c>
    </row>
    <row r="354" spans="1:53" ht="15" customHeight="1" x14ac:dyDescent="0.3">
      <c r="B354" s="139"/>
      <c r="C354" s="140"/>
      <c r="G354" s="2"/>
      <c r="H354" s="2"/>
      <c r="I354" s="2"/>
      <c r="J354" s="139"/>
      <c r="K354" s="140"/>
      <c r="O354" s="2"/>
      <c r="P354" s="2"/>
      <c r="Q354" s="2"/>
      <c r="R354" s="139"/>
      <c r="S354" s="140"/>
      <c r="W354" s="2"/>
      <c r="X354" s="2"/>
      <c r="Y354" s="2"/>
      <c r="Z354" s="139"/>
      <c r="AA354" s="140"/>
      <c r="AE354" s="2"/>
      <c r="AF354" s="2"/>
      <c r="AG354" s="2"/>
      <c r="AH354" s="139"/>
      <c r="AI354" s="140"/>
      <c r="AM354" s="2"/>
      <c r="AN354" s="2"/>
      <c r="AO354" s="2"/>
      <c r="AP354" s="139"/>
      <c r="AQ354" s="140"/>
      <c r="AU354" s="2"/>
      <c r="AV354" s="2"/>
      <c r="AW354" s="2"/>
      <c r="AX354" s="139"/>
      <c r="AY354" s="140"/>
    </row>
    <row r="355" spans="1:53" ht="15.75" customHeight="1" x14ac:dyDescent="0.3">
      <c r="A355" t="s">
        <v>221</v>
      </c>
      <c r="B355" s="357" t="s">
        <v>235</v>
      </c>
      <c r="C355" s="357"/>
      <c r="D355" s="357"/>
      <c r="E355" s="357"/>
      <c r="F355" s="357"/>
      <c r="G355" s="357"/>
      <c r="H355" s="357"/>
      <c r="I355" s="357"/>
      <c r="J355" s="357"/>
      <c r="K355" s="357"/>
      <c r="O355" s="2"/>
      <c r="P355" s="2"/>
      <c r="Q355" s="2"/>
      <c r="R355" s="139"/>
      <c r="S355" s="140"/>
      <c r="W355" s="2"/>
      <c r="X355" s="2"/>
      <c r="Y355" s="2"/>
      <c r="Z355" s="139"/>
      <c r="AA355" s="140"/>
      <c r="AE355" s="2"/>
      <c r="AF355" s="2"/>
      <c r="AG355" s="2"/>
      <c r="AH355" s="139"/>
      <c r="AI355" s="140"/>
      <c r="AM355" s="2"/>
      <c r="AN355" s="2"/>
      <c r="AO355" s="2"/>
      <c r="AP355" s="139"/>
      <c r="AQ355" s="140"/>
      <c r="AU355" s="2"/>
      <c r="AV355" s="2"/>
      <c r="AW355" s="2"/>
      <c r="AX355" s="139"/>
      <c r="AY355" s="140"/>
    </row>
    <row r="356" spans="1:53" ht="15.75" customHeight="1" x14ac:dyDescent="0.3">
      <c r="A356" t="s">
        <v>35</v>
      </c>
      <c r="B356" s="229">
        <v>102</v>
      </c>
      <c r="C356" s="230">
        <v>103</v>
      </c>
      <c r="D356" s="55">
        <v>104</v>
      </c>
      <c r="E356" s="55">
        <v>105</v>
      </c>
      <c r="F356" s="55">
        <v>106</v>
      </c>
      <c r="G356" s="55">
        <v>107</v>
      </c>
      <c r="H356" s="55">
        <v>108</v>
      </c>
      <c r="I356" s="259">
        <v>109</v>
      </c>
      <c r="J356" s="259">
        <v>110</v>
      </c>
      <c r="K356" s="231">
        <v>111</v>
      </c>
      <c r="L356" s="139"/>
      <c r="M356" s="140"/>
      <c r="O356" s="139"/>
      <c r="P356" s="140"/>
      <c r="T356" s="2"/>
      <c r="U356" s="2"/>
      <c r="V356" s="2"/>
      <c r="Y356" s="2"/>
      <c r="Z356" s="2"/>
      <c r="AA356" s="2"/>
      <c r="AB356" s="139"/>
      <c r="AC356" s="140"/>
      <c r="AG356" s="2"/>
      <c r="AH356" s="2"/>
      <c r="AI356" s="2"/>
      <c r="AJ356" s="139"/>
      <c r="AK356" s="140"/>
      <c r="AO356" s="2"/>
      <c r="AP356" s="2"/>
      <c r="AQ356" s="2"/>
      <c r="AR356" s="139"/>
      <c r="AS356" s="140"/>
      <c r="AW356" s="2"/>
      <c r="AX356" s="2"/>
      <c r="AY356" s="2"/>
      <c r="AZ356" s="139"/>
      <c r="BA356" s="140"/>
    </row>
    <row r="357" spans="1:53" ht="15.75" customHeight="1" x14ac:dyDescent="0.3">
      <c r="A357">
        <v>-2</v>
      </c>
      <c r="B357" s="274">
        <v>102</v>
      </c>
      <c r="C357" s="275">
        <v>102</v>
      </c>
      <c r="D357" s="276">
        <v>102.9</v>
      </c>
      <c r="E357" s="276">
        <v>103.8</v>
      </c>
      <c r="F357" s="276">
        <v>104.7</v>
      </c>
      <c r="G357" s="276">
        <v>105.6</v>
      </c>
      <c r="H357" s="276">
        <v>106.5</v>
      </c>
      <c r="I357" s="277">
        <v>107.4</v>
      </c>
      <c r="J357" s="277">
        <v>108.2</v>
      </c>
      <c r="K357" s="278">
        <v>109.2</v>
      </c>
      <c r="L357" s="139"/>
      <c r="M357" s="140"/>
      <c r="O357" s="139"/>
      <c r="P357" s="140"/>
      <c r="T357" s="2"/>
      <c r="U357" s="2"/>
      <c r="V357" s="2"/>
      <c r="Y357" s="2"/>
      <c r="Z357" s="2"/>
      <c r="AA357" s="2"/>
      <c r="AB357" s="139"/>
      <c r="AC357" s="140"/>
      <c r="AG357" s="2"/>
      <c r="AH357" s="2"/>
      <c r="AI357" s="2"/>
      <c r="AJ357" s="139"/>
      <c r="AK357" s="140"/>
      <c r="AO357" s="2"/>
      <c r="AP357" s="2"/>
      <c r="AQ357" s="2"/>
      <c r="AR357" s="139"/>
      <c r="AS357" s="140"/>
      <c r="AW357" s="2"/>
      <c r="AX357" s="2"/>
      <c r="AY357" s="2"/>
      <c r="AZ357" s="139"/>
      <c r="BA357" s="140"/>
    </row>
    <row r="358" spans="1:53" ht="15.75" customHeight="1" x14ac:dyDescent="0.3">
      <c r="A358">
        <v>-1.4</v>
      </c>
      <c r="B358" s="279">
        <v>102</v>
      </c>
      <c r="C358" s="203">
        <v>102</v>
      </c>
      <c r="D358">
        <v>103.1</v>
      </c>
      <c r="E358">
        <v>104</v>
      </c>
      <c r="F358">
        <v>104.8</v>
      </c>
      <c r="G358">
        <v>105.7</v>
      </c>
      <c r="H358">
        <v>106.5</v>
      </c>
      <c r="I358" s="12">
        <v>107.4</v>
      </c>
      <c r="J358" s="12">
        <v>108.2</v>
      </c>
      <c r="K358" s="280">
        <v>109.1</v>
      </c>
      <c r="L358" s="139"/>
      <c r="M358" s="140"/>
      <c r="O358" s="139"/>
      <c r="P358" s="140"/>
      <c r="T358" s="2"/>
      <c r="U358" s="2"/>
      <c r="V358" s="2"/>
      <c r="Y358" s="2"/>
      <c r="Z358" s="2"/>
      <c r="AA358" s="2"/>
      <c r="AB358" s="139"/>
      <c r="AC358" s="140"/>
      <c r="AG358" s="2"/>
      <c r="AH358" s="2"/>
      <c r="AI358" s="2"/>
      <c r="AJ358" s="139"/>
      <c r="AK358" s="140"/>
      <c r="AO358" s="2"/>
      <c r="AP358" s="2"/>
      <c r="AQ358" s="2"/>
      <c r="AR358" s="139"/>
      <c r="AS358" s="140"/>
      <c r="AW358" s="2"/>
      <c r="AX358" s="2"/>
      <c r="AY358" s="2"/>
      <c r="AZ358" s="139"/>
      <c r="BA358" s="140"/>
    </row>
    <row r="359" spans="1:53" ht="15.75" customHeight="1" x14ac:dyDescent="0.3">
      <c r="A359">
        <v>-1</v>
      </c>
      <c r="B359" s="279">
        <v>102</v>
      </c>
      <c r="C359" s="203">
        <v>102.4</v>
      </c>
      <c r="D359">
        <v>103.3</v>
      </c>
      <c r="E359">
        <v>104.2</v>
      </c>
      <c r="F359">
        <v>105</v>
      </c>
      <c r="G359">
        <v>105.9</v>
      </c>
      <c r="H359">
        <v>106.8</v>
      </c>
      <c r="I359" s="12">
        <v>107.6</v>
      </c>
      <c r="J359" s="12">
        <v>108.4</v>
      </c>
      <c r="K359" s="280">
        <v>109.4</v>
      </c>
      <c r="L359" s="139"/>
      <c r="M359" s="140"/>
      <c r="O359" s="139"/>
      <c r="P359" s="140"/>
      <c r="T359" s="2"/>
      <c r="U359" s="2"/>
      <c r="V359" s="2"/>
      <c r="Y359" s="2"/>
      <c r="Z359" s="2"/>
      <c r="AA359" s="2"/>
      <c r="AB359" s="139"/>
      <c r="AC359" s="140"/>
      <c r="AG359" s="2"/>
      <c r="AH359" s="2"/>
      <c r="AI359" s="2"/>
      <c r="AJ359" s="139"/>
      <c r="AK359" s="140"/>
      <c r="AO359" s="2"/>
      <c r="AP359" s="2"/>
      <c r="AQ359" s="2"/>
      <c r="AR359" s="139"/>
      <c r="AS359" s="140"/>
      <c r="AW359" s="2"/>
      <c r="AX359" s="2"/>
      <c r="AY359" s="2"/>
      <c r="AZ359" s="139"/>
      <c r="BA359" s="140"/>
    </row>
    <row r="360" spans="1:53" ht="15.75" customHeight="1" x14ac:dyDescent="0.3">
      <c r="A360">
        <v>0</v>
      </c>
      <c r="B360" s="279">
        <v>102</v>
      </c>
      <c r="C360" s="203">
        <v>103</v>
      </c>
      <c r="D360">
        <v>104</v>
      </c>
      <c r="E360">
        <v>105</v>
      </c>
      <c r="F360">
        <v>106</v>
      </c>
      <c r="G360">
        <v>107</v>
      </c>
      <c r="H360">
        <v>108</v>
      </c>
      <c r="I360" s="12">
        <v>109</v>
      </c>
      <c r="J360" s="12">
        <v>110</v>
      </c>
      <c r="K360" s="280">
        <v>111</v>
      </c>
      <c r="L360" s="139"/>
      <c r="M360" s="140"/>
      <c r="O360" s="139"/>
      <c r="P360" s="140"/>
      <c r="T360" s="2"/>
      <c r="U360" s="2"/>
      <c r="V360" s="2"/>
      <c r="Y360" s="2"/>
      <c r="Z360" s="2"/>
      <c r="AA360" s="2"/>
      <c r="AB360" s="139"/>
      <c r="AC360" s="140"/>
      <c r="AG360" s="2"/>
      <c r="AH360" s="2"/>
      <c r="AI360" s="2"/>
      <c r="AJ360" s="139"/>
      <c r="AK360" s="140"/>
      <c r="AO360" s="2"/>
      <c r="AP360" s="2"/>
      <c r="AQ360" s="2"/>
      <c r="AR360" s="139"/>
      <c r="AS360" s="140"/>
      <c r="AW360" s="2"/>
      <c r="AX360" s="2"/>
      <c r="AY360" s="2"/>
      <c r="AZ360" s="139"/>
      <c r="BA360" s="140"/>
    </row>
    <row r="361" spans="1:53" ht="15.75" customHeight="1" x14ac:dyDescent="0.3">
      <c r="A361">
        <v>1</v>
      </c>
      <c r="B361" s="279">
        <v>102.8</v>
      </c>
      <c r="C361" s="203">
        <v>104</v>
      </c>
      <c r="D361">
        <v>105.4</v>
      </c>
      <c r="E361">
        <v>106.6</v>
      </c>
      <c r="F361">
        <v>108</v>
      </c>
      <c r="G361">
        <v>109.2</v>
      </c>
      <c r="H361">
        <v>110.4</v>
      </c>
      <c r="I361">
        <v>111.7</v>
      </c>
      <c r="J361">
        <v>113</v>
      </c>
      <c r="K361" s="281" t="s">
        <v>113</v>
      </c>
      <c r="L361" s="139"/>
      <c r="M361" s="140"/>
      <c r="O361" s="139"/>
      <c r="P361" s="140"/>
      <c r="Y361" s="2"/>
      <c r="Z361" s="2"/>
      <c r="AA361" s="2"/>
      <c r="AB361" s="139"/>
      <c r="AC361" s="140"/>
      <c r="AG361" s="2"/>
      <c r="AH361" s="2"/>
      <c r="AI361" s="2"/>
      <c r="AJ361" s="139"/>
      <c r="AK361" s="140"/>
      <c r="AO361" s="2"/>
      <c r="AP361" s="2"/>
      <c r="AQ361" s="2"/>
      <c r="AR361" s="139"/>
      <c r="AS361" s="140"/>
      <c r="AW361" s="2"/>
      <c r="AX361" s="2"/>
      <c r="AY361" s="2"/>
      <c r="AZ361" s="139"/>
      <c r="BA361" s="140"/>
    </row>
    <row r="362" spans="1:53" ht="15.75" customHeight="1" x14ac:dyDescent="0.3">
      <c r="A362">
        <v>1.6</v>
      </c>
      <c r="B362" s="279">
        <v>103.2</v>
      </c>
      <c r="C362" s="203">
        <v>104.8</v>
      </c>
      <c r="D362">
        <v>106.4</v>
      </c>
      <c r="E362">
        <v>108</v>
      </c>
      <c r="F362">
        <v>109.4</v>
      </c>
      <c r="G362">
        <v>110.8</v>
      </c>
      <c r="H362">
        <v>112.2</v>
      </c>
      <c r="I362" s="12">
        <v>113.6</v>
      </c>
      <c r="J362" s="281" t="s">
        <v>113</v>
      </c>
      <c r="K362" s="281" t="s">
        <v>113</v>
      </c>
      <c r="L362" s="72"/>
      <c r="M362" s="140"/>
      <c r="O362" s="139"/>
      <c r="P362" s="140"/>
      <c r="T362" s="2"/>
      <c r="U362" s="2"/>
      <c r="V362" s="2"/>
      <c r="Y362" s="2"/>
      <c r="Z362" s="2"/>
      <c r="AA362" s="2"/>
      <c r="AB362" s="139"/>
      <c r="AC362" s="140"/>
      <c r="AG362" s="2"/>
      <c r="AH362" s="2"/>
      <c r="AI362" s="2"/>
      <c r="AJ362" s="139"/>
      <c r="AK362" s="140"/>
      <c r="AO362" s="2"/>
      <c r="AP362" s="2"/>
      <c r="AQ362" s="2"/>
      <c r="AR362" s="139"/>
      <c r="AS362" s="140"/>
      <c r="AW362" s="2"/>
      <c r="AX362" s="2"/>
      <c r="AY362" s="2"/>
      <c r="AZ362" s="139"/>
      <c r="BA362" s="140"/>
    </row>
    <row r="363" spans="1:53" ht="15.75" customHeight="1" x14ac:dyDescent="0.3">
      <c r="A363">
        <v>2</v>
      </c>
      <c r="B363" s="282">
        <v>103.4</v>
      </c>
      <c r="C363" s="283">
        <v>105.2</v>
      </c>
      <c r="D363" s="284">
        <v>107.2</v>
      </c>
      <c r="E363" s="284">
        <v>109.1</v>
      </c>
      <c r="F363" s="284">
        <v>110.6</v>
      </c>
      <c r="G363" s="284">
        <v>112</v>
      </c>
      <c r="H363" s="284">
        <v>113.5</v>
      </c>
      <c r="I363" s="285">
        <v>115</v>
      </c>
      <c r="J363" s="281" t="s">
        <v>113</v>
      </c>
      <c r="K363" s="281" t="s">
        <v>113</v>
      </c>
      <c r="L363" s="139"/>
      <c r="M363" s="140"/>
      <c r="O363" s="139"/>
      <c r="P363" s="140"/>
      <c r="T363" s="2"/>
      <c r="U363" s="2"/>
      <c r="V363" s="2"/>
      <c r="Y363" s="2"/>
      <c r="Z363" s="2"/>
      <c r="AA363" s="2"/>
      <c r="AB363" s="139"/>
      <c r="AC363" s="140"/>
      <c r="AG363" s="2"/>
      <c r="AH363" s="2"/>
      <c r="AI363" s="2"/>
      <c r="AJ363" s="139"/>
      <c r="AK363" s="140"/>
      <c r="AO363" s="2"/>
      <c r="AP363" s="2"/>
      <c r="AQ363" s="2"/>
      <c r="AR363" s="139"/>
      <c r="AS363" s="140"/>
      <c r="AW363" s="2"/>
      <c r="AX363" s="2"/>
      <c r="AY363" s="2"/>
      <c r="AZ363" s="139"/>
      <c r="BA363" s="140"/>
    </row>
    <row r="364" spans="1:53" ht="15.75" customHeight="1" x14ac:dyDescent="0.3">
      <c r="B364" s="139"/>
      <c r="C364" s="140"/>
      <c r="G364" s="2"/>
      <c r="H364" s="2"/>
      <c r="I364" s="2"/>
      <c r="J364" s="139"/>
      <c r="K364" s="140"/>
      <c r="O364" s="2"/>
      <c r="P364" s="2"/>
      <c r="Q364" s="2"/>
      <c r="R364" s="139"/>
      <c r="S364" s="140"/>
      <c r="W364" s="2"/>
      <c r="X364" s="2"/>
      <c r="Y364" s="2"/>
      <c r="Z364" s="139"/>
      <c r="AA364" s="140"/>
      <c r="AE364" s="2"/>
      <c r="AF364" s="2"/>
      <c r="AG364" s="2"/>
      <c r="AH364" s="139"/>
      <c r="AI364" s="140"/>
      <c r="AM364" s="2"/>
      <c r="AN364" s="2"/>
      <c r="AO364" s="2"/>
      <c r="AP364" s="139"/>
      <c r="AQ364" s="140"/>
      <c r="AU364" s="2"/>
      <c r="AV364" s="2"/>
      <c r="AW364" s="2"/>
      <c r="AX364" s="139"/>
      <c r="AY364" s="140"/>
    </row>
    <row r="365" spans="1:53" ht="15.75" customHeight="1" x14ac:dyDescent="0.3">
      <c r="B365" s="139" t="s">
        <v>146</v>
      </c>
      <c r="C365" s="140">
        <f ca="1">C353</f>
        <v>999</v>
      </c>
      <c r="D365" s="355" t="s">
        <v>201</v>
      </c>
      <c r="E365" s="355"/>
      <c r="G365" s="2"/>
      <c r="H365" s="2"/>
      <c r="I365" s="2"/>
      <c r="J365" s="139" t="s">
        <v>146</v>
      </c>
      <c r="K365" s="140">
        <f ca="1">K353</f>
        <v>999</v>
      </c>
      <c r="L365" s="355" t="s">
        <v>201</v>
      </c>
      <c r="M365" s="355"/>
      <c r="O365" s="2"/>
      <c r="P365" s="2"/>
      <c r="Q365" s="2"/>
      <c r="R365" s="139" t="s">
        <v>146</v>
      </c>
      <c r="S365" s="140">
        <f ca="1">S353</f>
        <v>999</v>
      </c>
      <c r="T365" s="355" t="s">
        <v>201</v>
      </c>
      <c r="U365" s="355"/>
      <c r="W365" s="2"/>
      <c r="X365" s="2"/>
      <c r="Y365" s="2"/>
      <c r="Z365" s="139" t="s">
        <v>146</v>
      </c>
      <c r="AA365" s="140">
        <f ca="1">AA353</f>
        <v>999</v>
      </c>
      <c r="AB365" s="355" t="s">
        <v>201</v>
      </c>
      <c r="AC365" s="355"/>
      <c r="AE365" s="2"/>
      <c r="AF365" s="2"/>
      <c r="AG365" s="2"/>
      <c r="AH365" s="139" t="s">
        <v>146</v>
      </c>
      <c r="AI365" s="140">
        <f ca="1">AI353</f>
        <v>999</v>
      </c>
      <c r="AJ365" s="355" t="s">
        <v>201</v>
      </c>
      <c r="AK365" s="355"/>
      <c r="AM365" s="2"/>
      <c r="AN365" s="2"/>
      <c r="AO365" s="2"/>
      <c r="AP365" s="139" t="s">
        <v>146</v>
      </c>
      <c r="AQ365" s="140">
        <f ca="1">AQ353</f>
        <v>999</v>
      </c>
      <c r="AR365" s="355" t="s">
        <v>201</v>
      </c>
      <c r="AS365" s="355"/>
      <c r="AU365" s="2"/>
      <c r="AV365" s="2"/>
      <c r="AW365" s="2"/>
      <c r="AX365" s="139" t="s">
        <v>146</v>
      </c>
      <c r="AY365" s="140">
        <f ca="1">AY353</f>
        <v>0</v>
      </c>
      <c r="AZ365" s="355" t="s">
        <v>201</v>
      </c>
      <c r="BA365" s="355"/>
    </row>
    <row r="366" spans="1:53" ht="15.75" customHeight="1" x14ac:dyDescent="0.3">
      <c r="B366" s="16" t="s">
        <v>202</v>
      </c>
      <c r="C366" s="141">
        <f t="array" aca="1" ref="C366" ca="1">INDEX(B356:K356,MATCH(C365,B356:K356,1))</f>
        <v>111</v>
      </c>
      <c r="D366" s="16" t="s">
        <v>144</v>
      </c>
      <c r="E366" s="17">
        <f>MATCH(MAX(A357:A363),A357:A363,1)</f>
        <v>7</v>
      </c>
      <c r="G366" s="2"/>
      <c r="H366" s="2"/>
      <c r="I366" s="2"/>
      <c r="J366" s="16" t="s">
        <v>202</v>
      </c>
      <c r="K366" s="141">
        <f t="array" aca="1" ref="K366" ca="1">INDEX($B356:$K356,MATCH(K365,$B356:$K356,1))</f>
        <v>111</v>
      </c>
      <c r="L366" s="16" t="s">
        <v>144</v>
      </c>
      <c r="M366" s="17">
        <f>MATCH(MAX($A$42:$A$47),$A$42:$A$47,1)</f>
        <v>6</v>
      </c>
      <c r="O366" s="2"/>
      <c r="P366" s="2"/>
      <c r="Q366" s="2"/>
      <c r="R366" s="16" t="s">
        <v>202</v>
      </c>
      <c r="S366" s="141">
        <f t="array" aca="1" ref="S366" ca="1">INDEX($B356:$K356,MATCH(S365,$B356:$K356,1))</f>
        <v>111</v>
      </c>
      <c r="T366" s="16" t="s">
        <v>144</v>
      </c>
      <c r="U366" s="17">
        <f>MATCH(MAX($A$42:$A$47),$A$42:$A$47,1)</f>
        <v>6</v>
      </c>
      <c r="W366" s="2"/>
      <c r="X366" s="2"/>
      <c r="Y366" s="2"/>
      <c r="Z366" s="16" t="s">
        <v>202</v>
      </c>
      <c r="AA366" s="141">
        <f t="array" aca="1" ref="AA366" ca="1">INDEX($B356:$K356,MATCH(AA365,$B356:$K356,1))</f>
        <v>111</v>
      </c>
      <c r="AB366" s="16" t="s">
        <v>144</v>
      </c>
      <c r="AC366" s="17">
        <f>MATCH(MAX($A$42:$A$47),$A$42:$A$47,1)</f>
        <v>6</v>
      </c>
      <c r="AE366" s="2"/>
      <c r="AF366" s="2"/>
      <c r="AG366" s="2"/>
      <c r="AH366" s="16" t="s">
        <v>202</v>
      </c>
      <c r="AI366" s="141">
        <f t="array" aca="1" ref="AI366" ca="1">INDEX($B356:$K356,MATCH(AI365,$B356:$K356,1))</f>
        <v>111</v>
      </c>
      <c r="AJ366" s="16" t="s">
        <v>144</v>
      </c>
      <c r="AK366" s="17">
        <f>MATCH(MAX($A$42:$A$47),$A$42:$A$47,1)</f>
        <v>6</v>
      </c>
      <c r="AM366" s="2"/>
      <c r="AN366" s="2"/>
      <c r="AO366" s="2"/>
      <c r="AP366" s="16" t="s">
        <v>202</v>
      </c>
      <c r="AQ366" s="141">
        <f t="array" aca="1" ref="AQ366" ca="1">INDEX($B356:$K356,MATCH(AQ365,$B356:$K356,1))</f>
        <v>111</v>
      </c>
      <c r="AR366" s="16" t="s">
        <v>144</v>
      </c>
      <c r="AS366" s="17">
        <f>MATCH(MAX($A$42:$A$47),$A$42:$A$47,1)</f>
        <v>6</v>
      </c>
      <c r="AU366" s="2"/>
      <c r="AV366" s="2"/>
      <c r="AW366" s="2"/>
      <c r="AX366" s="16" t="s">
        <v>202</v>
      </c>
      <c r="AY366" s="141" t="e">
        <f t="array" aca="1" ref="AY366" ca="1">INDEX($B356:$K356,MATCH(AY365,$B356:$K356,1))</f>
        <v>#N/A</v>
      </c>
      <c r="AZ366" s="16" t="s">
        <v>144</v>
      </c>
      <c r="BA366" s="17">
        <f>MATCH(MAX($A$42:$A$47),$A$42:$A$47,1)</f>
        <v>6</v>
      </c>
    </row>
    <row r="367" spans="1:53" ht="15.75" customHeight="1" x14ac:dyDescent="0.3">
      <c r="B367" s="16" t="s">
        <v>203</v>
      </c>
      <c r="C367" s="141">
        <f t="array" aca="1" ref="C367" ca="1">INDEX(B356:K356,IF(MATCH(C365,B356:K356,1)&lt;E367,MATCH(C365,B356:K356,1)+1,MATCH(C365,B356:K356,1)))</f>
        <v>111</v>
      </c>
      <c r="D367" s="16" t="s">
        <v>145</v>
      </c>
      <c r="E367" s="17">
        <f>MATCH(MAX(B356:K356),B356:K356,0)</f>
        <v>10</v>
      </c>
      <c r="G367" s="2"/>
      <c r="H367" s="2"/>
      <c r="I367" s="2"/>
      <c r="J367" s="16" t="s">
        <v>203</v>
      </c>
      <c r="K367" s="141">
        <f t="array" aca="1" ref="K367" ca="1">INDEX($B356:$K356,IF(MATCH(K365,$B356:$K356,1)&lt;M367,MATCH(K365,$B356:$K356,1)+1,MATCH(K365,$B356:$K356,1)))</f>
        <v>111</v>
      </c>
      <c r="L367" s="16" t="s">
        <v>145</v>
      </c>
      <c r="M367" s="17">
        <f>MATCH(MAX($B$41:$I$41),$B$41:$I$41,0)</f>
        <v>8</v>
      </c>
      <c r="O367" s="2"/>
      <c r="P367" s="2"/>
      <c r="Q367" s="2"/>
      <c r="R367" s="16" t="s">
        <v>203</v>
      </c>
      <c r="S367" s="141">
        <f t="array" aca="1" ref="S367" ca="1">INDEX($B356:$K356,IF(MATCH(S365,$B356:$K356,1)&lt;U367,MATCH(S365,$B356:$K356,1)+1,MATCH(S365,$B356:$K356,1)))</f>
        <v>111</v>
      </c>
      <c r="T367" s="16" t="s">
        <v>145</v>
      </c>
      <c r="U367" s="17">
        <f>MATCH(MAX($B$41:$I$41),$B$41:$I$41,0)</f>
        <v>8</v>
      </c>
      <c r="W367" s="2"/>
      <c r="X367" s="2"/>
      <c r="Y367" s="2"/>
      <c r="Z367" s="16" t="s">
        <v>203</v>
      </c>
      <c r="AA367" s="141">
        <f t="array" aca="1" ref="AA367" ca="1">INDEX($B356:$K356,IF(MATCH(AA365,$B356:$K356,1)&lt;AC367,MATCH(AA365,$B356:$K356,1)+1,MATCH(AA365,$B356:$K356,1)))</f>
        <v>111</v>
      </c>
      <c r="AB367" s="16" t="s">
        <v>145</v>
      </c>
      <c r="AC367" s="17">
        <f>MATCH(MAX($B$41:$I$41),$B$41:$I$41,0)</f>
        <v>8</v>
      </c>
      <c r="AE367" s="2"/>
      <c r="AF367" s="2"/>
      <c r="AG367" s="2"/>
      <c r="AH367" s="16" t="s">
        <v>203</v>
      </c>
      <c r="AI367" s="141">
        <f t="array" aca="1" ref="AI367" ca="1">INDEX($B356:$K356,IF(MATCH(AI365,$B356:$K356,1)&lt;AK367,MATCH(AI365,$B356:$K356,1)+1,MATCH(AI365,$B356:$K356,1)))</f>
        <v>111</v>
      </c>
      <c r="AJ367" s="16" t="s">
        <v>145</v>
      </c>
      <c r="AK367" s="17">
        <f>MATCH(MAX($B$41:$I$41),$B$41:$I$41,0)</f>
        <v>8</v>
      </c>
      <c r="AM367" s="2"/>
      <c r="AN367" s="2"/>
      <c r="AO367" s="2"/>
      <c r="AP367" s="16" t="s">
        <v>203</v>
      </c>
      <c r="AQ367" s="141">
        <f t="array" aca="1" ref="AQ367" ca="1">INDEX($B356:$K356,IF(MATCH(AQ365,$B356:$K356,1)&lt;AS367,MATCH(AQ365,$B356:$K356,1)+1,MATCH(AQ365,$B356:$K356,1)))</f>
        <v>111</v>
      </c>
      <c r="AR367" s="16" t="s">
        <v>145</v>
      </c>
      <c r="AS367" s="17">
        <f>MATCH(MAX($B$41:$I$41),$B$41:$I$41,0)</f>
        <v>8</v>
      </c>
      <c r="AU367" s="2"/>
      <c r="AV367" s="2"/>
      <c r="AW367" s="2"/>
      <c r="AX367" s="16" t="s">
        <v>203</v>
      </c>
      <c r="AY367" s="141" t="e">
        <f t="array" aca="1" ref="AY367" ca="1">INDEX($B356:$K356,IF(MATCH(AY365,$B356:$K356,1)&lt;BA367,MATCH(AY365,$B356:$K356,1)+1,MATCH(AY365,$B356:$K356,1)))</f>
        <v>#N/A</v>
      </c>
      <c r="AZ367" s="16" t="s">
        <v>145</v>
      </c>
      <c r="BA367" s="17">
        <f>MATCH(MAX($B$41:$I$41),$B$41:$I$41,0)</f>
        <v>8</v>
      </c>
    </row>
    <row r="368" spans="1:53" ht="15.75" customHeight="1" x14ac:dyDescent="0.3">
      <c r="B368" s="139" t="s">
        <v>147</v>
      </c>
      <c r="C368" s="186">
        <f>'Take-off'!$C$17</f>
        <v>0</v>
      </c>
      <c r="D368" s="2"/>
      <c r="E368" s="2"/>
      <c r="G368" s="2"/>
      <c r="H368" s="2"/>
      <c r="I368" s="2"/>
      <c r="J368" s="139" t="s">
        <v>147</v>
      </c>
      <c r="K368" s="186">
        <f>'Take-off'!$C$17</f>
        <v>0</v>
      </c>
      <c r="L368" s="2"/>
      <c r="M368" s="2"/>
      <c r="O368" s="2"/>
      <c r="P368" s="2"/>
      <c r="Q368" s="2"/>
      <c r="R368" s="139" t="s">
        <v>147</v>
      </c>
      <c r="S368" s="186">
        <f>'Take-off'!$C$17</f>
        <v>0</v>
      </c>
      <c r="T368" s="2"/>
      <c r="U368" s="2"/>
      <c r="W368" s="2"/>
      <c r="X368" s="2"/>
      <c r="Y368" s="2"/>
      <c r="Z368" s="139" t="s">
        <v>147</v>
      </c>
      <c r="AA368" s="186">
        <f>'Take-off'!$C$17</f>
        <v>0</v>
      </c>
      <c r="AB368" s="2"/>
      <c r="AC368" s="2"/>
      <c r="AE368" s="2"/>
      <c r="AF368" s="2"/>
      <c r="AG368" s="2"/>
      <c r="AH368" s="139" t="s">
        <v>147</v>
      </c>
      <c r="AI368" s="186">
        <f>'Take-off'!$C$17</f>
        <v>0</v>
      </c>
      <c r="AJ368" s="2"/>
      <c r="AK368" s="2"/>
      <c r="AM368" s="2"/>
      <c r="AN368" s="2"/>
      <c r="AO368" s="2"/>
      <c r="AP368" s="139" t="s">
        <v>147</v>
      </c>
      <c r="AQ368" s="186">
        <f>'Take-off'!$C$17</f>
        <v>0</v>
      </c>
      <c r="AR368" s="2"/>
      <c r="AS368" s="2"/>
      <c r="AU368" s="2"/>
      <c r="AV368" s="2"/>
      <c r="AW368" s="2"/>
      <c r="AX368" s="139" t="s">
        <v>147</v>
      </c>
      <c r="AY368" s="186">
        <f>'Take-off'!$C$17</f>
        <v>0</v>
      </c>
      <c r="AZ368" s="2"/>
      <c r="BA368" s="2"/>
    </row>
    <row r="369" spans="1:56" ht="15.75" customHeight="1" x14ac:dyDescent="0.3">
      <c r="B369" s="16" t="s">
        <v>148</v>
      </c>
      <c r="C369" s="141">
        <f t="array" ref="C369">INDEX(A357:A363,MATCH(C368,A357:A363,1))</f>
        <v>0</v>
      </c>
      <c r="D369" s="2"/>
      <c r="E369" s="42"/>
      <c r="G369" s="2"/>
      <c r="H369" s="2"/>
      <c r="I369" s="2"/>
      <c r="J369" s="16" t="s">
        <v>148</v>
      </c>
      <c r="K369" s="141">
        <f t="array" ref="K369">INDEX($A357:$A363,MATCH(K368,$A357:$A363,1))</f>
        <v>0</v>
      </c>
      <c r="L369" s="2"/>
      <c r="M369" s="42"/>
      <c r="O369" s="2"/>
      <c r="P369" s="2"/>
      <c r="Q369" s="2"/>
      <c r="R369" s="16" t="s">
        <v>148</v>
      </c>
      <c r="S369" s="141">
        <f t="array" ref="S369">INDEX($A357:$A363,MATCH(S368,$A357:$A363,1))</f>
        <v>0</v>
      </c>
      <c r="T369" s="2"/>
      <c r="U369" s="42"/>
      <c r="W369" s="2"/>
      <c r="X369" s="2"/>
      <c r="Y369" s="2"/>
      <c r="Z369" s="16" t="s">
        <v>148</v>
      </c>
      <c r="AA369" s="141">
        <f t="array" ref="AA369">INDEX($A357:$A363,MATCH(AA368,$A357:$A363,1))</f>
        <v>0</v>
      </c>
      <c r="AB369" s="2"/>
      <c r="AC369" s="42"/>
      <c r="AE369" s="2"/>
      <c r="AF369" s="2"/>
      <c r="AG369" s="2"/>
      <c r="AH369" s="16" t="s">
        <v>148</v>
      </c>
      <c r="AI369" s="141">
        <f t="array" ref="AI369">INDEX($A357:$A363,MATCH(AI368,$A357:$A363,1))</f>
        <v>0</v>
      </c>
      <c r="AJ369" s="2"/>
      <c r="AK369" s="42"/>
      <c r="AM369" s="2"/>
      <c r="AN369" s="2"/>
      <c r="AO369" s="2"/>
      <c r="AP369" s="16" t="s">
        <v>148</v>
      </c>
      <c r="AQ369" s="141">
        <f t="array" ref="AQ369">INDEX($A357:$A363,MATCH(AQ368,$A357:$A363,1))</f>
        <v>0</v>
      </c>
      <c r="AR369" s="2"/>
      <c r="AS369" s="42"/>
      <c r="AU369" s="2"/>
      <c r="AV369" s="2"/>
      <c r="AW369" s="2"/>
      <c r="AX369" s="16" t="s">
        <v>148</v>
      </c>
      <c r="AY369" s="141">
        <f t="array" ref="AY369">INDEX($A357:$A363,MATCH(AY368,$A357:$A363,1))</f>
        <v>0</v>
      </c>
      <c r="AZ369" s="2"/>
      <c r="BA369" s="42"/>
    </row>
    <row r="370" spans="1:56" ht="15.75" customHeight="1" x14ac:dyDescent="0.3">
      <c r="B370" s="16" t="s">
        <v>149</v>
      </c>
      <c r="C370" s="141">
        <f t="array" ref="C370">INDEX(A357:A363,IF(MATCH(C368,A357:A363,1)&lt;E366,MATCH(C368,A357:A363,1)+1,MATCH(C368,A357:A363,1)))</f>
        <v>1</v>
      </c>
      <c r="D370" s="2"/>
      <c r="E370" s="42"/>
      <c r="G370" s="2"/>
      <c r="H370" s="2"/>
      <c r="I370" s="2"/>
      <c r="J370" s="16" t="s">
        <v>149</v>
      </c>
      <c r="K370" s="141">
        <f t="array" ref="K370">INDEX($A357:$A363,IF(MATCH(K368,$A357:$A363,1)&lt;M366,MATCH(K368,$A357:$A363,1)+1,MATCH(K368,$A357:$A363,1)))</f>
        <v>1</v>
      </c>
      <c r="L370" s="2"/>
      <c r="M370" s="42"/>
      <c r="O370" s="2"/>
      <c r="P370" s="2"/>
      <c r="Q370" s="2"/>
      <c r="R370" s="16" t="s">
        <v>149</v>
      </c>
      <c r="S370" s="141">
        <f t="array" ref="S370">INDEX($A357:$A363,IF(MATCH(S368,$A357:$A363,1)&lt;U366,MATCH(S368,$A357:$A363,1)+1,MATCH(S368,$A357:$A363,1)))</f>
        <v>1</v>
      </c>
      <c r="T370" s="2"/>
      <c r="U370" s="42"/>
      <c r="W370" s="2"/>
      <c r="X370" s="2"/>
      <c r="Y370" s="2"/>
      <c r="Z370" s="16" t="s">
        <v>149</v>
      </c>
      <c r="AA370" s="141">
        <f t="array" ref="AA370">INDEX($A357:$A363,IF(MATCH(AA368,$A357:$A363,1)&lt;AC366,MATCH(AA368,$A357:$A363,1)+1,MATCH(AA368,$A357:$A363,1)))</f>
        <v>1</v>
      </c>
      <c r="AB370" s="2"/>
      <c r="AC370" s="42"/>
      <c r="AE370" s="2"/>
      <c r="AF370" s="2"/>
      <c r="AG370" s="2"/>
      <c r="AH370" s="16" t="s">
        <v>149</v>
      </c>
      <c r="AI370" s="141">
        <f t="array" ref="AI370">INDEX($A357:$A363,IF(MATCH(AI368,$A357:$A363,1)&lt;AK366,MATCH(AI368,$A357:$A363,1)+1,MATCH(AI368,$A357:$A363,1)))</f>
        <v>1</v>
      </c>
      <c r="AJ370" s="2"/>
      <c r="AK370" s="42"/>
      <c r="AM370" s="2"/>
      <c r="AN370" s="2"/>
      <c r="AO370" s="2"/>
      <c r="AP370" s="16" t="s">
        <v>149</v>
      </c>
      <c r="AQ370" s="141">
        <f t="array" ref="AQ370">INDEX($A357:$A363,IF(MATCH(AQ368,$A357:$A363,1)&lt;AS366,MATCH(AQ368,$A357:$A363,1)+1,MATCH(AQ368,$A357:$A363,1)))</f>
        <v>1</v>
      </c>
      <c r="AR370" s="2"/>
      <c r="AS370" s="42"/>
      <c r="AU370" s="2"/>
      <c r="AV370" s="2"/>
      <c r="AW370" s="2"/>
      <c r="AX370" s="16" t="s">
        <v>149</v>
      </c>
      <c r="AY370" s="141">
        <f t="array" ref="AY370">INDEX($A357:$A363,IF(MATCH(AY368,$A357:$A363,1)&lt;BA366,MATCH(AY368,$A357:$A363,1)+1,MATCH(AY368,$A357:$A363,1)))</f>
        <v>1</v>
      </c>
      <c r="AZ370" s="2"/>
      <c r="BA370" s="42"/>
    </row>
    <row r="371" spans="1:56" ht="15.75" customHeight="1" x14ac:dyDescent="0.3">
      <c r="B371" s="139" t="s">
        <v>150</v>
      </c>
      <c r="C371" s="140">
        <f t="array" aca="1" ref="C371" ca="1">INDEX(B357:K363,MATCH(C368,A357:A363,1),MATCH(C365,B356:K356,1))</f>
        <v>111</v>
      </c>
      <c r="D371" s="2"/>
      <c r="E371" s="42"/>
      <c r="G371" s="2"/>
      <c r="H371" s="2"/>
      <c r="I371" s="2"/>
      <c r="J371" s="139" t="s">
        <v>150</v>
      </c>
      <c r="K371" s="140">
        <f t="array" aca="1" ref="K371" ca="1">INDEX($B357:$K363,MATCH(K368,$A357:$A363,1),MATCH(K365,$B356:$K356,1))</f>
        <v>111</v>
      </c>
      <c r="L371" s="2"/>
      <c r="M371" s="42"/>
      <c r="O371" s="2"/>
      <c r="P371" s="2"/>
      <c r="Q371" s="2"/>
      <c r="R371" s="139" t="s">
        <v>150</v>
      </c>
      <c r="S371" s="140">
        <f t="array" aca="1" ref="S371" ca="1">INDEX($B357:$K363,MATCH(S368,$A357:$A363,1),MATCH(S365,$B356:$K356,1))</f>
        <v>111</v>
      </c>
      <c r="T371" s="2"/>
      <c r="U371" s="42"/>
      <c r="W371" s="2"/>
      <c r="X371" s="2"/>
      <c r="Y371" s="2"/>
      <c r="Z371" s="139" t="s">
        <v>150</v>
      </c>
      <c r="AA371" s="140">
        <f t="array" aca="1" ref="AA371" ca="1">INDEX($B357:$K363,MATCH(AA368,$A357:$A363,1),MATCH(AA365,$B356:$K356,1))</f>
        <v>111</v>
      </c>
      <c r="AB371" s="2"/>
      <c r="AC371" s="42"/>
      <c r="AE371" s="2"/>
      <c r="AF371" s="2"/>
      <c r="AG371" s="2"/>
      <c r="AH371" s="139" t="s">
        <v>150</v>
      </c>
      <c r="AI371" s="140">
        <f t="array" aca="1" ref="AI371" ca="1">INDEX($B357:$K363,MATCH(AI368,$A357:$A363,1),MATCH(AI365,$B356:$K356,1))</f>
        <v>111</v>
      </c>
      <c r="AJ371" s="2"/>
      <c r="AK371" s="42"/>
      <c r="AM371" s="2"/>
      <c r="AN371" s="2"/>
      <c r="AO371" s="2"/>
      <c r="AP371" s="139" t="s">
        <v>150</v>
      </c>
      <c r="AQ371" s="140">
        <f t="array" aca="1" ref="AQ371" ca="1">INDEX($B357:$K363,MATCH(AQ368,$A357:$A363,1),MATCH(AQ365,$B356:$K356,1))</f>
        <v>111</v>
      </c>
      <c r="AR371" s="2"/>
      <c r="AS371" s="42"/>
      <c r="AU371" s="2"/>
      <c r="AV371" s="2"/>
      <c r="AW371" s="2"/>
      <c r="AX371" s="139" t="s">
        <v>150</v>
      </c>
      <c r="AY371" s="140" t="e">
        <f t="array" aca="1" ref="AY371" ca="1">INDEX($B357:$K363,MATCH(AY368,$A357:$A363,1),MATCH(AY365,$B356:$K356,1))</f>
        <v>#N/A</v>
      </c>
      <c r="AZ371" s="2"/>
      <c r="BA371" s="42"/>
    </row>
    <row r="372" spans="1:56" ht="15.75" customHeight="1" x14ac:dyDescent="0.3">
      <c r="B372" s="139" t="s">
        <v>204</v>
      </c>
      <c r="C372" s="140">
        <f t="array" aca="1" ref="C372" ca="1">INDEX(B357:K363,MATCH(C368,A357:A363,1),IF(MATCH(C365,B356:K356,1)&lt;E367,MATCH(C365,B356:K356,1)+1,MATCH(C368,A357:A363,1)))</f>
        <v>105</v>
      </c>
      <c r="E372" s="42"/>
      <c r="G372" s="2"/>
      <c r="H372" s="2"/>
      <c r="I372" s="2"/>
      <c r="J372" s="139" t="s">
        <v>204</v>
      </c>
      <c r="K372" s="140">
        <f t="array" aca="1" ref="K372" ca="1">INDEX($B357:$K363,MATCH(K368,$A357:$A363,1),IF(MATCH(K365,$B356:$K356,1)&lt;M367,MATCH(K365,$B356:$K356,1)+1,MATCH(K368,$A357:$A363,1)))</f>
        <v>105</v>
      </c>
      <c r="M372" s="42"/>
      <c r="O372" s="2"/>
      <c r="P372" s="2"/>
      <c r="Q372" s="2"/>
      <c r="R372" s="139" t="s">
        <v>204</v>
      </c>
      <c r="S372" s="140">
        <f t="array" aca="1" ref="S372" ca="1">INDEX($B357:$K363,MATCH(S368,$A357:$A363,1),IF(MATCH(S365,$B356:$K356,1)&lt;U367,MATCH(S365,$B356:$K356,1)+1,MATCH(S368,$A357:$A363,1)))</f>
        <v>105</v>
      </c>
      <c r="U372" s="42"/>
      <c r="W372" s="2"/>
      <c r="X372" s="2"/>
      <c r="Y372" s="2"/>
      <c r="Z372" s="139" t="s">
        <v>204</v>
      </c>
      <c r="AA372" s="140">
        <f t="array" aca="1" ref="AA372" ca="1">INDEX($B357:$K363,MATCH(AA368,$A357:$A363,1),IF(MATCH(AA365,$B356:$K356,1)&lt;AC367,MATCH(AA365,$B356:$K356,1)+1,MATCH(AA368,$A357:$A363,1)))</f>
        <v>105</v>
      </c>
      <c r="AC372" s="42"/>
      <c r="AE372" s="2"/>
      <c r="AF372" s="2"/>
      <c r="AG372" s="2"/>
      <c r="AH372" s="139" t="s">
        <v>204</v>
      </c>
      <c r="AI372" s="140">
        <f t="array" aca="1" ref="AI372" ca="1">INDEX($B357:$K363,MATCH(AI368,$A357:$A363,1),IF(MATCH(AI365,$B356:$K356,1)&lt;AK367,MATCH(AI365,$B356:$K356,1)+1,MATCH(AI368,$A357:$A363,1)))</f>
        <v>105</v>
      </c>
      <c r="AK372" s="42"/>
      <c r="AM372" s="2"/>
      <c r="AN372" s="2"/>
      <c r="AO372" s="2"/>
      <c r="AP372" s="139" t="s">
        <v>204</v>
      </c>
      <c r="AQ372" s="140">
        <f t="array" aca="1" ref="AQ372" ca="1">INDEX($B357:$K363,MATCH(AQ368,$A357:$A363,1),IF(MATCH(AQ365,$B356:$K356,1)&lt;AS367,MATCH(AQ365,$B356:$K356,1)+1,MATCH(AQ368,$A357:$A363,1)))</f>
        <v>105</v>
      </c>
      <c r="AS372" s="42"/>
      <c r="AU372" s="2"/>
      <c r="AV372" s="2"/>
      <c r="AW372" s="2"/>
      <c r="AX372" s="139" t="s">
        <v>204</v>
      </c>
      <c r="AY372" s="140" t="e">
        <f t="array" aca="1" ref="AY372" ca="1">INDEX($B357:$K363,MATCH(AY368,$A357:$A363,1),IF(MATCH(AY365,$B356:$K356,1)&lt;BA367,MATCH(AY365,$B356:$K356,1)+1,MATCH(AY368,$A357:$A363,1)))</f>
        <v>#N/A</v>
      </c>
      <c r="BA372" s="42"/>
    </row>
    <row r="373" spans="1:56" ht="15.75" customHeight="1" x14ac:dyDescent="0.3">
      <c r="B373" s="139" t="s">
        <v>151</v>
      </c>
      <c r="C373" s="140" t="str">
        <f t="array" aca="1" ref="C373" ca="1">INDEX(B357:K363,IF(MATCH(C368,A357:A363,1)&lt;E366,MATCH(C368,A357:A363,1)+1,MATCH(C368,A357:A363,1)),MATCH(C365,B356:K356,1))</f>
        <v>-</v>
      </c>
      <c r="E373" s="42"/>
      <c r="G373" s="2"/>
      <c r="H373" s="2"/>
      <c r="I373" s="2"/>
      <c r="J373" s="139" t="s">
        <v>151</v>
      </c>
      <c r="K373" s="140" t="str">
        <f t="array" aca="1" ref="K373" ca="1">INDEX($B357:$K363,IF(MATCH(K368,$A357:$A363,1)&lt;M366,MATCH(K368,$A357:$A363,1)+1,MATCH(K368,$A357:$A363,1)),MATCH(K365,$B356:$K356,1))</f>
        <v>-</v>
      </c>
      <c r="M373" s="42"/>
      <c r="O373" s="2"/>
      <c r="P373" s="2"/>
      <c r="Q373" s="2"/>
      <c r="R373" s="139" t="s">
        <v>151</v>
      </c>
      <c r="S373" s="140" t="str">
        <f t="array" aca="1" ref="S373" ca="1">INDEX($B357:$K363,IF(MATCH(S368,$A357:$A363,1)&lt;U366,MATCH(S368,$A357:$A363,1)+1,MATCH(S368,$A357:$A363,1)),MATCH(S365,$B356:$K356,1))</f>
        <v>-</v>
      </c>
      <c r="U373" s="42"/>
      <c r="W373" s="2"/>
      <c r="X373" s="2"/>
      <c r="Y373" s="2"/>
      <c r="Z373" s="139" t="s">
        <v>151</v>
      </c>
      <c r="AA373" s="140" t="str">
        <f t="array" aca="1" ref="AA373" ca="1">INDEX($B357:$K363,IF(MATCH(AA368,$A357:$A363,1)&lt;AC366,MATCH(AA368,$A357:$A363,1)+1,MATCH(AA368,$A357:$A363,1)),MATCH(AA365,$B356:$K356,1))</f>
        <v>-</v>
      </c>
      <c r="AC373" s="42"/>
      <c r="AE373" s="2"/>
      <c r="AF373" s="2"/>
      <c r="AG373" s="2"/>
      <c r="AH373" s="139" t="s">
        <v>151</v>
      </c>
      <c r="AI373" s="140" t="str">
        <f t="array" aca="1" ref="AI373" ca="1">INDEX($B357:$K363,IF(MATCH(AI368,$A357:$A363,1)&lt;AK366,MATCH(AI368,$A357:$A363,1)+1,MATCH(AI368,$A357:$A363,1)),MATCH(AI365,$B356:$K356,1))</f>
        <v>-</v>
      </c>
      <c r="AK373" s="42"/>
      <c r="AM373" s="2"/>
      <c r="AN373" s="2"/>
      <c r="AO373" s="2"/>
      <c r="AP373" s="139" t="s">
        <v>151</v>
      </c>
      <c r="AQ373" s="140" t="str">
        <f t="array" aca="1" ref="AQ373" ca="1">INDEX($B357:$K363,IF(MATCH(AQ368,$A357:$A363,1)&lt;AS366,MATCH(AQ368,$A357:$A363,1)+1,MATCH(AQ368,$A357:$A363,1)),MATCH(AQ365,$B356:$K356,1))</f>
        <v>-</v>
      </c>
      <c r="AS373" s="42"/>
      <c r="AU373" s="2"/>
      <c r="AV373" s="2"/>
      <c r="AW373" s="2"/>
      <c r="AX373" s="139" t="s">
        <v>151</v>
      </c>
      <c r="AY373" s="140" t="e">
        <f t="array" aca="1" ref="AY373" ca="1">INDEX($B357:$K363,IF(MATCH(AY368,$A357:$A363,1)&lt;BA366,MATCH(AY368,$A357:$A363,1)+1,MATCH(AY368,$A357:$A363,1)),MATCH(AY365,$B356:$K356,1))</f>
        <v>#N/A</v>
      </c>
      <c r="BA373" s="42"/>
    </row>
    <row r="374" spans="1:56" ht="15.75" customHeight="1" x14ac:dyDescent="0.3">
      <c r="B374" s="139" t="s">
        <v>205</v>
      </c>
      <c r="C374" s="140" t="str">
        <f t="array" aca="1" ref="C374" ca="1">INDEX(B357:K363,IF(MATCH(C368,A357:A363,1)&lt;E366,MATCH(C368,A357:A363,1)+1,MATCH(C368,A357:A363,1)),IF(MATCH(C365,B356:K356,1)&lt;E367,MATCH(C365,B356:K356,1)+1,MATCH(C365,B356:K356,1)))</f>
        <v>-</v>
      </c>
      <c r="G374" s="2"/>
      <c r="H374" s="2"/>
      <c r="I374" s="2"/>
      <c r="J374" s="139" t="s">
        <v>205</v>
      </c>
      <c r="K374" s="140" t="str">
        <f t="array" aca="1" ref="K374" ca="1">INDEX($B357:$K363,IF(MATCH(K368,$A357:$A363,1)&lt;M366,MATCH(K368,$A357:$A363,1)+1,MATCH(K368,$A357:$A363,1)),IF(MATCH(K365,$B356:$K356,1)&lt;M367,MATCH(K365,$B356:$K356,1)+1,MATCH(K365,$B356:$K356,1)))</f>
        <v>-</v>
      </c>
      <c r="O374" s="2"/>
      <c r="P374" s="2"/>
      <c r="Q374" s="2"/>
      <c r="R374" s="139" t="s">
        <v>205</v>
      </c>
      <c r="S374" s="140" t="str">
        <f t="array" aca="1" ref="S374" ca="1">INDEX($B357:$K363,IF(MATCH(S368,$A357:$A363,1)&lt;U366,MATCH(S368,$A357:$A363,1)+1,MATCH(S368,$A357:$A363,1)),IF(MATCH(S365,$B356:$K356,1)&lt;U367,MATCH(S365,$B356:$K356,1)+1,MATCH(S365,$B356:$K356,1)))</f>
        <v>-</v>
      </c>
      <c r="W374" s="2"/>
      <c r="X374" s="2"/>
      <c r="Y374" s="2"/>
      <c r="Z374" s="139" t="s">
        <v>205</v>
      </c>
      <c r="AA374" s="140" t="str">
        <f t="array" aca="1" ref="AA374" ca="1">INDEX($B357:$K363,IF(MATCH(AA368,$A357:$A363,1)&lt;AC366,MATCH(AA368,$A357:$A363,1)+1,MATCH(AA368,$A357:$A363,1)),IF(MATCH(AA365,$B356:$K356,1)&lt;AC367,MATCH(AA365,$B356:$K356,1)+1,MATCH(AA365,$B356:$K356,1)))</f>
        <v>-</v>
      </c>
      <c r="AE374" s="2"/>
      <c r="AF374" s="2"/>
      <c r="AG374" s="2"/>
      <c r="AH374" s="139" t="s">
        <v>205</v>
      </c>
      <c r="AI374" s="140" t="str">
        <f t="array" aca="1" ref="AI374" ca="1">INDEX($B357:$K363,IF(MATCH(AI368,$A357:$A363,1)&lt;AK366,MATCH(AI368,$A357:$A363,1)+1,MATCH(AI368,$A357:$A363,1)),IF(MATCH(AI365,$B356:$K356,1)&lt;AK367,MATCH(AI365,$B356:$K356,1)+1,MATCH(AI365,$B356:$K356,1)))</f>
        <v>-</v>
      </c>
      <c r="AM374" s="2"/>
      <c r="AN374" s="2"/>
      <c r="AO374" s="2"/>
      <c r="AP374" s="139" t="s">
        <v>205</v>
      </c>
      <c r="AQ374" s="140" t="str">
        <f t="array" aca="1" ref="AQ374" ca="1">INDEX($B357:$K363,IF(MATCH(AQ368,$A357:$A363,1)&lt;AS366,MATCH(AQ368,$A357:$A363,1)+1,MATCH(AQ368,$A357:$A363,1)),IF(MATCH(AQ365,$B356:$K356,1)&lt;AS367,MATCH(AQ365,$B356:$K356,1)+1,MATCH(AQ365,$B356:$K356,1)))</f>
        <v>-</v>
      </c>
      <c r="AU374" s="2"/>
      <c r="AV374" s="2"/>
      <c r="AW374" s="2"/>
      <c r="AX374" s="139" t="s">
        <v>205</v>
      </c>
      <c r="AY374" s="140" t="e">
        <f t="array" aca="1" ref="AY374" ca="1">INDEX($B357:$K363,IF(MATCH(AY368,$A357:$A363,1)&lt;BA366,MATCH(AY368,$A357:$A363,1)+1,MATCH(AY368,$A357:$A363,1)),IF(MATCH(AY365,$B356:$K356,1)&lt;BA367,MATCH(AY365,$B356:$K356,1)+1,MATCH(AY365,$B356:$K356,1)))</f>
        <v>#N/A</v>
      </c>
    </row>
    <row r="375" spans="1:56" ht="15.75" customHeight="1" x14ac:dyDescent="0.3">
      <c r="B375" s="16" t="s">
        <v>206</v>
      </c>
      <c r="C375" s="141">
        <f ca="1">IFERROR(C371+(C365-C366)*(C372-C371)/(C367-C366),C371)</f>
        <v>111</v>
      </c>
      <c r="G375" s="2"/>
      <c r="H375" s="2"/>
      <c r="I375" s="2"/>
      <c r="J375" s="16" t="s">
        <v>206</v>
      </c>
      <c r="K375" s="141">
        <f ca="1">IFERROR(K371+(K365-K366)*(K372-K371)/(K367-K366),K371)</f>
        <v>111</v>
      </c>
      <c r="O375" s="2"/>
      <c r="P375" s="2"/>
      <c r="Q375" s="2"/>
      <c r="R375" s="16" t="s">
        <v>206</v>
      </c>
      <c r="S375" s="141">
        <f ca="1">IFERROR(S371+(S365-S366)*(S372-S371)/(S367-S366),S371)</f>
        <v>111</v>
      </c>
      <c r="W375" s="2"/>
      <c r="X375" s="2"/>
      <c r="Y375" s="2"/>
      <c r="Z375" s="16" t="s">
        <v>206</v>
      </c>
      <c r="AA375" s="141">
        <f ca="1">IFERROR(AA371+(AA365-AA366)*(AA372-AA371)/(AA367-AA366),AA371)</f>
        <v>111</v>
      </c>
      <c r="AE375" s="2"/>
      <c r="AF375" s="2"/>
      <c r="AG375" s="2"/>
      <c r="AH375" s="16" t="s">
        <v>206</v>
      </c>
      <c r="AI375" s="141">
        <f ca="1">IFERROR(AI371+(AI365-AI366)*(AI372-AI371)/(AI367-AI366),AI371)</f>
        <v>111</v>
      </c>
      <c r="AM375" s="2"/>
      <c r="AN375" s="2"/>
      <c r="AO375" s="2"/>
      <c r="AP375" s="16" t="s">
        <v>206</v>
      </c>
      <c r="AQ375" s="141">
        <f ca="1">IFERROR(AQ371+(AQ365-AQ366)*(AQ372-AQ371)/(AQ367-AQ366),AQ371)</f>
        <v>111</v>
      </c>
      <c r="AU375" s="2"/>
      <c r="AV375" s="2"/>
      <c r="AW375" s="2"/>
      <c r="AX375" s="16" t="s">
        <v>206</v>
      </c>
      <c r="AY375" s="141" t="e">
        <f ca="1">IFERROR(AY371+(AY365-AY366)*(AY372-AY371)/(AY367-AY366),AY371)</f>
        <v>#N/A</v>
      </c>
    </row>
    <row r="376" spans="1:56" ht="15.75" customHeight="1" x14ac:dyDescent="0.3">
      <c r="B376" s="16" t="s">
        <v>207</v>
      </c>
      <c r="C376" s="141" t="str">
        <f ca="1">IFERROR(C373+(C365-C366)*(C374-C373)/(C367-C366),C373)</f>
        <v>-</v>
      </c>
      <c r="G376" s="2"/>
      <c r="H376" s="2"/>
      <c r="I376" s="2"/>
      <c r="J376" s="16" t="s">
        <v>207</v>
      </c>
      <c r="K376" s="141" t="str">
        <f ca="1">IFERROR(K373+(K365-K366)*(K374-K373)/(K367-K366),K373)</f>
        <v>-</v>
      </c>
      <c r="O376" s="2"/>
      <c r="P376" s="2"/>
      <c r="Q376" s="2"/>
      <c r="R376" s="16" t="s">
        <v>207</v>
      </c>
      <c r="S376" s="141" t="str">
        <f ca="1">IFERROR(S373+(S365-S366)*(S374-S373)/(S367-S366),S373)</f>
        <v>-</v>
      </c>
      <c r="W376" s="2"/>
      <c r="X376" s="2"/>
      <c r="Y376" s="2"/>
      <c r="Z376" s="16" t="s">
        <v>207</v>
      </c>
      <c r="AA376" s="141" t="str">
        <f ca="1">IFERROR(AA373+(AA365-AA366)*(AA374-AA373)/(AA367-AA366),AA373)</f>
        <v>-</v>
      </c>
      <c r="AE376" s="2"/>
      <c r="AF376" s="2"/>
      <c r="AG376" s="2"/>
      <c r="AH376" s="16" t="s">
        <v>207</v>
      </c>
      <c r="AI376" s="141" t="str">
        <f ca="1">IFERROR(AI373+(AI365-AI366)*(AI374-AI373)/(AI367-AI366),AI373)</f>
        <v>-</v>
      </c>
      <c r="AM376" s="2"/>
      <c r="AN376" s="2"/>
      <c r="AO376" s="2"/>
      <c r="AP376" s="16" t="s">
        <v>207</v>
      </c>
      <c r="AQ376" s="141" t="str">
        <f ca="1">IFERROR(AQ373+(AQ365-AQ366)*(AQ374-AQ373)/(AQ367-AQ366),AQ373)</f>
        <v>-</v>
      </c>
      <c r="AU376" s="2"/>
      <c r="AV376" s="2"/>
      <c r="AW376" s="2"/>
      <c r="AX376" s="16" t="s">
        <v>207</v>
      </c>
      <c r="AY376" s="141" t="e">
        <f ca="1">IFERROR(AY373+(AY365-AY366)*(AY374-AY373)/(AY367-AY366),AY373)</f>
        <v>#N/A</v>
      </c>
    </row>
    <row r="377" spans="1:56" ht="15.75" customHeight="1" x14ac:dyDescent="0.3">
      <c r="B377" s="139" t="s">
        <v>208</v>
      </c>
      <c r="C377" s="140">
        <f ca="1">IFERROR(C375+(C368-C369)*(C376-C375)/(C370-C369),C375)</f>
        <v>111</v>
      </c>
      <c r="G377" s="2"/>
      <c r="H377" s="2"/>
      <c r="I377" s="2"/>
      <c r="J377" s="139" t="s">
        <v>208</v>
      </c>
      <c r="K377" s="140">
        <f ca="1">IFERROR(K375+(K368-K369)*(K376-K375)/(K370-K369),K375)</f>
        <v>111</v>
      </c>
      <c r="O377" s="2"/>
      <c r="P377" s="2"/>
      <c r="Q377" s="2"/>
      <c r="R377" s="139" t="s">
        <v>208</v>
      </c>
      <c r="S377" s="140">
        <f ca="1">IFERROR(S375+(S368-S369)*(S376-S375)/(S370-S369),S375)</f>
        <v>111</v>
      </c>
      <c r="W377" s="2"/>
      <c r="X377" s="2"/>
      <c r="Y377" s="2"/>
      <c r="Z377" s="139" t="s">
        <v>208</v>
      </c>
      <c r="AA377" s="140">
        <f ca="1">IFERROR(AA375+(AA368-AA369)*(AA376-AA375)/(AA370-AA369),AA375)</f>
        <v>111</v>
      </c>
      <c r="AE377" s="2"/>
      <c r="AF377" s="2"/>
      <c r="AG377" s="2"/>
      <c r="AH377" s="139" t="s">
        <v>208</v>
      </c>
      <c r="AI377" s="140">
        <f ca="1">IFERROR(AI375+(AI368-AI369)*(AI376-AI375)/(AI370-AI369),AI375)</f>
        <v>111</v>
      </c>
      <c r="AM377" s="2"/>
      <c r="AN377" s="2"/>
      <c r="AO377" s="2"/>
      <c r="AP377" s="139" t="s">
        <v>208</v>
      </c>
      <c r="AQ377" s="140">
        <f ca="1">IFERROR(AQ375+(AQ368-AQ369)*(AQ376-AQ375)/(AQ370-AQ369),AQ375)</f>
        <v>111</v>
      </c>
      <c r="AU377" s="2"/>
      <c r="AV377" s="2"/>
      <c r="AW377" s="2"/>
      <c r="AX377" s="139" t="s">
        <v>208</v>
      </c>
      <c r="AY377" s="140" t="e">
        <f ca="1">IFERROR(AY375+(AY368-AY369)*(AY376-AY375)/(AY370-AY369),AY375)</f>
        <v>#N/A</v>
      </c>
    </row>
    <row r="378" spans="1:56" ht="15.75" customHeight="1" x14ac:dyDescent="0.3">
      <c r="B378" s="139"/>
      <c r="C378" s="140"/>
      <c r="G378" s="2"/>
      <c r="H378" s="2"/>
      <c r="I378" s="2"/>
      <c r="J378" s="139"/>
      <c r="K378" s="140"/>
      <c r="O378" s="2"/>
      <c r="P378" s="2"/>
      <c r="Q378" s="2"/>
      <c r="R378" s="139"/>
      <c r="S378" s="140"/>
      <c r="W378" s="2"/>
      <c r="X378" s="2"/>
      <c r="Y378" s="2"/>
      <c r="Z378" s="139"/>
      <c r="AA378" s="140"/>
      <c r="AE378" s="2"/>
      <c r="AF378" s="2"/>
      <c r="AG378" s="2"/>
      <c r="AH378" s="139"/>
      <c r="AI378" s="140"/>
      <c r="AM378" s="2"/>
      <c r="AN378" s="2"/>
      <c r="AO378" s="2"/>
      <c r="AP378" s="139"/>
      <c r="AQ378" s="140"/>
      <c r="AU378" s="2"/>
      <c r="AV378" s="2"/>
      <c r="AW378" s="2"/>
      <c r="AX378" s="139"/>
      <c r="AY378" s="140"/>
    </row>
    <row r="379" spans="1:56" ht="15.75" customHeight="1" x14ac:dyDescent="0.3">
      <c r="A379" t="s">
        <v>210</v>
      </c>
      <c r="B379" s="357" t="s">
        <v>236</v>
      </c>
      <c r="C379" s="357"/>
      <c r="D379" s="357"/>
      <c r="E379" s="357"/>
      <c r="F379" s="357"/>
      <c r="G379" s="357"/>
      <c r="H379" s="357"/>
      <c r="I379" s="357"/>
      <c r="J379" s="139"/>
      <c r="K379" s="140"/>
      <c r="O379" s="2"/>
      <c r="P379" s="2"/>
      <c r="Q379" s="2"/>
      <c r="R379" s="139"/>
      <c r="S379" s="140"/>
      <c r="W379" s="2"/>
      <c r="X379" s="2"/>
      <c r="Y379" s="2"/>
      <c r="Z379" s="139"/>
      <c r="AA379" s="140"/>
      <c r="AE379" s="2"/>
      <c r="AF379" s="2"/>
      <c r="AG379" s="2"/>
      <c r="AH379" s="139"/>
      <c r="AI379" s="140"/>
      <c r="AM379" s="2"/>
      <c r="AN379" s="2"/>
      <c r="AO379" s="2"/>
      <c r="AP379" s="139"/>
      <c r="AQ379" s="140"/>
      <c r="AU379" s="2"/>
      <c r="AV379" s="2"/>
      <c r="AW379" s="2"/>
      <c r="AX379" s="139"/>
      <c r="AY379" s="140"/>
    </row>
    <row r="380" spans="1:56" ht="15.75" customHeight="1" x14ac:dyDescent="0.3">
      <c r="A380" t="s">
        <v>47</v>
      </c>
      <c r="B380" s="229">
        <v>102</v>
      </c>
      <c r="C380" s="230">
        <v>103</v>
      </c>
      <c r="D380" s="55">
        <v>104</v>
      </c>
      <c r="E380" s="55">
        <v>105</v>
      </c>
      <c r="F380" s="55">
        <v>106</v>
      </c>
      <c r="G380" s="55">
        <v>107</v>
      </c>
      <c r="H380" s="55">
        <v>108</v>
      </c>
      <c r="I380" s="259">
        <v>109</v>
      </c>
      <c r="J380" s="259">
        <v>110</v>
      </c>
      <c r="K380" s="231">
        <v>111</v>
      </c>
      <c r="L380" s="259">
        <v>112</v>
      </c>
      <c r="M380" s="259">
        <v>113</v>
      </c>
      <c r="N380" s="231">
        <v>114</v>
      </c>
      <c r="O380" s="139"/>
      <c r="P380" s="140"/>
      <c r="R380" s="139"/>
      <c r="S380" s="140"/>
      <c r="W380" s="2"/>
      <c r="X380" s="2"/>
      <c r="Y380" s="2"/>
      <c r="AB380" s="2"/>
      <c r="AC380" s="2"/>
      <c r="AD380" s="2"/>
      <c r="AE380" s="139"/>
      <c r="AF380" s="140"/>
      <c r="AJ380" s="2"/>
      <c r="AK380" s="2"/>
      <c r="AL380" s="2"/>
      <c r="AM380" s="139"/>
      <c r="AN380" s="140"/>
      <c r="AR380" s="2"/>
      <c r="AS380" s="2"/>
      <c r="AT380" s="2"/>
      <c r="AU380" s="139"/>
      <c r="AV380" s="140"/>
      <c r="AZ380" s="2"/>
      <c r="BA380" s="2"/>
      <c r="BB380" s="2"/>
      <c r="BC380" s="139"/>
      <c r="BD380" s="140"/>
    </row>
    <row r="381" spans="1:56" ht="15.75" customHeight="1" x14ac:dyDescent="0.3">
      <c r="A381">
        <v>-10</v>
      </c>
      <c r="B381" s="274">
        <v>103.3</v>
      </c>
      <c r="C381" s="287">
        <v>104.4</v>
      </c>
      <c r="D381" s="287">
        <v>105.4</v>
      </c>
      <c r="E381" s="287">
        <v>106.4</v>
      </c>
      <c r="F381" s="287">
        <v>107.4</v>
      </c>
      <c r="G381" s="287">
        <v>108.4</v>
      </c>
      <c r="H381" s="287">
        <v>109.5</v>
      </c>
      <c r="I381" s="287">
        <v>110.5</v>
      </c>
      <c r="J381" s="287">
        <v>111.5</v>
      </c>
      <c r="K381" s="287">
        <v>112.6</v>
      </c>
      <c r="L381" s="287">
        <v>113.6</v>
      </c>
      <c r="M381" s="287">
        <v>114.6</v>
      </c>
      <c r="N381" s="288">
        <v>115.6</v>
      </c>
      <c r="O381" s="139"/>
      <c r="P381" s="140"/>
      <c r="R381" s="139"/>
      <c r="S381" s="140"/>
      <c r="W381" s="2"/>
      <c r="X381" s="2"/>
      <c r="Y381" s="2"/>
      <c r="AB381" s="2"/>
      <c r="AC381" s="2"/>
      <c r="AD381" s="2"/>
      <c r="AE381" s="139"/>
      <c r="AF381" s="140"/>
      <c r="AJ381" s="2"/>
      <c r="AK381" s="2"/>
      <c r="AL381" s="2"/>
      <c r="AM381" s="139"/>
      <c r="AN381" s="140"/>
      <c r="AR381" s="2"/>
      <c r="AS381" s="2"/>
      <c r="AT381" s="2"/>
      <c r="AU381" s="139"/>
      <c r="AV381" s="140"/>
      <c r="AZ381" s="2"/>
      <c r="BA381" s="2"/>
      <c r="BB381" s="2"/>
      <c r="BC381" s="139"/>
      <c r="BD381" s="140"/>
    </row>
    <row r="382" spans="1:56" ht="15.75" customHeight="1" x14ac:dyDescent="0.3">
      <c r="A382">
        <v>0</v>
      </c>
      <c r="B382" s="279">
        <v>102</v>
      </c>
      <c r="C382" s="203">
        <v>103</v>
      </c>
      <c r="D382">
        <v>104</v>
      </c>
      <c r="E382">
        <v>105</v>
      </c>
      <c r="F382">
        <v>106</v>
      </c>
      <c r="G382">
        <v>107</v>
      </c>
      <c r="H382">
        <v>108</v>
      </c>
      <c r="I382">
        <v>109</v>
      </c>
      <c r="J382">
        <v>110</v>
      </c>
      <c r="K382" s="12">
        <v>111</v>
      </c>
      <c r="L382" s="12">
        <v>112</v>
      </c>
      <c r="M382" s="12">
        <v>113</v>
      </c>
      <c r="N382" s="280">
        <v>114</v>
      </c>
      <c r="O382" s="139"/>
      <c r="P382" s="140"/>
      <c r="R382" s="139"/>
      <c r="S382" s="140"/>
      <c r="W382" s="2"/>
      <c r="X382" s="2"/>
      <c r="Y382" s="2"/>
      <c r="AB382" s="2"/>
      <c r="AC382" s="2"/>
      <c r="AD382" s="2"/>
      <c r="AE382" s="139"/>
      <c r="AF382" s="140"/>
      <c r="AJ382" s="2"/>
      <c r="AK382" s="2"/>
      <c r="AL382" s="2"/>
      <c r="AM382" s="139"/>
      <c r="AN382" s="140"/>
      <c r="AR382" s="2"/>
      <c r="AS382" s="2"/>
      <c r="AT382" s="2"/>
      <c r="AU382" s="139"/>
      <c r="AV382" s="140"/>
      <c r="AZ382" s="2"/>
      <c r="BA382" s="2"/>
      <c r="BB382" s="2"/>
      <c r="BC382" s="139"/>
      <c r="BD382" s="140"/>
    </row>
    <row r="383" spans="1:56" ht="15.75" customHeight="1" x14ac:dyDescent="0.3">
      <c r="A383">
        <v>10</v>
      </c>
      <c r="B383" s="279">
        <v>102</v>
      </c>
      <c r="C383" s="203">
        <v>102.6</v>
      </c>
      <c r="D383">
        <v>103.7</v>
      </c>
      <c r="E383">
        <v>104.7</v>
      </c>
      <c r="F383">
        <v>105.7</v>
      </c>
      <c r="G383">
        <v>106.7</v>
      </c>
      <c r="H383">
        <v>107.7</v>
      </c>
      <c r="I383">
        <v>108.7</v>
      </c>
      <c r="J383">
        <v>109.7</v>
      </c>
      <c r="K383">
        <v>110.7</v>
      </c>
      <c r="L383">
        <v>111.7</v>
      </c>
      <c r="M383">
        <v>112.7</v>
      </c>
      <c r="N383" s="281">
        <v>113.7</v>
      </c>
      <c r="O383" s="139"/>
      <c r="P383" s="140"/>
      <c r="R383" s="139"/>
      <c r="S383" s="140"/>
      <c r="AB383" s="2"/>
      <c r="AC383" s="2"/>
      <c r="AD383" s="2"/>
      <c r="AE383" s="139"/>
      <c r="AF383" s="140"/>
      <c r="AJ383" s="2"/>
      <c r="AK383" s="2"/>
      <c r="AL383" s="2"/>
      <c r="AM383" s="139"/>
      <c r="AN383" s="140"/>
      <c r="AR383" s="2"/>
      <c r="AS383" s="2"/>
      <c r="AT383" s="2"/>
      <c r="AU383" s="139"/>
      <c r="AV383" s="140"/>
      <c r="AZ383" s="2"/>
      <c r="BA383" s="2"/>
      <c r="BB383" s="2"/>
      <c r="BC383" s="139"/>
      <c r="BD383" s="140"/>
    </row>
    <row r="384" spans="1:56" ht="15.75" customHeight="1" x14ac:dyDescent="0.3">
      <c r="A384">
        <v>20</v>
      </c>
      <c r="B384" s="279">
        <v>102</v>
      </c>
      <c r="C384" s="203">
        <v>102.4</v>
      </c>
      <c r="D384">
        <v>103.4</v>
      </c>
      <c r="E384">
        <v>104.4</v>
      </c>
      <c r="F384">
        <v>105.4</v>
      </c>
      <c r="G384">
        <v>106.4</v>
      </c>
      <c r="H384">
        <v>107.4</v>
      </c>
      <c r="I384">
        <v>108.4</v>
      </c>
      <c r="J384">
        <v>109.4</v>
      </c>
      <c r="K384" s="12">
        <v>110.4</v>
      </c>
      <c r="L384" s="12">
        <v>111.4</v>
      </c>
      <c r="M384" s="12">
        <v>112.4</v>
      </c>
      <c r="N384" s="280">
        <v>113.4</v>
      </c>
      <c r="O384" s="72"/>
      <c r="P384" s="140"/>
      <c r="R384" s="139"/>
      <c r="S384" s="140"/>
      <c r="W384" s="2"/>
      <c r="X384" s="2"/>
      <c r="Y384" s="2"/>
      <c r="AB384" s="2"/>
      <c r="AC384" s="2"/>
      <c r="AD384" s="2"/>
      <c r="AE384" s="139"/>
      <c r="AF384" s="140"/>
      <c r="AJ384" s="2"/>
      <c r="AK384" s="2"/>
      <c r="AL384" s="2"/>
      <c r="AM384" s="139"/>
      <c r="AN384" s="140"/>
      <c r="AR384" s="2"/>
      <c r="AS384" s="2"/>
      <c r="AT384" s="2"/>
      <c r="AU384" s="139"/>
      <c r="AV384" s="140"/>
      <c r="AZ384" s="2"/>
      <c r="BA384" s="2"/>
      <c r="BB384" s="2"/>
      <c r="BC384" s="139"/>
      <c r="BD384" s="140"/>
    </row>
    <row r="385" spans="1:56" ht="15.75" customHeight="1" x14ac:dyDescent="0.3">
      <c r="A385">
        <v>30</v>
      </c>
      <c r="B385" s="282">
        <v>102</v>
      </c>
      <c r="C385" s="283">
        <v>102</v>
      </c>
      <c r="D385" s="284">
        <v>103</v>
      </c>
      <c r="E385" s="284">
        <v>104</v>
      </c>
      <c r="F385" s="284">
        <v>105</v>
      </c>
      <c r="G385" s="284">
        <v>106</v>
      </c>
      <c r="H385" s="284">
        <v>107</v>
      </c>
      <c r="I385" s="284">
        <v>108</v>
      </c>
      <c r="J385" s="284">
        <v>109</v>
      </c>
      <c r="K385" s="285">
        <v>110</v>
      </c>
      <c r="L385" s="285">
        <v>111</v>
      </c>
      <c r="M385" s="285">
        <v>112</v>
      </c>
      <c r="N385" s="286">
        <v>113</v>
      </c>
      <c r="O385" s="139"/>
      <c r="P385" s="140"/>
      <c r="R385" s="139"/>
      <c r="S385" s="140"/>
      <c r="W385" s="2"/>
      <c r="X385" s="2"/>
      <c r="Y385" s="2"/>
      <c r="AB385" s="2"/>
      <c r="AC385" s="2"/>
      <c r="AD385" s="2"/>
      <c r="AE385" s="139"/>
      <c r="AF385" s="140"/>
      <c r="AJ385" s="2"/>
      <c r="AK385" s="2"/>
      <c r="AL385" s="2"/>
      <c r="AM385" s="139"/>
      <c r="AN385" s="140"/>
      <c r="AR385" s="2"/>
      <c r="AS385" s="2"/>
      <c r="AT385" s="2"/>
      <c r="AU385" s="139"/>
      <c r="AV385" s="140"/>
      <c r="AZ385" s="2"/>
      <c r="BA385" s="2"/>
      <c r="BB385" s="2"/>
      <c r="BC385" s="139"/>
      <c r="BD385" s="140"/>
    </row>
    <row r="386" spans="1:56" ht="15.75" customHeight="1" x14ac:dyDescent="0.3">
      <c r="B386" s="139"/>
      <c r="C386" s="140"/>
      <c r="G386" s="2"/>
      <c r="H386" s="2"/>
      <c r="I386" s="2"/>
      <c r="J386" s="139"/>
      <c r="K386" s="140"/>
      <c r="O386" s="2"/>
      <c r="P386" s="2"/>
      <c r="Q386" s="2"/>
      <c r="R386" s="139"/>
      <c r="S386" s="140"/>
      <c r="W386" s="2"/>
      <c r="X386" s="2"/>
      <c r="Y386" s="2"/>
      <c r="Z386" s="139"/>
      <c r="AA386" s="140"/>
      <c r="AE386" s="2"/>
      <c r="AF386" s="2"/>
      <c r="AG386" s="2"/>
      <c r="AH386" s="139"/>
      <c r="AI386" s="140"/>
      <c r="AM386" s="2"/>
      <c r="AN386" s="2"/>
      <c r="AO386" s="2"/>
      <c r="AP386" s="139"/>
      <c r="AQ386" s="140"/>
      <c r="AU386" s="2"/>
      <c r="AV386" s="2"/>
      <c r="AW386" s="2"/>
      <c r="AX386" s="139"/>
      <c r="AY386" s="140"/>
    </row>
    <row r="387" spans="1:56" ht="15.75" customHeight="1" x14ac:dyDescent="0.3">
      <c r="B387" s="139" t="s">
        <v>146</v>
      </c>
      <c r="C387" s="140">
        <f ca="1">C377</f>
        <v>111</v>
      </c>
      <c r="D387" s="355" t="s">
        <v>201</v>
      </c>
      <c r="E387" s="355"/>
      <c r="G387" s="2"/>
      <c r="H387" s="2"/>
      <c r="I387" s="2"/>
      <c r="J387" s="139" t="s">
        <v>146</v>
      </c>
      <c r="K387" s="140">
        <f ca="1">K377</f>
        <v>111</v>
      </c>
      <c r="L387" s="355" t="s">
        <v>201</v>
      </c>
      <c r="M387" s="355"/>
      <c r="O387" s="2"/>
      <c r="P387" s="2"/>
      <c r="Q387" s="2"/>
      <c r="R387" s="139" t="s">
        <v>146</v>
      </c>
      <c r="S387" s="140">
        <f ca="1">S377</f>
        <v>111</v>
      </c>
      <c r="T387" s="355" t="s">
        <v>201</v>
      </c>
      <c r="U387" s="355"/>
      <c r="W387" s="2"/>
      <c r="X387" s="2"/>
      <c r="Y387" s="2"/>
      <c r="Z387" s="139" t="s">
        <v>146</v>
      </c>
      <c r="AA387" s="140">
        <f ca="1">AA377</f>
        <v>111</v>
      </c>
      <c r="AB387" s="355" t="s">
        <v>201</v>
      </c>
      <c r="AC387" s="355"/>
      <c r="AE387" s="2"/>
      <c r="AF387" s="2"/>
      <c r="AG387" s="2"/>
      <c r="AH387" s="139" t="s">
        <v>146</v>
      </c>
      <c r="AI387" s="140">
        <f ca="1">AI377</f>
        <v>111</v>
      </c>
      <c r="AJ387" s="355" t="s">
        <v>201</v>
      </c>
      <c r="AK387" s="355"/>
      <c r="AM387" s="2"/>
      <c r="AN387" s="2"/>
      <c r="AO387" s="2"/>
      <c r="AP387" s="139" t="s">
        <v>146</v>
      </c>
      <c r="AQ387" s="140">
        <f ca="1">AQ377</f>
        <v>111</v>
      </c>
      <c r="AR387" s="355" t="s">
        <v>201</v>
      </c>
      <c r="AS387" s="355"/>
      <c r="AU387" s="2"/>
      <c r="AV387" s="2"/>
      <c r="AW387" s="2"/>
      <c r="AX387" s="139" t="s">
        <v>146</v>
      </c>
      <c r="AY387" s="140" t="e">
        <f ca="1">AY377</f>
        <v>#N/A</v>
      </c>
      <c r="AZ387" s="355" t="s">
        <v>201</v>
      </c>
      <c r="BA387" s="355"/>
    </row>
    <row r="388" spans="1:56" ht="15.75" customHeight="1" x14ac:dyDescent="0.3">
      <c r="B388" s="16" t="s">
        <v>202</v>
      </c>
      <c r="C388" s="141">
        <f t="array" aca="1" ref="C388" ca="1">INDEX($B380:$N380,MATCH(C387,$B380:$N380,1))</f>
        <v>111</v>
      </c>
      <c r="D388" s="16" t="s">
        <v>144</v>
      </c>
      <c r="E388" s="17">
        <f>MATCH(MAX($A$65:$A$71),$A$65:$A$71,1)</f>
        <v>7</v>
      </c>
      <c r="G388" s="2"/>
      <c r="H388" s="2"/>
      <c r="I388" s="2"/>
      <c r="J388" s="16" t="s">
        <v>202</v>
      </c>
      <c r="K388" s="141">
        <f t="array" aca="1" ref="K388" ca="1">INDEX($B380:$N380,MATCH(K387,$B380:$N380,1))</f>
        <v>111</v>
      </c>
      <c r="L388" s="16" t="s">
        <v>144</v>
      </c>
      <c r="M388" s="17">
        <f>MATCH(MAX($A$65:$A$71),$A$65:$A$71,1)</f>
        <v>7</v>
      </c>
      <c r="O388" s="2"/>
      <c r="P388" s="2"/>
      <c r="Q388" s="2"/>
      <c r="R388" s="16" t="s">
        <v>202</v>
      </c>
      <c r="S388" s="141">
        <f t="array" aca="1" ref="S388" ca="1">INDEX($B380:$N380,MATCH(S387,$B380:$N380,1))</f>
        <v>111</v>
      </c>
      <c r="T388" s="16" t="s">
        <v>144</v>
      </c>
      <c r="U388" s="17">
        <f>MATCH(MAX($A$65:$A$71),$A$65:$A$71,1)</f>
        <v>7</v>
      </c>
      <c r="W388" s="2"/>
      <c r="X388" s="2"/>
      <c r="Y388" s="2"/>
      <c r="Z388" s="16" t="s">
        <v>202</v>
      </c>
      <c r="AA388" s="141">
        <f t="array" aca="1" ref="AA388" ca="1">INDEX($B380:$N380,MATCH(AA387,$B380:$N380,1))</f>
        <v>111</v>
      </c>
      <c r="AB388" s="16" t="s">
        <v>144</v>
      </c>
      <c r="AC388" s="17">
        <f>MATCH(MAX($A$65:$A$71),$A$65:$A$71,1)</f>
        <v>7</v>
      </c>
      <c r="AE388" s="2"/>
      <c r="AF388" s="2"/>
      <c r="AG388" s="2"/>
      <c r="AH388" s="16" t="s">
        <v>202</v>
      </c>
      <c r="AI388" s="141">
        <f t="array" aca="1" ref="AI388" ca="1">INDEX($B380:$N380,MATCH(AI387,$B380:$N380,1))</f>
        <v>111</v>
      </c>
      <c r="AJ388" s="16" t="s">
        <v>144</v>
      </c>
      <c r="AK388" s="17">
        <f>MATCH(MAX($A$65:$A$71),$A$65:$A$71,1)</f>
        <v>7</v>
      </c>
      <c r="AM388" s="2"/>
      <c r="AN388" s="2"/>
      <c r="AO388" s="2"/>
      <c r="AP388" s="16" t="s">
        <v>202</v>
      </c>
      <c r="AQ388" s="141">
        <f t="array" aca="1" ref="AQ388" ca="1">INDEX($B380:$N380,MATCH(AQ387,$B380:$N380,1))</f>
        <v>111</v>
      </c>
      <c r="AR388" s="16" t="s">
        <v>144</v>
      </c>
      <c r="AS388" s="17">
        <f>MATCH(MAX($A$65:$A$71),$A$65:$A$71,1)</f>
        <v>7</v>
      </c>
      <c r="AU388" s="2"/>
      <c r="AV388" s="2"/>
      <c r="AW388" s="2"/>
      <c r="AX388" s="16" t="s">
        <v>202</v>
      </c>
      <c r="AY388" s="141" t="e">
        <f t="array" aca="1" ref="AY388" ca="1">INDEX($B380:$N380,MATCH(AY387,$B380:$N380,1))</f>
        <v>#N/A</v>
      </c>
      <c r="AZ388" s="16" t="s">
        <v>144</v>
      </c>
      <c r="BA388" s="17">
        <f>MATCH(MAX($A$65:$A$71),$A$65:$A$71,1)</f>
        <v>7</v>
      </c>
    </row>
    <row r="389" spans="1:56" ht="15.75" customHeight="1" x14ac:dyDescent="0.3">
      <c r="B389" s="16" t="s">
        <v>203</v>
      </c>
      <c r="C389" s="141">
        <f t="array" aca="1" ref="C389" ca="1">INDEX($B380:$N380,IF(MATCH(C387,$B380:$N380,1)&lt;E389,MATCH(C387,$B380:$N380,1)+1,MATCH(C387,$B380:$N380,1)))</f>
        <v>111</v>
      </c>
      <c r="D389" s="16" t="s">
        <v>145</v>
      </c>
      <c r="E389" s="17">
        <f>MATCH(MAX($B$64:$I$64),$B$64:$I$64,0)</f>
        <v>8</v>
      </c>
      <c r="G389" s="2"/>
      <c r="H389" s="2"/>
      <c r="I389" s="2"/>
      <c r="J389" s="16" t="s">
        <v>203</v>
      </c>
      <c r="K389" s="141">
        <f t="array" aca="1" ref="K389" ca="1">INDEX($B380:$N380,IF(MATCH(K387,$B380:$N380,1)&lt;M389,MATCH(K387,$B380:$N380,1)+1,MATCH(K387,$B380:$N380,1)))</f>
        <v>111</v>
      </c>
      <c r="L389" s="16" t="s">
        <v>145</v>
      </c>
      <c r="M389" s="17">
        <f>MATCH(MAX($B$64:$I$64),$B$64:$I$64,0)</f>
        <v>8</v>
      </c>
      <c r="O389" s="2"/>
      <c r="P389" s="2"/>
      <c r="Q389" s="2"/>
      <c r="R389" s="16" t="s">
        <v>203</v>
      </c>
      <c r="S389" s="141">
        <f t="array" aca="1" ref="S389" ca="1">INDEX($B380:$N380,IF(MATCH(S387,$B380:$N380,1)&lt;U389,MATCH(S387,$B380:$N380,1)+1,MATCH(S387,$B380:$N380,1)))</f>
        <v>111</v>
      </c>
      <c r="T389" s="16" t="s">
        <v>145</v>
      </c>
      <c r="U389" s="17">
        <f>MATCH(MAX($B$64:$I$64),$B$64:$I$64,0)</f>
        <v>8</v>
      </c>
      <c r="W389" s="2"/>
      <c r="X389" s="2"/>
      <c r="Y389" s="2"/>
      <c r="Z389" s="16" t="s">
        <v>203</v>
      </c>
      <c r="AA389" s="141">
        <f t="array" aca="1" ref="AA389" ca="1">INDEX($B380:$N380,IF(MATCH(AA387,$B380:$N380,1)&lt;AC389,MATCH(AA387,$B380:$N380,1)+1,MATCH(AA387,$B380:$N380,1)))</f>
        <v>111</v>
      </c>
      <c r="AB389" s="16" t="s">
        <v>145</v>
      </c>
      <c r="AC389" s="17">
        <f>MATCH(MAX($B$64:$I$64),$B$64:$I$64,0)</f>
        <v>8</v>
      </c>
      <c r="AE389" s="2"/>
      <c r="AF389" s="2"/>
      <c r="AG389" s="2"/>
      <c r="AH389" s="16" t="s">
        <v>203</v>
      </c>
      <c r="AI389" s="141">
        <f t="array" aca="1" ref="AI389" ca="1">INDEX($B380:$N380,IF(MATCH(AI387,$B380:$N380,1)&lt;AK389,MATCH(AI387,$B380:$N380,1)+1,MATCH(AI387,$B380:$N380,1)))</f>
        <v>111</v>
      </c>
      <c r="AJ389" s="16" t="s">
        <v>145</v>
      </c>
      <c r="AK389" s="17">
        <f>MATCH(MAX($B$64:$I$64),$B$64:$I$64,0)</f>
        <v>8</v>
      </c>
      <c r="AM389" s="2"/>
      <c r="AN389" s="2"/>
      <c r="AO389" s="2"/>
      <c r="AP389" s="16" t="s">
        <v>203</v>
      </c>
      <c r="AQ389" s="141">
        <f t="array" aca="1" ref="AQ389" ca="1">INDEX($B380:$N380,IF(MATCH(AQ387,$B380:$N380,1)&lt;AS389,MATCH(AQ387,$B380:$N380,1)+1,MATCH(AQ387,$B380:$N380,1)))</f>
        <v>111</v>
      </c>
      <c r="AR389" s="16" t="s">
        <v>145</v>
      </c>
      <c r="AS389" s="17">
        <f>MATCH(MAX($B$64:$I$64),$B$64:$I$64,0)</f>
        <v>8</v>
      </c>
      <c r="AU389" s="2"/>
      <c r="AV389" s="2"/>
      <c r="AW389" s="2"/>
      <c r="AX389" s="16" t="s">
        <v>203</v>
      </c>
      <c r="AY389" s="141" t="e">
        <f t="array" aca="1" ref="AY389" ca="1">INDEX($B380:$N380,IF(MATCH(AY387,$B380:$N380,1)&lt;BA389,MATCH(AY387,$B380:$N380,1)+1,MATCH(AY387,$B380:$N380,1)))</f>
        <v>#N/A</v>
      </c>
      <c r="AZ389" s="16" t="s">
        <v>145</v>
      </c>
      <c r="BA389" s="17">
        <f>MATCH(MAX($B$64:$I$64),$B$64:$I$64,0)</f>
        <v>8</v>
      </c>
    </row>
    <row r="390" spans="1:56" ht="15.75" customHeight="1" x14ac:dyDescent="0.3">
      <c r="B390" s="139" t="s">
        <v>147</v>
      </c>
      <c r="C390" s="186">
        <f ca="1">'Take-off'!$C$24</f>
        <v>-2.3941410032796808</v>
      </c>
      <c r="D390" s="2"/>
      <c r="E390" s="2"/>
      <c r="G390" s="2"/>
      <c r="H390" s="2"/>
      <c r="I390" s="2"/>
      <c r="J390" s="139" t="s">
        <v>147</v>
      </c>
      <c r="K390" s="186">
        <f ca="1">'Take-off'!$C$24</f>
        <v>-2.3941410032796808</v>
      </c>
      <c r="L390" s="2"/>
      <c r="M390" s="2"/>
      <c r="O390" s="2"/>
      <c r="P390" s="2"/>
      <c r="Q390" s="2"/>
      <c r="R390" s="139" t="s">
        <v>147</v>
      </c>
      <c r="S390" s="186">
        <f ca="1">'Take-off'!$C$24</f>
        <v>-2.3941410032796808</v>
      </c>
      <c r="T390" s="2"/>
      <c r="U390" s="2"/>
      <c r="W390" s="2"/>
      <c r="X390" s="2"/>
      <c r="Y390" s="2"/>
      <c r="Z390" s="139" t="s">
        <v>147</v>
      </c>
      <c r="AA390" s="186">
        <f ca="1">'Take-off'!$C$24</f>
        <v>-2.3941410032796808</v>
      </c>
      <c r="AB390" s="2"/>
      <c r="AC390" s="2"/>
      <c r="AE390" s="2"/>
      <c r="AF390" s="2"/>
      <c r="AG390" s="2"/>
      <c r="AH390" s="139" t="s">
        <v>147</v>
      </c>
      <c r="AI390" s="186">
        <f ca="1">'Take-off'!$C$24</f>
        <v>-2.3941410032796808</v>
      </c>
      <c r="AJ390" s="2"/>
      <c r="AK390" s="2"/>
      <c r="AM390" s="2"/>
      <c r="AN390" s="2"/>
      <c r="AO390" s="2"/>
      <c r="AP390" s="139" t="s">
        <v>147</v>
      </c>
      <c r="AQ390" s="186">
        <f ca="1">'Take-off'!$C$24</f>
        <v>-2.3941410032796808</v>
      </c>
      <c r="AR390" s="2"/>
      <c r="AS390" s="2"/>
      <c r="AU390" s="2"/>
      <c r="AV390" s="2"/>
      <c r="AW390" s="2"/>
      <c r="AX390" s="139" t="s">
        <v>147</v>
      </c>
      <c r="AY390" s="186">
        <f ca="1">'Take-off'!$C$24</f>
        <v>-2.3941410032796808</v>
      </c>
      <c r="AZ390" s="2"/>
      <c r="BA390" s="2"/>
    </row>
    <row r="391" spans="1:56" ht="15.75" customHeight="1" x14ac:dyDescent="0.3">
      <c r="B391" s="16" t="s">
        <v>148</v>
      </c>
      <c r="C391" s="141">
        <f t="array" aca="1" ref="C391" ca="1">INDEX($A381:$A385,MATCH(C390,$A381:$A385,1))</f>
        <v>-10</v>
      </c>
      <c r="D391" s="2"/>
      <c r="E391" s="42"/>
      <c r="G391" s="2"/>
      <c r="H391" s="2"/>
      <c r="I391" s="2"/>
      <c r="J391" s="16" t="s">
        <v>148</v>
      </c>
      <c r="K391" s="141">
        <f t="array" aca="1" ref="K391" ca="1">INDEX($A381:$A385,MATCH(K390,$A381:$A385,1))</f>
        <v>-10</v>
      </c>
      <c r="L391" s="2"/>
      <c r="M391" s="42"/>
      <c r="O391" s="2"/>
      <c r="P391" s="2"/>
      <c r="Q391" s="2"/>
      <c r="R391" s="16" t="s">
        <v>148</v>
      </c>
      <c r="S391" s="141">
        <f t="array" aca="1" ref="S391" ca="1">INDEX($A381:$A385,MATCH(S390,$A381:$A385,1))</f>
        <v>-10</v>
      </c>
      <c r="T391" s="2"/>
      <c r="U391" s="42"/>
      <c r="W391" s="2"/>
      <c r="X391" s="2"/>
      <c r="Y391" s="2"/>
      <c r="Z391" s="16" t="s">
        <v>148</v>
      </c>
      <c r="AA391" s="141">
        <f t="array" aca="1" ref="AA391" ca="1">INDEX($A381:$A385,MATCH(AA390,$A381:$A385,1))</f>
        <v>-10</v>
      </c>
      <c r="AB391" s="2"/>
      <c r="AC391" s="42"/>
      <c r="AE391" s="2"/>
      <c r="AF391" s="2"/>
      <c r="AG391" s="2"/>
      <c r="AH391" s="16" t="s">
        <v>148</v>
      </c>
      <c r="AI391" s="141">
        <f t="array" aca="1" ref="AI391" ca="1">INDEX($A381:$A385,MATCH(AI390,$A381:$A385,1))</f>
        <v>-10</v>
      </c>
      <c r="AJ391" s="2"/>
      <c r="AK391" s="42"/>
      <c r="AM391" s="2"/>
      <c r="AN391" s="2"/>
      <c r="AO391" s="2"/>
      <c r="AP391" s="16" t="s">
        <v>148</v>
      </c>
      <c r="AQ391" s="141">
        <f t="array" aca="1" ref="AQ391" ca="1">INDEX($A381:$A385,MATCH(AQ390,$A381:$A385,1))</f>
        <v>-10</v>
      </c>
      <c r="AR391" s="2"/>
      <c r="AS391" s="42"/>
      <c r="AU391" s="2"/>
      <c r="AV391" s="2"/>
      <c r="AW391" s="2"/>
      <c r="AX391" s="16" t="s">
        <v>148</v>
      </c>
      <c r="AY391" s="141">
        <f t="array" aca="1" ref="AY391" ca="1">INDEX($A381:$A385,MATCH(AY390,$A381:$A385,1))</f>
        <v>-10</v>
      </c>
      <c r="AZ391" s="2"/>
      <c r="BA391" s="42"/>
    </row>
    <row r="392" spans="1:56" ht="15.75" customHeight="1" x14ac:dyDescent="0.3">
      <c r="B392" s="16" t="s">
        <v>149</v>
      </c>
      <c r="C392" s="141">
        <f t="array" aca="1" ref="C392" ca="1">INDEX($A381:$A385,IF(MATCH(C390,$A381:$A385,1)&lt;E388,MATCH(C390,$A381:$A385,1)+1,MATCH(C390,$A381:$A385,1)))</f>
        <v>0</v>
      </c>
      <c r="D392" s="2"/>
      <c r="E392" s="42"/>
      <c r="G392" s="2"/>
      <c r="H392" s="2"/>
      <c r="I392" s="2"/>
      <c r="J392" s="16" t="s">
        <v>149</v>
      </c>
      <c r="K392" s="141">
        <f t="array" aca="1" ref="K392" ca="1">INDEX($A381:$A385,IF(MATCH(K390,$A381:$A385,1)&lt;M388,MATCH(K390,$A381:$A385,1)+1,MATCH(K390,$A381:$A385,1)))</f>
        <v>0</v>
      </c>
      <c r="L392" s="2"/>
      <c r="M392" s="42"/>
      <c r="O392" s="2"/>
      <c r="P392" s="2"/>
      <c r="Q392" s="2"/>
      <c r="R392" s="16" t="s">
        <v>149</v>
      </c>
      <c r="S392" s="141">
        <f t="array" aca="1" ref="S392" ca="1">INDEX($A381:$A385,IF(MATCH(S390,$A381:$A385,1)&lt;U388,MATCH(S390,$A381:$A385,1)+1,MATCH(S390,$A381:$A385,1)))</f>
        <v>0</v>
      </c>
      <c r="T392" s="2"/>
      <c r="U392" s="42"/>
      <c r="W392" s="2"/>
      <c r="X392" s="2"/>
      <c r="Y392" s="2"/>
      <c r="Z392" s="16" t="s">
        <v>149</v>
      </c>
      <c r="AA392" s="141">
        <f t="array" aca="1" ref="AA392" ca="1">INDEX($A381:$A385,IF(MATCH(AA390,$A381:$A385,1)&lt;AC388,MATCH(AA390,$A381:$A385,1)+1,MATCH(AA390,$A381:$A385,1)))</f>
        <v>0</v>
      </c>
      <c r="AB392" s="2"/>
      <c r="AC392" s="42"/>
      <c r="AE392" s="2"/>
      <c r="AF392" s="2"/>
      <c r="AG392" s="2"/>
      <c r="AH392" s="16" t="s">
        <v>149</v>
      </c>
      <c r="AI392" s="141">
        <f t="array" aca="1" ref="AI392" ca="1">INDEX($A381:$A385,IF(MATCH(AI390,$A381:$A385,1)&lt;AK388,MATCH(AI390,$A381:$A385,1)+1,MATCH(AI390,$A381:$A385,1)))</f>
        <v>0</v>
      </c>
      <c r="AJ392" s="2"/>
      <c r="AK392" s="42"/>
      <c r="AM392" s="2"/>
      <c r="AN392" s="2"/>
      <c r="AO392" s="2"/>
      <c r="AP392" s="16" t="s">
        <v>149</v>
      </c>
      <c r="AQ392" s="141">
        <f t="array" aca="1" ref="AQ392" ca="1">INDEX($A381:$A385,IF(MATCH(AQ390,$A381:$A385,1)&lt;AS388,MATCH(AQ390,$A381:$A385,1)+1,MATCH(AQ390,$A381:$A385,1)))</f>
        <v>0</v>
      </c>
      <c r="AR392" s="2"/>
      <c r="AS392" s="42"/>
      <c r="AU392" s="2"/>
      <c r="AV392" s="2"/>
      <c r="AW392" s="2"/>
      <c r="AX392" s="16" t="s">
        <v>149</v>
      </c>
      <c r="AY392" s="141">
        <f t="array" aca="1" ref="AY392" ca="1">INDEX($A381:$A385,IF(MATCH(AY390,$A381:$A385,1)&lt;BA388,MATCH(AY390,$A381:$A385,1)+1,MATCH(AY390,$A381:$A385,1)))</f>
        <v>0</v>
      </c>
      <c r="AZ392" s="2"/>
      <c r="BA392" s="42"/>
    </row>
    <row r="393" spans="1:56" ht="15.75" customHeight="1" x14ac:dyDescent="0.3">
      <c r="B393" s="139" t="s">
        <v>150</v>
      </c>
      <c r="C393" s="140">
        <f t="array" aca="1" ref="C393" ca="1">INDEX($B381:$N385,MATCH(C390,$A381:$A385,1),MATCH(C387,$B380:$N380,1))</f>
        <v>112.6</v>
      </c>
      <c r="D393" s="2"/>
      <c r="E393" s="42"/>
      <c r="G393" s="2"/>
      <c r="H393" s="2"/>
      <c r="I393" s="2"/>
      <c r="J393" s="139" t="s">
        <v>150</v>
      </c>
      <c r="K393" s="140">
        <f t="array" aca="1" ref="K393" ca="1">INDEX($B381:$N385,MATCH(K390,$A381:$A385,1),MATCH(K387,$B380:$N380,1))</f>
        <v>112.6</v>
      </c>
      <c r="L393" s="2"/>
      <c r="M393" s="42"/>
      <c r="O393" s="2"/>
      <c r="P393" s="2"/>
      <c r="Q393" s="2"/>
      <c r="R393" s="139" t="s">
        <v>150</v>
      </c>
      <c r="S393" s="140">
        <f t="array" aca="1" ref="S393" ca="1">INDEX($B381:$N385,MATCH(S390,$A381:$A385,1),MATCH(S387,$B380:$N380,1))</f>
        <v>112.6</v>
      </c>
      <c r="T393" s="2"/>
      <c r="U393" s="42"/>
      <c r="W393" s="2"/>
      <c r="X393" s="2"/>
      <c r="Y393" s="2"/>
      <c r="Z393" s="139" t="s">
        <v>150</v>
      </c>
      <c r="AA393" s="140">
        <f t="array" aca="1" ref="AA393" ca="1">INDEX($B381:$N385,MATCH(AA390,$A381:$A385,1),MATCH(AA387,$B380:$N380,1))</f>
        <v>112.6</v>
      </c>
      <c r="AB393" s="2"/>
      <c r="AC393" s="42"/>
      <c r="AE393" s="2"/>
      <c r="AF393" s="2"/>
      <c r="AG393" s="2"/>
      <c r="AH393" s="139" t="s">
        <v>150</v>
      </c>
      <c r="AI393" s="140">
        <f t="array" aca="1" ref="AI393" ca="1">INDEX($B381:$N385,MATCH(AI390,$A381:$A385,1),MATCH(AI387,$B380:$N380,1))</f>
        <v>112.6</v>
      </c>
      <c r="AJ393" s="2"/>
      <c r="AK393" s="42"/>
      <c r="AM393" s="2"/>
      <c r="AN393" s="2"/>
      <c r="AO393" s="2"/>
      <c r="AP393" s="139" t="s">
        <v>150</v>
      </c>
      <c r="AQ393" s="140">
        <f t="array" aca="1" ref="AQ393" ca="1">INDEX($B381:$N385,MATCH(AQ390,$A381:$A385,1),MATCH(AQ387,$B380:$N380,1))</f>
        <v>112.6</v>
      </c>
      <c r="AR393" s="2"/>
      <c r="AS393" s="42"/>
      <c r="AU393" s="2"/>
      <c r="AV393" s="2"/>
      <c r="AW393" s="2"/>
      <c r="AX393" s="139" t="s">
        <v>150</v>
      </c>
      <c r="AY393" s="140" t="e">
        <f t="array" aca="1" ref="AY393" ca="1">INDEX($B381:$N385,MATCH(AY390,$A381:$A385,1),MATCH(AY387,$B380:$N380,1))</f>
        <v>#N/A</v>
      </c>
      <c r="AZ393" s="2"/>
      <c r="BA393" s="42"/>
    </row>
    <row r="394" spans="1:56" ht="15.75" customHeight="1" x14ac:dyDescent="0.3">
      <c r="B394" s="139" t="s">
        <v>204</v>
      </c>
      <c r="C394" s="140">
        <f t="array" aca="1" ref="C394" ca="1">INDEX($B381:$N385,MATCH(C390,$A381:$A385,1),IF(MATCH(C387,$B380:$N380,1)&lt;E389,MATCH(C387,$B380:$N380,1)+1,MATCH(C390,$A381:$A385,1)))</f>
        <v>103.3</v>
      </c>
      <c r="E394" s="42"/>
      <c r="G394" s="2"/>
      <c r="H394" s="2"/>
      <c r="I394" s="2"/>
      <c r="J394" s="139" t="s">
        <v>204</v>
      </c>
      <c r="K394" s="140">
        <f t="array" aca="1" ref="K394" ca="1">INDEX($B381:$N385,MATCH(K390,$A381:$A385,1),IF(MATCH(K387,$B380:$N380,1)&lt;M389,MATCH(K387,$B380:$N380,1)+1,MATCH(K390,$A381:$A385,1)))</f>
        <v>103.3</v>
      </c>
      <c r="M394" s="42"/>
      <c r="O394" s="2"/>
      <c r="P394" s="2"/>
      <c r="Q394" s="2"/>
      <c r="R394" s="139" t="s">
        <v>204</v>
      </c>
      <c r="S394" s="140">
        <f t="array" aca="1" ref="S394" ca="1">INDEX($B381:$N385,MATCH(S390,$A381:$A385,1),IF(MATCH(S387,$B380:$N380,1)&lt;U389,MATCH(S387,$B380:$N380,1)+1,MATCH(S390,$A381:$A385,1)))</f>
        <v>103.3</v>
      </c>
      <c r="U394" s="42"/>
      <c r="W394" s="2"/>
      <c r="X394" s="2"/>
      <c r="Y394" s="2"/>
      <c r="Z394" s="139" t="s">
        <v>204</v>
      </c>
      <c r="AA394" s="140">
        <f t="array" aca="1" ref="AA394" ca="1">INDEX($B381:$N385,MATCH(AA390,$A381:$A385,1),IF(MATCH(AA387,$B380:$N380,1)&lt;AC389,MATCH(AA387,$B380:$N380,1)+1,MATCH(AA390,$A381:$A385,1)))</f>
        <v>103.3</v>
      </c>
      <c r="AC394" s="42"/>
      <c r="AE394" s="2"/>
      <c r="AF394" s="2"/>
      <c r="AG394" s="2"/>
      <c r="AH394" s="139" t="s">
        <v>204</v>
      </c>
      <c r="AI394" s="140">
        <f t="array" aca="1" ref="AI394" ca="1">INDEX($B381:$N385,MATCH(AI390,$A381:$A385,1),IF(MATCH(AI387,$B380:$N380,1)&lt;AK389,MATCH(AI387,$B380:$N380,1)+1,MATCH(AI390,$A381:$A385,1)))</f>
        <v>103.3</v>
      </c>
      <c r="AK394" s="42"/>
      <c r="AM394" s="2"/>
      <c r="AN394" s="2"/>
      <c r="AO394" s="2"/>
      <c r="AP394" s="139" t="s">
        <v>204</v>
      </c>
      <c r="AQ394" s="140">
        <f t="array" aca="1" ref="AQ394" ca="1">INDEX($B381:$N385,MATCH(AQ390,$A381:$A385,1),IF(MATCH(AQ387,$B380:$N380,1)&lt;AS389,MATCH(AQ387,$B380:$N380,1)+1,MATCH(AQ390,$A381:$A385,1)))</f>
        <v>103.3</v>
      </c>
      <c r="AS394" s="42"/>
      <c r="AU394" s="2"/>
      <c r="AV394" s="2"/>
      <c r="AW394" s="2"/>
      <c r="AX394" s="139" t="s">
        <v>204</v>
      </c>
      <c r="AY394" s="140" t="e">
        <f t="array" aca="1" ref="AY394" ca="1">INDEX($B381:$N385,MATCH(AY390,$A381:$A385,1),IF(MATCH(AY387,$B380:$N380,1)&lt;BA389,MATCH(AY387,$B380:$N380,1)+1,MATCH(AY390,$A381:$A385,1)))</f>
        <v>#N/A</v>
      </c>
      <c r="BA394" s="42"/>
    </row>
    <row r="395" spans="1:56" ht="15.75" customHeight="1" x14ac:dyDescent="0.3">
      <c r="B395" s="139" t="s">
        <v>151</v>
      </c>
      <c r="C395" s="140">
        <f t="array" aca="1" ref="C395" ca="1">INDEX($B381:$N385,IF(MATCH(C390,$A381:$A385,1)&lt;E388,MATCH(C390,$A381:$A385,1)+1,MATCH(C390,$A381:$A385,1)),MATCH(C387,$B380:$N380,1))</f>
        <v>111</v>
      </c>
      <c r="E395" s="42"/>
      <c r="G395" s="2"/>
      <c r="H395" s="2"/>
      <c r="I395" s="2"/>
      <c r="J395" s="139" t="s">
        <v>151</v>
      </c>
      <c r="K395" s="140">
        <f t="array" aca="1" ref="K395" ca="1">INDEX($B381:$N385,IF(MATCH(K390,$A381:$A385,1)&lt;M388,MATCH(K390,$A381:$A385,1)+1,MATCH(K390,$A381:$A385,1)),MATCH(K387,$B380:$N380,1))</f>
        <v>111</v>
      </c>
      <c r="M395" s="42"/>
      <c r="O395" s="2"/>
      <c r="P395" s="2"/>
      <c r="Q395" s="2"/>
      <c r="R395" s="139" t="s">
        <v>151</v>
      </c>
      <c r="S395" s="140">
        <f t="array" aca="1" ref="S395" ca="1">INDEX($B381:$N385,IF(MATCH(S390,$A381:$A385,1)&lt;U388,MATCH(S390,$A381:$A385,1)+1,MATCH(S390,$A381:$A385,1)),MATCH(S387,$B380:$N380,1))</f>
        <v>111</v>
      </c>
      <c r="U395" s="42"/>
      <c r="W395" s="2"/>
      <c r="X395" s="2"/>
      <c r="Y395" s="2"/>
      <c r="Z395" s="139" t="s">
        <v>151</v>
      </c>
      <c r="AA395" s="140">
        <f t="array" aca="1" ref="AA395" ca="1">INDEX($B381:$N385,IF(MATCH(AA390,$A381:$A385,1)&lt;AC388,MATCH(AA390,$A381:$A385,1)+1,MATCH(AA390,$A381:$A385,1)),MATCH(AA387,$B380:$N380,1))</f>
        <v>111</v>
      </c>
      <c r="AC395" s="42"/>
      <c r="AE395" s="2"/>
      <c r="AF395" s="2"/>
      <c r="AG395" s="2"/>
      <c r="AH395" s="139" t="s">
        <v>151</v>
      </c>
      <c r="AI395" s="140">
        <f t="array" aca="1" ref="AI395" ca="1">INDEX($B381:$N385,IF(MATCH(AI390,$A381:$A385,1)&lt;AK388,MATCH(AI390,$A381:$A385,1)+1,MATCH(AI390,$A381:$A385,1)),MATCH(AI387,$B380:$N380,1))</f>
        <v>111</v>
      </c>
      <c r="AK395" s="42"/>
      <c r="AM395" s="2"/>
      <c r="AN395" s="2"/>
      <c r="AO395" s="2"/>
      <c r="AP395" s="139" t="s">
        <v>151</v>
      </c>
      <c r="AQ395" s="140">
        <f t="array" aca="1" ref="AQ395" ca="1">INDEX($B381:$N385,IF(MATCH(AQ390,$A381:$A385,1)&lt;AS388,MATCH(AQ390,$A381:$A385,1)+1,MATCH(AQ390,$A381:$A385,1)),MATCH(AQ387,$B380:$N380,1))</f>
        <v>111</v>
      </c>
      <c r="AS395" s="42"/>
      <c r="AU395" s="2"/>
      <c r="AV395" s="2"/>
      <c r="AW395" s="2"/>
      <c r="AX395" s="139" t="s">
        <v>151</v>
      </c>
      <c r="AY395" s="140" t="e">
        <f t="array" aca="1" ref="AY395" ca="1">INDEX($B381:$N385,IF(MATCH(AY390,$A381:$A385,1)&lt;BA388,MATCH(AY390,$A381:$A385,1)+1,MATCH(AY390,$A381:$A385,1)),MATCH(AY387,$B380:$N380,1))</f>
        <v>#N/A</v>
      </c>
      <c r="BA395" s="42"/>
    </row>
    <row r="396" spans="1:56" ht="15.75" customHeight="1" x14ac:dyDescent="0.3">
      <c r="B396" s="139" t="s">
        <v>205</v>
      </c>
      <c r="C396" s="140">
        <f t="array" aca="1" ref="C396" ca="1">INDEX($B381:$N385,IF(MATCH(C390,$A381:$A385,1)&lt;E388,MATCH(C390,$A381:$A385,1)+1,MATCH(C390,$A381:$A385,1)),IF(MATCH(C387,$B380:$N380,1)&lt;E389,MATCH(C387,$B380:$N380,1)+1,MATCH(C387,$B380:$N380,1)))</f>
        <v>111</v>
      </c>
      <c r="G396" s="2"/>
      <c r="H396" s="2"/>
      <c r="I396" s="2"/>
      <c r="J396" s="139" t="s">
        <v>205</v>
      </c>
      <c r="K396" s="140">
        <f t="array" aca="1" ref="K396" ca="1">INDEX($B381:$N385,IF(MATCH(K390,$A381:$A385,1)&lt;M388,MATCH(K390,$A381:$A385,1)+1,MATCH(K390,$A381:$A385,1)),IF(MATCH(K387,$B380:$N380,1)&lt;M389,MATCH(K387,$B380:$N380,1)+1,MATCH(K387,$B380:$N380,1)))</f>
        <v>111</v>
      </c>
      <c r="O396" s="2"/>
      <c r="P396" s="2"/>
      <c r="Q396" s="2"/>
      <c r="R396" s="139" t="s">
        <v>205</v>
      </c>
      <c r="S396" s="140">
        <f t="array" aca="1" ref="S396" ca="1">INDEX($B381:$N385,IF(MATCH(S390,$A381:$A385,1)&lt;U388,MATCH(S390,$A381:$A385,1)+1,MATCH(S390,$A381:$A385,1)),IF(MATCH(S387,$B380:$N380,1)&lt;U389,MATCH(S387,$B380:$N380,1)+1,MATCH(S387,$B380:$N380,1)))</f>
        <v>111</v>
      </c>
      <c r="W396" s="2"/>
      <c r="X396" s="2"/>
      <c r="Y396" s="2"/>
      <c r="Z396" s="139" t="s">
        <v>205</v>
      </c>
      <c r="AA396" s="140">
        <f t="array" aca="1" ref="AA396" ca="1">INDEX($B381:$N385,IF(MATCH(AA390,$A381:$A385,1)&lt;AC388,MATCH(AA390,$A381:$A385,1)+1,MATCH(AA390,$A381:$A385,1)),IF(MATCH(AA387,$B380:$N380,1)&lt;AC389,MATCH(AA387,$B380:$N380,1)+1,MATCH(AA387,$B380:$N380,1)))</f>
        <v>111</v>
      </c>
      <c r="AE396" s="2"/>
      <c r="AF396" s="2"/>
      <c r="AG396" s="2"/>
      <c r="AH396" s="139" t="s">
        <v>205</v>
      </c>
      <c r="AI396" s="140">
        <f t="array" aca="1" ref="AI396" ca="1">INDEX($B381:$N385,IF(MATCH(AI390,$A381:$A385,1)&lt;AK388,MATCH(AI390,$A381:$A385,1)+1,MATCH(AI390,$A381:$A385,1)),IF(MATCH(AI387,$B380:$N380,1)&lt;AK389,MATCH(AI387,$B380:$N380,1)+1,MATCH(AI387,$B380:$N380,1)))</f>
        <v>111</v>
      </c>
      <c r="AM396" s="2"/>
      <c r="AN396" s="2"/>
      <c r="AO396" s="2"/>
      <c r="AP396" s="139" t="s">
        <v>205</v>
      </c>
      <c r="AQ396" s="140">
        <f t="array" aca="1" ref="AQ396" ca="1">INDEX($B381:$N385,IF(MATCH(AQ390,$A381:$A385,1)&lt;AS388,MATCH(AQ390,$A381:$A385,1)+1,MATCH(AQ390,$A381:$A385,1)),IF(MATCH(AQ387,$B380:$N380,1)&lt;AS389,MATCH(AQ387,$B380:$N380,1)+1,MATCH(AQ387,$B380:$N380,1)))</f>
        <v>111</v>
      </c>
      <c r="AU396" s="2"/>
      <c r="AV396" s="2"/>
      <c r="AW396" s="2"/>
      <c r="AX396" s="139" t="s">
        <v>205</v>
      </c>
      <c r="AY396" s="140" t="e">
        <f t="array" aca="1" ref="AY396" ca="1">INDEX($B381:$N385,IF(MATCH(AY390,$A381:$A385,1)&lt;BA388,MATCH(AY390,$A381:$A385,1)+1,MATCH(AY390,$A381:$A385,1)),IF(MATCH(AY387,$B380:$N380,1)&lt;BA389,MATCH(AY387,$B380:$N380,1)+1,MATCH(AY387,$B380:$N380,1)))</f>
        <v>#N/A</v>
      </c>
    </row>
    <row r="397" spans="1:56" ht="15.75" customHeight="1" x14ac:dyDescent="0.3">
      <c r="B397" s="16" t="s">
        <v>206</v>
      </c>
      <c r="C397" s="141">
        <f ca="1">IFERROR(C393+(C387-C388)*(C394-C393)/(C389-C388),C393)</f>
        <v>112.6</v>
      </c>
      <c r="G397" s="2"/>
      <c r="H397" s="2"/>
      <c r="I397" s="2"/>
      <c r="J397" s="16" t="s">
        <v>206</v>
      </c>
      <c r="K397" s="141">
        <f ca="1">IFERROR(K393+(K387-K388)*(K394-K393)/(K389-K388),K393)</f>
        <v>112.6</v>
      </c>
      <c r="O397" s="2"/>
      <c r="P397" s="2"/>
      <c r="Q397" s="2"/>
      <c r="R397" s="16" t="s">
        <v>206</v>
      </c>
      <c r="S397" s="141">
        <f ca="1">IFERROR(S393+(S387-S388)*(S394-S393)/(S389-S388),S393)</f>
        <v>112.6</v>
      </c>
      <c r="W397" s="2"/>
      <c r="X397" s="2"/>
      <c r="Y397" s="2"/>
      <c r="Z397" s="16" t="s">
        <v>206</v>
      </c>
      <c r="AA397" s="141">
        <f ca="1">IFERROR(AA393+(AA387-AA388)*(AA394-AA393)/(AA389-AA388),AA393)</f>
        <v>112.6</v>
      </c>
      <c r="AE397" s="2"/>
      <c r="AF397" s="2"/>
      <c r="AG397" s="2"/>
      <c r="AH397" s="16" t="s">
        <v>206</v>
      </c>
      <c r="AI397" s="141">
        <f ca="1">IFERROR(AI393+(AI387-AI388)*(AI394-AI393)/(AI389-AI388),AI393)</f>
        <v>112.6</v>
      </c>
      <c r="AM397" s="2"/>
      <c r="AN397" s="2"/>
      <c r="AO397" s="2"/>
      <c r="AP397" s="16" t="s">
        <v>206</v>
      </c>
      <c r="AQ397" s="141">
        <f ca="1">IFERROR(AQ393+(AQ387-AQ388)*(AQ394-AQ393)/(AQ389-AQ388),AQ393)</f>
        <v>112.6</v>
      </c>
      <c r="AU397" s="2"/>
      <c r="AV397" s="2"/>
      <c r="AW397" s="2"/>
      <c r="AX397" s="16" t="s">
        <v>206</v>
      </c>
      <c r="AY397" s="141" t="e">
        <f ca="1">IFERROR(AY393+(AY387-AY388)*(AY394-AY393)/(AY389-AY388),AY393)</f>
        <v>#N/A</v>
      </c>
    </row>
    <row r="398" spans="1:56" ht="15.75" customHeight="1" x14ac:dyDescent="0.3">
      <c r="B398" s="16" t="s">
        <v>207</v>
      </c>
      <c r="C398" s="141">
        <f ca="1">IFERROR(C395+(C387-C388)*(C396-C395)/(C389-C388),C395)</f>
        <v>111</v>
      </c>
      <c r="G398" s="2"/>
      <c r="H398" s="2"/>
      <c r="I398" s="2"/>
      <c r="J398" s="16" t="s">
        <v>207</v>
      </c>
      <c r="K398" s="141">
        <f ca="1">IFERROR(K395+(K387-K388)*(K396-K395)/(K389-K388),K395)</f>
        <v>111</v>
      </c>
      <c r="O398" s="2"/>
      <c r="P398" s="2"/>
      <c r="Q398" s="2"/>
      <c r="R398" s="16" t="s">
        <v>207</v>
      </c>
      <c r="S398" s="141">
        <f ca="1">IFERROR(S395+(S387-S388)*(S396-S395)/(S389-S388),S395)</f>
        <v>111</v>
      </c>
      <c r="W398" s="2"/>
      <c r="X398" s="2"/>
      <c r="Y398" s="2"/>
      <c r="Z398" s="16" t="s">
        <v>207</v>
      </c>
      <c r="AA398" s="141">
        <f ca="1">IFERROR(AA395+(AA387-AA388)*(AA396-AA395)/(AA389-AA388),AA395)</f>
        <v>111</v>
      </c>
      <c r="AE398" s="2"/>
      <c r="AF398" s="2"/>
      <c r="AG398" s="2"/>
      <c r="AH398" s="16" t="s">
        <v>207</v>
      </c>
      <c r="AI398" s="141">
        <f ca="1">IFERROR(AI395+(AI387-AI388)*(AI396-AI395)/(AI389-AI388),AI395)</f>
        <v>111</v>
      </c>
      <c r="AM398" s="2"/>
      <c r="AN398" s="2"/>
      <c r="AO398" s="2"/>
      <c r="AP398" s="16" t="s">
        <v>207</v>
      </c>
      <c r="AQ398" s="141">
        <f ca="1">IFERROR(AQ395+(AQ387-AQ388)*(AQ396-AQ395)/(AQ389-AQ388),AQ395)</f>
        <v>111</v>
      </c>
      <c r="AU398" s="2"/>
      <c r="AV398" s="2"/>
      <c r="AW398" s="2"/>
      <c r="AX398" s="16" t="s">
        <v>207</v>
      </c>
      <c r="AY398" s="141" t="e">
        <f ca="1">IFERROR(AY395+(AY387-AY388)*(AY396-AY395)/(AY389-AY388),AY395)</f>
        <v>#N/A</v>
      </c>
    </row>
    <row r="399" spans="1:56" ht="15.75" customHeight="1" x14ac:dyDescent="0.3">
      <c r="B399" s="139" t="s">
        <v>208</v>
      </c>
      <c r="C399" s="140">
        <f ca="1">IFERROR(C397+(C390-C391)*(C398-C397)/(C392-C391),C397)</f>
        <v>111.38306256052475</v>
      </c>
      <c r="G399" s="2"/>
      <c r="H399" s="2"/>
      <c r="I399" s="2"/>
      <c r="J399" s="139" t="s">
        <v>208</v>
      </c>
      <c r="K399" s="140">
        <f ca="1">IFERROR(K397+(K390-K391)*(K398-K397)/(K392-K391),K397)</f>
        <v>111.38306256052475</v>
      </c>
      <c r="O399" s="2"/>
      <c r="P399" s="2"/>
      <c r="Q399" s="2"/>
      <c r="R399" s="139" t="s">
        <v>208</v>
      </c>
      <c r="S399" s="140">
        <f ca="1">IFERROR(S397+(S390-S391)*(S398-S397)/(S392-S391),S397)</f>
        <v>111.38306256052475</v>
      </c>
      <c r="W399" s="2"/>
      <c r="X399" s="2"/>
      <c r="Y399" s="2"/>
      <c r="Z399" s="139" t="s">
        <v>208</v>
      </c>
      <c r="AA399" s="140">
        <f ca="1">IFERROR(AA397+(AA390-AA391)*(AA398-AA397)/(AA392-AA391),AA397)</f>
        <v>111.38306256052475</v>
      </c>
      <c r="AE399" s="2"/>
      <c r="AF399" s="2"/>
      <c r="AG399" s="2"/>
      <c r="AH399" s="139" t="s">
        <v>208</v>
      </c>
      <c r="AI399" s="140">
        <f ca="1">IFERROR(AI397+(AI390-AI391)*(AI398-AI397)/(AI392-AI391),AI397)</f>
        <v>111.38306256052475</v>
      </c>
      <c r="AM399" s="2"/>
      <c r="AN399" s="2"/>
      <c r="AO399" s="2"/>
      <c r="AP399" s="139" t="s">
        <v>208</v>
      </c>
      <c r="AQ399" s="140">
        <f ca="1">IFERROR(AQ397+(AQ390-AQ391)*(AQ398-AQ397)/(AQ392-AQ391),AQ397)</f>
        <v>111.38306256052475</v>
      </c>
      <c r="AU399" s="2"/>
      <c r="AV399" s="2"/>
      <c r="AW399" s="2"/>
      <c r="AX399" s="139" t="s">
        <v>208</v>
      </c>
      <c r="AY399" s="140" t="e">
        <f ca="1">IFERROR(AY397+(AY390-AY391)*(AY398-AY397)/(AY392-AY391),AY397)</f>
        <v>#N/A</v>
      </c>
    </row>
    <row r="400" spans="1:56" ht="15" customHeight="1" x14ac:dyDescent="0.3">
      <c r="B400" s="139"/>
      <c r="C400" s="140"/>
      <c r="G400" s="2"/>
      <c r="H400" s="2"/>
      <c r="I400" s="2"/>
      <c r="J400" s="139"/>
      <c r="K400" s="140"/>
      <c r="O400" s="2"/>
      <c r="P400" s="2"/>
      <c r="Q400" s="2"/>
      <c r="R400" s="139"/>
      <c r="S400" s="140"/>
      <c r="W400" s="2"/>
      <c r="X400" s="2"/>
      <c r="Y400" s="2"/>
      <c r="Z400" s="139"/>
      <c r="AA400" s="140"/>
      <c r="AE400" s="2"/>
      <c r="AF400" s="2"/>
      <c r="AG400" s="2"/>
      <c r="AH400" s="139"/>
      <c r="AI400" s="140"/>
      <c r="AM400" s="2"/>
      <c r="AN400" s="2"/>
      <c r="AO400" s="2"/>
      <c r="AP400" s="139"/>
      <c r="AQ400" s="140"/>
      <c r="AU400" s="2"/>
      <c r="AV400" s="2"/>
      <c r="AW400" s="2"/>
      <c r="AX400" s="139"/>
      <c r="AY400" s="140"/>
    </row>
    <row r="401" spans="1:55" ht="15" customHeight="1" x14ac:dyDescent="0.3">
      <c r="B401" s="139"/>
      <c r="C401" s="140"/>
      <c r="G401" s="2"/>
      <c r="H401" s="2"/>
      <c r="I401" s="2"/>
      <c r="J401" s="139"/>
      <c r="K401" s="140"/>
      <c r="O401" s="2"/>
      <c r="P401" s="2"/>
      <c r="Q401" s="2"/>
      <c r="R401" s="139"/>
      <c r="S401" s="140"/>
      <c r="W401" s="2"/>
      <c r="X401" s="2"/>
      <c r="Y401" s="2"/>
      <c r="Z401" s="139"/>
      <c r="AA401" s="140"/>
      <c r="AE401" s="2"/>
      <c r="AF401" s="2"/>
      <c r="AG401" s="2"/>
      <c r="AH401" s="139"/>
      <c r="AI401" s="140"/>
      <c r="AM401" s="2"/>
      <c r="AN401" s="2"/>
      <c r="AO401" s="2"/>
      <c r="AP401" s="139"/>
      <c r="AQ401" s="140"/>
      <c r="AU401" s="2"/>
      <c r="AV401" s="2"/>
      <c r="AW401" s="2"/>
      <c r="AX401" s="139"/>
      <c r="AY401" s="140"/>
    </row>
    <row r="402" spans="1:55" ht="15" customHeight="1" x14ac:dyDescent="0.3">
      <c r="B402" s="139"/>
      <c r="C402" s="140"/>
      <c r="G402" s="2"/>
      <c r="H402" s="2"/>
      <c r="I402" s="2"/>
      <c r="J402" s="139"/>
      <c r="K402" s="140"/>
      <c r="O402" s="2"/>
      <c r="P402" s="2"/>
      <c r="Q402" s="2"/>
      <c r="R402" s="139"/>
      <c r="S402" s="140"/>
      <c r="W402" s="2"/>
      <c r="X402" s="2"/>
      <c r="Y402" s="2"/>
      <c r="Z402" s="139"/>
      <c r="AA402" s="140"/>
      <c r="AE402" s="2"/>
      <c r="AF402" s="2"/>
      <c r="AG402" s="2"/>
      <c r="AH402" s="139"/>
      <c r="AI402" s="140"/>
      <c r="AM402" s="2"/>
      <c r="AN402" s="2"/>
      <c r="AO402" s="2"/>
      <c r="AP402" s="139"/>
      <c r="AQ402" s="140"/>
      <c r="AU402" s="2"/>
      <c r="AV402" s="2"/>
      <c r="AW402" s="2"/>
      <c r="AX402" s="139"/>
      <c r="AY402" s="140"/>
    </row>
    <row r="403" spans="1:55" ht="15" customHeight="1" x14ac:dyDescent="0.3">
      <c r="A403" s="266" t="s">
        <v>187</v>
      </c>
      <c r="B403" s="139"/>
      <c r="C403" s="140"/>
      <c r="G403" s="2"/>
      <c r="H403" s="2"/>
      <c r="I403" s="2"/>
      <c r="J403" s="139"/>
      <c r="K403" s="140"/>
      <c r="O403" s="2"/>
      <c r="P403" s="2"/>
      <c r="Q403" s="2"/>
      <c r="R403" s="139"/>
      <c r="S403" s="140"/>
      <c r="W403" s="2"/>
      <c r="X403" s="2"/>
      <c r="Y403" s="2"/>
      <c r="Z403" s="139"/>
      <c r="AA403" s="140"/>
      <c r="AE403" s="2"/>
      <c r="AF403" s="2"/>
      <c r="AG403" s="2"/>
      <c r="AH403" s="139"/>
      <c r="AI403" s="140"/>
      <c r="AM403" s="2"/>
      <c r="AN403" s="2"/>
      <c r="AO403" s="2"/>
      <c r="AP403" s="139"/>
      <c r="AQ403" s="140"/>
      <c r="AU403" s="2"/>
      <c r="AV403" s="2"/>
      <c r="AW403" s="2"/>
      <c r="AX403" s="139"/>
      <c r="AY403" s="140"/>
    </row>
    <row r="404" spans="1:55" ht="15" customHeight="1" x14ac:dyDescent="0.3">
      <c r="A404" s="356" t="s">
        <v>234</v>
      </c>
      <c r="B404" s="356"/>
      <c r="C404" s="356"/>
      <c r="D404" s="356"/>
      <c r="E404" s="356"/>
      <c r="F404" s="356"/>
      <c r="G404" s="356"/>
      <c r="H404" s="131"/>
      <c r="I404" s="356" t="s">
        <v>234</v>
      </c>
      <c r="J404" s="356"/>
      <c r="K404" s="356"/>
      <c r="L404" s="356"/>
      <c r="M404" s="356"/>
      <c r="N404" s="356"/>
      <c r="O404" s="356"/>
      <c r="P404" s="131"/>
      <c r="Q404" s="356" t="s">
        <v>234</v>
      </c>
      <c r="R404" s="356"/>
      <c r="S404" s="356"/>
      <c r="T404" s="356"/>
      <c r="U404" s="356"/>
      <c r="V404" s="356"/>
      <c r="W404" s="356"/>
      <c r="X404" s="131"/>
      <c r="Y404" s="356" t="s">
        <v>234</v>
      </c>
      <c r="Z404" s="356"/>
      <c r="AA404" s="356"/>
      <c r="AB404" s="356"/>
      <c r="AC404" s="356"/>
      <c r="AD404" s="356"/>
      <c r="AE404" s="356"/>
      <c r="AF404" s="131"/>
      <c r="AG404" s="356" t="s">
        <v>234</v>
      </c>
      <c r="AH404" s="356"/>
      <c r="AI404" s="356"/>
      <c r="AJ404" s="356"/>
      <c r="AK404" s="356"/>
      <c r="AL404" s="356"/>
      <c r="AM404" s="356"/>
      <c r="AN404" s="131"/>
      <c r="AO404" s="356" t="s">
        <v>234</v>
      </c>
      <c r="AP404" s="356"/>
      <c r="AQ404" s="356"/>
      <c r="AR404" s="356"/>
      <c r="AS404" s="356"/>
      <c r="AT404" s="356"/>
      <c r="AU404" s="356"/>
      <c r="AV404" s="240"/>
      <c r="AW404" s="356" t="s">
        <v>234</v>
      </c>
      <c r="AX404" s="356"/>
      <c r="AY404" s="356"/>
      <c r="AZ404" s="356"/>
      <c r="BA404" s="356"/>
      <c r="BB404" s="356"/>
      <c r="BC404" s="356"/>
    </row>
    <row r="405" spans="1:55" ht="15" customHeight="1" x14ac:dyDescent="0.3">
      <c r="A405" s="406" t="s">
        <v>216</v>
      </c>
      <c r="B405" s="406"/>
      <c r="C405" s="406"/>
      <c r="D405" s="406"/>
      <c r="E405" s="406"/>
      <c r="F405" s="406"/>
      <c r="G405" s="406"/>
      <c r="H405" s="131"/>
      <c r="I405" s="406" t="s">
        <v>216</v>
      </c>
      <c r="J405" s="406"/>
      <c r="K405" s="406"/>
      <c r="L405" s="406"/>
      <c r="M405" s="406"/>
      <c r="N405" s="406"/>
      <c r="O405" s="406"/>
      <c r="P405" s="228"/>
      <c r="Q405" s="406" t="s">
        <v>216</v>
      </c>
      <c r="R405" s="406"/>
      <c r="S405" s="406"/>
      <c r="T405" s="406"/>
      <c r="U405" s="406"/>
      <c r="V405" s="406"/>
      <c r="W405" s="406"/>
      <c r="X405" s="131"/>
      <c r="Y405" s="406" t="s">
        <v>216</v>
      </c>
      <c r="Z405" s="406"/>
      <c r="AA405" s="406"/>
      <c r="AB405" s="406"/>
      <c r="AC405" s="406"/>
      <c r="AD405" s="406"/>
      <c r="AE405" s="406"/>
      <c r="AF405" s="131"/>
      <c r="AG405" s="406" t="s">
        <v>216</v>
      </c>
      <c r="AH405" s="406"/>
      <c r="AI405" s="406"/>
      <c r="AJ405" s="406"/>
      <c r="AK405" s="406"/>
      <c r="AL405" s="406"/>
      <c r="AM405" s="406"/>
      <c r="AN405" s="131"/>
      <c r="AO405" s="406" t="s">
        <v>216</v>
      </c>
      <c r="AP405" s="406"/>
      <c r="AQ405" s="406"/>
      <c r="AR405" s="406"/>
      <c r="AS405" s="406"/>
      <c r="AT405" s="406"/>
      <c r="AU405" s="406"/>
      <c r="AV405" s="241"/>
      <c r="AW405" s="406" t="s">
        <v>216</v>
      </c>
      <c r="AX405" s="406"/>
      <c r="AY405" s="406"/>
      <c r="AZ405" s="406"/>
      <c r="BA405" s="406"/>
      <c r="BB405" s="406"/>
      <c r="BC405" s="406"/>
    </row>
    <row r="406" spans="1:55" ht="15" customHeight="1" x14ac:dyDescent="0.3">
      <c r="A406" s="2"/>
      <c r="B406" s="2"/>
      <c r="C406" s="51">
        <v>16600</v>
      </c>
      <c r="D406" s="53" t="s">
        <v>29</v>
      </c>
      <c r="E406" s="2"/>
      <c r="F406" s="2"/>
      <c r="G406" s="2"/>
      <c r="H406" s="2"/>
      <c r="I406" s="2"/>
      <c r="J406" s="2"/>
      <c r="K406" s="51">
        <v>16000</v>
      </c>
      <c r="L406" s="53" t="s">
        <v>29</v>
      </c>
      <c r="M406" s="2"/>
      <c r="N406" s="2"/>
      <c r="O406" s="2"/>
      <c r="P406" s="2"/>
      <c r="Q406" s="2"/>
      <c r="R406" s="2"/>
      <c r="S406" s="51">
        <v>15000</v>
      </c>
      <c r="T406" s="53" t="s">
        <v>29</v>
      </c>
      <c r="U406" s="2"/>
      <c r="V406" s="2"/>
      <c r="W406" s="2"/>
      <c r="X406" s="2"/>
      <c r="Y406" s="2"/>
      <c r="Z406" s="2"/>
      <c r="AA406" s="51">
        <v>14000</v>
      </c>
      <c r="AB406" s="53" t="s">
        <v>29</v>
      </c>
      <c r="AC406" s="2"/>
      <c r="AD406" s="2"/>
      <c r="AE406" s="2"/>
      <c r="AF406" s="2"/>
      <c r="AG406" s="2"/>
      <c r="AH406" s="2"/>
      <c r="AI406" s="51">
        <v>13000</v>
      </c>
      <c r="AJ406" s="53" t="s">
        <v>29</v>
      </c>
      <c r="AK406" s="2"/>
      <c r="AL406" s="2"/>
      <c r="AM406" s="2"/>
      <c r="AN406" s="2"/>
      <c r="AO406" s="2"/>
      <c r="AP406" s="2"/>
      <c r="AQ406" s="51">
        <v>12000</v>
      </c>
      <c r="AR406" s="53" t="s">
        <v>29</v>
      </c>
      <c r="AS406" s="2"/>
      <c r="AT406" s="2"/>
      <c r="AU406" s="2"/>
      <c r="AV406" s="242"/>
      <c r="AW406" s="2"/>
      <c r="AX406" s="2"/>
      <c r="AY406" s="51">
        <v>13000</v>
      </c>
      <c r="AZ406" s="53" t="s">
        <v>29</v>
      </c>
      <c r="BA406" s="2"/>
      <c r="BB406" s="2"/>
      <c r="BC406" s="2"/>
    </row>
    <row r="407" spans="1:55" ht="15" customHeight="1" x14ac:dyDescent="0.3">
      <c r="A407" s="412" t="s">
        <v>217</v>
      </c>
      <c r="B407" s="412"/>
      <c r="C407" s="413" t="s">
        <v>218</v>
      </c>
      <c r="D407" s="413"/>
      <c r="E407" s="413"/>
      <c r="F407" s="413"/>
      <c r="G407" s="413"/>
      <c r="H407" s="228"/>
      <c r="I407" s="412" t="s">
        <v>217</v>
      </c>
      <c r="J407" s="412"/>
      <c r="K407" s="413" t="s">
        <v>218</v>
      </c>
      <c r="L407" s="413"/>
      <c r="M407" s="413"/>
      <c r="N407" s="413"/>
      <c r="O407" s="413"/>
      <c r="P407" s="243"/>
      <c r="Q407" s="412" t="s">
        <v>217</v>
      </c>
      <c r="R407" s="412"/>
      <c r="S407" s="413" t="s">
        <v>218</v>
      </c>
      <c r="T407" s="413"/>
      <c r="U407" s="413"/>
      <c r="V407" s="413"/>
      <c r="W407" s="413"/>
      <c r="X407" s="228"/>
      <c r="Y407" s="412" t="s">
        <v>217</v>
      </c>
      <c r="Z407" s="412"/>
      <c r="AA407" s="413" t="s">
        <v>218</v>
      </c>
      <c r="AB407" s="413"/>
      <c r="AC407" s="413"/>
      <c r="AD407" s="413"/>
      <c r="AE407" s="413"/>
      <c r="AF407" s="228"/>
      <c r="AG407" s="412" t="s">
        <v>217</v>
      </c>
      <c r="AH407" s="412"/>
      <c r="AI407" s="413" t="s">
        <v>218</v>
      </c>
      <c r="AJ407" s="413"/>
      <c r="AK407" s="413"/>
      <c r="AL407" s="413"/>
      <c r="AM407" s="413"/>
      <c r="AN407" s="228"/>
      <c r="AO407" s="412" t="s">
        <v>217</v>
      </c>
      <c r="AP407" s="412"/>
      <c r="AQ407" s="413" t="s">
        <v>218</v>
      </c>
      <c r="AR407" s="413"/>
      <c r="AS407" s="413"/>
      <c r="AT407" s="413"/>
      <c r="AU407" s="413"/>
      <c r="AV407" s="244"/>
      <c r="AW407" s="412" t="s">
        <v>217</v>
      </c>
      <c r="AX407" s="412"/>
      <c r="AY407" s="413" t="s">
        <v>218</v>
      </c>
      <c r="AZ407" s="413"/>
      <c r="BA407" s="413"/>
      <c r="BB407" s="413"/>
      <c r="BC407" s="413"/>
    </row>
    <row r="408" spans="1:55" ht="15" customHeight="1" x14ac:dyDescent="0.3">
      <c r="A408" s="412"/>
      <c r="B408" s="412"/>
      <c r="C408" s="413"/>
      <c r="D408" s="413"/>
      <c r="E408" s="413"/>
      <c r="F408" s="413"/>
      <c r="G408" s="413"/>
      <c r="H408" s="228"/>
      <c r="I408" s="412"/>
      <c r="J408" s="412"/>
      <c r="K408" s="413"/>
      <c r="L408" s="413"/>
      <c r="M408" s="413"/>
      <c r="N408" s="413"/>
      <c r="O408" s="413"/>
      <c r="P408" s="243"/>
      <c r="Q408" s="412"/>
      <c r="R408" s="412"/>
      <c r="S408" s="413"/>
      <c r="T408" s="413"/>
      <c r="U408" s="413"/>
      <c r="V408" s="413"/>
      <c r="W408" s="413"/>
      <c r="X408" s="228"/>
      <c r="Y408" s="412"/>
      <c r="Z408" s="412"/>
      <c r="AA408" s="413"/>
      <c r="AB408" s="413"/>
      <c r="AC408" s="413"/>
      <c r="AD408" s="413"/>
      <c r="AE408" s="413"/>
      <c r="AF408" s="228"/>
      <c r="AG408" s="412"/>
      <c r="AH408" s="412"/>
      <c r="AI408" s="413"/>
      <c r="AJ408" s="413"/>
      <c r="AK408" s="413"/>
      <c r="AL408" s="413"/>
      <c r="AM408" s="413"/>
      <c r="AN408" s="228"/>
      <c r="AO408" s="412"/>
      <c r="AP408" s="412"/>
      <c r="AQ408" s="413"/>
      <c r="AR408" s="413"/>
      <c r="AS408" s="413"/>
      <c r="AT408" s="413"/>
      <c r="AU408" s="413"/>
      <c r="AV408" s="244"/>
      <c r="AW408" s="412"/>
      <c r="AX408" s="412"/>
      <c r="AY408" s="413"/>
      <c r="AZ408" s="413"/>
      <c r="BA408" s="413"/>
      <c r="BB408" s="413"/>
      <c r="BC408" s="413"/>
    </row>
    <row r="409" spans="1:55" ht="15" customHeight="1" x14ac:dyDescent="0.3">
      <c r="A409" s="410" t="s">
        <v>10</v>
      </c>
      <c r="B409" s="410"/>
      <c r="C409" s="245">
        <v>0</v>
      </c>
      <c r="D409" s="246">
        <v>1000</v>
      </c>
      <c r="E409" s="246">
        <v>2000</v>
      </c>
      <c r="F409" s="247">
        <v>3000</v>
      </c>
      <c r="G409" s="247">
        <v>4000</v>
      </c>
      <c r="H409" s="243"/>
      <c r="I409" s="410" t="s">
        <v>10</v>
      </c>
      <c r="J409" s="410"/>
      <c r="K409" s="245">
        <v>0</v>
      </c>
      <c r="L409" s="246">
        <v>1000</v>
      </c>
      <c r="M409" s="246">
        <v>2000</v>
      </c>
      <c r="N409" s="247">
        <v>3000</v>
      </c>
      <c r="O409" s="247">
        <v>4000</v>
      </c>
      <c r="P409" s="243"/>
      <c r="Q409" s="410" t="s">
        <v>10</v>
      </c>
      <c r="R409" s="410"/>
      <c r="S409" s="245">
        <v>0</v>
      </c>
      <c r="T409" s="246">
        <v>1000</v>
      </c>
      <c r="U409" s="246">
        <v>2000</v>
      </c>
      <c r="V409" s="247">
        <v>3000</v>
      </c>
      <c r="W409" s="247">
        <v>4000</v>
      </c>
      <c r="X409" s="243"/>
      <c r="Y409" s="410" t="s">
        <v>10</v>
      </c>
      <c r="Z409" s="410"/>
      <c r="AA409" s="245">
        <v>0</v>
      </c>
      <c r="AB409" s="246">
        <v>1000</v>
      </c>
      <c r="AC409" s="246">
        <v>2000</v>
      </c>
      <c r="AD409" s="247">
        <v>3000</v>
      </c>
      <c r="AE409" s="247">
        <v>4000</v>
      </c>
      <c r="AF409" s="243"/>
      <c r="AG409" s="410" t="s">
        <v>10</v>
      </c>
      <c r="AH409" s="410"/>
      <c r="AI409" s="245">
        <v>0</v>
      </c>
      <c r="AJ409" s="246">
        <v>1000</v>
      </c>
      <c r="AK409" s="246">
        <v>2000</v>
      </c>
      <c r="AL409" s="247">
        <v>3000</v>
      </c>
      <c r="AM409" s="247">
        <v>4000</v>
      </c>
      <c r="AN409" s="243"/>
      <c r="AO409" s="410" t="s">
        <v>10</v>
      </c>
      <c r="AP409" s="410"/>
      <c r="AQ409" s="245">
        <v>0</v>
      </c>
      <c r="AR409" s="246">
        <v>1000</v>
      </c>
      <c r="AS409" s="246">
        <v>2000</v>
      </c>
      <c r="AT409" s="247">
        <v>3000</v>
      </c>
      <c r="AU409" s="247">
        <v>4000</v>
      </c>
      <c r="AV409" s="244"/>
      <c r="AW409" s="410" t="s">
        <v>10</v>
      </c>
      <c r="AX409" s="410"/>
      <c r="AY409" s="245">
        <v>0</v>
      </c>
      <c r="AZ409" s="246">
        <v>1000</v>
      </c>
      <c r="BA409" s="246">
        <v>2000</v>
      </c>
      <c r="BB409" s="247">
        <v>3000</v>
      </c>
      <c r="BC409" s="247">
        <v>4000</v>
      </c>
    </row>
    <row r="410" spans="1:55" ht="15" customHeight="1" x14ac:dyDescent="0.3">
      <c r="A410" s="411">
        <v>-30</v>
      </c>
      <c r="B410" s="411"/>
      <c r="C410" s="248">
        <v>114</v>
      </c>
      <c r="D410" s="248">
        <v>114</v>
      </c>
      <c r="E410" s="248">
        <v>114</v>
      </c>
      <c r="F410" s="248">
        <v>114</v>
      </c>
      <c r="G410" s="250">
        <v>99999</v>
      </c>
      <c r="H410" s="2"/>
      <c r="I410" s="411">
        <v>-30</v>
      </c>
      <c r="J410" s="411"/>
      <c r="K410" s="251">
        <v>112</v>
      </c>
      <c r="L410" s="251">
        <v>112</v>
      </c>
      <c r="M410" s="251">
        <v>112</v>
      </c>
      <c r="N410" s="251">
        <v>112</v>
      </c>
      <c r="O410" s="250">
        <v>99999</v>
      </c>
      <c r="P410" s="42"/>
      <c r="Q410" s="411">
        <v>-30</v>
      </c>
      <c r="R410" s="411"/>
      <c r="S410" s="251">
        <v>108</v>
      </c>
      <c r="T410" s="251">
        <v>109</v>
      </c>
      <c r="U410" s="251">
        <v>109</v>
      </c>
      <c r="V410" s="251">
        <v>109</v>
      </c>
      <c r="W410" s="250">
        <v>99999</v>
      </c>
      <c r="X410" s="2"/>
      <c r="Y410" s="411">
        <v>-30</v>
      </c>
      <c r="Z410" s="411"/>
      <c r="AA410" s="251">
        <v>105</v>
      </c>
      <c r="AB410" s="251">
        <v>105</v>
      </c>
      <c r="AC410" s="251">
        <v>105</v>
      </c>
      <c r="AD410" s="251">
        <v>106</v>
      </c>
      <c r="AE410" s="250">
        <v>99999</v>
      </c>
      <c r="AF410" s="2"/>
      <c r="AG410" s="411">
        <v>-30</v>
      </c>
      <c r="AH410" s="411"/>
      <c r="AI410" s="251">
        <v>102</v>
      </c>
      <c r="AJ410" s="251">
        <v>102</v>
      </c>
      <c r="AK410" s="251">
        <v>102</v>
      </c>
      <c r="AL410" s="251">
        <v>102</v>
      </c>
      <c r="AM410" s="250">
        <v>99999</v>
      </c>
      <c r="AN410" s="2"/>
      <c r="AO410" s="411">
        <v>-30</v>
      </c>
      <c r="AP410" s="411"/>
      <c r="AQ410" s="251">
        <v>102</v>
      </c>
      <c r="AR410" s="251">
        <v>102</v>
      </c>
      <c r="AS410" s="251">
        <v>102</v>
      </c>
      <c r="AT410" s="251">
        <v>102</v>
      </c>
      <c r="AU410" s="250">
        <v>99999</v>
      </c>
      <c r="AV410" s="252"/>
      <c r="AW410" s="408">
        <v>0</v>
      </c>
      <c r="AX410" s="408"/>
      <c r="AY410" s="251"/>
      <c r="AZ410" s="251"/>
      <c r="BA410" s="251"/>
      <c r="BB410" s="250"/>
      <c r="BC410" s="250">
        <v>99999</v>
      </c>
    </row>
    <row r="411" spans="1:55" ht="15" customHeight="1" x14ac:dyDescent="0.3">
      <c r="A411" s="408">
        <v>-25</v>
      </c>
      <c r="B411" s="408"/>
      <c r="C411" s="248">
        <v>114</v>
      </c>
      <c r="D411" s="248">
        <v>114</v>
      </c>
      <c r="E411" s="248">
        <v>114</v>
      </c>
      <c r="F411" s="248">
        <v>114</v>
      </c>
      <c r="G411" s="250">
        <v>99999</v>
      </c>
      <c r="H411" s="2"/>
      <c r="I411" s="408">
        <v>-25</v>
      </c>
      <c r="J411" s="408"/>
      <c r="K411" s="251">
        <v>112</v>
      </c>
      <c r="L411" s="251">
        <v>112</v>
      </c>
      <c r="M411" s="251">
        <v>112</v>
      </c>
      <c r="N411" s="251">
        <v>112</v>
      </c>
      <c r="O411" s="250">
        <v>99999</v>
      </c>
      <c r="P411" s="42"/>
      <c r="Q411" s="408">
        <v>-25</v>
      </c>
      <c r="R411" s="408"/>
      <c r="S411" s="251">
        <v>109</v>
      </c>
      <c r="T411" s="251">
        <v>109</v>
      </c>
      <c r="U411" s="251">
        <v>109</v>
      </c>
      <c r="V411" s="251">
        <v>109</v>
      </c>
      <c r="W411" s="250">
        <v>99999</v>
      </c>
      <c r="X411" s="2"/>
      <c r="Y411" s="408">
        <v>-25</v>
      </c>
      <c r="Z411" s="408"/>
      <c r="AA411" s="251">
        <v>105</v>
      </c>
      <c r="AB411" s="251">
        <v>105</v>
      </c>
      <c r="AC411" s="251">
        <v>105</v>
      </c>
      <c r="AD411" s="251">
        <v>106</v>
      </c>
      <c r="AE411" s="250">
        <v>99999</v>
      </c>
      <c r="AF411" s="2"/>
      <c r="AG411" s="408">
        <v>-25</v>
      </c>
      <c r="AH411" s="408"/>
      <c r="AI411" s="251">
        <v>102</v>
      </c>
      <c r="AJ411" s="251">
        <v>102</v>
      </c>
      <c r="AK411" s="251">
        <v>102</v>
      </c>
      <c r="AL411" s="251">
        <v>102</v>
      </c>
      <c r="AM411" s="250">
        <v>99999</v>
      </c>
      <c r="AN411" s="2"/>
      <c r="AO411" s="408">
        <v>-25</v>
      </c>
      <c r="AP411" s="408"/>
      <c r="AQ411" s="251">
        <v>102</v>
      </c>
      <c r="AR411" s="251">
        <v>102</v>
      </c>
      <c r="AS411" s="251">
        <v>102</v>
      </c>
      <c r="AT411" s="251">
        <v>102</v>
      </c>
      <c r="AU411" s="250">
        <v>99999</v>
      </c>
      <c r="AV411" s="252"/>
      <c r="AW411" s="408">
        <v>10</v>
      </c>
      <c r="AX411" s="408"/>
      <c r="AY411" s="251"/>
      <c r="AZ411" s="251"/>
      <c r="BA411" s="251"/>
      <c r="BB411" s="250"/>
      <c r="BC411" s="250">
        <v>99999</v>
      </c>
    </row>
    <row r="412" spans="1:55" ht="15" customHeight="1" x14ac:dyDescent="0.3">
      <c r="A412" s="408">
        <v>-20</v>
      </c>
      <c r="B412" s="408"/>
      <c r="C412" s="248">
        <v>114</v>
      </c>
      <c r="D412" s="248">
        <v>114</v>
      </c>
      <c r="E412" s="248">
        <v>114</v>
      </c>
      <c r="F412" s="248">
        <v>114</v>
      </c>
      <c r="G412" s="250">
        <v>99999</v>
      </c>
      <c r="H412" s="2"/>
      <c r="I412" s="408">
        <v>-20</v>
      </c>
      <c r="J412" s="408"/>
      <c r="K412" s="251">
        <v>112</v>
      </c>
      <c r="L412" s="251">
        <v>112</v>
      </c>
      <c r="M412" s="251">
        <v>112</v>
      </c>
      <c r="N412" s="251">
        <v>112</v>
      </c>
      <c r="O412" s="250">
        <v>99999</v>
      </c>
      <c r="P412" s="42"/>
      <c r="Q412" s="408">
        <v>-20</v>
      </c>
      <c r="R412" s="408"/>
      <c r="S412" s="251">
        <v>109</v>
      </c>
      <c r="T412" s="251">
        <v>109</v>
      </c>
      <c r="U412" s="251">
        <v>109</v>
      </c>
      <c r="V412" s="251">
        <v>109</v>
      </c>
      <c r="W412" s="250">
        <v>99999</v>
      </c>
      <c r="X412" s="2"/>
      <c r="Y412" s="408">
        <v>-20</v>
      </c>
      <c r="Z412" s="408"/>
      <c r="AA412" s="251">
        <v>105</v>
      </c>
      <c r="AB412" s="251">
        <v>105</v>
      </c>
      <c r="AC412" s="251">
        <v>106</v>
      </c>
      <c r="AD412" s="251">
        <v>106</v>
      </c>
      <c r="AE412" s="250">
        <v>99999</v>
      </c>
      <c r="AF412" s="2"/>
      <c r="AG412" s="408">
        <v>-20</v>
      </c>
      <c r="AH412" s="408"/>
      <c r="AI412" s="251">
        <v>102</v>
      </c>
      <c r="AJ412" s="251">
        <v>102</v>
      </c>
      <c r="AK412" s="251">
        <v>102</v>
      </c>
      <c r="AL412" s="251">
        <v>102</v>
      </c>
      <c r="AM412" s="250">
        <v>99999</v>
      </c>
      <c r="AN412" s="2"/>
      <c r="AO412" s="408">
        <v>-20</v>
      </c>
      <c r="AP412" s="408"/>
      <c r="AQ412" s="251">
        <v>102</v>
      </c>
      <c r="AR412" s="251">
        <v>102</v>
      </c>
      <c r="AS412" s="251">
        <v>102</v>
      </c>
      <c r="AT412" s="251">
        <v>102</v>
      </c>
      <c r="AU412" s="250">
        <v>99999</v>
      </c>
      <c r="AV412" s="252"/>
      <c r="AW412" s="253"/>
      <c r="AX412" s="254"/>
      <c r="AY412" s="251"/>
      <c r="AZ412" s="251"/>
      <c r="BA412" s="251"/>
      <c r="BB412" s="250"/>
      <c r="BC412" s="250">
        <v>99999</v>
      </c>
    </row>
    <row r="413" spans="1:55" ht="15" customHeight="1" x14ac:dyDescent="0.3">
      <c r="A413" s="408">
        <v>-15</v>
      </c>
      <c r="B413" s="408"/>
      <c r="C413" s="248">
        <v>114</v>
      </c>
      <c r="D413" s="248">
        <v>114</v>
      </c>
      <c r="E413" s="248">
        <v>114</v>
      </c>
      <c r="F413" s="248">
        <v>114</v>
      </c>
      <c r="G413" s="250">
        <v>99999</v>
      </c>
      <c r="H413" s="2"/>
      <c r="I413" s="408">
        <v>-15</v>
      </c>
      <c r="J413" s="408"/>
      <c r="K413" s="251">
        <v>112</v>
      </c>
      <c r="L413" s="251">
        <v>112</v>
      </c>
      <c r="M413" s="251">
        <v>112</v>
      </c>
      <c r="N413" s="251">
        <v>113</v>
      </c>
      <c r="O413" s="250">
        <v>99999</v>
      </c>
      <c r="P413" s="42"/>
      <c r="Q413" s="408">
        <v>-15</v>
      </c>
      <c r="R413" s="408"/>
      <c r="S413" s="251">
        <v>109</v>
      </c>
      <c r="T413" s="251">
        <v>109</v>
      </c>
      <c r="U413" s="251">
        <v>109</v>
      </c>
      <c r="V413" s="251">
        <v>109</v>
      </c>
      <c r="W413" s="250">
        <v>99999</v>
      </c>
      <c r="X413" s="2"/>
      <c r="Y413" s="408">
        <v>-15</v>
      </c>
      <c r="Z413" s="408"/>
      <c r="AA413" s="251">
        <v>105</v>
      </c>
      <c r="AB413" s="251">
        <v>105</v>
      </c>
      <c r="AC413" s="251">
        <v>106</v>
      </c>
      <c r="AD413" s="251">
        <v>106</v>
      </c>
      <c r="AE413" s="250">
        <v>99999</v>
      </c>
      <c r="AF413" s="2"/>
      <c r="AG413" s="408">
        <v>-15</v>
      </c>
      <c r="AH413" s="408"/>
      <c r="AI413" s="251">
        <v>102</v>
      </c>
      <c r="AJ413" s="251">
        <v>102</v>
      </c>
      <c r="AK413" s="251">
        <v>102</v>
      </c>
      <c r="AL413" s="251">
        <v>102</v>
      </c>
      <c r="AM413" s="250">
        <v>99999</v>
      </c>
      <c r="AN413" s="2"/>
      <c r="AO413" s="408">
        <v>-15</v>
      </c>
      <c r="AP413" s="408"/>
      <c r="AQ413" s="251">
        <v>102</v>
      </c>
      <c r="AR413" s="251">
        <v>102</v>
      </c>
      <c r="AS413" s="251">
        <v>102</v>
      </c>
      <c r="AT413" s="251">
        <v>102</v>
      </c>
      <c r="AU413" s="250">
        <v>99999</v>
      </c>
      <c r="AV413" s="252"/>
      <c r="AW413" s="253"/>
      <c r="AX413" s="254"/>
      <c r="AY413" s="251"/>
      <c r="AZ413" s="251"/>
      <c r="BA413" s="251"/>
      <c r="BB413" s="250"/>
      <c r="BC413" s="250">
        <v>99999</v>
      </c>
    </row>
    <row r="414" spans="1:55" ht="15" customHeight="1" x14ac:dyDescent="0.3">
      <c r="A414" s="408">
        <v>-10</v>
      </c>
      <c r="B414" s="408"/>
      <c r="C414" s="248">
        <v>114</v>
      </c>
      <c r="D414" s="248">
        <v>114</v>
      </c>
      <c r="E414" s="248">
        <v>114</v>
      </c>
      <c r="F414" s="248">
        <v>115</v>
      </c>
      <c r="G414" s="250">
        <v>99999</v>
      </c>
      <c r="H414" s="2"/>
      <c r="I414" s="408">
        <v>-10</v>
      </c>
      <c r="J414" s="408"/>
      <c r="K414" s="251">
        <v>112</v>
      </c>
      <c r="L414" s="251">
        <v>112</v>
      </c>
      <c r="M414" s="251">
        <v>112</v>
      </c>
      <c r="N414" s="251">
        <v>113</v>
      </c>
      <c r="O414" s="250">
        <v>99999</v>
      </c>
      <c r="P414" s="42"/>
      <c r="Q414" s="408">
        <v>-10</v>
      </c>
      <c r="R414" s="408"/>
      <c r="S414" s="251">
        <v>109</v>
      </c>
      <c r="T414" s="251">
        <v>109</v>
      </c>
      <c r="U414" s="251">
        <v>109</v>
      </c>
      <c r="V414" s="251">
        <v>109</v>
      </c>
      <c r="W414" s="250">
        <v>99999</v>
      </c>
      <c r="X414" s="2"/>
      <c r="Y414" s="408">
        <v>-10</v>
      </c>
      <c r="Z414" s="408"/>
      <c r="AA414" s="251">
        <v>105</v>
      </c>
      <c r="AB414" s="251">
        <v>106</v>
      </c>
      <c r="AC414" s="251">
        <v>106</v>
      </c>
      <c r="AD414" s="251">
        <v>106</v>
      </c>
      <c r="AE414" s="250">
        <v>99999</v>
      </c>
      <c r="AF414" s="2"/>
      <c r="AG414" s="408">
        <v>-10</v>
      </c>
      <c r="AH414" s="408"/>
      <c r="AI414" s="251">
        <v>102</v>
      </c>
      <c r="AJ414" s="251">
        <v>102</v>
      </c>
      <c r="AK414" s="251">
        <v>102</v>
      </c>
      <c r="AL414" s="251">
        <v>102</v>
      </c>
      <c r="AM414" s="250">
        <v>99999</v>
      </c>
      <c r="AN414" s="2"/>
      <c r="AO414" s="408">
        <v>-10</v>
      </c>
      <c r="AP414" s="408"/>
      <c r="AQ414" s="251">
        <v>102</v>
      </c>
      <c r="AR414" s="251">
        <v>102</v>
      </c>
      <c r="AS414" s="251">
        <v>102</v>
      </c>
      <c r="AT414" s="251">
        <v>102</v>
      </c>
      <c r="AU414" s="250">
        <v>99999</v>
      </c>
      <c r="AV414" s="252"/>
      <c r="AW414" s="253"/>
      <c r="AX414" s="254"/>
      <c r="AY414" s="251"/>
      <c r="AZ414" s="251"/>
      <c r="BA414" s="251"/>
      <c r="BB414" s="250"/>
      <c r="BC414" s="250">
        <v>99999</v>
      </c>
    </row>
    <row r="415" spans="1:55" ht="15" customHeight="1" x14ac:dyDescent="0.3">
      <c r="A415" s="408">
        <v>-5</v>
      </c>
      <c r="B415" s="408"/>
      <c r="C415" s="248">
        <v>114</v>
      </c>
      <c r="D415" s="248">
        <v>114</v>
      </c>
      <c r="E415" s="248">
        <v>114</v>
      </c>
      <c r="F415" s="248">
        <v>115</v>
      </c>
      <c r="G415" s="250">
        <v>99999</v>
      </c>
      <c r="H415" s="2"/>
      <c r="I415" s="408">
        <v>-5</v>
      </c>
      <c r="J415" s="408"/>
      <c r="K415" s="251">
        <v>112</v>
      </c>
      <c r="L415" s="251">
        <v>112</v>
      </c>
      <c r="M415" s="251">
        <v>113</v>
      </c>
      <c r="N415" s="251">
        <v>113</v>
      </c>
      <c r="O415" s="250">
        <v>99999</v>
      </c>
      <c r="P415" s="42"/>
      <c r="Q415" s="408">
        <v>-5</v>
      </c>
      <c r="R415" s="408"/>
      <c r="S415" s="251">
        <v>109</v>
      </c>
      <c r="T415" s="251">
        <v>109</v>
      </c>
      <c r="U415" s="251">
        <v>109</v>
      </c>
      <c r="V415" s="251">
        <v>109</v>
      </c>
      <c r="W415" s="250">
        <v>99999</v>
      </c>
      <c r="X415" s="2"/>
      <c r="Y415" s="408">
        <v>-5</v>
      </c>
      <c r="Z415" s="408"/>
      <c r="AA415" s="251">
        <v>105</v>
      </c>
      <c r="AB415" s="251">
        <v>106</v>
      </c>
      <c r="AC415" s="251">
        <v>106</v>
      </c>
      <c r="AD415" s="251">
        <v>106</v>
      </c>
      <c r="AE415" s="250">
        <v>99999</v>
      </c>
      <c r="AF415" s="2"/>
      <c r="AG415" s="408">
        <v>-5</v>
      </c>
      <c r="AH415" s="408"/>
      <c r="AI415" s="251">
        <v>102</v>
      </c>
      <c r="AJ415" s="251">
        <v>102</v>
      </c>
      <c r="AK415" s="251">
        <v>102</v>
      </c>
      <c r="AL415" s="251">
        <v>103</v>
      </c>
      <c r="AM415" s="250">
        <v>99999</v>
      </c>
      <c r="AN415" s="2"/>
      <c r="AO415" s="408">
        <v>-5</v>
      </c>
      <c r="AP415" s="408"/>
      <c r="AQ415" s="251">
        <v>102</v>
      </c>
      <c r="AR415" s="251">
        <v>102</v>
      </c>
      <c r="AS415" s="251">
        <v>102</v>
      </c>
      <c r="AT415" s="251">
        <v>102</v>
      </c>
      <c r="AU415" s="250">
        <v>99999</v>
      </c>
      <c r="AV415" s="252"/>
      <c r="AW415" s="253"/>
      <c r="AX415" s="254"/>
      <c r="AY415" s="251"/>
      <c r="AZ415" s="251"/>
      <c r="BA415" s="251"/>
      <c r="BB415" s="250"/>
      <c r="BC415" s="250">
        <v>99999</v>
      </c>
    </row>
    <row r="416" spans="1:55" ht="15" customHeight="1" x14ac:dyDescent="0.3">
      <c r="A416" s="408">
        <v>0</v>
      </c>
      <c r="B416" s="408"/>
      <c r="C416" s="248">
        <v>114</v>
      </c>
      <c r="D416" s="248">
        <v>114</v>
      </c>
      <c r="E416" s="248">
        <v>115</v>
      </c>
      <c r="F416" s="248">
        <v>115</v>
      </c>
      <c r="G416" s="250">
        <v>99999</v>
      </c>
      <c r="H416" s="2"/>
      <c r="I416" s="408">
        <v>0</v>
      </c>
      <c r="J416" s="408"/>
      <c r="K416" s="251">
        <v>112</v>
      </c>
      <c r="L416" s="251">
        <v>112</v>
      </c>
      <c r="M416" s="251">
        <v>113</v>
      </c>
      <c r="N416" s="251">
        <v>113</v>
      </c>
      <c r="O416" s="250">
        <v>99999</v>
      </c>
      <c r="P416" s="42"/>
      <c r="Q416" s="408">
        <v>0</v>
      </c>
      <c r="R416" s="408"/>
      <c r="S416" s="251">
        <v>109</v>
      </c>
      <c r="T416" s="251">
        <v>109</v>
      </c>
      <c r="U416" s="251">
        <v>109</v>
      </c>
      <c r="V416" s="251">
        <v>109</v>
      </c>
      <c r="W416" s="250">
        <v>99999</v>
      </c>
      <c r="X416" s="2"/>
      <c r="Y416" s="408">
        <v>0</v>
      </c>
      <c r="Z416" s="408"/>
      <c r="AA416" s="251">
        <v>105</v>
      </c>
      <c r="AB416" s="251">
        <v>106</v>
      </c>
      <c r="AC416" s="251">
        <v>106</v>
      </c>
      <c r="AD416" s="251">
        <v>106</v>
      </c>
      <c r="AE416" s="250">
        <v>99999</v>
      </c>
      <c r="AF416" s="2"/>
      <c r="AG416" s="408">
        <v>0</v>
      </c>
      <c r="AH416" s="408"/>
      <c r="AI416" s="251">
        <v>102</v>
      </c>
      <c r="AJ416" s="251">
        <v>102</v>
      </c>
      <c r="AK416" s="251">
        <v>102</v>
      </c>
      <c r="AL416" s="251">
        <v>103</v>
      </c>
      <c r="AM416" s="250">
        <v>99999</v>
      </c>
      <c r="AN416" s="2"/>
      <c r="AO416" s="408">
        <v>0</v>
      </c>
      <c r="AP416" s="408"/>
      <c r="AQ416" s="251">
        <v>102</v>
      </c>
      <c r="AR416" s="251">
        <v>102</v>
      </c>
      <c r="AS416" s="251">
        <v>102</v>
      </c>
      <c r="AT416" s="251">
        <v>102</v>
      </c>
      <c r="AU416" s="250">
        <v>99999</v>
      </c>
      <c r="AV416" s="252"/>
      <c r="AW416" s="253"/>
      <c r="AX416" s="254"/>
      <c r="AY416" s="251"/>
      <c r="AZ416" s="251"/>
      <c r="BA416" s="251"/>
      <c r="BB416" s="250"/>
      <c r="BC416" s="250">
        <v>99999</v>
      </c>
    </row>
    <row r="417" spans="1:55" ht="15" customHeight="1" x14ac:dyDescent="0.3">
      <c r="A417" s="408">
        <v>5</v>
      </c>
      <c r="B417" s="408"/>
      <c r="C417" s="248">
        <v>114</v>
      </c>
      <c r="D417" s="248">
        <v>114</v>
      </c>
      <c r="E417" s="248">
        <v>115</v>
      </c>
      <c r="F417" s="248">
        <v>115</v>
      </c>
      <c r="G417" s="250">
        <v>99999</v>
      </c>
      <c r="H417" s="2"/>
      <c r="I417" s="408">
        <v>5</v>
      </c>
      <c r="J417" s="408"/>
      <c r="K417" s="251">
        <v>112</v>
      </c>
      <c r="L417" s="251">
        <v>113</v>
      </c>
      <c r="M417" s="251">
        <v>113</v>
      </c>
      <c r="N417" s="251">
        <v>113</v>
      </c>
      <c r="O417" s="250">
        <v>99999</v>
      </c>
      <c r="P417" s="42"/>
      <c r="Q417" s="408">
        <v>5</v>
      </c>
      <c r="R417" s="408"/>
      <c r="S417" s="251">
        <v>109</v>
      </c>
      <c r="T417" s="251">
        <v>109</v>
      </c>
      <c r="U417" s="251">
        <v>109</v>
      </c>
      <c r="V417" s="250">
        <v>110</v>
      </c>
      <c r="W417" s="250">
        <v>99999</v>
      </c>
      <c r="X417" s="2"/>
      <c r="Y417" s="408">
        <v>5</v>
      </c>
      <c r="Z417" s="408"/>
      <c r="AA417" s="251">
        <v>106</v>
      </c>
      <c r="AB417" s="251">
        <v>106</v>
      </c>
      <c r="AC417" s="251">
        <v>106</v>
      </c>
      <c r="AD417" s="251">
        <v>106</v>
      </c>
      <c r="AE417" s="250">
        <v>99999</v>
      </c>
      <c r="AF417" s="2"/>
      <c r="AG417" s="408">
        <v>5</v>
      </c>
      <c r="AH417" s="408"/>
      <c r="AI417" s="251">
        <v>102</v>
      </c>
      <c r="AJ417" s="251">
        <v>102</v>
      </c>
      <c r="AK417" s="251">
        <v>103</v>
      </c>
      <c r="AL417" s="251">
        <v>103</v>
      </c>
      <c r="AM417" s="250">
        <v>99999</v>
      </c>
      <c r="AN417" s="2"/>
      <c r="AO417" s="408">
        <v>5</v>
      </c>
      <c r="AP417" s="408"/>
      <c r="AQ417" s="251">
        <v>102</v>
      </c>
      <c r="AR417" s="251">
        <v>102</v>
      </c>
      <c r="AS417" s="251">
        <v>102</v>
      </c>
      <c r="AT417" s="251">
        <v>102</v>
      </c>
      <c r="AU417" s="250">
        <v>99999</v>
      </c>
      <c r="AV417" s="252"/>
      <c r="AW417" s="253"/>
      <c r="AX417" s="254"/>
      <c r="AY417" s="251"/>
      <c r="AZ417" s="251"/>
      <c r="BA417" s="251"/>
      <c r="BB417" s="250"/>
      <c r="BC417" s="250">
        <v>99999</v>
      </c>
    </row>
    <row r="418" spans="1:55" ht="15" customHeight="1" x14ac:dyDescent="0.3">
      <c r="A418" s="408">
        <v>10</v>
      </c>
      <c r="B418" s="408"/>
      <c r="C418" s="248">
        <v>114</v>
      </c>
      <c r="D418" s="248">
        <v>114</v>
      </c>
      <c r="E418" s="248">
        <v>115</v>
      </c>
      <c r="F418" s="248">
        <v>115</v>
      </c>
      <c r="G418" s="250">
        <v>99999</v>
      </c>
      <c r="H418" s="2"/>
      <c r="I418" s="408">
        <v>10</v>
      </c>
      <c r="J418" s="408"/>
      <c r="K418" s="251">
        <v>112</v>
      </c>
      <c r="L418" s="251">
        <v>113</v>
      </c>
      <c r="M418" s="251">
        <v>113</v>
      </c>
      <c r="N418" s="251">
        <v>113</v>
      </c>
      <c r="O418" s="250">
        <v>99999</v>
      </c>
      <c r="P418" s="42"/>
      <c r="Q418" s="408">
        <v>10</v>
      </c>
      <c r="R418" s="408"/>
      <c r="S418" s="251">
        <v>109</v>
      </c>
      <c r="T418" s="251">
        <v>109</v>
      </c>
      <c r="U418" s="251">
        <v>109</v>
      </c>
      <c r="V418" s="250">
        <v>110</v>
      </c>
      <c r="W418" s="250">
        <v>99999</v>
      </c>
      <c r="X418" s="2"/>
      <c r="Y418" s="408">
        <v>10</v>
      </c>
      <c r="Z418" s="408"/>
      <c r="AA418" s="251">
        <v>106</v>
      </c>
      <c r="AB418" s="251">
        <v>106</v>
      </c>
      <c r="AC418" s="251">
        <v>106</v>
      </c>
      <c r="AD418" s="251">
        <v>106</v>
      </c>
      <c r="AE418" s="250">
        <v>99999</v>
      </c>
      <c r="AF418" s="2"/>
      <c r="AG418" s="408">
        <v>10</v>
      </c>
      <c r="AH418" s="408"/>
      <c r="AI418" s="251">
        <v>102</v>
      </c>
      <c r="AJ418" s="251">
        <v>102</v>
      </c>
      <c r="AK418" s="251">
        <v>103</v>
      </c>
      <c r="AL418" s="251">
        <v>103</v>
      </c>
      <c r="AM418" s="250">
        <v>99999</v>
      </c>
      <c r="AN418" s="2"/>
      <c r="AO418" s="408">
        <v>10</v>
      </c>
      <c r="AP418" s="408"/>
      <c r="AQ418" s="251">
        <v>102</v>
      </c>
      <c r="AR418" s="251">
        <v>102</v>
      </c>
      <c r="AS418" s="251">
        <v>102</v>
      </c>
      <c r="AT418" s="251">
        <v>102</v>
      </c>
      <c r="AU418" s="250">
        <v>99999</v>
      </c>
      <c r="AV418" s="252"/>
      <c r="AW418" s="253"/>
      <c r="AX418" s="254"/>
      <c r="AY418" s="251"/>
      <c r="AZ418" s="251"/>
      <c r="BA418" s="251"/>
      <c r="BB418" s="250"/>
      <c r="BC418" s="250">
        <v>99999</v>
      </c>
    </row>
    <row r="419" spans="1:55" ht="15" customHeight="1" x14ac:dyDescent="0.3">
      <c r="A419" s="408">
        <v>15</v>
      </c>
      <c r="B419" s="408"/>
      <c r="C419" s="248">
        <v>9999</v>
      </c>
      <c r="D419" s="248">
        <v>9999</v>
      </c>
      <c r="E419" s="248">
        <v>9999</v>
      </c>
      <c r="F419" s="248">
        <v>9999</v>
      </c>
      <c r="G419" s="250">
        <v>99999</v>
      </c>
      <c r="H419" s="2"/>
      <c r="I419" s="408">
        <v>15</v>
      </c>
      <c r="J419" s="408"/>
      <c r="K419" s="248">
        <v>9999</v>
      </c>
      <c r="L419" s="248">
        <v>9999</v>
      </c>
      <c r="M419" s="248">
        <v>9999</v>
      </c>
      <c r="N419" s="248">
        <v>9999</v>
      </c>
      <c r="O419" s="250">
        <v>99999</v>
      </c>
      <c r="P419" s="42"/>
      <c r="Q419" s="408">
        <v>15</v>
      </c>
      <c r="R419" s="408"/>
      <c r="S419" s="248">
        <v>9999</v>
      </c>
      <c r="T419" s="248">
        <v>9999</v>
      </c>
      <c r="U419" s="248">
        <v>9999</v>
      </c>
      <c r="V419" s="248">
        <v>9999</v>
      </c>
      <c r="W419" s="250">
        <v>99999</v>
      </c>
      <c r="X419" s="2"/>
      <c r="Y419" s="408">
        <v>15</v>
      </c>
      <c r="Z419" s="408"/>
      <c r="AA419" s="248">
        <v>9999</v>
      </c>
      <c r="AB419" s="248">
        <v>9999</v>
      </c>
      <c r="AC419" s="248">
        <v>9999</v>
      </c>
      <c r="AD419" s="248">
        <v>9999</v>
      </c>
      <c r="AE419" s="250">
        <v>99999</v>
      </c>
      <c r="AF419" s="2"/>
      <c r="AG419" s="408">
        <v>15</v>
      </c>
      <c r="AH419" s="408"/>
      <c r="AI419" s="248">
        <v>9999</v>
      </c>
      <c r="AJ419" s="248">
        <v>9999</v>
      </c>
      <c r="AK419" s="248">
        <v>9999</v>
      </c>
      <c r="AL419" s="248">
        <v>9999</v>
      </c>
      <c r="AM419" s="250">
        <v>99999</v>
      </c>
      <c r="AN419" s="2"/>
      <c r="AO419" s="408">
        <v>15</v>
      </c>
      <c r="AP419" s="408"/>
      <c r="AQ419" s="248">
        <v>9999</v>
      </c>
      <c r="AR419" s="248">
        <v>9999</v>
      </c>
      <c r="AS419" s="248">
        <v>9999</v>
      </c>
      <c r="AT419" s="248">
        <v>9999</v>
      </c>
      <c r="AU419" s="250">
        <v>99999</v>
      </c>
      <c r="AV419" s="252"/>
      <c r="AW419" s="253"/>
      <c r="AX419" s="254"/>
      <c r="AY419" s="251"/>
      <c r="AZ419" s="251"/>
      <c r="BA419" s="251"/>
      <c r="BB419" s="250"/>
      <c r="BC419" s="250">
        <v>99999</v>
      </c>
    </row>
    <row r="420" spans="1:55" ht="15" customHeight="1" x14ac:dyDescent="0.3">
      <c r="A420" s="408">
        <v>20</v>
      </c>
      <c r="B420" s="408"/>
      <c r="C420" s="248">
        <v>9999</v>
      </c>
      <c r="D420" s="248">
        <v>9999</v>
      </c>
      <c r="E420" s="248">
        <v>9999</v>
      </c>
      <c r="F420" s="248">
        <v>9999</v>
      </c>
      <c r="G420" s="250">
        <v>99999</v>
      </c>
      <c r="H420" s="2"/>
      <c r="I420" s="408">
        <v>20</v>
      </c>
      <c r="J420" s="408"/>
      <c r="K420" s="248">
        <v>9999</v>
      </c>
      <c r="L420" s="248">
        <v>9999</v>
      </c>
      <c r="M420" s="248">
        <v>9999</v>
      </c>
      <c r="N420" s="248">
        <v>9999</v>
      </c>
      <c r="O420" s="250">
        <v>99999</v>
      </c>
      <c r="P420" s="42"/>
      <c r="Q420" s="408">
        <v>20</v>
      </c>
      <c r="R420" s="408"/>
      <c r="S420" s="248">
        <v>9999</v>
      </c>
      <c r="T420" s="248">
        <v>9999</v>
      </c>
      <c r="U420" s="248">
        <v>9999</v>
      </c>
      <c r="V420" s="248">
        <v>9999</v>
      </c>
      <c r="W420" s="250">
        <v>99999</v>
      </c>
      <c r="X420" s="2"/>
      <c r="Y420" s="408">
        <v>20</v>
      </c>
      <c r="Z420" s="408"/>
      <c r="AA420" s="248">
        <v>9999</v>
      </c>
      <c r="AB420" s="248">
        <v>9999</v>
      </c>
      <c r="AC420" s="248">
        <v>9999</v>
      </c>
      <c r="AD420" s="248">
        <v>9999</v>
      </c>
      <c r="AE420" s="250">
        <v>99999</v>
      </c>
      <c r="AF420" s="2"/>
      <c r="AG420" s="408">
        <v>20</v>
      </c>
      <c r="AH420" s="408"/>
      <c r="AI420" s="248">
        <v>9999</v>
      </c>
      <c r="AJ420" s="248">
        <v>9999</v>
      </c>
      <c r="AK420" s="248">
        <v>9999</v>
      </c>
      <c r="AL420" s="248">
        <v>9999</v>
      </c>
      <c r="AM420" s="250">
        <v>99999</v>
      </c>
      <c r="AN420" s="2"/>
      <c r="AO420" s="408">
        <v>20</v>
      </c>
      <c r="AP420" s="408"/>
      <c r="AQ420" s="248">
        <v>9999</v>
      </c>
      <c r="AR420" s="248">
        <v>9999</v>
      </c>
      <c r="AS420" s="248">
        <v>9999</v>
      </c>
      <c r="AT420" s="248">
        <v>9999</v>
      </c>
      <c r="AU420" s="250">
        <v>99999</v>
      </c>
      <c r="AV420" s="252"/>
      <c r="AW420" s="408">
        <v>20</v>
      </c>
      <c r="AX420" s="408"/>
      <c r="AY420" s="251"/>
      <c r="AZ420" s="251"/>
      <c r="BA420" s="251"/>
      <c r="BB420" s="250"/>
      <c r="BC420" s="250">
        <v>99999</v>
      </c>
    </row>
    <row r="421" spans="1:55" ht="15" customHeight="1" x14ac:dyDescent="0.3">
      <c r="A421" s="408">
        <v>25</v>
      </c>
      <c r="B421" s="408"/>
      <c r="C421" s="248">
        <v>9999</v>
      </c>
      <c r="D421" s="248">
        <v>9999</v>
      </c>
      <c r="E421" s="248">
        <v>9999</v>
      </c>
      <c r="F421" s="248">
        <v>9999</v>
      </c>
      <c r="G421" s="250">
        <v>99999</v>
      </c>
      <c r="H421" s="2"/>
      <c r="I421" s="408">
        <v>25</v>
      </c>
      <c r="J421" s="408"/>
      <c r="K421" s="248">
        <v>9999</v>
      </c>
      <c r="L421" s="248">
        <v>9999</v>
      </c>
      <c r="M421" s="248">
        <v>9999</v>
      </c>
      <c r="N421" s="248">
        <v>9999</v>
      </c>
      <c r="O421" s="250">
        <v>99999</v>
      </c>
      <c r="P421" s="42"/>
      <c r="Q421" s="408">
        <v>25</v>
      </c>
      <c r="R421" s="408"/>
      <c r="S421" s="248">
        <v>9999</v>
      </c>
      <c r="T421" s="248">
        <v>9999</v>
      </c>
      <c r="U421" s="248">
        <v>9999</v>
      </c>
      <c r="V421" s="248">
        <v>9999</v>
      </c>
      <c r="W421" s="250">
        <v>99999</v>
      </c>
      <c r="X421" s="2"/>
      <c r="Y421" s="408">
        <v>25</v>
      </c>
      <c r="Z421" s="408"/>
      <c r="AA421" s="248">
        <v>9999</v>
      </c>
      <c r="AB421" s="248">
        <v>9999</v>
      </c>
      <c r="AC421" s="248">
        <v>9999</v>
      </c>
      <c r="AD421" s="248">
        <v>9999</v>
      </c>
      <c r="AE421" s="250">
        <v>99999</v>
      </c>
      <c r="AF421" s="2"/>
      <c r="AG421" s="408">
        <v>25</v>
      </c>
      <c r="AH421" s="408"/>
      <c r="AI421" s="248">
        <v>9999</v>
      </c>
      <c r="AJ421" s="248">
        <v>9999</v>
      </c>
      <c r="AK421" s="248">
        <v>9999</v>
      </c>
      <c r="AL421" s="248">
        <v>9999</v>
      </c>
      <c r="AM421" s="250">
        <v>99999</v>
      </c>
      <c r="AN421" s="2"/>
      <c r="AO421" s="408">
        <v>25</v>
      </c>
      <c r="AP421" s="408"/>
      <c r="AQ421" s="248">
        <v>9999</v>
      </c>
      <c r="AR421" s="248">
        <v>9999</v>
      </c>
      <c r="AS421" s="248">
        <v>9999</v>
      </c>
      <c r="AT421" s="248">
        <v>9999</v>
      </c>
      <c r="AU421" s="250">
        <v>99999</v>
      </c>
      <c r="AV421" s="252"/>
      <c r="AW421" s="253"/>
      <c r="AX421" s="254"/>
      <c r="AY421" s="251"/>
      <c r="AZ421" s="251"/>
      <c r="BA421" s="251"/>
      <c r="BB421" s="250"/>
      <c r="BC421" s="250">
        <v>99999</v>
      </c>
    </row>
    <row r="422" spans="1:55" ht="15" customHeight="1" x14ac:dyDescent="0.3">
      <c r="A422" s="408">
        <v>30</v>
      </c>
      <c r="B422" s="408"/>
      <c r="C422" s="248">
        <v>9999</v>
      </c>
      <c r="D422" s="248">
        <v>9999</v>
      </c>
      <c r="E422" s="248">
        <v>9999</v>
      </c>
      <c r="F422" s="248">
        <v>9999</v>
      </c>
      <c r="G422" s="250">
        <v>99999</v>
      </c>
      <c r="H422" s="2"/>
      <c r="I422" s="408">
        <v>30</v>
      </c>
      <c r="J422" s="408"/>
      <c r="K422" s="248">
        <v>9999</v>
      </c>
      <c r="L422" s="248">
        <v>9999</v>
      </c>
      <c r="M422" s="248">
        <v>9999</v>
      </c>
      <c r="N422" s="248">
        <v>9999</v>
      </c>
      <c r="O422" s="250">
        <v>99999</v>
      </c>
      <c r="P422" s="42"/>
      <c r="Q422" s="408">
        <v>30</v>
      </c>
      <c r="R422" s="408"/>
      <c r="S422" s="248">
        <v>9999</v>
      </c>
      <c r="T422" s="248">
        <v>9999</v>
      </c>
      <c r="U422" s="248">
        <v>9999</v>
      </c>
      <c r="V422" s="248">
        <v>9999</v>
      </c>
      <c r="W422" s="250">
        <v>99999</v>
      </c>
      <c r="X422" s="2"/>
      <c r="Y422" s="408">
        <v>30</v>
      </c>
      <c r="Z422" s="408"/>
      <c r="AA422" s="248">
        <v>9999</v>
      </c>
      <c r="AB422" s="248">
        <v>9999</v>
      </c>
      <c r="AC422" s="248">
        <v>9999</v>
      </c>
      <c r="AD422" s="248">
        <v>9999</v>
      </c>
      <c r="AE422" s="250">
        <v>99999</v>
      </c>
      <c r="AF422" s="2"/>
      <c r="AG422" s="408">
        <v>30</v>
      </c>
      <c r="AH422" s="408"/>
      <c r="AI422" s="248">
        <v>9999</v>
      </c>
      <c r="AJ422" s="248">
        <v>9999</v>
      </c>
      <c r="AK422" s="248">
        <v>9999</v>
      </c>
      <c r="AL422" s="248">
        <v>9999</v>
      </c>
      <c r="AM422" s="250">
        <v>99999</v>
      </c>
      <c r="AN422" s="2"/>
      <c r="AO422" s="408">
        <v>30</v>
      </c>
      <c r="AP422" s="408"/>
      <c r="AQ422" s="248">
        <v>9999</v>
      </c>
      <c r="AR422" s="248">
        <v>9999</v>
      </c>
      <c r="AS422" s="248">
        <v>9999</v>
      </c>
      <c r="AT422" s="248">
        <v>9999</v>
      </c>
      <c r="AU422" s="250">
        <v>99999</v>
      </c>
      <c r="AV422" s="252"/>
      <c r="AW422" s="408">
        <v>30</v>
      </c>
      <c r="AX422" s="408"/>
      <c r="AY422" s="251"/>
      <c r="AZ422" s="251"/>
      <c r="BA422" s="251"/>
      <c r="BB422" s="250"/>
      <c r="BC422" s="250">
        <v>99999</v>
      </c>
    </row>
    <row r="423" spans="1:55" ht="15" customHeight="1" x14ac:dyDescent="0.3">
      <c r="A423" s="408">
        <v>40</v>
      </c>
      <c r="B423" s="408"/>
      <c r="C423" s="255">
        <v>99999</v>
      </c>
      <c r="D423" s="255">
        <v>99999</v>
      </c>
      <c r="E423" s="255">
        <v>99999</v>
      </c>
      <c r="F423" s="255">
        <v>99999</v>
      </c>
      <c r="G423" s="250">
        <v>99999</v>
      </c>
      <c r="H423" s="2"/>
      <c r="I423" s="408">
        <v>40</v>
      </c>
      <c r="J423" s="408"/>
      <c r="K423" s="255">
        <v>99999</v>
      </c>
      <c r="L423" s="255">
        <v>99999</v>
      </c>
      <c r="M423" s="255">
        <v>99999</v>
      </c>
      <c r="N423" s="255">
        <v>99999</v>
      </c>
      <c r="O423" s="250">
        <v>99999</v>
      </c>
      <c r="P423" s="42"/>
      <c r="Q423" s="408">
        <v>40</v>
      </c>
      <c r="R423" s="408"/>
      <c r="S423" s="255">
        <v>99999</v>
      </c>
      <c r="T423" s="255">
        <v>99999</v>
      </c>
      <c r="U423" s="255">
        <v>99999</v>
      </c>
      <c r="V423" s="255">
        <v>99999</v>
      </c>
      <c r="W423" s="250">
        <v>99999</v>
      </c>
      <c r="X423" s="2"/>
      <c r="Y423" s="408">
        <v>40</v>
      </c>
      <c r="Z423" s="408"/>
      <c r="AA423" s="255">
        <v>99999</v>
      </c>
      <c r="AB423" s="255">
        <v>99999</v>
      </c>
      <c r="AC423" s="255">
        <v>99999</v>
      </c>
      <c r="AD423" s="255">
        <v>99999</v>
      </c>
      <c r="AE423" s="250">
        <v>99999</v>
      </c>
      <c r="AF423" s="2"/>
      <c r="AG423" s="408">
        <v>40</v>
      </c>
      <c r="AH423" s="408"/>
      <c r="AI423" s="255">
        <v>99999</v>
      </c>
      <c r="AJ423" s="255">
        <v>99999</v>
      </c>
      <c r="AK423" s="255">
        <v>99999</v>
      </c>
      <c r="AL423" s="255">
        <v>99999</v>
      </c>
      <c r="AM423" s="250">
        <v>99999</v>
      </c>
      <c r="AN423" s="2"/>
      <c r="AO423" s="408">
        <v>40</v>
      </c>
      <c r="AP423" s="408"/>
      <c r="AQ423" s="255">
        <v>99999</v>
      </c>
      <c r="AR423" s="255">
        <v>99999</v>
      </c>
      <c r="AS423" s="255">
        <v>99999</v>
      </c>
      <c r="AT423" s="255">
        <v>99999</v>
      </c>
      <c r="AU423" s="250">
        <v>99999</v>
      </c>
      <c r="AV423" s="252"/>
      <c r="AW423" s="408">
        <v>40</v>
      </c>
      <c r="AX423" s="408"/>
      <c r="AY423" s="255">
        <v>99999</v>
      </c>
      <c r="AZ423" s="255">
        <v>99999</v>
      </c>
      <c r="BA423" s="255">
        <v>99999</v>
      </c>
      <c r="BB423" s="255">
        <v>99999</v>
      </c>
      <c r="BC423" s="250">
        <v>99999</v>
      </c>
    </row>
    <row r="424" spans="1:55" ht="15" customHeight="1" x14ac:dyDescent="0.3">
      <c r="A424" s="409"/>
      <c r="B424" s="409"/>
      <c r="C424" s="256" t="s">
        <v>219</v>
      </c>
      <c r="D424" s="257" t="s">
        <v>219</v>
      </c>
      <c r="E424" s="257" t="s">
        <v>219</v>
      </c>
      <c r="F424" s="257" t="s">
        <v>219</v>
      </c>
      <c r="G424" s="258" t="s">
        <v>219</v>
      </c>
      <c r="H424" s="2"/>
      <c r="I424" s="409"/>
      <c r="J424" s="409"/>
      <c r="K424" s="256" t="s">
        <v>219</v>
      </c>
      <c r="L424" s="257" t="s">
        <v>219</v>
      </c>
      <c r="M424" s="257" t="s">
        <v>219</v>
      </c>
      <c r="N424" s="257" t="s">
        <v>219</v>
      </c>
      <c r="O424" s="258" t="s">
        <v>219</v>
      </c>
      <c r="P424" s="42"/>
      <c r="Q424" s="409"/>
      <c r="R424" s="409"/>
      <c r="S424" s="256" t="s">
        <v>219</v>
      </c>
      <c r="T424" s="257" t="s">
        <v>219</v>
      </c>
      <c r="U424" s="257" t="s">
        <v>219</v>
      </c>
      <c r="V424" s="257" t="s">
        <v>219</v>
      </c>
      <c r="W424" s="258" t="s">
        <v>219</v>
      </c>
      <c r="X424" s="2"/>
      <c r="Y424" s="409"/>
      <c r="Z424" s="409"/>
      <c r="AA424" s="256" t="s">
        <v>219</v>
      </c>
      <c r="AB424" s="257" t="s">
        <v>219</v>
      </c>
      <c r="AC424" s="257" t="s">
        <v>219</v>
      </c>
      <c r="AD424" s="257" t="s">
        <v>219</v>
      </c>
      <c r="AE424" s="258" t="s">
        <v>219</v>
      </c>
      <c r="AF424" s="2"/>
      <c r="AG424" s="409"/>
      <c r="AH424" s="409"/>
      <c r="AI424" s="256" t="s">
        <v>219</v>
      </c>
      <c r="AJ424" s="257" t="s">
        <v>219</v>
      </c>
      <c r="AK424" s="257" t="s">
        <v>219</v>
      </c>
      <c r="AL424" s="257" t="s">
        <v>219</v>
      </c>
      <c r="AM424" s="258" t="s">
        <v>219</v>
      </c>
      <c r="AN424" s="2"/>
      <c r="AO424" s="409"/>
      <c r="AP424" s="409"/>
      <c r="AQ424" s="256" t="s">
        <v>219</v>
      </c>
      <c r="AR424" s="257" t="s">
        <v>219</v>
      </c>
      <c r="AS424" s="257" t="s">
        <v>219</v>
      </c>
      <c r="AT424" s="257" t="s">
        <v>219</v>
      </c>
      <c r="AU424" s="258" t="s">
        <v>219</v>
      </c>
      <c r="AV424" s="252"/>
      <c r="AW424" s="409"/>
      <c r="AX424" s="409"/>
      <c r="AY424" s="256" t="s">
        <v>219</v>
      </c>
      <c r="AZ424" s="257" t="s">
        <v>219</v>
      </c>
      <c r="BA424" s="257" t="s">
        <v>219</v>
      </c>
      <c r="BB424" s="257" t="s">
        <v>219</v>
      </c>
      <c r="BC424" s="258" t="s">
        <v>219</v>
      </c>
    </row>
    <row r="425" spans="1:55" ht="15.75" customHeight="1" x14ac:dyDescent="0.3"/>
    <row r="426" spans="1:55" ht="15" customHeight="1" x14ac:dyDescent="0.3">
      <c r="B426" s="139" t="s">
        <v>146</v>
      </c>
      <c r="C426" s="140">
        <f ca="1">$D$1</f>
        <v>770</v>
      </c>
      <c r="D426" s="355" t="s">
        <v>201</v>
      </c>
      <c r="E426" s="355"/>
      <c r="F426" s="137"/>
      <c r="G426" s="137"/>
      <c r="H426" s="2"/>
      <c r="I426" s="2"/>
      <c r="J426" s="139" t="s">
        <v>146</v>
      </c>
      <c r="K426" s="140">
        <f ca="1">$D$1</f>
        <v>770</v>
      </c>
      <c r="L426" s="355" t="s">
        <v>201</v>
      </c>
      <c r="M426" s="355"/>
      <c r="N426" s="137"/>
      <c r="O426" s="137"/>
      <c r="P426" s="137"/>
      <c r="Q426" s="2"/>
      <c r="R426" s="139" t="s">
        <v>146</v>
      </c>
      <c r="S426" s="140">
        <f ca="1">$D$1</f>
        <v>770</v>
      </c>
      <c r="T426" s="355" t="s">
        <v>201</v>
      </c>
      <c r="U426" s="355"/>
      <c r="V426" s="137"/>
      <c r="W426" s="137"/>
      <c r="X426" s="2"/>
      <c r="Y426" s="2"/>
      <c r="Z426" s="139" t="s">
        <v>146</v>
      </c>
      <c r="AA426" s="140">
        <f ca="1">$D$1</f>
        <v>770</v>
      </c>
      <c r="AB426" s="355" t="s">
        <v>201</v>
      </c>
      <c r="AC426" s="355"/>
      <c r="AD426" s="137"/>
      <c r="AE426" s="137"/>
      <c r="AF426" s="2"/>
      <c r="AG426" s="2"/>
      <c r="AH426" s="139" t="s">
        <v>146</v>
      </c>
      <c r="AI426" s="140">
        <f ca="1">$D$1</f>
        <v>770</v>
      </c>
      <c r="AJ426" s="355" t="s">
        <v>201</v>
      </c>
      <c r="AK426" s="355"/>
      <c r="AL426" s="137"/>
      <c r="AM426" s="137"/>
      <c r="AN426" s="2"/>
      <c r="AO426" s="2"/>
      <c r="AP426" s="139" t="s">
        <v>146</v>
      </c>
      <c r="AQ426" s="140">
        <f ca="1">$D$1</f>
        <v>770</v>
      </c>
      <c r="AR426" s="355" t="s">
        <v>201</v>
      </c>
      <c r="AS426" s="355"/>
      <c r="AT426" s="137"/>
      <c r="AU426" s="137"/>
      <c r="AV426" s="137"/>
      <c r="AW426" s="2"/>
      <c r="AX426" s="139" t="s">
        <v>146</v>
      </c>
      <c r="AY426" s="140">
        <f ca="1">$D$1</f>
        <v>770</v>
      </c>
      <c r="AZ426" s="355" t="s">
        <v>201</v>
      </c>
      <c r="BA426" s="355"/>
    </row>
    <row r="427" spans="1:55" ht="15" customHeight="1" x14ac:dyDescent="0.3">
      <c r="B427" s="16" t="s">
        <v>202</v>
      </c>
      <c r="C427" s="141">
        <f t="array" aca="1" ref="C427" ca="1">INDEX(C409:G409,MATCH(C426,C409:G409,1))</f>
        <v>0</v>
      </c>
      <c r="D427" s="16" t="s">
        <v>144</v>
      </c>
      <c r="E427" s="17">
        <f>MATCH(MAX(A410:A424),A410:A424,0)</f>
        <v>14</v>
      </c>
      <c r="F427" s="17"/>
      <c r="H427" s="2"/>
      <c r="I427" s="2"/>
      <c r="J427" s="16" t="s">
        <v>202</v>
      </c>
      <c r="K427" s="141">
        <f t="array" aca="1" ref="K427" ca="1">INDEX(K409:O409,MATCH(K426,K409:O409,1))</f>
        <v>0</v>
      </c>
      <c r="L427" s="16" t="s">
        <v>144</v>
      </c>
      <c r="M427" s="17">
        <f>MATCH(MAX(I410:I424),I410:I424,0)</f>
        <v>14</v>
      </c>
      <c r="N427" s="17"/>
      <c r="O427" s="17"/>
      <c r="P427" s="17"/>
      <c r="Q427" s="2"/>
      <c r="R427" s="16" t="s">
        <v>202</v>
      </c>
      <c r="S427" s="141">
        <f t="array" aca="1" ref="S427" ca="1">INDEX(S409:W409,MATCH(S426,S409:W409,1))</f>
        <v>0</v>
      </c>
      <c r="T427" s="16" t="s">
        <v>144</v>
      </c>
      <c r="U427" s="17">
        <f>MATCH(MAX(Q410:Q424),Q410:Q424,0)</f>
        <v>14</v>
      </c>
      <c r="V427" s="17"/>
      <c r="W427" s="17"/>
      <c r="X427" s="2"/>
      <c r="Y427" s="2"/>
      <c r="Z427" s="16" t="s">
        <v>202</v>
      </c>
      <c r="AA427" s="141">
        <f t="array" aca="1" ref="AA427" ca="1">INDEX(AA409:AE409,MATCH(AA426,AA409:AE409,1))</f>
        <v>0</v>
      </c>
      <c r="AB427" s="16" t="s">
        <v>144</v>
      </c>
      <c r="AC427" s="17">
        <f>MATCH(MAX(Y410:Y424),Y410:Y424,0)</f>
        <v>14</v>
      </c>
      <c r="AD427" s="17"/>
      <c r="AE427" s="17"/>
      <c r="AF427" s="2"/>
      <c r="AG427" s="2"/>
      <c r="AH427" s="16" t="s">
        <v>202</v>
      </c>
      <c r="AI427" s="141">
        <f t="array" aca="1" ref="AI427" ca="1">INDEX(AI409:AM409,MATCH(AI426,AI409:AM409,1))</f>
        <v>0</v>
      </c>
      <c r="AJ427" s="16" t="s">
        <v>144</v>
      </c>
      <c r="AK427" s="17">
        <f>MATCH(MAX(AG410:AG424),AG410:AG424,0)</f>
        <v>14</v>
      </c>
      <c r="AL427" s="17"/>
      <c r="AM427" s="17"/>
      <c r="AN427" s="2"/>
      <c r="AO427" s="2"/>
      <c r="AP427" s="16" t="s">
        <v>202</v>
      </c>
      <c r="AQ427" s="141">
        <f t="array" aca="1" ref="AQ427" ca="1">INDEX(AQ409:AU409,MATCH(AQ426,AQ409:AU409,1))</f>
        <v>0</v>
      </c>
      <c r="AR427" s="16" t="s">
        <v>144</v>
      </c>
      <c r="AS427" s="17">
        <f>MATCH(MAX(AO410:AO424),AO410:AO424,0)</f>
        <v>14</v>
      </c>
      <c r="AT427" s="17"/>
      <c r="AU427" s="17"/>
      <c r="AV427" s="17"/>
      <c r="AW427" s="2"/>
      <c r="AX427" s="16" t="s">
        <v>202</v>
      </c>
      <c r="AY427" s="141">
        <f t="array" aca="1" ref="AY427" ca="1">INDEX(AY409:BC409,MATCH(AY426,AY409:BC409,1))</f>
        <v>0</v>
      </c>
      <c r="AZ427" s="16" t="s">
        <v>144</v>
      </c>
      <c r="BA427" s="17">
        <f>MATCH(MAX(AW410:AW424),AW410:AW424,0)</f>
        <v>14</v>
      </c>
    </row>
    <row r="428" spans="1:55" ht="15" customHeight="1" x14ac:dyDescent="0.3">
      <c r="B428" s="16" t="s">
        <v>203</v>
      </c>
      <c r="C428" s="141">
        <f t="array" aca="1" ref="C428" ca="1">INDEX(C409:G409,IF(MATCH(C426,C409:G409,1)&lt;E428,MATCH(C426,C409:G409,1)+1,MATCH(C426,C409:G409,1)))</f>
        <v>1000</v>
      </c>
      <c r="D428" s="16" t="s">
        <v>145</v>
      </c>
      <c r="E428" s="17">
        <f>MATCH(MAX(C409:G409),C409:G409,0)</f>
        <v>5</v>
      </c>
      <c r="F428" s="17"/>
      <c r="H428" s="2"/>
      <c r="I428" s="2"/>
      <c r="J428" s="16" t="s">
        <v>203</v>
      </c>
      <c r="K428" s="141">
        <f t="array" aca="1" ref="K428" ca="1">INDEX(K409:O409,IF(MATCH(K426,K409:O409,1)&lt;M428,MATCH(K426,K409:O409,1)+1,MATCH(K426,K409:O409,1)))</f>
        <v>1000</v>
      </c>
      <c r="L428" s="16" t="s">
        <v>145</v>
      </c>
      <c r="M428" s="17">
        <f>MATCH(MAX(K409:O409),K409:O409,0)</f>
        <v>5</v>
      </c>
      <c r="N428" s="17"/>
      <c r="O428" s="17"/>
      <c r="P428" s="17"/>
      <c r="Q428" s="2"/>
      <c r="R428" s="16" t="s">
        <v>203</v>
      </c>
      <c r="S428" s="141">
        <f t="array" aca="1" ref="S428" ca="1">INDEX(S409:W409,IF(MATCH(S426,S409:W409,1)&lt;U428,MATCH(S426,S409:W409,1)+1,MATCH(S426,S409:W409,1)))</f>
        <v>1000</v>
      </c>
      <c r="T428" s="16" t="s">
        <v>145</v>
      </c>
      <c r="U428" s="17">
        <f>MATCH(MAX(S409:W409),S409:W409,0)</f>
        <v>5</v>
      </c>
      <c r="V428" s="17"/>
      <c r="W428" s="17"/>
      <c r="X428" s="2"/>
      <c r="Y428" s="2"/>
      <c r="Z428" s="16" t="s">
        <v>203</v>
      </c>
      <c r="AA428" s="141">
        <f t="array" aca="1" ref="AA428" ca="1">INDEX(AA409:AE409,IF(MATCH(AA426,AA409:AE409,1)&lt;AC428,MATCH(AA426,AA409:AE409,1)+1,MATCH(AA426,AA409:AE409,1)))</f>
        <v>1000</v>
      </c>
      <c r="AB428" s="16" t="s">
        <v>145</v>
      </c>
      <c r="AC428" s="17">
        <f>MATCH(MAX(AA409:AE409),AA409:AE409,0)</f>
        <v>5</v>
      </c>
      <c r="AD428" s="17"/>
      <c r="AE428" s="17"/>
      <c r="AF428" s="2"/>
      <c r="AG428" s="2"/>
      <c r="AH428" s="16" t="s">
        <v>203</v>
      </c>
      <c r="AI428" s="141">
        <f t="array" aca="1" ref="AI428" ca="1">INDEX(AI409:AM409,IF(MATCH(AI426,AI409:AM409,1)&lt;AK428,MATCH(AI426,AI409:AM409,1)+1,MATCH(AI426,AI409:AM409,1)))</f>
        <v>1000</v>
      </c>
      <c r="AJ428" s="16" t="s">
        <v>145</v>
      </c>
      <c r="AK428" s="17">
        <f>MATCH(MAX(AI409:AM409),AI409:AM409,0)</f>
        <v>5</v>
      </c>
      <c r="AL428" s="17"/>
      <c r="AM428" s="17"/>
      <c r="AN428" s="2"/>
      <c r="AO428" s="2"/>
      <c r="AP428" s="16" t="s">
        <v>203</v>
      </c>
      <c r="AQ428" s="141">
        <f t="array" aca="1" ref="AQ428" ca="1">INDEX(AQ409:AU409,IF(MATCH(AQ426,AQ409:AU409,1)&lt;AS428,MATCH(AQ426,AQ409:AU409,1)+1,MATCH(AQ426,AQ409:AU409,1)))</f>
        <v>1000</v>
      </c>
      <c r="AR428" s="16" t="s">
        <v>145</v>
      </c>
      <c r="AS428" s="17">
        <f>MATCH(MAX(AQ409:AU409),AQ409:AU409,0)</f>
        <v>5</v>
      </c>
      <c r="AT428" s="17"/>
      <c r="AU428" s="17"/>
      <c r="AV428" s="17"/>
      <c r="AW428" s="2"/>
      <c r="AX428" s="16" t="s">
        <v>203</v>
      </c>
      <c r="AY428" s="141">
        <f t="array" aca="1" ref="AY428" ca="1">INDEX(AY409:BC409,IF(MATCH(AY426,AY409:BC409,1)&lt;BA428,MATCH(AY426,AY409:BC409,1)+1,MATCH(AY426,AY409:BC409,1)))</f>
        <v>1000</v>
      </c>
      <c r="AZ428" s="16" t="s">
        <v>145</v>
      </c>
      <c r="BA428" s="17">
        <f>MATCH(MAX(AY409:BC409),AY409:BC409,0)</f>
        <v>5</v>
      </c>
    </row>
    <row r="429" spans="1:55" ht="15" customHeight="1" x14ac:dyDescent="0.3">
      <c r="B429" s="139" t="s">
        <v>147</v>
      </c>
      <c r="C429" s="140">
        <f ca="1">$D$2</f>
        <v>15</v>
      </c>
      <c r="D429" s="2"/>
      <c r="E429" s="2"/>
      <c r="F429" s="2"/>
      <c r="G429" s="17"/>
      <c r="H429" s="2"/>
      <c r="I429" s="2"/>
      <c r="J429" s="139" t="s">
        <v>147</v>
      </c>
      <c r="K429" s="140">
        <f ca="1">$D$2</f>
        <v>15</v>
      </c>
      <c r="L429" s="2"/>
      <c r="M429" s="2"/>
      <c r="N429" s="2"/>
      <c r="O429" s="17"/>
      <c r="P429" s="17"/>
      <c r="Q429" s="2"/>
      <c r="R429" s="139" t="s">
        <v>147</v>
      </c>
      <c r="S429" s="140">
        <f ca="1">$D$2</f>
        <v>15</v>
      </c>
      <c r="T429" s="2"/>
      <c r="U429" s="2"/>
      <c r="V429" s="2"/>
      <c r="W429" s="17"/>
      <c r="X429" s="2"/>
      <c r="Y429" s="2"/>
      <c r="Z429" s="139" t="s">
        <v>147</v>
      </c>
      <c r="AA429" s="140">
        <f ca="1">$D$2</f>
        <v>15</v>
      </c>
      <c r="AB429" s="2"/>
      <c r="AC429" s="2"/>
      <c r="AD429" s="2"/>
      <c r="AE429" s="17"/>
      <c r="AF429" s="2"/>
      <c r="AG429" s="2"/>
      <c r="AH429" s="139" t="s">
        <v>147</v>
      </c>
      <c r="AI429" s="140">
        <f ca="1">$D$2</f>
        <v>15</v>
      </c>
      <c r="AJ429" s="2"/>
      <c r="AK429" s="2"/>
      <c r="AL429" s="2"/>
      <c r="AM429" s="17"/>
      <c r="AN429" s="2"/>
      <c r="AO429" s="2"/>
      <c r="AP429" s="139" t="s">
        <v>147</v>
      </c>
      <c r="AQ429" s="140">
        <f ca="1">$D$2</f>
        <v>15</v>
      </c>
      <c r="AR429" s="2"/>
      <c r="AS429" s="2"/>
      <c r="AT429" s="2"/>
      <c r="AU429" s="17"/>
      <c r="AV429" s="17"/>
      <c r="AW429" s="2"/>
      <c r="AX429" s="139" t="s">
        <v>147</v>
      </c>
      <c r="AY429" s="140">
        <f ca="1">$D$2</f>
        <v>15</v>
      </c>
      <c r="AZ429" s="2"/>
      <c r="BA429" s="2"/>
    </row>
    <row r="430" spans="1:55" ht="15" customHeight="1" x14ac:dyDescent="0.3">
      <c r="B430" s="16" t="s">
        <v>148</v>
      </c>
      <c r="C430" s="141">
        <f t="array" aca="1" ref="C430" ca="1">INDEX(A410:A424,MATCH(C429,A410:A424,1))</f>
        <v>15</v>
      </c>
      <c r="D430" s="2"/>
      <c r="E430" s="2"/>
      <c r="F430" s="42"/>
      <c r="G430" s="2"/>
      <c r="H430" s="2"/>
      <c r="I430" s="2"/>
      <c r="J430" s="16" t="s">
        <v>148</v>
      </c>
      <c r="K430" s="141">
        <f t="array" aca="1" ref="K430" ca="1">INDEX(I410:I424,MATCH(K429,I410:I424,1))</f>
        <v>15</v>
      </c>
      <c r="L430" s="2"/>
      <c r="M430" s="2"/>
      <c r="N430" s="2"/>
      <c r="O430" s="2"/>
      <c r="P430" s="2"/>
      <c r="Q430" s="2"/>
      <c r="R430" s="16" t="s">
        <v>148</v>
      </c>
      <c r="S430" s="141">
        <f t="array" aca="1" ref="S430" ca="1">INDEX(Q410:Q424,MATCH(S429,Q410:Q424,1))</f>
        <v>15</v>
      </c>
      <c r="T430" s="2"/>
      <c r="U430" s="2"/>
      <c r="V430" s="2"/>
      <c r="W430" s="2"/>
      <c r="X430" s="2"/>
      <c r="Y430" s="2"/>
      <c r="Z430" s="16" t="s">
        <v>148</v>
      </c>
      <c r="AA430" s="141">
        <f t="array" aca="1" ref="AA430" ca="1">INDEX(Y410:Y424,MATCH(AA429,Y410:Y424,1))</f>
        <v>15</v>
      </c>
      <c r="AB430" s="2"/>
      <c r="AC430" s="2"/>
      <c r="AD430" s="2"/>
      <c r="AE430" s="2"/>
      <c r="AF430" s="2"/>
      <c r="AG430" s="2"/>
      <c r="AH430" s="16" t="s">
        <v>148</v>
      </c>
      <c r="AI430" s="141">
        <f t="array" aca="1" ref="AI430" ca="1">INDEX(AG410:AG424,MATCH(AI429,AG410:AG424,1))</f>
        <v>15</v>
      </c>
      <c r="AJ430" s="2"/>
      <c r="AK430" s="2"/>
      <c r="AL430" s="2"/>
      <c r="AM430" s="2"/>
      <c r="AN430" s="2"/>
      <c r="AO430" s="2"/>
      <c r="AP430" s="16" t="s">
        <v>148</v>
      </c>
      <c r="AQ430" s="141">
        <f t="array" aca="1" ref="AQ430" ca="1">INDEX(AO410:AO424,MATCH(AQ429,AO410:AO424,1))</f>
        <v>15</v>
      </c>
      <c r="AR430" s="2"/>
      <c r="AS430" s="2"/>
      <c r="AT430" s="2"/>
      <c r="AU430" s="2"/>
      <c r="AV430" s="2"/>
      <c r="AW430" s="2"/>
      <c r="AX430" s="16" t="s">
        <v>148</v>
      </c>
      <c r="AY430" s="141">
        <f t="array" aca="1" ref="AY430" ca="1">INDEX(AW410:AW424,MATCH(AY429,AW410:AW424,1))</f>
        <v>10</v>
      </c>
      <c r="AZ430" s="2"/>
      <c r="BA430" s="2"/>
    </row>
    <row r="431" spans="1:55" ht="15" customHeight="1" x14ac:dyDescent="0.3">
      <c r="B431" s="16" t="s">
        <v>149</v>
      </c>
      <c r="C431" s="141">
        <f t="array" aca="1" ref="C431" ca="1">INDEX(A410:A424,IF(MATCH(C429,A410:A424,1)&lt;E427,MATCH(C429,A410:A424,1)+1,MATCH(C429,A410:A424,1)))</f>
        <v>20</v>
      </c>
      <c r="D431" s="2"/>
      <c r="E431" s="42"/>
      <c r="F431" s="42"/>
      <c r="G431" s="2"/>
      <c r="H431" s="2"/>
      <c r="I431" s="2"/>
      <c r="J431" s="16" t="s">
        <v>149</v>
      </c>
      <c r="K431" s="141">
        <f t="array" aca="1" ref="K431" ca="1">INDEX(I410:I424,IF(MATCH(K429,I410:I424,1)&lt;M427,MATCH(K429,I410:I424,1)+1,MATCH(K429,I410:I424,1)))</f>
        <v>20</v>
      </c>
      <c r="L431" s="2"/>
      <c r="M431" s="2"/>
      <c r="N431" s="2"/>
      <c r="O431" s="2"/>
      <c r="P431" s="2"/>
      <c r="Q431" s="2"/>
      <c r="R431" s="16" t="s">
        <v>149</v>
      </c>
      <c r="S431" s="141">
        <f t="array" aca="1" ref="S431" ca="1">INDEX(Q410:Q424,IF(MATCH(S429,Q410:Q424,1)&lt;U427,MATCH(S429,Q410:Q424,1)+1,MATCH(S429,Q410:Q424,1)))</f>
        <v>20</v>
      </c>
      <c r="T431" s="2"/>
      <c r="U431" s="2"/>
      <c r="V431" s="2"/>
      <c r="W431" s="2"/>
      <c r="X431" s="2"/>
      <c r="Y431" s="2"/>
      <c r="Z431" s="16" t="s">
        <v>149</v>
      </c>
      <c r="AA431" s="141">
        <f t="array" aca="1" ref="AA431" ca="1">INDEX(Y410:Y424,IF(MATCH(AA429,Y410:Y424,1)&lt;AC427,MATCH(AA429,Y410:Y424,1)+1,MATCH(AA429,Y410:Y424,1)))</f>
        <v>20</v>
      </c>
      <c r="AB431" s="2"/>
      <c r="AC431" s="2"/>
      <c r="AD431" s="2"/>
      <c r="AE431" s="2"/>
      <c r="AF431" s="2"/>
      <c r="AG431" s="2"/>
      <c r="AH431" s="16" t="s">
        <v>149</v>
      </c>
      <c r="AI431" s="141">
        <f t="array" aca="1" ref="AI431" ca="1">INDEX(AG410:AG424,IF(MATCH(AI429,AG410:AG424,1)&lt;AK427,MATCH(AI429,AG410:AG424,1)+1,MATCH(AI429,AG410:AG424,1)))</f>
        <v>20</v>
      </c>
      <c r="AJ431" s="2"/>
      <c r="AK431" s="2"/>
      <c r="AL431" s="2"/>
      <c r="AM431" s="2"/>
      <c r="AN431" s="2"/>
      <c r="AO431" s="2"/>
      <c r="AP431" s="16" t="s">
        <v>149</v>
      </c>
      <c r="AQ431" s="141">
        <f t="array" aca="1" ref="AQ431" ca="1">INDEX(AO410:AO424,IF(MATCH(AQ429,AO410:AO424,1)&lt;AS427,MATCH(AQ429,AO410:AO424,1)+1,MATCH(AQ429,AO410:AO424,1)))</f>
        <v>20</v>
      </c>
      <c r="AR431" s="2"/>
      <c r="AS431" s="2"/>
      <c r="AT431" s="2"/>
      <c r="AU431" s="2"/>
      <c r="AV431" s="2"/>
      <c r="AW431" s="2"/>
      <c r="AX431" s="16" t="s">
        <v>149</v>
      </c>
      <c r="AY431" s="141">
        <f ca="1">INDEX(AW410:AW424,IF(MATCH(AY429,AW410:AW424,1)&lt;BA427,MATCH(AY429,AW410:AW424,1)+1,MATCH(AY429,AW410:AW424,1)))</f>
        <v>0</v>
      </c>
      <c r="AZ431" s="2"/>
      <c r="BA431" s="2"/>
    </row>
    <row r="432" spans="1:55" ht="15" customHeight="1" x14ac:dyDescent="0.3">
      <c r="B432" s="139" t="s">
        <v>150</v>
      </c>
      <c r="C432" s="140">
        <f t="array" aca="1" ref="C432" ca="1">INDEX(C410:G424,MATCH(C429,A410:A424,1),MATCH(C426,C409:G409,1))</f>
        <v>9999</v>
      </c>
      <c r="D432" s="2"/>
      <c r="E432" s="42"/>
      <c r="F432" s="42"/>
      <c r="G432" s="2"/>
      <c r="H432" s="2"/>
      <c r="I432" s="2"/>
      <c r="J432" s="139" t="s">
        <v>150</v>
      </c>
      <c r="K432" s="140">
        <f t="array" aca="1" ref="K432" ca="1">INDEX(K410:O424,MATCH(K429,I410:I424,1),MATCH(K426,K409:O409,1))</f>
        <v>9999</v>
      </c>
      <c r="L432" s="2"/>
      <c r="M432" s="2"/>
      <c r="N432" s="2"/>
      <c r="O432" s="2"/>
      <c r="P432" s="2"/>
      <c r="Q432" s="2"/>
      <c r="R432" s="139" t="s">
        <v>150</v>
      </c>
      <c r="S432" s="140">
        <f t="array" aca="1" ref="S432" ca="1">INDEX(S410:W424,MATCH(S429,Q410:Q424,1),MATCH(S426,S409:W409,1))</f>
        <v>9999</v>
      </c>
      <c r="T432" s="2"/>
      <c r="U432" s="2"/>
      <c r="V432" s="2"/>
      <c r="W432" s="2"/>
      <c r="X432" s="2"/>
      <c r="Y432" s="2"/>
      <c r="Z432" s="139" t="s">
        <v>150</v>
      </c>
      <c r="AA432" s="140">
        <f t="array" aca="1" ref="AA432" ca="1">INDEX(AA410:AE424,MATCH(AA429,Y410:Y424,1),MATCH(AA426,AA409:AE409,1))</f>
        <v>9999</v>
      </c>
      <c r="AB432" s="2"/>
      <c r="AC432" s="2"/>
      <c r="AD432" s="2"/>
      <c r="AE432" s="2"/>
      <c r="AF432" s="2"/>
      <c r="AG432" s="2"/>
      <c r="AH432" s="139" t="s">
        <v>150</v>
      </c>
      <c r="AI432" s="140">
        <f t="array" aca="1" ref="AI432" ca="1">INDEX(AI410:AM424,MATCH(AI429,AG410:AG424,1),MATCH(AI426,AI409:AM409,1))</f>
        <v>9999</v>
      </c>
      <c r="AJ432" s="2"/>
      <c r="AK432" s="2"/>
      <c r="AL432" s="2"/>
      <c r="AM432" s="2"/>
      <c r="AN432" s="2"/>
      <c r="AO432" s="2"/>
      <c r="AP432" s="139" t="s">
        <v>150</v>
      </c>
      <c r="AQ432" s="140">
        <f t="array" aca="1" ref="AQ432" ca="1">INDEX(AQ410:AU424,MATCH(AQ429,AO410:AO424,1),MATCH(AQ426,AQ409:AU409,1))</f>
        <v>9999</v>
      </c>
      <c r="AR432" s="2"/>
      <c r="AS432" s="2"/>
      <c r="AT432" s="2"/>
      <c r="AU432" s="2"/>
      <c r="AV432" s="2"/>
      <c r="AW432" s="2"/>
      <c r="AX432" s="139" t="s">
        <v>150</v>
      </c>
      <c r="AY432" s="140">
        <f ca="1">INDEX(AY410:BC424,MATCH(AY429,AW410:AW424,1),MATCH(AY426,AY409:BC409,1))</f>
        <v>0</v>
      </c>
      <c r="AZ432" s="2"/>
      <c r="BA432" s="2"/>
    </row>
    <row r="433" spans="1:55" ht="15" customHeight="1" x14ac:dyDescent="0.3">
      <c r="B433" s="139" t="s">
        <v>204</v>
      </c>
      <c r="C433" s="140">
        <f t="array" aca="1" ref="C433" ca="1">INDEX(C410:G424,MATCH(C429,A410:A424,1),IF(MATCH(C426,C409:G409,1)&lt;E428,MATCH(C426,C409:G409,1)+1,MATCH(C429,A410:A424,1)))</f>
        <v>9999</v>
      </c>
      <c r="E433" s="42"/>
      <c r="F433" s="42"/>
      <c r="G433" s="2"/>
      <c r="H433" s="2"/>
      <c r="I433" s="2"/>
      <c r="J433" s="139" t="s">
        <v>204</v>
      </c>
      <c r="K433" s="140">
        <f t="array" aca="1" ref="K433" ca="1">INDEX(K410:O424,MATCH(K429,I410:I424,1),IF(MATCH(K426,K409:O409,1)&lt;M428,MATCH(K426,K409:O409,1)+1,MATCH(K429,I410:I424,1)))</f>
        <v>9999</v>
      </c>
      <c r="O433" s="2"/>
      <c r="P433" s="2"/>
      <c r="Q433" s="2"/>
      <c r="R433" s="139" t="s">
        <v>204</v>
      </c>
      <c r="S433" s="140">
        <f t="array" aca="1" ref="S433" ca="1">INDEX(S410:W424,MATCH(S429,Q410:Q424,1),IF(MATCH(S426,S409:W409,1)&lt;U428,MATCH(S426,S409:W409,1)+1,MATCH(S429,Q410:Q424,1)))</f>
        <v>9999</v>
      </c>
      <c r="W433" s="2"/>
      <c r="X433" s="2"/>
      <c r="Y433" s="2"/>
      <c r="Z433" s="139" t="s">
        <v>204</v>
      </c>
      <c r="AA433" s="140">
        <f t="array" aca="1" ref="AA433" ca="1">INDEX(AA410:AE424,MATCH(AA429,Y410:Y424,1),IF(MATCH(AA426,AA409:AE409,1)&lt;AC428,MATCH(AA426,AA409:AE409,1)+1,MATCH(AA429,Y410:Y424,1)))</f>
        <v>9999</v>
      </c>
      <c r="AE433" s="2"/>
      <c r="AF433" s="2"/>
      <c r="AG433" s="2"/>
      <c r="AH433" s="139" t="s">
        <v>204</v>
      </c>
      <c r="AI433" s="140">
        <f t="array" aca="1" ref="AI433" ca="1">INDEX(AI410:AM424,MATCH(AI429,AG410:AG424,1),IF(MATCH(AI426,AI409:AM409,1)&lt;AK428,MATCH(AI426,AI409:AM409,1)+1,MATCH(AI429,AG410:AG424,1)))</f>
        <v>9999</v>
      </c>
      <c r="AM433" s="2"/>
      <c r="AN433" s="2"/>
      <c r="AO433" s="2"/>
      <c r="AP433" s="139" t="s">
        <v>204</v>
      </c>
      <c r="AQ433" s="140">
        <f t="array" aca="1" ref="AQ433" ca="1">INDEX(AQ410:AU424,MATCH(AQ429,AO410:AO424,1),IF(MATCH(AQ426,AQ409:AU409,1)&lt;AS428,MATCH(AQ426,AQ409:AU409,1)+1,MATCH(AQ429,AO410:AO424,1)))</f>
        <v>9999</v>
      </c>
      <c r="AU433" s="2"/>
      <c r="AV433" s="2"/>
      <c r="AW433" s="2"/>
      <c r="AX433" s="139" t="s">
        <v>204</v>
      </c>
      <c r="AY433" s="140">
        <f ca="1">INDEX(AY410:BC424,MATCH(AY429,AW410:AW424,1),IF(MATCH(AY426,AY409:BC409,1)&lt;BA428,MATCH(AY426,AY409:BC409,1)+1,MATCH(AY429,AW410:AW424,1)))</f>
        <v>0</v>
      </c>
    </row>
    <row r="434" spans="1:55" ht="15" customHeight="1" x14ac:dyDescent="0.3">
      <c r="B434" s="139" t="s">
        <v>151</v>
      </c>
      <c r="C434" s="140">
        <f t="array" aca="1" ref="C434" ca="1">INDEX(C410:G424,IF(MATCH(C429,A410:A424,1)&lt;E427,MATCH(C429,A410:A424,1)+1,MATCH(C429,A410:A424,1)),MATCH(C426,C409:G409,1))</f>
        <v>9999</v>
      </c>
      <c r="E434" s="42"/>
      <c r="F434" s="42"/>
      <c r="G434" s="2"/>
      <c r="H434" s="2"/>
      <c r="I434" s="2"/>
      <c r="J434" s="139" t="s">
        <v>151</v>
      </c>
      <c r="K434" s="140">
        <f t="array" aca="1" ref="K434" ca="1">INDEX(K410:O424,IF(MATCH(K429,I410:I424,1)&lt;M427,MATCH(K429,I410:I424,1)+1,MATCH(K429,I410:I424,1)),MATCH(K426,K409:O409,1))</f>
        <v>9999</v>
      </c>
      <c r="O434" s="2"/>
      <c r="P434" s="2"/>
      <c r="Q434" s="2"/>
      <c r="R434" s="139" t="s">
        <v>151</v>
      </c>
      <c r="S434" s="140">
        <f t="array" aca="1" ref="S434" ca="1">INDEX(S410:W424,IF(MATCH(S429,Q410:Q424,1)&lt;U427,MATCH(S429,Q410:Q424,1)+1,MATCH(S429,Q410:Q424,1)),MATCH(S426,S409:W409,1))</f>
        <v>9999</v>
      </c>
      <c r="W434" s="2"/>
      <c r="X434" s="2"/>
      <c r="Y434" s="2"/>
      <c r="Z434" s="139" t="s">
        <v>151</v>
      </c>
      <c r="AA434" s="140">
        <f t="array" aca="1" ref="AA434" ca="1">INDEX(AA410:AE424,IF(MATCH(AA429,Y410:Y424,1)&lt;AC427,MATCH(AA429,Y410:Y424,1)+1,MATCH(AA429,Y410:Y424,1)),MATCH(AA426,AA409:AE409,1))</f>
        <v>9999</v>
      </c>
      <c r="AE434" s="2"/>
      <c r="AF434" s="2"/>
      <c r="AG434" s="2"/>
      <c r="AH434" s="139" t="s">
        <v>151</v>
      </c>
      <c r="AI434" s="140">
        <f t="array" aca="1" ref="AI434" ca="1">INDEX(AI410:AM424,IF(MATCH(AI429,AG410:AG424,1)&lt;AK427,MATCH(AI429,AG410:AG424,1)+1,MATCH(AI429,AG410:AG424,1)),MATCH(AI426,AI409:AM409,1))</f>
        <v>9999</v>
      </c>
      <c r="AM434" s="2"/>
      <c r="AN434" s="2"/>
      <c r="AO434" s="2"/>
      <c r="AP434" s="139" t="s">
        <v>151</v>
      </c>
      <c r="AQ434" s="140">
        <f t="array" aca="1" ref="AQ434" ca="1">INDEX(AQ410:AU424,IF(MATCH(AQ429,AO410:AO424,1)&lt;AS427,MATCH(AQ429,AO410:AO424,1)+1,MATCH(AQ429,AO410:AO424,1)),MATCH(AQ426,AQ409:AU409,1))</f>
        <v>9999</v>
      </c>
      <c r="AU434" s="2"/>
      <c r="AV434" s="2"/>
      <c r="AW434" s="2"/>
      <c r="AX434" s="139" t="s">
        <v>151</v>
      </c>
      <c r="AY434" s="140">
        <f ca="1">INDEX(AY410:BC424,IF(MATCH(AY429,AW410:AW424,1)&lt;BA427,MATCH(AY429,AW410:AW424,1)+1,MATCH(AY429,AW410:AW424,1)),MATCH(AY426,AY409:BC409,1))</f>
        <v>0</v>
      </c>
    </row>
    <row r="435" spans="1:55" ht="15" customHeight="1" x14ac:dyDescent="0.3">
      <c r="B435" s="139" t="s">
        <v>205</v>
      </c>
      <c r="C435" s="140">
        <f t="array" aca="1" ref="C435" ca="1">INDEX(C410:G424,IF(MATCH(C429,A410:A424,1)&lt;E427,MATCH(C429,A410:A424,1)+1,MATCH(C429,A410:A424,1)),IF(MATCH(C426,C409:G409,1)&lt;E428,MATCH(C426,C409:G409,1)+1,MATCH(C426,C409:G409,1)))</f>
        <v>9999</v>
      </c>
      <c r="G435" s="2"/>
      <c r="H435" s="2"/>
      <c r="I435" s="2"/>
      <c r="J435" s="139" t="s">
        <v>205</v>
      </c>
      <c r="K435" s="140">
        <f t="array" aca="1" ref="K435" ca="1">INDEX(K410:O424,IF(MATCH(K429,I410:I424,1)&lt;M427,MATCH(K429,I410:I424,1)+1,MATCH(K429,I410:I424,1)),IF(MATCH(K426,K409:O409,1)&lt;M428,MATCH(K426,K409:O409,1)+1,MATCH(K426,K409:O409,1)))</f>
        <v>9999</v>
      </c>
      <c r="O435" s="2"/>
      <c r="P435" s="2"/>
      <c r="Q435" s="2"/>
      <c r="R435" s="139" t="s">
        <v>205</v>
      </c>
      <c r="S435" s="140">
        <f t="array" aca="1" ref="S435" ca="1">INDEX(S410:W424,IF(MATCH(S429,Q410:Q424,1)&lt;U427,MATCH(S429,Q410:Q424,1)+1,MATCH(S429,Q410:Q424,1)),IF(MATCH(S426,S409:W409,1)&lt;U428,MATCH(S426,S409:W409,1)+1,MATCH(S426,S409:W409,1)))</f>
        <v>9999</v>
      </c>
      <c r="W435" s="2"/>
      <c r="X435" s="2"/>
      <c r="Y435" s="2"/>
      <c r="Z435" s="139" t="s">
        <v>205</v>
      </c>
      <c r="AA435" s="140">
        <f t="array" aca="1" ref="AA435" ca="1">INDEX(AA410:AE424,IF(MATCH(AA429,Y410:Y424,1)&lt;AC427,MATCH(AA429,Y410:Y424,1)+1,MATCH(AA429,Y410:Y424,1)),IF(MATCH(AA426,AA409:AE409,1)&lt;AC428,MATCH(AA426,AA409:AE409,1)+1,MATCH(AA426,AA409:AE409,1)))</f>
        <v>9999</v>
      </c>
      <c r="AE435" s="2"/>
      <c r="AF435" s="2"/>
      <c r="AG435" s="2"/>
      <c r="AH435" s="139" t="s">
        <v>205</v>
      </c>
      <c r="AI435" s="140">
        <f t="array" aca="1" ref="AI435" ca="1">INDEX(AI410:AM424,IF(MATCH(AI429,AG410:AG424,1)&lt;AK427,MATCH(AI429,AG410:AG424,1)+1,MATCH(AI429,AG410:AG424,1)),IF(MATCH(AI426,AI409:AM409,1)&lt;AK428,MATCH(AI426,AI409:AM409,1)+1,MATCH(AI426,AI409:AM409,1)))</f>
        <v>9999</v>
      </c>
      <c r="AM435" s="2"/>
      <c r="AN435" s="2"/>
      <c r="AO435" s="2"/>
      <c r="AP435" s="139" t="s">
        <v>205</v>
      </c>
      <c r="AQ435" s="140">
        <f t="array" aca="1" ref="AQ435" ca="1">INDEX(AQ410:AU424,IF(MATCH(AQ429,AO410:AO424,1)&lt;AS427,MATCH(AQ429,AO410:AO424,1)+1,MATCH(AQ429,AO410:AO424,1)),IF(MATCH(AQ426,AQ409:AU409,1)&lt;AS428,MATCH(AQ426,AQ409:AU409,1)+1,MATCH(AQ426,AQ409:AU409,1)))</f>
        <v>9999</v>
      </c>
      <c r="AU435" s="2"/>
      <c r="AV435" s="2"/>
      <c r="AW435" s="2"/>
      <c r="AX435" s="139" t="s">
        <v>205</v>
      </c>
      <c r="AY435" s="140">
        <f ca="1">INDEX(AY410:BC424,IF(MATCH(AY429,AW410:AW424,1)&lt;BA427,MATCH(AY429,AW410:AW424,1)+1,MATCH(AY429,AW410:AW424,1)),IF(MATCH(AY426,AY409:BC409,1)&lt;BA428,MATCH(AY426,AY409:BC409,1)+1,MATCH(AY426,AY409:BC409,1)))</f>
        <v>0</v>
      </c>
    </row>
    <row r="436" spans="1:55" ht="15" customHeight="1" x14ac:dyDescent="0.3">
      <c r="B436" s="16" t="s">
        <v>206</v>
      </c>
      <c r="C436" s="141">
        <f ca="1">IFERROR(C432+(C426-C427)*(C433-C432)/(C428-C427),C432)</f>
        <v>9999</v>
      </c>
      <c r="G436" s="2"/>
      <c r="H436" s="2"/>
      <c r="I436" s="2"/>
      <c r="J436" s="16" t="s">
        <v>206</v>
      </c>
      <c r="K436" s="141">
        <f ca="1">IFERROR(K432+(K426-K427)*(K433-K432)/(K428-K427),K432)</f>
        <v>9999</v>
      </c>
      <c r="O436" s="2"/>
      <c r="P436" s="2"/>
      <c r="Q436" s="2"/>
      <c r="R436" s="16" t="s">
        <v>206</v>
      </c>
      <c r="S436" s="141">
        <f ca="1">IFERROR(S432+(S426-S427)*(S433-S432)/(S428-S427),S432)</f>
        <v>9999</v>
      </c>
      <c r="W436" s="2"/>
      <c r="X436" s="2"/>
      <c r="Y436" s="2"/>
      <c r="Z436" s="16" t="s">
        <v>206</v>
      </c>
      <c r="AA436" s="141">
        <f ca="1">IFERROR(AA432+(AA426-AA427)*(AA433-AA432)/(AA428-AA427),AA432)</f>
        <v>9999</v>
      </c>
      <c r="AE436" s="2"/>
      <c r="AF436" s="2"/>
      <c r="AG436" s="2"/>
      <c r="AH436" s="16" t="s">
        <v>206</v>
      </c>
      <c r="AI436" s="141">
        <f ca="1">IFERROR(AI432+(AI426-AI427)*(AI433-AI432)/(AI428-AI427),AI432)</f>
        <v>9999</v>
      </c>
      <c r="AM436" s="2"/>
      <c r="AN436" s="2"/>
      <c r="AO436" s="2"/>
      <c r="AP436" s="16" t="s">
        <v>206</v>
      </c>
      <c r="AQ436" s="141">
        <f ca="1">IFERROR(AQ432+(AQ426-AQ427)*(AQ433-AQ432)/(AQ428-AQ427),AQ432)</f>
        <v>9999</v>
      </c>
      <c r="AU436" s="2"/>
      <c r="AV436" s="2"/>
      <c r="AW436" s="2"/>
      <c r="AX436" s="16" t="s">
        <v>206</v>
      </c>
      <c r="AY436" s="141">
        <f ca="1">IFERROR(AY432+(AY426-AY427)*(AY433-AY432)/(AY428-AY427),AY432)</f>
        <v>0</v>
      </c>
    </row>
    <row r="437" spans="1:55" ht="15" customHeight="1" x14ac:dyDescent="0.3">
      <c r="B437" s="16" t="s">
        <v>207</v>
      </c>
      <c r="C437" s="141">
        <f ca="1">IFERROR(C434+(C426-C427)*(C435-C434)/(C428-C427),C434)</f>
        <v>9999</v>
      </c>
      <c r="G437" s="2"/>
      <c r="H437" s="2"/>
      <c r="I437" s="2"/>
      <c r="J437" s="16" t="s">
        <v>207</v>
      </c>
      <c r="K437" s="141">
        <f ca="1">IFERROR(K434+(K426-K427)*(K435-K434)/(K428-K427),K434)</f>
        <v>9999</v>
      </c>
      <c r="O437" s="2"/>
      <c r="P437" s="2"/>
      <c r="Q437" s="2"/>
      <c r="R437" s="16" t="s">
        <v>207</v>
      </c>
      <c r="S437" s="141">
        <f ca="1">IFERROR(S434+(S426-S427)*(S435-S434)/(S428-S427),S434)</f>
        <v>9999</v>
      </c>
      <c r="W437" s="2"/>
      <c r="X437" s="2"/>
      <c r="Y437" s="2"/>
      <c r="Z437" s="16" t="s">
        <v>207</v>
      </c>
      <c r="AA437" s="141">
        <f ca="1">IFERROR(AA434+(AA426-AA427)*(AA435-AA434)/(AA428-AA427),AA434)</f>
        <v>9999</v>
      </c>
      <c r="AE437" s="2"/>
      <c r="AF437" s="2"/>
      <c r="AG437" s="2"/>
      <c r="AH437" s="16" t="s">
        <v>207</v>
      </c>
      <c r="AI437" s="141">
        <f ca="1">IFERROR(AI434+(AI426-AI427)*(AI435-AI434)/(AI428-AI427),AI434)</f>
        <v>9999</v>
      </c>
      <c r="AM437" s="2"/>
      <c r="AN437" s="2"/>
      <c r="AO437" s="2"/>
      <c r="AP437" s="16" t="s">
        <v>207</v>
      </c>
      <c r="AQ437" s="141">
        <f ca="1">IFERROR(AQ434+(AQ426-AQ427)*(AQ435-AQ434)/(AQ428-AQ427),AQ434)</f>
        <v>9999</v>
      </c>
      <c r="AU437" s="2"/>
      <c r="AV437" s="2"/>
      <c r="AW437" s="2"/>
      <c r="AX437" s="16" t="s">
        <v>207</v>
      </c>
      <c r="AY437" s="141">
        <f ca="1">IFERROR(AY434+(AY426-AY427)*(AY435-AY434)/(AY428-AY427),AY434)</f>
        <v>0</v>
      </c>
    </row>
    <row r="438" spans="1:55" ht="15" customHeight="1" x14ac:dyDescent="0.3">
      <c r="B438" s="139" t="s">
        <v>237</v>
      </c>
      <c r="C438" s="140">
        <f ca="1">IFERROR(C436+(C429-C430)*(C437-C436)/(C431-C430),C436)</f>
        <v>9999</v>
      </c>
      <c r="G438" s="2"/>
      <c r="H438" s="2"/>
      <c r="I438" s="2"/>
      <c r="J438" s="139" t="s">
        <v>237</v>
      </c>
      <c r="K438" s="140">
        <f ca="1">IFERROR(K436+(K429-K430)*(K437-K436)/(K431-K430),K436)</f>
        <v>9999</v>
      </c>
      <c r="O438" s="2"/>
      <c r="P438" s="2"/>
      <c r="Q438" s="2"/>
      <c r="R438" s="139" t="s">
        <v>237</v>
      </c>
      <c r="S438" s="140">
        <f ca="1">IFERROR(S436+(S429-S430)*(S437-S436)/(S431-S430),S436)</f>
        <v>9999</v>
      </c>
      <c r="W438" s="2"/>
      <c r="X438" s="2"/>
      <c r="Y438" s="2"/>
      <c r="Z438" s="139" t="s">
        <v>237</v>
      </c>
      <c r="AA438" s="140">
        <f ca="1">IFERROR(AA436+(AA429-AA430)*(AA437-AA436)/(AA431-AA430),AA436)</f>
        <v>9999</v>
      </c>
      <c r="AE438" s="2"/>
      <c r="AF438" s="2"/>
      <c r="AG438" s="2"/>
      <c r="AH438" s="139" t="s">
        <v>237</v>
      </c>
      <c r="AI438" s="140">
        <f ca="1">IFERROR(AI436+(AI429-AI430)*(AI437-AI436)/(AI431-AI430),AI436)</f>
        <v>9999</v>
      </c>
      <c r="AM438" s="2"/>
      <c r="AN438" s="2"/>
      <c r="AO438" s="2"/>
      <c r="AP438" s="139" t="s">
        <v>237</v>
      </c>
      <c r="AQ438" s="140">
        <f ca="1">IFERROR(AQ436+(AQ429-AQ430)*(AQ437-AQ436)/(AQ431-AQ430),AQ436)</f>
        <v>9999</v>
      </c>
      <c r="AU438" s="2"/>
      <c r="AV438" s="2"/>
      <c r="AW438" s="2"/>
      <c r="AX438" s="139" t="s">
        <v>237</v>
      </c>
      <c r="AY438" s="140">
        <f ca="1">IFERROR(AY436+(AY429-AY430)*(AY437-AY436)/(AY431-AY430),AY436)</f>
        <v>0</v>
      </c>
    </row>
    <row r="439" spans="1:55" ht="15" customHeight="1" x14ac:dyDescent="0.3">
      <c r="A439" s="266" t="s">
        <v>166</v>
      </c>
      <c r="B439" s="139"/>
      <c r="C439" s="140"/>
      <c r="G439" s="2"/>
      <c r="H439" s="2"/>
      <c r="I439" s="2"/>
      <c r="J439" s="139"/>
      <c r="K439" s="140"/>
      <c r="O439" s="2"/>
      <c r="P439" s="2"/>
      <c r="Q439" s="2"/>
      <c r="R439" s="139"/>
      <c r="S439" s="140"/>
      <c r="W439" s="2"/>
      <c r="X439" s="2"/>
      <c r="Y439" s="2"/>
      <c r="Z439" s="139"/>
      <c r="AA439" s="140"/>
      <c r="AE439" s="2"/>
      <c r="AF439" s="2"/>
      <c r="AG439" s="2"/>
      <c r="AH439" s="139"/>
      <c r="AI439" s="140"/>
      <c r="AM439" s="2"/>
      <c r="AN439" s="2"/>
      <c r="AO439" s="2"/>
      <c r="AP439" s="139"/>
      <c r="AQ439" s="140"/>
      <c r="AU439" s="2"/>
      <c r="AV439" s="2"/>
      <c r="AW439" s="2"/>
      <c r="AX439" s="139"/>
      <c r="AY439" s="140"/>
    </row>
    <row r="440" spans="1:55" ht="15" customHeight="1" x14ac:dyDescent="0.3">
      <c r="A440" s="356" t="s">
        <v>234</v>
      </c>
      <c r="B440" s="356"/>
      <c r="C440" s="356"/>
      <c r="D440" s="356"/>
      <c r="E440" s="356"/>
      <c r="F440" s="356"/>
      <c r="G440" s="356"/>
      <c r="H440" s="131"/>
      <c r="I440" s="356" t="s">
        <v>234</v>
      </c>
      <c r="J440" s="356"/>
      <c r="K440" s="356"/>
      <c r="L440" s="356"/>
      <c r="M440" s="356"/>
      <c r="N440" s="356"/>
      <c r="O440" s="356"/>
      <c r="P440" s="131"/>
      <c r="Q440" s="356" t="s">
        <v>234</v>
      </c>
      <c r="R440" s="356"/>
      <c r="S440" s="356"/>
      <c r="T440" s="356"/>
      <c r="U440" s="356"/>
      <c r="V440" s="356"/>
      <c r="W440" s="356"/>
      <c r="X440" s="131"/>
      <c r="Y440" s="356" t="s">
        <v>234</v>
      </c>
      <c r="Z440" s="356"/>
      <c r="AA440" s="356"/>
      <c r="AB440" s="356"/>
      <c r="AC440" s="356"/>
      <c r="AD440" s="356"/>
      <c r="AE440" s="356"/>
      <c r="AF440" s="131"/>
      <c r="AG440" s="356" t="s">
        <v>234</v>
      </c>
      <c r="AH440" s="356"/>
      <c r="AI440" s="356"/>
      <c r="AJ440" s="356"/>
      <c r="AK440" s="356"/>
      <c r="AL440" s="356"/>
      <c r="AM440" s="356"/>
      <c r="AN440" s="131"/>
      <c r="AO440" s="356" t="s">
        <v>234</v>
      </c>
      <c r="AP440" s="356"/>
      <c r="AQ440" s="356"/>
      <c r="AR440" s="356"/>
      <c r="AS440" s="356"/>
      <c r="AT440" s="356"/>
      <c r="AU440" s="356"/>
      <c r="AV440" s="240"/>
      <c r="AW440" s="356" t="s">
        <v>234</v>
      </c>
      <c r="AX440" s="356"/>
      <c r="AY440" s="356"/>
      <c r="AZ440" s="356"/>
      <c r="BA440" s="356"/>
      <c r="BB440" s="356"/>
      <c r="BC440" s="356"/>
    </row>
    <row r="441" spans="1:55" ht="15" customHeight="1" x14ac:dyDescent="0.3">
      <c r="A441" s="406" t="s">
        <v>216</v>
      </c>
      <c r="B441" s="406"/>
      <c r="C441" s="406"/>
      <c r="D441" s="406"/>
      <c r="E441" s="406"/>
      <c r="F441" s="406"/>
      <c r="G441" s="406"/>
      <c r="H441" s="131"/>
      <c r="I441" s="406" t="s">
        <v>216</v>
      </c>
      <c r="J441" s="406"/>
      <c r="K441" s="406"/>
      <c r="L441" s="406"/>
      <c r="M441" s="406"/>
      <c r="N441" s="406"/>
      <c r="O441" s="406"/>
      <c r="P441" s="228"/>
      <c r="Q441" s="406" t="s">
        <v>216</v>
      </c>
      <c r="R441" s="406"/>
      <c r="S441" s="406"/>
      <c r="T441" s="406"/>
      <c r="U441" s="406"/>
      <c r="V441" s="406"/>
      <c r="W441" s="406"/>
      <c r="X441" s="131"/>
      <c r="Y441" s="406" t="s">
        <v>216</v>
      </c>
      <c r="Z441" s="406"/>
      <c r="AA441" s="406"/>
      <c r="AB441" s="406"/>
      <c r="AC441" s="406"/>
      <c r="AD441" s="406"/>
      <c r="AE441" s="406"/>
      <c r="AF441" s="131"/>
      <c r="AG441" s="406" t="s">
        <v>216</v>
      </c>
      <c r="AH441" s="406"/>
      <c r="AI441" s="406"/>
      <c r="AJ441" s="406"/>
      <c r="AK441" s="406"/>
      <c r="AL441" s="406"/>
      <c r="AM441" s="406"/>
      <c r="AN441" s="131"/>
      <c r="AO441" s="406" t="s">
        <v>216</v>
      </c>
      <c r="AP441" s="406"/>
      <c r="AQ441" s="406"/>
      <c r="AR441" s="406"/>
      <c r="AS441" s="406"/>
      <c r="AT441" s="406"/>
      <c r="AU441" s="406"/>
      <c r="AV441" s="241"/>
      <c r="AW441" s="406" t="s">
        <v>216</v>
      </c>
      <c r="AX441" s="406"/>
      <c r="AY441" s="406"/>
      <c r="AZ441" s="406"/>
      <c r="BA441" s="406"/>
      <c r="BB441" s="406"/>
      <c r="BC441" s="406"/>
    </row>
    <row r="442" spans="1:55" ht="15" customHeight="1" x14ac:dyDescent="0.3">
      <c r="A442" s="2"/>
      <c r="B442" s="2"/>
      <c r="C442" s="51">
        <v>16600</v>
      </c>
      <c r="D442" s="53" t="s">
        <v>29</v>
      </c>
      <c r="E442" s="2"/>
      <c r="F442" s="2"/>
      <c r="G442" s="2"/>
      <c r="H442" s="2"/>
      <c r="I442" s="2"/>
      <c r="J442" s="2"/>
      <c r="K442" s="51">
        <v>16000</v>
      </c>
      <c r="L442" s="53" t="s">
        <v>29</v>
      </c>
      <c r="M442" s="2"/>
      <c r="N442" s="2"/>
      <c r="O442" s="2"/>
      <c r="P442" s="2"/>
      <c r="Q442" s="2"/>
      <c r="R442" s="2"/>
      <c r="S442" s="51">
        <v>15000</v>
      </c>
      <c r="T442" s="53" t="s">
        <v>29</v>
      </c>
      <c r="U442" s="2"/>
      <c r="V442" s="2"/>
      <c r="W442" s="2"/>
      <c r="X442" s="2"/>
      <c r="Y442" s="2"/>
      <c r="Z442" s="2"/>
      <c r="AA442" s="51">
        <v>14000</v>
      </c>
      <c r="AB442" s="53" t="s">
        <v>29</v>
      </c>
      <c r="AC442" s="2"/>
      <c r="AD442" s="2"/>
      <c r="AE442" s="2"/>
      <c r="AF442" s="2"/>
      <c r="AG442" s="2"/>
      <c r="AH442" s="2"/>
      <c r="AI442" s="51">
        <v>13000</v>
      </c>
      <c r="AJ442" s="53" t="s">
        <v>29</v>
      </c>
      <c r="AK442" s="2"/>
      <c r="AL442" s="2"/>
      <c r="AM442" s="2"/>
      <c r="AN442" s="2"/>
      <c r="AO442" s="2"/>
      <c r="AP442" s="2"/>
      <c r="AQ442" s="51">
        <v>12000</v>
      </c>
      <c r="AR442" s="53" t="s">
        <v>29</v>
      </c>
      <c r="AS442" s="2"/>
      <c r="AT442" s="2"/>
      <c r="AU442" s="2"/>
      <c r="AV442" s="242"/>
      <c r="AW442" s="2"/>
      <c r="AX442" s="2"/>
      <c r="AY442" s="51">
        <v>13000</v>
      </c>
      <c r="AZ442" s="53" t="s">
        <v>29</v>
      </c>
      <c r="BA442" s="2"/>
      <c r="BB442" s="2"/>
      <c r="BC442" s="2"/>
    </row>
    <row r="443" spans="1:55" ht="15" customHeight="1" x14ac:dyDescent="0.3">
      <c r="A443" s="412" t="s">
        <v>217</v>
      </c>
      <c r="B443" s="412"/>
      <c r="C443" s="413" t="s">
        <v>218</v>
      </c>
      <c r="D443" s="413"/>
      <c r="E443" s="413"/>
      <c r="F443" s="413"/>
      <c r="G443" s="413"/>
      <c r="H443" s="228"/>
      <c r="I443" s="412" t="s">
        <v>217</v>
      </c>
      <c r="J443" s="412"/>
      <c r="K443" s="413" t="s">
        <v>218</v>
      </c>
      <c r="L443" s="413"/>
      <c r="M443" s="413"/>
      <c r="N443" s="413"/>
      <c r="O443" s="413"/>
      <c r="P443" s="243"/>
      <c r="Q443" s="412" t="s">
        <v>217</v>
      </c>
      <c r="R443" s="412"/>
      <c r="S443" s="413" t="s">
        <v>218</v>
      </c>
      <c r="T443" s="413"/>
      <c r="U443" s="413"/>
      <c r="V443" s="413"/>
      <c r="W443" s="413"/>
      <c r="X443" s="228"/>
      <c r="Y443" s="412" t="s">
        <v>217</v>
      </c>
      <c r="Z443" s="412"/>
      <c r="AA443" s="413" t="s">
        <v>218</v>
      </c>
      <c r="AB443" s="413"/>
      <c r="AC443" s="413"/>
      <c r="AD443" s="413"/>
      <c r="AE443" s="413"/>
      <c r="AF443" s="228"/>
      <c r="AG443" s="412" t="s">
        <v>217</v>
      </c>
      <c r="AH443" s="412"/>
      <c r="AI443" s="413" t="s">
        <v>218</v>
      </c>
      <c r="AJ443" s="413"/>
      <c r="AK443" s="413"/>
      <c r="AL443" s="413"/>
      <c r="AM443" s="413"/>
      <c r="AN443" s="228"/>
      <c r="AO443" s="412" t="s">
        <v>217</v>
      </c>
      <c r="AP443" s="412"/>
      <c r="AQ443" s="413" t="s">
        <v>218</v>
      </c>
      <c r="AR443" s="413"/>
      <c r="AS443" s="413"/>
      <c r="AT443" s="413"/>
      <c r="AU443" s="413"/>
      <c r="AV443" s="244"/>
      <c r="AW443" s="412" t="s">
        <v>217</v>
      </c>
      <c r="AX443" s="412"/>
      <c r="AY443" s="413" t="s">
        <v>218</v>
      </c>
      <c r="AZ443" s="413"/>
      <c r="BA443" s="413"/>
      <c r="BB443" s="413"/>
      <c r="BC443" s="413"/>
    </row>
    <row r="444" spans="1:55" ht="15" customHeight="1" x14ac:dyDescent="0.3">
      <c r="A444" s="412"/>
      <c r="B444" s="412"/>
      <c r="C444" s="413"/>
      <c r="D444" s="413"/>
      <c r="E444" s="413"/>
      <c r="F444" s="413"/>
      <c r="G444" s="413"/>
      <c r="H444" s="228"/>
      <c r="I444" s="412"/>
      <c r="J444" s="412"/>
      <c r="K444" s="413"/>
      <c r="L444" s="413"/>
      <c r="M444" s="413"/>
      <c r="N444" s="413"/>
      <c r="O444" s="413"/>
      <c r="P444" s="243"/>
      <c r="Q444" s="412"/>
      <c r="R444" s="412"/>
      <c r="S444" s="413"/>
      <c r="T444" s="413"/>
      <c r="U444" s="413"/>
      <c r="V444" s="413"/>
      <c r="W444" s="413"/>
      <c r="X444" s="228"/>
      <c r="Y444" s="412"/>
      <c r="Z444" s="412"/>
      <c r="AA444" s="413"/>
      <c r="AB444" s="413"/>
      <c r="AC444" s="413"/>
      <c r="AD444" s="413"/>
      <c r="AE444" s="413"/>
      <c r="AF444" s="228"/>
      <c r="AG444" s="412"/>
      <c r="AH444" s="412"/>
      <c r="AI444" s="413"/>
      <c r="AJ444" s="413"/>
      <c r="AK444" s="413"/>
      <c r="AL444" s="413"/>
      <c r="AM444" s="413"/>
      <c r="AN444" s="228"/>
      <c r="AO444" s="412"/>
      <c r="AP444" s="412"/>
      <c r="AQ444" s="413"/>
      <c r="AR444" s="413"/>
      <c r="AS444" s="413"/>
      <c r="AT444" s="413"/>
      <c r="AU444" s="413"/>
      <c r="AV444" s="244"/>
      <c r="AW444" s="412"/>
      <c r="AX444" s="412"/>
      <c r="AY444" s="413"/>
      <c r="AZ444" s="413"/>
      <c r="BA444" s="413"/>
      <c r="BB444" s="413"/>
      <c r="BC444" s="413"/>
    </row>
    <row r="445" spans="1:55" ht="15" customHeight="1" x14ac:dyDescent="0.3">
      <c r="A445" s="410" t="s">
        <v>10</v>
      </c>
      <c r="B445" s="410"/>
      <c r="C445" s="245">
        <v>0</v>
      </c>
      <c r="D445" s="246">
        <v>1000</v>
      </c>
      <c r="E445" s="246">
        <v>2000</v>
      </c>
      <c r="F445" s="247">
        <v>3000</v>
      </c>
      <c r="G445" s="247">
        <v>4000</v>
      </c>
      <c r="H445" s="243"/>
      <c r="I445" s="410" t="s">
        <v>10</v>
      </c>
      <c r="J445" s="410"/>
      <c r="K445" s="245">
        <v>0</v>
      </c>
      <c r="L445" s="246">
        <v>1000</v>
      </c>
      <c r="M445" s="246">
        <v>2000</v>
      </c>
      <c r="N445" s="247">
        <v>3000</v>
      </c>
      <c r="O445" s="247">
        <v>4000</v>
      </c>
      <c r="P445" s="243"/>
      <c r="Q445" s="410" t="s">
        <v>10</v>
      </c>
      <c r="R445" s="410"/>
      <c r="S445" s="245">
        <v>0</v>
      </c>
      <c r="T445" s="246">
        <v>1000</v>
      </c>
      <c r="U445" s="246">
        <v>2000</v>
      </c>
      <c r="V445" s="247">
        <v>3000</v>
      </c>
      <c r="W445" s="247">
        <v>4000</v>
      </c>
      <c r="X445" s="243"/>
      <c r="Y445" s="410" t="s">
        <v>10</v>
      </c>
      <c r="Z445" s="410"/>
      <c r="AA445" s="245">
        <v>0</v>
      </c>
      <c r="AB445" s="246">
        <v>1000</v>
      </c>
      <c r="AC445" s="246">
        <v>2000</v>
      </c>
      <c r="AD445" s="247">
        <v>3000</v>
      </c>
      <c r="AE445" s="247">
        <v>4000</v>
      </c>
      <c r="AF445" s="243"/>
      <c r="AG445" s="410" t="s">
        <v>10</v>
      </c>
      <c r="AH445" s="410"/>
      <c r="AI445" s="245">
        <v>0</v>
      </c>
      <c r="AJ445" s="246">
        <v>1000</v>
      </c>
      <c r="AK445" s="246">
        <v>2000</v>
      </c>
      <c r="AL445" s="247">
        <v>3000</v>
      </c>
      <c r="AM445" s="247">
        <v>4000</v>
      </c>
      <c r="AN445" s="243"/>
      <c r="AO445" s="410" t="s">
        <v>10</v>
      </c>
      <c r="AP445" s="410"/>
      <c r="AQ445" s="245">
        <v>0</v>
      </c>
      <c r="AR445" s="246">
        <v>1000</v>
      </c>
      <c r="AS445" s="246">
        <v>2000</v>
      </c>
      <c r="AT445" s="247">
        <v>3000</v>
      </c>
      <c r="AU445" s="247">
        <v>4000</v>
      </c>
      <c r="AV445" s="244"/>
      <c r="AW445" s="410" t="s">
        <v>10</v>
      </c>
      <c r="AX445" s="410"/>
      <c r="AY445" s="245">
        <v>0</v>
      </c>
      <c r="AZ445" s="246">
        <v>1000</v>
      </c>
      <c r="BA445" s="246">
        <v>2000</v>
      </c>
      <c r="BB445" s="247">
        <v>3000</v>
      </c>
      <c r="BC445" s="247">
        <v>4000</v>
      </c>
    </row>
    <row r="446" spans="1:55" ht="15" customHeight="1" x14ac:dyDescent="0.3">
      <c r="A446" s="411">
        <v>-30</v>
      </c>
      <c r="B446" s="411"/>
      <c r="C446" s="248">
        <v>115</v>
      </c>
      <c r="D446" s="248">
        <v>115</v>
      </c>
      <c r="E446" s="248">
        <v>115</v>
      </c>
      <c r="F446" s="248">
        <v>115</v>
      </c>
      <c r="G446" s="250">
        <v>99999</v>
      </c>
      <c r="H446" s="2"/>
      <c r="I446" s="411">
        <v>-30</v>
      </c>
      <c r="J446" s="411"/>
      <c r="K446" s="251">
        <v>114</v>
      </c>
      <c r="L446" s="251">
        <v>114</v>
      </c>
      <c r="M446" s="251">
        <v>114</v>
      </c>
      <c r="N446" s="250">
        <v>114</v>
      </c>
      <c r="O446" s="250">
        <v>99999</v>
      </c>
      <c r="P446" s="42"/>
      <c r="Q446" s="411">
        <v>-30</v>
      </c>
      <c r="R446" s="411"/>
      <c r="S446" s="251">
        <v>111</v>
      </c>
      <c r="T446" s="251">
        <v>111</v>
      </c>
      <c r="U446" s="251">
        <v>111</v>
      </c>
      <c r="V446" s="250">
        <v>111</v>
      </c>
      <c r="W446" s="250">
        <v>99999</v>
      </c>
      <c r="X446" s="2"/>
      <c r="Y446" s="411">
        <v>-30</v>
      </c>
      <c r="Z446" s="411"/>
      <c r="AA446" s="251">
        <v>108</v>
      </c>
      <c r="AB446" s="251">
        <v>108</v>
      </c>
      <c r="AC446" s="251">
        <v>108</v>
      </c>
      <c r="AD446" s="250">
        <v>108</v>
      </c>
      <c r="AE446" s="250">
        <v>99999</v>
      </c>
      <c r="AF446" s="2"/>
      <c r="AG446" s="411">
        <v>-30</v>
      </c>
      <c r="AH446" s="411"/>
      <c r="AI446" s="251">
        <v>106</v>
      </c>
      <c r="AJ446" s="251">
        <v>105</v>
      </c>
      <c r="AK446" s="251">
        <v>105</v>
      </c>
      <c r="AL446" s="251">
        <v>105</v>
      </c>
      <c r="AM446" s="250">
        <v>99999</v>
      </c>
      <c r="AN446" s="2"/>
      <c r="AO446" s="411">
        <v>-30</v>
      </c>
      <c r="AP446" s="411"/>
      <c r="AQ446" s="251">
        <v>106</v>
      </c>
      <c r="AR446" s="251">
        <v>106</v>
      </c>
      <c r="AS446" s="251">
        <v>106</v>
      </c>
      <c r="AT446" s="251">
        <v>106</v>
      </c>
      <c r="AU446" s="250">
        <v>99999</v>
      </c>
      <c r="AV446" s="252"/>
      <c r="AW446" s="408">
        <v>0</v>
      </c>
      <c r="AX446" s="408"/>
      <c r="AY446" s="251"/>
      <c r="AZ446" s="251"/>
      <c r="BA446" s="251"/>
      <c r="BB446" s="250"/>
      <c r="BC446" s="250">
        <v>99999</v>
      </c>
    </row>
    <row r="447" spans="1:55" ht="15" customHeight="1" x14ac:dyDescent="0.3">
      <c r="A447" s="408">
        <v>-25</v>
      </c>
      <c r="B447" s="408"/>
      <c r="C447" s="248">
        <v>115</v>
      </c>
      <c r="D447" s="248">
        <v>115</v>
      </c>
      <c r="E447" s="248">
        <v>115</v>
      </c>
      <c r="F447" s="248">
        <v>115</v>
      </c>
      <c r="G447" s="250">
        <v>99999</v>
      </c>
      <c r="H447" s="2"/>
      <c r="I447" s="408">
        <v>-25</v>
      </c>
      <c r="J447" s="408"/>
      <c r="K447" s="251">
        <v>114</v>
      </c>
      <c r="L447" s="251">
        <v>114</v>
      </c>
      <c r="M447" s="251">
        <v>114</v>
      </c>
      <c r="N447" s="250">
        <v>114</v>
      </c>
      <c r="O447" s="250">
        <v>99999</v>
      </c>
      <c r="P447" s="42"/>
      <c r="Q447" s="408">
        <v>-25</v>
      </c>
      <c r="R447" s="408"/>
      <c r="S447" s="251">
        <v>111</v>
      </c>
      <c r="T447" s="251">
        <v>111</v>
      </c>
      <c r="U447" s="251">
        <v>111</v>
      </c>
      <c r="V447" s="250">
        <v>111</v>
      </c>
      <c r="W447" s="250">
        <v>99999</v>
      </c>
      <c r="X447" s="2"/>
      <c r="Y447" s="408">
        <v>-25</v>
      </c>
      <c r="Z447" s="408"/>
      <c r="AA447" s="251">
        <v>108</v>
      </c>
      <c r="AB447" s="251">
        <v>108</v>
      </c>
      <c r="AC447" s="251">
        <v>108</v>
      </c>
      <c r="AD447" s="250">
        <v>108</v>
      </c>
      <c r="AE447" s="250">
        <v>99999</v>
      </c>
      <c r="AF447" s="2"/>
      <c r="AG447" s="408">
        <v>-25</v>
      </c>
      <c r="AH447" s="408"/>
      <c r="AI447" s="251">
        <v>105</v>
      </c>
      <c r="AJ447" s="251">
        <v>105</v>
      </c>
      <c r="AK447" s="251">
        <v>105</v>
      </c>
      <c r="AL447" s="251">
        <v>105</v>
      </c>
      <c r="AM447" s="250">
        <v>99999</v>
      </c>
      <c r="AN447" s="2"/>
      <c r="AO447" s="408">
        <v>-25</v>
      </c>
      <c r="AP447" s="408"/>
      <c r="AQ447" s="251">
        <v>106</v>
      </c>
      <c r="AR447" s="251">
        <v>106</v>
      </c>
      <c r="AS447" s="251">
        <v>106</v>
      </c>
      <c r="AT447" s="251">
        <v>106</v>
      </c>
      <c r="AU447" s="250">
        <v>99999</v>
      </c>
      <c r="AV447" s="252"/>
      <c r="AW447" s="408">
        <v>10</v>
      </c>
      <c r="AX447" s="408"/>
      <c r="AY447" s="251"/>
      <c r="AZ447" s="251"/>
      <c r="BA447" s="251"/>
      <c r="BB447" s="250"/>
      <c r="BC447" s="250">
        <v>99999</v>
      </c>
    </row>
    <row r="448" spans="1:55" ht="15" customHeight="1" x14ac:dyDescent="0.3">
      <c r="A448" s="408">
        <v>-20</v>
      </c>
      <c r="B448" s="408"/>
      <c r="C448" s="248">
        <v>115</v>
      </c>
      <c r="D448" s="248">
        <v>115</v>
      </c>
      <c r="E448" s="248">
        <v>115</v>
      </c>
      <c r="F448" s="248">
        <v>115</v>
      </c>
      <c r="G448" s="250">
        <v>99999</v>
      </c>
      <c r="H448" s="2"/>
      <c r="I448" s="408">
        <v>-20</v>
      </c>
      <c r="J448" s="408"/>
      <c r="K448" s="251">
        <v>114</v>
      </c>
      <c r="L448" s="251">
        <v>114</v>
      </c>
      <c r="M448" s="251">
        <v>114</v>
      </c>
      <c r="N448" s="250">
        <v>114</v>
      </c>
      <c r="O448" s="250">
        <v>99999</v>
      </c>
      <c r="P448" s="42"/>
      <c r="Q448" s="408">
        <v>-20</v>
      </c>
      <c r="R448" s="408"/>
      <c r="S448" s="251">
        <v>111</v>
      </c>
      <c r="T448" s="251">
        <v>111</v>
      </c>
      <c r="U448" s="251">
        <v>111</v>
      </c>
      <c r="V448" s="250">
        <v>111</v>
      </c>
      <c r="W448" s="250">
        <v>99999</v>
      </c>
      <c r="X448" s="2"/>
      <c r="Y448" s="408">
        <v>-20</v>
      </c>
      <c r="Z448" s="408"/>
      <c r="AA448" s="251">
        <v>108</v>
      </c>
      <c r="AB448" s="251">
        <v>108</v>
      </c>
      <c r="AC448" s="251">
        <v>108</v>
      </c>
      <c r="AD448" s="250">
        <v>108</v>
      </c>
      <c r="AE448" s="250">
        <v>99999</v>
      </c>
      <c r="AF448" s="2"/>
      <c r="AG448" s="408">
        <v>-20</v>
      </c>
      <c r="AH448" s="408"/>
      <c r="AI448" s="251">
        <v>105</v>
      </c>
      <c r="AJ448" s="251">
        <v>105</v>
      </c>
      <c r="AK448" s="251">
        <v>105</v>
      </c>
      <c r="AL448" s="251">
        <v>105</v>
      </c>
      <c r="AM448" s="250">
        <v>99999</v>
      </c>
      <c r="AN448" s="2"/>
      <c r="AO448" s="408">
        <v>-20</v>
      </c>
      <c r="AP448" s="408"/>
      <c r="AQ448" s="251">
        <v>106</v>
      </c>
      <c r="AR448" s="251">
        <v>106</v>
      </c>
      <c r="AS448" s="251">
        <v>106</v>
      </c>
      <c r="AT448" s="251">
        <v>105</v>
      </c>
      <c r="AU448" s="250">
        <v>99999</v>
      </c>
      <c r="AV448" s="252"/>
      <c r="AW448" s="253"/>
      <c r="AX448" s="254"/>
      <c r="AY448" s="251"/>
      <c r="AZ448" s="251"/>
      <c r="BA448" s="251"/>
      <c r="BB448" s="250"/>
      <c r="BC448" s="250">
        <v>99999</v>
      </c>
    </row>
    <row r="449" spans="1:55" ht="15" customHeight="1" x14ac:dyDescent="0.3">
      <c r="A449" s="408">
        <v>-15</v>
      </c>
      <c r="B449" s="408"/>
      <c r="C449" s="248">
        <v>115</v>
      </c>
      <c r="D449" s="248">
        <v>115</v>
      </c>
      <c r="E449" s="248">
        <v>115</v>
      </c>
      <c r="F449" s="248">
        <v>115</v>
      </c>
      <c r="G449" s="250">
        <v>99999</v>
      </c>
      <c r="H449" s="2"/>
      <c r="I449" s="408">
        <v>-15</v>
      </c>
      <c r="J449" s="408"/>
      <c r="K449" s="251">
        <v>114</v>
      </c>
      <c r="L449" s="251">
        <v>114</v>
      </c>
      <c r="M449" s="251">
        <v>114</v>
      </c>
      <c r="N449" s="250">
        <v>114</v>
      </c>
      <c r="O449" s="250">
        <v>99999</v>
      </c>
      <c r="P449" s="42"/>
      <c r="Q449" s="408">
        <v>-15</v>
      </c>
      <c r="R449" s="408"/>
      <c r="S449" s="251">
        <v>111</v>
      </c>
      <c r="T449" s="251">
        <v>111</v>
      </c>
      <c r="U449" s="251">
        <v>111</v>
      </c>
      <c r="V449" s="250">
        <v>111</v>
      </c>
      <c r="W449" s="250">
        <v>99999</v>
      </c>
      <c r="X449" s="2"/>
      <c r="Y449" s="408">
        <v>-15</v>
      </c>
      <c r="Z449" s="408"/>
      <c r="AA449" s="251">
        <v>108</v>
      </c>
      <c r="AB449" s="251">
        <v>108</v>
      </c>
      <c r="AC449" s="251">
        <v>108</v>
      </c>
      <c r="AD449" s="250">
        <v>108</v>
      </c>
      <c r="AE449" s="250">
        <v>99999</v>
      </c>
      <c r="AF449" s="2"/>
      <c r="AG449" s="408">
        <v>-15</v>
      </c>
      <c r="AH449" s="408"/>
      <c r="AI449" s="251">
        <v>105</v>
      </c>
      <c r="AJ449" s="251">
        <v>105</v>
      </c>
      <c r="AK449" s="251">
        <v>105</v>
      </c>
      <c r="AL449" s="251">
        <v>105</v>
      </c>
      <c r="AM449" s="250">
        <v>99999</v>
      </c>
      <c r="AN449" s="2"/>
      <c r="AO449" s="408">
        <v>-15</v>
      </c>
      <c r="AP449" s="408"/>
      <c r="AQ449" s="251">
        <v>106</v>
      </c>
      <c r="AR449" s="251">
        <v>106</v>
      </c>
      <c r="AS449" s="251">
        <v>106</v>
      </c>
      <c r="AT449" s="251">
        <v>105</v>
      </c>
      <c r="AU449" s="250">
        <v>99999</v>
      </c>
      <c r="AV449" s="252"/>
      <c r="AW449" s="253"/>
      <c r="AX449" s="254"/>
      <c r="AY449" s="251"/>
      <c r="AZ449" s="251"/>
      <c r="BA449" s="251"/>
      <c r="BB449" s="250"/>
      <c r="BC449" s="250">
        <v>99999</v>
      </c>
    </row>
    <row r="450" spans="1:55" ht="15" customHeight="1" x14ac:dyDescent="0.3">
      <c r="A450" s="408">
        <v>-10</v>
      </c>
      <c r="B450" s="408"/>
      <c r="C450" s="248">
        <v>115</v>
      </c>
      <c r="D450" s="248">
        <v>115</v>
      </c>
      <c r="E450" s="248">
        <v>115</v>
      </c>
      <c r="F450" s="248">
        <v>115</v>
      </c>
      <c r="G450" s="250">
        <v>99999</v>
      </c>
      <c r="H450" s="2"/>
      <c r="I450" s="408">
        <v>-10</v>
      </c>
      <c r="J450" s="408"/>
      <c r="K450" s="251">
        <v>114</v>
      </c>
      <c r="L450" s="251">
        <v>114</v>
      </c>
      <c r="M450" s="251">
        <v>114</v>
      </c>
      <c r="N450" s="250">
        <v>114</v>
      </c>
      <c r="O450" s="250">
        <v>99999</v>
      </c>
      <c r="P450" s="42"/>
      <c r="Q450" s="408">
        <v>-10</v>
      </c>
      <c r="R450" s="408"/>
      <c r="S450" s="251">
        <v>111</v>
      </c>
      <c r="T450" s="251">
        <v>111</v>
      </c>
      <c r="U450" s="251">
        <v>111</v>
      </c>
      <c r="V450" s="250">
        <v>111</v>
      </c>
      <c r="W450" s="250">
        <v>99999</v>
      </c>
      <c r="X450" s="2"/>
      <c r="Y450" s="408">
        <v>-10</v>
      </c>
      <c r="Z450" s="408"/>
      <c r="AA450" s="251">
        <v>108</v>
      </c>
      <c r="AB450" s="251">
        <v>108</v>
      </c>
      <c r="AC450" s="251">
        <v>108</v>
      </c>
      <c r="AD450" s="250">
        <v>108</v>
      </c>
      <c r="AE450" s="250">
        <v>99999</v>
      </c>
      <c r="AF450" s="2"/>
      <c r="AG450" s="408">
        <v>-10</v>
      </c>
      <c r="AH450" s="408"/>
      <c r="AI450" s="251">
        <v>105</v>
      </c>
      <c r="AJ450" s="251">
        <v>105</v>
      </c>
      <c r="AK450" s="251">
        <v>105</v>
      </c>
      <c r="AL450" s="251">
        <v>105</v>
      </c>
      <c r="AM450" s="250">
        <v>99999</v>
      </c>
      <c r="AN450" s="2"/>
      <c r="AO450" s="408">
        <v>-10</v>
      </c>
      <c r="AP450" s="408"/>
      <c r="AQ450" s="251">
        <v>106</v>
      </c>
      <c r="AR450" s="251">
        <v>106</v>
      </c>
      <c r="AS450" s="251">
        <v>105</v>
      </c>
      <c r="AT450" s="251">
        <v>105</v>
      </c>
      <c r="AU450" s="250">
        <v>99999</v>
      </c>
      <c r="AV450" s="252"/>
      <c r="AW450" s="253"/>
      <c r="AX450" s="254"/>
      <c r="AY450" s="251"/>
      <c r="AZ450" s="251"/>
      <c r="BA450" s="251"/>
      <c r="BB450" s="250"/>
      <c r="BC450" s="250">
        <v>99999</v>
      </c>
    </row>
    <row r="451" spans="1:55" ht="15" customHeight="1" x14ac:dyDescent="0.3">
      <c r="A451" s="408">
        <v>-5</v>
      </c>
      <c r="B451" s="408"/>
      <c r="C451" s="248">
        <v>115</v>
      </c>
      <c r="D451" s="248">
        <v>115</v>
      </c>
      <c r="E451" s="248">
        <v>115</v>
      </c>
      <c r="F451" s="248">
        <v>115</v>
      </c>
      <c r="G451" s="250">
        <v>99999</v>
      </c>
      <c r="H451" s="2"/>
      <c r="I451" s="408">
        <v>-5</v>
      </c>
      <c r="J451" s="408"/>
      <c r="K451" s="251">
        <v>114</v>
      </c>
      <c r="L451" s="251">
        <v>114</v>
      </c>
      <c r="M451" s="251">
        <v>114</v>
      </c>
      <c r="N451" s="250">
        <v>114</v>
      </c>
      <c r="O451" s="250">
        <v>99999</v>
      </c>
      <c r="P451" s="42"/>
      <c r="Q451" s="408">
        <v>-5</v>
      </c>
      <c r="R451" s="408"/>
      <c r="S451" s="251">
        <v>111</v>
      </c>
      <c r="T451" s="251">
        <v>111</v>
      </c>
      <c r="U451" s="251">
        <v>111</v>
      </c>
      <c r="V451" s="250">
        <v>111</v>
      </c>
      <c r="W451" s="250">
        <v>99999</v>
      </c>
      <c r="X451" s="2"/>
      <c r="Y451" s="408">
        <v>-5</v>
      </c>
      <c r="Z451" s="408"/>
      <c r="AA451" s="251">
        <v>108</v>
      </c>
      <c r="AB451" s="251">
        <v>108</v>
      </c>
      <c r="AC451" s="251">
        <v>108</v>
      </c>
      <c r="AD451" s="250">
        <v>108</v>
      </c>
      <c r="AE451" s="250">
        <v>99999</v>
      </c>
      <c r="AF451" s="2"/>
      <c r="AG451" s="408">
        <v>-5</v>
      </c>
      <c r="AH451" s="408"/>
      <c r="AI451" s="251">
        <v>105</v>
      </c>
      <c r="AJ451" s="251">
        <v>105</v>
      </c>
      <c r="AK451" s="251">
        <v>105</v>
      </c>
      <c r="AL451" s="251">
        <v>105</v>
      </c>
      <c r="AM451" s="250">
        <v>99999</v>
      </c>
      <c r="AN451" s="2"/>
      <c r="AO451" s="408">
        <v>-5</v>
      </c>
      <c r="AP451" s="408"/>
      <c r="AQ451" s="251">
        <v>106</v>
      </c>
      <c r="AR451" s="251">
        <v>106</v>
      </c>
      <c r="AS451" s="251">
        <v>105</v>
      </c>
      <c r="AT451" s="251">
        <v>105</v>
      </c>
      <c r="AU451" s="250">
        <v>99999</v>
      </c>
      <c r="AV451" s="252"/>
      <c r="AW451" s="253"/>
      <c r="AX451" s="254"/>
      <c r="AY451" s="251"/>
      <c r="AZ451" s="251"/>
      <c r="BA451" s="251"/>
      <c r="BB451" s="250"/>
      <c r="BC451" s="250">
        <v>99999</v>
      </c>
    </row>
    <row r="452" spans="1:55" ht="15" customHeight="1" x14ac:dyDescent="0.3">
      <c r="A452" s="408">
        <v>0</v>
      </c>
      <c r="B452" s="408"/>
      <c r="C452" s="248">
        <v>115</v>
      </c>
      <c r="D452" s="248">
        <v>115</v>
      </c>
      <c r="E452" s="248">
        <v>115</v>
      </c>
      <c r="F452" s="248">
        <v>115</v>
      </c>
      <c r="G452" s="250">
        <v>99999</v>
      </c>
      <c r="H452" s="2"/>
      <c r="I452" s="408">
        <v>0</v>
      </c>
      <c r="J452" s="408"/>
      <c r="K452" s="251">
        <v>114</v>
      </c>
      <c r="L452" s="251">
        <v>114</v>
      </c>
      <c r="M452" s="251">
        <v>114</v>
      </c>
      <c r="N452" s="250">
        <v>114</v>
      </c>
      <c r="O452" s="250">
        <v>99999</v>
      </c>
      <c r="P452" s="42"/>
      <c r="Q452" s="408">
        <v>0</v>
      </c>
      <c r="R452" s="408"/>
      <c r="S452" s="251">
        <v>111</v>
      </c>
      <c r="T452" s="251">
        <v>111</v>
      </c>
      <c r="U452" s="251">
        <v>111</v>
      </c>
      <c r="V452" s="250">
        <v>111</v>
      </c>
      <c r="W452" s="250">
        <v>99999</v>
      </c>
      <c r="X452" s="2"/>
      <c r="Y452" s="408">
        <v>0</v>
      </c>
      <c r="Z452" s="408"/>
      <c r="AA452" s="251">
        <v>108</v>
      </c>
      <c r="AB452" s="251">
        <v>108</v>
      </c>
      <c r="AC452" s="251">
        <v>108</v>
      </c>
      <c r="AD452" s="250">
        <v>108</v>
      </c>
      <c r="AE452" s="250">
        <v>99999</v>
      </c>
      <c r="AF452" s="2"/>
      <c r="AG452" s="408">
        <v>0</v>
      </c>
      <c r="AH452" s="408"/>
      <c r="AI452" s="251">
        <v>105</v>
      </c>
      <c r="AJ452" s="251">
        <v>105</v>
      </c>
      <c r="AK452" s="251">
        <v>105</v>
      </c>
      <c r="AL452" s="251">
        <v>105</v>
      </c>
      <c r="AM452" s="250">
        <v>99999</v>
      </c>
      <c r="AN452" s="2"/>
      <c r="AO452" s="408">
        <v>0</v>
      </c>
      <c r="AP452" s="408"/>
      <c r="AQ452" s="251">
        <v>106</v>
      </c>
      <c r="AR452" s="251">
        <v>105</v>
      </c>
      <c r="AS452" s="251">
        <v>105</v>
      </c>
      <c r="AT452" s="251">
        <v>105</v>
      </c>
      <c r="AU452" s="250">
        <v>99999</v>
      </c>
      <c r="AV452" s="252"/>
      <c r="AW452" s="253"/>
      <c r="AX452" s="254"/>
      <c r="AY452" s="251"/>
      <c r="AZ452" s="251"/>
      <c r="BA452" s="251"/>
      <c r="BB452" s="250"/>
      <c r="BC452" s="250">
        <v>99999</v>
      </c>
    </row>
    <row r="453" spans="1:55" ht="15" customHeight="1" x14ac:dyDescent="0.3">
      <c r="A453" s="408">
        <v>5</v>
      </c>
      <c r="B453" s="408"/>
      <c r="C453" s="248">
        <v>115</v>
      </c>
      <c r="D453" s="248">
        <v>115</v>
      </c>
      <c r="E453" s="248">
        <v>115</v>
      </c>
      <c r="F453" s="248">
        <v>115</v>
      </c>
      <c r="G453" s="250">
        <v>99999</v>
      </c>
      <c r="H453" s="2"/>
      <c r="I453" s="408">
        <v>5</v>
      </c>
      <c r="J453" s="408"/>
      <c r="K453" s="251">
        <v>114</v>
      </c>
      <c r="L453" s="251">
        <v>114</v>
      </c>
      <c r="M453" s="251">
        <v>114</v>
      </c>
      <c r="N453" s="250">
        <v>114</v>
      </c>
      <c r="O453" s="250">
        <v>99999</v>
      </c>
      <c r="P453" s="42"/>
      <c r="Q453" s="408">
        <v>5</v>
      </c>
      <c r="R453" s="408"/>
      <c r="S453" s="251">
        <v>111</v>
      </c>
      <c r="T453" s="251">
        <v>111</v>
      </c>
      <c r="U453" s="251">
        <v>111</v>
      </c>
      <c r="V453" s="250">
        <v>111</v>
      </c>
      <c r="W453" s="250">
        <v>99999</v>
      </c>
      <c r="X453" s="2"/>
      <c r="Y453" s="408">
        <v>5</v>
      </c>
      <c r="Z453" s="408"/>
      <c r="AA453" s="251">
        <v>108</v>
      </c>
      <c r="AB453" s="251">
        <v>108</v>
      </c>
      <c r="AC453" s="251">
        <v>108</v>
      </c>
      <c r="AD453" s="250">
        <v>108</v>
      </c>
      <c r="AE453" s="250">
        <v>99999</v>
      </c>
      <c r="AF453" s="2"/>
      <c r="AG453" s="408">
        <v>5</v>
      </c>
      <c r="AH453" s="408"/>
      <c r="AI453" s="251">
        <v>105</v>
      </c>
      <c r="AJ453" s="251">
        <v>105</v>
      </c>
      <c r="AK453" s="251">
        <v>105</v>
      </c>
      <c r="AL453" s="251">
        <v>105</v>
      </c>
      <c r="AM453" s="250">
        <v>99999</v>
      </c>
      <c r="AN453" s="2"/>
      <c r="AO453" s="408">
        <v>5</v>
      </c>
      <c r="AP453" s="408"/>
      <c r="AQ453" s="251">
        <v>106</v>
      </c>
      <c r="AR453" s="251">
        <v>105</v>
      </c>
      <c r="AS453" s="251">
        <v>105</v>
      </c>
      <c r="AT453" s="251">
        <v>105</v>
      </c>
      <c r="AU453" s="250">
        <v>99999</v>
      </c>
      <c r="AV453" s="252"/>
      <c r="AW453" s="253"/>
      <c r="AX453" s="254"/>
      <c r="AY453" s="251"/>
      <c r="AZ453" s="251"/>
      <c r="BA453" s="251"/>
      <c r="BB453" s="250"/>
      <c r="BC453" s="250">
        <v>99999</v>
      </c>
    </row>
    <row r="454" spans="1:55" ht="15" customHeight="1" x14ac:dyDescent="0.3">
      <c r="A454" s="408">
        <v>10</v>
      </c>
      <c r="B454" s="408"/>
      <c r="C454" s="248">
        <v>115</v>
      </c>
      <c r="D454" s="248">
        <v>115</v>
      </c>
      <c r="E454" s="248">
        <v>115</v>
      </c>
      <c r="F454" s="248">
        <v>115</v>
      </c>
      <c r="G454" s="250">
        <v>99999</v>
      </c>
      <c r="H454" s="2"/>
      <c r="I454" s="408">
        <v>10</v>
      </c>
      <c r="J454" s="408"/>
      <c r="K454" s="251">
        <v>114</v>
      </c>
      <c r="L454" s="251">
        <v>114</v>
      </c>
      <c r="M454" s="251">
        <v>114</v>
      </c>
      <c r="N454" s="250">
        <v>114</v>
      </c>
      <c r="O454" s="250">
        <v>99999</v>
      </c>
      <c r="P454" s="42"/>
      <c r="Q454" s="408">
        <v>10</v>
      </c>
      <c r="R454" s="408"/>
      <c r="S454" s="251">
        <v>111</v>
      </c>
      <c r="T454" s="251">
        <v>111</v>
      </c>
      <c r="U454" s="251">
        <v>111</v>
      </c>
      <c r="V454" s="250">
        <v>111</v>
      </c>
      <c r="W454" s="250">
        <v>99999</v>
      </c>
      <c r="X454" s="2"/>
      <c r="Y454" s="408">
        <v>10</v>
      </c>
      <c r="Z454" s="408"/>
      <c r="AA454" s="251">
        <v>108</v>
      </c>
      <c r="AB454" s="251">
        <v>108</v>
      </c>
      <c r="AC454" s="251">
        <v>108</v>
      </c>
      <c r="AD454" s="250">
        <v>108</v>
      </c>
      <c r="AE454" s="250">
        <v>99999</v>
      </c>
      <c r="AF454" s="2"/>
      <c r="AG454" s="408">
        <v>10</v>
      </c>
      <c r="AH454" s="408"/>
      <c r="AI454" s="251">
        <v>105</v>
      </c>
      <c r="AJ454" s="251">
        <v>105</v>
      </c>
      <c r="AK454" s="251">
        <v>105</v>
      </c>
      <c r="AL454" s="251">
        <v>105</v>
      </c>
      <c r="AM454" s="250">
        <v>99999</v>
      </c>
      <c r="AN454" s="2"/>
      <c r="AO454" s="408">
        <v>10</v>
      </c>
      <c r="AP454" s="408"/>
      <c r="AQ454" s="251">
        <v>105</v>
      </c>
      <c r="AR454" s="251">
        <v>105</v>
      </c>
      <c r="AS454" s="251">
        <v>105</v>
      </c>
      <c r="AT454" s="251">
        <v>105</v>
      </c>
      <c r="AU454" s="250">
        <v>99999</v>
      </c>
      <c r="AV454" s="252"/>
      <c r="AW454" s="253"/>
      <c r="AX454" s="254"/>
      <c r="AY454" s="251"/>
      <c r="AZ454" s="251"/>
      <c r="BA454" s="251"/>
      <c r="BB454" s="250"/>
      <c r="BC454" s="250">
        <v>99999</v>
      </c>
    </row>
    <row r="455" spans="1:55" ht="15" customHeight="1" x14ac:dyDescent="0.3">
      <c r="A455" s="408">
        <v>15</v>
      </c>
      <c r="B455" s="408"/>
      <c r="C455" s="248">
        <v>9999</v>
      </c>
      <c r="D455" s="248">
        <v>9999</v>
      </c>
      <c r="E455" s="248">
        <v>9999</v>
      </c>
      <c r="F455" s="248">
        <v>9999</v>
      </c>
      <c r="G455" s="250">
        <v>99999</v>
      </c>
      <c r="H455" s="2"/>
      <c r="I455" s="408">
        <v>15</v>
      </c>
      <c r="J455" s="408"/>
      <c r="K455" s="248">
        <v>9999</v>
      </c>
      <c r="L455" s="248">
        <v>9999</v>
      </c>
      <c r="M455" s="248">
        <v>9999</v>
      </c>
      <c r="N455" s="248">
        <v>9999</v>
      </c>
      <c r="O455" s="250">
        <v>99999</v>
      </c>
      <c r="P455" s="42"/>
      <c r="Q455" s="408">
        <v>15</v>
      </c>
      <c r="R455" s="408"/>
      <c r="S455" s="248">
        <v>9999</v>
      </c>
      <c r="T455" s="248">
        <v>9999</v>
      </c>
      <c r="U455" s="248">
        <v>9999</v>
      </c>
      <c r="V455" s="248">
        <v>9999</v>
      </c>
      <c r="W455" s="250">
        <v>99999</v>
      </c>
      <c r="X455" s="2"/>
      <c r="Y455" s="408">
        <v>15</v>
      </c>
      <c r="Z455" s="408"/>
      <c r="AA455" s="248">
        <v>9999</v>
      </c>
      <c r="AB455" s="248">
        <v>9999</v>
      </c>
      <c r="AC455" s="248">
        <v>9999</v>
      </c>
      <c r="AD455" s="248">
        <v>9999</v>
      </c>
      <c r="AE455" s="250">
        <v>99999</v>
      </c>
      <c r="AF455" s="2"/>
      <c r="AG455" s="408">
        <v>15</v>
      </c>
      <c r="AH455" s="408"/>
      <c r="AI455" s="248">
        <v>9999</v>
      </c>
      <c r="AJ455" s="248">
        <v>9999</v>
      </c>
      <c r="AK455" s="248">
        <v>9999</v>
      </c>
      <c r="AL455" s="248">
        <v>9999</v>
      </c>
      <c r="AM455" s="250">
        <v>99999</v>
      </c>
      <c r="AN455" s="2"/>
      <c r="AO455" s="408">
        <v>15</v>
      </c>
      <c r="AP455" s="408"/>
      <c r="AQ455" s="248">
        <v>9999</v>
      </c>
      <c r="AR455" s="248">
        <v>9999</v>
      </c>
      <c r="AS455" s="248">
        <v>9999</v>
      </c>
      <c r="AT455" s="248">
        <v>9999</v>
      </c>
      <c r="AU455" s="250">
        <v>99999</v>
      </c>
      <c r="AV455" s="252"/>
      <c r="AW455" s="253"/>
      <c r="AX455" s="254"/>
      <c r="AY455" s="251"/>
      <c r="AZ455" s="251"/>
      <c r="BA455" s="251"/>
      <c r="BB455" s="250"/>
      <c r="BC455" s="250">
        <v>99999</v>
      </c>
    </row>
    <row r="456" spans="1:55" ht="15" customHeight="1" x14ac:dyDescent="0.3">
      <c r="A456" s="408">
        <v>20</v>
      </c>
      <c r="B456" s="408"/>
      <c r="C456" s="248">
        <v>9999</v>
      </c>
      <c r="D456" s="248">
        <v>9999</v>
      </c>
      <c r="E456" s="248">
        <v>9999</v>
      </c>
      <c r="F456" s="248">
        <v>9999</v>
      </c>
      <c r="G456" s="250">
        <v>99999</v>
      </c>
      <c r="H456" s="2"/>
      <c r="I456" s="408">
        <v>20</v>
      </c>
      <c r="J456" s="408"/>
      <c r="K456" s="248">
        <v>9999</v>
      </c>
      <c r="L456" s="248">
        <v>9999</v>
      </c>
      <c r="M456" s="248">
        <v>9999</v>
      </c>
      <c r="N456" s="248">
        <v>9999</v>
      </c>
      <c r="O456" s="250">
        <v>99999</v>
      </c>
      <c r="P456" s="42"/>
      <c r="Q456" s="408">
        <v>20</v>
      </c>
      <c r="R456" s="408"/>
      <c r="S456" s="248">
        <v>9999</v>
      </c>
      <c r="T456" s="248">
        <v>9999</v>
      </c>
      <c r="U456" s="248">
        <v>9999</v>
      </c>
      <c r="V456" s="248">
        <v>9999</v>
      </c>
      <c r="W456" s="250">
        <v>99999</v>
      </c>
      <c r="X456" s="2"/>
      <c r="Y456" s="408">
        <v>20</v>
      </c>
      <c r="Z456" s="408"/>
      <c r="AA456" s="248">
        <v>9999</v>
      </c>
      <c r="AB456" s="248">
        <v>9999</v>
      </c>
      <c r="AC456" s="248">
        <v>9999</v>
      </c>
      <c r="AD456" s="248">
        <v>9999</v>
      </c>
      <c r="AE456" s="250">
        <v>99999</v>
      </c>
      <c r="AF456" s="2"/>
      <c r="AG456" s="408">
        <v>20</v>
      </c>
      <c r="AH456" s="408"/>
      <c r="AI456" s="248">
        <v>9999</v>
      </c>
      <c r="AJ456" s="248">
        <v>9999</v>
      </c>
      <c r="AK456" s="248">
        <v>9999</v>
      </c>
      <c r="AL456" s="248">
        <v>9999</v>
      </c>
      <c r="AM456" s="250">
        <v>99999</v>
      </c>
      <c r="AN456" s="2"/>
      <c r="AO456" s="408">
        <v>20</v>
      </c>
      <c r="AP456" s="408"/>
      <c r="AQ456" s="248">
        <v>9999</v>
      </c>
      <c r="AR456" s="248">
        <v>9999</v>
      </c>
      <c r="AS456" s="248">
        <v>9999</v>
      </c>
      <c r="AT456" s="248">
        <v>9999</v>
      </c>
      <c r="AU456" s="250">
        <v>99999</v>
      </c>
      <c r="AV456" s="252"/>
      <c r="AW456" s="408">
        <v>20</v>
      </c>
      <c r="AX456" s="408"/>
      <c r="AY456" s="251"/>
      <c r="AZ456" s="251"/>
      <c r="BA456" s="251"/>
      <c r="BB456" s="250"/>
      <c r="BC456" s="250">
        <v>99999</v>
      </c>
    </row>
    <row r="457" spans="1:55" ht="15" customHeight="1" x14ac:dyDescent="0.3">
      <c r="A457" s="408">
        <v>25</v>
      </c>
      <c r="B457" s="408"/>
      <c r="C457" s="248">
        <v>9999</v>
      </c>
      <c r="D457" s="248">
        <v>9999</v>
      </c>
      <c r="E457" s="248">
        <v>9999</v>
      </c>
      <c r="F457" s="248">
        <v>9999</v>
      </c>
      <c r="G457" s="250">
        <v>99999</v>
      </c>
      <c r="H457" s="2"/>
      <c r="I457" s="408">
        <v>25</v>
      </c>
      <c r="J457" s="408"/>
      <c r="K457" s="248">
        <v>9999</v>
      </c>
      <c r="L457" s="248">
        <v>9999</v>
      </c>
      <c r="M457" s="248">
        <v>9999</v>
      </c>
      <c r="N457" s="248">
        <v>9999</v>
      </c>
      <c r="O457" s="250">
        <v>99999</v>
      </c>
      <c r="P457" s="42"/>
      <c r="Q457" s="408">
        <v>25</v>
      </c>
      <c r="R457" s="408"/>
      <c r="S457" s="248">
        <v>9999</v>
      </c>
      <c r="T457" s="248">
        <v>9999</v>
      </c>
      <c r="U457" s="248">
        <v>9999</v>
      </c>
      <c r="V457" s="248">
        <v>9999</v>
      </c>
      <c r="W457" s="250">
        <v>99999</v>
      </c>
      <c r="X457" s="2"/>
      <c r="Y457" s="408">
        <v>25</v>
      </c>
      <c r="Z457" s="408"/>
      <c r="AA457" s="248">
        <v>9999</v>
      </c>
      <c r="AB457" s="248">
        <v>9999</v>
      </c>
      <c r="AC457" s="248">
        <v>9999</v>
      </c>
      <c r="AD457" s="248">
        <v>9999</v>
      </c>
      <c r="AE457" s="250">
        <v>99999</v>
      </c>
      <c r="AF457" s="2"/>
      <c r="AG457" s="408">
        <v>25</v>
      </c>
      <c r="AH457" s="408"/>
      <c r="AI457" s="248">
        <v>9999</v>
      </c>
      <c r="AJ457" s="248">
        <v>9999</v>
      </c>
      <c r="AK457" s="248">
        <v>9999</v>
      </c>
      <c r="AL457" s="248">
        <v>9999</v>
      </c>
      <c r="AM457" s="250">
        <v>99999</v>
      </c>
      <c r="AN457" s="2"/>
      <c r="AO457" s="408">
        <v>25</v>
      </c>
      <c r="AP457" s="408"/>
      <c r="AQ457" s="248">
        <v>9999</v>
      </c>
      <c r="AR457" s="248">
        <v>9999</v>
      </c>
      <c r="AS457" s="248">
        <v>9999</v>
      </c>
      <c r="AT457" s="248">
        <v>9999</v>
      </c>
      <c r="AU457" s="250">
        <v>99999</v>
      </c>
      <c r="AV457" s="252"/>
      <c r="AW457" s="253"/>
      <c r="AX457" s="254"/>
      <c r="AY457" s="251"/>
      <c r="AZ457" s="251"/>
      <c r="BA457" s="251"/>
      <c r="BB457" s="250"/>
      <c r="BC457" s="250">
        <v>99999</v>
      </c>
    </row>
    <row r="458" spans="1:55" ht="15" customHeight="1" x14ac:dyDescent="0.3">
      <c r="A458" s="408">
        <v>30</v>
      </c>
      <c r="B458" s="408"/>
      <c r="C458" s="248">
        <v>9999</v>
      </c>
      <c r="D458" s="248">
        <v>9999</v>
      </c>
      <c r="E458" s="248">
        <v>9999</v>
      </c>
      <c r="F458" s="248">
        <v>9999</v>
      </c>
      <c r="G458" s="250">
        <v>99999</v>
      </c>
      <c r="H458" s="2"/>
      <c r="I458" s="408">
        <v>30</v>
      </c>
      <c r="J458" s="408"/>
      <c r="K458" s="248">
        <v>9999</v>
      </c>
      <c r="L458" s="248">
        <v>9999</v>
      </c>
      <c r="M458" s="248">
        <v>9999</v>
      </c>
      <c r="N458" s="248">
        <v>9999</v>
      </c>
      <c r="O458" s="250">
        <v>99999</v>
      </c>
      <c r="P458" s="42"/>
      <c r="Q458" s="408">
        <v>30</v>
      </c>
      <c r="R458" s="408"/>
      <c r="S458" s="248">
        <v>9999</v>
      </c>
      <c r="T458" s="248">
        <v>9999</v>
      </c>
      <c r="U458" s="248">
        <v>9999</v>
      </c>
      <c r="V458" s="248">
        <v>9999</v>
      </c>
      <c r="W458" s="250">
        <v>99999</v>
      </c>
      <c r="X458" s="2"/>
      <c r="Y458" s="408">
        <v>30</v>
      </c>
      <c r="Z458" s="408"/>
      <c r="AA458" s="248">
        <v>9999</v>
      </c>
      <c r="AB458" s="248">
        <v>9999</v>
      </c>
      <c r="AC458" s="248">
        <v>9999</v>
      </c>
      <c r="AD458" s="248">
        <v>9999</v>
      </c>
      <c r="AE458" s="250">
        <v>99999</v>
      </c>
      <c r="AF458" s="2"/>
      <c r="AG458" s="408">
        <v>30</v>
      </c>
      <c r="AH458" s="408"/>
      <c r="AI458" s="248">
        <v>9999</v>
      </c>
      <c r="AJ458" s="248">
        <v>9999</v>
      </c>
      <c r="AK458" s="248">
        <v>9999</v>
      </c>
      <c r="AL458" s="248">
        <v>9999</v>
      </c>
      <c r="AM458" s="250">
        <v>99999</v>
      </c>
      <c r="AN458" s="2"/>
      <c r="AO458" s="408">
        <v>30</v>
      </c>
      <c r="AP458" s="408"/>
      <c r="AQ458" s="248">
        <v>9999</v>
      </c>
      <c r="AR458" s="248">
        <v>9999</v>
      </c>
      <c r="AS458" s="248">
        <v>9999</v>
      </c>
      <c r="AT458" s="248">
        <v>9999</v>
      </c>
      <c r="AU458" s="250">
        <v>99999</v>
      </c>
      <c r="AV458" s="252"/>
      <c r="AW458" s="408">
        <v>30</v>
      </c>
      <c r="AX458" s="408"/>
      <c r="AY458" s="251"/>
      <c r="AZ458" s="251"/>
      <c r="BA458" s="251"/>
      <c r="BB458" s="250"/>
      <c r="BC458" s="250">
        <v>99999</v>
      </c>
    </row>
    <row r="459" spans="1:55" ht="15" customHeight="1" x14ac:dyDescent="0.3">
      <c r="A459" s="408">
        <v>40</v>
      </c>
      <c r="B459" s="408"/>
      <c r="C459" s="255">
        <v>99999</v>
      </c>
      <c r="D459" s="255">
        <v>99999</v>
      </c>
      <c r="E459" s="255">
        <v>99999</v>
      </c>
      <c r="F459" s="255">
        <v>99999</v>
      </c>
      <c r="G459" s="250">
        <v>99999</v>
      </c>
      <c r="H459" s="2"/>
      <c r="I459" s="408">
        <v>40</v>
      </c>
      <c r="J459" s="408"/>
      <c r="K459" s="255">
        <v>99999</v>
      </c>
      <c r="L459" s="255">
        <v>99999</v>
      </c>
      <c r="M459" s="255">
        <v>99999</v>
      </c>
      <c r="N459" s="255">
        <v>99999</v>
      </c>
      <c r="O459" s="250">
        <v>99999</v>
      </c>
      <c r="P459" s="42"/>
      <c r="Q459" s="408">
        <v>40</v>
      </c>
      <c r="R459" s="408"/>
      <c r="S459" s="255">
        <v>99999</v>
      </c>
      <c r="T459" s="255">
        <v>99999</v>
      </c>
      <c r="U459" s="255">
        <v>99999</v>
      </c>
      <c r="V459" s="255">
        <v>99999</v>
      </c>
      <c r="W459" s="250">
        <v>99999</v>
      </c>
      <c r="X459" s="2"/>
      <c r="Y459" s="408">
        <v>40</v>
      </c>
      <c r="Z459" s="408"/>
      <c r="AA459" s="255">
        <v>99999</v>
      </c>
      <c r="AB459" s="255">
        <v>99999</v>
      </c>
      <c r="AC459" s="255">
        <v>99999</v>
      </c>
      <c r="AD459" s="255">
        <v>99999</v>
      </c>
      <c r="AE459" s="250">
        <v>99999</v>
      </c>
      <c r="AF459" s="2"/>
      <c r="AG459" s="408">
        <v>40</v>
      </c>
      <c r="AH459" s="408"/>
      <c r="AI459" s="255">
        <v>99999</v>
      </c>
      <c r="AJ459" s="255">
        <v>99999</v>
      </c>
      <c r="AK459" s="255">
        <v>99999</v>
      </c>
      <c r="AL459" s="255">
        <v>99999</v>
      </c>
      <c r="AM459" s="250">
        <v>99999</v>
      </c>
      <c r="AN459" s="2"/>
      <c r="AO459" s="408">
        <v>40</v>
      </c>
      <c r="AP459" s="408"/>
      <c r="AQ459" s="255">
        <v>99999</v>
      </c>
      <c r="AR459" s="255">
        <v>99999</v>
      </c>
      <c r="AS459" s="255">
        <v>99999</v>
      </c>
      <c r="AT459" s="255">
        <v>99999</v>
      </c>
      <c r="AU459" s="250">
        <v>99999</v>
      </c>
      <c r="AV459" s="252"/>
      <c r="AW459" s="408">
        <v>40</v>
      </c>
      <c r="AX459" s="408"/>
      <c r="AY459" s="255">
        <v>99999</v>
      </c>
      <c r="AZ459" s="255">
        <v>99999</v>
      </c>
      <c r="BA459" s="255">
        <v>99999</v>
      </c>
      <c r="BB459" s="255">
        <v>99999</v>
      </c>
      <c r="BC459" s="250">
        <v>99999</v>
      </c>
    </row>
    <row r="460" spans="1:55" ht="15" customHeight="1" x14ac:dyDescent="0.3">
      <c r="A460" s="409"/>
      <c r="B460" s="409"/>
      <c r="C460" s="256" t="s">
        <v>219</v>
      </c>
      <c r="D460" s="257" t="s">
        <v>219</v>
      </c>
      <c r="E460" s="257" t="s">
        <v>219</v>
      </c>
      <c r="F460" s="257" t="s">
        <v>219</v>
      </c>
      <c r="G460" s="258" t="s">
        <v>219</v>
      </c>
      <c r="H460" s="2"/>
      <c r="I460" s="409"/>
      <c r="J460" s="409"/>
      <c r="K460" s="256" t="s">
        <v>219</v>
      </c>
      <c r="L460" s="257" t="s">
        <v>219</v>
      </c>
      <c r="M460" s="257" t="s">
        <v>219</v>
      </c>
      <c r="N460" s="257" t="s">
        <v>219</v>
      </c>
      <c r="O460" s="258" t="s">
        <v>219</v>
      </c>
      <c r="P460" s="42"/>
      <c r="Q460" s="409"/>
      <c r="R460" s="409"/>
      <c r="S460" s="256" t="s">
        <v>219</v>
      </c>
      <c r="T460" s="257" t="s">
        <v>219</v>
      </c>
      <c r="U460" s="257" t="s">
        <v>219</v>
      </c>
      <c r="V460" s="257" t="s">
        <v>219</v>
      </c>
      <c r="W460" s="258" t="s">
        <v>219</v>
      </c>
      <c r="X460" s="2"/>
      <c r="Y460" s="409"/>
      <c r="Z460" s="409"/>
      <c r="AA460" s="256" t="s">
        <v>219</v>
      </c>
      <c r="AB460" s="257" t="s">
        <v>219</v>
      </c>
      <c r="AC460" s="257" t="s">
        <v>219</v>
      </c>
      <c r="AD460" s="257" t="s">
        <v>219</v>
      </c>
      <c r="AE460" s="258" t="s">
        <v>219</v>
      </c>
      <c r="AF460" s="2"/>
      <c r="AG460" s="409"/>
      <c r="AH460" s="409"/>
      <c r="AI460" s="256" t="s">
        <v>219</v>
      </c>
      <c r="AJ460" s="257" t="s">
        <v>219</v>
      </c>
      <c r="AK460" s="257" t="s">
        <v>219</v>
      </c>
      <c r="AL460" s="257" t="s">
        <v>219</v>
      </c>
      <c r="AM460" s="258" t="s">
        <v>219</v>
      </c>
      <c r="AN460" s="2"/>
      <c r="AO460" s="409"/>
      <c r="AP460" s="409"/>
      <c r="AQ460" s="256" t="s">
        <v>219</v>
      </c>
      <c r="AR460" s="257" t="s">
        <v>219</v>
      </c>
      <c r="AS460" s="257" t="s">
        <v>219</v>
      </c>
      <c r="AT460" s="257" t="s">
        <v>219</v>
      </c>
      <c r="AU460" s="258" t="s">
        <v>219</v>
      </c>
      <c r="AV460" s="252"/>
      <c r="AW460" s="409"/>
      <c r="AX460" s="409"/>
      <c r="AY460" s="256" t="s">
        <v>219</v>
      </c>
      <c r="AZ460" s="257" t="s">
        <v>219</v>
      </c>
      <c r="BA460" s="257" t="s">
        <v>219</v>
      </c>
      <c r="BB460" s="257" t="s">
        <v>219</v>
      </c>
      <c r="BC460" s="258" t="s">
        <v>219</v>
      </c>
    </row>
    <row r="461" spans="1:55" ht="15.75" customHeight="1" x14ac:dyDescent="0.3"/>
    <row r="462" spans="1:55" ht="15" customHeight="1" x14ac:dyDescent="0.3">
      <c r="B462" s="139" t="s">
        <v>146</v>
      </c>
      <c r="C462" s="140">
        <f ca="1">$D$1</f>
        <v>770</v>
      </c>
      <c r="D462" s="355" t="s">
        <v>201</v>
      </c>
      <c r="E462" s="355"/>
      <c r="F462" s="137"/>
      <c r="G462" s="137"/>
      <c r="H462" s="2"/>
      <c r="I462" s="2"/>
      <c r="J462" s="139" t="s">
        <v>146</v>
      </c>
      <c r="K462" s="140">
        <f ca="1">$D$1</f>
        <v>770</v>
      </c>
      <c r="L462" s="355" t="s">
        <v>201</v>
      </c>
      <c r="M462" s="355"/>
      <c r="N462" s="137"/>
      <c r="O462" s="137"/>
      <c r="P462" s="137"/>
      <c r="Q462" s="2"/>
      <c r="R462" s="139" t="s">
        <v>146</v>
      </c>
      <c r="S462" s="140">
        <f ca="1">$D$1</f>
        <v>770</v>
      </c>
      <c r="T462" s="355" t="s">
        <v>201</v>
      </c>
      <c r="U462" s="355"/>
      <c r="V462" s="137"/>
      <c r="W462" s="137"/>
      <c r="X462" s="2"/>
      <c r="Y462" s="2"/>
      <c r="Z462" s="139" t="s">
        <v>146</v>
      </c>
      <c r="AA462" s="140">
        <f ca="1">$D$1</f>
        <v>770</v>
      </c>
      <c r="AB462" s="355" t="s">
        <v>201</v>
      </c>
      <c r="AC462" s="355"/>
      <c r="AD462" s="137"/>
      <c r="AE462" s="137"/>
      <c r="AF462" s="2"/>
      <c r="AG462" s="2"/>
      <c r="AH462" s="139" t="s">
        <v>146</v>
      </c>
      <c r="AI462" s="140">
        <f ca="1">$D$1</f>
        <v>770</v>
      </c>
      <c r="AJ462" s="355" t="s">
        <v>201</v>
      </c>
      <c r="AK462" s="355"/>
      <c r="AL462" s="137"/>
      <c r="AM462" s="137"/>
      <c r="AN462" s="2"/>
      <c r="AO462" s="2"/>
      <c r="AP462" s="139" t="s">
        <v>146</v>
      </c>
      <c r="AQ462" s="140">
        <f ca="1">$D$1</f>
        <v>770</v>
      </c>
      <c r="AR462" s="355" t="s">
        <v>201</v>
      </c>
      <c r="AS462" s="355"/>
      <c r="AT462" s="137"/>
      <c r="AU462" s="137"/>
      <c r="AV462" s="137"/>
      <c r="AW462" s="2"/>
      <c r="AX462" s="139" t="s">
        <v>146</v>
      </c>
      <c r="AY462" s="140">
        <f ca="1">$D$1</f>
        <v>770</v>
      </c>
      <c r="AZ462" s="355" t="s">
        <v>201</v>
      </c>
      <c r="BA462" s="355"/>
    </row>
    <row r="463" spans="1:55" ht="15" customHeight="1" x14ac:dyDescent="0.3">
      <c r="B463" s="16" t="s">
        <v>202</v>
      </c>
      <c r="C463" s="141">
        <f t="array" aca="1" ref="C463" ca="1">INDEX(C445:G445,MATCH(C462,C445:G445,1))</f>
        <v>0</v>
      </c>
      <c r="D463" s="16" t="s">
        <v>144</v>
      </c>
      <c r="E463" s="17">
        <f>MATCH(MAX(A446:A460),A446:A460,0)</f>
        <v>14</v>
      </c>
      <c r="F463" s="17"/>
      <c r="H463" s="2"/>
      <c r="I463" s="2"/>
      <c r="J463" s="16" t="s">
        <v>202</v>
      </c>
      <c r="K463" s="141">
        <f t="array" aca="1" ref="K463" ca="1">INDEX(K445:O445,MATCH(K462,K445:O445,1))</f>
        <v>0</v>
      </c>
      <c r="L463" s="16" t="s">
        <v>144</v>
      </c>
      <c r="M463" s="17">
        <f>MATCH(MAX(I446:I460),I446:I460,0)</f>
        <v>14</v>
      </c>
      <c r="N463" s="17"/>
      <c r="O463" s="17"/>
      <c r="P463" s="17"/>
      <c r="Q463" s="2"/>
      <c r="R463" s="16" t="s">
        <v>202</v>
      </c>
      <c r="S463" s="141">
        <f t="array" aca="1" ref="S463" ca="1">INDEX(S445:W445,MATCH(S462,S445:W445,1))</f>
        <v>0</v>
      </c>
      <c r="T463" s="16" t="s">
        <v>144</v>
      </c>
      <c r="U463" s="17">
        <f>MATCH(MAX(Q446:Q460),Q446:Q460,0)</f>
        <v>14</v>
      </c>
      <c r="V463" s="17"/>
      <c r="W463" s="17"/>
      <c r="X463" s="2"/>
      <c r="Y463" s="2"/>
      <c r="Z463" s="16" t="s">
        <v>202</v>
      </c>
      <c r="AA463" s="141">
        <f t="array" aca="1" ref="AA463" ca="1">INDEX(AA445:AE445,MATCH(AA462,AA445:AE445,1))</f>
        <v>0</v>
      </c>
      <c r="AB463" s="16" t="s">
        <v>144</v>
      </c>
      <c r="AC463" s="17">
        <f>MATCH(MAX(Y446:Y460),Y446:Y460,0)</f>
        <v>14</v>
      </c>
      <c r="AD463" s="17"/>
      <c r="AE463" s="17"/>
      <c r="AF463" s="2"/>
      <c r="AG463" s="2"/>
      <c r="AH463" s="16" t="s">
        <v>202</v>
      </c>
      <c r="AI463" s="141">
        <f t="array" aca="1" ref="AI463" ca="1">INDEX(AI445:AM445,MATCH(AI462,AI445:AM445,1))</f>
        <v>0</v>
      </c>
      <c r="AJ463" s="16" t="s">
        <v>144</v>
      </c>
      <c r="AK463" s="17">
        <f>MATCH(MAX(AG446:AG460),AG446:AG460,0)</f>
        <v>14</v>
      </c>
      <c r="AL463" s="17"/>
      <c r="AM463" s="17"/>
      <c r="AN463" s="2"/>
      <c r="AO463" s="2"/>
      <c r="AP463" s="16" t="s">
        <v>202</v>
      </c>
      <c r="AQ463" s="141">
        <f t="array" aca="1" ref="AQ463" ca="1">INDEX(AQ445:AU445,MATCH(AQ462,AQ445:AU445,1))</f>
        <v>0</v>
      </c>
      <c r="AR463" s="16" t="s">
        <v>144</v>
      </c>
      <c r="AS463" s="17">
        <f>MATCH(MAX(AO446:AO460),AO446:AO460,0)</f>
        <v>14</v>
      </c>
      <c r="AT463" s="17"/>
      <c r="AU463" s="17"/>
      <c r="AV463" s="17"/>
      <c r="AW463" s="2"/>
      <c r="AX463" s="16" t="s">
        <v>202</v>
      </c>
      <c r="AY463" s="141">
        <f t="array" aca="1" ref="AY463" ca="1">INDEX(AY445:BC445,MATCH(AY462,AY445:BC445,1))</f>
        <v>0</v>
      </c>
      <c r="AZ463" s="16" t="s">
        <v>144</v>
      </c>
      <c r="BA463" s="17">
        <f>MATCH(MAX(AW446:AW460),AW446:AW460,0)</f>
        <v>14</v>
      </c>
    </row>
    <row r="464" spans="1:55" ht="15" customHeight="1" x14ac:dyDescent="0.3">
      <c r="B464" s="16" t="s">
        <v>203</v>
      </c>
      <c r="C464" s="141">
        <f t="array" aca="1" ref="C464" ca="1">INDEX(C445:G445,IF(MATCH(C462,C445:G445,1)&lt;E464,MATCH(C462,C445:G445,1)+1,MATCH(C462,C445:G445,1)))</f>
        <v>1000</v>
      </c>
      <c r="D464" s="16" t="s">
        <v>145</v>
      </c>
      <c r="E464" s="17">
        <f>MATCH(MAX(C445:G445),C445:G445,0)</f>
        <v>5</v>
      </c>
      <c r="F464" s="17"/>
      <c r="H464" s="2"/>
      <c r="I464" s="2"/>
      <c r="J464" s="16" t="s">
        <v>203</v>
      </c>
      <c r="K464" s="141">
        <f t="array" aca="1" ref="K464" ca="1">INDEX(K445:O445,IF(MATCH(K462,K445:O445,1)&lt;M464,MATCH(K462,K445:O445,1)+1,MATCH(K462,K445:O445,1)))</f>
        <v>1000</v>
      </c>
      <c r="L464" s="16" t="s">
        <v>145</v>
      </c>
      <c r="M464" s="17">
        <f>MATCH(MAX(K445:O445),K445:O445,0)</f>
        <v>5</v>
      </c>
      <c r="N464" s="17"/>
      <c r="O464" s="17"/>
      <c r="P464" s="17"/>
      <c r="Q464" s="2"/>
      <c r="R464" s="16" t="s">
        <v>203</v>
      </c>
      <c r="S464" s="141">
        <f t="array" aca="1" ref="S464" ca="1">INDEX(S445:W445,IF(MATCH(S462,S445:W445,1)&lt;U464,MATCH(S462,S445:W445,1)+1,MATCH(S462,S445:W445,1)))</f>
        <v>1000</v>
      </c>
      <c r="T464" s="16" t="s">
        <v>145</v>
      </c>
      <c r="U464" s="17">
        <f>MATCH(MAX(S445:W445),S445:W445,0)</f>
        <v>5</v>
      </c>
      <c r="V464" s="17"/>
      <c r="W464" s="17"/>
      <c r="X464" s="2"/>
      <c r="Y464" s="2"/>
      <c r="Z464" s="16" t="s">
        <v>203</v>
      </c>
      <c r="AA464" s="141">
        <f t="array" aca="1" ref="AA464" ca="1">INDEX(AA445:AE445,IF(MATCH(AA462,AA445:AE445,1)&lt;AC464,MATCH(AA462,AA445:AE445,1)+1,MATCH(AA462,AA445:AE445,1)))</f>
        <v>1000</v>
      </c>
      <c r="AB464" s="16" t="s">
        <v>145</v>
      </c>
      <c r="AC464" s="17">
        <f>MATCH(MAX(AA445:AE445),AA445:AE445,0)</f>
        <v>5</v>
      </c>
      <c r="AD464" s="17"/>
      <c r="AE464" s="17"/>
      <c r="AF464" s="2"/>
      <c r="AG464" s="2"/>
      <c r="AH464" s="16" t="s">
        <v>203</v>
      </c>
      <c r="AI464" s="141">
        <f t="array" aca="1" ref="AI464" ca="1">INDEX(AI445:AM445,IF(MATCH(AI462,AI445:AM445,1)&lt;AK464,MATCH(AI462,AI445:AM445,1)+1,MATCH(AI462,AI445:AM445,1)))</f>
        <v>1000</v>
      </c>
      <c r="AJ464" s="16" t="s">
        <v>145</v>
      </c>
      <c r="AK464" s="17">
        <f>MATCH(MAX(AI445:AM445),AI445:AM445,0)</f>
        <v>5</v>
      </c>
      <c r="AL464" s="17"/>
      <c r="AM464" s="17"/>
      <c r="AN464" s="2"/>
      <c r="AO464" s="2"/>
      <c r="AP464" s="16" t="s">
        <v>203</v>
      </c>
      <c r="AQ464" s="141">
        <f t="array" aca="1" ref="AQ464" ca="1">INDEX(AQ445:AU445,IF(MATCH(AQ462,AQ445:AU445,1)&lt;AS464,MATCH(AQ462,AQ445:AU445,1)+1,MATCH(AQ462,AQ445:AU445,1)))</f>
        <v>1000</v>
      </c>
      <c r="AR464" s="16" t="s">
        <v>145</v>
      </c>
      <c r="AS464" s="17">
        <f>MATCH(MAX(AQ445:AU445),AQ445:AU445,0)</f>
        <v>5</v>
      </c>
      <c r="AT464" s="17"/>
      <c r="AU464" s="17"/>
      <c r="AV464" s="17"/>
      <c r="AW464" s="2"/>
      <c r="AX464" s="16" t="s">
        <v>203</v>
      </c>
      <c r="AY464" s="141">
        <f t="array" aca="1" ref="AY464" ca="1">INDEX(AY445:BC445,IF(MATCH(AY462,AY445:BC445,1)&lt;BA464,MATCH(AY462,AY445:BC445,1)+1,MATCH(AY462,AY445:BC445,1)))</f>
        <v>1000</v>
      </c>
      <c r="AZ464" s="16" t="s">
        <v>145</v>
      </c>
      <c r="BA464" s="17">
        <f>MATCH(MAX(AY445:BC445),AY445:BC445,0)</f>
        <v>5</v>
      </c>
    </row>
    <row r="465" spans="2:53" ht="15" customHeight="1" x14ac:dyDescent="0.3">
      <c r="B465" s="139" t="s">
        <v>147</v>
      </c>
      <c r="C465" s="140">
        <f ca="1">$D$2</f>
        <v>15</v>
      </c>
      <c r="D465" s="2"/>
      <c r="E465" s="2"/>
      <c r="F465" s="2"/>
      <c r="G465" s="17"/>
      <c r="H465" s="2"/>
      <c r="I465" s="2"/>
      <c r="J465" s="139" t="s">
        <v>147</v>
      </c>
      <c r="K465" s="140">
        <f ca="1">$D$2</f>
        <v>15</v>
      </c>
      <c r="L465" s="2"/>
      <c r="M465" s="2"/>
      <c r="N465" s="2"/>
      <c r="O465" s="17"/>
      <c r="P465" s="17"/>
      <c r="Q465" s="2"/>
      <c r="R465" s="139" t="s">
        <v>147</v>
      </c>
      <c r="S465" s="140">
        <f ca="1">$D$2</f>
        <v>15</v>
      </c>
      <c r="T465" s="2"/>
      <c r="U465" s="2"/>
      <c r="V465" s="2"/>
      <c r="W465" s="17"/>
      <c r="X465" s="2"/>
      <c r="Y465" s="2"/>
      <c r="Z465" s="139" t="s">
        <v>147</v>
      </c>
      <c r="AA465" s="140">
        <f ca="1">$D$2</f>
        <v>15</v>
      </c>
      <c r="AB465" s="2"/>
      <c r="AC465" s="2"/>
      <c r="AD465" s="2"/>
      <c r="AE465" s="17"/>
      <c r="AF465" s="2"/>
      <c r="AG465" s="2"/>
      <c r="AH465" s="139" t="s">
        <v>147</v>
      </c>
      <c r="AI465" s="140">
        <f ca="1">$D$2</f>
        <v>15</v>
      </c>
      <c r="AJ465" s="2"/>
      <c r="AK465" s="2"/>
      <c r="AL465" s="2"/>
      <c r="AM465" s="17"/>
      <c r="AN465" s="2"/>
      <c r="AO465" s="2"/>
      <c r="AP465" s="139" t="s">
        <v>147</v>
      </c>
      <c r="AQ465" s="140">
        <f ca="1">$D$2</f>
        <v>15</v>
      </c>
      <c r="AR465" s="2"/>
      <c r="AS465" s="2"/>
      <c r="AT465" s="2"/>
      <c r="AU465" s="17"/>
      <c r="AV465" s="17"/>
      <c r="AW465" s="2"/>
      <c r="AX465" s="139" t="s">
        <v>147</v>
      </c>
      <c r="AY465" s="140">
        <f ca="1">$D$2</f>
        <v>15</v>
      </c>
      <c r="AZ465" s="2"/>
      <c r="BA465" s="2"/>
    </row>
    <row r="466" spans="2:53" ht="15" customHeight="1" x14ac:dyDescent="0.3">
      <c r="B466" s="16" t="s">
        <v>148</v>
      </c>
      <c r="C466" s="141">
        <f t="array" aca="1" ref="C466" ca="1">INDEX(A446:A460,MATCH(C465,A446:A460,1))</f>
        <v>15</v>
      </c>
      <c r="D466" s="2"/>
      <c r="E466" s="2"/>
      <c r="F466" s="42"/>
      <c r="G466" s="2"/>
      <c r="H466" s="2"/>
      <c r="I466" s="2"/>
      <c r="J466" s="16" t="s">
        <v>148</v>
      </c>
      <c r="K466" s="141">
        <f t="array" aca="1" ref="K466" ca="1">INDEX(I446:I460,MATCH(K465,I446:I460,1))</f>
        <v>15</v>
      </c>
      <c r="L466" s="2"/>
      <c r="M466" s="2"/>
      <c r="N466" s="2"/>
      <c r="O466" s="2"/>
      <c r="P466" s="2"/>
      <c r="Q466" s="2"/>
      <c r="R466" s="16" t="s">
        <v>148</v>
      </c>
      <c r="S466" s="141">
        <f t="array" aca="1" ref="S466" ca="1">INDEX(Q446:Q460,MATCH(S465,Q446:Q460,1))</f>
        <v>15</v>
      </c>
      <c r="T466" s="2"/>
      <c r="U466" s="2"/>
      <c r="V466" s="2"/>
      <c r="W466" s="2"/>
      <c r="X466" s="2"/>
      <c r="Y466" s="2"/>
      <c r="Z466" s="16" t="s">
        <v>148</v>
      </c>
      <c r="AA466" s="141">
        <f t="array" aca="1" ref="AA466" ca="1">INDEX(Y446:Y460,MATCH(AA465,Y446:Y460,1))</f>
        <v>15</v>
      </c>
      <c r="AB466" s="2"/>
      <c r="AC466" s="2"/>
      <c r="AD466" s="2"/>
      <c r="AE466" s="2"/>
      <c r="AF466" s="2"/>
      <c r="AG466" s="2"/>
      <c r="AH466" s="16" t="s">
        <v>148</v>
      </c>
      <c r="AI466" s="141">
        <f t="array" aca="1" ref="AI466" ca="1">INDEX(AG446:AG460,MATCH(AI465,AG446:AG460,1))</f>
        <v>15</v>
      </c>
      <c r="AJ466" s="2"/>
      <c r="AK466" s="2"/>
      <c r="AL466" s="2"/>
      <c r="AM466" s="2"/>
      <c r="AN466" s="2"/>
      <c r="AO466" s="2"/>
      <c r="AP466" s="16" t="s">
        <v>148</v>
      </c>
      <c r="AQ466" s="141">
        <f t="array" aca="1" ref="AQ466" ca="1">INDEX(AO446:AO460,MATCH(AQ465,AO446:AO460,1))</f>
        <v>15</v>
      </c>
      <c r="AR466" s="2"/>
      <c r="AS466" s="2"/>
      <c r="AT466" s="2"/>
      <c r="AU466" s="2"/>
      <c r="AV466" s="2"/>
      <c r="AW466" s="2"/>
      <c r="AX466" s="16" t="s">
        <v>148</v>
      </c>
      <c r="AY466" s="141">
        <f t="array" aca="1" ref="AY466" ca="1">INDEX(AW446:AW460,MATCH(AY465,AW446:AW460,1))</f>
        <v>10</v>
      </c>
      <c r="AZ466" s="2"/>
      <c r="BA466" s="2"/>
    </row>
    <row r="467" spans="2:53" ht="15" customHeight="1" x14ac:dyDescent="0.3">
      <c r="B467" s="16" t="s">
        <v>149</v>
      </c>
      <c r="C467" s="141">
        <f t="array" aca="1" ref="C467" ca="1">INDEX(A446:A460,IF(MATCH(C465,A446:A460,1)&lt;E463,MATCH(C465,A446:A460,1)+1,MATCH(C465,A446:A460,1)))</f>
        <v>20</v>
      </c>
      <c r="D467" s="2"/>
      <c r="E467" s="42"/>
      <c r="F467" s="42"/>
      <c r="G467" s="2"/>
      <c r="H467" s="2"/>
      <c r="I467" s="2"/>
      <c r="J467" s="16" t="s">
        <v>149</v>
      </c>
      <c r="K467" s="141">
        <f t="array" aca="1" ref="K467" ca="1">INDEX(I446:I460,IF(MATCH(K465,I446:I460,1)&lt;M463,MATCH(K465,I446:I460,1)+1,MATCH(K465,I446:I460,1)))</f>
        <v>20</v>
      </c>
      <c r="L467" s="2"/>
      <c r="M467" s="2"/>
      <c r="N467" s="2"/>
      <c r="O467" s="2"/>
      <c r="P467" s="2"/>
      <c r="Q467" s="2"/>
      <c r="R467" s="16" t="s">
        <v>149</v>
      </c>
      <c r="S467" s="141">
        <f t="array" aca="1" ref="S467" ca="1">INDEX(Q446:Q460,IF(MATCH(S465,Q446:Q460,1)&lt;U463,MATCH(S465,Q446:Q460,1)+1,MATCH(S465,Q446:Q460,1)))</f>
        <v>20</v>
      </c>
      <c r="T467" s="2"/>
      <c r="U467" s="2"/>
      <c r="V467" s="2"/>
      <c r="W467" s="2"/>
      <c r="X467" s="2"/>
      <c r="Y467" s="2"/>
      <c r="Z467" s="16" t="s">
        <v>149</v>
      </c>
      <c r="AA467" s="141">
        <f t="array" aca="1" ref="AA467" ca="1">INDEX(Y446:Y460,IF(MATCH(AA465,Y446:Y460,1)&lt;AC463,MATCH(AA465,Y446:Y460,1)+1,MATCH(AA465,Y446:Y460,1)))</f>
        <v>20</v>
      </c>
      <c r="AB467" s="2"/>
      <c r="AC467" s="2"/>
      <c r="AD467" s="2"/>
      <c r="AE467" s="2"/>
      <c r="AF467" s="2"/>
      <c r="AG467" s="2"/>
      <c r="AH467" s="16" t="s">
        <v>149</v>
      </c>
      <c r="AI467" s="141">
        <f t="array" aca="1" ref="AI467" ca="1">INDEX(AG446:AG460,IF(MATCH(AI465,AG446:AG460,1)&lt;AK463,MATCH(AI465,AG446:AG460,1)+1,MATCH(AI465,AG446:AG460,1)))</f>
        <v>20</v>
      </c>
      <c r="AJ467" s="2"/>
      <c r="AK467" s="2"/>
      <c r="AL467" s="2"/>
      <c r="AM467" s="2"/>
      <c r="AN467" s="2"/>
      <c r="AO467" s="2"/>
      <c r="AP467" s="16" t="s">
        <v>149</v>
      </c>
      <c r="AQ467" s="141">
        <f t="array" aca="1" ref="AQ467" ca="1">INDEX(AO446:AO460,IF(MATCH(AQ465,AO446:AO460,1)&lt;AS463,MATCH(AQ465,AO446:AO460,1)+1,MATCH(AQ465,AO446:AO460,1)))</f>
        <v>20</v>
      </c>
      <c r="AR467" s="2"/>
      <c r="AS467" s="2"/>
      <c r="AT467" s="2"/>
      <c r="AU467" s="2"/>
      <c r="AV467" s="2"/>
      <c r="AW467" s="2"/>
      <c r="AX467" s="16" t="s">
        <v>149</v>
      </c>
      <c r="AY467" s="141">
        <f ca="1">INDEX(AW446:AW460,IF(MATCH(AY465,AW446:AW460,1)&lt;BA463,MATCH(AY465,AW446:AW460,1)+1,MATCH(AY465,AW446:AW460,1)))</f>
        <v>0</v>
      </c>
      <c r="AZ467" s="2"/>
      <c r="BA467" s="2"/>
    </row>
    <row r="468" spans="2:53" ht="15" customHeight="1" x14ac:dyDescent="0.3">
      <c r="B468" s="139" t="s">
        <v>150</v>
      </c>
      <c r="C468" s="140">
        <f t="array" aca="1" ref="C468" ca="1">INDEX(C446:G460,MATCH(C465,A446:A460,1),MATCH(C462,C445:G445,1))</f>
        <v>9999</v>
      </c>
      <c r="D468" s="2"/>
      <c r="E468" s="42"/>
      <c r="F468" s="42"/>
      <c r="G468" s="2"/>
      <c r="H468" s="2"/>
      <c r="I468" s="2"/>
      <c r="J468" s="139" t="s">
        <v>150</v>
      </c>
      <c r="K468" s="140">
        <f t="array" aca="1" ref="K468" ca="1">INDEX(K446:O460,MATCH(K465,I446:I460,1),MATCH(K462,K445:O445,1))</f>
        <v>9999</v>
      </c>
      <c r="L468" s="2"/>
      <c r="M468" s="2"/>
      <c r="N468" s="2"/>
      <c r="O468" s="2"/>
      <c r="P468" s="2"/>
      <c r="Q468" s="2"/>
      <c r="R468" s="139" t="s">
        <v>150</v>
      </c>
      <c r="S468" s="140">
        <f t="array" aca="1" ref="S468" ca="1">INDEX(S446:W460,MATCH(S465,Q446:Q460,1),MATCH(S462,S445:W445,1))</f>
        <v>9999</v>
      </c>
      <c r="T468" s="2"/>
      <c r="U468" s="2"/>
      <c r="V468" s="2"/>
      <c r="W468" s="2"/>
      <c r="X468" s="2"/>
      <c r="Y468" s="2"/>
      <c r="Z468" s="139" t="s">
        <v>150</v>
      </c>
      <c r="AA468" s="140">
        <f t="array" aca="1" ref="AA468" ca="1">INDEX(AA446:AE460,MATCH(AA465,Y446:Y460,1),MATCH(AA462,AA445:AE445,1))</f>
        <v>9999</v>
      </c>
      <c r="AB468" s="2"/>
      <c r="AC468" s="2"/>
      <c r="AD468" s="2"/>
      <c r="AE468" s="2"/>
      <c r="AF468" s="2"/>
      <c r="AG468" s="2"/>
      <c r="AH468" s="139" t="s">
        <v>150</v>
      </c>
      <c r="AI468" s="140">
        <f t="array" aca="1" ref="AI468" ca="1">INDEX(AI446:AM460,MATCH(AI465,AG446:AG460,1),MATCH(AI462,AI445:AM445,1))</f>
        <v>9999</v>
      </c>
      <c r="AJ468" s="2"/>
      <c r="AK468" s="2"/>
      <c r="AL468" s="2"/>
      <c r="AM468" s="2"/>
      <c r="AN468" s="2"/>
      <c r="AO468" s="2"/>
      <c r="AP468" s="139" t="s">
        <v>150</v>
      </c>
      <c r="AQ468" s="140">
        <f t="array" aca="1" ref="AQ468" ca="1">INDEX(AQ446:AU460,MATCH(AQ465,AO446:AO460,1),MATCH(AQ462,AQ445:AU445,1))</f>
        <v>9999</v>
      </c>
      <c r="AR468" s="2"/>
      <c r="AS468" s="2"/>
      <c r="AT468" s="2"/>
      <c r="AU468" s="2"/>
      <c r="AV468" s="2"/>
      <c r="AW468" s="2"/>
      <c r="AX468" s="139" t="s">
        <v>150</v>
      </c>
      <c r="AY468" s="140">
        <f ca="1">INDEX(AY446:BC460,MATCH(AY465,AW446:AW460,1),MATCH(AY462,AY445:BC445,1))</f>
        <v>0</v>
      </c>
      <c r="AZ468" s="2"/>
      <c r="BA468" s="2"/>
    </row>
    <row r="469" spans="2:53" ht="15" customHeight="1" x14ac:dyDescent="0.3">
      <c r="B469" s="139" t="s">
        <v>204</v>
      </c>
      <c r="C469" s="140">
        <f t="array" aca="1" ref="C469" ca="1">INDEX(C446:G460,MATCH(C465,A446:A460,1),IF(MATCH(C462,C445:G445,1)&lt;E464,MATCH(C462,C445:G445,1)+1,MATCH(C465,A446:A460,1)))</f>
        <v>9999</v>
      </c>
      <c r="E469" s="42"/>
      <c r="F469" s="42"/>
      <c r="G469" s="2"/>
      <c r="H469" s="2"/>
      <c r="I469" s="2"/>
      <c r="J469" s="139" t="s">
        <v>204</v>
      </c>
      <c r="K469" s="140">
        <f t="array" aca="1" ref="K469" ca="1">INDEX(K446:O460,MATCH(K465,I446:I460,1),IF(MATCH(K462,K445:O445,1)&lt;M464,MATCH(K462,K445:O445,1)+1,MATCH(K465,I446:I460,1)))</f>
        <v>9999</v>
      </c>
      <c r="O469" s="2"/>
      <c r="P469" s="2"/>
      <c r="Q469" s="2"/>
      <c r="R469" s="139" t="s">
        <v>204</v>
      </c>
      <c r="S469" s="140">
        <f t="array" aca="1" ref="S469" ca="1">INDEX(S446:W460,MATCH(S465,Q446:Q460,1),IF(MATCH(S462,S445:W445,1)&lt;U464,MATCH(S462,S445:W445,1)+1,MATCH(S465,Q446:Q460,1)))</f>
        <v>9999</v>
      </c>
      <c r="W469" s="2"/>
      <c r="X469" s="2"/>
      <c r="Y469" s="2"/>
      <c r="Z469" s="139" t="s">
        <v>204</v>
      </c>
      <c r="AA469" s="140">
        <f t="array" aca="1" ref="AA469" ca="1">INDEX(AA446:AE460,MATCH(AA465,Y446:Y460,1),IF(MATCH(AA462,AA445:AE445,1)&lt;AC464,MATCH(AA462,AA445:AE445,1)+1,MATCH(AA465,Y446:Y460,1)))</f>
        <v>9999</v>
      </c>
      <c r="AE469" s="2"/>
      <c r="AF469" s="2"/>
      <c r="AG469" s="2"/>
      <c r="AH469" s="139" t="s">
        <v>204</v>
      </c>
      <c r="AI469" s="140">
        <f t="array" aca="1" ref="AI469" ca="1">INDEX(AI446:AM460,MATCH(AI465,AG446:AG460,1),IF(MATCH(AI462,AI445:AM445,1)&lt;AK464,MATCH(AI462,AI445:AM445,1)+1,MATCH(AI465,AG446:AG460,1)))</f>
        <v>9999</v>
      </c>
      <c r="AM469" s="2"/>
      <c r="AN469" s="2"/>
      <c r="AO469" s="2"/>
      <c r="AP469" s="139" t="s">
        <v>204</v>
      </c>
      <c r="AQ469" s="140">
        <f t="array" aca="1" ref="AQ469" ca="1">INDEX(AQ446:AU460,MATCH(AQ465,AO446:AO460,1),IF(MATCH(AQ462,AQ445:AU445,1)&lt;AS464,MATCH(AQ462,AQ445:AU445,1)+1,MATCH(AQ465,AO446:AO460,1)))</f>
        <v>9999</v>
      </c>
      <c r="AU469" s="2"/>
      <c r="AV469" s="2"/>
      <c r="AW469" s="2"/>
      <c r="AX469" s="139" t="s">
        <v>204</v>
      </c>
      <c r="AY469" s="140">
        <f ca="1">INDEX(AY446:BC460,MATCH(AY465,AW446:AW460,1),IF(MATCH(AY462,AY445:BC445,1)&lt;BA464,MATCH(AY462,AY445:BC445,1)+1,MATCH(AY465,AW446:AW460,1)))</f>
        <v>0</v>
      </c>
    </row>
    <row r="470" spans="2:53" ht="15" customHeight="1" x14ac:dyDescent="0.3">
      <c r="B470" s="139" t="s">
        <v>151</v>
      </c>
      <c r="C470" s="140">
        <f t="array" aca="1" ref="C470" ca="1">INDEX(C446:G460,IF(MATCH(C465,A446:A460,1)&lt;E463,MATCH(C465,A446:A460,1)+1,MATCH(C465,A446:A460,1)),MATCH(C462,C445:G445,1))</f>
        <v>9999</v>
      </c>
      <c r="E470" s="42"/>
      <c r="F470" s="42"/>
      <c r="G470" s="2"/>
      <c r="H470" s="2"/>
      <c r="I470" s="2"/>
      <c r="J470" s="139" t="s">
        <v>151</v>
      </c>
      <c r="K470" s="140">
        <f t="array" aca="1" ref="K470" ca="1">INDEX(K446:O460,IF(MATCH(K465,I446:I460,1)&lt;M463,MATCH(K465,I446:I460,1)+1,MATCH(K465,I446:I460,1)),MATCH(K462,K445:O445,1))</f>
        <v>9999</v>
      </c>
      <c r="O470" s="2"/>
      <c r="P470" s="2"/>
      <c r="Q470" s="2"/>
      <c r="R470" s="139" t="s">
        <v>151</v>
      </c>
      <c r="S470" s="140">
        <f t="array" aca="1" ref="S470" ca="1">INDEX(S446:W460,IF(MATCH(S465,Q446:Q460,1)&lt;U463,MATCH(S465,Q446:Q460,1)+1,MATCH(S465,Q446:Q460,1)),MATCH(S462,S445:W445,1))</f>
        <v>9999</v>
      </c>
      <c r="W470" s="2"/>
      <c r="X470" s="2"/>
      <c r="Y470" s="2"/>
      <c r="Z470" s="139" t="s">
        <v>151</v>
      </c>
      <c r="AA470" s="140">
        <f t="array" aca="1" ref="AA470" ca="1">INDEX(AA446:AE460,IF(MATCH(AA465,Y446:Y460,1)&lt;AC463,MATCH(AA465,Y446:Y460,1)+1,MATCH(AA465,Y446:Y460,1)),MATCH(AA462,AA445:AE445,1))</f>
        <v>9999</v>
      </c>
      <c r="AE470" s="2"/>
      <c r="AF470" s="2"/>
      <c r="AG470" s="2"/>
      <c r="AH470" s="139" t="s">
        <v>151</v>
      </c>
      <c r="AI470" s="140">
        <f t="array" aca="1" ref="AI470" ca="1">INDEX(AI446:AM460,IF(MATCH(AI465,AG446:AG460,1)&lt;AK463,MATCH(AI465,AG446:AG460,1)+1,MATCH(AI465,AG446:AG460,1)),MATCH(AI462,AI445:AM445,1))</f>
        <v>9999</v>
      </c>
      <c r="AM470" s="2"/>
      <c r="AN470" s="2"/>
      <c r="AO470" s="2"/>
      <c r="AP470" s="139" t="s">
        <v>151</v>
      </c>
      <c r="AQ470" s="140">
        <f t="array" aca="1" ref="AQ470" ca="1">INDEX(AQ446:AU460,IF(MATCH(AQ465,AO446:AO460,1)&lt;AS463,MATCH(AQ465,AO446:AO460,1)+1,MATCH(AQ465,AO446:AO460,1)),MATCH(AQ462,AQ445:AU445,1))</f>
        <v>9999</v>
      </c>
      <c r="AU470" s="2"/>
      <c r="AV470" s="2"/>
      <c r="AW470" s="2"/>
      <c r="AX470" s="139" t="s">
        <v>151</v>
      </c>
      <c r="AY470" s="140">
        <f ca="1">INDEX(AY446:BC460,IF(MATCH(AY465,AW446:AW460,1)&lt;BA463,MATCH(AY465,AW446:AW460,1)+1,MATCH(AY465,AW446:AW460,1)),MATCH(AY462,AY445:BC445,1))</f>
        <v>0</v>
      </c>
    </row>
    <row r="471" spans="2:53" ht="15" customHeight="1" x14ac:dyDescent="0.3">
      <c r="B471" s="139" t="s">
        <v>205</v>
      </c>
      <c r="C471" s="140">
        <f t="array" aca="1" ref="C471" ca="1">INDEX(C446:G460,IF(MATCH(C465,A446:A460,1)&lt;E463,MATCH(C465,A446:A460,1)+1,MATCH(C465,A446:A460,1)),IF(MATCH(C462,C445:G445,1)&lt;E464,MATCH(C462,C445:G445,1)+1,MATCH(C462,C445:G445,1)))</f>
        <v>9999</v>
      </c>
      <c r="G471" s="2"/>
      <c r="H471" s="2"/>
      <c r="I471" s="2"/>
      <c r="J471" s="139" t="s">
        <v>205</v>
      </c>
      <c r="K471" s="140">
        <f t="array" aca="1" ref="K471" ca="1">INDEX(K446:O460,IF(MATCH(K465,I446:I460,1)&lt;M463,MATCH(K465,I446:I460,1)+1,MATCH(K465,I446:I460,1)),IF(MATCH(K462,K445:O445,1)&lt;M464,MATCH(K462,K445:O445,1)+1,MATCH(K462,K445:O445,1)))</f>
        <v>9999</v>
      </c>
      <c r="O471" s="2"/>
      <c r="P471" s="2"/>
      <c r="Q471" s="2"/>
      <c r="R471" s="139" t="s">
        <v>205</v>
      </c>
      <c r="S471" s="140">
        <f t="array" aca="1" ref="S471" ca="1">INDEX(S446:W460,IF(MATCH(S465,Q446:Q460,1)&lt;U463,MATCH(S465,Q446:Q460,1)+1,MATCH(S465,Q446:Q460,1)),IF(MATCH(S462,S445:W445,1)&lt;U464,MATCH(S462,S445:W445,1)+1,MATCH(S462,S445:W445,1)))</f>
        <v>9999</v>
      </c>
      <c r="W471" s="2"/>
      <c r="X471" s="2"/>
      <c r="Y471" s="2"/>
      <c r="Z471" s="139" t="s">
        <v>205</v>
      </c>
      <c r="AA471" s="140">
        <f t="array" aca="1" ref="AA471" ca="1">INDEX(AA446:AE460,IF(MATCH(AA465,Y446:Y460,1)&lt;AC463,MATCH(AA465,Y446:Y460,1)+1,MATCH(AA465,Y446:Y460,1)),IF(MATCH(AA462,AA445:AE445,1)&lt;AC464,MATCH(AA462,AA445:AE445,1)+1,MATCH(AA462,AA445:AE445,1)))</f>
        <v>9999</v>
      </c>
      <c r="AE471" s="2"/>
      <c r="AF471" s="2"/>
      <c r="AG471" s="2"/>
      <c r="AH471" s="139" t="s">
        <v>205</v>
      </c>
      <c r="AI471" s="140">
        <f t="array" aca="1" ref="AI471" ca="1">INDEX(AI446:AM460,IF(MATCH(AI465,AG446:AG460,1)&lt;AK463,MATCH(AI465,AG446:AG460,1)+1,MATCH(AI465,AG446:AG460,1)),IF(MATCH(AI462,AI445:AM445,1)&lt;AK464,MATCH(AI462,AI445:AM445,1)+1,MATCH(AI462,AI445:AM445,1)))</f>
        <v>9999</v>
      </c>
      <c r="AM471" s="2"/>
      <c r="AN471" s="2"/>
      <c r="AO471" s="2"/>
      <c r="AP471" s="139" t="s">
        <v>205</v>
      </c>
      <c r="AQ471" s="140">
        <f t="array" aca="1" ref="AQ471" ca="1">INDEX(AQ446:AU460,IF(MATCH(AQ465,AO446:AO460,1)&lt;AS463,MATCH(AQ465,AO446:AO460,1)+1,MATCH(AQ465,AO446:AO460,1)),IF(MATCH(AQ462,AQ445:AU445,1)&lt;AS464,MATCH(AQ462,AQ445:AU445,1)+1,MATCH(AQ462,AQ445:AU445,1)))</f>
        <v>9999</v>
      </c>
      <c r="AU471" s="2"/>
      <c r="AV471" s="2"/>
      <c r="AW471" s="2"/>
      <c r="AX471" s="139" t="s">
        <v>205</v>
      </c>
      <c r="AY471" s="140">
        <f ca="1">INDEX(AY446:BC460,IF(MATCH(AY465,AW446:AW460,1)&lt;BA463,MATCH(AY465,AW446:AW460,1)+1,MATCH(AY465,AW446:AW460,1)),IF(MATCH(AY462,AY445:BC445,1)&lt;BA464,MATCH(AY462,AY445:BC445,1)+1,MATCH(AY462,AY445:BC445,1)))</f>
        <v>0</v>
      </c>
    </row>
    <row r="472" spans="2:53" ht="15" customHeight="1" x14ac:dyDescent="0.3">
      <c r="B472" s="16" t="s">
        <v>206</v>
      </c>
      <c r="C472" s="141">
        <f ca="1">IFERROR(C468+(C462-C463)*(C469-C468)/(C464-C463),C468)</f>
        <v>9999</v>
      </c>
      <c r="G472" s="2"/>
      <c r="H472" s="2"/>
      <c r="I472" s="2"/>
      <c r="J472" s="16" t="s">
        <v>206</v>
      </c>
      <c r="K472" s="141">
        <f ca="1">IFERROR(K468+(K462-K463)*(K469-K468)/(K464-K463),K468)</f>
        <v>9999</v>
      </c>
      <c r="O472" s="2"/>
      <c r="P472" s="2"/>
      <c r="Q472" s="2"/>
      <c r="R472" s="16" t="s">
        <v>206</v>
      </c>
      <c r="S472" s="141">
        <f ca="1">IFERROR(S468+(S462-S463)*(S469-S468)/(S464-S463),S468)</f>
        <v>9999</v>
      </c>
      <c r="W472" s="2"/>
      <c r="X472" s="2"/>
      <c r="Y472" s="2"/>
      <c r="Z472" s="16" t="s">
        <v>206</v>
      </c>
      <c r="AA472" s="141">
        <f ca="1">IFERROR(AA468+(AA462-AA463)*(AA469-AA468)/(AA464-AA463),AA468)</f>
        <v>9999</v>
      </c>
      <c r="AE472" s="2"/>
      <c r="AF472" s="2"/>
      <c r="AG472" s="2"/>
      <c r="AH472" s="16" t="s">
        <v>206</v>
      </c>
      <c r="AI472" s="141">
        <f ca="1">IFERROR(AI468+(AI462-AI463)*(AI469-AI468)/(AI464-AI463),AI468)</f>
        <v>9999</v>
      </c>
      <c r="AM472" s="2"/>
      <c r="AN472" s="2"/>
      <c r="AO472" s="2"/>
      <c r="AP472" s="16" t="s">
        <v>206</v>
      </c>
      <c r="AQ472" s="141">
        <f ca="1">IFERROR(AQ468+(AQ462-AQ463)*(AQ469-AQ468)/(AQ464-AQ463),AQ468)</f>
        <v>9999</v>
      </c>
      <c r="AU472" s="2"/>
      <c r="AV472" s="2"/>
      <c r="AW472" s="2"/>
      <c r="AX472" s="16" t="s">
        <v>206</v>
      </c>
      <c r="AY472" s="141">
        <f ca="1">IFERROR(AY468+(AY462-AY463)*(AY469-AY468)/(AY464-AY463),AY468)</f>
        <v>0</v>
      </c>
    </row>
    <row r="473" spans="2:53" ht="15" customHeight="1" x14ac:dyDescent="0.3">
      <c r="B473" s="16" t="s">
        <v>207</v>
      </c>
      <c r="C473" s="141">
        <f ca="1">IFERROR(C470+(C462-C463)*(C471-C470)/(C464-C463),C470)</f>
        <v>9999</v>
      </c>
      <c r="G473" s="2"/>
      <c r="H473" s="2"/>
      <c r="I473" s="2"/>
      <c r="J473" s="16" t="s">
        <v>207</v>
      </c>
      <c r="K473" s="141">
        <f ca="1">IFERROR(K470+(K462-K463)*(K471-K470)/(K464-K463),K470)</f>
        <v>9999</v>
      </c>
      <c r="O473" s="2"/>
      <c r="P473" s="2"/>
      <c r="Q473" s="2"/>
      <c r="R473" s="16" t="s">
        <v>207</v>
      </c>
      <c r="S473" s="141">
        <f ca="1">IFERROR(S470+(S462-S463)*(S471-S470)/(S464-S463),S470)</f>
        <v>9999</v>
      </c>
      <c r="W473" s="2"/>
      <c r="X473" s="2"/>
      <c r="Y473" s="2"/>
      <c r="Z473" s="16" t="s">
        <v>207</v>
      </c>
      <c r="AA473" s="141">
        <f ca="1">IFERROR(AA470+(AA462-AA463)*(AA471-AA470)/(AA464-AA463),AA470)</f>
        <v>9999</v>
      </c>
      <c r="AE473" s="2"/>
      <c r="AF473" s="2"/>
      <c r="AG473" s="2"/>
      <c r="AH473" s="16" t="s">
        <v>207</v>
      </c>
      <c r="AI473" s="141">
        <f ca="1">IFERROR(AI470+(AI462-AI463)*(AI471-AI470)/(AI464-AI463),AI470)</f>
        <v>9999</v>
      </c>
      <c r="AM473" s="2"/>
      <c r="AN473" s="2"/>
      <c r="AO473" s="2"/>
      <c r="AP473" s="16" t="s">
        <v>207</v>
      </c>
      <c r="AQ473" s="141">
        <f ca="1">IFERROR(AQ470+(AQ462-AQ463)*(AQ471-AQ470)/(AQ464-AQ463),AQ470)</f>
        <v>9999</v>
      </c>
      <c r="AU473" s="2"/>
      <c r="AV473" s="2"/>
      <c r="AW473" s="2"/>
      <c r="AX473" s="16" t="s">
        <v>207</v>
      </c>
      <c r="AY473" s="141">
        <f ca="1">IFERROR(AY470+(AY462-AY463)*(AY471-AY470)/(AY464-AY463),AY470)</f>
        <v>0</v>
      </c>
    </row>
    <row r="474" spans="2:53" ht="15" customHeight="1" x14ac:dyDescent="0.3">
      <c r="B474" s="139" t="s">
        <v>237</v>
      </c>
      <c r="C474" s="140">
        <f ca="1">IFERROR(C472+(C465-C466)*(C473-C472)/(C467-C466),C472)</f>
        <v>9999</v>
      </c>
      <c r="G474" s="2"/>
      <c r="H474" s="2"/>
      <c r="I474" s="2"/>
      <c r="J474" s="139" t="s">
        <v>237</v>
      </c>
      <c r="K474" s="140">
        <f ca="1">IFERROR(K472+(K465-K466)*(K473-K472)/(K467-K466),K472)</f>
        <v>9999</v>
      </c>
      <c r="O474" s="2"/>
      <c r="P474" s="2"/>
      <c r="Q474" s="2"/>
      <c r="R474" s="139" t="s">
        <v>237</v>
      </c>
      <c r="S474" s="140">
        <f ca="1">IFERROR(S472+(S465-S466)*(S473-S472)/(S467-S466),S472)</f>
        <v>9999</v>
      </c>
      <c r="W474" s="2"/>
      <c r="X474" s="2"/>
      <c r="Y474" s="2"/>
      <c r="Z474" s="139" t="s">
        <v>237</v>
      </c>
      <c r="AA474" s="140">
        <f ca="1">IFERROR(AA472+(AA465-AA466)*(AA473-AA472)/(AA467-AA466),AA472)</f>
        <v>9999</v>
      </c>
      <c r="AE474" s="2"/>
      <c r="AF474" s="2"/>
      <c r="AG474" s="2"/>
      <c r="AH474" s="139" t="s">
        <v>237</v>
      </c>
      <c r="AI474" s="140">
        <f ca="1">IFERROR(AI472+(AI465-AI466)*(AI473-AI472)/(AI467-AI466),AI472)</f>
        <v>9999</v>
      </c>
      <c r="AM474" s="2"/>
      <c r="AN474" s="2"/>
      <c r="AO474" s="2"/>
      <c r="AP474" s="139" t="s">
        <v>237</v>
      </c>
      <c r="AQ474" s="140">
        <f ca="1">IFERROR(AQ472+(AQ465-AQ466)*(AQ473-AQ472)/(AQ467-AQ466),AQ472)</f>
        <v>9999</v>
      </c>
      <c r="AU474" s="2"/>
      <c r="AV474" s="2"/>
      <c r="AW474" s="2"/>
      <c r="AX474" s="139" t="s">
        <v>237</v>
      </c>
      <c r="AY474" s="140">
        <f ca="1">IFERROR(AY472+(AY465-AY466)*(AY473-AY472)/(AY467-AY466),AY472)</f>
        <v>0</v>
      </c>
    </row>
  </sheetData>
  <mergeCells count="1169">
    <mergeCell ref="A4:G4"/>
    <mergeCell ref="I4:O4"/>
    <mergeCell ref="Q4:W4"/>
    <mergeCell ref="Y4:AE4"/>
    <mergeCell ref="AG4:AM4"/>
    <mergeCell ref="AO4:AU4"/>
    <mergeCell ref="AW4:BC4"/>
    <mergeCell ref="A5:G5"/>
    <mergeCell ref="I5:O5"/>
    <mergeCell ref="Q5:W5"/>
    <mergeCell ref="Y5:AE5"/>
    <mergeCell ref="AG5:AM5"/>
    <mergeCell ref="AO5:AU5"/>
    <mergeCell ref="AW5:BC5"/>
    <mergeCell ref="A7:B8"/>
    <mergeCell ref="C7:G8"/>
    <mergeCell ref="I7:J8"/>
    <mergeCell ref="K7:O8"/>
    <mergeCell ref="Q7:R8"/>
    <mergeCell ref="S7:W8"/>
    <mergeCell ref="Y7:Z8"/>
    <mergeCell ref="AA7:AE8"/>
    <mergeCell ref="AG7:AH8"/>
    <mergeCell ref="AI7:AM8"/>
    <mergeCell ref="AO7:AP8"/>
    <mergeCell ref="AQ7:AU8"/>
    <mergeCell ref="AW7:AX8"/>
    <mergeCell ref="AY7:BC8"/>
    <mergeCell ref="A9:B9"/>
    <mergeCell ref="I9:J9"/>
    <mergeCell ref="Q9:R9"/>
    <mergeCell ref="Y9:Z9"/>
    <mergeCell ref="AG9:AH9"/>
    <mergeCell ref="AO9:AP9"/>
    <mergeCell ref="AW9:AX9"/>
    <mergeCell ref="A10:B10"/>
    <mergeCell ref="I10:J10"/>
    <mergeCell ref="Q10:R10"/>
    <mergeCell ref="Y10:Z10"/>
    <mergeCell ref="AG10:AH10"/>
    <mergeCell ref="AO10:AP10"/>
    <mergeCell ref="AW10:AX10"/>
    <mergeCell ref="A11:B11"/>
    <mergeCell ref="I11:J11"/>
    <mergeCell ref="Q11:R11"/>
    <mergeCell ref="Y11:Z11"/>
    <mergeCell ref="AG11:AH11"/>
    <mergeCell ref="AO11:AP11"/>
    <mergeCell ref="AW11:AX11"/>
    <mergeCell ref="A12:B12"/>
    <mergeCell ref="I12:J12"/>
    <mergeCell ref="Q12:R12"/>
    <mergeCell ref="Y12:Z12"/>
    <mergeCell ref="AG12:AH12"/>
    <mergeCell ref="AO12:AP12"/>
    <mergeCell ref="A13:B13"/>
    <mergeCell ref="I13:J13"/>
    <mergeCell ref="Q13:R13"/>
    <mergeCell ref="Y13:Z13"/>
    <mergeCell ref="AG13:AH13"/>
    <mergeCell ref="AO13:AP13"/>
    <mergeCell ref="A14:B14"/>
    <mergeCell ref="I14:J14"/>
    <mergeCell ref="Q14:R14"/>
    <mergeCell ref="Y14:Z14"/>
    <mergeCell ref="AG14:AH14"/>
    <mergeCell ref="AO14:AP14"/>
    <mergeCell ref="A15:B15"/>
    <mergeCell ref="I15:J15"/>
    <mergeCell ref="Q15:R15"/>
    <mergeCell ref="Y15:Z15"/>
    <mergeCell ref="AG15:AH15"/>
    <mergeCell ref="AO15:AP15"/>
    <mergeCell ref="A16:B16"/>
    <mergeCell ref="I16:J16"/>
    <mergeCell ref="Q16:R16"/>
    <mergeCell ref="Y16:Z16"/>
    <mergeCell ref="AG16:AH16"/>
    <mergeCell ref="AO16:AP16"/>
    <mergeCell ref="A17:B17"/>
    <mergeCell ref="I17:J17"/>
    <mergeCell ref="Q17:R17"/>
    <mergeCell ref="Y17:Z17"/>
    <mergeCell ref="AG17:AH17"/>
    <mergeCell ref="AO17:AP17"/>
    <mergeCell ref="A18:B18"/>
    <mergeCell ref="I18:J18"/>
    <mergeCell ref="Q18:R18"/>
    <mergeCell ref="Y18:Z18"/>
    <mergeCell ref="AG18:AH18"/>
    <mergeCell ref="AO18:AP18"/>
    <mergeCell ref="A19:B19"/>
    <mergeCell ref="I19:J19"/>
    <mergeCell ref="Q19:R19"/>
    <mergeCell ref="Y19:Z19"/>
    <mergeCell ref="AG19:AH19"/>
    <mergeCell ref="AO19:AP19"/>
    <mergeCell ref="A20:B20"/>
    <mergeCell ref="I20:J20"/>
    <mergeCell ref="Q20:R20"/>
    <mergeCell ref="Y20:Z20"/>
    <mergeCell ref="AG20:AH20"/>
    <mergeCell ref="AO20:AP20"/>
    <mergeCell ref="AW20:AX20"/>
    <mergeCell ref="A21:B21"/>
    <mergeCell ref="I21:J21"/>
    <mergeCell ref="Q21:R21"/>
    <mergeCell ref="Y21:Z21"/>
    <mergeCell ref="AG21:AH21"/>
    <mergeCell ref="AO21:AP21"/>
    <mergeCell ref="A22:B22"/>
    <mergeCell ref="I22:J22"/>
    <mergeCell ref="Q22:R22"/>
    <mergeCell ref="Y22:Z22"/>
    <mergeCell ref="AG22:AH22"/>
    <mergeCell ref="AO22:AP22"/>
    <mergeCell ref="AW22:AX22"/>
    <mergeCell ref="A23:B23"/>
    <mergeCell ref="I23:J23"/>
    <mergeCell ref="Q23:R23"/>
    <mergeCell ref="Y23:Z23"/>
    <mergeCell ref="AG23:AH23"/>
    <mergeCell ref="AO23:AP23"/>
    <mergeCell ref="AW23:AX23"/>
    <mergeCell ref="A24:B24"/>
    <mergeCell ref="I24:J24"/>
    <mergeCell ref="Q24:R24"/>
    <mergeCell ref="Y24:Z24"/>
    <mergeCell ref="AG24:AH24"/>
    <mergeCell ref="AO24:AP24"/>
    <mergeCell ref="AW24:AX24"/>
    <mergeCell ref="D26:E26"/>
    <mergeCell ref="L26:M26"/>
    <mergeCell ref="T26:U26"/>
    <mergeCell ref="AB26:AC26"/>
    <mergeCell ref="AJ26:AK26"/>
    <mergeCell ref="AR26:AS26"/>
    <mergeCell ref="AZ26:BA26"/>
    <mergeCell ref="B40:I40"/>
    <mergeCell ref="D49:E49"/>
    <mergeCell ref="L49:M49"/>
    <mergeCell ref="T49:U49"/>
    <mergeCell ref="AB49:AC49"/>
    <mergeCell ref="AJ49:AK49"/>
    <mergeCell ref="AR49:AS49"/>
    <mergeCell ref="AZ49:BA49"/>
    <mergeCell ref="B63:I63"/>
    <mergeCell ref="D73:E73"/>
    <mergeCell ref="L73:M73"/>
    <mergeCell ref="T73:U73"/>
    <mergeCell ref="AB73:AC73"/>
    <mergeCell ref="AJ73:AK73"/>
    <mergeCell ref="AR73:AS73"/>
    <mergeCell ref="AZ73:BA73"/>
    <mergeCell ref="B87:I87"/>
    <mergeCell ref="D91:E91"/>
    <mergeCell ref="L91:M91"/>
    <mergeCell ref="T91:U91"/>
    <mergeCell ref="AB91:AC91"/>
    <mergeCell ref="AJ91:AK91"/>
    <mergeCell ref="AR91:AS91"/>
    <mergeCell ref="AZ91:BA91"/>
    <mergeCell ref="A107:G107"/>
    <mergeCell ref="I107:O107"/>
    <mergeCell ref="Q107:W107"/>
    <mergeCell ref="Y107:AE107"/>
    <mergeCell ref="AG107:AM107"/>
    <mergeCell ref="AO107:AU107"/>
    <mergeCell ref="AW107:BC107"/>
    <mergeCell ref="A108:G108"/>
    <mergeCell ref="I108:O108"/>
    <mergeCell ref="Q108:W108"/>
    <mergeCell ref="Y108:AE108"/>
    <mergeCell ref="AG108:AM108"/>
    <mergeCell ref="AO108:AU108"/>
    <mergeCell ref="AW108:BC108"/>
    <mergeCell ref="A110:B111"/>
    <mergeCell ref="C110:G111"/>
    <mergeCell ref="I110:J111"/>
    <mergeCell ref="K110:O111"/>
    <mergeCell ref="Q110:R111"/>
    <mergeCell ref="S110:W111"/>
    <mergeCell ref="Y110:Z111"/>
    <mergeCell ref="AA110:AE111"/>
    <mergeCell ref="AG110:AH111"/>
    <mergeCell ref="AI110:AM111"/>
    <mergeCell ref="AO110:AP111"/>
    <mergeCell ref="AQ110:AU111"/>
    <mergeCell ref="AW110:AX111"/>
    <mergeCell ref="AY110:BC111"/>
    <mergeCell ref="A112:B112"/>
    <mergeCell ref="I112:J112"/>
    <mergeCell ref="Q112:R112"/>
    <mergeCell ref="Y112:Z112"/>
    <mergeCell ref="AG112:AH112"/>
    <mergeCell ref="AO112:AP112"/>
    <mergeCell ref="AW112:AX112"/>
    <mergeCell ref="A113:B113"/>
    <mergeCell ref="I113:J113"/>
    <mergeCell ref="Q113:R113"/>
    <mergeCell ref="Y113:Z113"/>
    <mergeCell ref="AG113:AH113"/>
    <mergeCell ref="AO113:AP113"/>
    <mergeCell ref="AW113:AX113"/>
    <mergeCell ref="A114:B114"/>
    <mergeCell ref="I114:J114"/>
    <mergeCell ref="Q114:R114"/>
    <mergeCell ref="Y114:Z114"/>
    <mergeCell ref="AG114:AH114"/>
    <mergeCell ref="AO114:AP114"/>
    <mergeCell ref="AW114:AX114"/>
    <mergeCell ref="A115:B115"/>
    <mergeCell ref="I115:J115"/>
    <mergeCell ref="Q115:R115"/>
    <mergeCell ref="Y115:Z115"/>
    <mergeCell ref="AG115:AH115"/>
    <mergeCell ref="AO115:AP115"/>
    <mergeCell ref="A116:B116"/>
    <mergeCell ref="I116:J116"/>
    <mergeCell ref="Q116:R116"/>
    <mergeCell ref="Y116:Z116"/>
    <mergeCell ref="AG116:AH116"/>
    <mergeCell ref="AO116:AP116"/>
    <mergeCell ref="A117:B117"/>
    <mergeCell ref="I117:J117"/>
    <mergeCell ref="Q117:R117"/>
    <mergeCell ref="Y117:Z117"/>
    <mergeCell ref="AG117:AH117"/>
    <mergeCell ref="AO117:AP117"/>
    <mergeCell ref="A118:B118"/>
    <mergeCell ref="I118:J118"/>
    <mergeCell ref="Q118:R118"/>
    <mergeCell ref="Y118:Z118"/>
    <mergeCell ref="AG118:AH118"/>
    <mergeCell ref="AO118:AP118"/>
    <mergeCell ref="A119:B119"/>
    <mergeCell ref="I119:J119"/>
    <mergeCell ref="Q119:R119"/>
    <mergeCell ref="Y119:Z119"/>
    <mergeCell ref="AG119:AH119"/>
    <mergeCell ref="AO119:AP119"/>
    <mergeCell ref="A120:B120"/>
    <mergeCell ref="I120:J120"/>
    <mergeCell ref="Q120:R120"/>
    <mergeCell ref="Y120:Z120"/>
    <mergeCell ref="AG120:AH120"/>
    <mergeCell ref="AO120:AP120"/>
    <mergeCell ref="A121:B121"/>
    <mergeCell ref="I121:J121"/>
    <mergeCell ref="Q121:R121"/>
    <mergeCell ref="Y121:Z121"/>
    <mergeCell ref="AG121:AH121"/>
    <mergeCell ref="AO121:AP121"/>
    <mergeCell ref="A122:B122"/>
    <mergeCell ref="I122:J122"/>
    <mergeCell ref="Q122:R122"/>
    <mergeCell ref="Y122:Z122"/>
    <mergeCell ref="AG122:AH122"/>
    <mergeCell ref="AO122:AP122"/>
    <mergeCell ref="A123:B123"/>
    <mergeCell ref="I123:J123"/>
    <mergeCell ref="Q123:R123"/>
    <mergeCell ref="Y123:Z123"/>
    <mergeCell ref="AG123:AH123"/>
    <mergeCell ref="AO123:AP123"/>
    <mergeCell ref="AW123:AX123"/>
    <mergeCell ref="A124:B124"/>
    <mergeCell ref="I124:J124"/>
    <mergeCell ref="Q124:R124"/>
    <mergeCell ref="Y124:Z124"/>
    <mergeCell ref="AG124:AH124"/>
    <mergeCell ref="AO124:AP124"/>
    <mergeCell ref="A125:B125"/>
    <mergeCell ref="I125:J125"/>
    <mergeCell ref="Q125:R125"/>
    <mergeCell ref="Y125:Z125"/>
    <mergeCell ref="AG125:AH125"/>
    <mergeCell ref="AO125:AP125"/>
    <mergeCell ref="AW125:AX125"/>
    <mergeCell ref="A126:B126"/>
    <mergeCell ref="I126:J126"/>
    <mergeCell ref="Q126:R126"/>
    <mergeCell ref="Y126:Z126"/>
    <mergeCell ref="AG126:AH126"/>
    <mergeCell ref="AO126:AP126"/>
    <mergeCell ref="AW126:AX126"/>
    <mergeCell ref="A127:B127"/>
    <mergeCell ref="I127:J127"/>
    <mergeCell ref="Q127:R127"/>
    <mergeCell ref="Y127:Z127"/>
    <mergeCell ref="AG127:AH127"/>
    <mergeCell ref="AO127:AP127"/>
    <mergeCell ref="AW127:AX127"/>
    <mergeCell ref="D129:E129"/>
    <mergeCell ref="L129:M129"/>
    <mergeCell ref="T129:U129"/>
    <mergeCell ref="AB129:AC129"/>
    <mergeCell ref="AJ129:AK129"/>
    <mergeCell ref="AR129:AS129"/>
    <mergeCell ref="AZ129:BA129"/>
    <mergeCell ref="A143:G143"/>
    <mergeCell ref="I143:O143"/>
    <mergeCell ref="Q143:W143"/>
    <mergeCell ref="Y143:AE143"/>
    <mergeCell ref="AG143:AM143"/>
    <mergeCell ref="AO143:AU143"/>
    <mergeCell ref="AW143:BC143"/>
    <mergeCell ref="A144:G144"/>
    <mergeCell ref="I144:O144"/>
    <mergeCell ref="Q144:W144"/>
    <mergeCell ref="Y144:AE144"/>
    <mergeCell ref="AG144:AM144"/>
    <mergeCell ref="AO144:AU144"/>
    <mergeCell ref="AW144:BC144"/>
    <mergeCell ref="A146:B147"/>
    <mergeCell ref="C146:G147"/>
    <mergeCell ref="I146:J147"/>
    <mergeCell ref="K146:O147"/>
    <mergeCell ref="Q146:R147"/>
    <mergeCell ref="S146:W147"/>
    <mergeCell ref="Y146:Z147"/>
    <mergeCell ref="AA146:AE147"/>
    <mergeCell ref="AG146:AH147"/>
    <mergeCell ref="AI146:AM147"/>
    <mergeCell ref="AO146:AP147"/>
    <mergeCell ref="AQ146:AU147"/>
    <mergeCell ref="AW146:AX147"/>
    <mergeCell ref="AY146:BC147"/>
    <mergeCell ref="A148:B148"/>
    <mergeCell ref="I148:J148"/>
    <mergeCell ref="Q148:R148"/>
    <mergeCell ref="Y148:Z148"/>
    <mergeCell ref="AG148:AH148"/>
    <mergeCell ref="AO148:AP148"/>
    <mergeCell ref="AW148:AX148"/>
    <mergeCell ref="A149:B149"/>
    <mergeCell ref="I149:J149"/>
    <mergeCell ref="Q149:R149"/>
    <mergeCell ref="Y149:Z149"/>
    <mergeCell ref="AG149:AH149"/>
    <mergeCell ref="AO149:AP149"/>
    <mergeCell ref="AW149:AX149"/>
    <mergeCell ref="A150:B150"/>
    <mergeCell ref="I150:J150"/>
    <mergeCell ref="Q150:R150"/>
    <mergeCell ref="Y150:Z150"/>
    <mergeCell ref="AG150:AH150"/>
    <mergeCell ref="AO150:AP150"/>
    <mergeCell ref="AW150:AX150"/>
    <mergeCell ref="A151:B151"/>
    <mergeCell ref="I151:J151"/>
    <mergeCell ref="Q151:R151"/>
    <mergeCell ref="Y151:Z151"/>
    <mergeCell ref="AG151:AH151"/>
    <mergeCell ref="AO151:AP151"/>
    <mergeCell ref="A152:B152"/>
    <mergeCell ref="I152:J152"/>
    <mergeCell ref="Q152:R152"/>
    <mergeCell ref="Y152:Z152"/>
    <mergeCell ref="AG152:AH152"/>
    <mergeCell ref="AO152:AP152"/>
    <mergeCell ref="A153:B153"/>
    <mergeCell ref="I153:J153"/>
    <mergeCell ref="Q153:R153"/>
    <mergeCell ref="Y153:Z153"/>
    <mergeCell ref="AG153:AH153"/>
    <mergeCell ref="AO153:AP153"/>
    <mergeCell ref="A154:B154"/>
    <mergeCell ref="I154:J154"/>
    <mergeCell ref="Q154:R154"/>
    <mergeCell ref="Y154:Z154"/>
    <mergeCell ref="AG154:AH154"/>
    <mergeCell ref="AO154:AP154"/>
    <mergeCell ref="A155:B155"/>
    <mergeCell ref="I155:J155"/>
    <mergeCell ref="Q155:R155"/>
    <mergeCell ref="Y155:Z155"/>
    <mergeCell ref="AG155:AH155"/>
    <mergeCell ref="AO155:AP155"/>
    <mergeCell ref="A156:B156"/>
    <mergeCell ref="I156:J156"/>
    <mergeCell ref="Q156:R156"/>
    <mergeCell ref="Y156:Z156"/>
    <mergeCell ref="AG156:AH156"/>
    <mergeCell ref="AO156:AP156"/>
    <mergeCell ref="A157:B157"/>
    <mergeCell ref="I157:J157"/>
    <mergeCell ref="Q157:R157"/>
    <mergeCell ref="Y157:Z157"/>
    <mergeCell ref="AG157:AH157"/>
    <mergeCell ref="AO157:AP157"/>
    <mergeCell ref="A158:B158"/>
    <mergeCell ref="I158:J158"/>
    <mergeCell ref="Q158:R158"/>
    <mergeCell ref="Y158:Z158"/>
    <mergeCell ref="AG158:AH158"/>
    <mergeCell ref="AO158:AP158"/>
    <mergeCell ref="A159:B159"/>
    <mergeCell ref="I159:J159"/>
    <mergeCell ref="Q159:R159"/>
    <mergeCell ref="Y159:Z159"/>
    <mergeCell ref="AG159:AH159"/>
    <mergeCell ref="AO159:AP159"/>
    <mergeCell ref="AW159:AX159"/>
    <mergeCell ref="A160:B160"/>
    <mergeCell ref="I160:J160"/>
    <mergeCell ref="Q160:R160"/>
    <mergeCell ref="Y160:Z160"/>
    <mergeCell ref="AG160:AH160"/>
    <mergeCell ref="AO160:AP160"/>
    <mergeCell ref="A161:B161"/>
    <mergeCell ref="I161:J161"/>
    <mergeCell ref="Q161:R161"/>
    <mergeCell ref="Y161:Z161"/>
    <mergeCell ref="AG161:AH161"/>
    <mergeCell ref="AO161:AP161"/>
    <mergeCell ref="AW161:AX161"/>
    <mergeCell ref="A162:B162"/>
    <mergeCell ref="I162:J162"/>
    <mergeCell ref="Q162:R162"/>
    <mergeCell ref="Y162:Z162"/>
    <mergeCell ref="AG162:AH162"/>
    <mergeCell ref="AO162:AP162"/>
    <mergeCell ref="AW162:AX162"/>
    <mergeCell ref="A163:B163"/>
    <mergeCell ref="I163:J163"/>
    <mergeCell ref="Q163:R163"/>
    <mergeCell ref="Y163:Z163"/>
    <mergeCell ref="AG163:AH163"/>
    <mergeCell ref="AO163:AP163"/>
    <mergeCell ref="AW163:AX163"/>
    <mergeCell ref="D165:E165"/>
    <mergeCell ref="L165:M165"/>
    <mergeCell ref="T165:U165"/>
    <mergeCell ref="AB165:AC165"/>
    <mergeCell ref="AJ165:AK165"/>
    <mergeCell ref="AR165:AS165"/>
    <mergeCell ref="AZ165:BA165"/>
    <mergeCell ref="A179:G179"/>
    <mergeCell ref="I179:O179"/>
    <mergeCell ref="Q179:W179"/>
    <mergeCell ref="Y179:AE179"/>
    <mergeCell ref="AG179:AM179"/>
    <mergeCell ref="AO179:AU179"/>
    <mergeCell ref="AW179:BC179"/>
    <mergeCell ref="A180:G180"/>
    <mergeCell ref="I180:O180"/>
    <mergeCell ref="Q180:W180"/>
    <mergeCell ref="Y180:AE180"/>
    <mergeCell ref="AG180:AM180"/>
    <mergeCell ref="AO180:AU180"/>
    <mergeCell ref="AW180:BC180"/>
    <mergeCell ref="A182:B183"/>
    <mergeCell ref="C182:G183"/>
    <mergeCell ref="I182:J183"/>
    <mergeCell ref="K182:O183"/>
    <mergeCell ref="Q182:R183"/>
    <mergeCell ref="S182:W183"/>
    <mergeCell ref="Y182:Z183"/>
    <mergeCell ref="AA182:AE183"/>
    <mergeCell ref="AG182:AH183"/>
    <mergeCell ref="AI182:AM183"/>
    <mergeCell ref="AO182:AP183"/>
    <mergeCell ref="AQ182:AU183"/>
    <mergeCell ref="AW182:AX183"/>
    <mergeCell ref="AY182:BC183"/>
    <mergeCell ref="A184:B184"/>
    <mergeCell ref="I184:J184"/>
    <mergeCell ref="Q184:R184"/>
    <mergeCell ref="Y184:Z184"/>
    <mergeCell ref="AG184:AH184"/>
    <mergeCell ref="AO184:AP184"/>
    <mergeCell ref="AW184:AX184"/>
    <mergeCell ref="A185:B185"/>
    <mergeCell ref="I185:J185"/>
    <mergeCell ref="Q185:R185"/>
    <mergeCell ref="Y185:Z185"/>
    <mergeCell ref="AG185:AH185"/>
    <mergeCell ref="AO185:AP185"/>
    <mergeCell ref="AW185:AX185"/>
    <mergeCell ref="A186:B186"/>
    <mergeCell ref="I186:J186"/>
    <mergeCell ref="Q186:R186"/>
    <mergeCell ref="Y186:Z186"/>
    <mergeCell ref="AG186:AH186"/>
    <mergeCell ref="AO186:AP186"/>
    <mergeCell ref="AW186:AX186"/>
    <mergeCell ref="A187:B187"/>
    <mergeCell ref="I187:J187"/>
    <mergeCell ref="Q187:R187"/>
    <mergeCell ref="Y187:Z187"/>
    <mergeCell ref="AG187:AH187"/>
    <mergeCell ref="AO187:AP187"/>
    <mergeCell ref="A188:B188"/>
    <mergeCell ref="I188:J188"/>
    <mergeCell ref="Q188:R188"/>
    <mergeCell ref="Y188:Z188"/>
    <mergeCell ref="AG188:AH188"/>
    <mergeCell ref="AO188:AP188"/>
    <mergeCell ref="A189:B189"/>
    <mergeCell ref="I189:J189"/>
    <mergeCell ref="Q189:R189"/>
    <mergeCell ref="Y189:Z189"/>
    <mergeCell ref="AG189:AH189"/>
    <mergeCell ref="AO189:AP189"/>
    <mergeCell ref="A190:B190"/>
    <mergeCell ref="I190:J190"/>
    <mergeCell ref="Q190:R190"/>
    <mergeCell ref="Y190:Z190"/>
    <mergeCell ref="AG190:AH190"/>
    <mergeCell ref="AO190:AP190"/>
    <mergeCell ref="A191:B191"/>
    <mergeCell ref="I191:J191"/>
    <mergeCell ref="Q191:R191"/>
    <mergeCell ref="Y191:Z191"/>
    <mergeCell ref="AG191:AH191"/>
    <mergeCell ref="AO191:AP191"/>
    <mergeCell ref="A192:B192"/>
    <mergeCell ref="I192:J192"/>
    <mergeCell ref="Q192:R192"/>
    <mergeCell ref="Y192:Z192"/>
    <mergeCell ref="AG192:AH192"/>
    <mergeCell ref="AO192:AP192"/>
    <mergeCell ref="A193:B193"/>
    <mergeCell ref="I193:J193"/>
    <mergeCell ref="Q193:R193"/>
    <mergeCell ref="Y193:Z193"/>
    <mergeCell ref="AG193:AH193"/>
    <mergeCell ref="AO193:AP193"/>
    <mergeCell ref="A194:B194"/>
    <mergeCell ref="I194:J194"/>
    <mergeCell ref="Q194:R194"/>
    <mergeCell ref="Y194:Z194"/>
    <mergeCell ref="AG194:AH194"/>
    <mergeCell ref="AO194:AP194"/>
    <mergeCell ref="A195:B195"/>
    <mergeCell ref="I195:J195"/>
    <mergeCell ref="Q195:R195"/>
    <mergeCell ref="Y195:Z195"/>
    <mergeCell ref="AG195:AH195"/>
    <mergeCell ref="AO195:AP195"/>
    <mergeCell ref="AW195:AX195"/>
    <mergeCell ref="A196:B196"/>
    <mergeCell ref="I196:J196"/>
    <mergeCell ref="Q196:R196"/>
    <mergeCell ref="Y196:Z196"/>
    <mergeCell ref="AG196:AH196"/>
    <mergeCell ref="AO196:AP196"/>
    <mergeCell ref="A197:B197"/>
    <mergeCell ref="I197:J197"/>
    <mergeCell ref="Q197:R197"/>
    <mergeCell ref="Y197:Z197"/>
    <mergeCell ref="AG197:AH197"/>
    <mergeCell ref="AO197:AP197"/>
    <mergeCell ref="AW197:AX197"/>
    <mergeCell ref="A198:B198"/>
    <mergeCell ref="I198:J198"/>
    <mergeCell ref="Q198:R198"/>
    <mergeCell ref="Y198:Z198"/>
    <mergeCell ref="AG198:AH198"/>
    <mergeCell ref="AO198:AP198"/>
    <mergeCell ref="AW198:AX198"/>
    <mergeCell ref="A199:B199"/>
    <mergeCell ref="I199:J199"/>
    <mergeCell ref="Q199:R199"/>
    <mergeCell ref="Y199:Z199"/>
    <mergeCell ref="AG199:AH199"/>
    <mergeCell ref="AO199:AP199"/>
    <mergeCell ref="AW199:AX199"/>
    <mergeCell ref="D201:E201"/>
    <mergeCell ref="L201:M201"/>
    <mergeCell ref="T201:U201"/>
    <mergeCell ref="AB201:AC201"/>
    <mergeCell ref="AJ201:AK201"/>
    <mergeCell ref="AR201:AS201"/>
    <mergeCell ref="AZ201:BA201"/>
    <mergeCell ref="A215:N215"/>
    <mergeCell ref="A218:G218"/>
    <mergeCell ref="I218:O218"/>
    <mergeCell ref="Q218:W218"/>
    <mergeCell ref="Y218:AE218"/>
    <mergeCell ref="AG218:AM218"/>
    <mergeCell ref="AO218:AU218"/>
    <mergeCell ref="AW218:BC218"/>
    <mergeCell ref="A219:G219"/>
    <mergeCell ref="I219:O219"/>
    <mergeCell ref="Q219:W219"/>
    <mergeCell ref="Y219:AE219"/>
    <mergeCell ref="AG219:AM219"/>
    <mergeCell ref="AO219:AU219"/>
    <mergeCell ref="AW219:BC219"/>
    <mergeCell ref="A221:B222"/>
    <mergeCell ref="C221:G222"/>
    <mergeCell ref="I221:J222"/>
    <mergeCell ref="K221:O222"/>
    <mergeCell ref="Q221:R222"/>
    <mergeCell ref="S221:W222"/>
    <mergeCell ref="Y221:Z222"/>
    <mergeCell ref="AA221:AE222"/>
    <mergeCell ref="AG221:AH222"/>
    <mergeCell ref="AI221:AM222"/>
    <mergeCell ref="AO221:AP222"/>
    <mergeCell ref="AQ221:AU222"/>
    <mergeCell ref="AW221:AX222"/>
    <mergeCell ref="AY221:BC222"/>
    <mergeCell ref="A223:B223"/>
    <mergeCell ref="I223:J223"/>
    <mergeCell ref="Q223:R223"/>
    <mergeCell ref="Y223:Z223"/>
    <mergeCell ref="AG223:AH223"/>
    <mergeCell ref="AO223:AP223"/>
    <mergeCell ref="AW223:AX223"/>
    <mergeCell ref="A224:B224"/>
    <mergeCell ref="I224:J224"/>
    <mergeCell ref="Q224:R224"/>
    <mergeCell ref="Y224:Z224"/>
    <mergeCell ref="AG224:AH224"/>
    <mergeCell ref="AO224:AP224"/>
    <mergeCell ref="AW224:AX224"/>
    <mergeCell ref="A225:B225"/>
    <mergeCell ref="I225:J225"/>
    <mergeCell ref="Q225:R225"/>
    <mergeCell ref="Y225:Z225"/>
    <mergeCell ref="AG225:AH225"/>
    <mergeCell ref="AO225:AP225"/>
    <mergeCell ref="AW225:AX225"/>
    <mergeCell ref="A226:B226"/>
    <mergeCell ref="I226:J226"/>
    <mergeCell ref="Q226:R226"/>
    <mergeCell ref="Y226:Z226"/>
    <mergeCell ref="AG226:AH226"/>
    <mergeCell ref="AO226:AP226"/>
    <mergeCell ref="A227:B227"/>
    <mergeCell ref="I227:J227"/>
    <mergeCell ref="Q227:R227"/>
    <mergeCell ref="Y227:Z227"/>
    <mergeCell ref="AG227:AH227"/>
    <mergeCell ref="AO227:AP227"/>
    <mergeCell ref="A228:B228"/>
    <mergeCell ref="I228:J228"/>
    <mergeCell ref="Q228:R228"/>
    <mergeCell ref="Y228:Z228"/>
    <mergeCell ref="AG228:AH228"/>
    <mergeCell ref="AO228:AP228"/>
    <mergeCell ref="A229:B229"/>
    <mergeCell ref="I229:J229"/>
    <mergeCell ref="Q229:R229"/>
    <mergeCell ref="Y229:Z229"/>
    <mergeCell ref="AG229:AH229"/>
    <mergeCell ref="AO229:AP229"/>
    <mergeCell ref="A230:B230"/>
    <mergeCell ref="I230:J230"/>
    <mergeCell ref="Q230:R230"/>
    <mergeCell ref="Y230:Z230"/>
    <mergeCell ref="AG230:AH230"/>
    <mergeCell ref="AO230:AP230"/>
    <mergeCell ref="A231:B231"/>
    <mergeCell ref="I231:J231"/>
    <mergeCell ref="Q231:R231"/>
    <mergeCell ref="Y231:Z231"/>
    <mergeCell ref="AG231:AH231"/>
    <mergeCell ref="AO231:AP231"/>
    <mergeCell ref="A232:B232"/>
    <mergeCell ref="I232:J232"/>
    <mergeCell ref="Q232:R232"/>
    <mergeCell ref="Y232:Z232"/>
    <mergeCell ref="AG232:AH232"/>
    <mergeCell ref="AO232:AP232"/>
    <mergeCell ref="A233:B233"/>
    <mergeCell ref="I233:J233"/>
    <mergeCell ref="Q233:R233"/>
    <mergeCell ref="Y233:Z233"/>
    <mergeCell ref="AG233:AH233"/>
    <mergeCell ref="AO233:AP233"/>
    <mergeCell ref="A234:B234"/>
    <mergeCell ref="I234:J234"/>
    <mergeCell ref="Q234:R234"/>
    <mergeCell ref="Y234:Z234"/>
    <mergeCell ref="AG234:AH234"/>
    <mergeCell ref="AO234:AP234"/>
    <mergeCell ref="AW234:AX234"/>
    <mergeCell ref="A235:B235"/>
    <mergeCell ref="I235:J235"/>
    <mergeCell ref="Q235:R235"/>
    <mergeCell ref="Y235:Z235"/>
    <mergeCell ref="AG235:AH235"/>
    <mergeCell ref="AO235:AP235"/>
    <mergeCell ref="A236:B236"/>
    <mergeCell ref="I236:J236"/>
    <mergeCell ref="Q236:R236"/>
    <mergeCell ref="Y236:Z236"/>
    <mergeCell ref="AG236:AH236"/>
    <mergeCell ref="AO236:AP236"/>
    <mergeCell ref="AW236:AX236"/>
    <mergeCell ref="A237:B237"/>
    <mergeCell ref="I237:J237"/>
    <mergeCell ref="Q237:R237"/>
    <mergeCell ref="Y237:Z237"/>
    <mergeCell ref="AG237:AH237"/>
    <mergeCell ref="AO237:AP237"/>
    <mergeCell ref="AW237:AX237"/>
    <mergeCell ref="A238:B238"/>
    <mergeCell ref="I238:J238"/>
    <mergeCell ref="Q238:R238"/>
    <mergeCell ref="Y238:Z238"/>
    <mergeCell ref="AG238:AH238"/>
    <mergeCell ref="AO238:AP238"/>
    <mergeCell ref="AW238:AX238"/>
    <mergeCell ref="D240:E240"/>
    <mergeCell ref="L240:M240"/>
    <mergeCell ref="T240:U240"/>
    <mergeCell ref="AB240:AC240"/>
    <mergeCell ref="AJ240:AK240"/>
    <mergeCell ref="AR240:AS240"/>
    <mergeCell ref="AZ240:BA240"/>
    <mergeCell ref="B254:I254"/>
    <mergeCell ref="D263:E263"/>
    <mergeCell ref="L263:M263"/>
    <mergeCell ref="T263:U263"/>
    <mergeCell ref="AB263:AC263"/>
    <mergeCell ref="AJ263:AK263"/>
    <mergeCell ref="AR263:AS263"/>
    <mergeCell ref="AZ263:BA263"/>
    <mergeCell ref="B277:I277"/>
    <mergeCell ref="D285:E285"/>
    <mergeCell ref="L285:M285"/>
    <mergeCell ref="T285:U285"/>
    <mergeCell ref="AB285:AC285"/>
    <mergeCell ref="AJ285:AK285"/>
    <mergeCell ref="AR285:AS285"/>
    <mergeCell ref="AZ285:BA285"/>
    <mergeCell ref="B299:I299"/>
    <mergeCell ref="D303:E303"/>
    <mergeCell ref="L303:M303"/>
    <mergeCell ref="T303:U303"/>
    <mergeCell ref="AB303:AC303"/>
    <mergeCell ref="AJ303:AK303"/>
    <mergeCell ref="AR303:AS303"/>
    <mergeCell ref="AZ303:BA303"/>
    <mergeCell ref="A319:G319"/>
    <mergeCell ref="I319:O319"/>
    <mergeCell ref="Q319:W319"/>
    <mergeCell ref="Y319:AE319"/>
    <mergeCell ref="AG319:AM319"/>
    <mergeCell ref="AO319:AU319"/>
    <mergeCell ref="AW319:BC319"/>
    <mergeCell ref="A320:G320"/>
    <mergeCell ref="I320:O320"/>
    <mergeCell ref="Q320:W320"/>
    <mergeCell ref="Y320:AE320"/>
    <mergeCell ref="AG320:AM320"/>
    <mergeCell ref="AO320:AU320"/>
    <mergeCell ref="AW320:BC320"/>
    <mergeCell ref="A322:B323"/>
    <mergeCell ref="C322:G323"/>
    <mergeCell ref="I322:J323"/>
    <mergeCell ref="K322:O323"/>
    <mergeCell ref="Q322:R323"/>
    <mergeCell ref="S322:W323"/>
    <mergeCell ref="Y322:Z323"/>
    <mergeCell ref="AA322:AE323"/>
    <mergeCell ref="AG322:AH323"/>
    <mergeCell ref="AI322:AM323"/>
    <mergeCell ref="AO322:AP323"/>
    <mergeCell ref="AQ322:AU323"/>
    <mergeCell ref="AW322:AX323"/>
    <mergeCell ref="AY322:BC323"/>
    <mergeCell ref="A324:B324"/>
    <mergeCell ref="I324:J324"/>
    <mergeCell ref="Q324:R324"/>
    <mergeCell ref="Y324:Z324"/>
    <mergeCell ref="AG324:AH324"/>
    <mergeCell ref="AO324:AP324"/>
    <mergeCell ref="AW324:AX324"/>
    <mergeCell ref="A325:B325"/>
    <mergeCell ref="I325:J325"/>
    <mergeCell ref="Q325:R325"/>
    <mergeCell ref="Y325:Z325"/>
    <mergeCell ref="AG325:AH325"/>
    <mergeCell ref="AO325:AP325"/>
    <mergeCell ref="AW325:AX325"/>
    <mergeCell ref="A326:B326"/>
    <mergeCell ref="I326:J326"/>
    <mergeCell ref="Q326:R326"/>
    <mergeCell ref="Y326:Z326"/>
    <mergeCell ref="AG326:AH326"/>
    <mergeCell ref="AO326:AP326"/>
    <mergeCell ref="AW326:AX326"/>
    <mergeCell ref="A327:B327"/>
    <mergeCell ref="I327:J327"/>
    <mergeCell ref="Q327:R327"/>
    <mergeCell ref="Y327:Z327"/>
    <mergeCell ref="AG327:AH327"/>
    <mergeCell ref="AO327:AP327"/>
    <mergeCell ref="A328:B328"/>
    <mergeCell ref="I328:J328"/>
    <mergeCell ref="Q328:R328"/>
    <mergeCell ref="Y328:Z328"/>
    <mergeCell ref="AG328:AH328"/>
    <mergeCell ref="AO328:AP328"/>
    <mergeCell ref="A329:B329"/>
    <mergeCell ref="I329:J329"/>
    <mergeCell ref="Q329:R329"/>
    <mergeCell ref="Y329:Z329"/>
    <mergeCell ref="AG329:AH329"/>
    <mergeCell ref="AO329:AP329"/>
    <mergeCell ref="A330:B330"/>
    <mergeCell ref="I330:J330"/>
    <mergeCell ref="Q330:R330"/>
    <mergeCell ref="Y330:Z330"/>
    <mergeCell ref="AG330:AH330"/>
    <mergeCell ref="AO330:AP330"/>
    <mergeCell ref="A331:B331"/>
    <mergeCell ref="I331:J331"/>
    <mergeCell ref="Q331:R331"/>
    <mergeCell ref="Y331:Z331"/>
    <mergeCell ref="AG331:AH331"/>
    <mergeCell ref="AO331:AP331"/>
    <mergeCell ref="A332:B332"/>
    <mergeCell ref="I332:J332"/>
    <mergeCell ref="Q332:R332"/>
    <mergeCell ref="Y332:Z332"/>
    <mergeCell ref="AG332:AH332"/>
    <mergeCell ref="AO332:AP332"/>
    <mergeCell ref="A333:B333"/>
    <mergeCell ref="I333:J333"/>
    <mergeCell ref="Q333:R333"/>
    <mergeCell ref="Y333:Z333"/>
    <mergeCell ref="AG333:AH333"/>
    <mergeCell ref="AO333:AP333"/>
    <mergeCell ref="A334:B334"/>
    <mergeCell ref="I334:J334"/>
    <mergeCell ref="Q334:R334"/>
    <mergeCell ref="Y334:Z334"/>
    <mergeCell ref="AG334:AH334"/>
    <mergeCell ref="AO334:AP334"/>
    <mergeCell ref="A335:B335"/>
    <mergeCell ref="I335:J335"/>
    <mergeCell ref="Q335:R335"/>
    <mergeCell ref="Y335:Z335"/>
    <mergeCell ref="AG335:AH335"/>
    <mergeCell ref="AO335:AP335"/>
    <mergeCell ref="AW335:AX335"/>
    <mergeCell ref="A336:B336"/>
    <mergeCell ref="I336:J336"/>
    <mergeCell ref="Q336:R336"/>
    <mergeCell ref="Y336:Z336"/>
    <mergeCell ref="AG336:AH336"/>
    <mergeCell ref="AO336:AP336"/>
    <mergeCell ref="A337:B337"/>
    <mergeCell ref="I337:J337"/>
    <mergeCell ref="Q337:R337"/>
    <mergeCell ref="Y337:Z337"/>
    <mergeCell ref="AG337:AH337"/>
    <mergeCell ref="AO337:AP337"/>
    <mergeCell ref="AW337:AX337"/>
    <mergeCell ref="A338:B338"/>
    <mergeCell ref="I338:J338"/>
    <mergeCell ref="Q338:R338"/>
    <mergeCell ref="Y338:Z338"/>
    <mergeCell ref="AG338:AH338"/>
    <mergeCell ref="AO338:AP338"/>
    <mergeCell ref="AW338:AX338"/>
    <mergeCell ref="A339:B339"/>
    <mergeCell ref="I339:J339"/>
    <mergeCell ref="Q339:R339"/>
    <mergeCell ref="Y339:Z339"/>
    <mergeCell ref="AG339:AH339"/>
    <mergeCell ref="AO339:AP339"/>
    <mergeCell ref="AW339:AX339"/>
    <mergeCell ref="D341:E341"/>
    <mergeCell ref="L341:M341"/>
    <mergeCell ref="T341:U341"/>
    <mergeCell ref="AB341:AC341"/>
    <mergeCell ref="AJ341:AK341"/>
    <mergeCell ref="AR341:AS341"/>
    <mergeCell ref="AZ341:BA341"/>
    <mergeCell ref="B355:K355"/>
    <mergeCell ref="D365:E365"/>
    <mergeCell ref="L365:M365"/>
    <mergeCell ref="T365:U365"/>
    <mergeCell ref="AB365:AC365"/>
    <mergeCell ref="AJ365:AK365"/>
    <mergeCell ref="AR365:AS365"/>
    <mergeCell ref="AZ365:BA365"/>
    <mergeCell ref="B379:I379"/>
    <mergeCell ref="D387:E387"/>
    <mergeCell ref="L387:M387"/>
    <mergeCell ref="T387:U387"/>
    <mergeCell ref="AB387:AC387"/>
    <mergeCell ref="AJ387:AK387"/>
    <mergeCell ref="AR387:AS387"/>
    <mergeCell ref="AZ387:BA387"/>
    <mergeCell ref="A404:G404"/>
    <mergeCell ref="I404:O404"/>
    <mergeCell ref="Q404:W404"/>
    <mergeCell ref="Y404:AE404"/>
    <mergeCell ref="AG404:AM404"/>
    <mergeCell ref="AO404:AU404"/>
    <mergeCell ref="AW404:BC404"/>
    <mergeCell ref="A405:G405"/>
    <mergeCell ref="I405:O405"/>
    <mergeCell ref="Q405:W405"/>
    <mergeCell ref="Y405:AE405"/>
    <mergeCell ref="AG405:AM405"/>
    <mergeCell ref="AO405:AU405"/>
    <mergeCell ref="AW405:BC405"/>
    <mergeCell ref="A407:B408"/>
    <mergeCell ref="C407:G408"/>
    <mergeCell ref="I407:J408"/>
    <mergeCell ref="K407:O408"/>
    <mergeCell ref="Q407:R408"/>
    <mergeCell ref="S407:W408"/>
    <mergeCell ref="Y407:Z408"/>
    <mergeCell ref="AA407:AE408"/>
    <mergeCell ref="AG407:AH408"/>
    <mergeCell ref="AI407:AM408"/>
    <mergeCell ref="AO407:AP408"/>
    <mergeCell ref="AQ407:AU408"/>
    <mergeCell ref="AW407:AX408"/>
    <mergeCell ref="AY407:BC408"/>
    <mergeCell ref="A409:B409"/>
    <mergeCell ref="I409:J409"/>
    <mergeCell ref="Q409:R409"/>
    <mergeCell ref="Y409:Z409"/>
    <mergeCell ref="AG409:AH409"/>
    <mergeCell ref="AO409:AP409"/>
    <mergeCell ref="AW409:AX409"/>
    <mergeCell ref="A410:B410"/>
    <mergeCell ref="I410:J410"/>
    <mergeCell ref="Q410:R410"/>
    <mergeCell ref="Y410:Z410"/>
    <mergeCell ref="AG410:AH410"/>
    <mergeCell ref="AO410:AP410"/>
    <mergeCell ref="AW410:AX410"/>
    <mergeCell ref="A411:B411"/>
    <mergeCell ref="I411:J411"/>
    <mergeCell ref="Q411:R411"/>
    <mergeCell ref="Y411:Z411"/>
    <mergeCell ref="AG411:AH411"/>
    <mergeCell ref="AO411:AP411"/>
    <mergeCell ref="AW411:AX411"/>
    <mergeCell ref="A412:B412"/>
    <mergeCell ref="I412:J412"/>
    <mergeCell ref="Q412:R412"/>
    <mergeCell ref="Y412:Z412"/>
    <mergeCell ref="AG412:AH412"/>
    <mergeCell ref="AO412:AP412"/>
    <mergeCell ref="A413:B413"/>
    <mergeCell ref="I413:J413"/>
    <mergeCell ref="Q413:R413"/>
    <mergeCell ref="Y413:Z413"/>
    <mergeCell ref="AG413:AH413"/>
    <mergeCell ref="AO413:AP413"/>
    <mergeCell ref="A414:B414"/>
    <mergeCell ref="I414:J414"/>
    <mergeCell ref="Q414:R414"/>
    <mergeCell ref="Y414:Z414"/>
    <mergeCell ref="AG414:AH414"/>
    <mergeCell ref="AO414:AP414"/>
    <mergeCell ref="A415:B415"/>
    <mergeCell ref="I415:J415"/>
    <mergeCell ref="Q415:R415"/>
    <mergeCell ref="Y415:Z415"/>
    <mergeCell ref="AG415:AH415"/>
    <mergeCell ref="AO415:AP415"/>
    <mergeCell ref="A416:B416"/>
    <mergeCell ref="I416:J416"/>
    <mergeCell ref="Q416:R416"/>
    <mergeCell ref="Y416:Z416"/>
    <mergeCell ref="AG416:AH416"/>
    <mergeCell ref="AO416:AP416"/>
    <mergeCell ref="A417:B417"/>
    <mergeCell ref="I417:J417"/>
    <mergeCell ref="Q417:R417"/>
    <mergeCell ref="Y417:Z417"/>
    <mergeCell ref="AG417:AH417"/>
    <mergeCell ref="AO417:AP417"/>
    <mergeCell ref="A418:B418"/>
    <mergeCell ref="I418:J418"/>
    <mergeCell ref="Q418:R418"/>
    <mergeCell ref="Y418:Z418"/>
    <mergeCell ref="AG418:AH418"/>
    <mergeCell ref="AO418:AP418"/>
    <mergeCell ref="A419:B419"/>
    <mergeCell ref="I419:J419"/>
    <mergeCell ref="Q419:R419"/>
    <mergeCell ref="Y419:Z419"/>
    <mergeCell ref="AG419:AH419"/>
    <mergeCell ref="AO419:AP419"/>
    <mergeCell ref="A420:B420"/>
    <mergeCell ref="I420:J420"/>
    <mergeCell ref="Q420:R420"/>
    <mergeCell ref="Y420:Z420"/>
    <mergeCell ref="AG420:AH420"/>
    <mergeCell ref="AO420:AP420"/>
    <mergeCell ref="AW420:AX420"/>
    <mergeCell ref="A421:B421"/>
    <mergeCell ref="I421:J421"/>
    <mergeCell ref="Q421:R421"/>
    <mergeCell ref="Y421:Z421"/>
    <mergeCell ref="AG421:AH421"/>
    <mergeCell ref="AO421:AP421"/>
    <mergeCell ref="A422:B422"/>
    <mergeCell ref="I422:J422"/>
    <mergeCell ref="Q422:R422"/>
    <mergeCell ref="Y422:Z422"/>
    <mergeCell ref="AG422:AH422"/>
    <mergeCell ref="AO422:AP422"/>
    <mergeCell ref="AW422:AX422"/>
    <mergeCell ref="A423:B423"/>
    <mergeCell ref="I423:J423"/>
    <mergeCell ref="Q423:R423"/>
    <mergeCell ref="Y423:Z423"/>
    <mergeCell ref="AG423:AH423"/>
    <mergeCell ref="AO423:AP423"/>
    <mergeCell ref="AW423:AX423"/>
    <mergeCell ref="A424:B424"/>
    <mergeCell ref="I424:J424"/>
    <mergeCell ref="Q424:R424"/>
    <mergeCell ref="Y424:Z424"/>
    <mergeCell ref="AG424:AH424"/>
    <mergeCell ref="AO424:AP424"/>
    <mergeCell ref="AW424:AX424"/>
    <mergeCell ref="D426:E426"/>
    <mergeCell ref="L426:M426"/>
    <mergeCell ref="T426:U426"/>
    <mergeCell ref="AB426:AC426"/>
    <mergeCell ref="AJ426:AK426"/>
    <mergeCell ref="AR426:AS426"/>
    <mergeCell ref="AZ426:BA426"/>
    <mergeCell ref="A440:G440"/>
    <mergeCell ref="I440:O440"/>
    <mergeCell ref="Q440:W440"/>
    <mergeCell ref="Y440:AE440"/>
    <mergeCell ref="AG440:AM440"/>
    <mergeCell ref="AO440:AU440"/>
    <mergeCell ref="AW440:BC440"/>
    <mergeCell ref="A441:G441"/>
    <mergeCell ref="I441:O441"/>
    <mergeCell ref="Q441:W441"/>
    <mergeCell ref="Y441:AE441"/>
    <mergeCell ref="AG441:AM441"/>
    <mergeCell ref="AO441:AU441"/>
    <mergeCell ref="AW441:BC441"/>
    <mergeCell ref="A443:B444"/>
    <mergeCell ref="C443:G444"/>
    <mergeCell ref="I443:J444"/>
    <mergeCell ref="K443:O444"/>
    <mergeCell ref="Q443:R444"/>
    <mergeCell ref="S443:W444"/>
    <mergeCell ref="Y443:Z444"/>
    <mergeCell ref="AA443:AE444"/>
    <mergeCell ref="AG443:AH444"/>
    <mergeCell ref="AI443:AM444"/>
    <mergeCell ref="AO443:AP444"/>
    <mergeCell ref="AQ443:AU444"/>
    <mergeCell ref="AW443:AX444"/>
    <mergeCell ref="AY443:BC444"/>
    <mergeCell ref="A445:B445"/>
    <mergeCell ref="I445:J445"/>
    <mergeCell ref="Q445:R445"/>
    <mergeCell ref="Y445:Z445"/>
    <mergeCell ref="AG445:AH445"/>
    <mergeCell ref="AO445:AP445"/>
    <mergeCell ref="AW445:AX445"/>
    <mergeCell ref="A446:B446"/>
    <mergeCell ref="I446:J446"/>
    <mergeCell ref="Q446:R446"/>
    <mergeCell ref="Y446:Z446"/>
    <mergeCell ref="AG446:AH446"/>
    <mergeCell ref="AO446:AP446"/>
    <mergeCell ref="AW446:AX446"/>
    <mergeCell ref="A447:B447"/>
    <mergeCell ref="I447:J447"/>
    <mergeCell ref="Q447:R447"/>
    <mergeCell ref="Y447:Z447"/>
    <mergeCell ref="AG447:AH447"/>
    <mergeCell ref="AO447:AP447"/>
    <mergeCell ref="AW447:AX447"/>
    <mergeCell ref="A448:B448"/>
    <mergeCell ref="I448:J448"/>
    <mergeCell ref="Q448:R448"/>
    <mergeCell ref="Y448:Z448"/>
    <mergeCell ref="AG448:AH448"/>
    <mergeCell ref="AO448:AP448"/>
    <mergeCell ref="A449:B449"/>
    <mergeCell ref="I449:J449"/>
    <mergeCell ref="Q449:R449"/>
    <mergeCell ref="Y449:Z449"/>
    <mergeCell ref="AG449:AH449"/>
    <mergeCell ref="AO449:AP449"/>
    <mergeCell ref="A450:B450"/>
    <mergeCell ref="I450:J450"/>
    <mergeCell ref="Q450:R450"/>
    <mergeCell ref="Y450:Z450"/>
    <mergeCell ref="AG450:AH450"/>
    <mergeCell ref="AO450:AP450"/>
    <mergeCell ref="A451:B451"/>
    <mergeCell ref="I451:J451"/>
    <mergeCell ref="Q451:R451"/>
    <mergeCell ref="Y451:Z451"/>
    <mergeCell ref="AG451:AH451"/>
    <mergeCell ref="AO451:AP451"/>
    <mergeCell ref="A452:B452"/>
    <mergeCell ref="I452:J452"/>
    <mergeCell ref="Q452:R452"/>
    <mergeCell ref="Y452:Z452"/>
    <mergeCell ref="AG452:AH452"/>
    <mergeCell ref="AO452:AP452"/>
    <mergeCell ref="A453:B453"/>
    <mergeCell ref="I453:J453"/>
    <mergeCell ref="Q453:R453"/>
    <mergeCell ref="Y453:Z453"/>
    <mergeCell ref="AG453:AH453"/>
    <mergeCell ref="AO453:AP453"/>
    <mergeCell ref="A454:B454"/>
    <mergeCell ref="I454:J454"/>
    <mergeCell ref="Q454:R454"/>
    <mergeCell ref="Y454:Z454"/>
    <mergeCell ref="AG454:AH454"/>
    <mergeCell ref="AO454:AP454"/>
    <mergeCell ref="A455:B455"/>
    <mergeCell ref="I455:J455"/>
    <mergeCell ref="Q455:R455"/>
    <mergeCell ref="Y455:Z455"/>
    <mergeCell ref="AG455:AH455"/>
    <mergeCell ref="AO455:AP455"/>
    <mergeCell ref="A456:B456"/>
    <mergeCell ref="I456:J456"/>
    <mergeCell ref="Q456:R456"/>
    <mergeCell ref="Y456:Z456"/>
    <mergeCell ref="AG456:AH456"/>
    <mergeCell ref="AO456:AP456"/>
    <mergeCell ref="AW456:AX456"/>
    <mergeCell ref="A457:B457"/>
    <mergeCell ref="I457:J457"/>
    <mergeCell ref="Q457:R457"/>
    <mergeCell ref="Y457:Z457"/>
    <mergeCell ref="AG457:AH457"/>
    <mergeCell ref="AO457:AP457"/>
    <mergeCell ref="D462:E462"/>
    <mergeCell ref="L462:M462"/>
    <mergeCell ref="T462:U462"/>
    <mergeCell ref="AB462:AC462"/>
    <mergeCell ref="AJ462:AK462"/>
    <mergeCell ref="AR462:AS462"/>
    <mergeCell ref="AZ462:BA462"/>
    <mergeCell ref="A458:B458"/>
    <mergeCell ref="I458:J458"/>
    <mergeCell ref="Q458:R458"/>
    <mergeCell ref="Y458:Z458"/>
    <mergeCell ref="AG458:AH458"/>
    <mergeCell ref="AO458:AP458"/>
    <mergeCell ref="AW458:AX458"/>
    <mergeCell ref="A459:B459"/>
    <mergeCell ref="I459:J459"/>
    <mergeCell ref="Q459:R459"/>
    <mergeCell ref="Y459:Z459"/>
    <mergeCell ref="AG459:AH459"/>
    <mergeCell ref="AO459:AP459"/>
    <mergeCell ref="AW459:AX459"/>
    <mergeCell ref="A460:B460"/>
    <mergeCell ref="I460:J460"/>
    <mergeCell ref="Q460:R460"/>
    <mergeCell ref="Y460:Z460"/>
    <mergeCell ref="AG460:AH460"/>
    <mergeCell ref="AO460:AP460"/>
    <mergeCell ref="AW460:AX460"/>
  </mergeCells>
  <conditionalFormatting sqref="B42:I47">
    <cfRule type="colorScale" priority="9">
      <colorScale>
        <cfvo type="min"/>
        <cfvo type="max"/>
        <color rgb="FFFCFCFF"/>
        <color rgb="FFF8696B"/>
      </colorScale>
    </cfRule>
  </conditionalFormatting>
  <conditionalFormatting sqref="B65:I71">
    <cfRule type="colorScale" priority="11">
      <colorScale>
        <cfvo type="min"/>
        <cfvo type="max"/>
        <color rgb="FFFCFCFF"/>
        <color rgb="FFF8696B"/>
      </colorScale>
    </cfRule>
  </conditionalFormatting>
  <conditionalFormatting sqref="B89:I89">
    <cfRule type="colorScale" priority="13">
      <colorScale>
        <cfvo type="min"/>
        <cfvo type="max"/>
        <color rgb="FFFCFCFF"/>
        <color rgb="FFF8696B"/>
      </colorScale>
    </cfRule>
  </conditionalFormatting>
  <conditionalFormatting sqref="B256:I261">
    <cfRule type="colorScale" priority="42">
      <colorScale>
        <cfvo type="min"/>
        <cfvo type="max"/>
        <color rgb="FFFCFCFF"/>
        <color rgb="FFF8696B"/>
      </colorScale>
    </cfRule>
  </conditionalFormatting>
  <conditionalFormatting sqref="B301:I301">
    <cfRule type="colorScale" priority="44">
      <colorScale>
        <cfvo type="min"/>
        <cfvo type="max"/>
        <color rgb="FFFCFCFF"/>
        <color rgb="FFF8696B"/>
      </colorScale>
    </cfRule>
  </conditionalFormatting>
  <conditionalFormatting sqref="B279:J283">
    <cfRule type="colorScale" priority="67">
      <colorScale>
        <cfvo type="min"/>
        <cfvo type="max"/>
        <color rgb="FFFCFCFF"/>
        <color rgb="FFF8696B"/>
      </colorScale>
    </cfRule>
  </conditionalFormatting>
  <conditionalFormatting sqref="B357:K363">
    <cfRule type="colorScale" priority="70">
      <colorScale>
        <cfvo type="min"/>
        <cfvo type="max"/>
        <color rgb="FFFCFCFF"/>
        <color rgb="FFF8696B"/>
      </colorScale>
    </cfRule>
  </conditionalFormatting>
  <conditionalFormatting sqref="B381:N385">
    <cfRule type="colorScale" priority="71">
      <colorScale>
        <cfvo type="min"/>
        <cfvo type="max"/>
        <color rgb="FFFCFCFF"/>
        <color rgb="FFF8696B"/>
      </colorScale>
    </cfRule>
  </conditionalFormatting>
  <conditionalFormatting sqref="C10:F22">
    <cfRule type="colorScale" priority="2">
      <colorScale>
        <cfvo type="min"/>
        <cfvo type="max"/>
        <color rgb="FFFFFFFF"/>
        <color rgb="FFE67C73"/>
      </colorScale>
    </cfRule>
  </conditionalFormatting>
  <conditionalFormatting sqref="C113:F125">
    <cfRule type="colorScale" priority="14">
      <colorScale>
        <cfvo type="min"/>
        <cfvo type="max"/>
        <color rgb="FFFFFFFF"/>
        <color rgb="FFE67C73"/>
      </colorScale>
    </cfRule>
  </conditionalFormatting>
  <conditionalFormatting sqref="C149:F161">
    <cfRule type="colorScale" priority="21">
      <colorScale>
        <cfvo type="min"/>
        <cfvo type="max"/>
        <color rgb="FFFFFFFF"/>
        <color rgb="FFE67C73"/>
      </colorScale>
    </cfRule>
  </conditionalFormatting>
  <conditionalFormatting sqref="C185:F197">
    <cfRule type="colorScale" priority="28">
      <colorScale>
        <cfvo type="min"/>
        <cfvo type="max"/>
        <color rgb="FFFFFFFF"/>
        <color rgb="FFE67C73"/>
      </colorScale>
    </cfRule>
  </conditionalFormatting>
  <conditionalFormatting sqref="C224:F236">
    <cfRule type="colorScale" priority="35">
      <colorScale>
        <cfvo type="min"/>
        <cfvo type="max"/>
        <color rgb="FFFFFFFF"/>
        <color rgb="FFE67C73"/>
      </colorScale>
    </cfRule>
  </conditionalFormatting>
  <conditionalFormatting sqref="C325:F337 K334:N337 S334:V337 AA334:AD337 AI334:AL337 AQ334:AT337">
    <cfRule type="colorScale" priority="45">
      <colorScale>
        <cfvo type="min"/>
        <cfvo type="max"/>
        <color rgb="FFFFFFFF"/>
        <color rgb="FFE67C73"/>
      </colorScale>
    </cfRule>
  </conditionalFormatting>
  <conditionalFormatting sqref="C410:F422">
    <cfRule type="colorScale" priority="52">
      <colorScale>
        <cfvo type="min"/>
        <cfvo type="max"/>
        <color rgb="FFFFFFFF"/>
        <color rgb="FFE67C73"/>
      </colorScale>
    </cfRule>
  </conditionalFormatting>
  <conditionalFormatting sqref="C446:F458">
    <cfRule type="colorScale" priority="59">
      <colorScale>
        <cfvo type="min"/>
        <cfvo type="max"/>
        <color rgb="FFFFFFFF"/>
        <color rgb="FFE67C73"/>
      </colorScale>
    </cfRule>
  </conditionalFormatting>
  <conditionalFormatting sqref="K10:N22">
    <cfRule type="colorScale" priority="3">
      <colorScale>
        <cfvo type="min"/>
        <cfvo type="max"/>
        <color rgb="FFFFFFFF"/>
        <color rgb="FFE67C73"/>
      </colorScale>
    </cfRule>
  </conditionalFormatting>
  <conditionalFormatting sqref="K113:N125">
    <cfRule type="colorScale" priority="15">
      <colorScale>
        <cfvo type="min"/>
        <cfvo type="max"/>
        <color rgb="FFFFFFFF"/>
        <color rgb="FFE67C73"/>
      </colorScale>
    </cfRule>
  </conditionalFormatting>
  <conditionalFormatting sqref="K149:N161">
    <cfRule type="colorScale" priority="22">
      <colorScale>
        <cfvo type="min"/>
        <cfvo type="max"/>
        <color rgb="FFFFFFFF"/>
        <color rgb="FFE67C73"/>
      </colorScale>
    </cfRule>
  </conditionalFormatting>
  <conditionalFormatting sqref="K185:N197">
    <cfRule type="colorScale" priority="29">
      <colorScale>
        <cfvo type="min"/>
        <cfvo type="max"/>
        <color rgb="FFFFFFFF"/>
        <color rgb="FFE67C73"/>
      </colorScale>
    </cfRule>
  </conditionalFormatting>
  <conditionalFormatting sqref="K224:N236 S233:V236 AA233:AD236 AI233:AL236 AQ233:AT236">
    <cfRule type="colorScale" priority="36">
      <colorScale>
        <cfvo type="min"/>
        <cfvo type="max"/>
        <color rgb="FFFFFFFF"/>
        <color rgb="FFE67C73"/>
      </colorScale>
    </cfRule>
  </conditionalFormatting>
  <conditionalFormatting sqref="K325:N337">
    <cfRule type="colorScale" priority="46">
      <colorScale>
        <cfvo type="min"/>
        <cfvo type="max"/>
        <color rgb="FFFFFFFF"/>
        <color rgb="FFE67C73"/>
      </colorScale>
    </cfRule>
  </conditionalFormatting>
  <conditionalFormatting sqref="K410:N422">
    <cfRule type="colorScale" priority="53">
      <colorScale>
        <cfvo type="min"/>
        <cfvo type="max"/>
        <color rgb="FFFFFFFF"/>
        <color rgb="FFE67C73"/>
      </colorScale>
    </cfRule>
  </conditionalFormatting>
  <conditionalFormatting sqref="K446:N458 S455:V458 AA455:AD458 AI455:AL458 AQ455:AT458">
    <cfRule type="colorScale" priority="60">
      <colorScale>
        <cfvo type="min"/>
        <cfvo type="max"/>
        <color rgb="FFFFFFFF"/>
        <color rgb="FFE67C73"/>
      </colorScale>
    </cfRule>
  </conditionalFormatting>
  <conditionalFormatting sqref="M42:T47">
    <cfRule type="colorScale" priority="10">
      <colorScale>
        <cfvo type="min"/>
        <cfvo type="max"/>
        <color rgb="FFFCFCFF"/>
        <color rgb="FFF8696B"/>
      </colorScale>
    </cfRule>
  </conditionalFormatting>
  <conditionalFormatting sqref="M65:T71">
    <cfRule type="colorScale" priority="12">
      <colorScale>
        <cfvo type="min"/>
        <cfvo type="max"/>
        <color rgb="FFFCFCFF"/>
        <color rgb="FFF8696B"/>
      </colorScale>
    </cfRule>
  </conditionalFormatting>
  <conditionalFormatting sqref="M256:T261">
    <cfRule type="colorScale" priority="43">
      <colorScale>
        <cfvo type="min"/>
        <cfvo type="max"/>
        <color rgb="FFFCFCFF"/>
        <color rgb="FFF8696B"/>
      </colorScale>
    </cfRule>
  </conditionalFormatting>
  <conditionalFormatting sqref="N279:U283">
    <cfRule type="colorScale" priority="66">
      <colorScale>
        <cfvo type="min"/>
        <cfvo type="max"/>
        <color rgb="FFFCFCFF"/>
        <color rgb="FFF8696B"/>
      </colorScale>
    </cfRule>
  </conditionalFormatting>
  <conditionalFormatting sqref="O357:V363">
    <cfRule type="colorScale" priority="68">
      <colorScale>
        <cfvo type="min"/>
        <cfvo type="max"/>
        <color rgb="FFFCFCFF"/>
        <color rgb="FFF8696B"/>
      </colorScale>
    </cfRule>
  </conditionalFormatting>
  <conditionalFormatting sqref="R381:Y385">
    <cfRule type="colorScale" priority="69">
      <colorScale>
        <cfvo type="min"/>
        <cfvo type="max"/>
        <color rgb="FFFCFCFF"/>
        <color rgb="FFF8696B"/>
      </colorScale>
    </cfRule>
  </conditionalFormatting>
  <conditionalFormatting sqref="S10:V22">
    <cfRule type="colorScale" priority="4">
      <colorScale>
        <cfvo type="min"/>
        <cfvo type="max"/>
        <color rgb="FFFFFFFF"/>
        <color rgb="FFE67C73"/>
      </colorScale>
    </cfRule>
  </conditionalFormatting>
  <conditionalFormatting sqref="S113:V125">
    <cfRule type="colorScale" priority="16">
      <colorScale>
        <cfvo type="min"/>
        <cfvo type="max"/>
        <color rgb="FFFFFFFF"/>
        <color rgb="FFE67C73"/>
      </colorScale>
    </cfRule>
  </conditionalFormatting>
  <conditionalFormatting sqref="S149:V161">
    <cfRule type="colorScale" priority="23">
      <colorScale>
        <cfvo type="min"/>
        <cfvo type="max"/>
        <color rgb="FFFFFFFF"/>
        <color rgb="FFE67C73"/>
      </colorScale>
    </cfRule>
  </conditionalFormatting>
  <conditionalFormatting sqref="S185:V197">
    <cfRule type="colorScale" priority="30">
      <colorScale>
        <cfvo type="min"/>
        <cfvo type="max"/>
        <color rgb="FFFFFFFF"/>
        <color rgb="FFE67C73"/>
      </colorScale>
    </cfRule>
  </conditionalFormatting>
  <conditionalFormatting sqref="S224:V236">
    <cfRule type="colorScale" priority="37">
      <colorScale>
        <cfvo type="min"/>
        <cfvo type="max"/>
        <color rgb="FFFFFFFF"/>
        <color rgb="FFE67C73"/>
      </colorScale>
    </cfRule>
  </conditionalFormatting>
  <conditionalFormatting sqref="S325:V337">
    <cfRule type="colorScale" priority="47">
      <colorScale>
        <cfvo type="min"/>
        <cfvo type="max"/>
        <color rgb="FFFFFFFF"/>
        <color rgb="FFE67C73"/>
      </colorScale>
    </cfRule>
  </conditionalFormatting>
  <conditionalFormatting sqref="S410:V422">
    <cfRule type="colorScale" priority="54">
      <colorScale>
        <cfvo type="min"/>
        <cfvo type="max"/>
        <color rgb="FFFFFFFF"/>
        <color rgb="FFE67C73"/>
      </colorScale>
    </cfRule>
  </conditionalFormatting>
  <conditionalFormatting sqref="S446:V458">
    <cfRule type="colorScale" priority="61">
      <colorScale>
        <cfvo type="min"/>
        <cfvo type="max"/>
        <color rgb="FFFFFFFF"/>
        <color rgb="FFE67C73"/>
      </colorScale>
    </cfRule>
  </conditionalFormatting>
  <conditionalFormatting sqref="AA10:AD22">
    <cfRule type="colorScale" priority="5">
      <colorScale>
        <cfvo type="min"/>
        <cfvo type="max"/>
        <color rgb="FFFFFFFF"/>
        <color rgb="FFE67C73"/>
      </colorScale>
    </cfRule>
  </conditionalFormatting>
  <conditionalFormatting sqref="AA113:AD125">
    <cfRule type="colorScale" priority="17">
      <colorScale>
        <cfvo type="min"/>
        <cfvo type="max"/>
        <color rgb="FFFFFFFF"/>
        <color rgb="FFE67C73"/>
      </colorScale>
    </cfRule>
  </conditionalFormatting>
  <conditionalFormatting sqref="AA149:AD161">
    <cfRule type="colorScale" priority="24">
      <colorScale>
        <cfvo type="min"/>
        <cfvo type="max"/>
        <color rgb="FFFFFFFF"/>
        <color rgb="FFE67C73"/>
      </colorScale>
    </cfRule>
  </conditionalFormatting>
  <conditionalFormatting sqref="AA185:AD197">
    <cfRule type="colorScale" priority="31">
      <colorScale>
        <cfvo type="min"/>
        <cfvo type="max"/>
        <color rgb="FFFFFFFF"/>
        <color rgb="FFE67C73"/>
      </colorScale>
    </cfRule>
  </conditionalFormatting>
  <conditionalFormatting sqref="AA224:AD236">
    <cfRule type="colorScale" priority="38">
      <colorScale>
        <cfvo type="min"/>
        <cfvo type="max"/>
        <color rgb="FFFFFFFF"/>
        <color rgb="FFE67C73"/>
      </colorScale>
    </cfRule>
  </conditionalFormatting>
  <conditionalFormatting sqref="AA325:AD337">
    <cfRule type="colorScale" priority="48">
      <colorScale>
        <cfvo type="min"/>
        <cfvo type="max"/>
        <color rgb="FFFFFFFF"/>
        <color rgb="FFE67C73"/>
      </colorScale>
    </cfRule>
  </conditionalFormatting>
  <conditionalFormatting sqref="AA410:AD422">
    <cfRule type="colorScale" priority="55">
      <colorScale>
        <cfvo type="min"/>
        <cfvo type="max"/>
        <color rgb="FFFFFFFF"/>
        <color rgb="FFE67C73"/>
      </colorScale>
    </cfRule>
  </conditionalFormatting>
  <conditionalFormatting sqref="AA446:AD458">
    <cfRule type="colorScale" priority="62">
      <colorScale>
        <cfvo type="min"/>
        <cfvo type="max"/>
        <color rgb="FFFFFFFF"/>
        <color rgb="FFE67C73"/>
      </colorScale>
    </cfRule>
  </conditionalFormatting>
  <conditionalFormatting sqref="AI10:AL22">
    <cfRule type="colorScale" priority="6">
      <colorScale>
        <cfvo type="min"/>
        <cfvo type="max"/>
        <color rgb="FFFFFFFF"/>
        <color rgb="FFE67C73"/>
      </colorScale>
    </cfRule>
  </conditionalFormatting>
  <conditionalFormatting sqref="AI113:AL125">
    <cfRule type="colorScale" priority="18">
      <colorScale>
        <cfvo type="min"/>
        <cfvo type="max"/>
        <color rgb="FFFFFFFF"/>
        <color rgb="FFE67C73"/>
      </colorScale>
    </cfRule>
  </conditionalFormatting>
  <conditionalFormatting sqref="AI149:AL161">
    <cfRule type="colorScale" priority="25">
      <colorScale>
        <cfvo type="min"/>
        <cfvo type="max"/>
        <color rgb="FFFFFFFF"/>
        <color rgb="FFE67C73"/>
      </colorScale>
    </cfRule>
  </conditionalFormatting>
  <conditionalFormatting sqref="AI185:AL197">
    <cfRule type="colorScale" priority="32">
      <colorScale>
        <cfvo type="min"/>
        <cfvo type="max"/>
        <color rgb="FFFFFFFF"/>
        <color rgb="FFE67C73"/>
      </colorScale>
    </cfRule>
  </conditionalFormatting>
  <conditionalFormatting sqref="AI224:AL236">
    <cfRule type="colorScale" priority="39">
      <colorScale>
        <cfvo type="min"/>
        <cfvo type="max"/>
        <color rgb="FFFFFFFF"/>
        <color rgb="FFE67C73"/>
      </colorScale>
    </cfRule>
  </conditionalFormatting>
  <conditionalFormatting sqref="AI325:AL337">
    <cfRule type="colorScale" priority="49">
      <colorScale>
        <cfvo type="min"/>
        <cfvo type="max"/>
        <color rgb="FFFFFFFF"/>
        <color rgb="FFE67C73"/>
      </colorScale>
    </cfRule>
  </conditionalFormatting>
  <conditionalFormatting sqref="AI410:AL422">
    <cfRule type="colorScale" priority="56">
      <colorScale>
        <cfvo type="min"/>
        <cfvo type="max"/>
        <color rgb="FFFFFFFF"/>
        <color rgb="FFE67C73"/>
      </colorScale>
    </cfRule>
  </conditionalFormatting>
  <conditionalFormatting sqref="AI446:AL458">
    <cfRule type="colorScale" priority="63">
      <colorScale>
        <cfvo type="min"/>
        <cfvo type="max"/>
        <color rgb="FFFFFFFF"/>
        <color rgb="FFE67C73"/>
      </colorScale>
    </cfRule>
  </conditionalFormatting>
  <conditionalFormatting sqref="AQ410:AQ418">
    <cfRule type="colorScale" priority="72">
      <colorScale>
        <cfvo type="min"/>
        <cfvo type="max"/>
        <color rgb="FFFFFFFF"/>
        <color rgb="FFE67C73"/>
      </colorScale>
    </cfRule>
  </conditionalFormatting>
  <conditionalFormatting sqref="AQ10:AT22">
    <cfRule type="colorScale" priority="7">
      <colorScale>
        <cfvo type="min"/>
        <cfvo type="max"/>
        <color rgb="FFFFFFFF"/>
        <color rgb="FFE67C73"/>
      </colorScale>
    </cfRule>
  </conditionalFormatting>
  <conditionalFormatting sqref="AQ113:AT125">
    <cfRule type="colorScale" priority="19">
      <colorScale>
        <cfvo type="min"/>
        <cfvo type="max"/>
        <color rgb="FFFFFFFF"/>
        <color rgb="FFE67C73"/>
      </colorScale>
    </cfRule>
  </conditionalFormatting>
  <conditionalFormatting sqref="AQ149:AT161">
    <cfRule type="colorScale" priority="26">
      <colorScale>
        <cfvo type="min"/>
        <cfvo type="max"/>
        <color rgb="FFFFFFFF"/>
        <color rgb="FFE67C73"/>
      </colorScale>
    </cfRule>
  </conditionalFormatting>
  <conditionalFormatting sqref="AQ185:AT197">
    <cfRule type="colorScale" priority="33">
      <colorScale>
        <cfvo type="min"/>
        <cfvo type="max"/>
        <color rgb="FFFFFFFF"/>
        <color rgb="FFE67C73"/>
      </colorScale>
    </cfRule>
  </conditionalFormatting>
  <conditionalFormatting sqref="AQ224:AT236">
    <cfRule type="colorScale" priority="40">
      <colorScale>
        <cfvo type="min"/>
        <cfvo type="max"/>
        <color rgb="FFFFFFFF"/>
        <color rgb="FFE67C73"/>
      </colorScale>
    </cfRule>
  </conditionalFormatting>
  <conditionalFormatting sqref="AQ325:AT337">
    <cfRule type="colorScale" priority="50">
      <colorScale>
        <cfvo type="min"/>
        <cfvo type="max"/>
        <color rgb="FFFFFFFF"/>
        <color rgb="FFE67C73"/>
      </colorScale>
    </cfRule>
  </conditionalFormatting>
  <conditionalFormatting sqref="AQ419:AT422">
    <cfRule type="colorScale" priority="57">
      <colorScale>
        <cfvo type="min"/>
        <cfvo type="max"/>
        <color rgb="FFFFFFFF"/>
        <color rgb="FFE67C73"/>
      </colorScale>
    </cfRule>
  </conditionalFormatting>
  <conditionalFormatting sqref="AQ446:AT458">
    <cfRule type="colorScale" priority="64">
      <colorScale>
        <cfvo type="min"/>
        <cfvo type="max"/>
        <color rgb="FFFFFFFF"/>
        <color rgb="FFE67C73"/>
      </colorScale>
    </cfRule>
  </conditionalFormatting>
  <conditionalFormatting sqref="AR410:AR418">
    <cfRule type="colorScale" priority="73">
      <colorScale>
        <cfvo type="min"/>
        <cfvo type="max"/>
        <color rgb="FFFFFFFF"/>
        <color rgb="FFE67C73"/>
      </colorScale>
    </cfRule>
  </conditionalFormatting>
  <conditionalFormatting sqref="AS410:AS418">
    <cfRule type="colorScale" priority="74">
      <colorScale>
        <cfvo type="min"/>
        <cfvo type="max"/>
        <color rgb="FFFFFFFF"/>
        <color rgb="FFE67C73"/>
      </colorScale>
    </cfRule>
  </conditionalFormatting>
  <conditionalFormatting sqref="AT410:AT418">
    <cfRule type="colorScale" priority="75">
      <colorScale>
        <cfvo type="min"/>
        <cfvo type="max"/>
        <color rgb="FFFFFFFF"/>
        <color rgb="FFE67C73"/>
      </colorScale>
    </cfRule>
  </conditionalFormatting>
  <conditionalFormatting sqref="AY10:BB22">
    <cfRule type="colorScale" priority="8">
      <colorScale>
        <cfvo type="min"/>
        <cfvo type="max"/>
        <color rgb="FFFFFFFF"/>
        <color rgb="FFE67C73"/>
      </colorScale>
    </cfRule>
  </conditionalFormatting>
  <conditionalFormatting sqref="AY113:BB125">
    <cfRule type="colorScale" priority="20">
      <colorScale>
        <cfvo type="min"/>
        <cfvo type="max"/>
        <color rgb="FFFFFFFF"/>
        <color rgb="FFE67C73"/>
      </colorScale>
    </cfRule>
  </conditionalFormatting>
  <conditionalFormatting sqref="AY149:BB161">
    <cfRule type="colorScale" priority="27">
      <colorScale>
        <cfvo type="min"/>
        <cfvo type="max"/>
        <color rgb="FFFFFFFF"/>
        <color rgb="FFE67C73"/>
      </colorScale>
    </cfRule>
  </conditionalFormatting>
  <conditionalFormatting sqref="AY185:BB197">
    <cfRule type="colorScale" priority="34">
      <colorScale>
        <cfvo type="min"/>
        <cfvo type="max"/>
        <color rgb="FFFFFFFF"/>
        <color rgb="FFE67C73"/>
      </colorScale>
    </cfRule>
  </conditionalFormatting>
  <conditionalFormatting sqref="AY224:BB236">
    <cfRule type="colorScale" priority="41">
      <colorScale>
        <cfvo type="min"/>
        <cfvo type="max"/>
        <color rgb="FFFFFFFF"/>
        <color rgb="FFE67C73"/>
      </colorScale>
    </cfRule>
  </conditionalFormatting>
  <conditionalFormatting sqref="AY325:BB337">
    <cfRule type="colorScale" priority="51">
      <colorScale>
        <cfvo type="min"/>
        <cfvo type="max"/>
        <color rgb="FFFFFFFF"/>
        <color rgb="FFE67C73"/>
      </colorScale>
    </cfRule>
  </conditionalFormatting>
  <conditionalFormatting sqref="AY410:BB422">
    <cfRule type="colorScale" priority="58">
      <colorScale>
        <cfvo type="min"/>
        <cfvo type="max"/>
        <color rgb="FFFFFFFF"/>
        <color rgb="FFE67C73"/>
      </colorScale>
    </cfRule>
  </conditionalFormatting>
  <conditionalFormatting sqref="AY446:BB458">
    <cfRule type="colorScale" priority="65">
      <colorScale>
        <cfvo type="min"/>
        <cfvo type="max"/>
        <color rgb="FFFFFFFF"/>
        <color rgb="FFE67C73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C1002"/>
  <sheetViews>
    <sheetView topLeftCell="O31" zoomScaleNormal="100" workbookViewId="0">
      <selection activeCell="AC50" sqref="AC50"/>
    </sheetView>
  </sheetViews>
  <sheetFormatPr defaultColWidth="14.44140625" defaultRowHeight="15" customHeight="1" x14ac:dyDescent="0.3"/>
  <cols>
    <col min="1" max="12" width="9.109375" customWidth="1"/>
    <col min="13" max="13" width="5" customWidth="1"/>
    <col min="14" max="55" width="9.109375" customWidth="1"/>
  </cols>
  <sheetData>
    <row r="1" spans="1:55" ht="14.25" customHeight="1" x14ac:dyDescent="0.3">
      <c r="A1" s="131"/>
      <c r="B1" s="16" t="s">
        <v>195</v>
      </c>
      <c r="C1" s="139" t="s">
        <v>146</v>
      </c>
      <c r="D1" s="225">
        <f ca="1">IF('Take-off'!$C$9="",'Take-off'!$C$16,MAX(0,'Take-off'!$C$16+30*(1013-'Take-off'!$C$9)))</f>
        <v>770</v>
      </c>
      <c r="E1" s="226"/>
      <c r="F1" s="226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240"/>
      <c r="AW1" s="131"/>
      <c r="AX1" s="131"/>
      <c r="AY1" s="131"/>
      <c r="AZ1" s="131"/>
      <c r="BA1" s="131"/>
      <c r="BB1" s="131"/>
      <c r="BC1" s="131"/>
    </row>
    <row r="2" spans="1:55" ht="14.25" customHeight="1" x14ac:dyDescent="0.3">
      <c r="A2" s="131"/>
      <c r="B2" s="16" t="s">
        <v>197</v>
      </c>
      <c r="C2" s="139" t="s">
        <v>147</v>
      </c>
      <c r="D2" s="225">
        <f ca="1">IF('Take-off'!C13='Dropdown lists'!B30, 'Take-off'!$C$8+6, 'Take-off'!$C$8)</f>
        <v>15</v>
      </c>
      <c r="E2" s="227" t="s">
        <v>238</v>
      </c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240"/>
      <c r="AW2" s="131"/>
      <c r="AX2" s="131"/>
      <c r="AY2" s="131"/>
      <c r="AZ2" s="131"/>
      <c r="BA2" s="131"/>
      <c r="BB2" s="131"/>
      <c r="BC2" s="131"/>
    </row>
    <row r="3" spans="1:55" ht="14.25" customHeight="1" x14ac:dyDescent="0.3">
      <c r="A3" s="131"/>
      <c r="B3" s="356" t="s">
        <v>138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131"/>
      <c r="N3" s="131"/>
      <c r="O3" s="356" t="s">
        <v>239</v>
      </c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131"/>
      <c r="AA3" s="131"/>
      <c r="AB3" s="356" t="s">
        <v>240</v>
      </c>
      <c r="AC3" s="356"/>
      <c r="AD3" s="356"/>
      <c r="AE3" s="356"/>
      <c r="AF3" s="356"/>
      <c r="AG3" s="356"/>
      <c r="AH3" s="356"/>
      <c r="AI3" s="356"/>
      <c r="AJ3" s="356"/>
      <c r="AK3" s="356"/>
      <c r="AL3" s="356"/>
      <c r="AM3" s="131"/>
      <c r="AN3" s="131"/>
      <c r="AO3" s="131"/>
      <c r="AP3" s="131"/>
      <c r="AQ3" s="131"/>
      <c r="AR3" s="131"/>
      <c r="AS3" s="131"/>
      <c r="AT3" s="131"/>
      <c r="AU3" s="131"/>
      <c r="AV3" s="240"/>
      <c r="AW3" s="131"/>
      <c r="AX3" s="131"/>
      <c r="AY3" s="131"/>
      <c r="AZ3" s="131"/>
      <c r="BA3" s="131"/>
      <c r="BB3" s="131"/>
      <c r="BC3" s="131"/>
    </row>
    <row r="4" spans="1:55" ht="15" customHeight="1" x14ac:dyDescent="0.3">
      <c r="B4" s="357" t="s">
        <v>241</v>
      </c>
      <c r="C4" s="357"/>
      <c r="D4" s="357"/>
      <c r="E4" s="357"/>
      <c r="F4" s="357"/>
      <c r="G4" s="72"/>
      <c r="H4" s="72"/>
      <c r="I4" s="72"/>
      <c r="J4" s="72"/>
      <c r="K4" s="72"/>
      <c r="L4" s="72"/>
      <c r="M4" s="72"/>
      <c r="O4" s="357" t="s">
        <v>241</v>
      </c>
      <c r="P4" s="357"/>
      <c r="Q4" s="357"/>
      <c r="R4" s="357"/>
      <c r="S4" s="357"/>
      <c r="T4" s="72"/>
      <c r="U4" s="72"/>
      <c r="V4" s="72"/>
      <c r="W4" s="72"/>
      <c r="X4" s="72"/>
      <c r="Y4" s="72"/>
      <c r="Z4" s="139"/>
      <c r="AB4" s="357" t="s">
        <v>241</v>
      </c>
      <c r="AC4" s="357"/>
      <c r="AD4" s="357"/>
      <c r="AE4" s="357"/>
      <c r="AF4" s="357"/>
      <c r="AG4" s="72"/>
      <c r="AH4" s="72"/>
      <c r="AI4" s="72"/>
      <c r="AJ4" s="72"/>
      <c r="AK4" s="72"/>
      <c r="AL4" s="72"/>
      <c r="AM4" s="2"/>
      <c r="AN4" s="2"/>
      <c r="AO4" s="2"/>
      <c r="AP4" s="139"/>
      <c r="AQ4" s="140"/>
      <c r="AU4" s="2"/>
      <c r="AV4" s="2"/>
      <c r="AW4" s="2"/>
      <c r="AX4" s="139"/>
      <c r="AY4" s="140"/>
    </row>
    <row r="5" spans="1:55" ht="15" customHeight="1" x14ac:dyDescent="0.3">
      <c r="A5" t="s">
        <v>242</v>
      </c>
      <c r="B5" s="229">
        <v>-500</v>
      </c>
      <c r="C5" s="232">
        <v>0</v>
      </c>
      <c r="D5" s="230">
        <v>1000</v>
      </c>
      <c r="E5" s="55">
        <v>2000</v>
      </c>
      <c r="F5" s="55">
        <v>3000</v>
      </c>
      <c r="G5" s="231">
        <v>4000</v>
      </c>
      <c r="H5" s="139"/>
      <c r="J5" s="139"/>
      <c r="K5" s="140"/>
      <c r="N5" t="s">
        <v>242</v>
      </c>
      <c r="O5" s="229">
        <v>-500</v>
      </c>
      <c r="P5" s="232">
        <v>0</v>
      </c>
      <c r="Q5" s="230">
        <v>1000</v>
      </c>
      <c r="R5" s="55">
        <v>2000</v>
      </c>
      <c r="S5" s="55">
        <v>3000</v>
      </c>
      <c r="T5" s="231">
        <v>4000</v>
      </c>
      <c r="U5" s="139"/>
      <c r="V5" s="140"/>
      <c r="X5" s="140"/>
      <c r="AA5" t="s">
        <v>242</v>
      </c>
      <c r="AB5" s="229">
        <v>-500</v>
      </c>
      <c r="AC5" s="232">
        <v>0</v>
      </c>
      <c r="AD5" s="230">
        <v>1000</v>
      </c>
      <c r="AE5" s="55">
        <v>2000</v>
      </c>
      <c r="AF5" s="55">
        <v>3000</v>
      </c>
      <c r="AG5" s="231">
        <v>4000</v>
      </c>
      <c r="AH5" s="139"/>
      <c r="AI5" s="140"/>
      <c r="AK5" s="139"/>
      <c r="AL5" s="140"/>
      <c r="AN5" s="139"/>
      <c r="AO5" s="140"/>
      <c r="AS5" s="2"/>
      <c r="AT5" s="2"/>
      <c r="AU5" s="2"/>
      <c r="AV5" s="139"/>
      <c r="AW5" s="140"/>
    </row>
    <row r="6" spans="1:55" ht="15" customHeight="1" x14ac:dyDescent="0.3">
      <c r="A6">
        <v>-40</v>
      </c>
      <c r="B6" s="229">
        <v>2000</v>
      </c>
      <c r="C6" s="232">
        <v>2000</v>
      </c>
      <c r="D6" s="230">
        <v>2000</v>
      </c>
      <c r="E6" s="55">
        <v>2200</v>
      </c>
      <c r="F6" s="55">
        <v>2300</v>
      </c>
      <c r="G6" s="231">
        <v>99999</v>
      </c>
      <c r="H6" s="139"/>
      <c r="J6" s="139"/>
      <c r="K6" s="140"/>
      <c r="N6">
        <v>-40</v>
      </c>
      <c r="O6" s="229">
        <v>2000</v>
      </c>
      <c r="P6" s="232">
        <v>2000</v>
      </c>
      <c r="Q6" s="230">
        <v>2000</v>
      </c>
      <c r="R6" s="55">
        <v>2000</v>
      </c>
      <c r="S6" s="55">
        <v>2000</v>
      </c>
      <c r="T6" s="231">
        <v>99999</v>
      </c>
      <c r="U6" s="139"/>
      <c r="V6" s="140"/>
      <c r="X6" s="140"/>
      <c r="AA6">
        <v>-40</v>
      </c>
      <c r="AB6" s="229">
        <v>1800</v>
      </c>
      <c r="AC6" s="232">
        <v>1800</v>
      </c>
      <c r="AD6" s="230">
        <v>1800</v>
      </c>
      <c r="AE6" s="55">
        <v>1800</v>
      </c>
      <c r="AF6" s="55">
        <v>1800</v>
      </c>
      <c r="AG6" s="231">
        <v>99999</v>
      </c>
      <c r="AH6" s="139"/>
      <c r="AI6" s="140"/>
      <c r="AK6" s="139"/>
      <c r="AL6" s="140"/>
      <c r="AN6" s="139"/>
      <c r="AO6" s="140"/>
      <c r="AS6" s="2"/>
      <c r="AT6" s="2"/>
      <c r="AU6" s="2"/>
      <c r="AV6" s="139"/>
      <c r="AW6" s="140"/>
    </row>
    <row r="7" spans="1:55" ht="15" customHeight="1" x14ac:dyDescent="0.3">
      <c r="A7">
        <v>-30</v>
      </c>
      <c r="B7" s="233">
        <v>2000</v>
      </c>
      <c r="C7" s="72">
        <v>2000</v>
      </c>
      <c r="D7" s="203">
        <v>2000</v>
      </c>
      <c r="E7">
        <v>2200</v>
      </c>
      <c r="F7">
        <v>2300</v>
      </c>
      <c r="G7" s="22">
        <v>99999</v>
      </c>
      <c r="H7" s="139"/>
      <c r="J7" s="139"/>
      <c r="K7" s="140"/>
      <c r="N7">
        <v>-30</v>
      </c>
      <c r="O7" s="233">
        <v>2000</v>
      </c>
      <c r="P7" s="72">
        <v>2000</v>
      </c>
      <c r="Q7" s="203">
        <v>2000</v>
      </c>
      <c r="R7">
        <v>2000</v>
      </c>
      <c r="S7">
        <v>2000</v>
      </c>
      <c r="T7" s="22">
        <v>99999</v>
      </c>
      <c r="U7" s="139"/>
      <c r="V7" s="140"/>
      <c r="X7" s="140"/>
      <c r="AA7">
        <v>-30</v>
      </c>
      <c r="AB7" s="233">
        <v>1800</v>
      </c>
      <c r="AC7" s="72">
        <v>1800</v>
      </c>
      <c r="AD7" s="203">
        <v>1800</v>
      </c>
      <c r="AE7">
        <v>1800</v>
      </c>
      <c r="AF7">
        <v>1800</v>
      </c>
      <c r="AG7" s="22">
        <v>99999</v>
      </c>
      <c r="AH7" s="139"/>
      <c r="AI7" s="140"/>
      <c r="AK7" s="139"/>
      <c r="AL7" s="140"/>
      <c r="AN7" s="139"/>
      <c r="AO7" s="140"/>
      <c r="AS7" s="2"/>
      <c r="AT7" s="2"/>
      <c r="AU7" s="2"/>
      <c r="AV7" s="139"/>
      <c r="AW7" s="140"/>
    </row>
    <row r="8" spans="1:55" ht="15" customHeight="1" x14ac:dyDescent="0.3">
      <c r="A8">
        <v>-20</v>
      </c>
      <c r="B8" s="233">
        <v>2000</v>
      </c>
      <c r="C8" s="72">
        <v>2000</v>
      </c>
      <c r="D8" s="203">
        <v>2000</v>
      </c>
      <c r="E8">
        <v>2400</v>
      </c>
      <c r="F8">
        <v>2600</v>
      </c>
      <c r="G8" s="22">
        <v>99999</v>
      </c>
      <c r="H8" s="139"/>
      <c r="J8" s="139"/>
      <c r="K8" s="140"/>
      <c r="N8">
        <v>-20</v>
      </c>
      <c r="O8" s="233">
        <v>2000</v>
      </c>
      <c r="P8" s="72">
        <v>2000</v>
      </c>
      <c r="Q8" s="203">
        <v>2100</v>
      </c>
      <c r="R8">
        <v>2200</v>
      </c>
      <c r="S8">
        <v>2400</v>
      </c>
      <c r="T8" s="22">
        <v>99999</v>
      </c>
      <c r="U8" s="139"/>
      <c r="V8" s="140"/>
      <c r="X8" s="140"/>
      <c r="AA8">
        <v>-20</v>
      </c>
      <c r="AB8" s="233">
        <v>1800</v>
      </c>
      <c r="AC8" s="72">
        <v>1800</v>
      </c>
      <c r="AD8" s="203">
        <v>1900</v>
      </c>
      <c r="AE8">
        <v>2000</v>
      </c>
      <c r="AF8">
        <v>2100</v>
      </c>
      <c r="AG8" s="22">
        <v>99999</v>
      </c>
      <c r="AH8" s="139"/>
      <c r="AI8" s="140"/>
      <c r="AK8" s="139"/>
      <c r="AL8" s="140"/>
      <c r="AN8" s="139"/>
      <c r="AO8" s="140"/>
      <c r="AS8" s="2"/>
      <c r="AT8" s="2"/>
      <c r="AU8" s="2"/>
      <c r="AV8" s="139"/>
      <c r="AW8" s="140"/>
    </row>
    <row r="9" spans="1:55" ht="15" customHeight="1" x14ac:dyDescent="0.3">
      <c r="A9">
        <v>-10</v>
      </c>
      <c r="B9" s="233">
        <v>2300</v>
      </c>
      <c r="C9" s="72">
        <v>2300</v>
      </c>
      <c r="D9" s="203">
        <v>2400</v>
      </c>
      <c r="E9">
        <v>2600</v>
      </c>
      <c r="F9">
        <v>2750</v>
      </c>
      <c r="G9" s="22">
        <v>99999</v>
      </c>
      <c r="H9" s="139"/>
      <c r="J9" s="139"/>
      <c r="K9" s="140"/>
      <c r="N9">
        <v>-10</v>
      </c>
      <c r="O9" s="233">
        <v>2100</v>
      </c>
      <c r="P9" s="72">
        <v>2100</v>
      </c>
      <c r="Q9" s="203">
        <v>2200</v>
      </c>
      <c r="R9">
        <v>2400</v>
      </c>
      <c r="S9">
        <v>2500</v>
      </c>
      <c r="T9" s="22">
        <v>99999</v>
      </c>
      <c r="U9" s="139"/>
      <c r="V9" s="140"/>
      <c r="X9" s="140"/>
      <c r="AA9">
        <v>-10</v>
      </c>
      <c r="AB9" s="233">
        <v>1800</v>
      </c>
      <c r="AC9" s="72">
        <v>1800</v>
      </c>
      <c r="AD9" s="203">
        <v>1900</v>
      </c>
      <c r="AE9">
        <v>2050</v>
      </c>
      <c r="AF9">
        <v>2200</v>
      </c>
      <c r="AG9" s="22">
        <v>99999</v>
      </c>
      <c r="AH9" s="139"/>
      <c r="AI9" s="140"/>
      <c r="AK9" s="139"/>
      <c r="AL9" s="140"/>
      <c r="AN9" s="139"/>
      <c r="AO9" s="140"/>
      <c r="AS9" s="2"/>
      <c r="AT9" s="2"/>
      <c r="AU9" s="2"/>
      <c r="AV9" s="139"/>
      <c r="AW9" s="140"/>
    </row>
    <row r="10" spans="1:55" ht="15" customHeight="1" x14ac:dyDescent="0.3">
      <c r="A10">
        <v>0</v>
      </c>
      <c r="B10" s="233">
        <v>2400</v>
      </c>
      <c r="C10" s="72">
        <v>2400</v>
      </c>
      <c r="D10" s="203">
        <v>2600</v>
      </c>
      <c r="E10">
        <v>2800</v>
      </c>
      <c r="F10">
        <v>2900</v>
      </c>
      <c r="G10" s="22">
        <v>99999</v>
      </c>
      <c r="H10" s="139"/>
      <c r="J10" s="139"/>
      <c r="K10" s="140"/>
      <c r="N10">
        <v>0</v>
      </c>
      <c r="O10" s="233">
        <v>2200</v>
      </c>
      <c r="P10" s="72">
        <v>2200</v>
      </c>
      <c r="Q10" s="203">
        <v>2350</v>
      </c>
      <c r="R10">
        <v>2500</v>
      </c>
      <c r="S10">
        <v>2650</v>
      </c>
      <c r="T10" s="22">
        <v>99999</v>
      </c>
      <c r="U10" s="139"/>
      <c r="V10" s="140"/>
      <c r="X10" s="140"/>
      <c r="AA10">
        <v>0</v>
      </c>
      <c r="AB10" s="233">
        <v>1950</v>
      </c>
      <c r="AC10" s="72">
        <v>1950</v>
      </c>
      <c r="AD10" s="203">
        <v>2100</v>
      </c>
      <c r="AE10">
        <v>2200</v>
      </c>
      <c r="AF10">
        <v>2300</v>
      </c>
      <c r="AG10" s="22">
        <v>99999</v>
      </c>
      <c r="AH10" s="139"/>
      <c r="AI10" s="140"/>
      <c r="AK10" s="139"/>
      <c r="AL10" s="140"/>
      <c r="AN10" s="139"/>
      <c r="AO10" s="140"/>
      <c r="AS10" s="2"/>
      <c r="AT10" s="2"/>
      <c r="AU10" s="2"/>
      <c r="AV10" s="139"/>
      <c r="AW10" s="140"/>
    </row>
    <row r="11" spans="1:55" ht="15" customHeight="1" x14ac:dyDescent="0.3">
      <c r="A11">
        <v>10</v>
      </c>
      <c r="B11" s="233">
        <v>2600</v>
      </c>
      <c r="C11" s="72">
        <v>2600</v>
      </c>
      <c r="D11" s="203">
        <v>2800</v>
      </c>
      <c r="E11">
        <v>2900</v>
      </c>
      <c r="F11">
        <v>3100</v>
      </c>
      <c r="G11" s="22">
        <v>99999</v>
      </c>
      <c r="H11" s="139"/>
      <c r="J11" s="139"/>
      <c r="K11" s="140"/>
      <c r="N11">
        <v>10</v>
      </c>
      <c r="O11" s="233">
        <v>2400</v>
      </c>
      <c r="P11" s="72">
        <v>2400</v>
      </c>
      <c r="Q11" s="203">
        <v>2500</v>
      </c>
      <c r="R11">
        <v>2600</v>
      </c>
      <c r="S11">
        <v>2800</v>
      </c>
      <c r="T11" s="22">
        <v>99999</v>
      </c>
      <c r="U11" s="139"/>
      <c r="V11" s="140"/>
      <c r="X11" s="140"/>
      <c r="AA11">
        <v>10</v>
      </c>
      <c r="AB11" s="233">
        <v>2000</v>
      </c>
      <c r="AC11" s="72">
        <v>2000</v>
      </c>
      <c r="AD11" s="203">
        <v>2200</v>
      </c>
      <c r="AE11">
        <v>2300</v>
      </c>
      <c r="AF11">
        <v>2400</v>
      </c>
      <c r="AG11" s="22">
        <v>99999</v>
      </c>
      <c r="AH11" s="139"/>
      <c r="AI11" s="140"/>
      <c r="AK11" s="139"/>
      <c r="AL11" s="140"/>
      <c r="AN11" s="139"/>
      <c r="AO11" s="140"/>
      <c r="AS11" s="2"/>
      <c r="AT11" s="2"/>
      <c r="AU11" s="2"/>
      <c r="AV11" s="139"/>
      <c r="AW11" s="140"/>
    </row>
    <row r="12" spans="1:55" ht="15" customHeight="1" x14ac:dyDescent="0.3">
      <c r="A12">
        <v>20</v>
      </c>
      <c r="B12" s="233">
        <v>2800</v>
      </c>
      <c r="C12" s="72">
        <v>2800</v>
      </c>
      <c r="D12" s="203">
        <v>2900</v>
      </c>
      <c r="E12">
        <v>3000</v>
      </c>
      <c r="F12">
        <v>3200</v>
      </c>
      <c r="G12" s="22">
        <v>99999</v>
      </c>
      <c r="H12" s="139"/>
      <c r="J12" s="139"/>
      <c r="K12" s="140"/>
      <c r="N12">
        <v>20</v>
      </c>
      <c r="O12" s="233">
        <v>2500</v>
      </c>
      <c r="P12" s="72">
        <v>2500</v>
      </c>
      <c r="Q12" s="203">
        <v>2650</v>
      </c>
      <c r="R12">
        <v>2800</v>
      </c>
      <c r="S12">
        <v>3000</v>
      </c>
      <c r="T12" s="22">
        <v>99999</v>
      </c>
      <c r="U12" s="139"/>
      <c r="V12" s="140"/>
      <c r="X12" s="140"/>
      <c r="AA12">
        <v>20</v>
      </c>
      <c r="AB12" s="233">
        <v>2200</v>
      </c>
      <c r="AC12" s="72">
        <v>2200</v>
      </c>
      <c r="AD12" s="203">
        <v>2400</v>
      </c>
      <c r="AE12">
        <v>2500</v>
      </c>
      <c r="AF12">
        <v>2600</v>
      </c>
      <c r="AG12" s="22">
        <v>99999</v>
      </c>
      <c r="AH12" s="139"/>
      <c r="AI12" s="140"/>
      <c r="AK12" s="139"/>
      <c r="AL12" s="140"/>
      <c r="AN12" s="139"/>
      <c r="AO12" s="140"/>
      <c r="AS12" s="2"/>
      <c r="AT12" s="2"/>
      <c r="AU12" s="2"/>
      <c r="AV12" s="139"/>
      <c r="AW12" s="140"/>
    </row>
    <row r="13" spans="1:55" ht="15" customHeight="1" x14ac:dyDescent="0.3">
      <c r="A13">
        <v>30</v>
      </c>
      <c r="B13" s="233">
        <v>2950</v>
      </c>
      <c r="C13" s="72">
        <v>2950</v>
      </c>
      <c r="D13" s="203">
        <v>3100</v>
      </c>
      <c r="E13">
        <v>3250</v>
      </c>
      <c r="F13">
        <v>3500</v>
      </c>
      <c r="G13" s="22">
        <v>99999</v>
      </c>
      <c r="H13" s="139"/>
      <c r="J13" s="139"/>
      <c r="K13" s="140"/>
      <c r="N13">
        <v>30</v>
      </c>
      <c r="O13" s="233">
        <v>2600</v>
      </c>
      <c r="P13" s="72">
        <v>2600</v>
      </c>
      <c r="Q13" s="203">
        <v>2800</v>
      </c>
      <c r="R13">
        <v>3000</v>
      </c>
      <c r="S13">
        <v>3150</v>
      </c>
      <c r="T13" s="22">
        <v>99999</v>
      </c>
      <c r="U13" s="139"/>
      <c r="V13" s="140"/>
      <c r="X13" s="140"/>
      <c r="AA13">
        <v>30</v>
      </c>
      <c r="AB13" s="233">
        <v>2300</v>
      </c>
      <c r="AC13" s="72">
        <v>2300</v>
      </c>
      <c r="AD13" s="203">
        <v>2400</v>
      </c>
      <c r="AE13">
        <v>2600</v>
      </c>
      <c r="AF13">
        <v>2800</v>
      </c>
      <c r="AG13" s="22">
        <v>99999</v>
      </c>
      <c r="AH13" s="139"/>
      <c r="AI13" s="140"/>
      <c r="AK13" s="139"/>
      <c r="AL13" s="140"/>
      <c r="AN13" s="139"/>
      <c r="AO13" s="140"/>
      <c r="AS13" s="2"/>
      <c r="AT13" s="2"/>
      <c r="AU13" s="2"/>
      <c r="AV13" s="139"/>
      <c r="AW13" s="140"/>
    </row>
    <row r="14" spans="1:55" ht="15" customHeight="1" x14ac:dyDescent="0.3">
      <c r="A14">
        <v>40</v>
      </c>
      <c r="B14" s="233">
        <v>3100</v>
      </c>
      <c r="C14" s="72">
        <v>3100</v>
      </c>
      <c r="D14" s="203">
        <v>3230</v>
      </c>
      <c r="E14">
        <v>3500</v>
      </c>
      <c r="F14">
        <v>3800</v>
      </c>
      <c r="G14" s="22">
        <v>99999</v>
      </c>
      <c r="H14" s="139"/>
      <c r="J14" s="139"/>
      <c r="K14" s="140"/>
      <c r="N14">
        <v>40</v>
      </c>
      <c r="O14" s="233">
        <v>2800</v>
      </c>
      <c r="P14" s="72">
        <v>2800</v>
      </c>
      <c r="Q14" s="203">
        <v>3000</v>
      </c>
      <c r="R14">
        <v>3200</v>
      </c>
      <c r="S14">
        <v>3500</v>
      </c>
      <c r="T14" s="22">
        <v>99999</v>
      </c>
      <c r="U14" s="139"/>
      <c r="V14" s="140"/>
      <c r="X14" s="140"/>
      <c r="AA14">
        <v>40</v>
      </c>
      <c r="AB14" s="233">
        <v>2450</v>
      </c>
      <c r="AC14" s="72">
        <v>2450</v>
      </c>
      <c r="AD14" s="203">
        <v>2700</v>
      </c>
      <c r="AE14">
        <v>2900</v>
      </c>
      <c r="AF14">
        <v>3150</v>
      </c>
      <c r="AG14" s="22">
        <v>99999</v>
      </c>
      <c r="AH14" s="139"/>
      <c r="AI14" s="140"/>
      <c r="AK14" s="139"/>
      <c r="AL14" s="140"/>
      <c r="AN14" s="139"/>
      <c r="AO14" s="140"/>
      <c r="AS14" s="2"/>
      <c r="AT14" s="2"/>
      <c r="AU14" s="2"/>
      <c r="AV14" s="139"/>
      <c r="AW14" s="140"/>
    </row>
    <row r="15" spans="1:55" ht="15" customHeight="1" x14ac:dyDescent="0.3">
      <c r="A15">
        <v>45</v>
      </c>
      <c r="B15" s="234">
        <v>99999</v>
      </c>
      <c r="C15" s="238">
        <v>99999</v>
      </c>
      <c r="D15" s="235">
        <v>99999</v>
      </c>
      <c r="E15" s="235">
        <v>99999</v>
      </c>
      <c r="F15" s="235">
        <v>99999</v>
      </c>
      <c r="G15" s="261">
        <v>99999</v>
      </c>
      <c r="H15" s="139"/>
      <c r="J15" s="139"/>
      <c r="K15" s="140"/>
      <c r="N15">
        <v>45</v>
      </c>
      <c r="O15" s="234">
        <v>99999</v>
      </c>
      <c r="P15" s="238">
        <v>99999</v>
      </c>
      <c r="Q15" s="235">
        <v>99999</v>
      </c>
      <c r="R15" s="235">
        <v>99999</v>
      </c>
      <c r="S15" s="235">
        <v>99999</v>
      </c>
      <c r="T15" s="261">
        <v>99999</v>
      </c>
      <c r="U15" s="139"/>
      <c r="V15" s="140"/>
      <c r="X15" s="140"/>
      <c r="AA15">
        <v>45</v>
      </c>
      <c r="AB15" s="234">
        <v>99999</v>
      </c>
      <c r="AC15" s="238">
        <v>99999</v>
      </c>
      <c r="AD15" s="235">
        <v>99999</v>
      </c>
      <c r="AE15" s="235">
        <v>99999</v>
      </c>
      <c r="AF15" s="235">
        <v>99999</v>
      </c>
      <c r="AG15" s="261">
        <v>99999</v>
      </c>
      <c r="AH15" s="139"/>
      <c r="AI15" s="140"/>
      <c r="AK15" s="139"/>
      <c r="AL15" s="140"/>
      <c r="AN15" s="139"/>
      <c r="AO15" s="140"/>
      <c r="AS15" s="2"/>
      <c r="AT15" s="2"/>
      <c r="AU15" s="2"/>
      <c r="AV15" s="139"/>
      <c r="AW15" s="140"/>
    </row>
    <row r="16" spans="1:55" ht="15" customHeight="1" x14ac:dyDescent="0.3">
      <c r="B16" s="139"/>
      <c r="C16" s="140"/>
      <c r="G16" s="2"/>
      <c r="H16" s="2"/>
      <c r="I16" s="2"/>
      <c r="J16" s="139"/>
      <c r="K16" s="140"/>
      <c r="O16" s="139"/>
      <c r="P16" s="140"/>
      <c r="T16" s="2"/>
      <c r="U16" s="2"/>
      <c r="V16" s="2"/>
      <c r="W16" s="139"/>
      <c r="X16" s="140"/>
      <c r="Z16" s="139"/>
      <c r="AB16" s="139"/>
      <c r="AC16" s="140"/>
      <c r="AG16" s="2"/>
      <c r="AH16" s="2"/>
      <c r="AI16" s="2"/>
      <c r="AJ16" s="139"/>
      <c r="AK16" s="140"/>
      <c r="AM16" s="2"/>
      <c r="AN16" s="2"/>
      <c r="AO16" s="2"/>
      <c r="AP16" s="139"/>
      <c r="AQ16" s="140"/>
      <c r="AU16" s="2"/>
      <c r="AV16" s="2"/>
      <c r="AW16" s="2"/>
      <c r="AX16" s="139"/>
      <c r="AY16" s="140"/>
    </row>
    <row r="17" spans="1:53" ht="15" customHeight="1" x14ac:dyDescent="0.3">
      <c r="B17" s="139" t="s">
        <v>146</v>
      </c>
      <c r="C17" s="140">
        <f ca="1">D1</f>
        <v>770</v>
      </c>
      <c r="D17" s="355" t="s">
        <v>201</v>
      </c>
      <c r="E17" s="355"/>
      <c r="G17" s="2"/>
      <c r="H17" s="2"/>
      <c r="I17" s="2"/>
      <c r="J17" s="139"/>
      <c r="K17" s="140"/>
      <c r="L17" s="72"/>
      <c r="O17" s="139" t="s">
        <v>146</v>
      </c>
      <c r="P17" s="140">
        <f ca="1">D1</f>
        <v>770</v>
      </c>
      <c r="Q17" s="355" t="s">
        <v>201</v>
      </c>
      <c r="R17" s="355"/>
      <c r="T17" s="2"/>
      <c r="U17" s="2"/>
      <c r="V17" s="2"/>
      <c r="W17" s="139"/>
      <c r="X17" s="140"/>
      <c r="Y17" s="72"/>
      <c r="Z17" s="139"/>
      <c r="AB17" s="139" t="s">
        <v>146</v>
      </c>
      <c r="AC17" s="140">
        <f ca="1">D1</f>
        <v>770</v>
      </c>
      <c r="AD17" s="355" t="s">
        <v>201</v>
      </c>
      <c r="AE17" s="355"/>
      <c r="AG17" s="2"/>
      <c r="AH17" s="2"/>
      <c r="AI17" s="2"/>
      <c r="AJ17" s="139"/>
      <c r="AK17" s="140"/>
      <c r="AL17" s="72"/>
      <c r="AM17" s="2"/>
      <c r="AN17" s="2"/>
      <c r="AO17" s="2"/>
      <c r="AP17" s="139"/>
      <c r="AQ17" s="140"/>
      <c r="AR17" s="355"/>
      <c r="AS17" s="355"/>
      <c r="AU17" s="2"/>
      <c r="AV17" s="2"/>
      <c r="AW17" s="2"/>
      <c r="AX17" s="139"/>
      <c r="AY17" s="140"/>
      <c r="AZ17" s="355"/>
      <c r="BA17" s="355"/>
    </row>
    <row r="18" spans="1:53" ht="15" customHeight="1" x14ac:dyDescent="0.3">
      <c r="B18" s="16" t="s">
        <v>202</v>
      </c>
      <c r="C18" s="141">
        <f t="array" aca="1" ref="C18" ca="1">INDEX(B5:G5,MATCH(C17,B5:G5,1))</f>
        <v>0</v>
      </c>
      <c r="D18" s="16" t="s">
        <v>144</v>
      </c>
      <c r="E18" s="17">
        <f>MATCH(MAX(A6:A15),A6:A15,1)</f>
        <v>10</v>
      </c>
      <c r="G18" s="2"/>
      <c r="H18" s="2"/>
      <c r="I18" s="2"/>
      <c r="J18" s="16"/>
      <c r="K18" s="141"/>
      <c r="L18" s="16"/>
      <c r="M18" s="17"/>
      <c r="O18" s="16" t="s">
        <v>202</v>
      </c>
      <c r="P18" s="141">
        <f t="array" aca="1" ref="P18" ca="1">INDEX(O5:T5,MATCH(P17,O5:T5,1))</f>
        <v>0</v>
      </c>
      <c r="Q18" s="16" t="s">
        <v>144</v>
      </c>
      <c r="R18" s="17">
        <f>MATCH(MAX(N6:N15),N6:N15,1)</f>
        <v>10</v>
      </c>
      <c r="T18" s="2"/>
      <c r="U18" s="2"/>
      <c r="V18" s="2"/>
      <c r="W18" s="16"/>
      <c r="X18" s="141"/>
      <c r="Y18" s="16"/>
      <c r="Z18" s="16"/>
      <c r="AB18" s="16" t="s">
        <v>202</v>
      </c>
      <c r="AC18" s="141">
        <f t="array" aca="1" ref="AC18" ca="1">INDEX(AB5:AG5,MATCH(AC17,AB5:AG5,1))</f>
        <v>0</v>
      </c>
      <c r="AD18" s="16" t="s">
        <v>144</v>
      </c>
      <c r="AE18" s="17">
        <f>MATCH(MAX(AA6:AA15),AA6:AA15,1)</f>
        <v>10</v>
      </c>
      <c r="AG18" s="2"/>
      <c r="AH18" s="2"/>
      <c r="AI18" s="2"/>
      <c r="AJ18" s="16"/>
      <c r="AK18" s="141"/>
      <c r="AL18" s="16"/>
      <c r="AM18" s="2"/>
      <c r="AN18" s="2"/>
      <c r="AO18" s="2"/>
      <c r="AP18" s="16"/>
      <c r="AQ18" s="141"/>
      <c r="AR18" s="16"/>
      <c r="AS18" s="17"/>
      <c r="AU18" s="2"/>
      <c r="AV18" s="2"/>
      <c r="AW18" s="2"/>
      <c r="AX18" s="16"/>
      <c r="AY18" s="141"/>
      <c r="AZ18" s="16"/>
      <c r="BA18" s="17"/>
    </row>
    <row r="19" spans="1:53" ht="15" customHeight="1" x14ac:dyDescent="0.3">
      <c r="B19" s="16" t="s">
        <v>203</v>
      </c>
      <c r="C19" s="141">
        <f t="array" aca="1" ref="C19" ca="1">INDEX(B5:G5,IF(MATCH(C17,B5:G5,1)&lt;E19,MATCH(C17,B5:G5,1)+1,MATCH(C17,B5:G5,1)))</f>
        <v>1000</v>
      </c>
      <c r="D19" s="16" t="s">
        <v>145</v>
      </c>
      <c r="E19" s="17">
        <f>MATCH(MAX(B5:G5),B5:G5,0)</f>
        <v>6</v>
      </c>
      <c r="G19" s="2"/>
      <c r="H19" s="2"/>
      <c r="I19" s="2"/>
      <c r="J19" s="16"/>
      <c r="K19" s="141"/>
      <c r="L19" s="16"/>
      <c r="M19" s="17"/>
      <c r="O19" s="16" t="s">
        <v>203</v>
      </c>
      <c r="P19" s="141">
        <f t="array" aca="1" ref="P19" ca="1">INDEX(O5:T5,IF(MATCH(P17,O5:T5,1)&lt;R19,MATCH(P17,O5:T5,1)+1,MATCH(P17,O5:T5,1)))</f>
        <v>1000</v>
      </c>
      <c r="Q19" s="16" t="s">
        <v>145</v>
      </c>
      <c r="R19" s="17">
        <f>MATCH(MAX(O5:T5),O5:T5,0)</f>
        <v>6</v>
      </c>
      <c r="T19" s="2"/>
      <c r="U19" s="2"/>
      <c r="V19" s="2"/>
      <c r="W19" s="16"/>
      <c r="X19" s="141"/>
      <c r="Y19" s="16"/>
      <c r="Z19" s="16"/>
      <c r="AB19" s="16" t="s">
        <v>203</v>
      </c>
      <c r="AC19" s="141">
        <f t="array" aca="1" ref="AC19" ca="1">INDEX(AB5:AG5,IF(MATCH(AC17,AB5:AG5,1)&lt;AE19,MATCH(AC17,AB5:AG5,1)+1,MATCH(AC17,AB5:AG5,1)))</f>
        <v>1000</v>
      </c>
      <c r="AD19" s="16" t="s">
        <v>145</v>
      </c>
      <c r="AE19" s="17">
        <f>MATCH(MAX(AB5:AG5),AB5:AG5,0)</f>
        <v>6</v>
      </c>
      <c r="AG19" s="2"/>
      <c r="AH19" s="2"/>
      <c r="AI19" s="2"/>
      <c r="AJ19" s="16"/>
      <c r="AK19" s="141"/>
      <c r="AL19" s="16"/>
      <c r="AM19" s="2"/>
      <c r="AN19" s="2"/>
      <c r="AO19" s="2"/>
      <c r="AP19" s="16"/>
      <c r="AQ19" s="141"/>
      <c r="AR19" s="16"/>
      <c r="AS19" s="17"/>
      <c r="AU19" s="2"/>
      <c r="AV19" s="2"/>
      <c r="AW19" s="2"/>
      <c r="AX19" s="16"/>
      <c r="AY19" s="141"/>
      <c r="AZ19" s="16"/>
      <c r="BA19" s="17"/>
    </row>
    <row r="20" spans="1:53" ht="15" customHeight="1" x14ac:dyDescent="0.3">
      <c r="B20" s="139" t="s">
        <v>147</v>
      </c>
      <c r="C20" s="186">
        <f ca="1">D2</f>
        <v>15</v>
      </c>
      <c r="D20" s="2"/>
      <c r="E20" s="2"/>
      <c r="G20" s="2"/>
      <c r="H20" s="2"/>
      <c r="I20" s="2"/>
      <c r="J20" s="139"/>
      <c r="K20" s="186"/>
      <c r="L20" s="2"/>
      <c r="M20" s="2"/>
      <c r="O20" s="139" t="s">
        <v>147</v>
      </c>
      <c r="P20" s="186">
        <f ca="1">D2</f>
        <v>15</v>
      </c>
      <c r="Q20" s="2"/>
      <c r="R20" s="2"/>
      <c r="T20" s="2"/>
      <c r="U20" s="2"/>
      <c r="V20" s="2"/>
      <c r="W20" s="139"/>
      <c r="X20" s="186"/>
      <c r="Y20" s="2"/>
      <c r="Z20" s="139"/>
      <c r="AB20" s="139" t="s">
        <v>147</v>
      </c>
      <c r="AC20" s="186">
        <f ca="1">D2</f>
        <v>15</v>
      </c>
      <c r="AD20" s="2"/>
      <c r="AE20" s="2"/>
      <c r="AG20" s="2"/>
      <c r="AH20" s="2"/>
      <c r="AI20" s="2"/>
      <c r="AJ20" s="139"/>
      <c r="AK20" s="186"/>
      <c r="AL20" s="2"/>
      <c r="AM20" s="2"/>
      <c r="AN20" s="2"/>
      <c r="AO20" s="2"/>
      <c r="AP20" s="139"/>
      <c r="AQ20" s="186"/>
      <c r="AR20" s="2"/>
      <c r="AS20" s="2"/>
      <c r="AU20" s="2"/>
      <c r="AV20" s="2"/>
      <c r="AW20" s="2"/>
      <c r="AX20" s="139"/>
      <c r="AY20" s="186"/>
      <c r="AZ20" s="2"/>
      <c r="BA20" s="2"/>
    </row>
    <row r="21" spans="1:53" ht="15" customHeight="1" x14ac:dyDescent="0.3">
      <c r="B21" s="16" t="s">
        <v>148</v>
      </c>
      <c r="C21" s="141">
        <f t="array" aca="1" ref="C21" ca="1">INDEX(A6:A15,MATCH(C20,A6:A15,1))</f>
        <v>10</v>
      </c>
      <c r="D21" s="2"/>
      <c r="E21" s="42"/>
      <c r="G21" s="2"/>
      <c r="H21" s="2"/>
      <c r="I21" s="2"/>
      <c r="J21" s="16"/>
      <c r="K21" s="141"/>
      <c r="L21" s="2"/>
      <c r="M21" s="42"/>
      <c r="O21" s="16" t="s">
        <v>148</v>
      </c>
      <c r="P21" s="141">
        <f t="array" aca="1" ref="P21" ca="1">INDEX(N6:N15,MATCH(P20,N6:N15,1))</f>
        <v>10</v>
      </c>
      <c r="Q21" s="2"/>
      <c r="R21" s="42"/>
      <c r="T21" s="2"/>
      <c r="U21" s="2"/>
      <c r="V21" s="2"/>
      <c r="W21" s="16"/>
      <c r="X21" s="141"/>
      <c r="Y21" s="2"/>
      <c r="Z21" s="16"/>
      <c r="AB21" s="16" t="s">
        <v>148</v>
      </c>
      <c r="AC21" s="141">
        <f t="array" aca="1" ref="AC21" ca="1">INDEX(AA6:AA15,MATCH(AC20,AA6:AA15,1))</f>
        <v>10</v>
      </c>
      <c r="AD21" s="2"/>
      <c r="AE21" s="42"/>
      <c r="AG21" s="2"/>
      <c r="AH21" s="2"/>
      <c r="AI21" s="2"/>
      <c r="AJ21" s="16"/>
      <c r="AK21" s="141"/>
      <c r="AL21" s="2"/>
      <c r="AM21" s="2"/>
      <c r="AN21" s="2"/>
      <c r="AO21" s="2"/>
      <c r="AP21" s="16"/>
      <c r="AQ21" s="141"/>
      <c r="AR21" s="2"/>
      <c r="AS21" s="42"/>
      <c r="AU21" s="2"/>
      <c r="AV21" s="2"/>
      <c r="AW21" s="2"/>
      <c r="AX21" s="16"/>
      <c r="AY21" s="141"/>
      <c r="AZ21" s="2"/>
      <c r="BA21" s="42"/>
    </row>
    <row r="22" spans="1:53" ht="15" customHeight="1" x14ac:dyDescent="0.3">
      <c r="B22" s="16" t="s">
        <v>149</v>
      </c>
      <c r="C22" s="141">
        <f t="array" aca="1" ref="C22" ca="1">INDEX(A6:A15,IF(MATCH(C20,A6:A15,1)&lt;E18,MATCH(C20,A6:A15,1)+1,MATCH(C20,A6:A15,1)))</f>
        <v>20</v>
      </c>
      <c r="D22" s="2"/>
      <c r="E22" s="42"/>
      <c r="G22" s="2"/>
      <c r="H22" s="2"/>
      <c r="I22" s="2"/>
      <c r="J22" s="16"/>
      <c r="K22" s="141"/>
      <c r="L22" s="2"/>
      <c r="M22" s="42"/>
      <c r="O22" s="16" t="s">
        <v>149</v>
      </c>
      <c r="P22" s="141">
        <f t="array" aca="1" ref="P22" ca="1">INDEX(N6:N15,IF(MATCH(P20,N6:N15,1)&lt;R18,MATCH(P20,N6:N15,1)+1,MATCH(P20,N6:N15,1)))</f>
        <v>20</v>
      </c>
      <c r="Q22" s="2"/>
      <c r="R22" s="42"/>
      <c r="T22" s="2"/>
      <c r="U22" s="2"/>
      <c r="V22" s="2"/>
      <c r="W22" s="16"/>
      <c r="X22" s="141"/>
      <c r="Y22" s="2"/>
      <c r="Z22" s="16"/>
      <c r="AB22" s="16" t="s">
        <v>149</v>
      </c>
      <c r="AC22" s="141">
        <f t="array" aca="1" ref="AC22" ca="1">INDEX(AA6:AA15,IF(MATCH(AC20,AA6:AA15,1)&lt;AE18,MATCH(AC20,AA6:AA15,1)+1,MATCH(AC20,AA6:AA15,1)))</f>
        <v>20</v>
      </c>
      <c r="AD22" s="2"/>
      <c r="AE22" s="42"/>
      <c r="AG22" s="2"/>
      <c r="AH22" s="2"/>
      <c r="AI22" s="2"/>
      <c r="AJ22" s="16"/>
      <c r="AK22" s="141"/>
      <c r="AL22" s="2"/>
      <c r="AM22" s="2"/>
      <c r="AN22" s="2"/>
      <c r="AO22" s="2"/>
      <c r="AP22" s="16"/>
      <c r="AQ22" s="141"/>
      <c r="AR22" s="2"/>
      <c r="AS22" s="42"/>
      <c r="AU22" s="2"/>
      <c r="AV22" s="2"/>
      <c r="AW22" s="2"/>
      <c r="AX22" s="16"/>
      <c r="AY22" s="141"/>
      <c r="AZ22" s="2"/>
      <c r="BA22" s="42"/>
    </row>
    <row r="23" spans="1:53" ht="15" customHeight="1" x14ac:dyDescent="0.3">
      <c r="B23" s="139" t="s">
        <v>150</v>
      </c>
      <c r="C23" s="140">
        <f t="array" aca="1" ref="C23" ca="1">INDEX(B6:G15,MATCH(C20,A6:A15,1),MATCH(C17,B5:G5,1))</f>
        <v>2600</v>
      </c>
      <c r="D23" s="2"/>
      <c r="E23" s="42"/>
      <c r="G23" s="2"/>
      <c r="H23" s="2"/>
      <c r="I23" s="2"/>
      <c r="J23" s="139"/>
      <c r="K23" s="140"/>
      <c r="L23" s="2"/>
      <c r="M23" s="42"/>
      <c r="O23" s="139" t="s">
        <v>150</v>
      </c>
      <c r="P23" s="140">
        <f t="array" aca="1" ref="P23" ca="1">INDEX(O6:T15,MATCH(P20,N6:N15,1),MATCH(P17,O5:T5,1))</f>
        <v>2400</v>
      </c>
      <c r="Q23" s="2"/>
      <c r="R23" s="42"/>
      <c r="T23" s="2"/>
      <c r="U23" s="2"/>
      <c r="V23" s="2"/>
      <c r="W23" s="139"/>
      <c r="X23" s="140"/>
      <c r="Y23" s="2"/>
      <c r="Z23" s="139"/>
      <c r="AB23" s="139" t="s">
        <v>150</v>
      </c>
      <c r="AC23" s="140">
        <f t="array" aca="1" ref="AC23" ca="1">INDEX(AB6:AG15,MATCH(AC20,AA6:AA15,1),MATCH(AC17,AB5:AG5,1))</f>
        <v>2000</v>
      </c>
      <c r="AD23" s="2"/>
      <c r="AE23" s="42"/>
      <c r="AG23" s="2"/>
      <c r="AH23" s="2"/>
      <c r="AI23" s="2"/>
      <c r="AJ23" s="139"/>
      <c r="AK23" s="140"/>
      <c r="AL23" s="2"/>
      <c r="AM23" s="2"/>
      <c r="AN23" s="2"/>
      <c r="AO23" s="2"/>
      <c r="AP23" s="139"/>
      <c r="AQ23" s="140"/>
      <c r="AR23" s="2"/>
      <c r="AS23" s="42"/>
      <c r="AU23" s="2"/>
      <c r="AV23" s="2"/>
      <c r="AW23" s="2"/>
      <c r="AX23" s="139"/>
      <c r="AY23" s="140"/>
      <c r="AZ23" s="2"/>
      <c r="BA23" s="42"/>
    </row>
    <row r="24" spans="1:53" ht="15" customHeight="1" x14ac:dyDescent="0.3">
      <c r="B24" s="139" t="s">
        <v>204</v>
      </c>
      <c r="C24" s="140">
        <f t="array" aca="1" ref="C24" ca="1">INDEX(B6:G15,MATCH(C20,A6:A15,1),IF(MATCH(C17,B5:G5,1)&lt;E19,MATCH(C17,B5:G5,1)+1,MATCH(C20,A6:A15,1)))</f>
        <v>2800</v>
      </c>
      <c r="E24" s="42"/>
      <c r="G24" s="2"/>
      <c r="H24" s="2"/>
      <c r="I24" s="2"/>
      <c r="J24" s="139"/>
      <c r="K24" s="140"/>
      <c r="M24" s="42"/>
      <c r="O24" s="139" t="s">
        <v>204</v>
      </c>
      <c r="P24" s="140">
        <f t="array" aca="1" ref="P24" ca="1">INDEX(O6:T15,MATCH(P20,N6:N15,1),IF(MATCH(P17,O5:T5,1)&lt;R19,MATCH(P17,O5:T5,1)+1,MATCH(P20,N6:N15,1)))</f>
        <v>2500</v>
      </c>
      <c r="R24" s="42"/>
      <c r="T24" s="2"/>
      <c r="U24" s="2"/>
      <c r="V24" s="2"/>
      <c r="W24" s="139"/>
      <c r="X24" s="140"/>
      <c r="Z24" s="139"/>
      <c r="AB24" s="139" t="s">
        <v>204</v>
      </c>
      <c r="AC24" s="140">
        <f t="array" aca="1" ref="AC24" ca="1">INDEX(AB6:AG15,MATCH(AC20,AA6:AA15,1),IF(MATCH(AC17,AB5:AG5,1)&lt;AE19,MATCH(AC17,AB5:AG5,1)+1,MATCH(AC20,AA6:AA15,1)))</f>
        <v>2200</v>
      </c>
      <c r="AE24" s="42"/>
      <c r="AG24" s="2"/>
      <c r="AH24" s="2"/>
      <c r="AI24" s="2"/>
      <c r="AJ24" s="139"/>
      <c r="AK24" s="140"/>
      <c r="AM24" s="2"/>
      <c r="AN24" s="2"/>
      <c r="AO24" s="2"/>
      <c r="AP24" s="139"/>
      <c r="AQ24" s="140"/>
      <c r="AS24" s="42"/>
      <c r="AU24" s="2"/>
      <c r="AV24" s="2"/>
      <c r="AW24" s="2"/>
      <c r="AX24" s="139"/>
      <c r="AY24" s="140"/>
      <c r="BA24" s="42"/>
    </row>
    <row r="25" spans="1:53" ht="15" customHeight="1" x14ac:dyDescent="0.3">
      <c r="B25" s="139" t="s">
        <v>151</v>
      </c>
      <c r="C25" s="140">
        <f t="array" aca="1" ref="C25" ca="1">INDEX(B6:G15,IF(MATCH(C20,A6:A15,1)&lt;E18,MATCH(C20,A6:A15,1)+1,MATCH(C20,A6:A15,1)),MATCH(C17,B5:G5,1))</f>
        <v>2800</v>
      </c>
      <c r="E25" s="42"/>
      <c r="G25" s="2"/>
      <c r="H25" s="2"/>
      <c r="I25" s="2"/>
      <c r="J25" s="139"/>
      <c r="K25" s="140"/>
      <c r="M25" s="42"/>
      <c r="O25" s="139" t="s">
        <v>151</v>
      </c>
      <c r="P25" s="140">
        <f t="array" aca="1" ref="P25" ca="1">INDEX(O6:T15,IF(MATCH(P20,N6:N15,1)&lt;R18,MATCH(P20,N6:N15,1)+1,MATCH(P20,N6:N15,1)),MATCH(P17,O5:T5,1))</f>
        <v>2500</v>
      </c>
      <c r="R25" s="42"/>
      <c r="T25" s="2"/>
      <c r="U25" s="2"/>
      <c r="V25" s="2"/>
      <c r="W25" s="139"/>
      <c r="X25" s="140"/>
      <c r="Z25" s="139"/>
      <c r="AB25" s="139" t="s">
        <v>151</v>
      </c>
      <c r="AC25" s="140">
        <f t="array" aca="1" ref="AC25" ca="1">INDEX(AB6:AG15,IF(MATCH(AC20,AA6:AA15,1)&lt;AE18,MATCH(AC20,AA6:AA15,1)+1,MATCH(AC20,AA6:AA15,1)),MATCH(AC17,AB5:AG5,1))</f>
        <v>2200</v>
      </c>
      <c r="AE25" s="42"/>
      <c r="AG25" s="2"/>
      <c r="AH25" s="2"/>
      <c r="AI25" s="2"/>
      <c r="AJ25" s="139"/>
      <c r="AK25" s="140"/>
      <c r="AM25" s="2"/>
      <c r="AN25" s="2"/>
      <c r="AO25" s="2"/>
      <c r="AP25" s="139"/>
      <c r="AQ25" s="140"/>
      <c r="AS25" s="42"/>
      <c r="AU25" s="2"/>
      <c r="AV25" s="2"/>
      <c r="AW25" s="2"/>
      <c r="AX25" s="139"/>
      <c r="AY25" s="140"/>
      <c r="BA25" s="42"/>
    </row>
    <row r="26" spans="1:53" ht="15" customHeight="1" x14ac:dyDescent="0.3">
      <c r="B26" s="139" t="s">
        <v>205</v>
      </c>
      <c r="C26" s="140">
        <f t="array" aca="1" ref="C26" ca="1">INDEX(B6:G15,IF(MATCH(C20,A6:A15,1)&lt;E18,MATCH(C20,A6:A15,1)+1,MATCH(C20,A6:A15,1)),IF(MATCH(C17,B5:G5,1)&lt;E19,MATCH(C17,B5:G5,1)+1,MATCH(C17,B5:G5,1)))</f>
        <v>2900</v>
      </c>
      <c r="G26" s="2"/>
      <c r="H26" s="2"/>
      <c r="I26" s="2"/>
      <c r="J26" s="139"/>
      <c r="K26" s="140"/>
      <c r="O26" s="139" t="s">
        <v>205</v>
      </c>
      <c r="P26" s="140">
        <f t="array" aca="1" ref="P26" ca="1">INDEX(O6:T15,IF(MATCH(P20,N6:N15,1)&lt;R18,MATCH(P20,N6:N15,1)+1,MATCH(P20,N6:N15,1)),IF(MATCH(P17,O5:T5,1)&lt;R19,MATCH(P17,O5:T5,1)+1,MATCH(P17,O5:T5,1)))</f>
        <v>2650</v>
      </c>
      <c r="T26" s="2"/>
      <c r="U26" s="2"/>
      <c r="V26" s="2"/>
      <c r="W26" s="139"/>
      <c r="X26" s="140"/>
      <c r="Z26" s="139"/>
      <c r="AB26" s="139" t="s">
        <v>205</v>
      </c>
      <c r="AC26" s="140">
        <f t="array" aca="1" ref="AC26" ca="1">INDEX(AB6:AG15,IF(MATCH(AC20,AA6:AA15,1)&lt;AE18,MATCH(AC20,AA6:AA15,1)+1,MATCH(AC20,AA6:AA15,1)),IF(MATCH(AC17,AB5:AG5,1)&lt;AE19,MATCH(AC17,AB5:AG5,1)+1,MATCH(AC17,AB5:AG5,1)))</f>
        <v>2400</v>
      </c>
      <c r="AG26" s="2"/>
      <c r="AH26" s="2"/>
      <c r="AI26" s="2"/>
      <c r="AJ26" s="139"/>
      <c r="AK26" s="140"/>
      <c r="AM26" s="2"/>
      <c r="AN26" s="2"/>
      <c r="AO26" s="2"/>
      <c r="AP26" s="139"/>
      <c r="AQ26" s="140"/>
      <c r="AU26" s="2"/>
      <c r="AV26" s="2"/>
      <c r="AW26" s="2"/>
      <c r="AX26" s="139"/>
      <c r="AY26" s="140"/>
    </row>
    <row r="27" spans="1:53" ht="15" customHeight="1" x14ac:dyDescent="0.3">
      <c r="B27" s="16" t="s">
        <v>206</v>
      </c>
      <c r="C27" s="141">
        <f ca="1">IFERROR(C23+(C17-C18)*(C24-C23)/(C19-C18),C23)</f>
        <v>2754</v>
      </c>
      <c r="G27" s="2"/>
      <c r="H27" s="2"/>
      <c r="I27" s="2"/>
      <c r="J27" s="16"/>
      <c r="K27" s="141"/>
      <c r="O27" s="16" t="s">
        <v>206</v>
      </c>
      <c r="P27" s="141">
        <f ca="1">IFERROR(P23+(P17-P18)*(P24-P23)/(P19-P18),P23)</f>
        <v>2477</v>
      </c>
      <c r="T27" s="2"/>
      <c r="U27" s="2"/>
      <c r="V27" s="2"/>
      <c r="W27" s="16"/>
      <c r="X27" s="141"/>
      <c r="Z27" s="16"/>
      <c r="AB27" s="16" t="s">
        <v>206</v>
      </c>
      <c r="AC27" s="141">
        <f ca="1">IFERROR(AC23+(AC17-AC18)*(AC24-AC23)/(AC19-AC18),AC23)</f>
        <v>2154</v>
      </c>
      <c r="AG27" s="2"/>
      <c r="AH27" s="2"/>
      <c r="AI27" s="2"/>
      <c r="AJ27" s="16"/>
      <c r="AK27" s="141"/>
      <c r="AM27" s="2"/>
      <c r="AN27" s="2"/>
      <c r="AO27" s="2"/>
      <c r="AP27" s="16"/>
      <c r="AQ27" s="141"/>
      <c r="AU27" s="2"/>
      <c r="AV27" s="2"/>
      <c r="AW27" s="2"/>
      <c r="AX27" s="16"/>
      <c r="AY27" s="141"/>
    </row>
    <row r="28" spans="1:53" ht="15" customHeight="1" x14ac:dyDescent="0.3">
      <c r="B28" s="16" t="s">
        <v>207</v>
      </c>
      <c r="C28" s="141">
        <f ca="1">IFERROR(C25+(C17-C18)*(C26-C25)/(C19-C18),C25)</f>
        <v>2877</v>
      </c>
      <c r="G28" s="2"/>
      <c r="H28" s="2"/>
      <c r="I28" s="2"/>
      <c r="J28" s="16"/>
      <c r="K28" s="141"/>
      <c r="O28" s="16" t="s">
        <v>207</v>
      </c>
      <c r="P28" s="141">
        <f ca="1">IFERROR(P25+(P17-P18)*(P26-P25)/(P19-P18),P25)</f>
        <v>2615.5</v>
      </c>
      <c r="T28" s="2"/>
      <c r="U28" s="2"/>
      <c r="V28" s="2"/>
      <c r="W28" s="16"/>
      <c r="X28" s="141"/>
      <c r="Z28" s="16"/>
      <c r="AB28" s="16" t="s">
        <v>207</v>
      </c>
      <c r="AC28" s="141">
        <f ca="1">IFERROR(AC25+(AC17-AC18)*(AC26-AC25)/(AC19-AC18),AC25)</f>
        <v>2354</v>
      </c>
      <c r="AG28" s="2"/>
      <c r="AH28" s="2"/>
      <c r="AI28" s="2"/>
      <c r="AJ28" s="16"/>
      <c r="AK28" s="141"/>
      <c r="AM28" s="2"/>
      <c r="AN28" s="2"/>
      <c r="AO28" s="2"/>
      <c r="AP28" s="16"/>
      <c r="AQ28" s="141"/>
      <c r="AU28" s="2"/>
      <c r="AV28" s="2"/>
      <c r="AW28" s="2"/>
      <c r="AX28" s="16"/>
      <c r="AY28" s="141"/>
    </row>
    <row r="29" spans="1:53" ht="15" customHeight="1" x14ac:dyDescent="0.3">
      <c r="B29" s="139" t="s">
        <v>208</v>
      </c>
      <c r="C29" s="140">
        <f ca="1">IFERROR(C27+(C20-C21)*(C28-C27)/(C22-C21),C27)</f>
        <v>2815.5</v>
      </c>
      <c r="G29" s="2"/>
      <c r="H29" s="2"/>
      <c r="I29" s="2"/>
      <c r="J29" s="139"/>
      <c r="K29" s="140"/>
      <c r="O29" s="139" t="s">
        <v>208</v>
      </c>
      <c r="P29" s="140">
        <f ca="1">IFERROR(P27+(P20-P21)*(P28-P27)/(P22-P21),P27)</f>
        <v>2546.25</v>
      </c>
      <c r="T29" s="2"/>
      <c r="U29" s="2"/>
      <c r="V29" s="2"/>
      <c r="W29" s="139"/>
      <c r="X29" s="140"/>
      <c r="Z29" s="139"/>
      <c r="AB29" s="139" t="s">
        <v>208</v>
      </c>
      <c r="AC29" s="140">
        <f ca="1">IFERROR(AC27+(AC20-AC21)*(AC28-AC27)/(AC22-AC21),AC27)</f>
        <v>2254</v>
      </c>
      <c r="AG29" s="2"/>
      <c r="AH29" s="2"/>
      <c r="AI29" s="2"/>
      <c r="AJ29" s="139"/>
      <c r="AK29" s="140"/>
      <c r="AM29" s="2"/>
      <c r="AN29" s="2"/>
      <c r="AO29" s="2"/>
      <c r="AP29" s="139"/>
      <c r="AQ29" s="140"/>
      <c r="AU29" s="2"/>
      <c r="AV29" s="2"/>
      <c r="AW29" s="2"/>
      <c r="AX29" s="139"/>
      <c r="AY29" s="140"/>
    </row>
    <row r="30" spans="1:53" ht="15.75" customHeight="1" x14ac:dyDescent="0.3"/>
    <row r="31" spans="1:53" ht="15" customHeight="1" x14ac:dyDescent="0.3">
      <c r="B31" s="355" t="s">
        <v>209</v>
      </c>
      <c r="C31" s="355"/>
      <c r="D31" s="355"/>
      <c r="E31" s="355"/>
      <c r="F31" s="355"/>
      <c r="G31" s="355"/>
      <c r="H31" s="72"/>
      <c r="I31" s="72"/>
      <c r="J31" s="72"/>
      <c r="K31" s="72"/>
      <c r="L31" s="72"/>
      <c r="M31" s="72"/>
      <c r="O31" s="355" t="s">
        <v>209</v>
      </c>
      <c r="P31" s="355"/>
      <c r="Q31" s="355"/>
      <c r="R31" s="355"/>
      <c r="S31" s="355"/>
      <c r="T31" s="355"/>
      <c r="U31" s="72"/>
      <c r="V31" s="72"/>
      <c r="W31" s="72"/>
      <c r="X31" s="72"/>
      <c r="Y31" s="72"/>
      <c r="AB31" s="355" t="s">
        <v>209</v>
      </c>
      <c r="AC31" s="355"/>
      <c r="AD31" s="355"/>
      <c r="AE31" s="355"/>
      <c r="AF31" s="355"/>
      <c r="AG31" s="355"/>
      <c r="AH31" s="72"/>
      <c r="AI31" s="72"/>
      <c r="AJ31" s="72"/>
      <c r="AK31" s="72"/>
      <c r="AL31" s="72"/>
    </row>
    <row r="32" spans="1:53" ht="15" customHeight="1" x14ac:dyDescent="0.3">
      <c r="A32" t="s">
        <v>35</v>
      </c>
      <c r="B32" s="263">
        <v>2000</v>
      </c>
      <c r="C32" s="269">
        <v>3000</v>
      </c>
      <c r="D32" s="270">
        <v>4000</v>
      </c>
      <c r="E32" s="231">
        <v>4500</v>
      </c>
      <c r="N32" t="s">
        <v>35</v>
      </c>
      <c r="O32" s="263">
        <v>2000</v>
      </c>
      <c r="P32" s="269">
        <v>2500</v>
      </c>
      <c r="Q32" s="269">
        <v>3000</v>
      </c>
      <c r="R32" s="270">
        <v>4000</v>
      </c>
      <c r="S32" s="231">
        <v>4500</v>
      </c>
      <c r="AC32" t="s">
        <v>35</v>
      </c>
      <c r="AD32" s="263">
        <v>1000</v>
      </c>
      <c r="AE32" s="269">
        <v>2000</v>
      </c>
      <c r="AF32" s="270">
        <v>3000</v>
      </c>
      <c r="AG32" s="231">
        <v>3500</v>
      </c>
    </row>
    <row r="33" spans="1:38" ht="15" customHeight="1" x14ac:dyDescent="0.3">
      <c r="A33">
        <v>10000</v>
      </c>
      <c r="B33" s="229">
        <v>2000</v>
      </c>
      <c r="C33" s="230">
        <v>3000</v>
      </c>
      <c r="D33" s="55">
        <v>4000</v>
      </c>
      <c r="E33" s="231">
        <v>99999</v>
      </c>
      <c r="N33">
        <v>10000</v>
      </c>
      <c r="O33" s="229">
        <v>2000</v>
      </c>
      <c r="P33" s="230">
        <v>2500</v>
      </c>
      <c r="Q33" s="230">
        <v>3000</v>
      </c>
      <c r="R33" s="55">
        <v>4000</v>
      </c>
      <c r="S33" s="231">
        <v>99999</v>
      </c>
      <c r="AC33">
        <v>10000</v>
      </c>
      <c r="AD33" s="229">
        <v>1000</v>
      </c>
      <c r="AE33" s="230">
        <v>2000</v>
      </c>
      <c r="AF33" s="55">
        <v>3000</v>
      </c>
      <c r="AG33" s="231">
        <v>99999</v>
      </c>
    </row>
    <row r="34" spans="1:38" ht="15" customHeight="1" x14ac:dyDescent="0.3">
      <c r="A34">
        <v>11000</v>
      </c>
      <c r="B34" s="233">
        <v>2300</v>
      </c>
      <c r="C34" s="203">
        <v>3400</v>
      </c>
      <c r="D34">
        <v>4500</v>
      </c>
      <c r="E34" s="22">
        <v>99999</v>
      </c>
      <c r="N34">
        <v>11000</v>
      </c>
      <c r="O34" s="233">
        <v>2300</v>
      </c>
      <c r="P34" s="203">
        <v>2900</v>
      </c>
      <c r="Q34" s="203">
        <v>3400</v>
      </c>
      <c r="R34">
        <v>4500</v>
      </c>
      <c r="S34" s="22">
        <v>99999</v>
      </c>
      <c r="AC34">
        <v>11000</v>
      </c>
      <c r="AD34" s="233">
        <v>1000</v>
      </c>
      <c r="AE34" s="203">
        <v>2200</v>
      </c>
      <c r="AF34">
        <v>3400</v>
      </c>
      <c r="AG34" s="22">
        <v>99999</v>
      </c>
    </row>
    <row r="35" spans="1:38" ht="15" customHeight="1" x14ac:dyDescent="0.3">
      <c r="A35">
        <v>12000</v>
      </c>
      <c r="B35" s="233">
        <v>2600</v>
      </c>
      <c r="C35" s="203">
        <v>3800</v>
      </c>
      <c r="D35">
        <v>5200</v>
      </c>
      <c r="E35" s="22">
        <v>99999</v>
      </c>
      <c r="N35">
        <v>12000</v>
      </c>
      <c r="O35" s="233">
        <v>2550</v>
      </c>
      <c r="P35" s="203">
        <v>3100</v>
      </c>
      <c r="Q35" s="203">
        <v>3900</v>
      </c>
      <c r="R35">
        <v>5300</v>
      </c>
      <c r="S35" s="22">
        <v>99999</v>
      </c>
      <c r="AC35">
        <v>12000</v>
      </c>
      <c r="AD35" s="233">
        <v>1200</v>
      </c>
      <c r="AE35" s="203">
        <v>2400</v>
      </c>
      <c r="AF35">
        <v>3900</v>
      </c>
      <c r="AG35" s="22">
        <v>99999</v>
      </c>
    </row>
    <row r="36" spans="1:38" ht="15" customHeight="1" x14ac:dyDescent="0.3">
      <c r="A36">
        <v>13000</v>
      </c>
      <c r="B36" s="233">
        <v>2850</v>
      </c>
      <c r="C36" s="203">
        <v>4300</v>
      </c>
      <c r="D36">
        <v>6000</v>
      </c>
      <c r="E36" s="22">
        <v>99999</v>
      </c>
      <c r="N36">
        <v>13000</v>
      </c>
      <c r="O36" s="233">
        <v>2900</v>
      </c>
      <c r="P36" s="203">
        <v>3650</v>
      </c>
      <c r="Q36" s="203">
        <v>4400</v>
      </c>
      <c r="R36">
        <v>6200</v>
      </c>
      <c r="S36" s="22">
        <v>99999</v>
      </c>
      <c r="AC36">
        <v>13000</v>
      </c>
      <c r="AD36" s="233">
        <v>1300</v>
      </c>
      <c r="AE36" s="203">
        <v>2800</v>
      </c>
      <c r="AF36">
        <v>4500</v>
      </c>
      <c r="AG36" s="22">
        <v>99999</v>
      </c>
    </row>
    <row r="37" spans="1:38" ht="15" customHeight="1" x14ac:dyDescent="0.3">
      <c r="A37">
        <v>14000</v>
      </c>
      <c r="B37" s="233">
        <v>3100</v>
      </c>
      <c r="C37" s="203">
        <v>4800</v>
      </c>
      <c r="D37">
        <v>6800</v>
      </c>
      <c r="E37" s="22">
        <v>99999</v>
      </c>
      <c r="N37">
        <v>14000</v>
      </c>
      <c r="O37" s="233">
        <v>3200</v>
      </c>
      <c r="P37" s="203">
        <v>4100</v>
      </c>
      <c r="Q37" s="203">
        <v>5000</v>
      </c>
      <c r="R37">
        <v>7400</v>
      </c>
      <c r="S37" s="22">
        <v>99999</v>
      </c>
      <c r="AC37">
        <v>14000</v>
      </c>
      <c r="AD37" s="233">
        <v>1600</v>
      </c>
      <c r="AE37" s="203">
        <v>3200</v>
      </c>
      <c r="AF37">
        <v>5400</v>
      </c>
      <c r="AG37" s="22">
        <v>99999</v>
      </c>
    </row>
    <row r="38" spans="1:38" ht="15" customHeight="1" x14ac:dyDescent="0.3">
      <c r="A38">
        <v>15000</v>
      </c>
      <c r="B38" s="233">
        <v>3400</v>
      </c>
      <c r="C38" s="203">
        <v>5250</v>
      </c>
      <c r="D38">
        <v>7800</v>
      </c>
      <c r="E38" s="22">
        <v>99999</v>
      </c>
      <c r="N38">
        <v>15000</v>
      </c>
      <c r="O38" s="233">
        <v>3500</v>
      </c>
      <c r="P38" s="203">
        <v>4400</v>
      </c>
      <c r="Q38" s="203">
        <v>5400</v>
      </c>
      <c r="R38">
        <v>8500</v>
      </c>
      <c r="S38" s="22">
        <v>99999</v>
      </c>
      <c r="AC38">
        <v>15000</v>
      </c>
      <c r="AD38" s="233">
        <v>1800</v>
      </c>
      <c r="AE38" s="203">
        <v>3500</v>
      </c>
      <c r="AF38">
        <v>6400</v>
      </c>
      <c r="AG38" s="22">
        <v>99999</v>
      </c>
    </row>
    <row r="39" spans="1:38" ht="15" customHeight="1" x14ac:dyDescent="0.3">
      <c r="A39">
        <v>16000</v>
      </c>
      <c r="B39" s="233">
        <v>3700</v>
      </c>
      <c r="C39" s="203">
        <v>5800</v>
      </c>
      <c r="D39">
        <v>8800</v>
      </c>
      <c r="E39" s="22">
        <v>99999</v>
      </c>
      <c r="N39">
        <v>16000</v>
      </c>
      <c r="O39" s="233">
        <v>3700</v>
      </c>
      <c r="P39" s="203">
        <v>4900</v>
      </c>
      <c r="Q39" s="203">
        <v>6000</v>
      </c>
      <c r="R39">
        <v>9800</v>
      </c>
      <c r="S39" s="22">
        <v>99999</v>
      </c>
      <c r="AC39">
        <v>16000</v>
      </c>
      <c r="AD39" s="233">
        <v>2000</v>
      </c>
      <c r="AE39" s="203">
        <v>4300</v>
      </c>
      <c r="AF39">
        <v>8400</v>
      </c>
      <c r="AG39" s="22">
        <v>99999</v>
      </c>
    </row>
    <row r="40" spans="1:38" ht="15" customHeight="1" x14ac:dyDescent="0.3">
      <c r="A40">
        <v>16600</v>
      </c>
      <c r="B40" s="234">
        <v>4200</v>
      </c>
      <c r="C40" s="235">
        <v>6600</v>
      </c>
      <c r="D40" s="68">
        <v>10400</v>
      </c>
      <c r="E40" s="22">
        <v>99999</v>
      </c>
      <c r="N40">
        <v>16600</v>
      </c>
      <c r="O40" s="234">
        <v>4500</v>
      </c>
      <c r="P40" s="235">
        <v>6000</v>
      </c>
      <c r="Q40" s="235">
        <v>7400</v>
      </c>
      <c r="R40" s="68">
        <v>99999</v>
      </c>
      <c r="S40" s="22">
        <v>99999</v>
      </c>
      <c r="AC40">
        <v>16600</v>
      </c>
      <c r="AD40" s="234">
        <v>2200</v>
      </c>
      <c r="AE40" s="235">
        <v>5100</v>
      </c>
      <c r="AF40" s="68">
        <v>12000</v>
      </c>
      <c r="AG40" s="22">
        <v>99999</v>
      </c>
    </row>
    <row r="41" spans="1:38" ht="15" customHeight="1" x14ac:dyDescent="0.3">
      <c r="A41">
        <v>16700</v>
      </c>
      <c r="B41" s="234">
        <v>99999</v>
      </c>
      <c r="C41" s="235">
        <v>99999</v>
      </c>
      <c r="D41" s="235">
        <v>99999</v>
      </c>
      <c r="E41" s="292">
        <v>99999</v>
      </c>
      <c r="F41" s="203"/>
      <c r="G41" s="203"/>
      <c r="H41" s="203"/>
      <c r="I41" s="203"/>
      <c r="J41" s="203"/>
      <c r="K41" s="12"/>
      <c r="N41">
        <v>16700</v>
      </c>
      <c r="O41" s="234">
        <v>99999</v>
      </c>
      <c r="P41" s="235">
        <v>99999</v>
      </c>
      <c r="Q41" s="235">
        <v>99999</v>
      </c>
      <c r="R41" s="235">
        <v>99999</v>
      </c>
      <c r="S41" s="292">
        <v>99999</v>
      </c>
      <c r="U41" s="203"/>
      <c r="V41" s="203"/>
      <c r="AC41">
        <v>16700</v>
      </c>
      <c r="AD41" s="234">
        <v>99999</v>
      </c>
      <c r="AE41" s="235">
        <v>99999</v>
      </c>
      <c r="AF41" s="235">
        <v>99999</v>
      </c>
      <c r="AG41" s="292">
        <v>99999</v>
      </c>
      <c r="AH41" s="203"/>
    </row>
    <row r="42" spans="1:38" ht="15" customHeight="1" x14ac:dyDescent="0.3">
      <c r="B42" s="139"/>
      <c r="C42" s="140"/>
      <c r="G42" s="2"/>
      <c r="H42" s="2"/>
      <c r="I42" s="2"/>
      <c r="J42" s="139"/>
      <c r="K42" s="140"/>
      <c r="O42" s="139"/>
      <c r="P42" s="140"/>
      <c r="T42" s="2"/>
      <c r="U42" s="2"/>
      <c r="V42" s="2"/>
      <c r="W42" s="139"/>
      <c r="X42" s="140"/>
      <c r="AB42" s="139"/>
      <c r="AC42" s="140"/>
      <c r="AG42" s="2"/>
      <c r="AH42" s="2"/>
      <c r="AI42" s="2"/>
      <c r="AJ42" s="139"/>
      <c r="AK42" s="140"/>
    </row>
    <row r="43" spans="1:38" ht="15" customHeight="1" x14ac:dyDescent="0.3">
      <c r="B43" s="139" t="s">
        <v>146</v>
      </c>
      <c r="C43" s="140">
        <f ca="1">C29</f>
        <v>2815.5</v>
      </c>
      <c r="D43" s="355" t="s">
        <v>201</v>
      </c>
      <c r="E43" s="355"/>
      <c r="G43" s="2"/>
      <c r="H43" s="2"/>
      <c r="I43" s="2"/>
      <c r="J43" s="139"/>
      <c r="K43" s="140"/>
      <c r="L43" s="72"/>
      <c r="O43" s="139" t="s">
        <v>146</v>
      </c>
      <c r="P43" s="140">
        <f ca="1">P29</f>
        <v>2546.25</v>
      </c>
      <c r="Q43" s="355" t="s">
        <v>201</v>
      </c>
      <c r="R43" s="355"/>
      <c r="T43" s="2"/>
      <c r="U43" s="2"/>
      <c r="V43" s="2"/>
      <c r="W43" s="139"/>
      <c r="X43" s="140"/>
      <c r="Y43" s="72"/>
      <c r="AB43" s="139" t="s">
        <v>146</v>
      </c>
      <c r="AC43" s="140">
        <f ca="1">AC29</f>
        <v>2254</v>
      </c>
      <c r="AD43" s="355" t="s">
        <v>201</v>
      </c>
      <c r="AE43" s="355"/>
      <c r="AG43" s="2"/>
      <c r="AH43" s="2"/>
      <c r="AI43" s="2"/>
      <c r="AJ43" s="139"/>
      <c r="AK43" s="140"/>
      <c r="AL43" s="72"/>
    </row>
    <row r="44" spans="1:38" ht="15" customHeight="1" x14ac:dyDescent="0.3">
      <c r="B44" s="16" t="s">
        <v>202</v>
      </c>
      <c r="C44" s="141">
        <f t="array" aca="1" ref="C44" ca="1">INDEX(B32:E32,MATCH(C43,B32:E32,1))</f>
        <v>2000</v>
      </c>
      <c r="D44" s="16" t="s">
        <v>144</v>
      </c>
      <c r="E44" s="17">
        <f>MATCH(MAX(A33:A41),A33:A41,1)</f>
        <v>9</v>
      </c>
      <c r="G44" s="2"/>
      <c r="H44" s="2"/>
      <c r="I44" s="2"/>
      <c r="J44" s="16"/>
      <c r="K44" s="141"/>
      <c r="L44" s="16"/>
      <c r="M44" s="17"/>
      <c r="O44" s="16" t="s">
        <v>202</v>
      </c>
      <c r="P44" s="141">
        <f t="array" aca="1" ref="P44" ca="1">INDEX(O32:S32,MATCH(P43,O32:S32,1))</f>
        <v>2500</v>
      </c>
      <c r="Q44" s="16" t="s">
        <v>144</v>
      </c>
      <c r="R44" s="17">
        <f>MATCH(MAX(N33:N41),N33:N41,1)</f>
        <v>9</v>
      </c>
      <c r="T44" s="2"/>
      <c r="U44" s="2"/>
      <c r="V44" s="2"/>
      <c r="W44" s="16"/>
      <c r="X44" s="141"/>
      <c r="Y44" s="16"/>
      <c r="AB44" s="16" t="s">
        <v>202</v>
      </c>
      <c r="AC44" s="141">
        <f t="array" aca="1" ref="AC44" ca="1">INDEX(AD32:AG32,MATCH(AC43,AD32:AG32,1))</f>
        <v>2000</v>
      </c>
      <c r="AD44" s="16" t="s">
        <v>144</v>
      </c>
      <c r="AE44" s="17">
        <f>MATCH(MAX(AC33:AC41),AC33:AC41,1)</f>
        <v>9</v>
      </c>
      <c r="AG44" s="2"/>
      <c r="AH44" s="2"/>
      <c r="AI44" s="2"/>
      <c r="AJ44" s="16"/>
      <c r="AK44" s="141"/>
      <c r="AL44" s="16"/>
    </row>
    <row r="45" spans="1:38" ht="15" customHeight="1" x14ac:dyDescent="0.3">
      <c r="B45" s="16" t="s">
        <v>203</v>
      </c>
      <c r="C45" s="141">
        <f t="array" aca="1" ref="C45" ca="1">INDEX(B32:E32,IF(MATCH(C43,B32:E32,1)&lt;E45,MATCH(C43,B32:E32,1)+1,MATCH(C43,B32:E32,1)))</f>
        <v>3000</v>
      </c>
      <c r="D45" s="16" t="s">
        <v>145</v>
      </c>
      <c r="E45" s="17">
        <f>MATCH(MAX(B32:E32),B32:E32,0)</f>
        <v>4</v>
      </c>
      <c r="G45" s="2"/>
      <c r="H45" s="2"/>
      <c r="I45" s="2"/>
      <c r="J45" s="16"/>
      <c r="K45" s="141"/>
      <c r="L45" s="16"/>
      <c r="M45" s="17"/>
      <c r="O45" s="16" t="s">
        <v>203</v>
      </c>
      <c r="P45" s="141">
        <f t="array" aca="1" ref="P45" ca="1">INDEX(O32:S32,IF(MATCH(P43,O32:S32,1)&lt;R45,MATCH(P43,O32:S32,1)+1,MATCH(P43,O32:S32,1)))</f>
        <v>3000</v>
      </c>
      <c r="Q45" s="16" t="s">
        <v>145</v>
      </c>
      <c r="R45" s="17">
        <f>MATCH(MAX(O32:S32),O32:S32,0)</f>
        <v>5</v>
      </c>
      <c r="T45" s="2"/>
      <c r="U45" s="2"/>
      <c r="V45" s="2"/>
      <c r="W45" s="16"/>
      <c r="X45" s="141"/>
      <c r="Y45" s="16"/>
      <c r="AB45" s="16" t="s">
        <v>203</v>
      </c>
      <c r="AC45" s="141">
        <f t="array" aca="1" ref="AC45" ca="1">INDEX(AD32:AG32,IF(MATCH(AC43,AD32:AG32,1)&lt;AE45,MATCH(AC43,AD32:AG32,1)+1,MATCH(AC43,AD32:AG32,1)))</f>
        <v>3000</v>
      </c>
      <c r="AD45" s="16" t="s">
        <v>145</v>
      </c>
      <c r="AE45" s="17">
        <f>MATCH(MAX(AD32:AG32),AD32:AG32,0)</f>
        <v>4</v>
      </c>
      <c r="AG45" s="2"/>
      <c r="AH45" s="2"/>
      <c r="AI45" s="2"/>
      <c r="AJ45" s="16"/>
      <c r="AK45" s="141"/>
      <c r="AL45" s="16"/>
    </row>
    <row r="46" spans="1:38" ht="15" customHeight="1" x14ac:dyDescent="0.3">
      <c r="B46" s="139" t="s">
        <v>147</v>
      </c>
      <c r="C46" s="186">
        <f>'Take-off'!$C$14</f>
        <v>15800</v>
      </c>
      <c r="D46" s="2"/>
      <c r="E46" s="2"/>
      <c r="G46" s="2"/>
      <c r="H46" s="2"/>
      <c r="I46" s="2"/>
      <c r="J46" s="139"/>
      <c r="K46" s="186"/>
      <c r="L46" s="2"/>
      <c r="M46" s="2"/>
      <c r="O46" s="139" t="s">
        <v>147</v>
      </c>
      <c r="P46" s="186">
        <f>'Take-off'!$C$14</f>
        <v>15800</v>
      </c>
      <c r="Q46" s="2"/>
      <c r="R46" s="2"/>
      <c r="T46" s="2"/>
      <c r="U46" s="2"/>
      <c r="V46" s="2"/>
      <c r="W46" s="139"/>
      <c r="X46" s="186"/>
      <c r="Y46" s="2"/>
      <c r="AB46" s="139" t="s">
        <v>147</v>
      </c>
      <c r="AC46" s="186">
        <f>'Take-off'!$C$14</f>
        <v>15800</v>
      </c>
      <c r="AD46" s="2"/>
      <c r="AE46" s="2"/>
      <c r="AG46" s="2"/>
      <c r="AH46" s="2"/>
      <c r="AI46" s="2"/>
      <c r="AJ46" s="139"/>
      <c r="AK46" s="186"/>
      <c r="AL46" s="2"/>
    </row>
    <row r="47" spans="1:38" ht="15" customHeight="1" x14ac:dyDescent="0.3">
      <c r="B47" s="16" t="s">
        <v>148</v>
      </c>
      <c r="C47" s="141">
        <f t="array" ref="C47">INDEX(A33:A41,MATCH(C46,A33:A41,1))</f>
        <v>15000</v>
      </c>
      <c r="D47" s="2"/>
      <c r="E47" s="42"/>
      <c r="G47" s="2"/>
      <c r="H47" s="2"/>
      <c r="I47" s="2"/>
      <c r="J47" s="16"/>
      <c r="K47" s="141"/>
      <c r="L47" s="2"/>
      <c r="M47" s="42"/>
      <c r="O47" s="16" t="s">
        <v>148</v>
      </c>
      <c r="P47" s="141">
        <f t="array" ref="P47">INDEX(N33:N41,MATCH(P46,N33:N41,1))</f>
        <v>15000</v>
      </c>
      <c r="Q47" s="2"/>
      <c r="R47" s="42"/>
      <c r="T47" s="2"/>
      <c r="U47" s="2"/>
      <c r="V47" s="2"/>
      <c r="W47" s="16"/>
      <c r="X47" s="141"/>
      <c r="Y47" s="2"/>
      <c r="AB47" s="16" t="s">
        <v>148</v>
      </c>
      <c r="AC47" s="141">
        <f t="array" ref="AC47">INDEX(AC33:AC41,MATCH(AC46,AC33:AC41,1))</f>
        <v>15000</v>
      </c>
      <c r="AD47" s="2"/>
      <c r="AE47" s="42"/>
      <c r="AG47" s="2"/>
      <c r="AH47" s="2"/>
      <c r="AI47" s="2"/>
      <c r="AJ47" s="16"/>
      <c r="AK47" s="141"/>
      <c r="AL47" s="2"/>
    </row>
    <row r="48" spans="1:38" ht="15" customHeight="1" x14ac:dyDescent="0.3">
      <c r="B48" s="16" t="s">
        <v>149</v>
      </c>
      <c r="C48" s="141">
        <f t="array" ref="C48">INDEX(A33:A41,IF(MATCH(C46,A33:A41,1)&lt;E44,MATCH(C46,A33:A41,1)+1,MATCH(C46,A33:A41,1)))</f>
        <v>16000</v>
      </c>
      <c r="D48" s="2"/>
      <c r="E48" s="42"/>
      <c r="G48" s="2"/>
      <c r="H48" s="2"/>
      <c r="I48" s="2"/>
      <c r="J48" s="16"/>
      <c r="K48" s="141"/>
      <c r="L48" s="2"/>
      <c r="M48" s="42"/>
      <c r="O48" s="16" t="s">
        <v>149</v>
      </c>
      <c r="P48" s="141">
        <f t="array" ref="P48">INDEX(N33:N41,IF(MATCH(P46,N33:N41,1)&lt;R44,MATCH(P46,N33:N41,1)+1,MATCH(P46,N33:N41,1)))</f>
        <v>16000</v>
      </c>
      <c r="Q48" s="2"/>
      <c r="R48" s="42"/>
      <c r="T48" s="2"/>
      <c r="U48" s="2"/>
      <c r="V48" s="2"/>
      <c r="W48" s="16"/>
      <c r="X48" s="141"/>
      <c r="Y48" s="2"/>
      <c r="AB48" s="16" t="s">
        <v>149</v>
      </c>
      <c r="AC48" s="141">
        <f t="array" ref="AC48">INDEX(AC33:AC41,IF(MATCH(AC46,AC33:AC41,1)&lt;AE44,MATCH(AC46,AC33:AC41,1)+1,MATCH(AC46,AC33:AC41,1)))</f>
        <v>16000</v>
      </c>
      <c r="AD48" s="2"/>
      <c r="AE48" s="42"/>
      <c r="AG48" s="2"/>
      <c r="AH48" s="2"/>
      <c r="AI48" s="2"/>
      <c r="AJ48" s="16"/>
      <c r="AK48" s="141"/>
      <c r="AL48" s="2"/>
    </row>
    <row r="49" spans="1:45" ht="15" customHeight="1" x14ac:dyDescent="0.3">
      <c r="B49" s="139" t="s">
        <v>150</v>
      </c>
      <c r="C49" s="140">
        <f t="array" aca="1" ref="C49" ca="1">INDEX(B33:E41,MATCH(C46,A33:A41,1),MATCH(C43,B32:E32,1))</f>
        <v>3400</v>
      </c>
      <c r="D49" s="2"/>
      <c r="E49" s="42"/>
      <c r="G49" s="2"/>
      <c r="H49" s="2"/>
      <c r="I49" s="2"/>
      <c r="J49" s="139"/>
      <c r="K49" s="140"/>
      <c r="L49" s="2"/>
      <c r="M49" s="42"/>
      <c r="O49" s="139" t="s">
        <v>150</v>
      </c>
      <c r="P49" s="140">
        <f t="array" aca="1" ref="P49" ca="1">INDEX(O33:S41,MATCH(P46,N33:N41,1),MATCH(P43,O32:S32,1))</f>
        <v>4400</v>
      </c>
      <c r="Q49" s="2"/>
      <c r="R49" s="42"/>
      <c r="T49" s="2"/>
      <c r="U49" s="2"/>
      <c r="V49" s="2"/>
      <c r="W49" s="139"/>
      <c r="X49" s="140"/>
      <c r="Y49" s="2"/>
      <c r="AB49" s="139" t="s">
        <v>150</v>
      </c>
      <c r="AC49" s="140">
        <f ca="1">INDEX(AD33:AG41,MATCH(AC46,AC33:AC41,1),MATCH(AC43,AD32:AG32,1))</f>
        <v>3500</v>
      </c>
      <c r="AD49" s="2"/>
      <c r="AE49" s="42"/>
      <c r="AG49" s="2"/>
      <c r="AH49" s="2"/>
      <c r="AI49" s="2"/>
      <c r="AJ49" s="139"/>
      <c r="AK49" s="140"/>
      <c r="AL49" s="2"/>
    </row>
    <row r="50" spans="1:45" ht="15" customHeight="1" x14ac:dyDescent="0.3">
      <c r="B50" s="139" t="s">
        <v>204</v>
      </c>
      <c r="C50" s="140">
        <f t="array" aca="1" ref="C50" ca="1">INDEX(B33:E41,MATCH(C46,A33:A41,1),IF(MATCH(C43,B32:E32,1)&lt;E45,MATCH(C43,B32:E32,1)+1,MATCH(C46,A33:A41,1)))</f>
        <v>5250</v>
      </c>
      <c r="E50" s="42"/>
      <c r="G50" s="2"/>
      <c r="H50" s="2"/>
      <c r="I50" s="2"/>
      <c r="J50" s="139"/>
      <c r="K50" s="140"/>
      <c r="M50" s="42"/>
      <c r="O50" s="139" t="s">
        <v>204</v>
      </c>
      <c r="P50" s="140">
        <f t="array" aca="1" ref="P50" ca="1">INDEX(O33:S41,MATCH(P46,N33:N41,1),IF(MATCH(P43,O32:S32,1)&lt;R45,MATCH(P43,O32:S32,1)+1,MATCH(P46,N33:N41,1)))</f>
        <v>5400</v>
      </c>
      <c r="R50" s="42"/>
      <c r="T50" s="2"/>
      <c r="U50" s="2"/>
      <c r="V50" s="2"/>
      <c r="W50" s="139"/>
      <c r="X50" s="140"/>
      <c r="AB50" s="139" t="s">
        <v>204</v>
      </c>
      <c r="AC50" s="140">
        <f t="array" aca="1" ref="AC50" ca="1">INDEX(AD33:AG41,MATCH(AC46,AC33:AC41,1),IF(MATCH(AC43,AD32:AG32,1)&lt;AE45,MATCH(AC43,AD32:AG32,1)+1,MATCH(AC46,AC33:AC41,1)))</f>
        <v>6400</v>
      </c>
      <c r="AE50" s="42"/>
      <c r="AG50" s="2"/>
      <c r="AH50" s="2"/>
      <c r="AI50" s="2"/>
      <c r="AJ50" s="139"/>
      <c r="AK50" s="140"/>
    </row>
    <row r="51" spans="1:45" ht="15" customHeight="1" x14ac:dyDescent="0.3">
      <c r="B51" s="139" t="s">
        <v>151</v>
      </c>
      <c r="C51" s="140">
        <f t="array" aca="1" ref="C51" ca="1">INDEX(B33:E41,IF(MATCH(C46,A33:A41,1)&lt;E44,MATCH(C46,A33:A41,1)+1,MATCH(C46,A33:A41,1)),MATCH(C43,B32:E32,1))</f>
        <v>3700</v>
      </c>
      <c r="E51" s="42"/>
      <c r="G51" s="2"/>
      <c r="H51" s="2"/>
      <c r="I51" s="2"/>
      <c r="J51" s="139"/>
      <c r="K51" s="140"/>
      <c r="M51" s="42"/>
      <c r="O51" s="139" t="s">
        <v>151</v>
      </c>
      <c r="P51" s="140">
        <f t="array" aca="1" ref="P51" ca="1">INDEX(O33:S41,IF(MATCH(P46,N33:N41,1)&lt;R44,MATCH(P46,N33:N41,1)+1,MATCH(P46,N33:N41,1)),MATCH(P43,O32:S32,1))</f>
        <v>4900</v>
      </c>
      <c r="R51" s="42"/>
      <c r="T51" s="2"/>
      <c r="U51" s="2"/>
      <c r="V51" s="2"/>
      <c r="W51" s="139"/>
      <c r="X51" s="140"/>
      <c r="AB51" s="139" t="s">
        <v>151</v>
      </c>
      <c r="AC51" s="140">
        <f t="array" aca="1" ref="AC51" ca="1">INDEX(AD33:AG41,IF(MATCH(AC46,AC33:AC41,1)&lt;AE44,MATCH(AC46,AC33:AC41,1)+1,MATCH(AC46,AC33:AC41,1)),MATCH(AC43,AD32:AG32,1))</f>
        <v>4300</v>
      </c>
      <c r="AE51" s="42"/>
      <c r="AG51" s="2"/>
      <c r="AH51" s="2"/>
      <c r="AI51" s="2"/>
      <c r="AJ51" s="139"/>
      <c r="AK51" s="140"/>
    </row>
    <row r="52" spans="1:45" ht="15" customHeight="1" x14ac:dyDescent="0.3">
      <c r="B52" s="139" t="s">
        <v>205</v>
      </c>
      <c r="C52" s="140">
        <f t="array" aca="1" ref="C52" ca="1">INDEX(B33:E41,IF(MATCH(C46,A33:A41,1)&lt;E44,MATCH(C46,A33:A41,1)+1,MATCH(C46,A33:A41,1)),IF(MATCH(C43,B32:E32,1)&lt;E45,MATCH(C43,B32:E32,1)+1,MATCH(C43,B32:E32,1)))</f>
        <v>5800</v>
      </c>
      <c r="G52" s="2"/>
      <c r="H52" s="2"/>
      <c r="I52" s="2"/>
      <c r="J52" s="139"/>
      <c r="K52" s="140"/>
      <c r="O52" s="139" t="s">
        <v>205</v>
      </c>
      <c r="P52" s="140">
        <f t="array" aca="1" ref="P52" ca="1">INDEX(O33:S41,IF(MATCH(P46,N33:N41,1)&lt;R44,MATCH(P46,N33:N41,1)+1,MATCH(P46,N33:N41,1)),IF(MATCH(P43,O32:S32,1)&lt;R45,MATCH(P43,O32:S32,1)+1,MATCH(P43,O32:S32,1)))</f>
        <v>6000</v>
      </c>
      <c r="T52" s="2"/>
      <c r="U52" s="2"/>
      <c r="V52" s="2"/>
      <c r="W52" s="139"/>
      <c r="X52" s="140"/>
      <c r="AB52" s="139" t="s">
        <v>205</v>
      </c>
      <c r="AC52" s="140">
        <f t="array" aca="1" ref="AC52" ca="1">INDEX(AD33:AG41,IF(MATCH(AC46,AC33:AC41,1)&lt;AE44,MATCH(AC46,AC33:AC41,1)+1,MATCH(AC46,AC33:AC41,1)),IF(MATCH(AC43,AD32:AG32,1)&lt;AE45,MATCH(AC43,AD32:AG32,1)+1,MATCH(AC43,AD32:AG32,1)))</f>
        <v>8400</v>
      </c>
      <c r="AG52" s="2"/>
      <c r="AH52" s="2"/>
      <c r="AI52" s="2"/>
      <c r="AJ52" s="139"/>
      <c r="AK52" s="140"/>
    </row>
    <row r="53" spans="1:45" ht="15" customHeight="1" x14ac:dyDescent="0.3">
      <c r="B53" s="16" t="s">
        <v>206</v>
      </c>
      <c r="C53" s="141">
        <f ca="1">IFERROR(C49+(C43-C44)*(C50-C49)/(C45-C44),C49)</f>
        <v>4908.6750000000002</v>
      </c>
      <c r="G53" s="2"/>
      <c r="H53" s="2"/>
      <c r="I53" s="2"/>
      <c r="J53" s="16"/>
      <c r="K53" s="141"/>
      <c r="O53" s="16" t="s">
        <v>206</v>
      </c>
      <c r="P53" s="141">
        <f ca="1">IFERROR(P49+(P43-P44)*(P50-P49)/(P45-P44),P49)</f>
        <v>4492.5</v>
      </c>
      <c r="T53" s="2"/>
      <c r="U53" s="2"/>
      <c r="V53" s="2"/>
      <c r="W53" s="16"/>
      <c r="X53" s="141"/>
      <c r="AB53" s="16" t="s">
        <v>206</v>
      </c>
      <c r="AC53" s="141">
        <f ca="1">IFERROR(AC49+(AC43-AC44)*(AC50-AC49)/(AC45-AC44),AC49)</f>
        <v>4236.6000000000004</v>
      </c>
      <c r="AG53" s="2"/>
      <c r="AH53" s="2"/>
      <c r="AI53" s="2"/>
      <c r="AJ53" s="16"/>
      <c r="AK53" s="141"/>
    </row>
    <row r="54" spans="1:45" ht="15" customHeight="1" x14ac:dyDescent="0.3">
      <c r="B54" s="16" t="s">
        <v>207</v>
      </c>
      <c r="C54" s="141">
        <f ca="1">IFERROR(C51+(C43-C44)*(C52-C51)/(C45-C44),C51)</f>
        <v>5412.55</v>
      </c>
      <c r="G54" s="2"/>
      <c r="H54" s="2"/>
      <c r="I54" s="2"/>
      <c r="J54" s="16"/>
      <c r="K54" s="141"/>
      <c r="O54" s="16" t="s">
        <v>207</v>
      </c>
      <c r="P54" s="141">
        <f ca="1">IFERROR(P51+(P43-P44)*(P52-P51)/(P45-P44),P51)</f>
        <v>5001.75</v>
      </c>
      <c r="T54" s="2"/>
      <c r="U54" s="2"/>
      <c r="V54" s="2"/>
      <c r="W54" s="16"/>
      <c r="X54" s="141"/>
      <c r="AB54" s="16" t="s">
        <v>207</v>
      </c>
      <c r="AC54" s="141">
        <f ca="1">IFERROR(AC51+(AC43-AC44)*(AC52-AC51)/(AC45-AC44),AC51)</f>
        <v>5341.4</v>
      </c>
      <c r="AG54" s="2"/>
      <c r="AH54" s="2"/>
      <c r="AI54" s="2"/>
      <c r="AJ54" s="16"/>
      <c r="AK54" s="141"/>
    </row>
    <row r="55" spans="1:45" ht="15" customHeight="1" x14ac:dyDescent="0.3">
      <c r="B55" s="139" t="s">
        <v>208</v>
      </c>
      <c r="C55" s="140">
        <f ca="1">IFERROR(C53+(C46-C47)*(C54-C53)/(C48-C47),C53)</f>
        <v>5311.7750000000005</v>
      </c>
      <c r="G55" s="2"/>
      <c r="H55" s="2"/>
      <c r="I55" s="2"/>
      <c r="J55" s="139"/>
      <c r="K55" s="140"/>
      <c r="O55" s="139" t="s">
        <v>208</v>
      </c>
      <c r="P55" s="140">
        <f ca="1">IFERROR(P53+(P46-P47)*(P54-P53)/(P48-P47),P53)</f>
        <v>4899.8999999999996</v>
      </c>
      <c r="T55" s="2"/>
      <c r="U55" s="2"/>
      <c r="V55" s="2"/>
      <c r="W55" s="139"/>
      <c r="X55" s="140"/>
      <c r="AB55" s="139" t="s">
        <v>208</v>
      </c>
      <c r="AC55" s="140">
        <f ca="1">IFERROR(AC53+(AC46-AC47)*(AC54-AC53)/(AC48-AC47),AC53)</f>
        <v>5120.4399999999996</v>
      </c>
      <c r="AG55" s="2"/>
      <c r="AH55" s="2"/>
      <c r="AI55" s="2"/>
      <c r="AJ55" s="139"/>
      <c r="AK55" s="140"/>
    </row>
    <row r="57" spans="1:45" ht="15" customHeight="1" x14ac:dyDescent="0.3">
      <c r="B57" s="355" t="s">
        <v>210</v>
      </c>
      <c r="C57" s="355"/>
      <c r="D57" s="355"/>
      <c r="E57" s="355"/>
      <c r="F57" s="355"/>
      <c r="G57" s="355"/>
      <c r="H57" s="355"/>
      <c r="I57" s="355"/>
      <c r="J57" s="72"/>
      <c r="K57" s="72"/>
      <c r="L57" s="72"/>
      <c r="M57" s="72"/>
      <c r="O57" s="355" t="s">
        <v>210</v>
      </c>
      <c r="P57" s="355"/>
      <c r="Q57" s="355"/>
      <c r="R57" s="355"/>
      <c r="S57" s="355"/>
      <c r="T57" s="355"/>
      <c r="U57" s="355"/>
      <c r="V57" s="355"/>
      <c r="W57" s="72"/>
      <c r="X57" s="72"/>
      <c r="Y57" s="72"/>
      <c r="AB57" s="355" t="s">
        <v>210</v>
      </c>
      <c r="AC57" s="355"/>
      <c r="AD57" s="355"/>
      <c r="AE57" s="355"/>
      <c r="AF57" s="355"/>
      <c r="AG57" s="355"/>
      <c r="AH57" s="355"/>
      <c r="AI57" s="355"/>
      <c r="AJ57" s="72"/>
      <c r="AK57" s="72"/>
      <c r="AL57" s="72"/>
    </row>
    <row r="58" spans="1:45" ht="15" customHeight="1" x14ac:dyDescent="0.3">
      <c r="A58" t="s">
        <v>47</v>
      </c>
      <c r="B58" s="232">
        <v>2000</v>
      </c>
      <c r="C58" s="232">
        <v>3000</v>
      </c>
      <c r="D58" s="232">
        <v>4000</v>
      </c>
      <c r="E58" s="232">
        <v>5000</v>
      </c>
      <c r="F58" s="230">
        <v>6000</v>
      </c>
      <c r="G58" s="230">
        <v>7000</v>
      </c>
      <c r="H58" s="230">
        <v>8000</v>
      </c>
      <c r="I58" s="230">
        <v>9000</v>
      </c>
      <c r="J58" s="230">
        <v>10000</v>
      </c>
      <c r="K58" s="232">
        <v>11000</v>
      </c>
      <c r="L58" s="231">
        <v>12000</v>
      </c>
      <c r="N58" t="s">
        <v>47</v>
      </c>
      <c r="O58" s="229">
        <v>2000</v>
      </c>
      <c r="P58" s="232">
        <v>3000</v>
      </c>
      <c r="Q58" s="232">
        <v>4000</v>
      </c>
      <c r="R58" s="232">
        <v>5000</v>
      </c>
      <c r="S58" s="232">
        <v>6000</v>
      </c>
      <c r="T58" s="232">
        <v>7000</v>
      </c>
      <c r="U58" s="232">
        <v>8000</v>
      </c>
      <c r="V58" s="232">
        <v>9000</v>
      </c>
      <c r="W58" s="231">
        <v>10000</v>
      </c>
      <c r="AB58" t="s">
        <v>47</v>
      </c>
      <c r="AC58" s="229">
        <v>1000</v>
      </c>
      <c r="AD58" s="232">
        <v>2200</v>
      </c>
      <c r="AE58" s="232">
        <v>3000</v>
      </c>
      <c r="AF58" s="232">
        <v>4000</v>
      </c>
      <c r="AG58" s="232">
        <v>5000</v>
      </c>
      <c r="AH58" s="232">
        <v>6000</v>
      </c>
      <c r="AI58" s="232">
        <v>7000</v>
      </c>
      <c r="AJ58" s="232">
        <v>8000</v>
      </c>
      <c r="AK58" s="232">
        <v>9000</v>
      </c>
      <c r="AL58" s="232">
        <v>10000</v>
      </c>
      <c r="AM58" s="232">
        <v>11000</v>
      </c>
      <c r="AN58" s="232">
        <v>12000</v>
      </c>
      <c r="AO58" s="237">
        <v>12500</v>
      </c>
      <c r="AS58" s="12"/>
    </row>
    <row r="59" spans="1:45" ht="15" customHeight="1" x14ac:dyDescent="0.3">
      <c r="A59">
        <v>-10</v>
      </c>
      <c r="B59" s="229">
        <v>2400</v>
      </c>
      <c r="C59" s="232">
        <v>3500</v>
      </c>
      <c r="D59" s="232">
        <v>4800</v>
      </c>
      <c r="E59" s="232">
        <v>5900</v>
      </c>
      <c r="F59" s="232">
        <v>7100</v>
      </c>
      <c r="G59" s="232">
        <v>8200</v>
      </c>
      <c r="H59" s="232">
        <v>9400</v>
      </c>
      <c r="I59" s="232">
        <v>10400</v>
      </c>
      <c r="J59" s="232">
        <v>11400</v>
      </c>
      <c r="K59" s="232">
        <v>99999</v>
      </c>
      <c r="L59" s="237">
        <v>99999</v>
      </c>
      <c r="N59">
        <v>-10</v>
      </c>
      <c r="O59" s="229">
        <v>2400</v>
      </c>
      <c r="P59" s="232">
        <v>3600</v>
      </c>
      <c r="Q59" s="232">
        <v>4800</v>
      </c>
      <c r="R59" s="232">
        <v>5900</v>
      </c>
      <c r="S59" s="232">
        <v>7100</v>
      </c>
      <c r="T59" s="232">
        <v>8200</v>
      </c>
      <c r="U59" s="232">
        <v>9400</v>
      </c>
      <c r="V59" s="232">
        <v>10500</v>
      </c>
      <c r="W59" s="237">
        <v>99999</v>
      </c>
      <c r="AB59">
        <v>-10</v>
      </c>
      <c r="AC59" s="229">
        <v>1500</v>
      </c>
      <c r="AD59" s="232">
        <v>2600</v>
      </c>
      <c r="AE59" s="232">
        <v>3600</v>
      </c>
      <c r="AF59" s="232">
        <v>4800</v>
      </c>
      <c r="AG59" s="232">
        <v>5900</v>
      </c>
      <c r="AH59" s="232">
        <v>7000</v>
      </c>
      <c r="AI59" s="232">
        <v>8100</v>
      </c>
      <c r="AJ59" s="232">
        <v>9300</v>
      </c>
      <c r="AK59" s="232">
        <v>10200</v>
      </c>
      <c r="AL59" s="232">
        <v>11600</v>
      </c>
      <c r="AM59" s="232">
        <v>99999</v>
      </c>
      <c r="AN59" s="232">
        <v>99999</v>
      </c>
      <c r="AO59" s="237">
        <v>99999</v>
      </c>
      <c r="AS59" s="72"/>
    </row>
    <row r="60" spans="1:45" ht="15" customHeight="1" x14ac:dyDescent="0.3">
      <c r="A60">
        <v>0</v>
      </c>
      <c r="B60" s="233">
        <v>2000</v>
      </c>
      <c r="C60" s="72">
        <v>3000</v>
      </c>
      <c r="D60" s="72">
        <v>4000</v>
      </c>
      <c r="E60" s="72">
        <v>5000</v>
      </c>
      <c r="F60" s="72">
        <v>6000</v>
      </c>
      <c r="G60" s="72">
        <v>7000</v>
      </c>
      <c r="H60" s="72">
        <v>8000</v>
      </c>
      <c r="I60" s="72">
        <v>9000</v>
      </c>
      <c r="J60" s="72">
        <v>10000</v>
      </c>
      <c r="K60" s="72">
        <v>11000</v>
      </c>
      <c r="L60" s="237">
        <v>99999</v>
      </c>
      <c r="N60">
        <v>0</v>
      </c>
      <c r="O60" s="233">
        <v>2000</v>
      </c>
      <c r="P60" s="72">
        <v>3000</v>
      </c>
      <c r="Q60" s="72">
        <v>4000</v>
      </c>
      <c r="R60" s="72">
        <v>5000</v>
      </c>
      <c r="S60" s="72">
        <v>6000</v>
      </c>
      <c r="T60" s="72">
        <v>7000</v>
      </c>
      <c r="U60" s="72">
        <v>8000</v>
      </c>
      <c r="V60" s="72">
        <v>9000</v>
      </c>
      <c r="W60" s="237">
        <v>99999</v>
      </c>
      <c r="AB60">
        <v>0</v>
      </c>
      <c r="AC60" s="233">
        <v>1000</v>
      </c>
      <c r="AD60" s="72">
        <v>2200</v>
      </c>
      <c r="AE60" s="72">
        <v>3000</v>
      </c>
      <c r="AF60" s="72">
        <v>4000</v>
      </c>
      <c r="AG60" s="72">
        <v>5000</v>
      </c>
      <c r="AH60" s="72">
        <v>6000</v>
      </c>
      <c r="AI60" s="72">
        <v>7000</v>
      </c>
      <c r="AJ60" s="72">
        <v>8000</v>
      </c>
      <c r="AK60" s="72">
        <v>9000</v>
      </c>
      <c r="AL60" s="72">
        <v>10000</v>
      </c>
      <c r="AM60" s="72">
        <v>11000</v>
      </c>
      <c r="AN60" s="72">
        <v>12000</v>
      </c>
      <c r="AO60" s="262">
        <v>99999</v>
      </c>
      <c r="AS60" s="72"/>
    </row>
    <row r="61" spans="1:45" ht="15" customHeight="1" x14ac:dyDescent="0.3">
      <c r="A61">
        <v>30</v>
      </c>
      <c r="B61" s="234">
        <v>1600</v>
      </c>
      <c r="C61" s="238">
        <v>2400</v>
      </c>
      <c r="D61" s="238">
        <v>3300</v>
      </c>
      <c r="E61" s="238">
        <v>4100</v>
      </c>
      <c r="F61" s="238">
        <v>5000</v>
      </c>
      <c r="G61" s="238">
        <v>5900</v>
      </c>
      <c r="H61" s="238">
        <v>6700</v>
      </c>
      <c r="I61" s="238">
        <v>7600</v>
      </c>
      <c r="J61" s="238">
        <v>8500</v>
      </c>
      <c r="K61" s="238">
        <v>9400</v>
      </c>
      <c r="L61" s="265">
        <v>99999</v>
      </c>
      <c r="N61">
        <v>30</v>
      </c>
      <c r="O61" s="234">
        <v>1600</v>
      </c>
      <c r="P61" s="238">
        <v>2500</v>
      </c>
      <c r="Q61" s="238">
        <v>3300</v>
      </c>
      <c r="R61" s="238">
        <v>4200</v>
      </c>
      <c r="S61" s="238">
        <v>5000</v>
      </c>
      <c r="T61" s="238">
        <v>5900</v>
      </c>
      <c r="U61" s="238">
        <v>6800</v>
      </c>
      <c r="V61" s="238">
        <v>7600</v>
      </c>
      <c r="W61" s="265">
        <v>99999</v>
      </c>
      <c r="AB61">
        <v>30</v>
      </c>
      <c r="AC61" s="234">
        <v>1000</v>
      </c>
      <c r="AD61" s="238">
        <v>1600</v>
      </c>
      <c r="AE61" s="238">
        <v>2400</v>
      </c>
      <c r="AF61" s="238">
        <v>3200</v>
      </c>
      <c r="AG61" s="238">
        <v>4200</v>
      </c>
      <c r="AH61" s="238">
        <v>5000</v>
      </c>
      <c r="AI61" s="238">
        <v>5800</v>
      </c>
      <c r="AJ61" s="238">
        <v>6700</v>
      </c>
      <c r="AK61" s="238">
        <v>7600</v>
      </c>
      <c r="AL61" s="238">
        <v>8500</v>
      </c>
      <c r="AM61" s="238">
        <v>9300</v>
      </c>
      <c r="AN61" s="238">
        <v>99999</v>
      </c>
      <c r="AO61" s="239">
        <v>99999</v>
      </c>
      <c r="AS61" s="72"/>
    </row>
    <row r="62" spans="1:45" ht="15" customHeight="1" x14ac:dyDescent="0.3">
      <c r="B62" s="139"/>
      <c r="C62" s="140"/>
      <c r="G62" s="2"/>
      <c r="H62" s="2"/>
      <c r="I62" s="2"/>
      <c r="J62" s="2"/>
      <c r="K62" s="2"/>
      <c r="L62" s="139"/>
      <c r="M62" s="140"/>
      <c r="Q62" s="139"/>
      <c r="R62" s="140"/>
      <c r="V62" s="2"/>
      <c r="W62" s="2"/>
      <c r="X62" s="2"/>
      <c r="Y62" s="139"/>
      <c r="Z62" s="140"/>
      <c r="AD62" s="139"/>
      <c r="AE62" s="140"/>
      <c r="AI62" s="2"/>
      <c r="AJ62" s="2"/>
      <c r="AK62" s="2"/>
      <c r="AL62" s="139"/>
      <c r="AM62" s="140"/>
    </row>
    <row r="63" spans="1:45" ht="15" customHeight="1" x14ac:dyDescent="0.3">
      <c r="B63" s="139" t="s">
        <v>146</v>
      </c>
      <c r="C63" s="140">
        <f ca="1">C55</f>
        <v>5311.7750000000005</v>
      </c>
      <c r="D63" s="355" t="s">
        <v>201</v>
      </c>
      <c r="E63" s="355"/>
      <c r="G63" s="2"/>
      <c r="H63" s="2"/>
      <c r="I63" s="2"/>
      <c r="J63" s="2"/>
      <c r="K63" s="2"/>
      <c r="L63" s="139"/>
      <c r="M63" s="140"/>
      <c r="N63" s="72"/>
      <c r="O63" s="139" t="s">
        <v>146</v>
      </c>
      <c r="P63" s="140">
        <f ca="1">P55</f>
        <v>4899.8999999999996</v>
      </c>
      <c r="Q63" s="355" t="s">
        <v>201</v>
      </c>
      <c r="R63" s="355"/>
      <c r="V63" s="2"/>
      <c r="W63" s="2"/>
      <c r="X63" s="2"/>
      <c r="Y63" s="139"/>
      <c r="Z63" s="140"/>
      <c r="AA63" s="72"/>
      <c r="AC63" s="139" t="s">
        <v>146</v>
      </c>
      <c r="AD63" s="140">
        <f ca="1">AC55</f>
        <v>5120.4399999999996</v>
      </c>
      <c r="AE63" s="137" t="s">
        <v>201</v>
      </c>
      <c r="AI63" s="2"/>
      <c r="AJ63" s="2"/>
      <c r="AK63" s="2"/>
      <c r="AL63" s="139"/>
      <c r="AM63" s="140"/>
      <c r="AN63" s="72"/>
    </row>
    <row r="64" spans="1:45" ht="15" customHeight="1" x14ac:dyDescent="0.3">
      <c r="B64" s="16" t="s">
        <v>202</v>
      </c>
      <c r="C64" s="141">
        <f t="array" aca="1" ref="C64" ca="1">INDEX(B58:L58,MATCH(C63,B58:L58,1))</f>
        <v>5000</v>
      </c>
      <c r="D64" s="16" t="s">
        <v>144</v>
      </c>
      <c r="E64" s="17">
        <f>MATCH(MAX(A59:A61),A59:A61,1)</f>
        <v>3</v>
      </c>
      <c r="G64" s="2"/>
      <c r="H64" s="2"/>
      <c r="I64" s="2"/>
      <c r="J64" s="2"/>
      <c r="K64" s="2"/>
      <c r="L64" s="16"/>
      <c r="M64" s="141"/>
      <c r="N64" s="16"/>
      <c r="O64" s="16" t="s">
        <v>202</v>
      </c>
      <c r="P64" s="141">
        <f t="array" aca="1" ref="P64" ca="1">INDEX(O58:W58,MATCH(P63,O58:W58,1))</f>
        <v>4000</v>
      </c>
      <c r="Q64" s="16" t="s">
        <v>144</v>
      </c>
      <c r="R64" s="17">
        <f>MATCH(MAX(N59:N61),N59:N61,1)</f>
        <v>3</v>
      </c>
      <c r="V64" s="2"/>
      <c r="W64" s="2"/>
      <c r="X64" s="2"/>
      <c r="Y64" s="16"/>
      <c r="Z64" s="141"/>
      <c r="AA64" s="16"/>
      <c r="AC64" s="16" t="s">
        <v>202</v>
      </c>
      <c r="AD64" s="141">
        <f t="array" aca="1" ref="AD64" ca="1">INDEX(AC58:AO58,MATCH(AD63,AC58:AO58,1))</f>
        <v>5000</v>
      </c>
      <c r="AE64" s="16" t="s">
        <v>144</v>
      </c>
      <c r="AF64" s="17">
        <f>MATCH(MAX(AB59:AB61),AB59:AB61,1)</f>
        <v>3</v>
      </c>
      <c r="AI64" s="2"/>
      <c r="AJ64" s="2"/>
      <c r="AK64" s="2"/>
      <c r="AL64" s="16"/>
      <c r="AM64" s="141"/>
      <c r="AN64" s="16"/>
    </row>
    <row r="65" spans="2:40" ht="15" customHeight="1" x14ac:dyDescent="0.3">
      <c r="B65" s="16" t="s">
        <v>203</v>
      </c>
      <c r="C65" s="141">
        <f t="array" aca="1" ref="C65" ca="1">INDEX(B58:L58,IF(MATCH(C63,B58:L58,1)&lt;E65,MATCH(C63,B58:L58,1)+1,MATCH(C63,B58:L58,1)))</f>
        <v>6000</v>
      </c>
      <c r="D65" s="16" t="s">
        <v>145</v>
      </c>
      <c r="E65" s="17">
        <f>MATCH(MAX(B58:L58),B58:L58,0)</f>
        <v>11</v>
      </c>
      <c r="G65" s="2"/>
      <c r="H65" s="2"/>
      <c r="I65" s="2"/>
      <c r="J65" s="2"/>
      <c r="K65" s="2"/>
      <c r="L65" s="16"/>
      <c r="M65" s="141"/>
      <c r="N65" s="16"/>
      <c r="O65" s="16" t="s">
        <v>203</v>
      </c>
      <c r="P65" s="141">
        <f t="array" aca="1" ref="P65" ca="1">INDEX(O58:W58,IF(MATCH(P63,O58:W58,1)&lt;R65,MATCH(P63,O58:W58,1)+1,MATCH(P63,O58:W58,1)))</f>
        <v>5000</v>
      </c>
      <c r="Q65" s="16" t="s">
        <v>145</v>
      </c>
      <c r="R65" s="17">
        <f>MATCH(MAX(O58:W58),O58:W58,0)</f>
        <v>9</v>
      </c>
      <c r="V65" s="2"/>
      <c r="W65" s="2"/>
      <c r="X65" s="2"/>
      <c r="Y65" s="16"/>
      <c r="Z65" s="141"/>
      <c r="AA65" s="16"/>
      <c r="AC65" s="16" t="s">
        <v>203</v>
      </c>
      <c r="AD65" s="141">
        <f t="array" aca="1" ref="AD65" ca="1">INDEX(AC58:AO58,IF(MATCH(AD63,AC58:AO58,1)&lt;AF65,MATCH(AD63,AC58:AO58,1)+1,MATCH(AD63,AC58:AO58,1)))</f>
        <v>6000</v>
      </c>
      <c r="AE65" s="16" t="s">
        <v>145</v>
      </c>
      <c r="AF65" s="17">
        <f>MATCH(MAX(AC58:AO58),AC58:AO58,0)</f>
        <v>13</v>
      </c>
      <c r="AI65" s="2"/>
      <c r="AJ65" s="2"/>
      <c r="AK65" s="2"/>
      <c r="AL65" s="16"/>
      <c r="AM65" s="141"/>
      <c r="AN65" s="16"/>
    </row>
    <row r="66" spans="2:40" ht="15" customHeight="1" x14ac:dyDescent="0.3">
      <c r="B66" s="139" t="s">
        <v>147</v>
      </c>
      <c r="C66" s="186">
        <f ca="1">'Take-off'!$C$24</f>
        <v>-2.3941410032796808</v>
      </c>
      <c r="D66" s="2"/>
      <c r="E66" s="2"/>
      <c r="G66" s="2"/>
      <c r="H66" s="2"/>
      <c r="I66" s="2"/>
      <c r="J66" s="2"/>
      <c r="K66" s="2"/>
      <c r="L66" s="139"/>
      <c r="M66" s="186"/>
      <c r="N66" s="2"/>
      <c r="O66" s="139" t="s">
        <v>147</v>
      </c>
      <c r="P66" s="186">
        <f ca="1">'Take-off'!$C$24</f>
        <v>-2.3941410032796808</v>
      </c>
      <c r="Q66" s="2"/>
      <c r="R66" s="2"/>
      <c r="V66" s="2"/>
      <c r="W66" s="2"/>
      <c r="X66" s="2"/>
      <c r="Y66" s="139"/>
      <c r="Z66" s="186"/>
      <c r="AA66" s="2"/>
      <c r="AC66" s="139" t="s">
        <v>147</v>
      </c>
      <c r="AD66" s="186">
        <f ca="1">'Take-off'!$C$24</f>
        <v>-2.3941410032796808</v>
      </c>
      <c r="AE66" s="2"/>
      <c r="AF66" s="2"/>
      <c r="AI66" s="2"/>
      <c r="AJ66" s="2"/>
      <c r="AK66" s="2"/>
      <c r="AL66" s="139"/>
      <c r="AM66" s="186"/>
      <c r="AN66" s="2"/>
    </row>
    <row r="67" spans="2:40" ht="15" customHeight="1" x14ac:dyDescent="0.3">
      <c r="B67" s="16" t="s">
        <v>148</v>
      </c>
      <c r="C67" s="141">
        <f t="array" aca="1" ref="C67" ca="1">INDEX(A59:A61,MATCH(C66,A59:A61,1))</f>
        <v>-10</v>
      </c>
      <c r="D67" s="2"/>
      <c r="E67" s="42"/>
      <c r="G67" s="2"/>
      <c r="H67" s="2"/>
      <c r="I67" s="2"/>
      <c r="J67" s="2"/>
      <c r="K67" s="2"/>
      <c r="L67" s="16"/>
      <c r="M67" s="141"/>
      <c r="N67" s="2"/>
      <c r="O67" s="16" t="s">
        <v>148</v>
      </c>
      <c r="P67" s="141">
        <f t="array" aca="1" ref="P67" ca="1">INDEX(N59:N61,MATCH(P66,N59:N61,1))</f>
        <v>-10</v>
      </c>
      <c r="Q67" s="2"/>
      <c r="R67" s="42"/>
      <c r="V67" s="2"/>
      <c r="W67" s="2"/>
      <c r="X67" s="2"/>
      <c r="Y67" s="16"/>
      <c r="Z67" s="141"/>
      <c r="AA67" s="2"/>
      <c r="AC67" s="16" t="s">
        <v>148</v>
      </c>
      <c r="AD67" s="141">
        <f t="array" aca="1" ref="AD67" ca="1">INDEX(AB59:AB61,MATCH(AD66,AB59:AB61,1))</f>
        <v>-10</v>
      </c>
      <c r="AE67" s="2"/>
      <c r="AF67" s="42"/>
      <c r="AI67" s="2"/>
      <c r="AJ67" s="2"/>
      <c r="AK67" s="2"/>
      <c r="AL67" s="16"/>
      <c r="AM67" s="141"/>
      <c r="AN67" s="2"/>
    </row>
    <row r="68" spans="2:40" ht="15" customHeight="1" x14ac:dyDescent="0.3">
      <c r="B68" s="16" t="s">
        <v>149</v>
      </c>
      <c r="C68" s="141">
        <f t="array" aca="1" ref="C68" ca="1">INDEX(A59:A61,IF(MATCH(C66,A59:A61,1)&lt;E64,MATCH(C66,A59:A61,1)+1,MATCH(C66,A59:A61,1)))</f>
        <v>0</v>
      </c>
      <c r="D68" s="2"/>
      <c r="E68" s="42"/>
      <c r="G68" s="2"/>
      <c r="H68" s="2"/>
      <c r="I68" s="2"/>
      <c r="J68" s="2"/>
      <c r="K68" s="2"/>
      <c r="L68" s="16"/>
      <c r="M68" s="141"/>
      <c r="N68" s="2"/>
      <c r="O68" s="16" t="s">
        <v>149</v>
      </c>
      <c r="P68" s="141">
        <f t="array" aca="1" ref="P68" ca="1">INDEX(N59:N61,IF(MATCH(P66,N59:N61,1)&lt;R64,MATCH(P66,N59:N61,1)+1,MATCH(P66,N59:N61,1)))</f>
        <v>0</v>
      </c>
      <c r="Q68" s="2"/>
      <c r="R68" s="42"/>
      <c r="V68" s="2"/>
      <c r="W68" s="2"/>
      <c r="X68" s="2"/>
      <c r="Y68" s="16"/>
      <c r="Z68" s="141"/>
      <c r="AA68" s="2"/>
      <c r="AC68" s="16" t="s">
        <v>149</v>
      </c>
      <c r="AD68" s="141">
        <f t="array" aca="1" ref="AD68" ca="1">INDEX(AB59:AB61,IF(MATCH(AD66,AB59:AB61,1)&lt;AF64,MATCH(AD66,AB59:AB61,1)+1,MATCH(AD66,AB59:AB61,1)))</f>
        <v>0</v>
      </c>
      <c r="AE68" s="2"/>
      <c r="AF68" s="42"/>
      <c r="AI68" s="2"/>
      <c r="AJ68" s="2"/>
      <c r="AK68" s="2"/>
      <c r="AL68" s="16"/>
      <c r="AM68" s="141"/>
      <c r="AN68" s="2"/>
    </row>
    <row r="69" spans="2:40" ht="15" customHeight="1" x14ac:dyDescent="0.3">
      <c r="B69" s="139" t="s">
        <v>150</v>
      </c>
      <c r="C69" s="140">
        <f t="array" aca="1" ref="C69" ca="1">INDEX(B59:L61,MATCH(C66,A59:A61,1),MATCH(C63,B58:L58,1))</f>
        <v>5900</v>
      </c>
      <c r="D69" s="2"/>
      <c r="E69" s="42"/>
      <c r="G69" s="2"/>
      <c r="H69" s="2"/>
      <c r="I69" s="2"/>
      <c r="J69" s="2"/>
      <c r="K69" s="2"/>
      <c r="L69" s="139"/>
      <c r="M69" s="140"/>
      <c r="N69" s="2"/>
      <c r="O69" s="139" t="s">
        <v>150</v>
      </c>
      <c r="P69" s="140">
        <f t="array" aca="1" ref="P69" ca="1">INDEX(O59:W61,MATCH(P66,N59:N61,1),MATCH(P63,O58:W58,1))</f>
        <v>4800</v>
      </c>
      <c r="Q69" s="2"/>
      <c r="R69" s="42"/>
      <c r="V69" s="2"/>
      <c r="W69" s="2"/>
      <c r="X69" s="2"/>
      <c r="Y69" s="139"/>
      <c r="Z69" s="140"/>
      <c r="AA69" s="2"/>
      <c r="AC69" s="139" t="s">
        <v>150</v>
      </c>
      <c r="AD69" s="140">
        <f t="array" aca="1" ref="AD69" ca="1">INDEX(AC59:AO61,MATCH(AD66,AB59:AB61,1),MATCH(AD63,AC58:AO58,1))</f>
        <v>5900</v>
      </c>
      <c r="AE69" s="2"/>
      <c r="AF69" s="42"/>
      <c r="AI69" s="2"/>
      <c r="AJ69" s="2"/>
      <c r="AK69" s="2"/>
      <c r="AL69" s="139"/>
      <c r="AM69" s="140"/>
      <c r="AN69" s="2"/>
    </row>
    <row r="70" spans="2:40" ht="15" customHeight="1" x14ac:dyDescent="0.3">
      <c r="B70" s="139" t="s">
        <v>204</v>
      </c>
      <c r="C70" s="140">
        <f t="array" aca="1" ref="C70" ca="1">INDEX(B59:L61,MATCH(C66,A59:A61,1),IF(MATCH(C63,B58:L58,1)&lt;E65,MATCH(C63,B58:L58,1)+1,MATCH(C66,A59:A61,1)))</f>
        <v>7100</v>
      </c>
      <c r="E70" s="42"/>
      <c r="G70" s="2"/>
      <c r="H70" s="2"/>
      <c r="I70" s="2"/>
      <c r="J70" s="2"/>
      <c r="K70" s="2"/>
      <c r="L70" s="139"/>
      <c r="M70" s="140"/>
      <c r="O70" s="139" t="s">
        <v>204</v>
      </c>
      <c r="P70" s="140">
        <f t="array" aca="1" ref="P70" ca="1">INDEX(O59:W61,MATCH(P66,N59:N61,1),IF(MATCH(P63,O58:W58,1)&lt;R65,MATCH(P63,O58:W58,1)+1,MATCH(P66,N59:N61,1)))</f>
        <v>5900</v>
      </c>
      <c r="R70" s="42"/>
      <c r="V70" s="2"/>
      <c r="W70" s="2"/>
      <c r="X70" s="2"/>
      <c r="Y70" s="139"/>
      <c r="Z70" s="140"/>
      <c r="AC70" s="139" t="s">
        <v>204</v>
      </c>
      <c r="AD70" s="140">
        <f t="array" aca="1" ref="AD70" ca="1">INDEX(AC59:AO61,MATCH(AD66,AB59:AB61,1),IF(MATCH(AD63,AC58:AO58,1)&lt;AF65,MATCH(AD63,AC58:AO58,1)+1,MATCH(AD66,AB59:AB61,1)))</f>
        <v>7000</v>
      </c>
      <c r="AF70" s="42"/>
      <c r="AI70" s="2"/>
      <c r="AJ70" s="2"/>
      <c r="AK70" s="2"/>
      <c r="AL70" s="139"/>
      <c r="AM70" s="140"/>
    </row>
    <row r="71" spans="2:40" ht="15" customHeight="1" x14ac:dyDescent="0.3">
      <c r="B71" s="139" t="s">
        <v>151</v>
      </c>
      <c r="C71" s="140">
        <f t="array" aca="1" ref="C71" ca="1">INDEX(B59:L61,IF(MATCH(C66,A59:A61,1)&lt;E64,MATCH(C66,A59:A61,1)+1,MATCH(C66,A59:A61,1)),MATCH(C63,B58:L58,1))</f>
        <v>5000</v>
      </c>
      <c r="E71" s="42"/>
      <c r="G71" s="2"/>
      <c r="H71" s="2"/>
      <c r="I71" s="2"/>
      <c r="J71" s="2"/>
      <c r="K71" s="2"/>
      <c r="L71" s="139"/>
      <c r="M71" s="140"/>
      <c r="O71" s="139" t="s">
        <v>151</v>
      </c>
      <c r="P71" s="140">
        <f t="array" aca="1" ref="P71" ca="1">INDEX(O59:W61,IF(MATCH(P66,N59:N61,1)&lt;R64,MATCH(P66,N59:N61,1)+1,MATCH(P66,N59:N61,1)),MATCH(P63,O58:W58,1))</f>
        <v>4000</v>
      </c>
      <c r="R71" s="42"/>
      <c r="V71" s="2"/>
      <c r="W71" s="2"/>
      <c r="X71" s="2"/>
      <c r="Y71" s="139"/>
      <c r="Z71" s="140"/>
      <c r="AC71" s="139" t="s">
        <v>151</v>
      </c>
      <c r="AD71" s="140">
        <f t="array" aca="1" ref="AD71" ca="1">INDEX(AC59:AO61,IF(MATCH(AD66,AB59:AB61,1)&lt;AF64,MATCH(AD66,AB59:AB61,1)+1,MATCH(AD66,AB59:AB61,1)),MATCH(AD63,AC58:AO58,1))</f>
        <v>5000</v>
      </c>
      <c r="AF71" s="42"/>
      <c r="AI71" s="2"/>
      <c r="AJ71" s="2"/>
      <c r="AK71" s="2"/>
      <c r="AL71" s="139"/>
      <c r="AM71" s="140"/>
    </row>
    <row r="72" spans="2:40" ht="15" customHeight="1" x14ac:dyDescent="0.3">
      <c r="B72" s="139" t="s">
        <v>205</v>
      </c>
      <c r="C72" s="140">
        <f t="array" aca="1" ref="C72" ca="1">INDEX(B59:L61,IF(MATCH(C66,A59:A61,1)&lt;E64,MATCH(C66,A59:A61,1)+1,MATCH(C66,A59:A61,1)),IF(MATCH(C63,B58:L58,1)&lt;E65,MATCH(C63,B58:L58,1)+1,MATCH(C63,B58:L58,1)))</f>
        <v>6000</v>
      </c>
      <c r="G72" s="2"/>
      <c r="H72" s="2"/>
      <c r="I72" s="2"/>
      <c r="J72" s="2"/>
      <c r="K72" s="2"/>
      <c r="L72" s="139"/>
      <c r="M72" s="140"/>
      <c r="O72" s="139" t="s">
        <v>205</v>
      </c>
      <c r="P72" s="140">
        <f t="array" aca="1" ref="P72" ca="1">INDEX(O59:W61,IF(MATCH(P66,N59:N61,1)&lt;R64,MATCH(P66,N59:N61,1)+1,MATCH(P66,N59:N61,1)),IF(MATCH(P63,O58:W58,1)&lt;R65,MATCH(P63,O58:W58,1)+1,MATCH(P63,O58:W58,1)))</f>
        <v>5000</v>
      </c>
      <c r="V72" s="2"/>
      <c r="W72" s="2"/>
      <c r="X72" s="2"/>
      <c r="Y72" s="139"/>
      <c r="Z72" s="140"/>
      <c r="AC72" s="139" t="s">
        <v>205</v>
      </c>
      <c r="AD72" s="140">
        <f t="array" aca="1" ref="AD72" ca="1">INDEX(AC59:AO61,IF(MATCH(AD66,AB59:AB61,1)&lt;AF64,MATCH(AD66,AB59:AB61,1)+1,MATCH(AD66,AB59:AB61,1)),IF(MATCH(AD63,AC58:AO58,1)&lt;AF65,MATCH(AD63,AC58:AO58,1)+1,MATCH(AD63,AC58:AO58,1)))</f>
        <v>6000</v>
      </c>
      <c r="AI72" s="2"/>
      <c r="AJ72" s="2"/>
      <c r="AK72" s="2"/>
      <c r="AL72" s="139"/>
      <c r="AM72" s="140"/>
    </row>
    <row r="73" spans="2:40" ht="15" customHeight="1" x14ac:dyDescent="0.3">
      <c r="B73" s="16" t="s">
        <v>206</v>
      </c>
      <c r="C73" s="141">
        <f ca="1">IFERROR(C69+(C63-C64)*(C70-C69)/(C65-C64),C69)</f>
        <v>6274.130000000001</v>
      </c>
      <c r="G73" s="2"/>
      <c r="H73" s="2"/>
      <c r="I73" s="2"/>
      <c r="J73" s="2"/>
      <c r="K73" s="2"/>
      <c r="L73" s="16"/>
      <c r="M73" s="141"/>
      <c r="O73" s="16" t="s">
        <v>206</v>
      </c>
      <c r="P73" s="141">
        <f ca="1">IFERROR(P69+(P63-P64)*(P70-P69)/(P65-P64),P69)</f>
        <v>5789.8899999999994</v>
      </c>
      <c r="V73" s="2"/>
      <c r="W73" s="2"/>
      <c r="X73" s="2"/>
      <c r="Y73" s="16"/>
      <c r="Z73" s="141"/>
      <c r="AC73" s="16" t="s">
        <v>206</v>
      </c>
      <c r="AD73" s="141">
        <f ca="1">IFERROR(AD69+(AD63-AD64)*(AD70-AD69)/(AD65-AD64),AD69)</f>
        <v>6032.4839999999995</v>
      </c>
      <c r="AI73" s="2"/>
      <c r="AJ73" s="2"/>
      <c r="AK73" s="2"/>
      <c r="AL73" s="16"/>
      <c r="AM73" s="141"/>
    </row>
    <row r="74" spans="2:40" ht="15" customHeight="1" x14ac:dyDescent="0.3">
      <c r="B74" s="16" t="s">
        <v>207</v>
      </c>
      <c r="C74" s="141">
        <f ca="1">IFERROR(C71+(C63-C64)*(C72-C71)/(C65-C64),C71)</f>
        <v>5311.7750000000005</v>
      </c>
      <c r="G74" s="2"/>
      <c r="H74" s="2"/>
      <c r="I74" s="2"/>
      <c r="J74" s="2"/>
      <c r="K74" s="2"/>
      <c r="L74" s="16"/>
      <c r="M74" s="141"/>
      <c r="O74" s="16" t="s">
        <v>207</v>
      </c>
      <c r="P74" s="141">
        <f ca="1">IFERROR(P71+(P63-P64)*(P72-P71)/(P65-P64),P71)</f>
        <v>4899.8999999999996</v>
      </c>
      <c r="V74" s="2"/>
      <c r="W74" s="2"/>
      <c r="X74" s="2"/>
      <c r="Y74" s="16"/>
      <c r="Z74" s="141"/>
      <c r="AC74" s="16" t="s">
        <v>207</v>
      </c>
      <c r="AD74" s="141">
        <f ca="1">IFERROR(AD71+(AD63-AD64)*(AD72-AD71)/(AD65-AD64),AD71)</f>
        <v>5120.4399999999996</v>
      </c>
      <c r="AI74" s="2"/>
      <c r="AJ74" s="2"/>
      <c r="AK74" s="2"/>
      <c r="AL74" s="16"/>
      <c r="AM74" s="141"/>
    </row>
    <row r="75" spans="2:40" ht="15" customHeight="1" x14ac:dyDescent="0.3">
      <c r="B75" s="139" t="s">
        <v>208</v>
      </c>
      <c r="C75" s="140">
        <f ca="1">IFERROR(C73+(C66-C67)*(C74-C73)/(C68-C67),C73)</f>
        <v>5542.1763565211222</v>
      </c>
      <c r="G75" s="2"/>
      <c r="H75" s="2"/>
      <c r="I75" s="2"/>
      <c r="J75" s="2"/>
      <c r="K75" s="2"/>
      <c r="L75" s="139"/>
      <c r="M75" s="140"/>
      <c r="O75" s="139" t="s">
        <v>208</v>
      </c>
      <c r="P75" s="140">
        <f ca="1">IFERROR(P73+(P66-P67)*(P74-P73)/(P68-P67),P73)</f>
        <v>5112.9761551508882</v>
      </c>
      <c r="V75" s="2"/>
      <c r="W75" s="2"/>
      <c r="X75" s="2"/>
      <c r="Y75" s="139"/>
      <c r="Z75" s="140"/>
      <c r="AC75" s="139" t="s">
        <v>208</v>
      </c>
      <c r="AD75" s="140">
        <f ca="1">IFERROR(AD73+(AD66-AD67)*(AD74-AD73)/(AD68-AD67),AD73)</f>
        <v>5338.7961937195205</v>
      </c>
      <c r="AI75" s="2"/>
      <c r="AJ75" s="2"/>
      <c r="AK75" s="2"/>
      <c r="AL75" s="139"/>
      <c r="AM75" s="140"/>
    </row>
    <row r="76" spans="2:40" ht="15.75" customHeight="1" x14ac:dyDescent="0.3"/>
    <row r="77" spans="2:40" ht="15.75" customHeight="1" x14ac:dyDescent="0.3"/>
    <row r="78" spans="2:40" ht="15.75" customHeight="1" x14ac:dyDescent="0.3"/>
    <row r="79" spans="2:40" ht="15.75" customHeight="1" x14ac:dyDescent="0.3"/>
    <row r="80" spans="2:4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22">
    <mergeCell ref="B3:L3"/>
    <mergeCell ref="O3:Y3"/>
    <mergeCell ref="AB3:AL3"/>
    <mergeCell ref="B4:F4"/>
    <mergeCell ref="O4:S4"/>
    <mergeCell ref="AB4:AF4"/>
    <mergeCell ref="D17:E17"/>
    <mergeCell ref="Q17:R17"/>
    <mergeCell ref="AD17:AE17"/>
    <mergeCell ref="AR17:AS17"/>
    <mergeCell ref="AZ17:BA17"/>
    <mergeCell ref="B31:G31"/>
    <mergeCell ref="O31:T31"/>
    <mergeCell ref="AB31:AG31"/>
    <mergeCell ref="D43:E43"/>
    <mergeCell ref="Q43:R43"/>
    <mergeCell ref="AD43:AE43"/>
    <mergeCell ref="B57:I57"/>
    <mergeCell ref="O57:V57"/>
    <mergeCell ref="AB57:AI57"/>
    <mergeCell ref="D63:E63"/>
    <mergeCell ref="Q63:R63"/>
  </mergeCells>
  <conditionalFormatting sqref="B33:D40">
    <cfRule type="colorScale" priority="8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85">
      <colorScale>
        <cfvo type="min"/>
        <cfvo type="max"/>
        <color rgb="FFFCFCFF"/>
        <color rgb="FFF8696B"/>
      </colorScale>
    </cfRule>
  </conditionalFormatting>
  <conditionalFormatting sqref="B59:K61">
    <cfRule type="colorScale" priority="9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3">
      <colorScale>
        <cfvo type="min"/>
        <cfvo type="max"/>
        <color rgb="FFFCFCFF"/>
        <color rgb="FFF8696B"/>
      </colorScale>
    </cfRule>
  </conditionalFormatting>
  <conditionalFormatting sqref="O33:R40">
    <cfRule type="colorScale" priority="10">
      <colorScale>
        <cfvo type="min"/>
        <cfvo type="max"/>
        <color rgb="FFFCFCFF"/>
        <color rgb="FFF8696B"/>
      </colorScale>
    </cfRule>
  </conditionalFormatting>
  <conditionalFormatting sqref="O6:S14">
    <cfRule type="colorScale" priority="86">
      <colorScale>
        <cfvo type="min"/>
        <cfvo type="max"/>
        <color rgb="FFFCFCFF"/>
        <color rgb="FFF8696B"/>
      </colorScale>
    </cfRule>
  </conditionalFormatting>
  <conditionalFormatting sqref="O59:V61">
    <cfRule type="colorScale" priority="11">
      <colorScale>
        <cfvo type="min"/>
        <cfvo type="max"/>
        <color rgb="FFFCFCFF"/>
        <color rgb="FFF8696B"/>
      </colorScale>
    </cfRule>
  </conditionalFormatting>
  <conditionalFormatting sqref="X6:Y15">
    <cfRule type="colorScale" priority="87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88">
      <colorScale>
        <cfvo type="min"/>
        <cfvo type="max"/>
        <color rgb="FFFCFCFF"/>
        <color rgb="FFF8696B"/>
      </colorScale>
    </cfRule>
  </conditionalFormatting>
  <conditionalFormatting sqref="AC33:AF40">
    <cfRule type="colorScale" priority="12">
      <colorScale>
        <cfvo type="min"/>
        <cfvo type="max"/>
        <color rgb="FFFCFCFF"/>
        <color rgb="FFF8696B"/>
      </colorScale>
    </cfRule>
  </conditionalFormatting>
  <conditionalFormatting sqref="AC59:AN61">
    <cfRule type="colorScale" priority="13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7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V1002"/>
  <sheetViews>
    <sheetView zoomScaleNormal="100" workbookViewId="0">
      <selection activeCell="U31" sqref="U31"/>
    </sheetView>
  </sheetViews>
  <sheetFormatPr defaultColWidth="14.44140625" defaultRowHeight="15" customHeight="1" x14ac:dyDescent="0.3"/>
  <cols>
    <col min="1" max="12" width="9.109375" customWidth="1"/>
    <col min="13" max="13" width="5" customWidth="1"/>
    <col min="14" max="47" width="9.109375" customWidth="1"/>
  </cols>
  <sheetData>
    <row r="1" spans="1:48" ht="14.25" customHeight="1" x14ac:dyDescent="0.3">
      <c r="A1" s="131"/>
      <c r="B1" s="16" t="s">
        <v>195</v>
      </c>
      <c r="C1" s="139" t="s">
        <v>146</v>
      </c>
      <c r="D1" s="225">
        <f ca="1">IF(Landing!$C$9="",Landing!$C$15,MAX(0,Landing!$C$15+30*(1013-Landing!$C$9)))</f>
        <v>770</v>
      </c>
      <c r="F1" s="226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</row>
    <row r="2" spans="1:48" ht="14.25" customHeight="1" x14ac:dyDescent="0.3">
      <c r="A2" s="131"/>
      <c r="B2" s="16" t="s">
        <v>197</v>
      </c>
      <c r="C2" s="139" t="s">
        <v>147</v>
      </c>
      <c r="D2" s="225">
        <f ca="1">Landing!C8</f>
        <v>15</v>
      </c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AM2" s="131"/>
      <c r="AN2" s="131"/>
      <c r="AO2" s="131"/>
      <c r="AP2" s="131"/>
      <c r="AQ2" s="131"/>
      <c r="AR2" s="131"/>
      <c r="AS2" s="131"/>
      <c r="AT2" s="131"/>
      <c r="AU2" s="131"/>
    </row>
    <row r="3" spans="1:48" ht="14.25" customHeight="1" x14ac:dyDescent="0.3">
      <c r="A3" s="131"/>
      <c r="B3" s="356" t="s">
        <v>243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131"/>
      <c r="AM3" s="131"/>
      <c r="AN3" s="131"/>
      <c r="AO3" s="131"/>
      <c r="AP3" s="131"/>
      <c r="AQ3" s="131"/>
      <c r="AR3" s="131"/>
      <c r="AS3" s="131"/>
      <c r="AT3" s="131"/>
      <c r="AU3" s="131"/>
    </row>
    <row r="4" spans="1:48" ht="15" customHeight="1" x14ac:dyDescent="0.3">
      <c r="B4" s="357" t="s">
        <v>241</v>
      </c>
      <c r="C4" s="357"/>
      <c r="D4" s="357"/>
      <c r="E4" s="357"/>
      <c r="F4" s="357"/>
      <c r="G4" s="72"/>
      <c r="H4" s="72"/>
      <c r="I4" s="72"/>
      <c r="J4" s="72"/>
      <c r="K4" s="72"/>
      <c r="L4" s="72"/>
      <c r="M4" s="72"/>
      <c r="AM4" s="2"/>
      <c r="AN4" s="2"/>
      <c r="AO4" s="2"/>
      <c r="AP4" s="139"/>
      <c r="AQ4" s="140"/>
      <c r="AU4" s="2"/>
    </row>
    <row r="5" spans="1:48" ht="15" customHeight="1" x14ac:dyDescent="0.3">
      <c r="A5" t="s">
        <v>242</v>
      </c>
      <c r="B5" s="229">
        <v>-500</v>
      </c>
      <c r="C5" s="229">
        <v>0</v>
      </c>
      <c r="D5" s="230">
        <v>1000</v>
      </c>
      <c r="E5" s="55">
        <v>2000</v>
      </c>
      <c r="F5" s="55">
        <v>3000</v>
      </c>
      <c r="G5" s="231">
        <v>4000</v>
      </c>
      <c r="H5" s="139"/>
      <c r="I5" s="140"/>
      <c r="K5" s="139"/>
      <c r="L5" s="140"/>
      <c r="AN5" s="139"/>
      <c r="AO5" s="140"/>
      <c r="AS5" s="2"/>
      <c r="AT5" s="2"/>
      <c r="AU5" s="2"/>
      <c r="AV5" s="139"/>
    </row>
    <row r="6" spans="1:48" ht="15" customHeight="1" x14ac:dyDescent="0.3">
      <c r="A6">
        <v>-40</v>
      </c>
      <c r="B6" s="293">
        <v>560</v>
      </c>
      <c r="C6" s="293">
        <v>560</v>
      </c>
      <c r="D6" s="294">
        <v>560</v>
      </c>
      <c r="E6" s="295">
        <v>560</v>
      </c>
      <c r="F6" s="295">
        <v>530</v>
      </c>
      <c r="G6" s="231">
        <v>-999</v>
      </c>
      <c r="H6" s="139"/>
      <c r="I6" s="140"/>
      <c r="K6" s="139"/>
      <c r="L6" s="140"/>
      <c r="AN6" s="139"/>
      <c r="AO6" s="140"/>
      <c r="AS6" s="2"/>
      <c r="AT6" s="2"/>
      <c r="AU6" s="2"/>
      <c r="AV6" s="139"/>
    </row>
    <row r="7" spans="1:48" ht="15" customHeight="1" x14ac:dyDescent="0.3">
      <c r="A7">
        <v>-30</v>
      </c>
      <c r="B7" s="296">
        <v>560</v>
      </c>
      <c r="C7" s="296">
        <v>560</v>
      </c>
      <c r="D7" s="297">
        <v>560</v>
      </c>
      <c r="E7" s="148">
        <v>560</v>
      </c>
      <c r="F7" s="148">
        <v>530</v>
      </c>
      <c r="G7" s="22">
        <v>-999</v>
      </c>
      <c r="H7" s="139"/>
      <c r="I7" s="140"/>
      <c r="K7" s="139"/>
      <c r="L7" s="140"/>
      <c r="AN7" s="139"/>
      <c r="AO7" s="140"/>
      <c r="AS7" s="2"/>
      <c r="AT7" s="2"/>
      <c r="AU7" s="2"/>
      <c r="AV7" s="139"/>
    </row>
    <row r="8" spans="1:48" ht="15" customHeight="1" x14ac:dyDescent="0.3">
      <c r="A8">
        <v>-20</v>
      </c>
      <c r="B8" s="296">
        <v>560</v>
      </c>
      <c r="C8" s="296">
        <v>560</v>
      </c>
      <c r="D8" s="297">
        <v>540</v>
      </c>
      <c r="E8" s="148">
        <v>520</v>
      </c>
      <c r="F8" s="148">
        <v>500</v>
      </c>
      <c r="G8" s="22">
        <v>-999</v>
      </c>
      <c r="H8" s="139"/>
      <c r="I8" s="140"/>
      <c r="K8" s="139"/>
      <c r="L8" s="140"/>
      <c r="AN8" s="139"/>
      <c r="AO8" s="140"/>
      <c r="AS8" s="2"/>
      <c r="AT8" s="2"/>
      <c r="AU8" s="2"/>
      <c r="AV8" s="139"/>
    </row>
    <row r="9" spans="1:48" ht="15" customHeight="1" x14ac:dyDescent="0.3">
      <c r="A9">
        <v>-10</v>
      </c>
      <c r="B9" s="296">
        <v>540</v>
      </c>
      <c r="C9" s="296">
        <v>540</v>
      </c>
      <c r="D9" s="297">
        <v>520</v>
      </c>
      <c r="E9" s="148">
        <v>500</v>
      </c>
      <c r="F9" s="148">
        <v>480</v>
      </c>
      <c r="G9" s="22">
        <v>-999</v>
      </c>
      <c r="H9" s="139"/>
      <c r="I9" s="140"/>
      <c r="K9" s="139"/>
      <c r="L9" s="140"/>
      <c r="AN9" s="139"/>
      <c r="AO9" s="140"/>
      <c r="AS9" s="2"/>
      <c r="AT9" s="2"/>
      <c r="AU9" s="2"/>
      <c r="AV9" s="139"/>
    </row>
    <row r="10" spans="1:48" ht="15" customHeight="1" x14ac:dyDescent="0.3">
      <c r="A10">
        <v>0</v>
      </c>
      <c r="B10" s="296">
        <v>520</v>
      </c>
      <c r="C10" s="296">
        <v>520</v>
      </c>
      <c r="D10" s="297">
        <v>500</v>
      </c>
      <c r="E10" s="148">
        <v>480</v>
      </c>
      <c r="F10" s="148">
        <v>460</v>
      </c>
      <c r="G10" s="22">
        <v>-999</v>
      </c>
      <c r="H10" s="139"/>
      <c r="I10" s="140"/>
      <c r="K10" s="139"/>
      <c r="L10" s="140"/>
      <c r="AN10" s="139"/>
      <c r="AO10" s="140"/>
      <c r="AS10" s="2"/>
      <c r="AT10" s="2"/>
      <c r="AU10" s="2"/>
      <c r="AV10" s="139"/>
    </row>
    <row r="11" spans="1:48" ht="15" customHeight="1" x14ac:dyDescent="0.3">
      <c r="A11">
        <v>10</v>
      </c>
      <c r="B11" s="296">
        <v>500</v>
      </c>
      <c r="C11" s="296">
        <v>500</v>
      </c>
      <c r="D11" s="297">
        <v>480</v>
      </c>
      <c r="E11" s="148">
        <v>460</v>
      </c>
      <c r="F11" s="148">
        <v>430</v>
      </c>
      <c r="G11" s="22">
        <v>-999</v>
      </c>
      <c r="H11" s="139"/>
      <c r="I11" s="140"/>
      <c r="K11" s="139"/>
      <c r="L11" s="140"/>
      <c r="AN11" s="139"/>
      <c r="AO11" s="140"/>
      <c r="AS11" s="2"/>
      <c r="AT11" s="2"/>
      <c r="AU11" s="2"/>
      <c r="AV11" s="139"/>
    </row>
    <row r="12" spans="1:48" ht="15" customHeight="1" x14ac:dyDescent="0.3">
      <c r="A12">
        <v>20</v>
      </c>
      <c r="B12" s="296">
        <v>480</v>
      </c>
      <c r="C12" s="296">
        <v>480</v>
      </c>
      <c r="D12" s="297">
        <v>460</v>
      </c>
      <c r="E12" s="148">
        <v>440</v>
      </c>
      <c r="F12" s="148">
        <v>360</v>
      </c>
      <c r="G12" s="22">
        <v>-999</v>
      </c>
      <c r="H12" s="139"/>
      <c r="I12" s="140"/>
      <c r="K12" s="139"/>
      <c r="L12" s="140"/>
      <c r="AN12" s="139"/>
      <c r="AO12" s="140"/>
      <c r="AS12" s="2"/>
      <c r="AT12" s="2"/>
      <c r="AU12" s="2"/>
      <c r="AV12" s="139"/>
    </row>
    <row r="13" spans="1:48" ht="15" customHeight="1" x14ac:dyDescent="0.3">
      <c r="A13">
        <v>30</v>
      </c>
      <c r="B13" s="296">
        <v>420</v>
      </c>
      <c r="C13" s="296">
        <v>420</v>
      </c>
      <c r="D13" s="297">
        <v>360</v>
      </c>
      <c r="E13" s="148">
        <v>260</v>
      </c>
      <c r="F13" s="148">
        <v>180</v>
      </c>
      <c r="G13" s="22">
        <v>-999</v>
      </c>
      <c r="H13" s="139"/>
      <c r="I13" s="140"/>
      <c r="K13" s="139"/>
      <c r="L13" s="140"/>
      <c r="AN13" s="139"/>
      <c r="AO13" s="140"/>
      <c r="AS13" s="2"/>
      <c r="AT13" s="2"/>
      <c r="AU13" s="2"/>
      <c r="AV13" s="139"/>
    </row>
    <row r="14" spans="1:48" ht="15" customHeight="1" x14ac:dyDescent="0.3">
      <c r="A14">
        <v>40</v>
      </c>
      <c r="B14" s="296">
        <v>260</v>
      </c>
      <c r="C14" s="296">
        <v>260</v>
      </c>
      <c r="D14" s="297">
        <v>180</v>
      </c>
      <c r="E14" s="148">
        <v>100</v>
      </c>
      <c r="F14" s="148">
        <v>40</v>
      </c>
      <c r="G14" s="22">
        <v>-999</v>
      </c>
      <c r="H14" s="139"/>
      <c r="I14" s="140"/>
      <c r="K14" s="139"/>
      <c r="L14" s="140"/>
      <c r="AN14" s="139"/>
      <c r="AO14" s="140"/>
      <c r="AS14" s="2"/>
      <c r="AT14" s="2"/>
      <c r="AU14" s="2"/>
      <c r="AV14" s="139"/>
    </row>
    <row r="15" spans="1:48" ht="15" customHeight="1" x14ac:dyDescent="0.3">
      <c r="A15">
        <v>45</v>
      </c>
      <c r="B15" s="234">
        <v>-999</v>
      </c>
      <c r="C15" s="234">
        <v>-999</v>
      </c>
      <c r="D15" s="235">
        <v>-999</v>
      </c>
      <c r="E15" s="235">
        <v>-999</v>
      </c>
      <c r="F15" s="235">
        <v>-999</v>
      </c>
      <c r="G15" s="261">
        <v>-999</v>
      </c>
      <c r="H15" s="139"/>
      <c r="I15" s="140"/>
      <c r="K15" s="139"/>
      <c r="L15" s="140"/>
      <c r="AN15" s="139"/>
      <c r="AO15" s="140"/>
      <c r="AS15" s="2"/>
      <c r="AT15" s="2"/>
      <c r="AU15" s="2"/>
      <c r="AV15" s="139"/>
    </row>
    <row r="16" spans="1:48" ht="15" customHeight="1" x14ac:dyDescent="0.3">
      <c r="B16" s="139"/>
      <c r="C16" s="140"/>
      <c r="G16" s="2"/>
      <c r="H16" s="2"/>
      <c r="I16" s="2"/>
      <c r="J16" s="139"/>
      <c r="K16" s="140"/>
      <c r="AM16" s="2"/>
      <c r="AN16" s="2"/>
      <c r="AO16" s="2"/>
      <c r="AP16" s="139"/>
      <c r="AQ16" s="140"/>
      <c r="AU16" s="2"/>
    </row>
    <row r="17" spans="1:47" ht="15" customHeight="1" x14ac:dyDescent="0.3">
      <c r="B17" s="139" t="s">
        <v>146</v>
      </c>
      <c r="C17" s="140">
        <f ca="1">D1</f>
        <v>770</v>
      </c>
      <c r="D17" s="355" t="s">
        <v>201</v>
      </c>
      <c r="E17" s="355"/>
      <c r="G17" s="2"/>
      <c r="H17" s="2"/>
      <c r="I17" s="2"/>
      <c r="J17" s="139"/>
      <c r="K17" s="140"/>
      <c r="L17" s="72"/>
      <c r="AM17" s="2"/>
      <c r="AN17" s="2"/>
      <c r="AO17" s="2"/>
      <c r="AP17" s="139"/>
      <c r="AQ17" s="140"/>
      <c r="AR17" s="355"/>
      <c r="AS17" s="355"/>
      <c r="AU17" s="2"/>
    </row>
    <row r="18" spans="1:47" ht="15" customHeight="1" x14ac:dyDescent="0.3">
      <c r="B18" s="16" t="s">
        <v>202</v>
      </c>
      <c r="C18" s="141">
        <f t="array" aca="1" ref="C18" ca="1">INDEX(B5:G5,MATCH(C17,B5:G5,1))</f>
        <v>0</v>
      </c>
      <c r="D18" s="16" t="s">
        <v>144</v>
      </c>
      <c r="E18" s="17">
        <f>MATCH(MAX(A6:A15),A6:A15,1)</f>
        <v>10</v>
      </c>
      <c r="G18" s="2"/>
      <c r="H18" s="2"/>
      <c r="I18" s="2"/>
      <c r="J18" s="16"/>
      <c r="K18" s="141"/>
      <c r="L18" s="16"/>
      <c r="M18" s="17"/>
      <c r="AM18" s="2"/>
      <c r="AN18" s="2"/>
      <c r="AO18" s="2"/>
      <c r="AP18" s="16"/>
      <c r="AQ18" s="141"/>
      <c r="AR18" s="16"/>
      <c r="AS18" s="17"/>
      <c r="AU18" s="2"/>
    </row>
    <row r="19" spans="1:47" ht="15" customHeight="1" x14ac:dyDescent="0.3">
      <c r="B19" s="16" t="s">
        <v>203</v>
      </c>
      <c r="C19" s="141">
        <f t="array" aca="1" ref="C19" ca="1">INDEX(B5:G5,IF(MATCH(C17,B5:G5,1)&lt;E19,MATCH(C17,B5:G5,1)+1,MATCH(C17,B5:G5,1)))</f>
        <v>1000</v>
      </c>
      <c r="D19" s="16" t="s">
        <v>145</v>
      </c>
      <c r="E19" s="17">
        <f>MATCH(MAX(B5:G5),B5:G5,0)</f>
        <v>6</v>
      </c>
      <c r="G19" s="2"/>
      <c r="H19" s="2"/>
      <c r="I19" s="2"/>
      <c r="J19" s="16"/>
      <c r="K19" s="141"/>
      <c r="L19" s="16"/>
      <c r="M19" s="17"/>
      <c r="AM19" s="2"/>
      <c r="AN19" s="2"/>
      <c r="AO19" s="2"/>
      <c r="AP19" s="16"/>
      <c r="AQ19" s="141"/>
      <c r="AR19" s="16"/>
      <c r="AS19" s="17"/>
      <c r="AU19" s="2"/>
    </row>
    <row r="20" spans="1:47" ht="15" customHeight="1" x14ac:dyDescent="0.3">
      <c r="B20" s="139" t="s">
        <v>147</v>
      </c>
      <c r="C20" s="186">
        <f ca="1">D2</f>
        <v>15</v>
      </c>
      <c r="D20" s="2"/>
      <c r="E20" s="2"/>
      <c r="G20" s="2"/>
      <c r="H20" s="2"/>
      <c r="I20" s="2"/>
      <c r="J20" s="139"/>
      <c r="K20" s="186"/>
      <c r="L20" s="2"/>
      <c r="M20" s="2"/>
      <c r="AM20" s="2"/>
      <c r="AN20" s="2"/>
      <c r="AO20" s="2"/>
      <c r="AP20" s="139"/>
      <c r="AQ20" s="186"/>
      <c r="AR20" s="2"/>
      <c r="AS20" s="2"/>
      <c r="AU20" s="2"/>
    </row>
    <row r="21" spans="1:47" ht="15" customHeight="1" x14ac:dyDescent="0.3">
      <c r="B21" s="16" t="s">
        <v>148</v>
      </c>
      <c r="C21" s="141">
        <f t="array" aca="1" ref="C21" ca="1">INDEX(A6:A15,MATCH(C20,A6:A15,1))</f>
        <v>10</v>
      </c>
      <c r="D21" s="2"/>
      <c r="E21" s="42"/>
      <c r="G21" s="2"/>
      <c r="H21" s="2"/>
      <c r="I21" s="2"/>
      <c r="J21" s="16"/>
      <c r="K21" s="141"/>
      <c r="L21" s="2"/>
      <c r="M21" s="42"/>
      <c r="AM21" s="2"/>
      <c r="AN21" s="2"/>
      <c r="AO21" s="2"/>
      <c r="AP21" s="16"/>
      <c r="AQ21" s="141"/>
      <c r="AR21" s="2"/>
      <c r="AS21" s="42"/>
      <c r="AU21" s="2"/>
    </row>
    <row r="22" spans="1:47" ht="15" customHeight="1" x14ac:dyDescent="0.3">
      <c r="B22" s="16" t="s">
        <v>149</v>
      </c>
      <c r="C22" s="141">
        <f t="array" aca="1" ref="C22" ca="1">INDEX(A6:A15,IF(MATCH(C20,A6:A15,1)&lt;E18,MATCH(C20,A6:A15,1)+1,MATCH(C20,A6:A15,1)))</f>
        <v>20</v>
      </c>
      <c r="D22" s="2"/>
      <c r="E22" s="42"/>
      <c r="G22" s="2"/>
      <c r="H22" s="2"/>
      <c r="I22" s="2"/>
      <c r="J22" s="16"/>
      <c r="K22" s="141"/>
      <c r="L22" s="2"/>
      <c r="M22" s="42"/>
      <c r="AM22" s="2"/>
      <c r="AN22" s="2"/>
      <c r="AO22" s="2"/>
      <c r="AP22" s="16"/>
      <c r="AQ22" s="141"/>
      <c r="AR22" s="2"/>
      <c r="AS22" s="42"/>
      <c r="AU22" s="2"/>
    </row>
    <row r="23" spans="1:47" ht="15" customHeight="1" x14ac:dyDescent="0.3">
      <c r="B23" s="139" t="s">
        <v>150</v>
      </c>
      <c r="C23" s="140">
        <f t="array" aca="1" ref="C23" ca="1">INDEX(B6:G15,MATCH(C20,A6:A15,1),MATCH(C17,B5:G5,1))</f>
        <v>500</v>
      </c>
      <c r="D23" s="2"/>
      <c r="E23" s="42"/>
      <c r="G23" s="2"/>
      <c r="H23" s="2"/>
      <c r="I23" s="2"/>
      <c r="J23" s="139"/>
      <c r="K23" s="140"/>
      <c r="L23" s="2"/>
      <c r="M23" s="42"/>
      <c r="AM23" s="2"/>
      <c r="AN23" s="2"/>
      <c r="AO23" s="2"/>
      <c r="AP23" s="139"/>
      <c r="AQ23" s="140"/>
      <c r="AR23" s="2"/>
      <c r="AS23" s="42"/>
      <c r="AU23" s="2"/>
    </row>
    <row r="24" spans="1:47" ht="15" customHeight="1" x14ac:dyDescent="0.3">
      <c r="B24" s="139" t="s">
        <v>204</v>
      </c>
      <c r="C24" s="140">
        <f t="array" aca="1" ref="C24" ca="1">INDEX(B6:G15,MATCH(C20,A6:A15,1),IF(MATCH(C17,B5:G5,1)&lt;E19,MATCH(C17,B5:G5,1)+1,MATCH(C20,A6:A15,1)))</f>
        <v>480</v>
      </c>
      <c r="E24" s="42"/>
      <c r="G24" s="2"/>
      <c r="H24" s="2"/>
      <c r="I24" s="2"/>
      <c r="J24" s="139"/>
      <c r="K24" s="140"/>
      <c r="M24" s="42"/>
      <c r="AM24" s="2"/>
      <c r="AN24" s="2"/>
      <c r="AO24" s="2"/>
      <c r="AP24" s="139"/>
      <c r="AQ24" s="140"/>
      <c r="AS24" s="42"/>
      <c r="AU24" s="2"/>
    </row>
    <row r="25" spans="1:47" ht="15" customHeight="1" x14ac:dyDescent="0.3">
      <c r="B25" s="139" t="s">
        <v>151</v>
      </c>
      <c r="C25" s="140">
        <f t="array" aca="1" ref="C25" ca="1">INDEX(B6:G15,IF(MATCH(C20,A6:A15,1)&lt;E18,MATCH(C20,A6:A15,1)+1,MATCH(C20,A6:A15,1)),MATCH(C17,B5:G5,1))</f>
        <v>480</v>
      </c>
      <c r="E25" s="42"/>
      <c r="G25" s="2"/>
      <c r="H25" s="2"/>
      <c r="I25" s="2"/>
      <c r="J25" s="139"/>
      <c r="K25" s="140"/>
      <c r="M25" s="42"/>
      <c r="AM25" s="2"/>
      <c r="AN25" s="2"/>
      <c r="AO25" s="2"/>
      <c r="AP25" s="139"/>
      <c r="AQ25" s="140"/>
      <c r="AS25" s="42"/>
      <c r="AU25" s="2"/>
    </row>
    <row r="26" spans="1:47" ht="15" customHeight="1" x14ac:dyDescent="0.3">
      <c r="B26" s="139" t="s">
        <v>205</v>
      </c>
      <c r="C26" s="140">
        <f t="array" aca="1" ref="C26" ca="1">INDEX(B6:G15,IF(MATCH(C20,A6:A15,1)&lt;E18,MATCH(C20,A6:A15,1)+1,MATCH(C20,A6:A15,1)),IF(MATCH(C17,B5:G5,1)&lt;E19,MATCH(C17,B5:G5,1)+1,MATCH(C17,B5:G5,1)))</f>
        <v>460</v>
      </c>
      <c r="G26" s="2"/>
      <c r="H26" s="2"/>
      <c r="I26" s="2"/>
      <c r="J26" s="139"/>
      <c r="K26" s="140"/>
      <c r="AM26" s="2"/>
      <c r="AN26" s="2"/>
      <c r="AO26" s="2"/>
      <c r="AP26" s="139"/>
      <c r="AQ26" s="140"/>
      <c r="AU26" s="2"/>
    </row>
    <row r="27" spans="1:47" ht="15" customHeight="1" x14ac:dyDescent="0.3">
      <c r="B27" s="16" t="s">
        <v>206</v>
      </c>
      <c r="C27" s="141">
        <f ca="1">IFERROR(C23+(C17-C18)*(C24-C23)/(C19-C18),C23)</f>
        <v>484.6</v>
      </c>
      <c r="G27" s="2"/>
      <c r="H27" s="2"/>
      <c r="I27" s="2"/>
      <c r="J27" s="16"/>
      <c r="K27" s="141"/>
      <c r="AM27" s="2"/>
      <c r="AN27" s="2"/>
      <c r="AO27" s="2"/>
      <c r="AP27" s="16"/>
      <c r="AQ27" s="141"/>
      <c r="AU27" s="2"/>
    </row>
    <row r="28" spans="1:47" ht="15" customHeight="1" x14ac:dyDescent="0.3">
      <c r="B28" s="16" t="s">
        <v>207</v>
      </c>
      <c r="C28" s="141">
        <f ca="1">IFERROR(C25+(C17-C18)*(C26-C25)/(C19-C18),C25)</f>
        <v>464.6</v>
      </c>
      <c r="G28" s="2"/>
      <c r="H28" s="2"/>
      <c r="I28" s="2"/>
      <c r="J28" s="16"/>
      <c r="K28" s="141"/>
      <c r="AM28" s="2"/>
      <c r="AN28" s="2"/>
      <c r="AO28" s="2"/>
      <c r="AP28" s="16"/>
      <c r="AQ28" s="141"/>
      <c r="AU28" s="2"/>
    </row>
    <row r="29" spans="1:47" ht="15" customHeight="1" x14ac:dyDescent="0.3">
      <c r="B29" s="139" t="s">
        <v>208</v>
      </c>
      <c r="C29" s="140">
        <f ca="1">IFERROR(C27+(C20-C21)*(C28-C27)/(C22-C21),C27)</f>
        <v>474.6</v>
      </c>
      <c r="G29" s="2"/>
      <c r="H29" s="2"/>
      <c r="I29" s="2"/>
      <c r="J29" s="139"/>
      <c r="K29" s="140"/>
      <c r="AM29" s="2"/>
      <c r="AN29" s="2"/>
      <c r="AO29" s="2"/>
      <c r="AP29" s="139"/>
      <c r="AQ29" s="140"/>
      <c r="AU29" s="2"/>
    </row>
    <row r="30" spans="1:47" ht="15.75" customHeight="1" x14ac:dyDescent="0.3"/>
    <row r="31" spans="1:47" ht="15" customHeight="1" x14ac:dyDescent="0.3">
      <c r="B31" s="355" t="s">
        <v>221</v>
      </c>
      <c r="C31" s="355"/>
      <c r="D31" s="355"/>
      <c r="E31" s="355"/>
      <c r="F31" s="355"/>
      <c r="G31" s="355"/>
      <c r="H31" s="72"/>
      <c r="I31" s="72"/>
      <c r="J31" s="72"/>
      <c r="K31" s="72"/>
      <c r="L31" s="72"/>
      <c r="M31" s="72"/>
      <c r="O31" s="355" t="s">
        <v>332</v>
      </c>
      <c r="P31" s="355"/>
      <c r="Q31" s="355"/>
      <c r="R31" s="355"/>
      <c r="S31" s="355"/>
      <c r="T31" s="355"/>
      <c r="U31" s="72"/>
      <c r="V31" s="72"/>
      <c r="W31" s="72"/>
      <c r="X31" s="72"/>
      <c r="Y31" s="72"/>
      <c r="AH31" s="72"/>
      <c r="AI31" s="72"/>
      <c r="AJ31" s="72"/>
      <c r="AK31" s="72"/>
      <c r="AL31" s="72"/>
    </row>
    <row r="32" spans="1:47" ht="15" customHeight="1" x14ac:dyDescent="0.3">
      <c r="A32" t="s">
        <v>35</v>
      </c>
      <c r="B32" s="263">
        <v>100</v>
      </c>
      <c r="C32" s="269">
        <v>200</v>
      </c>
      <c r="D32" s="269">
        <v>300</v>
      </c>
      <c r="E32" s="269">
        <v>400</v>
      </c>
      <c r="F32" s="270">
        <v>500</v>
      </c>
      <c r="G32" s="270">
        <v>600</v>
      </c>
      <c r="H32" s="231">
        <v>5</v>
      </c>
      <c r="P32" t="s">
        <v>35</v>
      </c>
      <c r="Q32" s="263">
        <v>100</v>
      </c>
      <c r="R32" s="264">
        <v>200</v>
      </c>
      <c r="S32" s="264">
        <v>300</v>
      </c>
      <c r="T32" s="264">
        <v>400</v>
      </c>
      <c r="U32" s="264">
        <v>500</v>
      </c>
      <c r="V32" s="264">
        <v>600</v>
      </c>
      <c r="W32" s="264">
        <v>700</v>
      </c>
      <c r="X32" s="269">
        <v>800</v>
      </c>
      <c r="Y32" s="270">
        <v>900</v>
      </c>
      <c r="Z32" s="270">
        <v>1000</v>
      </c>
      <c r="AA32" s="231">
        <v>1100</v>
      </c>
    </row>
    <row r="33" spans="1:44" ht="15" customHeight="1" x14ac:dyDescent="0.3">
      <c r="A33">
        <v>10000</v>
      </c>
      <c r="B33" s="293">
        <v>1000</v>
      </c>
      <c r="C33" s="294">
        <v>1000</v>
      </c>
      <c r="D33" s="294">
        <v>1000</v>
      </c>
      <c r="E33" s="294">
        <v>1000</v>
      </c>
      <c r="F33" s="295">
        <v>1000</v>
      </c>
      <c r="G33" s="295">
        <v>1000</v>
      </c>
      <c r="H33" s="231">
        <v>0</v>
      </c>
      <c r="P33">
        <v>1</v>
      </c>
      <c r="Q33" s="298">
        <v>0.7</v>
      </c>
      <c r="R33" s="299">
        <v>2.35</v>
      </c>
      <c r="S33" s="299">
        <v>2.0499999999999998</v>
      </c>
      <c r="T33" s="299">
        <v>2.75</v>
      </c>
      <c r="U33" s="299">
        <v>3.5</v>
      </c>
      <c r="V33" s="299">
        <v>4.33</v>
      </c>
      <c r="W33" s="299">
        <v>5.25</v>
      </c>
      <c r="X33" s="299">
        <v>6.15</v>
      </c>
      <c r="Y33" s="300">
        <v>7.1</v>
      </c>
      <c r="Z33" s="300">
        <v>8</v>
      </c>
      <c r="AA33" s="231">
        <v>0</v>
      </c>
    </row>
    <row r="34" spans="1:44" ht="15" customHeight="1" x14ac:dyDescent="0.3">
      <c r="A34">
        <v>11000</v>
      </c>
      <c r="B34" s="296">
        <v>900</v>
      </c>
      <c r="C34" s="297">
        <v>1000</v>
      </c>
      <c r="D34" s="297">
        <v>1000</v>
      </c>
      <c r="E34" s="297">
        <v>1000</v>
      </c>
      <c r="F34" s="148">
        <v>1000</v>
      </c>
      <c r="G34" s="148">
        <v>1000</v>
      </c>
      <c r="H34" s="22">
        <v>0</v>
      </c>
      <c r="O34" s="139"/>
      <c r="P34" s="140"/>
      <c r="T34" s="2"/>
      <c r="U34" s="2"/>
      <c r="V34" s="2"/>
      <c r="W34" s="139"/>
      <c r="X34" s="140"/>
    </row>
    <row r="35" spans="1:44" ht="15" customHeight="1" x14ac:dyDescent="0.3">
      <c r="A35">
        <v>12000</v>
      </c>
      <c r="B35" s="296">
        <v>710</v>
      </c>
      <c r="C35" s="297">
        <v>840</v>
      </c>
      <c r="D35" s="297">
        <v>960</v>
      </c>
      <c r="E35" s="297">
        <v>1000</v>
      </c>
      <c r="F35" s="148">
        <v>1000</v>
      </c>
      <c r="G35" s="148">
        <v>1000</v>
      </c>
      <c r="H35" s="22">
        <v>0</v>
      </c>
      <c r="O35" s="139" t="s">
        <v>146</v>
      </c>
      <c r="P35" s="140">
        <f ca="1">C56</f>
        <v>498.33000000000004</v>
      </c>
      <c r="Q35" s="355" t="s">
        <v>201</v>
      </c>
      <c r="R35" s="355"/>
      <c r="T35" s="2"/>
      <c r="U35" s="2"/>
      <c r="V35" s="2"/>
      <c r="W35" s="139"/>
      <c r="X35" s="140"/>
      <c r="Y35" s="72"/>
    </row>
    <row r="36" spans="1:44" ht="15" customHeight="1" x14ac:dyDescent="0.3">
      <c r="A36">
        <v>13000</v>
      </c>
      <c r="B36" s="296">
        <v>570</v>
      </c>
      <c r="C36" s="297">
        <v>680</v>
      </c>
      <c r="D36" s="297">
        <v>800</v>
      </c>
      <c r="E36" s="297">
        <v>900</v>
      </c>
      <c r="F36" s="148">
        <v>1000</v>
      </c>
      <c r="G36" s="148">
        <v>1000</v>
      </c>
      <c r="H36" s="22">
        <v>0</v>
      </c>
      <c r="O36" s="16" t="s">
        <v>202</v>
      </c>
      <c r="P36" s="141">
        <f t="array" aca="1" ref="P36" ca="1">INDEX(Q32:AA32,MATCH(P35,Q32:AA32,1))</f>
        <v>400</v>
      </c>
      <c r="Q36" s="16" t="s">
        <v>144</v>
      </c>
      <c r="R36" s="17">
        <f>MATCH(MAX(P33),P33,1)</f>
        <v>1</v>
      </c>
      <c r="T36" s="2"/>
      <c r="U36" s="2"/>
      <c r="V36" s="2"/>
      <c r="W36" s="16"/>
      <c r="X36" s="141"/>
      <c r="Y36" s="16"/>
    </row>
    <row r="37" spans="1:44" ht="15" customHeight="1" x14ac:dyDescent="0.3">
      <c r="A37">
        <v>14000</v>
      </c>
      <c r="B37" s="296">
        <v>420</v>
      </c>
      <c r="C37" s="297">
        <v>520</v>
      </c>
      <c r="D37" s="297">
        <v>640</v>
      </c>
      <c r="E37" s="297">
        <v>740</v>
      </c>
      <c r="F37" s="148">
        <v>870</v>
      </c>
      <c r="G37" s="148">
        <v>1000</v>
      </c>
      <c r="H37" s="22">
        <v>0</v>
      </c>
      <c r="O37" s="16" t="s">
        <v>203</v>
      </c>
      <c r="P37" s="141">
        <f t="array" aca="1" ref="P37" ca="1">INDEX(Q32:AA32,IF(MATCH(P35,Q32:AA32,1)&lt;R37,MATCH(P35,Q32:AA32,1)+1,MATCH(P35,Q32:AA32,1)))</f>
        <v>500</v>
      </c>
      <c r="Q37" s="16" t="s">
        <v>145</v>
      </c>
      <c r="R37" s="17">
        <f>MATCH(MAX(Q32:AA32),Q32:AA32,0)</f>
        <v>11</v>
      </c>
      <c r="T37" s="2"/>
      <c r="U37" s="2"/>
      <c r="V37" s="2"/>
      <c r="W37" s="16"/>
      <c r="X37" s="141"/>
      <c r="Y37" s="16"/>
    </row>
    <row r="38" spans="1:44" ht="15" customHeight="1" x14ac:dyDescent="0.3">
      <c r="A38">
        <v>15000</v>
      </c>
      <c r="B38" s="296">
        <v>280</v>
      </c>
      <c r="C38" s="297">
        <v>390</v>
      </c>
      <c r="D38" s="297">
        <v>500</v>
      </c>
      <c r="E38" s="297">
        <v>600</v>
      </c>
      <c r="F38" s="148">
        <v>710</v>
      </c>
      <c r="G38" s="148">
        <v>820</v>
      </c>
      <c r="H38" s="22">
        <v>0</v>
      </c>
      <c r="O38" s="139" t="s">
        <v>147</v>
      </c>
      <c r="P38" s="186">
        <v>1</v>
      </c>
      <c r="Q38" s="2"/>
      <c r="R38" s="2"/>
      <c r="T38" s="2"/>
      <c r="U38" s="2"/>
      <c r="V38" s="2"/>
      <c r="W38" s="139"/>
      <c r="X38" s="186"/>
      <c r="Y38" s="2"/>
    </row>
    <row r="39" spans="1:44" ht="15" customHeight="1" x14ac:dyDescent="0.3">
      <c r="A39">
        <v>16000</v>
      </c>
      <c r="B39" s="296">
        <v>160</v>
      </c>
      <c r="C39" s="297">
        <v>260</v>
      </c>
      <c r="D39" s="297">
        <v>370</v>
      </c>
      <c r="E39" s="297">
        <v>470</v>
      </c>
      <c r="F39" s="148">
        <v>570</v>
      </c>
      <c r="G39" s="148">
        <v>680</v>
      </c>
      <c r="H39" s="22">
        <v>0</v>
      </c>
      <c r="O39" s="16" t="s">
        <v>148</v>
      </c>
      <c r="P39" s="141">
        <f t="array" ref="P39">INDEX(P33,MATCH(P38,P33,1))</f>
        <v>1</v>
      </c>
      <c r="Q39" s="2"/>
      <c r="R39" s="42"/>
      <c r="T39" s="2"/>
      <c r="U39" s="2"/>
      <c r="V39" s="2"/>
      <c r="W39" s="16"/>
      <c r="X39" s="141"/>
      <c r="Y39" s="2"/>
    </row>
    <row r="40" spans="1:44" ht="15" customHeight="1" x14ac:dyDescent="0.3">
      <c r="A40">
        <v>16600</v>
      </c>
      <c r="B40" s="301">
        <v>100</v>
      </c>
      <c r="C40" s="302">
        <v>200</v>
      </c>
      <c r="D40" s="302">
        <v>300</v>
      </c>
      <c r="E40" s="302">
        <v>400</v>
      </c>
      <c r="F40" s="303">
        <v>500</v>
      </c>
      <c r="G40" s="303">
        <v>600</v>
      </c>
      <c r="H40" s="22">
        <v>0</v>
      </c>
      <c r="O40" s="16" t="s">
        <v>149</v>
      </c>
      <c r="P40" s="141">
        <f t="array" ref="P40">INDEX(P33,IF(MATCH(P38,P33,1)&lt;R36,MATCH(P38,P33,1)+1,MATCH(P38,P33,1)))</f>
        <v>1</v>
      </c>
      <c r="Q40" s="2"/>
      <c r="R40" s="42"/>
      <c r="T40" s="2"/>
      <c r="U40" s="2"/>
      <c r="V40" s="2"/>
      <c r="W40" s="16"/>
      <c r="X40" s="141"/>
      <c r="Y40" s="2"/>
    </row>
    <row r="41" spans="1:44" ht="15" customHeight="1" x14ac:dyDescent="0.3">
      <c r="A41">
        <v>16700</v>
      </c>
      <c r="B41" s="234">
        <v>0</v>
      </c>
      <c r="C41" s="235">
        <v>0</v>
      </c>
      <c r="D41" s="235"/>
      <c r="E41" s="235"/>
      <c r="F41" s="235">
        <v>0</v>
      </c>
      <c r="G41" s="235">
        <v>0</v>
      </c>
      <c r="H41" s="292">
        <v>0</v>
      </c>
      <c r="I41" s="203"/>
      <c r="J41" s="203"/>
      <c r="K41" s="203"/>
      <c r="L41" s="203"/>
      <c r="M41" s="203"/>
      <c r="O41" s="139" t="s">
        <v>150</v>
      </c>
      <c r="P41" s="140">
        <f t="array" aca="1" ref="P41" ca="1">INDEX(Q33:AA33,MATCH(P38,P33,1),MATCH(P35,Q32:AA32,1))</f>
        <v>2.75</v>
      </c>
      <c r="Q41" s="2"/>
      <c r="R41" s="42"/>
      <c r="T41" s="2"/>
      <c r="U41" s="2"/>
      <c r="V41" s="2"/>
      <c r="W41" s="139"/>
      <c r="X41" s="140"/>
      <c r="Y41" s="2"/>
      <c r="AB41" s="203"/>
      <c r="AC41" s="203"/>
      <c r="AD41" s="203"/>
      <c r="AE41" s="203"/>
      <c r="AN41" s="203"/>
      <c r="AO41" s="203"/>
      <c r="AP41" s="203"/>
      <c r="AQ41" s="203"/>
      <c r="AR41" s="203"/>
    </row>
    <row r="42" spans="1:44" ht="15" customHeight="1" x14ac:dyDescent="0.3">
      <c r="B42" s="139"/>
      <c r="C42" s="140"/>
      <c r="G42" s="2"/>
      <c r="H42" s="2"/>
      <c r="I42" s="2"/>
      <c r="J42" s="139"/>
      <c r="K42" s="140"/>
      <c r="O42" s="139" t="s">
        <v>204</v>
      </c>
      <c r="P42" s="140">
        <f t="array" aca="1" ref="P42" ca="1">INDEX(Q33:AA33,MATCH(P38,P33,1),IF(MATCH(P35,Q32:AA32,1)&lt;R37,MATCH(P35,Q32:AA32,1)+1,MATCH(P38,P33,1)))</f>
        <v>3.5</v>
      </c>
      <c r="R42" s="42"/>
      <c r="T42" s="2"/>
      <c r="U42" s="2"/>
      <c r="V42" s="2"/>
      <c r="W42" s="139"/>
      <c r="X42" s="140"/>
    </row>
    <row r="43" spans="1:44" ht="15" customHeight="1" x14ac:dyDescent="0.3">
      <c r="B43" s="139" t="s">
        <v>146</v>
      </c>
      <c r="C43" s="140">
        <f ca="1">C29</f>
        <v>474.6</v>
      </c>
      <c r="D43" s="355" t="s">
        <v>201</v>
      </c>
      <c r="E43" s="355"/>
      <c r="G43" s="2"/>
      <c r="H43" s="2"/>
      <c r="I43" s="2"/>
      <c r="J43" s="139"/>
      <c r="K43" s="140"/>
      <c r="L43" s="72"/>
      <c r="O43" s="139" t="s">
        <v>151</v>
      </c>
      <c r="P43" s="140">
        <f t="array" aca="1" ref="P43" ca="1">INDEX(Q33:AA33,IF(MATCH(P38,P33,1)&lt;R36,MATCH(P38,P33,1)+1,MATCH(P38,P33,1)),MATCH(P35,Q32:AA32,1))</f>
        <v>2.75</v>
      </c>
      <c r="R43" s="42"/>
      <c r="T43" s="2"/>
      <c r="U43" s="2"/>
      <c r="V43" s="2"/>
      <c r="W43" s="139"/>
      <c r="X43" s="140"/>
      <c r="AG43" s="2"/>
      <c r="AH43" s="2"/>
      <c r="AI43" s="2"/>
      <c r="AJ43" s="139"/>
      <c r="AK43" s="140"/>
      <c r="AL43" s="72"/>
    </row>
    <row r="44" spans="1:44" ht="15" customHeight="1" x14ac:dyDescent="0.3">
      <c r="B44" s="16" t="s">
        <v>202</v>
      </c>
      <c r="C44" s="141">
        <f t="array" aca="1" ref="C44" ca="1">INDEX(B32:H32,MATCH(C43,B32:H32,1))</f>
        <v>400</v>
      </c>
      <c r="D44" s="16" t="s">
        <v>144</v>
      </c>
      <c r="E44" s="17">
        <f>MATCH(MAX(A33:A41),A33:A41,1)</f>
        <v>9</v>
      </c>
      <c r="G44" s="2"/>
      <c r="H44" s="2"/>
      <c r="I44" s="2"/>
      <c r="J44" s="16"/>
      <c r="K44" s="141"/>
      <c r="L44" s="16"/>
      <c r="M44" s="17"/>
      <c r="O44" s="139" t="s">
        <v>205</v>
      </c>
      <c r="P44" s="140">
        <f t="array" aca="1" ref="P44" ca="1">INDEX(Q33:AA33,IF(MATCH(P38,P33,1)&lt;R36,MATCH(P38,P33,1)+1,MATCH(P38,P33,1)),IF(MATCH(P35,Q32:AA32,1)&lt;R37,MATCH(P35,Q32:AA32,1)+1,MATCH(P35,Q32:AA32,1)))</f>
        <v>3.5</v>
      </c>
      <c r="T44" s="2"/>
      <c r="U44" s="2"/>
      <c r="V44" s="2"/>
      <c r="W44" s="139"/>
      <c r="X44" s="140"/>
      <c r="AG44" s="2"/>
      <c r="AH44" s="2"/>
      <c r="AI44" s="2"/>
      <c r="AJ44" s="16"/>
      <c r="AK44" s="141"/>
      <c r="AL44" s="16"/>
    </row>
    <row r="45" spans="1:44" ht="15" customHeight="1" x14ac:dyDescent="0.3">
      <c r="B45" s="16" t="s">
        <v>203</v>
      </c>
      <c r="C45" s="141">
        <f t="array" aca="1" ref="C45" ca="1">INDEX(B32:H32,IF(MATCH(C43,B32:H32,1)&lt;E45,MATCH(C43,B32:H32,1)+1,MATCH(C43,B32:H32,1)))</f>
        <v>500</v>
      </c>
      <c r="D45" s="16" t="s">
        <v>145</v>
      </c>
      <c r="E45" s="17">
        <f>MATCH(MAX(B32:H32),B32:H32,0)</f>
        <v>6</v>
      </c>
      <c r="G45" s="2"/>
      <c r="H45" s="2"/>
      <c r="I45" s="2"/>
      <c r="J45" s="16"/>
      <c r="K45" s="141"/>
      <c r="L45" s="16"/>
      <c r="M45" s="17"/>
      <c r="O45" s="16" t="s">
        <v>206</v>
      </c>
      <c r="P45" s="141">
        <f ca="1">IFERROR(P41+(P35-P36)*(P42-P41)/(P37-P36),P41)</f>
        <v>3.4874750000000003</v>
      </c>
      <c r="T45" s="2"/>
      <c r="U45" s="2"/>
      <c r="V45" s="2"/>
      <c r="W45" s="16"/>
      <c r="X45" s="141"/>
      <c r="AG45" s="2"/>
      <c r="AH45" s="2"/>
      <c r="AI45" s="2"/>
      <c r="AJ45" s="16"/>
      <c r="AK45" s="141"/>
      <c r="AL45" s="16"/>
    </row>
    <row r="46" spans="1:44" ht="15" customHeight="1" x14ac:dyDescent="0.3">
      <c r="B46" s="139" t="s">
        <v>147</v>
      </c>
      <c r="C46" s="186">
        <f>Landing!C11</f>
        <v>15500</v>
      </c>
      <c r="D46" s="2"/>
      <c r="E46" s="2"/>
      <c r="G46" s="2"/>
      <c r="H46" s="2"/>
      <c r="I46" s="2"/>
      <c r="J46" s="139"/>
      <c r="K46" s="186"/>
      <c r="L46" s="2"/>
      <c r="M46" s="2"/>
      <c r="O46" s="16" t="s">
        <v>207</v>
      </c>
      <c r="P46" s="141">
        <f ca="1">IFERROR(P43+(P35-P36)*(P44-P43)/(P37-P36),P43)</f>
        <v>3.4874750000000003</v>
      </c>
      <c r="T46" s="2"/>
      <c r="U46" s="2"/>
      <c r="V46" s="2"/>
      <c r="W46" s="16"/>
      <c r="X46" s="141"/>
      <c r="AG46" s="2"/>
      <c r="AH46" s="2"/>
      <c r="AI46" s="2"/>
      <c r="AJ46" s="139"/>
      <c r="AK46" s="186"/>
      <c r="AL46" s="2"/>
    </row>
    <row r="47" spans="1:44" ht="15" customHeight="1" x14ac:dyDescent="0.3">
      <c r="B47" s="16" t="s">
        <v>148</v>
      </c>
      <c r="C47" s="141">
        <f t="array" ref="C47">INDEX(A33:A41,MATCH(C46,A33:A41,1))</f>
        <v>15000</v>
      </c>
      <c r="D47" s="2"/>
      <c r="E47" s="42"/>
      <c r="G47" s="2"/>
      <c r="H47" s="2"/>
      <c r="I47" s="2"/>
      <c r="J47" s="16"/>
      <c r="K47" s="141"/>
      <c r="L47" s="2"/>
      <c r="M47" s="42"/>
      <c r="O47" s="139" t="s">
        <v>208</v>
      </c>
      <c r="P47" s="186">
        <f ca="1">IFERROR(P45+(P38-P39)*(P46-P45)/(P40-P39),P45)</f>
        <v>3.4874750000000003</v>
      </c>
      <c r="T47" s="2"/>
      <c r="U47" s="2"/>
      <c r="V47" s="2"/>
      <c r="W47" s="139"/>
      <c r="X47" s="140"/>
      <c r="AG47" s="2"/>
      <c r="AH47" s="2"/>
      <c r="AI47" s="2"/>
      <c r="AJ47" s="16"/>
      <c r="AK47" s="141"/>
      <c r="AL47" s="2"/>
    </row>
    <row r="48" spans="1:44" ht="15" customHeight="1" x14ac:dyDescent="0.3">
      <c r="B48" s="16" t="s">
        <v>149</v>
      </c>
      <c r="C48" s="141">
        <f t="array" ref="C48">INDEX(A33:A41,IF(MATCH(C46,A33:A41,1)&lt;E44,MATCH(C46,A33:A41,1)+1,MATCH(C46,A33:A41,1)))</f>
        <v>16000</v>
      </c>
      <c r="D48" s="2"/>
      <c r="E48" s="42"/>
      <c r="G48" s="2"/>
      <c r="H48" s="2"/>
      <c r="I48" s="2"/>
      <c r="J48" s="16"/>
      <c r="K48" s="141"/>
      <c r="L48" s="2"/>
      <c r="M48" s="42"/>
      <c r="AG48" s="2"/>
      <c r="AH48" s="2"/>
      <c r="AI48" s="2"/>
      <c r="AJ48" s="16"/>
      <c r="AK48" s="141"/>
      <c r="AL48" s="2"/>
    </row>
    <row r="49" spans="2:38" ht="15" customHeight="1" x14ac:dyDescent="0.3">
      <c r="B49" s="139" t="s">
        <v>150</v>
      </c>
      <c r="C49" s="140">
        <f t="array" aca="1" ref="C49" ca="1">INDEX(B33:H41,MATCH(C46,A33:A41,1),MATCH(C43,B32:H32,1))</f>
        <v>600</v>
      </c>
      <c r="D49" s="2"/>
      <c r="E49" s="42"/>
      <c r="G49" s="2"/>
      <c r="H49" s="2"/>
      <c r="I49" s="2"/>
      <c r="J49" s="139"/>
      <c r="K49" s="140"/>
      <c r="L49" s="2"/>
      <c r="M49" s="42"/>
      <c r="AG49" s="2"/>
      <c r="AH49" s="2"/>
      <c r="AI49" s="2"/>
      <c r="AJ49" s="139"/>
      <c r="AK49" s="140"/>
      <c r="AL49" s="2"/>
    </row>
    <row r="50" spans="2:38" ht="15" customHeight="1" x14ac:dyDescent="0.3">
      <c r="B50" s="139" t="s">
        <v>204</v>
      </c>
      <c r="C50" s="140">
        <f t="array" aca="1" ref="C50" ca="1">INDEX(B33:H41,MATCH(C46,A33:A41,1),IF(MATCH(C43,B32:H32,1)&lt;E45,MATCH(C43,B32:H32,1)+1,MATCH(C46,A33:A41,1)))</f>
        <v>710</v>
      </c>
      <c r="E50" s="42"/>
      <c r="G50" s="2"/>
      <c r="H50" s="2"/>
      <c r="I50" s="2"/>
      <c r="J50" s="139"/>
      <c r="K50" s="140"/>
      <c r="M50" s="42"/>
      <c r="AG50" s="2"/>
      <c r="AH50" s="2"/>
      <c r="AI50" s="2"/>
      <c r="AJ50" s="139"/>
      <c r="AK50" s="140"/>
    </row>
    <row r="51" spans="2:38" ht="15" customHeight="1" x14ac:dyDescent="0.3">
      <c r="B51" s="139" t="s">
        <v>151</v>
      </c>
      <c r="C51" s="140">
        <f t="array" aca="1" ref="C51" ca="1">INDEX(B33:H41,IF(MATCH(C46,A33:A41,1)&lt;E44,MATCH(C46,A33:A41,1)+1,MATCH(C46,A33:A41,1)),MATCH(C43,B32:H32,1))</f>
        <v>470</v>
      </c>
      <c r="E51" s="42"/>
      <c r="G51" s="2"/>
      <c r="H51" s="2"/>
      <c r="I51" s="2"/>
      <c r="J51" s="139"/>
      <c r="K51" s="140"/>
      <c r="M51" s="42"/>
      <c r="AG51" s="2"/>
      <c r="AH51" s="2"/>
      <c r="AI51" s="2"/>
      <c r="AJ51" s="139"/>
      <c r="AK51" s="140"/>
    </row>
    <row r="52" spans="2:38" ht="15" customHeight="1" x14ac:dyDescent="0.3">
      <c r="B52" s="139" t="s">
        <v>205</v>
      </c>
      <c r="C52" s="140">
        <f t="array" aca="1" ref="C52" ca="1">INDEX(B33:H41,IF(MATCH(C46,A33:A41,1)&lt;E44,MATCH(C46,A33:A41,1)+1,MATCH(C46,A33:A41,1)),IF(MATCH(C43,B32:H32,1)&lt;E45,MATCH(C43,B32:H32,1)+1,MATCH(C43,B32:H32,1)))</f>
        <v>570</v>
      </c>
      <c r="G52" s="2"/>
      <c r="H52" s="2"/>
      <c r="I52" s="2"/>
      <c r="J52" s="139"/>
      <c r="K52" s="140"/>
      <c r="AG52" s="2"/>
      <c r="AH52" s="2"/>
      <c r="AI52" s="2"/>
      <c r="AJ52" s="139"/>
      <c r="AK52" s="140"/>
    </row>
    <row r="53" spans="2:38" ht="15" customHeight="1" x14ac:dyDescent="0.3">
      <c r="B53" s="16" t="s">
        <v>206</v>
      </c>
      <c r="C53" s="141">
        <f ca="1">IFERROR(C49+(C43-C44)*(C50-C49)/(C45-C44),C49)</f>
        <v>682.06000000000006</v>
      </c>
      <c r="G53" s="2"/>
      <c r="H53" s="2"/>
      <c r="I53" s="2"/>
      <c r="J53" s="16"/>
      <c r="K53" s="141"/>
      <c r="AG53" s="2"/>
      <c r="AH53" s="2"/>
      <c r="AI53" s="2"/>
      <c r="AJ53" s="16"/>
      <c r="AK53" s="141"/>
    </row>
    <row r="54" spans="2:38" ht="15" customHeight="1" x14ac:dyDescent="0.3">
      <c r="B54" s="16" t="s">
        <v>207</v>
      </c>
      <c r="C54" s="141">
        <f ca="1">IFERROR(C51+(C43-C44)*(C52-C51)/(C45-C44),C51)</f>
        <v>544.6</v>
      </c>
      <c r="G54" s="2"/>
      <c r="H54" s="2"/>
      <c r="I54" s="2"/>
      <c r="J54" s="16"/>
      <c r="K54" s="141"/>
      <c r="AG54" s="2"/>
      <c r="AH54" s="2"/>
      <c r="AI54" s="2"/>
      <c r="AJ54" s="16"/>
      <c r="AK54" s="141"/>
    </row>
    <row r="55" spans="2:38" ht="15" customHeight="1" x14ac:dyDescent="0.3">
      <c r="B55" s="139" t="s">
        <v>208</v>
      </c>
      <c r="C55" s="304">
        <f ca="1">IFERROR(C53+(C46-C47)*(C54-C53)/(C48-C47),C53)</f>
        <v>613.33000000000004</v>
      </c>
      <c r="G55" s="2"/>
      <c r="H55" s="2"/>
      <c r="I55" s="2"/>
      <c r="J55" s="139"/>
      <c r="K55" s="140"/>
      <c r="AG55" s="2"/>
      <c r="AH55" s="2"/>
      <c r="AI55" s="2"/>
      <c r="AJ55" s="139"/>
      <c r="AK55" s="140"/>
    </row>
    <row r="56" spans="2:38" ht="15" customHeight="1" x14ac:dyDescent="0.3">
      <c r="B56" t="s">
        <v>244</v>
      </c>
      <c r="C56" s="21">
        <f ca="1">C55-115</f>
        <v>498.33000000000004</v>
      </c>
    </row>
    <row r="57" spans="2:38" ht="15.75" customHeight="1" x14ac:dyDescent="0.3"/>
    <row r="58" spans="2:38" ht="15.75" customHeight="1" x14ac:dyDescent="0.3"/>
    <row r="59" spans="2:38" ht="15.75" customHeight="1" x14ac:dyDescent="0.3"/>
    <row r="60" spans="2:38" ht="15.75" customHeight="1" x14ac:dyDescent="0.3"/>
    <row r="61" spans="2:38" ht="15.75" customHeight="1" x14ac:dyDescent="0.3"/>
    <row r="62" spans="2:38" ht="15.75" customHeight="1" x14ac:dyDescent="0.3"/>
    <row r="63" spans="2:38" ht="15.75" customHeight="1" x14ac:dyDescent="0.3"/>
    <row r="64" spans="2:3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8">
    <mergeCell ref="Q35:R35"/>
    <mergeCell ref="D43:E43"/>
    <mergeCell ref="B3:L3"/>
    <mergeCell ref="B4:F4"/>
    <mergeCell ref="D17:E17"/>
    <mergeCell ref="AR17:AS17"/>
    <mergeCell ref="B31:G31"/>
    <mergeCell ref="O31:T31"/>
  </mergeCells>
  <conditionalFormatting sqref="B6:F14">
    <cfRule type="colorScale" priority="93">
      <colorScale>
        <cfvo type="min"/>
        <cfvo type="max"/>
        <color rgb="FFFCFCFF"/>
        <color rgb="FFF8696B"/>
      </colorScale>
    </cfRule>
  </conditionalFormatting>
  <conditionalFormatting sqref="B33:G40">
    <cfRule type="colorScale" priority="4">
      <colorScale>
        <cfvo type="min"/>
        <cfvo type="max"/>
        <color rgb="FFFCFCFF"/>
        <color rgb="FFF8696B"/>
      </colorScale>
    </cfRule>
  </conditionalFormatting>
  <conditionalFormatting sqref="K6:N15">
    <cfRule type="colorScale" priority="3">
      <colorScale>
        <cfvo type="min"/>
        <cfvo type="max"/>
        <color rgb="FFFCFCFF"/>
        <color rgb="FFF8696B"/>
      </colorScale>
    </cfRule>
  </conditionalFormatting>
  <conditionalFormatting sqref="Q33:Z33">
    <cfRule type="colorScale" priority="5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Z1002"/>
  <sheetViews>
    <sheetView topLeftCell="R1" zoomScaleNormal="100" workbookViewId="0">
      <selection activeCell="AM6" sqref="AM6"/>
    </sheetView>
  </sheetViews>
  <sheetFormatPr defaultColWidth="14.44140625" defaultRowHeight="15" customHeight="1" x14ac:dyDescent="0.3"/>
  <cols>
    <col min="1" max="12" width="9.109375" customWidth="1"/>
    <col min="13" max="13" width="5" customWidth="1"/>
    <col min="14" max="52" width="9.109375" customWidth="1"/>
  </cols>
  <sheetData>
    <row r="1" spans="1:52" ht="14.25" customHeight="1" x14ac:dyDescent="0.3">
      <c r="A1" s="131"/>
      <c r="B1" s="16" t="s">
        <v>195</v>
      </c>
      <c r="C1" s="139" t="s">
        <v>146</v>
      </c>
      <c r="D1" s="225">
        <f ca="1">IF('Take-off'!$C$9="",'Take-off'!$C$16,MAX(0,'Take-off'!$C$16+30*(1013-'Take-off'!$C$9)))+35</f>
        <v>805</v>
      </c>
      <c r="F1" s="226" t="s">
        <v>245</v>
      </c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240"/>
      <c r="AW1" s="131"/>
      <c r="AX1" s="131"/>
      <c r="AY1" s="131"/>
      <c r="AZ1" s="131"/>
    </row>
    <row r="2" spans="1:52" ht="14.25" customHeight="1" x14ac:dyDescent="0.3">
      <c r="A2" s="131"/>
      <c r="B2" s="16" t="s">
        <v>197</v>
      </c>
      <c r="C2" s="139" t="s">
        <v>147</v>
      </c>
      <c r="D2" s="225">
        <f ca="1">'Take-off'!$C$8</f>
        <v>15</v>
      </c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240"/>
      <c r="AW2" s="131"/>
      <c r="AX2" s="131"/>
      <c r="AY2" s="131"/>
      <c r="AZ2" s="131"/>
    </row>
    <row r="3" spans="1:52" ht="14.25" customHeight="1" x14ac:dyDescent="0.3">
      <c r="A3" s="131"/>
      <c r="B3" s="356" t="s">
        <v>243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131"/>
      <c r="N3" s="131"/>
      <c r="O3" s="356" t="s">
        <v>246</v>
      </c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131"/>
      <c r="AA3" s="131"/>
      <c r="AB3" s="356" t="s">
        <v>247</v>
      </c>
      <c r="AC3" s="356"/>
      <c r="AD3" s="356"/>
      <c r="AE3" s="356"/>
      <c r="AF3" s="356"/>
      <c r="AG3" s="356"/>
      <c r="AH3" s="356"/>
      <c r="AI3" s="356"/>
      <c r="AJ3" s="356"/>
      <c r="AK3" s="356"/>
      <c r="AL3" s="356"/>
      <c r="AM3" s="131"/>
      <c r="AN3" s="131"/>
      <c r="AO3" s="131"/>
      <c r="AP3" s="131"/>
      <c r="AQ3" s="131"/>
      <c r="AR3" s="131"/>
      <c r="AS3" s="131"/>
      <c r="AT3" s="131"/>
      <c r="AU3" s="131"/>
      <c r="AV3" s="240"/>
      <c r="AW3" s="131"/>
      <c r="AX3" s="131"/>
      <c r="AY3" s="131"/>
      <c r="AZ3" s="131"/>
    </row>
    <row r="4" spans="1:52" ht="15" customHeight="1" x14ac:dyDescent="0.3">
      <c r="B4" s="357" t="s">
        <v>241</v>
      </c>
      <c r="C4" s="357"/>
      <c r="D4" s="357"/>
      <c r="E4" s="357"/>
      <c r="F4" s="357"/>
      <c r="G4" s="72"/>
      <c r="H4" s="72"/>
      <c r="I4" s="72"/>
      <c r="J4" s="72"/>
      <c r="K4" s="72"/>
      <c r="L4" s="72"/>
      <c r="M4" s="72"/>
      <c r="O4" s="357" t="s">
        <v>241</v>
      </c>
      <c r="P4" s="357"/>
      <c r="Q4" s="357"/>
      <c r="R4" s="357"/>
      <c r="S4" s="357"/>
      <c r="T4" s="72"/>
      <c r="U4" s="72"/>
      <c r="V4" s="72"/>
      <c r="W4" s="72"/>
      <c r="X4" s="72"/>
      <c r="Y4" s="72"/>
      <c r="Z4" s="139"/>
      <c r="AB4" s="357" t="s">
        <v>241</v>
      </c>
      <c r="AC4" s="357"/>
      <c r="AD4" s="357"/>
      <c r="AE4" s="357"/>
      <c r="AF4" s="357"/>
      <c r="AG4" s="72"/>
      <c r="AH4" s="72"/>
      <c r="AI4" s="72"/>
      <c r="AJ4" s="72"/>
      <c r="AK4" s="72"/>
      <c r="AL4" s="72"/>
      <c r="AM4" s="2"/>
      <c r="AN4" s="2"/>
      <c r="AO4" s="2"/>
      <c r="AP4" s="139"/>
      <c r="AQ4" s="140"/>
      <c r="AU4" s="2"/>
      <c r="AV4" s="2"/>
      <c r="AW4" s="2"/>
      <c r="AX4" s="139"/>
      <c r="AY4" s="140"/>
    </row>
    <row r="5" spans="1:52" ht="15" customHeight="1" x14ac:dyDescent="0.3">
      <c r="A5" t="s">
        <v>242</v>
      </c>
      <c r="B5" s="229">
        <v>-500</v>
      </c>
      <c r="C5" s="232">
        <v>0</v>
      </c>
      <c r="D5" s="230">
        <v>1000</v>
      </c>
      <c r="E5" s="55">
        <v>2000</v>
      </c>
      <c r="F5" s="55">
        <v>3000</v>
      </c>
      <c r="G5" s="231">
        <v>4000</v>
      </c>
      <c r="H5" s="139"/>
      <c r="I5" s="140"/>
      <c r="J5" s="139"/>
      <c r="K5" s="140"/>
      <c r="N5" t="s">
        <v>242</v>
      </c>
      <c r="O5" s="229">
        <v>-500</v>
      </c>
      <c r="P5" s="232">
        <v>0</v>
      </c>
      <c r="Q5" s="230">
        <v>1000</v>
      </c>
      <c r="R5" s="55">
        <v>2000</v>
      </c>
      <c r="S5" s="55">
        <v>3000</v>
      </c>
      <c r="T5" s="231">
        <v>4000</v>
      </c>
      <c r="U5" s="139"/>
      <c r="V5" s="140"/>
      <c r="X5" s="139"/>
      <c r="AA5" t="s">
        <v>242</v>
      </c>
      <c r="AB5" s="229">
        <v>-500</v>
      </c>
      <c r="AC5" s="232">
        <v>0</v>
      </c>
      <c r="AD5" s="230">
        <v>1000</v>
      </c>
      <c r="AE5" s="55">
        <v>2000</v>
      </c>
      <c r="AF5" s="55">
        <v>3000</v>
      </c>
      <c r="AG5" s="231">
        <v>4000</v>
      </c>
      <c r="AH5" s="139"/>
      <c r="AI5" s="140"/>
      <c r="AK5" s="139"/>
      <c r="AL5" s="140"/>
      <c r="AN5" s="139"/>
      <c r="AO5" s="140"/>
      <c r="AS5" s="2"/>
      <c r="AT5" s="2"/>
      <c r="AU5" s="2"/>
      <c r="AV5" s="139"/>
      <c r="AW5" s="140"/>
    </row>
    <row r="6" spans="1:52" ht="15" customHeight="1" x14ac:dyDescent="0.3">
      <c r="A6">
        <v>-40</v>
      </c>
      <c r="B6" s="293">
        <v>3.9</v>
      </c>
      <c r="C6" s="294">
        <v>3.9</v>
      </c>
      <c r="D6" s="294">
        <v>3.9</v>
      </c>
      <c r="E6" s="295">
        <v>3.8</v>
      </c>
      <c r="F6" s="295">
        <v>3.6</v>
      </c>
      <c r="G6" s="231">
        <v>-99</v>
      </c>
      <c r="H6" s="139"/>
      <c r="I6" s="140"/>
      <c r="J6" s="139"/>
      <c r="K6" s="140"/>
      <c r="N6">
        <v>-40</v>
      </c>
      <c r="O6" s="298">
        <v>3.5</v>
      </c>
      <c r="P6" s="299">
        <v>3.5</v>
      </c>
      <c r="Q6" s="299">
        <v>3.5</v>
      </c>
      <c r="R6" s="300">
        <v>3.5</v>
      </c>
      <c r="S6" s="300">
        <v>3.3</v>
      </c>
      <c r="T6" s="231">
        <v>-99</v>
      </c>
      <c r="U6" s="139"/>
      <c r="V6" s="140"/>
      <c r="X6" s="139"/>
      <c r="AA6">
        <v>-40</v>
      </c>
      <c r="AB6" s="298">
        <v>2.6</v>
      </c>
      <c r="AC6" s="299">
        <v>2.6</v>
      </c>
      <c r="AD6" s="299">
        <v>2.6</v>
      </c>
      <c r="AE6" s="300">
        <v>2.6</v>
      </c>
      <c r="AF6" s="300">
        <v>2.5</v>
      </c>
      <c r="AG6" s="231">
        <v>-99</v>
      </c>
      <c r="AH6" s="139"/>
      <c r="AI6" s="140"/>
      <c r="AK6" s="139"/>
      <c r="AL6" s="140"/>
      <c r="AN6" s="139"/>
      <c r="AO6" s="140"/>
      <c r="AS6" s="2"/>
      <c r="AT6" s="2"/>
      <c r="AU6" s="2"/>
      <c r="AV6" s="139"/>
      <c r="AW6" s="140"/>
    </row>
    <row r="7" spans="1:52" ht="15" customHeight="1" x14ac:dyDescent="0.3">
      <c r="A7">
        <v>-30</v>
      </c>
      <c r="B7" s="296">
        <v>3.9</v>
      </c>
      <c r="C7" s="297">
        <v>3.9</v>
      </c>
      <c r="D7" s="297">
        <v>3.9</v>
      </c>
      <c r="E7" s="148">
        <v>3.8</v>
      </c>
      <c r="F7" s="148">
        <v>3.6</v>
      </c>
      <c r="G7" s="22">
        <v>-99</v>
      </c>
      <c r="H7" s="139"/>
      <c r="I7" s="140"/>
      <c r="J7" s="139"/>
      <c r="K7" s="140"/>
      <c r="N7">
        <v>-30</v>
      </c>
      <c r="O7" s="305">
        <v>3.5</v>
      </c>
      <c r="P7" s="306">
        <v>3.5</v>
      </c>
      <c r="Q7" s="306">
        <v>3.5</v>
      </c>
      <c r="R7" s="21">
        <v>3.5</v>
      </c>
      <c r="S7" s="21">
        <v>3.3</v>
      </c>
      <c r="T7" s="22">
        <v>-99</v>
      </c>
      <c r="U7" s="139"/>
      <c r="V7" s="140"/>
      <c r="X7" s="139"/>
      <c r="AA7">
        <v>-30</v>
      </c>
      <c r="AB7" s="305">
        <v>2.6</v>
      </c>
      <c r="AC7" s="306">
        <v>2.6</v>
      </c>
      <c r="AD7" s="306">
        <v>2.6</v>
      </c>
      <c r="AE7" s="21">
        <v>2.6</v>
      </c>
      <c r="AF7" s="21">
        <v>2.5</v>
      </c>
      <c r="AG7" s="22">
        <v>-99</v>
      </c>
      <c r="AH7" s="139"/>
      <c r="AI7" s="140"/>
      <c r="AK7" s="139"/>
      <c r="AL7" s="140"/>
      <c r="AN7" s="139"/>
      <c r="AO7" s="140"/>
      <c r="AS7" s="2"/>
      <c r="AT7" s="2"/>
      <c r="AU7" s="2"/>
      <c r="AV7" s="139"/>
      <c r="AW7" s="140"/>
    </row>
    <row r="8" spans="1:52" ht="15" customHeight="1" x14ac:dyDescent="0.3">
      <c r="A8">
        <v>-20</v>
      </c>
      <c r="B8" s="296">
        <v>3.9</v>
      </c>
      <c r="C8" s="297">
        <v>3.9</v>
      </c>
      <c r="D8" s="297">
        <v>3.7</v>
      </c>
      <c r="E8" s="148">
        <v>3.4</v>
      </c>
      <c r="F8" s="148">
        <v>3.2</v>
      </c>
      <c r="G8" s="22">
        <v>-99</v>
      </c>
      <c r="H8" s="139"/>
      <c r="I8" s="140"/>
      <c r="J8" s="139"/>
      <c r="K8" s="140"/>
      <c r="N8">
        <v>-20</v>
      </c>
      <c r="O8" s="305">
        <v>3.5</v>
      </c>
      <c r="P8" s="306">
        <v>3.5</v>
      </c>
      <c r="Q8" s="306">
        <v>3.4</v>
      </c>
      <c r="R8" s="21">
        <v>3.2</v>
      </c>
      <c r="S8" s="21">
        <v>2.85</v>
      </c>
      <c r="T8" s="22">
        <v>-99</v>
      </c>
      <c r="U8" s="139"/>
      <c r="V8" s="140"/>
      <c r="X8" s="139"/>
      <c r="AA8">
        <v>-20</v>
      </c>
      <c r="AB8" s="305">
        <v>2.6</v>
      </c>
      <c r="AC8" s="306">
        <v>2.6</v>
      </c>
      <c r="AD8" s="306">
        <v>2.4</v>
      </c>
      <c r="AE8" s="21">
        <v>2.2000000000000002</v>
      </c>
      <c r="AF8" s="21">
        <v>1.95</v>
      </c>
      <c r="AG8" s="22">
        <v>-99</v>
      </c>
      <c r="AH8" s="139"/>
      <c r="AI8" s="140"/>
      <c r="AK8" s="139"/>
      <c r="AL8" s="140"/>
      <c r="AN8" s="139"/>
      <c r="AO8" s="140"/>
      <c r="AS8" s="2"/>
      <c r="AT8" s="2"/>
      <c r="AU8" s="2"/>
      <c r="AV8" s="139"/>
      <c r="AW8" s="140"/>
    </row>
    <row r="9" spans="1:52" ht="15" customHeight="1" x14ac:dyDescent="0.3">
      <c r="A9">
        <v>-10</v>
      </c>
      <c r="B9" s="296">
        <v>3.7</v>
      </c>
      <c r="C9" s="297">
        <v>3.7</v>
      </c>
      <c r="D9" s="297">
        <v>3.45</v>
      </c>
      <c r="E9" s="148">
        <v>3.2</v>
      </c>
      <c r="F9" s="148">
        <v>3</v>
      </c>
      <c r="G9" s="22">
        <v>-99</v>
      </c>
      <c r="H9" s="139"/>
      <c r="I9" s="140"/>
      <c r="J9" s="139"/>
      <c r="K9" s="140"/>
      <c r="N9">
        <v>-10</v>
      </c>
      <c r="O9" s="305">
        <v>3.4</v>
      </c>
      <c r="P9" s="306">
        <v>3.4</v>
      </c>
      <c r="Q9" s="306">
        <v>3.1</v>
      </c>
      <c r="R9" s="21">
        <v>2.85</v>
      </c>
      <c r="S9" s="21">
        <v>2.6</v>
      </c>
      <c r="T9" s="22">
        <v>-99</v>
      </c>
      <c r="U9" s="139"/>
      <c r="V9" s="140"/>
      <c r="X9" s="139"/>
      <c r="AA9">
        <v>-10</v>
      </c>
      <c r="AB9" s="305">
        <v>2.4</v>
      </c>
      <c r="AC9" s="306">
        <v>2.4</v>
      </c>
      <c r="AD9" s="306">
        <v>2.2000000000000002</v>
      </c>
      <c r="AE9" s="21">
        <v>1.9</v>
      </c>
      <c r="AF9" s="21">
        <v>1.6</v>
      </c>
      <c r="AG9" s="22">
        <v>-99</v>
      </c>
      <c r="AH9" s="139"/>
      <c r="AI9" s="140"/>
      <c r="AK9" s="139"/>
      <c r="AL9" s="140"/>
      <c r="AN9" s="139"/>
      <c r="AO9" s="140"/>
      <c r="AS9" s="2"/>
      <c r="AT9" s="2"/>
      <c r="AU9" s="2"/>
      <c r="AV9" s="139"/>
      <c r="AW9" s="140"/>
    </row>
    <row r="10" spans="1:52" ht="15" customHeight="1" x14ac:dyDescent="0.3">
      <c r="A10">
        <v>0</v>
      </c>
      <c r="B10" s="296">
        <v>3.5</v>
      </c>
      <c r="C10" s="297">
        <v>3.5</v>
      </c>
      <c r="D10" s="297">
        <v>3.2</v>
      </c>
      <c r="E10" s="148">
        <v>3</v>
      </c>
      <c r="F10" s="148">
        <v>2.75</v>
      </c>
      <c r="G10" s="22">
        <v>-99</v>
      </c>
      <c r="H10" s="139"/>
      <c r="I10" s="140"/>
      <c r="J10" s="139"/>
      <c r="K10" s="140"/>
      <c r="N10">
        <v>0</v>
      </c>
      <c r="O10" s="305">
        <v>3.1</v>
      </c>
      <c r="P10" s="306">
        <v>3.1</v>
      </c>
      <c r="Q10" s="306">
        <v>2.8</v>
      </c>
      <c r="R10" s="21">
        <v>2.6</v>
      </c>
      <c r="S10" s="21">
        <v>2.2999999999999998</v>
      </c>
      <c r="T10" s="22">
        <v>-99</v>
      </c>
      <c r="U10" s="139"/>
      <c r="V10" s="140"/>
      <c r="X10" s="139"/>
      <c r="AA10">
        <v>0</v>
      </c>
      <c r="AB10" s="305">
        <v>2.2000000000000002</v>
      </c>
      <c r="AC10" s="306">
        <v>2.2000000000000002</v>
      </c>
      <c r="AD10" s="306">
        <v>1.9</v>
      </c>
      <c r="AE10" s="21">
        <v>1.6</v>
      </c>
      <c r="AF10" s="21">
        <v>1.4</v>
      </c>
      <c r="AG10" s="22">
        <v>-99</v>
      </c>
      <c r="AH10" s="139"/>
      <c r="AI10" s="140"/>
      <c r="AK10" s="139"/>
      <c r="AL10" s="140"/>
      <c r="AN10" s="139"/>
      <c r="AO10" s="140"/>
      <c r="AS10" s="2"/>
      <c r="AT10" s="2"/>
      <c r="AU10" s="2"/>
      <c r="AV10" s="139"/>
      <c r="AW10" s="140"/>
    </row>
    <row r="11" spans="1:52" ht="15" customHeight="1" x14ac:dyDescent="0.3">
      <c r="A11">
        <v>10</v>
      </c>
      <c r="B11" s="296">
        <v>3.2</v>
      </c>
      <c r="C11" s="297">
        <v>3.2</v>
      </c>
      <c r="D11" s="297">
        <v>3</v>
      </c>
      <c r="E11" s="148">
        <v>2.8</v>
      </c>
      <c r="F11" s="148">
        <v>2.5</v>
      </c>
      <c r="G11" s="22">
        <v>-99</v>
      </c>
      <c r="H11" s="139"/>
      <c r="I11" s="140"/>
      <c r="J11" s="139"/>
      <c r="K11" s="140"/>
      <c r="N11">
        <v>10</v>
      </c>
      <c r="O11" s="305">
        <v>2.85</v>
      </c>
      <c r="P11" s="306">
        <v>2.85</v>
      </c>
      <c r="Q11" s="306">
        <v>2.6</v>
      </c>
      <c r="R11" s="21">
        <v>2.2999999999999998</v>
      </c>
      <c r="S11" s="21">
        <v>2</v>
      </c>
      <c r="T11" s="22">
        <v>-99</v>
      </c>
      <c r="U11" s="139"/>
      <c r="V11" s="140"/>
      <c r="X11" s="139"/>
      <c r="AA11">
        <v>10</v>
      </c>
      <c r="AB11" s="305">
        <v>1.9</v>
      </c>
      <c r="AC11" s="306">
        <v>1.9</v>
      </c>
      <c r="AD11" s="306">
        <v>1.6</v>
      </c>
      <c r="AE11" s="21">
        <v>1.4</v>
      </c>
      <c r="AF11" s="21">
        <v>1.1499999999999999</v>
      </c>
      <c r="AG11" s="22">
        <v>-99</v>
      </c>
      <c r="AH11" s="139"/>
      <c r="AI11" s="140"/>
      <c r="AK11" s="139"/>
      <c r="AL11" s="140"/>
      <c r="AN11" s="139"/>
      <c r="AO11" s="140"/>
      <c r="AS11" s="2"/>
      <c r="AT11" s="2"/>
      <c r="AU11" s="2"/>
      <c r="AV11" s="139"/>
      <c r="AW11" s="140"/>
    </row>
    <row r="12" spans="1:52" ht="15" customHeight="1" x14ac:dyDescent="0.3">
      <c r="A12">
        <v>20</v>
      </c>
      <c r="B12" s="296">
        <v>3</v>
      </c>
      <c r="C12" s="297">
        <v>3</v>
      </c>
      <c r="D12" s="297">
        <v>2.75</v>
      </c>
      <c r="E12" s="148">
        <v>2.5</v>
      </c>
      <c r="F12" s="148">
        <v>2.25</v>
      </c>
      <c r="G12" s="22">
        <v>-99</v>
      </c>
      <c r="H12" s="139"/>
      <c r="I12" s="140"/>
      <c r="J12" s="139"/>
      <c r="K12" s="140"/>
      <c r="N12">
        <v>20</v>
      </c>
      <c r="O12" s="305">
        <v>2.6</v>
      </c>
      <c r="P12" s="306">
        <v>2.6</v>
      </c>
      <c r="Q12" s="306">
        <v>2.4</v>
      </c>
      <c r="R12" s="21">
        <v>2.1</v>
      </c>
      <c r="S12" s="21">
        <v>1.8</v>
      </c>
      <c r="T12" s="22">
        <v>-99</v>
      </c>
      <c r="U12" s="139"/>
      <c r="V12" s="140"/>
      <c r="X12" s="139"/>
      <c r="AA12">
        <v>20</v>
      </c>
      <c r="AB12" s="305">
        <v>1.6</v>
      </c>
      <c r="AC12" s="306">
        <v>1.6</v>
      </c>
      <c r="AD12" s="306">
        <v>1.4</v>
      </c>
      <c r="AE12" s="21">
        <v>1.1000000000000001</v>
      </c>
      <c r="AF12" s="21">
        <v>0.9</v>
      </c>
      <c r="AG12" s="22">
        <v>-99</v>
      </c>
      <c r="AH12" s="139"/>
      <c r="AI12" s="140"/>
      <c r="AK12" s="139"/>
      <c r="AL12" s="140"/>
      <c r="AN12" s="139"/>
      <c r="AO12" s="140"/>
      <c r="AS12" s="2"/>
      <c r="AT12" s="2"/>
      <c r="AU12" s="2"/>
      <c r="AV12" s="139"/>
      <c r="AW12" s="140"/>
    </row>
    <row r="13" spans="1:52" ht="15" customHeight="1" x14ac:dyDescent="0.3">
      <c r="A13">
        <v>30</v>
      </c>
      <c r="B13" s="296">
        <v>2.8</v>
      </c>
      <c r="C13" s="297">
        <v>2.8</v>
      </c>
      <c r="D13" s="297">
        <v>2.5</v>
      </c>
      <c r="E13" s="148">
        <v>2.2999999999999998</v>
      </c>
      <c r="F13" s="148">
        <v>1.9</v>
      </c>
      <c r="G13" s="22">
        <v>-99</v>
      </c>
      <c r="H13" s="139"/>
      <c r="I13" s="140"/>
      <c r="J13" s="139"/>
      <c r="K13" s="140"/>
      <c r="N13">
        <v>30</v>
      </c>
      <c r="O13" s="305">
        <v>2.4</v>
      </c>
      <c r="P13" s="306">
        <v>2.4</v>
      </c>
      <c r="Q13" s="306">
        <v>2.2000000000000002</v>
      </c>
      <c r="R13" s="21">
        <v>1.85</v>
      </c>
      <c r="S13" s="21">
        <v>1.6</v>
      </c>
      <c r="T13" s="22">
        <v>-99</v>
      </c>
      <c r="U13" s="139"/>
      <c r="V13" s="140"/>
      <c r="X13" s="139"/>
      <c r="AA13">
        <v>30</v>
      </c>
      <c r="AB13" s="305">
        <v>1.4</v>
      </c>
      <c r="AC13" s="306">
        <v>1.4</v>
      </c>
      <c r="AD13" s="306">
        <v>1.1499999999999999</v>
      </c>
      <c r="AE13" s="21">
        <v>0.9</v>
      </c>
      <c r="AF13" s="21">
        <v>0.6</v>
      </c>
      <c r="AG13" s="22">
        <v>-99</v>
      </c>
      <c r="AH13" s="139"/>
      <c r="AI13" s="140"/>
      <c r="AK13" s="139"/>
      <c r="AL13" s="140"/>
      <c r="AN13" s="139"/>
      <c r="AO13" s="140"/>
      <c r="AS13" s="2"/>
      <c r="AT13" s="2"/>
      <c r="AU13" s="2"/>
      <c r="AV13" s="139"/>
      <c r="AW13" s="140"/>
    </row>
    <row r="14" spans="1:52" ht="15" customHeight="1" x14ac:dyDescent="0.3">
      <c r="A14">
        <v>40</v>
      </c>
      <c r="B14" s="296">
        <v>2.5</v>
      </c>
      <c r="C14" s="297">
        <v>2.5</v>
      </c>
      <c r="D14" s="297">
        <v>2.2000000000000002</v>
      </c>
      <c r="E14" s="148">
        <v>1.8</v>
      </c>
      <c r="F14" s="148">
        <v>1.2</v>
      </c>
      <c r="G14" s="22">
        <v>-99</v>
      </c>
      <c r="H14" s="139"/>
      <c r="I14" s="140"/>
      <c r="J14" s="139"/>
      <c r="K14" s="140"/>
      <c r="N14">
        <v>40</v>
      </c>
      <c r="O14" s="305">
        <v>2.2000000000000002</v>
      </c>
      <c r="P14" s="306">
        <v>2.2000000000000002</v>
      </c>
      <c r="Q14" s="306">
        <v>1.8</v>
      </c>
      <c r="R14" s="21">
        <v>1.4</v>
      </c>
      <c r="S14" s="21">
        <v>0.8</v>
      </c>
      <c r="T14" s="22">
        <v>-99</v>
      </c>
      <c r="U14" s="139"/>
      <c r="V14" s="140"/>
      <c r="X14" s="139"/>
      <c r="AA14">
        <v>40</v>
      </c>
      <c r="AB14" s="305">
        <v>1.2</v>
      </c>
      <c r="AC14" s="306">
        <v>1.2</v>
      </c>
      <c r="AD14" s="306">
        <v>0.8</v>
      </c>
      <c r="AE14" s="21">
        <v>0.4</v>
      </c>
      <c r="AF14" s="21">
        <v>-0.2</v>
      </c>
      <c r="AG14" s="22">
        <v>-99</v>
      </c>
      <c r="AH14" s="139"/>
      <c r="AI14" s="140"/>
      <c r="AK14" s="139"/>
      <c r="AL14" s="140"/>
      <c r="AN14" s="139"/>
      <c r="AO14" s="140"/>
      <c r="AS14" s="2"/>
      <c r="AT14" s="2"/>
      <c r="AU14" s="2"/>
      <c r="AV14" s="139"/>
      <c r="AW14" s="140"/>
    </row>
    <row r="15" spans="1:52" ht="15" customHeight="1" x14ac:dyDescent="0.3">
      <c r="A15">
        <v>45</v>
      </c>
      <c r="B15" s="234">
        <v>-99</v>
      </c>
      <c r="C15" s="238">
        <v>-99</v>
      </c>
      <c r="D15" s="235">
        <v>-99</v>
      </c>
      <c r="E15" s="235">
        <v>-99</v>
      </c>
      <c r="F15" s="235">
        <v>-99</v>
      </c>
      <c r="G15" s="261">
        <v>-99</v>
      </c>
      <c r="H15" s="139"/>
      <c r="I15" s="140"/>
      <c r="J15" s="139"/>
      <c r="K15" s="140"/>
      <c r="N15">
        <v>45</v>
      </c>
      <c r="O15" s="234">
        <v>-99</v>
      </c>
      <c r="P15" s="238">
        <v>-99</v>
      </c>
      <c r="Q15" s="235">
        <v>-99</v>
      </c>
      <c r="R15" s="235">
        <v>-99</v>
      </c>
      <c r="S15" s="235">
        <v>-99</v>
      </c>
      <c r="T15" s="261">
        <v>-99</v>
      </c>
      <c r="U15" s="139"/>
      <c r="V15" s="140"/>
      <c r="X15" s="139"/>
      <c r="AA15">
        <v>45</v>
      </c>
      <c r="AB15" s="234">
        <v>-99</v>
      </c>
      <c r="AC15" s="238">
        <v>-99</v>
      </c>
      <c r="AD15" s="235">
        <v>-99</v>
      </c>
      <c r="AE15" s="235">
        <v>-99</v>
      </c>
      <c r="AF15" s="235">
        <v>-99</v>
      </c>
      <c r="AG15" s="261">
        <v>-99</v>
      </c>
      <c r="AH15" s="139"/>
      <c r="AI15" s="140"/>
      <c r="AK15" s="139"/>
      <c r="AL15" s="140"/>
      <c r="AN15" s="139"/>
      <c r="AO15" s="140"/>
      <c r="AS15" s="2"/>
      <c r="AT15" s="2"/>
      <c r="AU15" s="2"/>
      <c r="AV15" s="139"/>
      <c r="AW15" s="140"/>
    </row>
    <row r="16" spans="1:52" ht="15" customHeight="1" x14ac:dyDescent="0.3">
      <c r="B16" s="139"/>
      <c r="C16" s="140"/>
      <c r="G16" s="2"/>
      <c r="H16" s="2"/>
      <c r="I16" s="2"/>
      <c r="J16" s="139"/>
      <c r="K16" s="140"/>
      <c r="O16" s="139"/>
      <c r="P16" s="140"/>
      <c r="T16" s="2"/>
      <c r="U16" s="2"/>
      <c r="V16" s="2"/>
      <c r="W16" s="139"/>
      <c r="X16" s="140"/>
      <c r="Z16" s="139"/>
      <c r="AB16" s="139"/>
      <c r="AC16" s="140"/>
      <c r="AG16" s="2"/>
      <c r="AH16" s="2"/>
      <c r="AI16" s="2"/>
      <c r="AJ16" s="139"/>
      <c r="AK16" s="140"/>
      <c r="AM16" s="2"/>
      <c r="AN16" s="2"/>
      <c r="AO16" s="2"/>
      <c r="AP16" s="139"/>
      <c r="AQ16" s="140"/>
      <c r="AU16" s="2"/>
      <c r="AV16" s="2"/>
      <c r="AW16" s="2"/>
      <c r="AX16" s="139"/>
      <c r="AY16" s="140"/>
    </row>
    <row r="17" spans="1:52" ht="15" customHeight="1" x14ac:dyDescent="0.3">
      <c r="B17" s="139" t="s">
        <v>146</v>
      </c>
      <c r="C17" s="140">
        <f ca="1">D1</f>
        <v>805</v>
      </c>
      <c r="D17" s="355" t="s">
        <v>201</v>
      </c>
      <c r="E17" s="355"/>
      <c r="G17" s="2"/>
      <c r="H17" s="2"/>
      <c r="I17" s="2"/>
      <c r="J17" s="139"/>
      <c r="K17" s="140"/>
      <c r="L17" s="72"/>
      <c r="O17" s="139" t="s">
        <v>146</v>
      </c>
      <c r="P17" s="140">
        <f ca="1">D1</f>
        <v>805</v>
      </c>
      <c r="Q17" s="355" t="s">
        <v>201</v>
      </c>
      <c r="R17" s="355"/>
      <c r="T17" s="2"/>
      <c r="U17" s="2"/>
      <c r="V17" s="2"/>
      <c r="W17" s="139"/>
      <c r="X17" s="140"/>
      <c r="Y17" s="72"/>
      <c r="Z17" s="139"/>
      <c r="AB17" s="139" t="s">
        <v>146</v>
      </c>
      <c r="AC17" s="140">
        <f ca="1">D1</f>
        <v>805</v>
      </c>
      <c r="AD17" s="355" t="s">
        <v>201</v>
      </c>
      <c r="AE17" s="355"/>
      <c r="AG17" s="2"/>
      <c r="AH17" s="2"/>
      <c r="AI17" s="2"/>
      <c r="AJ17" s="139"/>
      <c r="AK17" s="140"/>
      <c r="AL17" s="72"/>
      <c r="AM17" s="2"/>
      <c r="AN17" s="2"/>
      <c r="AO17" s="2"/>
      <c r="AP17" s="139"/>
      <c r="AQ17" s="140"/>
      <c r="AR17" s="355"/>
      <c r="AS17" s="355"/>
      <c r="AU17" s="2"/>
      <c r="AV17" s="2"/>
      <c r="AW17" s="2"/>
      <c r="AX17" s="139"/>
      <c r="AY17" s="140"/>
      <c r="AZ17" s="137"/>
    </row>
    <row r="18" spans="1:52" ht="15" customHeight="1" x14ac:dyDescent="0.3">
      <c r="B18" s="16" t="s">
        <v>202</v>
      </c>
      <c r="C18" s="141">
        <f t="array" aca="1" ref="C18" ca="1">INDEX(B5:G5,MATCH(C17,B5:G5,1))</f>
        <v>0</v>
      </c>
      <c r="D18" s="16" t="s">
        <v>144</v>
      </c>
      <c r="E18" s="17">
        <f>MATCH(MAX(A6:A15),A6:A15,1)</f>
        <v>10</v>
      </c>
      <c r="G18" s="2"/>
      <c r="H18" s="2"/>
      <c r="I18" s="2"/>
      <c r="J18" s="16"/>
      <c r="K18" s="141"/>
      <c r="L18" s="16"/>
      <c r="M18" s="17"/>
      <c r="O18" s="16" t="s">
        <v>202</v>
      </c>
      <c r="P18" s="141">
        <f t="array" aca="1" ref="P18" ca="1">INDEX(O5:T5,MATCH(P17,O5:T5,1))</f>
        <v>0</v>
      </c>
      <c r="Q18" s="16" t="s">
        <v>144</v>
      </c>
      <c r="R18" s="17">
        <f>MATCH(MAX(N6:N15),N6:N15,1)</f>
        <v>10</v>
      </c>
      <c r="T18" s="2"/>
      <c r="U18" s="2"/>
      <c r="V18" s="2"/>
      <c r="W18" s="16"/>
      <c r="X18" s="141"/>
      <c r="Y18" s="16"/>
      <c r="Z18" s="16"/>
      <c r="AB18" s="16" t="s">
        <v>202</v>
      </c>
      <c r="AC18" s="141">
        <f t="array" aca="1" ref="AC18" ca="1">INDEX(AB5:AG5,MATCH(AC17,AB5:AG5,1))</f>
        <v>0</v>
      </c>
      <c r="AD18" s="16" t="s">
        <v>144</v>
      </c>
      <c r="AE18" s="17">
        <f>MATCH(MAX(AA6:AA15),AA6:AA15,1)</f>
        <v>10</v>
      </c>
      <c r="AG18" s="2"/>
      <c r="AH18" s="2"/>
      <c r="AI18" s="2"/>
      <c r="AJ18" s="16"/>
      <c r="AK18" s="141"/>
      <c r="AL18" s="16"/>
      <c r="AM18" s="2"/>
      <c r="AN18" s="2"/>
      <c r="AO18" s="2"/>
      <c r="AP18" s="16"/>
      <c r="AQ18" s="141"/>
      <c r="AR18" s="16"/>
      <c r="AS18" s="17"/>
      <c r="AU18" s="2"/>
      <c r="AV18" s="2"/>
      <c r="AW18" s="2"/>
      <c r="AX18" s="16"/>
      <c r="AY18" s="141"/>
      <c r="AZ18" s="16"/>
    </row>
    <row r="19" spans="1:52" ht="15" customHeight="1" x14ac:dyDescent="0.3">
      <c r="B19" s="16" t="s">
        <v>203</v>
      </c>
      <c r="C19" s="141">
        <f t="array" aca="1" ref="C19" ca="1">INDEX(B5:G5,IF(MATCH(C17,B5:G5,1)&lt;E19,MATCH(C17,B5:G5,1)+1,MATCH(C17,B5:G5,1)))</f>
        <v>1000</v>
      </c>
      <c r="D19" s="16" t="s">
        <v>145</v>
      </c>
      <c r="E19" s="17">
        <f>MATCH(MAX(B5:G5),B5:G5,0)</f>
        <v>6</v>
      </c>
      <c r="G19" s="2"/>
      <c r="H19" s="2"/>
      <c r="I19" s="2"/>
      <c r="J19" s="16"/>
      <c r="K19" s="141"/>
      <c r="L19" s="16"/>
      <c r="M19" s="17"/>
      <c r="O19" s="16" t="s">
        <v>203</v>
      </c>
      <c r="P19" s="141">
        <f t="array" aca="1" ref="P19" ca="1">INDEX(O5:T5,IF(MATCH(P17,O5:T5,1)&lt;R19,MATCH(P17,O5:T5,1)+1,MATCH(P17,O5:T5,1)))</f>
        <v>1000</v>
      </c>
      <c r="Q19" s="16" t="s">
        <v>145</v>
      </c>
      <c r="R19" s="17">
        <f>MATCH(MAX(O5:T5),O5:T5,0)</f>
        <v>6</v>
      </c>
      <c r="T19" s="2"/>
      <c r="U19" s="2"/>
      <c r="V19" s="2"/>
      <c r="W19" s="16"/>
      <c r="X19" s="141"/>
      <c r="Y19" s="16"/>
      <c r="Z19" s="16"/>
      <c r="AB19" s="16" t="s">
        <v>203</v>
      </c>
      <c r="AC19" s="141">
        <f t="array" aca="1" ref="AC19" ca="1">INDEX(AB5:AG5,IF(MATCH(AC17,AB5:AG5,1)&lt;AE19,MATCH(AC17,AB5:AG5,1)+1,MATCH(AC17,AB5:AG5,1)))</f>
        <v>1000</v>
      </c>
      <c r="AD19" s="16" t="s">
        <v>145</v>
      </c>
      <c r="AE19" s="17">
        <f>MATCH(MAX(AB5:AG5),AB5:AG5,0)</f>
        <v>6</v>
      </c>
      <c r="AG19" s="2"/>
      <c r="AH19" s="2"/>
      <c r="AI19" s="2"/>
      <c r="AJ19" s="16"/>
      <c r="AK19" s="141"/>
      <c r="AL19" s="16"/>
      <c r="AM19" s="2"/>
      <c r="AN19" s="2"/>
      <c r="AO19" s="2"/>
      <c r="AP19" s="16"/>
      <c r="AQ19" s="141"/>
      <c r="AR19" s="16"/>
      <c r="AS19" s="17"/>
      <c r="AU19" s="2"/>
      <c r="AV19" s="2"/>
      <c r="AW19" s="2"/>
      <c r="AX19" s="16"/>
      <c r="AY19" s="141"/>
      <c r="AZ19" s="16"/>
    </row>
    <row r="20" spans="1:52" ht="15" customHeight="1" x14ac:dyDescent="0.3">
      <c r="B20" s="139" t="s">
        <v>147</v>
      </c>
      <c r="C20" s="186">
        <f ca="1">D2</f>
        <v>15</v>
      </c>
      <c r="D20" s="2"/>
      <c r="E20" s="2"/>
      <c r="G20" s="2"/>
      <c r="H20" s="2"/>
      <c r="I20" s="2"/>
      <c r="J20" s="139"/>
      <c r="K20" s="186"/>
      <c r="L20" s="2"/>
      <c r="M20" s="2"/>
      <c r="O20" s="139" t="s">
        <v>147</v>
      </c>
      <c r="P20" s="186">
        <f ca="1">D2</f>
        <v>15</v>
      </c>
      <c r="Q20" s="2"/>
      <c r="R20" s="2"/>
      <c r="T20" s="2"/>
      <c r="U20" s="2"/>
      <c r="V20" s="2"/>
      <c r="W20" s="139"/>
      <c r="X20" s="186"/>
      <c r="Y20" s="2"/>
      <c r="Z20" s="139"/>
      <c r="AB20" s="139" t="s">
        <v>147</v>
      </c>
      <c r="AC20" s="186">
        <f ca="1">D2</f>
        <v>15</v>
      </c>
      <c r="AD20" s="2"/>
      <c r="AE20" s="2"/>
      <c r="AG20" s="2"/>
      <c r="AH20" s="2"/>
      <c r="AI20" s="2"/>
      <c r="AJ20" s="139"/>
      <c r="AK20" s="186"/>
      <c r="AL20" s="2"/>
      <c r="AM20" s="2"/>
      <c r="AN20" s="2"/>
      <c r="AO20" s="2"/>
      <c r="AP20" s="139"/>
      <c r="AQ20" s="186"/>
      <c r="AR20" s="2"/>
      <c r="AS20" s="2"/>
      <c r="AU20" s="2"/>
      <c r="AV20" s="2"/>
      <c r="AW20" s="2"/>
      <c r="AX20" s="139"/>
      <c r="AY20" s="186"/>
      <c r="AZ20" s="2"/>
    </row>
    <row r="21" spans="1:52" ht="15" customHeight="1" x14ac:dyDescent="0.3">
      <c r="B21" s="16" t="s">
        <v>148</v>
      </c>
      <c r="C21" s="141">
        <f t="array" aca="1" ref="C21" ca="1">INDEX(A6:A15,MATCH(C20,A6:A15,1))</f>
        <v>10</v>
      </c>
      <c r="D21" s="2"/>
      <c r="E21" s="42"/>
      <c r="G21" s="2"/>
      <c r="H21" s="2"/>
      <c r="I21" s="2"/>
      <c r="J21" s="16"/>
      <c r="K21" s="141"/>
      <c r="L21" s="2"/>
      <c r="M21" s="42"/>
      <c r="O21" s="16" t="s">
        <v>148</v>
      </c>
      <c r="P21" s="141">
        <f t="array" aca="1" ref="P21" ca="1">INDEX(N6:N15,MATCH(P20,N6:N15,1))</f>
        <v>10</v>
      </c>
      <c r="Q21" s="2"/>
      <c r="R21" s="42"/>
      <c r="T21" s="2"/>
      <c r="U21" s="2"/>
      <c r="V21" s="2"/>
      <c r="W21" s="16"/>
      <c r="X21" s="141"/>
      <c r="Y21" s="2"/>
      <c r="Z21" s="16"/>
      <c r="AB21" s="16" t="s">
        <v>148</v>
      </c>
      <c r="AC21" s="141">
        <f t="array" aca="1" ref="AC21" ca="1">INDEX(AA6:AA15,MATCH(AC20,AA6:AA15,1))</f>
        <v>10</v>
      </c>
      <c r="AD21" s="2"/>
      <c r="AE21" s="42"/>
      <c r="AG21" s="2"/>
      <c r="AH21" s="2"/>
      <c r="AI21" s="2"/>
      <c r="AJ21" s="16"/>
      <c r="AK21" s="141"/>
      <c r="AL21" s="2"/>
      <c r="AM21" s="2"/>
      <c r="AN21" s="2"/>
      <c r="AO21" s="2"/>
      <c r="AP21" s="16"/>
      <c r="AQ21" s="141"/>
      <c r="AR21" s="2"/>
      <c r="AS21" s="42"/>
      <c r="AU21" s="2"/>
      <c r="AV21" s="2"/>
      <c r="AW21" s="2"/>
      <c r="AX21" s="16"/>
      <c r="AY21" s="141"/>
      <c r="AZ21" s="2"/>
    </row>
    <row r="22" spans="1:52" ht="15" customHeight="1" x14ac:dyDescent="0.3">
      <c r="B22" s="16" t="s">
        <v>149</v>
      </c>
      <c r="C22" s="141">
        <f t="array" aca="1" ref="C22" ca="1">INDEX(A6:A15,IF(MATCH(C20,A6:A15,1)&lt;E18,MATCH(C20,A6:A15,1)+1,MATCH(C20,A6:A15,1)))</f>
        <v>20</v>
      </c>
      <c r="D22" s="2"/>
      <c r="E22" s="42"/>
      <c r="G22" s="2"/>
      <c r="H22" s="2"/>
      <c r="I22" s="2"/>
      <c r="J22" s="16"/>
      <c r="K22" s="141"/>
      <c r="L22" s="2"/>
      <c r="M22" s="42"/>
      <c r="O22" s="16" t="s">
        <v>149</v>
      </c>
      <c r="P22" s="141">
        <f t="array" aca="1" ref="P22" ca="1">INDEX(N6:N15,IF(MATCH(P20,N6:N15,1)&lt;R18,MATCH(P20,N6:N15,1)+1,MATCH(P20,N6:N15,1)))</f>
        <v>20</v>
      </c>
      <c r="Q22" s="2"/>
      <c r="R22" s="42"/>
      <c r="T22" s="2"/>
      <c r="U22" s="2"/>
      <c r="V22" s="2"/>
      <c r="W22" s="16"/>
      <c r="X22" s="141"/>
      <c r="Y22" s="2"/>
      <c r="Z22" s="16"/>
      <c r="AB22" s="16" t="s">
        <v>149</v>
      </c>
      <c r="AC22" s="141">
        <f t="array" aca="1" ref="AC22" ca="1">INDEX(AA6:AA15,IF(MATCH(AC20,AA6:AA15,1)&lt;AE18,MATCH(AC20,AA6:AA15,1)+1,MATCH(AC20,AA6:AA15,1)))</f>
        <v>20</v>
      </c>
      <c r="AD22" s="2"/>
      <c r="AE22" s="42"/>
      <c r="AG22" s="2"/>
      <c r="AH22" s="2"/>
      <c r="AI22" s="2"/>
      <c r="AJ22" s="16"/>
      <c r="AK22" s="141"/>
      <c r="AL22" s="2"/>
      <c r="AM22" s="2"/>
      <c r="AN22" s="2"/>
      <c r="AO22" s="2"/>
      <c r="AP22" s="16"/>
      <c r="AQ22" s="141"/>
      <c r="AR22" s="2"/>
      <c r="AS22" s="42"/>
      <c r="AU22" s="2"/>
      <c r="AV22" s="2"/>
      <c r="AW22" s="2"/>
      <c r="AX22" s="16"/>
      <c r="AY22" s="141"/>
      <c r="AZ22" s="2"/>
    </row>
    <row r="23" spans="1:52" ht="15" customHeight="1" x14ac:dyDescent="0.3">
      <c r="B23" s="139" t="s">
        <v>150</v>
      </c>
      <c r="C23" s="140">
        <f t="array" aca="1" ref="C23" ca="1">INDEX(B6:G15,MATCH(C20,A6:A15,1),MATCH(C17,B5:G5,1))</f>
        <v>3.2</v>
      </c>
      <c r="D23" s="2"/>
      <c r="E23" s="42"/>
      <c r="G23" s="2"/>
      <c r="H23" s="2"/>
      <c r="I23" s="2"/>
      <c r="J23" s="139"/>
      <c r="K23" s="140"/>
      <c r="L23" s="2"/>
      <c r="M23" s="42"/>
      <c r="O23" s="139" t="s">
        <v>150</v>
      </c>
      <c r="P23" s="140">
        <f t="array" aca="1" ref="P23" ca="1">INDEX(O6:T15,MATCH(P20,N6:N15,1),MATCH(P17,O5:T5,1))</f>
        <v>2.85</v>
      </c>
      <c r="Q23" s="2"/>
      <c r="R23" s="42"/>
      <c r="T23" s="2"/>
      <c r="U23" s="2"/>
      <c r="V23" s="2"/>
      <c r="W23" s="139"/>
      <c r="X23" s="140"/>
      <c r="Y23" s="2"/>
      <c r="Z23" s="139"/>
      <c r="AB23" s="139" t="s">
        <v>150</v>
      </c>
      <c r="AC23" s="140">
        <f t="array" aca="1" ref="AC23" ca="1">INDEX(AB6:AG15,MATCH(AC20,AA6:AA15,1),MATCH(AC17,AB5:AG5,1))</f>
        <v>1.9</v>
      </c>
      <c r="AD23" s="2"/>
      <c r="AE23" s="42"/>
      <c r="AG23" s="2"/>
      <c r="AH23" s="2"/>
      <c r="AI23" s="2"/>
      <c r="AJ23" s="139"/>
      <c r="AK23" s="140"/>
      <c r="AL23" s="2"/>
      <c r="AM23" s="2"/>
      <c r="AN23" s="2"/>
      <c r="AO23" s="2"/>
      <c r="AP23" s="139"/>
      <c r="AQ23" s="140"/>
      <c r="AR23" s="2"/>
      <c r="AS23" s="42"/>
      <c r="AU23" s="2"/>
      <c r="AV23" s="2"/>
      <c r="AW23" s="2"/>
      <c r="AX23" s="139"/>
      <c r="AY23" s="140"/>
      <c r="AZ23" s="2"/>
    </row>
    <row r="24" spans="1:52" ht="15" customHeight="1" x14ac:dyDescent="0.3">
      <c r="B24" s="139" t="s">
        <v>204</v>
      </c>
      <c r="C24" s="140">
        <f t="array" aca="1" ref="C24" ca="1">INDEX(B6:G15,MATCH(C20,A6:A15,1),IF(MATCH(C17,B5:G5,1)&lt;E19,MATCH(C17,B5:G5,1)+1,MATCH(C20,A6:A15,1)))</f>
        <v>3</v>
      </c>
      <c r="E24" s="42"/>
      <c r="G24" s="2"/>
      <c r="H24" s="2"/>
      <c r="I24" s="2"/>
      <c r="J24" s="139"/>
      <c r="K24" s="140"/>
      <c r="M24" s="42"/>
      <c r="O24" s="139" t="s">
        <v>204</v>
      </c>
      <c r="P24" s="140">
        <f t="array" aca="1" ref="P24" ca="1">INDEX(O6:T15,MATCH(P20,N6:N15,1),IF(MATCH(P17,O5:T5,1)&lt;R19,MATCH(P17,O5:T5,1)+1,MATCH(P20,N6:N15,1)))</f>
        <v>2.6</v>
      </c>
      <c r="R24" s="42"/>
      <c r="T24" s="2"/>
      <c r="U24" s="2"/>
      <c r="V24" s="2"/>
      <c r="W24" s="139"/>
      <c r="X24" s="140"/>
      <c r="Z24" s="139"/>
      <c r="AB24" s="139" t="s">
        <v>204</v>
      </c>
      <c r="AC24" s="140">
        <f t="array" aca="1" ref="AC24" ca="1">INDEX(AB6:AG15,MATCH(AC20,AA6:AA15,1),IF(MATCH(AC17,AB5:AG5,1)&lt;AE19,MATCH(AC17,AB5:AG5,1)+1,MATCH(AC20,AA6:AA15,1)))</f>
        <v>1.6</v>
      </c>
      <c r="AE24" s="42"/>
      <c r="AG24" s="2"/>
      <c r="AH24" s="2"/>
      <c r="AI24" s="2"/>
      <c r="AJ24" s="139"/>
      <c r="AK24" s="140"/>
      <c r="AM24" s="2"/>
      <c r="AN24" s="2"/>
      <c r="AO24" s="2"/>
      <c r="AP24" s="139"/>
      <c r="AQ24" s="140"/>
      <c r="AS24" s="42"/>
      <c r="AU24" s="2"/>
      <c r="AV24" s="2"/>
      <c r="AW24" s="2"/>
      <c r="AX24" s="139"/>
      <c r="AY24" s="140"/>
    </row>
    <row r="25" spans="1:52" ht="15" customHeight="1" x14ac:dyDescent="0.3">
      <c r="B25" s="139" t="s">
        <v>151</v>
      </c>
      <c r="C25" s="140">
        <f t="array" aca="1" ref="C25" ca="1">INDEX(B6:G15,IF(MATCH(C20,A6:A15,1)&lt;E18,MATCH(C20,A6:A15,1)+1,MATCH(C20,A6:A15,1)),MATCH(C17,B5:G5,1))</f>
        <v>3</v>
      </c>
      <c r="E25" s="42"/>
      <c r="G25" s="2"/>
      <c r="H25" s="2"/>
      <c r="I25" s="2"/>
      <c r="J25" s="139"/>
      <c r="K25" s="140"/>
      <c r="M25" s="42"/>
      <c r="O25" s="139" t="s">
        <v>151</v>
      </c>
      <c r="P25" s="140">
        <f t="array" aca="1" ref="P25" ca="1">INDEX(O6:T15,IF(MATCH(P20,N6:N15,1)&lt;R18,MATCH(P20,N6:N15,1)+1,MATCH(P20,N6:N15,1)),MATCH(P17,O5:T5,1))</f>
        <v>2.6</v>
      </c>
      <c r="R25" s="42"/>
      <c r="T25" s="2"/>
      <c r="U25" s="2"/>
      <c r="V25" s="2"/>
      <c r="W25" s="139"/>
      <c r="X25" s="140"/>
      <c r="Z25" s="139"/>
      <c r="AB25" s="139" t="s">
        <v>151</v>
      </c>
      <c r="AC25" s="140">
        <f t="array" aca="1" ref="AC25" ca="1">INDEX(AB6:AG15,IF(MATCH(AC20,AA6:AA15,1)&lt;AE18,MATCH(AC20,AA6:AA15,1)+1,MATCH(AC20,AA6:AA15,1)),MATCH(AC17,AB5:AG5,1))</f>
        <v>1.6</v>
      </c>
      <c r="AE25" s="42"/>
      <c r="AG25" s="2"/>
      <c r="AH25" s="2"/>
      <c r="AI25" s="2"/>
      <c r="AJ25" s="139"/>
      <c r="AK25" s="140"/>
      <c r="AM25" s="2"/>
      <c r="AN25" s="2"/>
      <c r="AO25" s="2"/>
      <c r="AP25" s="139"/>
      <c r="AQ25" s="140"/>
      <c r="AS25" s="42"/>
      <c r="AU25" s="2"/>
      <c r="AV25" s="2"/>
      <c r="AW25" s="2"/>
      <c r="AX25" s="139"/>
      <c r="AY25" s="140"/>
    </row>
    <row r="26" spans="1:52" ht="15" customHeight="1" x14ac:dyDescent="0.3">
      <c r="B26" s="139" t="s">
        <v>205</v>
      </c>
      <c r="C26" s="140">
        <f t="array" aca="1" ref="C26" ca="1">INDEX(B6:G15,IF(MATCH(C20,A6:A15,1)&lt;E18,MATCH(C20,A6:A15,1)+1,MATCH(C20,A6:A15,1)),IF(MATCH(C17,B5:G5,1)&lt;E19,MATCH(C17,B5:G5,1)+1,MATCH(C17,B5:G5,1)))</f>
        <v>2.75</v>
      </c>
      <c r="G26" s="2"/>
      <c r="H26" s="2"/>
      <c r="I26" s="2"/>
      <c r="J26" s="139"/>
      <c r="K26" s="140"/>
      <c r="O26" s="139" t="s">
        <v>205</v>
      </c>
      <c r="P26" s="140">
        <f t="array" aca="1" ref="P26" ca="1">INDEX(O6:T15,IF(MATCH(P20,N6:N15,1)&lt;R18,MATCH(P20,N6:N15,1)+1,MATCH(P20,N6:N15,1)),IF(MATCH(P17,O5:T5,1)&lt;R19,MATCH(P17,O5:T5,1)+1,MATCH(P17,O5:T5,1)))</f>
        <v>2.4</v>
      </c>
      <c r="T26" s="2"/>
      <c r="U26" s="2"/>
      <c r="V26" s="2"/>
      <c r="W26" s="139"/>
      <c r="X26" s="140"/>
      <c r="Z26" s="139"/>
      <c r="AB26" s="139" t="s">
        <v>205</v>
      </c>
      <c r="AC26" s="140">
        <f t="array" aca="1" ref="AC26" ca="1">INDEX(AB6:AG15,IF(MATCH(AC20,AA6:AA15,1)&lt;AE18,MATCH(AC20,AA6:AA15,1)+1,MATCH(AC20,AA6:AA15,1)),IF(MATCH(AC17,AB5:AG5,1)&lt;AE19,MATCH(AC17,AB5:AG5,1)+1,MATCH(AC17,AB5:AG5,1)))</f>
        <v>1.4</v>
      </c>
      <c r="AG26" s="2"/>
      <c r="AH26" s="2"/>
      <c r="AI26" s="2"/>
      <c r="AJ26" s="139"/>
      <c r="AK26" s="140"/>
      <c r="AM26" s="2"/>
      <c r="AN26" s="2"/>
      <c r="AO26" s="2"/>
      <c r="AP26" s="139"/>
      <c r="AQ26" s="140"/>
      <c r="AU26" s="2"/>
      <c r="AV26" s="2"/>
      <c r="AW26" s="2"/>
      <c r="AX26" s="139"/>
      <c r="AY26" s="140"/>
    </row>
    <row r="27" spans="1:52" ht="15" customHeight="1" x14ac:dyDescent="0.3">
      <c r="B27" s="16" t="s">
        <v>206</v>
      </c>
      <c r="C27" s="141">
        <f ca="1">IFERROR(C23+(C17-C18)*(C24-C23)/(C19-C18),C23)</f>
        <v>3.0390000000000001</v>
      </c>
      <c r="G27" s="2"/>
      <c r="H27" s="2"/>
      <c r="I27" s="2"/>
      <c r="J27" s="16"/>
      <c r="K27" s="141"/>
      <c r="O27" s="16" t="s">
        <v>206</v>
      </c>
      <c r="P27" s="141">
        <f ca="1">IFERROR(P23+(P17-P18)*(P24-P23)/(P19-P18),P23)</f>
        <v>2.6487500000000002</v>
      </c>
      <c r="T27" s="2"/>
      <c r="U27" s="2"/>
      <c r="V27" s="2"/>
      <c r="W27" s="16"/>
      <c r="X27" s="141"/>
      <c r="Z27" s="16"/>
      <c r="AB27" s="16" t="s">
        <v>206</v>
      </c>
      <c r="AC27" s="141">
        <f ca="1">IFERROR(AC23+(AC17-AC18)*(AC24-AC23)/(AC19-AC18),AC23)</f>
        <v>1.6585000000000001</v>
      </c>
      <c r="AG27" s="2"/>
      <c r="AH27" s="2"/>
      <c r="AI27" s="2"/>
      <c r="AJ27" s="16"/>
      <c r="AK27" s="141"/>
      <c r="AM27" s="2"/>
      <c r="AN27" s="2"/>
      <c r="AO27" s="2"/>
      <c r="AP27" s="16"/>
      <c r="AQ27" s="141"/>
      <c r="AU27" s="2"/>
      <c r="AV27" s="2"/>
      <c r="AW27" s="2"/>
      <c r="AX27" s="16"/>
      <c r="AY27" s="141"/>
    </row>
    <row r="28" spans="1:52" ht="15" customHeight="1" x14ac:dyDescent="0.3">
      <c r="B28" s="16" t="s">
        <v>207</v>
      </c>
      <c r="C28" s="141">
        <f ca="1">IFERROR(C25+(C17-C18)*(C26-C25)/(C19-C18),C25)</f>
        <v>2.7987500000000001</v>
      </c>
      <c r="G28" s="2"/>
      <c r="H28" s="2"/>
      <c r="I28" s="2"/>
      <c r="J28" s="16"/>
      <c r="K28" s="141"/>
      <c r="O28" s="16" t="s">
        <v>207</v>
      </c>
      <c r="P28" s="141">
        <f ca="1">IFERROR(P25+(P17-P18)*(P26-P25)/(P19-P18),P25)</f>
        <v>2.4390000000000001</v>
      </c>
      <c r="T28" s="2"/>
      <c r="U28" s="2"/>
      <c r="V28" s="2"/>
      <c r="W28" s="16"/>
      <c r="X28" s="141"/>
      <c r="Z28" s="16"/>
      <c r="AB28" s="16" t="s">
        <v>207</v>
      </c>
      <c r="AC28" s="141">
        <f ca="1">IFERROR(AC25+(AC17-AC18)*(AC26-AC25)/(AC19-AC18),AC25)</f>
        <v>1.4390000000000001</v>
      </c>
      <c r="AG28" s="2"/>
      <c r="AH28" s="2"/>
      <c r="AI28" s="2"/>
      <c r="AJ28" s="16"/>
      <c r="AK28" s="141"/>
      <c r="AM28" s="2"/>
      <c r="AN28" s="2"/>
      <c r="AO28" s="2"/>
      <c r="AP28" s="16"/>
      <c r="AQ28" s="141"/>
      <c r="AU28" s="2"/>
      <c r="AV28" s="2"/>
      <c r="AW28" s="2"/>
      <c r="AX28" s="16"/>
      <c r="AY28" s="141"/>
    </row>
    <row r="29" spans="1:52" ht="15" customHeight="1" x14ac:dyDescent="0.3">
      <c r="B29" s="139" t="s">
        <v>208</v>
      </c>
      <c r="C29" s="140">
        <f ca="1">IFERROR(C27+(C20-C21)*(C28-C27)/(C22-C21),C27)</f>
        <v>2.9188749999999999</v>
      </c>
      <c r="G29" s="2"/>
      <c r="H29" s="2"/>
      <c r="I29" s="2"/>
      <c r="J29" s="139"/>
      <c r="K29" s="140"/>
      <c r="O29" s="139" t="s">
        <v>208</v>
      </c>
      <c r="P29" s="140">
        <f ca="1">IFERROR(P27+(P20-P21)*(P28-P27)/(P22-P21),P27)</f>
        <v>2.5438749999999999</v>
      </c>
      <c r="T29" s="2"/>
      <c r="U29" s="2"/>
      <c r="V29" s="2"/>
      <c r="W29" s="139"/>
      <c r="X29" s="140"/>
      <c r="Z29" s="139"/>
      <c r="AB29" s="139" t="s">
        <v>208</v>
      </c>
      <c r="AC29" s="140">
        <f ca="1">IFERROR(AC27+(AC20-AC21)*(AC28-AC27)/(AC22-AC21),AC27)</f>
        <v>1.5487500000000001</v>
      </c>
      <c r="AG29" s="2"/>
      <c r="AH29" s="2"/>
      <c r="AI29" s="2"/>
      <c r="AJ29" s="139"/>
      <c r="AK29" s="140"/>
      <c r="AM29" s="2"/>
      <c r="AN29" s="2"/>
      <c r="AO29" s="2"/>
      <c r="AP29" s="139"/>
      <c r="AQ29" s="140"/>
      <c r="AU29" s="2"/>
      <c r="AV29" s="2"/>
      <c r="AW29" s="2"/>
      <c r="AX29" s="139"/>
      <c r="AY29" s="140"/>
    </row>
    <row r="30" spans="1:52" ht="15.75" customHeight="1" x14ac:dyDescent="0.3"/>
    <row r="31" spans="1:52" ht="15" customHeight="1" x14ac:dyDescent="0.3">
      <c r="B31" s="355" t="s">
        <v>221</v>
      </c>
      <c r="C31" s="355"/>
      <c r="D31" s="355"/>
      <c r="E31" s="355"/>
      <c r="F31" s="355"/>
      <c r="G31" s="355"/>
      <c r="H31" s="72"/>
      <c r="I31" s="72"/>
      <c r="J31" s="72"/>
      <c r="K31" s="72"/>
      <c r="L31" s="72"/>
      <c r="M31" s="72"/>
      <c r="O31" s="355" t="s">
        <v>209</v>
      </c>
      <c r="P31" s="355"/>
      <c r="Q31" s="355"/>
      <c r="R31" s="355"/>
      <c r="S31" s="355"/>
      <c r="T31" s="355"/>
      <c r="U31" s="72"/>
      <c r="V31" s="72"/>
      <c r="W31" s="72"/>
      <c r="X31" s="72"/>
      <c r="Y31" s="72"/>
      <c r="AB31" s="355" t="s">
        <v>209</v>
      </c>
      <c r="AC31" s="355"/>
      <c r="AD31" s="355"/>
      <c r="AE31" s="355"/>
      <c r="AF31" s="355"/>
      <c r="AG31" s="355"/>
      <c r="AH31" s="72"/>
      <c r="AI31" s="72"/>
      <c r="AJ31" s="72"/>
      <c r="AK31" s="72"/>
      <c r="AL31" s="72"/>
    </row>
    <row r="32" spans="1:52" ht="15" customHeight="1" x14ac:dyDescent="0.3">
      <c r="A32" t="s">
        <v>35</v>
      </c>
      <c r="B32" s="263">
        <v>1</v>
      </c>
      <c r="C32" s="269">
        <v>2</v>
      </c>
      <c r="D32" s="270">
        <v>3</v>
      </c>
      <c r="E32" s="270">
        <v>4</v>
      </c>
      <c r="F32" s="231">
        <v>5</v>
      </c>
      <c r="N32" t="s">
        <v>35</v>
      </c>
      <c r="O32" s="263">
        <v>1</v>
      </c>
      <c r="P32" s="269">
        <v>2</v>
      </c>
      <c r="Q32" s="270">
        <v>3</v>
      </c>
      <c r="R32" s="270">
        <v>4</v>
      </c>
      <c r="S32" s="231">
        <v>5</v>
      </c>
      <c r="Z32" t="s">
        <v>35</v>
      </c>
      <c r="AA32" s="263">
        <v>0</v>
      </c>
      <c r="AB32" s="269">
        <v>1</v>
      </c>
      <c r="AC32" s="270">
        <v>2</v>
      </c>
      <c r="AD32" s="270">
        <v>3</v>
      </c>
      <c r="AE32" s="231">
        <v>4500</v>
      </c>
    </row>
    <row r="33" spans="1:38" ht="15" customHeight="1" x14ac:dyDescent="0.3">
      <c r="A33">
        <v>10000</v>
      </c>
      <c r="B33" s="293">
        <v>8.9</v>
      </c>
      <c r="C33" s="294">
        <v>10.8</v>
      </c>
      <c r="D33" s="295">
        <v>12</v>
      </c>
      <c r="E33" s="295">
        <v>12</v>
      </c>
      <c r="F33" s="231">
        <v>0</v>
      </c>
      <c r="N33">
        <v>10000</v>
      </c>
      <c r="O33" s="298">
        <v>9.1999999999999993</v>
      </c>
      <c r="P33" s="299">
        <v>10</v>
      </c>
      <c r="Q33" s="300">
        <v>10</v>
      </c>
      <c r="R33" s="300">
        <v>10</v>
      </c>
      <c r="S33" s="231">
        <v>99999</v>
      </c>
      <c r="Z33">
        <v>10000</v>
      </c>
      <c r="AA33" s="298">
        <v>8.6</v>
      </c>
      <c r="AB33" s="299">
        <v>10</v>
      </c>
      <c r="AC33" s="300">
        <v>10</v>
      </c>
      <c r="AD33" s="300">
        <v>10</v>
      </c>
      <c r="AE33" s="231">
        <v>99999</v>
      </c>
    </row>
    <row r="34" spans="1:38" ht="15" customHeight="1" x14ac:dyDescent="0.3">
      <c r="A34">
        <v>11000</v>
      </c>
      <c r="B34" s="296">
        <v>7.3</v>
      </c>
      <c r="C34" s="297">
        <v>8.8000000000000007</v>
      </c>
      <c r="D34" s="148">
        <v>10.199999999999999</v>
      </c>
      <c r="E34" s="148">
        <v>11.7</v>
      </c>
      <c r="F34" s="22">
        <v>0</v>
      </c>
      <c r="N34">
        <v>11000</v>
      </c>
      <c r="O34" s="305">
        <v>7.5</v>
      </c>
      <c r="P34" s="306">
        <v>9.1</v>
      </c>
      <c r="Q34" s="21">
        <v>10</v>
      </c>
      <c r="R34" s="21">
        <v>10</v>
      </c>
      <c r="S34" s="22">
        <v>99999</v>
      </c>
      <c r="Z34">
        <v>11000</v>
      </c>
      <c r="AA34" s="305">
        <v>6.9</v>
      </c>
      <c r="AB34" s="306">
        <v>8.4</v>
      </c>
      <c r="AC34" s="21">
        <v>10</v>
      </c>
      <c r="AD34" s="21">
        <v>10</v>
      </c>
      <c r="AE34" s="22">
        <v>99999</v>
      </c>
    </row>
    <row r="35" spans="1:38" ht="15" customHeight="1" x14ac:dyDescent="0.3">
      <c r="A35">
        <v>12000</v>
      </c>
      <c r="B35" s="296">
        <v>5.9</v>
      </c>
      <c r="C35" s="297">
        <v>7.2</v>
      </c>
      <c r="D35" s="148">
        <v>8.6</v>
      </c>
      <c r="E35" s="148">
        <v>9.9</v>
      </c>
      <c r="F35" s="22">
        <v>0</v>
      </c>
      <c r="N35">
        <v>12000</v>
      </c>
      <c r="O35" s="305">
        <v>6.1</v>
      </c>
      <c r="P35" s="306">
        <v>7.5</v>
      </c>
      <c r="Q35" s="21">
        <v>9</v>
      </c>
      <c r="R35" s="21">
        <v>10</v>
      </c>
      <c r="S35" s="22">
        <v>99999</v>
      </c>
      <c r="Z35">
        <v>12000</v>
      </c>
      <c r="AA35" s="305">
        <v>5.4</v>
      </c>
      <c r="AB35" s="306">
        <v>6.8</v>
      </c>
      <c r="AC35" s="21">
        <v>8.1999999999999993</v>
      </c>
      <c r="AD35" s="21">
        <v>9.6</v>
      </c>
      <c r="AE35" s="22">
        <v>99999</v>
      </c>
    </row>
    <row r="36" spans="1:38" ht="15" customHeight="1" x14ac:dyDescent="0.3">
      <c r="A36">
        <v>13000</v>
      </c>
      <c r="B36" s="296">
        <v>4.9000000000000004</v>
      </c>
      <c r="C36" s="297">
        <v>6.2</v>
      </c>
      <c r="D36" s="148">
        <v>7.2</v>
      </c>
      <c r="E36" s="148">
        <v>8.4</v>
      </c>
      <c r="F36" s="22">
        <v>0</v>
      </c>
      <c r="N36">
        <v>13000</v>
      </c>
      <c r="O36" s="305">
        <v>4.8</v>
      </c>
      <c r="P36" s="306">
        <v>6.2</v>
      </c>
      <c r="Q36" s="21">
        <v>7.4</v>
      </c>
      <c r="R36" s="21">
        <v>8.6999999999999993</v>
      </c>
      <c r="S36" s="22">
        <v>99999</v>
      </c>
      <c r="Z36">
        <v>13000</v>
      </c>
      <c r="AA36" s="305">
        <v>4</v>
      </c>
      <c r="AB36" s="306">
        <v>5.2</v>
      </c>
      <c r="AC36" s="21">
        <v>6.6</v>
      </c>
      <c r="AD36" s="21">
        <v>8</v>
      </c>
      <c r="AE36" s="22">
        <v>99999</v>
      </c>
    </row>
    <row r="37" spans="1:38" ht="15" customHeight="1" x14ac:dyDescent="0.3">
      <c r="A37">
        <v>14000</v>
      </c>
      <c r="B37" s="296">
        <v>3.6</v>
      </c>
      <c r="C37" s="297">
        <v>4.75</v>
      </c>
      <c r="D37" s="148">
        <v>5.9</v>
      </c>
      <c r="E37" s="148">
        <v>7.1</v>
      </c>
      <c r="F37" s="22">
        <v>0</v>
      </c>
      <c r="N37">
        <v>14000</v>
      </c>
      <c r="O37" s="305">
        <v>3.7</v>
      </c>
      <c r="P37" s="306">
        <v>4.9000000000000004</v>
      </c>
      <c r="Q37" s="21">
        <v>6</v>
      </c>
      <c r="R37" s="21">
        <v>7.2</v>
      </c>
      <c r="S37" s="22">
        <v>99999</v>
      </c>
      <c r="Z37">
        <v>14000</v>
      </c>
      <c r="AA37" s="305">
        <v>2.7</v>
      </c>
      <c r="AB37" s="306">
        <v>3.9</v>
      </c>
      <c r="AC37" s="21">
        <v>5.2</v>
      </c>
      <c r="AD37" s="21">
        <v>6.4</v>
      </c>
      <c r="AE37" s="22">
        <v>99999</v>
      </c>
    </row>
    <row r="38" spans="1:38" ht="15" customHeight="1" x14ac:dyDescent="0.3">
      <c r="A38">
        <v>15000</v>
      </c>
      <c r="B38" s="296">
        <v>2.5</v>
      </c>
      <c r="C38" s="297">
        <v>3.6</v>
      </c>
      <c r="D38" s="148">
        <v>4.7</v>
      </c>
      <c r="E38" s="148">
        <v>5.9</v>
      </c>
      <c r="F38" s="22">
        <v>0</v>
      </c>
      <c r="N38">
        <v>15000</v>
      </c>
      <c r="O38" s="305">
        <v>2.6</v>
      </c>
      <c r="P38" s="306">
        <v>3.7</v>
      </c>
      <c r="Q38" s="21">
        <v>4.8</v>
      </c>
      <c r="R38" s="21">
        <v>5.9</v>
      </c>
      <c r="S38" s="22">
        <v>99999</v>
      </c>
      <c r="Z38">
        <v>15000</v>
      </c>
      <c r="AA38" s="305">
        <v>1.6</v>
      </c>
      <c r="AB38" s="306">
        <v>2.6</v>
      </c>
      <c r="AC38" s="21">
        <v>3.8</v>
      </c>
      <c r="AD38" s="21">
        <v>5</v>
      </c>
      <c r="AE38" s="22">
        <v>99999</v>
      </c>
    </row>
    <row r="39" spans="1:38" ht="15" customHeight="1" x14ac:dyDescent="0.3">
      <c r="A39">
        <v>16000</v>
      </c>
      <c r="B39" s="296">
        <v>1.5</v>
      </c>
      <c r="C39" s="297">
        <v>2.6</v>
      </c>
      <c r="D39" s="148">
        <v>3.6</v>
      </c>
      <c r="E39" s="148">
        <v>4.5</v>
      </c>
      <c r="F39" s="22">
        <v>0</v>
      </c>
      <c r="N39">
        <v>16000</v>
      </c>
      <c r="O39" s="305">
        <v>1.6</v>
      </c>
      <c r="P39" s="306">
        <v>2.6</v>
      </c>
      <c r="Q39" s="21">
        <v>3.6</v>
      </c>
      <c r="R39" s="21">
        <v>4.7</v>
      </c>
      <c r="S39" s="22">
        <v>99999</v>
      </c>
      <c r="Z39">
        <v>16000</v>
      </c>
      <c r="AA39" s="305">
        <v>0.6</v>
      </c>
      <c r="AB39" s="306">
        <v>1.6</v>
      </c>
      <c r="AC39" s="21">
        <v>2.7</v>
      </c>
      <c r="AD39" s="21">
        <v>3.7</v>
      </c>
      <c r="AE39" s="22">
        <v>99999</v>
      </c>
    </row>
    <row r="40" spans="1:38" ht="15" customHeight="1" x14ac:dyDescent="0.3">
      <c r="A40">
        <v>16600</v>
      </c>
      <c r="B40" s="301">
        <v>1</v>
      </c>
      <c r="C40" s="302">
        <v>2</v>
      </c>
      <c r="D40" s="303">
        <v>3</v>
      </c>
      <c r="E40" s="303">
        <v>4</v>
      </c>
      <c r="F40" s="22">
        <v>0</v>
      </c>
      <c r="N40">
        <v>16600</v>
      </c>
      <c r="O40" s="307">
        <v>1</v>
      </c>
      <c r="P40" s="308">
        <v>2</v>
      </c>
      <c r="Q40" s="309">
        <v>3</v>
      </c>
      <c r="R40" s="309">
        <v>4</v>
      </c>
      <c r="S40" s="22">
        <v>99999</v>
      </c>
      <c r="Z40">
        <v>16600</v>
      </c>
      <c r="AA40" s="307">
        <v>0</v>
      </c>
      <c r="AB40" s="308">
        <v>1</v>
      </c>
      <c r="AC40" s="309">
        <v>2</v>
      </c>
      <c r="AD40" s="309">
        <v>3</v>
      </c>
      <c r="AE40" s="22">
        <v>99999</v>
      </c>
    </row>
    <row r="41" spans="1:38" ht="15" customHeight="1" x14ac:dyDescent="0.3">
      <c r="A41">
        <v>16700</v>
      </c>
      <c r="B41" s="234">
        <v>0</v>
      </c>
      <c r="C41" s="235">
        <v>0</v>
      </c>
      <c r="D41" s="235">
        <v>0</v>
      </c>
      <c r="E41" s="235">
        <v>0</v>
      </c>
      <c r="F41" s="292">
        <v>0</v>
      </c>
      <c r="G41" s="203"/>
      <c r="H41" s="203"/>
      <c r="I41" s="203"/>
      <c r="J41" s="203"/>
      <c r="K41" s="203"/>
      <c r="L41" s="12"/>
      <c r="N41">
        <v>16700</v>
      </c>
      <c r="O41" s="234">
        <v>99999</v>
      </c>
      <c r="P41" s="235">
        <v>99999</v>
      </c>
      <c r="Q41" s="235">
        <v>99999</v>
      </c>
      <c r="R41" s="235">
        <v>99999</v>
      </c>
      <c r="S41" s="292">
        <v>99999</v>
      </c>
      <c r="T41" s="203"/>
      <c r="U41" s="203"/>
      <c r="V41" s="203"/>
      <c r="W41" s="203"/>
      <c r="Z41">
        <v>16700</v>
      </c>
      <c r="AA41" s="234">
        <v>99999</v>
      </c>
      <c r="AB41" s="235">
        <v>99999</v>
      </c>
      <c r="AC41" s="235">
        <v>99999</v>
      </c>
      <c r="AD41" s="235">
        <v>99999</v>
      </c>
      <c r="AE41" s="292">
        <v>99999</v>
      </c>
      <c r="AF41" s="203"/>
      <c r="AG41" s="203"/>
      <c r="AH41" s="203"/>
      <c r="AI41" s="203"/>
      <c r="AJ41" s="203"/>
    </row>
    <row r="42" spans="1:38" ht="15" customHeight="1" x14ac:dyDescent="0.3">
      <c r="B42" s="139"/>
      <c r="C42" s="140"/>
      <c r="G42" s="2"/>
      <c r="H42" s="2"/>
      <c r="I42" s="2"/>
      <c r="J42" s="139"/>
      <c r="K42" s="140"/>
      <c r="O42" s="139"/>
      <c r="P42" s="140"/>
      <c r="T42" s="2"/>
      <c r="U42" s="2"/>
      <c r="V42" s="2"/>
      <c r="W42" s="139"/>
      <c r="X42" s="140"/>
      <c r="AB42" s="139"/>
      <c r="AC42" s="140"/>
      <c r="AG42" s="2"/>
      <c r="AH42" s="2"/>
      <c r="AI42" s="2"/>
      <c r="AJ42" s="139"/>
      <c r="AK42" s="140"/>
    </row>
    <row r="43" spans="1:38" ht="15" customHeight="1" x14ac:dyDescent="0.3">
      <c r="B43" s="139" t="s">
        <v>146</v>
      </c>
      <c r="C43" s="140">
        <f ca="1">C29</f>
        <v>2.9188749999999999</v>
      </c>
      <c r="D43" s="355" t="s">
        <v>201</v>
      </c>
      <c r="E43" s="355"/>
      <c r="G43" s="2"/>
      <c r="H43" s="2"/>
      <c r="I43" s="2"/>
      <c r="J43" s="139"/>
      <c r="K43" s="140"/>
      <c r="L43" s="72"/>
      <c r="O43" s="139" t="s">
        <v>146</v>
      </c>
      <c r="P43" s="140">
        <f ca="1">P29</f>
        <v>2.5438749999999999</v>
      </c>
      <c r="Q43" s="355" t="s">
        <v>201</v>
      </c>
      <c r="R43" s="355"/>
      <c r="T43" s="2"/>
      <c r="U43" s="2"/>
      <c r="V43" s="2"/>
      <c r="W43" s="139"/>
      <c r="X43" s="140"/>
      <c r="Y43" s="72"/>
      <c r="AB43" s="139" t="s">
        <v>146</v>
      </c>
      <c r="AC43" s="140">
        <f ca="1">AC29</f>
        <v>1.5487500000000001</v>
      </c>
      <c r="AD43" s="355" t="s">
        <v>201</v>
      </c>
      <c r="AE43" s="355"/>
      <c r="AG43" s="2"/>
      <c r="AH43" s="2"/>
      <c r="AI43" s="2"/>
      <c r="AJ43" s="139"/>
      <c r="AK43" s="140"/>
      <c r="AL43" s="72"/>
    </row>
    <row r="44" spans="1:38" ht="15" customHeight="1" x14ac:dyDescent="0.3">
      <c r="B44" s="16" t="s">
        <v>202</v>
      </c>
      <c r="C44" s="141">
        <f t="array" aca="1" ref="C44" ca="1">INDEX(B32:F32,MATCH(C43,B32:F32,1))</f>
        <v>2</v>
      </c>
      <c r="D44" s="16" t="s">
        <v>144</v>
      </c>
      <c r="E44" s="17">
        <f>MATCH(MAX(A33:A41),A33:A41,1)</f>
        <v>9</v>
      </c>
      <c r="G44" s="2"/>
      <c r="H44" s="2"/>
      <c r="I44" s="2"/>
      <c r="J44" s="16"/>
      <c r="K44" s="141"/>
      <c r="L44" s="16"/>
      <c r="M44" s="17"/>
      <c r="O44" s="16" t="s">
        <v>202</v>
      </c>
      <c r="P44" s="141">
        <f t="array" aca="1" ref="P44" ca="1">INDEX(O32:S32,MATCH(P43,O32:S32,1))</f>
        <v>2</v>
      </c>
      <c r="Q44" s="16" t="s">
        <v>144</v>
      </c>
      <c r="R44" s="17">
        <f>MATCH(MAX(N33:N41),N33:N41,1)</f>
        <v>9</v>
      </c>
      <c r="T44" s="2"/>
      <c r="U44" s="2"/>
      <c r="V44" s="2"/>
      <c r="W44" s="16"/>
      <c r="X44" s="141"/>
      <c r="Y44" s="16"/>
      <c r="AB44" s="16" t="s">
        <v>202</v>
      </c>
      <c r="AC44" s="141">
        <f t="array" aca="1" ref="AC44" ca="1">INDEX(AA32:AE32,MATCH(AC43,AA32:AE32,1))</f>
        <v>1</v>
      </c>
      <c r="AD44" s="16" t="s">
        <v>144</v>
      </c>
      <c r="AE44" s="17">
        <f>MATCH(MAX(Z33:Z41),Z33:Z41,1)</f>
        <v>9</v>
      </c>
      <c r="AG44" s="2"/>
      <c r="AH44" s="2"/>
      <c r="AI44" s="2"/>
      <c r="AJ44" s="16"/>
      <c r="AK44" s="141"/>
      <c r="AL44" s="16"/>
    </row>
    <row r="45" spans="1:38" ht="15" customHeight="1" x14ac:dyDescent="0.3">
      <c r="B45" s="16" t="s">
        <v>203</v>
      </c>
      <c r="C45" s="141">
        <f t="array" aca="1" ref="C45" ca="1">INDEX(B32:F32,IF(MATCH(C43,B32:F32,1)&lt;E45,MATCH(C43,B32:F32,1)+1,MATCH(C43,B32:F32,1)))</f>
        <v>3</v>
      </c>
      <c r="D45" s="16" t="s">
        <v>145</v>
      </c>
      <c r="E45" s="17">
        <f>MATCH(MAX(B32:F32),B32:F32,0)</f>
        <v>5</v>
      </c>
      <c r="G45" s="2"/>
      <c r="H45" s="2"/>
      <c r="I45" s="2"/>
      <c r="J45" s="16"/>
      <c r="K45" s="141"/>
      <c r="L45" s="16"/>
      <c r="M45" s="17"/>
      <c r="O45" s="16" t="s">
        <v>203</v>
      </c>
      <c r="P45" s="141">
        <f t="array" aca="1" ref="P45" ca="1">INDEX(O32:S32,IF(MATCH(P43,O32:S32,1)&lt;R45,MATCH(P43,O32:S32,1)+1,MATCH(P43,O32:S32,1)))</f>
        <v>3</v>
      </c>
      <c r="Q45" s="16" t="s">
        <v>145</v>
      </c>
      <c r="R45" s="17">
        <f>MATCH(MAX(O32:S32),O32:S32,0)</f>
        <v>5</v>
      </c>
      <c r="T45" s="2"/>
      <c r="U45" s="2"/>
      <c r="V45" s="2"/>
      <c r="W45" s="16"/>
      <c r="X45" s="141"/>
      <c r="Y45" s="16"/>
      <c r="AB45" s="16" t="s">
        <v>203</v>
      </c>
      <c r="AC45" s="141">
        <f t="array" aca="1" ref="AC45" ca="1">INDEX(AA32:AE32,IF(MATCH(AC43,AA32:AE32,1)&lt;AE45,MATCH(AC43,AA32:AE32,1)+1,MATCH(AC43,AA32:AE32,1)))</f>
        <v>2</v>
      </c>
      <c r="AD45" s="16" t="s">
        <v>145</v>
      </c>
      <c r="AE45" s="17">
        <f>MATCH(MAX(AA32:AE32),AA32:AE32,0)</f>
        <v>5</v>
      </c>
      <c r="AG45" s="2"/>
      <c r="AH45" s="2"/>
      <c r="AI45" s="2"/>
      <c r="AJ45" s="16"/>
      <c r="AK45" s="141"/>
      <c r="AL45" s="16"/>
    </row>
    <row r="46" spans="1:38" ht="15" customHeight="1" x14ac:dyDescent="0.3">
      <c r="B46" s="139" t="s">
        <v>147</v>
      </c>
      <c r="C46" s="186">
        <f>'Take-off'!$C$14</f>
        <v>15800</v>
      </c>
      <c r="D46" s="2"/>
      <c r="E46" s="2"/>
      <c r="G46" s="2"/>
      <c r="H46" s="2"/>
      <c r="I46" s="2"/>
      <c r="J46" s="139"/>
      <c r="K46" s="186"/>
      <c r="L46" s="2"/>
      <c r="M46" s="2"/>
      <c r="O46" s="139" t="s">
        <v>147</v>
      </c>
      <c r="P46" s="186">
        <f>'Take-off'!$C$14</f>
        <v>15800</v>
      </c>
      <c r="Q46" s="2"/>
      <c r="R46" s="2"/>
      <c r="T46" s="2"/>
      <c r="U46" s="2"/>
      <c r="V46" s="2"/>
      <c r="W46" s="139"/>
      <c r="X46" s="186"/>
      <c r="Y46" s="2"/>
      <c r="AB46" s="139" t="s">
        <v>147</v>
      </c>
      <c r="AC46" s="186">
        <f>'Take-off'!$C$14</f>
        <v>15800</v>
      </c>
      <c r="AD46" s="2"/>
      <c r="AE46" s="2"/>
      <c r="AG46" s="2"/>
      <c r="AH46" s="2"/>
      <c r="AI46" s="2"/>
      <c r="AJ46" s="139"/>
      <c r="AK46" s="186"/>
      <c r="AL46" s="2"/>
    </row>
    <row r="47" spans="1:38" ht="15" customHeight="1" x14ac:dyDescent="0.3">
      <c r="B47" s="16" t="s">
        <v>148</v>
      </c>
      <c r="C47" s="141">
        <f t="array" ref="C47">INDEX(A33:A41,MATCH(C46,A33:A41,1))</f>
        <v>15000</v>
      </c>
      <c r="D47" s="2"/>
      <c r="E47" s="42"/>
      <c r="G47" s="2"/>
      <c r="H47" s="2"/>
      <c r="I47" s="2"/>
      <c r="J47" s="16"/>
      <c r="K47" s="141"/>
      <c r="L47" s="2"/>
      <c r="M47" s="42"/>
      <c r="O47" s="16" t="s">
        <v>148</v>
      </c>
      <c r="P47" s="141">
        <f t="array" ref="P47">INDEX(N33:N41,MATCH(P46,N33:N41,1))</f>
        <v>15000</v>
      </c>
      <c r="Q47" s="2"/>
      <c r="R47" s="42"/>
      <c r="T47" s="2"/>
      <c r="U47" s="2"/>
      <c r="V47" s="2"/>
      <c r="W47" s="16"/>
      <c r="X47" s="141"/>
      <c r="Y47" s="2"/>
      <c r="AB47" s="16" t="s">
        <v>148</v>
      </c>
      <c r="AC47" s="141">
        <f t="array" ref="AC47">INDEX(Z33:Z41,MATCH(AC46,Z33:Z41,1))</f>
        <v>15000</v>
      </c>
      <c r="AD47" s="2"/>
      <c r="AE47" s="42"/>
      <c r="AG47" s="2"/>
      <c r="AH47" s="2"/>
      <c r="AI47" s="2"/>
      <c r="AJ47" s="16"/>
      <c r="AK47" s="141"/>
      <c r="AL47" s="2"/>
    </row>
    <row r="48" spans="1:38" ht="15" customHeight="1" x14ac:dyDescent="0.3">
      <c r="B48" s="16" t="s">
        <v>149</v>
      </c>
      <c r="C48" s="141">
        <f t="array" ref="C48">INDEX(A33:A41,IF(MATCH(C46,A33:A41,1)&lt;E44,MATCH(C46,A33:A41,1)+1,MATCH(C46,A33:A41,1)))</f>
        <v>16000</v>
      </c>
      <c r="D48" s="2"/>
      <c r="E48" s="42"/>
      <c r="G48" s="2"/>
      <c r="H48" s="2"/>
      <c r="I48" s="2"/>
      <c r="J48" s="16"/>
      <c r="K48" s="141"/>
      <c r="L48" s="2"/>
      <c r="M48" s="42"/>
      <c r="O48" s="16" t="s">
        <v>149</v>
      </c>
      <c r="P48" s="141">
        <f t="array" ref="P48">INDEX(N33:N41,IF(MATCH(P46,N33:N41,1)&lt;R44,MATCH(P46,N33:N41,1)+1,MATCH(P46,N33:N41,1)))</f>
        <v>16000</v>
      </c>
      <c r="Q48" s="2"/>
      <c r="R48" s="42"/>
      <c r="T48" s="2"/>
      <c r="U48" s="2"/>
      <c r="V48" s="2"/>
      <c r="W48" s="16"/>
      <c r="X48" s="141"/>
      <c r="Y48" s="2"/>
      <c r="AB48" s="16" t="s">
        <v>149</v>
      </c>
      <c r="AC48" s="141">
        <f t="array" ref="AC48">INDEX(Z33:Z41,IF(MATCH(AC46,Z33:Z41,1)&lt;AE44,MATCH(AC46,Z33:Z41,1)+1,MATCH(AC46,Z33:Z41,1)))</f>
        <v>16000</v>
      </c>
      <c r="AD48" s="2"/>
      <c r="AE48" s="42"/>
      <c r="AG48" s="2"/>
      <c r="AH48" s="2"/>
      <c r="AI48" s="2"/>
      <c r="AJ48" s="16"/>
      <c r="AK48" s="141"/>
      <c r="AL48" s="2"/>
    </row>
    <row r="49" spans="2:38" ht="15" customHeight="1" x14ac:dyDescent="0.3">
      <c r="B49" s="139" t="s">
        <v>150</v>
      </c>
      <c r="C49" s="140">
        <f t="array" aca="1" ref="C49" ca="1">INDEX(B33:F41,MATCH(C46,A33:A41,1),MATCH(C43,B32:F32,1))</f>
        <v>3.6</v>
      </c>
      <c r="D49" s="2"/>
      <c r="E49" s="42"/>
      <c r="G49" s="2"/>
      <c r="H49" s="2"/>
      <c r="I49" s="2"/>
      <c r="J49" s="139"/>
      <c r="K49" s="140"/>
      <c r="L49" s="2"/>
      <c r="M49" s="42"/>
      <c r="O49" s="139" t="s">
        <v>150</v>
      </c>
      <c r="P49" s="140">
        <f t="array" aca="1" ref="P49" ca="1">INDEX(O33:S41,MATCH(P46,N33:N41,1),MATCH(P43,O32:S32,1))</f>
        <v>3.7</v>
      </c>
      <c r="Q49" s="2"/>
      <c r="R49" s="42"/>
      <c r="T49" s="2"/>
      <c r="U49" s="2"/>
      <c r="V49" s="2"/>
      <c r="W49" s="139"/>
      <c r="X49" s="140"/>
      <c r="Y49" s="2"/>
      <c r="AB49" s="139" t="s">
        <v>150</v>
      </c>
      <c r="AC49" s="140">
        <f t="array" aca="1" ref="AC49" ca="1">INDEX(AA33:AE41,MATCH(AC46,Z33:Z41,1),MATCH(AC43,AA32:AE32,1))</f>
        <v>2.6</v>
      </c>
      <c r="AD49" s="2"/>
      <c r="AE49" s="42"/>
      <c r="AG49" s="2"/>
      <c r="AH49" s="2"/>
      <c r="AI49" s="2"/>
      <c r="AJ49" s="139"/>
      <c r="AK49" s="140"/>
      <c r="AL49" s="2"/>
    </row>
    <row r="50" spans="2:38" ht="15" customHeight="1" x14ac:dyDescent="0.3">
      <c r="B50" s="139" t="s">
        <v>204</v>
      </c>
      <c r="C50" s="140">
        <f t="array" aca="1" ref="C50" ca="1">INDEX(B33:F41,MATCH(C46,A33:A41,1),IF(MATCH(C43,B32:F32,1)&lt;E45,MATCH(C43,B32:F32,1)+1,MATCH(C46,A33:A41,1)))</f>
        <v>4.7</v>
      </c>
      <c r="E50" s="42"/>
      <c r="G50" s="2"/>
      <c r="H50" s="2"/>
      <c r="I50" s="2"/>
      <c r="J50" s="139"/>
      <c r="K50" s="140"/>
      <c r="M50" s="42"/>
      <c r="O50" s="139" t="s">
        <v>204</v>
      </c>
      <c r="P50" s="140">
        <f t="array" aca="1" ref="P50" ca="1">INDEX(O33:S41,MATCH(P46,N33:N41,1),IF(MATCH(P43,O32:S32,1)&lt;R45,MATCH(P43,O32:S32,1)+1,MATCH(P46,N33:N41,1)))</f>
        <v>4.8</v>
      </c>
      <c r="R50" s="42"/>
      <c r="T50" s="2"/>
      <c r="U50" s="2"/>
      <c r="V50" s="2"/>
      <c r="W50" s="139"/>
      <c r="X50" s="140"/>
      <c r="AB50" s="139" t="s">
        <v>204</v>
      </c>
      <c r="AC50" s="140">
        <f t="array" aca="1" ref="AC50" ca="1">INDEX(AA33:AE41,MATCH(AC46,Z33:Z41,1),IF(MATCH(AC43,AA32:AE32,1)&lt;AE45,MATCH(AC43,AA32:AE32,1)+1,MATCH(AC46,Z33:Z41,1)))</f>
        <v>3.8</v>
      </c>
      <c r="AE50" s="42"/>
      <c r="AG50" s="2"/>
      <c r="AH50" s="2"/>
      <c r="AI50" s="2"/>
      <c r="AJ50" s="139"/>
      <c r="AK50" s="140"/>
    </row>
    <row r="51" spans="2:38" ht="15" customHeight="1" x14ac:dyDescent="0.3">
      <c r="B51" s="139" t="s">
        <v>151</v>
      </c>
      <c r="C51" s="140">
        <f t="array" aca="1" ref="C51" ca="1">INDEX(B33:F41,IF(MATCH(C46,A33:A41,1)&lt;E44,MATCH(C46,A33:A41,1)+1,MATCH(C46,A33:A41,1)),MATCH(C43,B32:F32,1))</f>
        <v>2.6</v>
      </c>
      <c r="E51" s="42"/>
      <c r="G51" s="2"/>
      <c r="H51" s="2"/>
      <c r="I51" s="2"/>
      <c r="J51" s="139"/>
      <c r="K51" s="140"/>
      <c r="M51" s="42"/>
      <c r="O51" s="139" t="s">
        <v>151</v>
      </c>
      <c r="P51" s="140">
        <f t="array" aca="1" ref="P51" ca="1">INDEX(O33:S41,IF(MATCH(P46,N33:N41,1)&lt;R44,MATCH(P46,N33:N41,1)+1,MATCH(P46,N33:N41,1)),MATCH(P43,O32:S32,1))</f>
        <v>2.6</v>
      </c>
      <c r="R51" s="42"/>
      <c r="T51" s="2"/>
      <c r="U51" s="2"/>
      <c r="V51" s="2"/>
      <c r="W51" s="139"/>
      <c r="X51" s="140"/>
      <c r="AB51" s="139" t="s">
        <v>151</v>
      </c>
      <c r="AC51" s="140">
        <f t="array" aca="1" ref="AC51" ca="1">INDEX(AA33:AE41,IF(MATCH(AC46,Z33:Z41,1)&lt;AE44,MATCH(AC46,Z33:Z41,1)+1,MATCH(AC46,Z33:Z41,1)),MATCH(AC43,AA32:AE32,1))</f>
        <v>1.6</v>
      </c>
      <c r="AE51" s="42"/>
      <c r="AG51" s="2"/>
      <c r="AH51" s="2"/>
      <c r="AI51" s="2"/>
      <c r="AJ51" s="139"/>
      <c r="AK51" s="140"/>
    </row>
    <row r="52" spans="2:38" ht="15" customHeight="1" x14ac:dyDescent="0.3">
      <c r="B52" s="139" t="s">
        <v>205</v>
      </c>
      <c r="C52" s="140">
        <f t="array" aca="1" ref="C52" ca="1">INDEX(B33:F41,IF(MATCH(C46,A33:A41,1)&lt;E44,MATCH(C46,A33:A41,1)+1,MATCH(C46,A33:A41,1)),IF(MATCH(C43,B32:F32,1)&lt;E45,MATCH(C43,B32:F32,1)+1,MATCH(C43,B32:F32,1)))</f>
        <v>3.6</v>
      </c>
      <c r="G52" s="2"/>
      <c r="H52" s="2"/>
      <c r="I52" s="2"/>
      <c r="J52" s="139"/>
      <c r="K52" s="140"/>
      <c r="O52" s="139" t="s">
        <v>205</v>
      </c>
      <c r="P52" s="140">
        <f t="array" aca="1" ref="P52" ca="1">INDEX(O33:S41,IF(MATCH(P46,N33:N41,1)&lt;R44,MATCH(P46,N33:N41,1)+1,MATCH(P46,N33:N41,1)),IF(MATCH(P43,O32:S32,1)&lt;R45,MATCH(P43,O32:S32,1)+1,MATCH(P43,O32:S32,1)))</f>
        <v>3.6</v>
      </c>
      <c r="T52" s="2"/>
      <c r="U52" s="2"/>
      <c r="V52" s="2"/>
      <c r="W52" s="139"/>
      <c r="X52" s="140"/>
      <c r="AB52" s="139" t="s">
        <v>205</v>
      </c>
      <c r="AC52" s="140">
        <f t="array" aca="1" ref="AC52" ca="1">INDEX(AA33:AE41,IF(MATCH(AC46,Z33:Z41,1)&lt;AE44,MATCH(AC46,Z33:Z41,1)+1,MATCH(AC46,Z33:Z41,1)),IF(MATCH(AC43,AA32:AE32,1)&lt;AE45,MATCH(AC43,AA32:AE32,1)+1,MATCH(AC43,AA32:AE32,1)))</f>
        <v>2.7</v>
      </c>
      <c r="AG52" s="2"/>
      <c r="AH52" s="2"/>
      <c r="AI52" s="2"/>
      <c r="AJ52" s="139"/>
      <c r="AK52" s="140"/>
    </row>
    <row r="53" spans="2:38" ht="15" customHeight="1" x14ac:dyDescent="0.3">
      <c r="B53" s="16" t="s">
        <v>206</v>
      </c>
      <c r="C53" s="141">
        <f ca="1">IFERROR(C49+(C43-C44)*(C50-C49)/(C45-C44),C49)</f>
        <v>4.6107624999999999</v>
      </c>
      <c r="G53" s="2"/>
      <c r="H53" s="2"/>
      <c r="I53" s="2"/>
      <c r="J53" s="16"/>
      <c r="K53" s="141"/>
      <c r="O53" s="16" t="s">
        <v>206</v>
      </c>
      <c r="P53" s="141">
        <f ca="1">IFERROR(P49+(P43-P44)*(P50-P49)/(P45-P44),P49)</f>
        <v>4.2982624999999999</v>
      </c>
      <c r="T53" s="2"/>
      <c r="U53" s="2"/>
      <c r="V53" s="2"/>
      <c r="W53" s="16"/>
      <c r="X53" s="141"/>
      <c r="AB53" s="16" t="s">
        <v>206</v>
      </c>
      <c r="AC53" s="141">
        <f ca="1">IFERROR(AC49+(AC43-AC44)*(AC50-AC49)/(AC45-AC44),AC49)</f>
        <v>3.2585000000000002</v>
      </c>
      <c r="AG53" s="2"/>
      <c r="AH53" s="2"/>
      <c r="AI53" s="2"/>
      <c r="AJ53" s="16"/>
      <c r="AK53" s="141"/>
    </row>
    <row r="54" spans="2:38" ht="15" customHeight="1" x14ac:dyDescent="0.3">
      <c r="B54" s="16" t="s">
        <v>207</v>
      </c>
      <c r="C54" s="141">
        <f ca="1">IFERROR(C51+(C43-C44)*(C52-C51)/(C45-C44),C51)</f>
        <v>3.518875</v>
      </c>
      <c r="G54" s="2"/>
      <c r="H54" s="2"/>
      <c r="I54" s="2"/>
      <c r="J54" s="16"/>
      <c r="K54" s="141"/>
      <c r="O54" s="16" t="s">
        <v>207</v>
      </c>
      <c r="P54" s="141">
        <f ca="1">IFERROR(P51+(P43-P44)*(P52-P51)/(P45-P44),P51)</f>
        <v>3.143875</v>
      </c>
      <c r="T54" s="2"/>
      <c r="U54" s="2"/>
      <c r="V54" s="2"/>
      <c r="W54" s="16"/>
      <c r="X54" s="141"/>
      <c r="AB54" s="16" t="s">
        <v>207</v>
      </c>
      <c r="AC54" s="141">
        <f ca="1">IFERROR(AC51+(AC43-AC44)*(AC52-AC51)/(AC45-AC44),AC51)</f>
        <v>2.2036250000000002</v>
      </c>
      <c r="AG54" s="2"/>
      <c r="AH54" s="2"/>
      <c r="AI54" s="2"/>
      <c r="AJ54" s="16"/>
      <c r="AK54" s="141"/>
    </row>
    <row r="55" spans="2:38" ht="15" customHeight="1" x14ac:dyDescent="0.3">
      <c r="B55" s="139" t="s">
        <v>208</v>
      </c>
      <c r="C55" s="304">
        <f ca="1">IFERROR(C53+(C46-C47)*(C54-C53)/(C48-C47),C53)</f>
        <v>3.7372524999999999</v>
      </c>
      <c r="G55" s="2"/>
      <c r="H55" s="2"/>
      <c r="I55" s="2"/>
      <c r="J55" s="139"/>
      <c r="K55" s="140"/>
      <c r="O55" s="139" t="s">
        <v>208</v>
      </c>
      <c r="P55" s="140">
        <f ca="1">IFERROR(P53+(P46-P47)*(P54-P53)/(P48-P47),P53)</f>
        <v>3.3747525</v>
      </c>
      <c r="T55" s="2"/>
      <c r="U55" s="2"/>
      <c r="V55" s="2"/>
      <c r="W55" s="139"/>
      <c r="X55" s="140"/>
      <c r="AB55" s="139" t="s">
        <v>208</v>
      </c>
      <c r="AC55" s="140">
        <f ca="1">IFERROR(AC53+(AC46-AC47)*(AC54-AC53)/(AC48-AC47),AC53)</f>
        <v>2.4146000000000001</v>
      </c>
      <c r="AG55" s="2"/>
      <c r="AH55" s="2"/>
      <c r="AI55" s="2"/>
      <c r="AJ55" s="139"/>
      <c r="AK55" s="140"/>
    </row>
    <row r="56" spans="2:38" ht="15" customHeight="1" x14ac:dyDescent="0.3">
      <c r="B56" t="s">
        <v>244</v>
      </c>
      <c r="C56" s="21">
        <f ca="1">IF('Take-off'!$C$13='Dropdown lists'!$B$30,C55 -0.9, C55)</f>
        <v>3.7372524999999999</v>
      </c>
      <c r="O56" t="s">
        <v>244</v>
      </c>
      <c r="P56" s="20">
        <f ca="1">IF('Take-off'!$C$13='Dropdown lists'!$B$30,P55 -0.8, P55)</f>
        <v>3.3747525</v>
      </c>
      <c r="AB56" t="s">
        <v>244</v>
      </c>
      <c r="AC56" s="20">
        <f ca="1">IF('Take-off'!$C$13='Dropdown lists'!$B$30,AC55 -0.8, AC55)</f>
        <v>2.4146000000000001</v>
      </c>
    </row>
    <row r="57" spans="2:38" ht="15.75" customHeight="1" x14ac:dyDescent="0.3"/>
    <row r="58" spans="2:38" ht="15.75" customHeight="1" x14ac:dyDescent="0.3"/>
    <row r="59" spans="2:38" ht="15.75" customHeight="1" x14ac:dyDescent="0.3"/>
    <row r="60" spans="2:38" ht="15.75" customHeight="1" x14ac:dyDescent="0.3"/>
    <row r="61" spans="2:38" ht="15.75" customHeight="1" x14ac:dyDescent="0.3"/>
    <row r="62" spans="2:38" ht="15.75" customHeight="1" x14ac:dyDescent="0.3"/>
    <row r="63" spans="2:38" ht="15.75" customHeight="1" x14ac:dyDescent="0.3"/>
    <row r="64" spans="2:3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6">
    <mergeCell ref="AR17:AS17"/>
    <mergeCell ref="B31:G31"/>
    <mergeCell ref="O31:T31"/>
    <mergeCell ref="AB31:AG31"/>
    <mergeCell ref="B3:L3"/>
    <mergeCell ref="O3:Y3"/>
    <mergeCell ref="AB3:AL3"/>
    <mergeCell ref="B4:F4"/>
    <mergeCell ref="O4:S4"/>
    <mergeCell ref="AB4:AF4"/>
    <mergeCell ref="D43:E43"/>
    <mergeCell ref="Q43:R43"/>
    <mergeCell ref="AD43:AE43"/>
    <mergeCell ref="D17:E17"/>
    <mergeCell ref="Q17:R17"/>
    <mergeCell ref="AD17:AE17"/>
  </mergeCells>
  <conditionalFormatting sqref="B33:E40">
    <cfRule type="colorScale" priority="10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89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3">
      <colorScale>
        <cfvo type="min"/>
        <cfvo type="max"/>
        <color rgb="FFFCFCFF"/>
        <color rgb="FFF8696B"/>
      </colorScale>
    </cfRule>
  </conditionalFormatting>
  <conditionalFormatting sqref="O33:R40">
    <cfRule type="colorScale" priority="6">
      <colorScale>
        <cfvo type="min"/>
        <cfvo type="max"/>
        <color rgb="FFFCFCFF"/>
        <color rgb="FFF8696B"/>
      </colorScale>
    </cfRule>
  </conditionalFormatting>
  <conditionalFormatting sqref="O6:S14">
    <cfRule type="colorScale" priority="90">
      <colorScale>
        <cfvo type="min"/>
        <cfvo type="max"/>
        <color rgb="FFFCFCFF"/>
        <color rgb="FFF8696B"/>
      </colorScale>
    </cfRule>
  </conditionalFormatting>
  <conditionalFormatting sqref="X6:Y15">
    <cfRule type="colorScale" priority="91">
      <colorScale>
        <cfvo type="min"/>
        <cfvo type="max"/>
        <color rgb="FFFCFCFF"/>
        <color rgb="FFF8696B"/>
      </colorScale>
    </cfRule>
  </conditionalFormatting>
  <conditionalFormatting sqref="AA33:AD40">
    <cfRule type="colorScale" priority="9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92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8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C1002"/>
  <sheetViews>
    <sheetView zoomScaleNormal="100" workbookViewId="0">
      <selection activeCell="A14" sqref="A14"/>
    </sheetView>
  </sheetViews>
  <sheetFormatPr defaultColWidth="14.44140625" defaultRowHeight="15" customHeight="1" x14ac:dyDescent="0.3"/>
  <cols>
    <col min="1" max="12" width="9.109375" customWidth="1"/>
    <col min="13" max="13" width="5" customWidth="1"/>
    <col min="14" max="55" width="9.109375" customWidth="1"/>
  </cols>
  <sheetData>
    <row r="1" spans="1:55" ht="14.25" customHeight="1" x14ac:dyDescent="0.3">
      <c r="A1" s="131"/>
      <c r="B1" s="16" t="s">
        <v>195</v>
      </c>
      <c r="C1" s="139" t="s">
        <v>146</v>
      </c>
      <c r="D1" s="225">
        <f ca="1">IF('Take-off'!$C$9="",'Take-off'!$C$16,MAX(0,'Take-off'!$C$16+30*(1013-'Take-off'!$C$9)))</f>
        <v>770</v>
      </c>
      <c r="E1" s="226"/>
      <c r="F1" s="226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240"/>
      <c r="AW1" s="131"/>
      <c r="AX1" s="131"/>
      <c r="AY1" s="131"/>
      <c r="AZ1" s="131"/>
      <c r="BA1" s="131"/>
      <c r="BB1" s="131"/>
      <c r="BC1" s="131"/>
    </row>
    <row r="2" spans="1:55" ht="14.25" customHeight="1" x14ac:dyDescent="0.3">
      <c r="A2" s="131"/>
      <c r="B2" s="16" t="s">
        <v>197</v>
      </c>
      <c r="C2" s="139" t="s">
        <v>147</v>
      </c>
      <c r="D2" s="225">
        <f ca="1">IF('Take-off'!$C$13='Dropdown lists'!$B$30, 'Take-off'!$C$8+5, 'Take-off'!$C$8)</f>
        <v>15</v>
      </c>
      <c r="E2" s="227" t="s">
        <v>238</v>
      </c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240"/>
      <c r="AW2" s="131"/>
      <c r="AX2" s="131"/>
      <c r="AY2" s="131"/>
      <c r="AZ2" s="131"/>
      <c r="BA2" s="131"/>
      <c r="BB2" s="131"/>
      <c r="BC2" s="131"/>
    </row>
    <row r="3" spans="1:55" ht="14.25" customHeight="1" x14ac:dyDescent="0.3">
      <c r="A3" s="131"/>
      <c r="B3" s="356" t="s">
        <v>248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131"/>
      <c r="N3" s="131"/>
      <c r="O3" s="356" t="s">
        <v>249</v>
      </c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131"/>
      <c r="AA3" s="131"/>
      <c r="AB3" s="356" t="s">
        <v>250</v>
      </c>
      <c r="AC3" s="356"/>
      <c r="AD3" s="356"/>
      <c r="AE3" s="356"/>
      <c r="AF3" s="356"/>
      <c r="AG3" s="356"/>
      <c r="AH3" s="356"/>
      <c r="AI3" s="356"/>
      <c r="AJ3" s="356"/>
      <c r="AK3" s="356"/>
      <c r="AL3" s="356"/>
      <c r="AM3" s="131"/>
      <c r="AN3" s="131"/>
      <c r="AO3" s="131"/>
      <c r="AP3" s="131"/>
      <c r="AQ3" s="131"/>
      <c r="AR3" s="131"/>
      <c r="AS3" s="131"/>
      <c r="AT3" s="131"/>
      <c r="AU3" s="131"/>
      <c r="AV3" s="240"/>
      <c r="AW3" s="131"/>
      <c r="AX3" s="131"/>
      <c r="AY3" s="131"/>
      <c r="AZ3" s="131"/>
      <c r="BA3" s="131"/>
      <c r="BB3" s="131"/>
      <c r="BC3" s="131"/>
    </row>
    <row r="4" spans="1:55" ht="15" customHeight="1" thickBot="1" x14ac:dyDescent="0.35">
      <c r="B4" s="357" t="s">
        <v>241</v>
      </c>
      <c r="C4" s="357"/>
      <c r="D4" s="357"/>
      <c r="E4" s="357"/>
      <c r="F4" s="357"/>
      <c r="G4" s="72"/>
      <c r="H4" s="72"/>
      <c r="I4" s="72"/>
      <c r="J4" s="72"/>
      <c r="K4" s="72"/>
      <c r="L4" s="72"/>
      <c r="M4" s="72"/>
      <c r="O4" s="357" t="s">
        <v>241</v>
      </c>
      <c r="P4" s="357"/>
      <c r="Q4" s="357"/>
      <c r="R4" s="357"/>
      <c r="S4" s="357"/>
      <c r="T4" s="72"/>
      <c r="U4" s="72"/>
      <c r="V4" s="72"/>
      <c r="W4" s="72"/>
      <c r="X4" s="72"/>
      <c r="Y4" s="72"/>
      <c r="Z4" s="139"/>
      <c r="AB4" s="357" t="s">
        <v>241</v>
      </c>
      <c r="AC4" s="357"/>
      <c r="AD4" s="357"/>
      <c r="AE4" s="357"/>
      <c r="AF4" s="357"/>
      <c r="AG4" s="72"/>
      <c r="AH4" s="72"/>
      <c r="AI4" s="72"/>
      <c r="AJ4" s="72"/>
      <c r="AK4" s="72"/>
      <c r="AL4" s="72"/>
      <c r="AM4" s="2"/>
      <c r="AN4" s="2"/>
      <c r="AO4" s="2"/>
      <c r="AP4" s="139"/>
      <c r="AQ4" s="140"/>
      <c r="AU4" s="2"/>
      <c r="AV4" s="2"/>
      <c r="AW4" s="2"/>
      <c r="AX4" s="139"/>
      <c r="AY4" s="140"/>
    </row>
    <row r="5" spans="1:55" ht="15" customHeight="1" thickBot="1" x14ac:dyDescent="0.35">
      <c r="A5" t="s">
        <v>242</v>
      </c>
      <c r="B5" s="229">
        <v>-500</v>
      </c>
      <c r="C5" s="232">
        <v>0</v>
      </c>
      <c r="D5" s="230">
        <v>1000</v>
      </c>
      <c r="E5" s="55">
        <v>2000</v>
      </c>
      <c r="F5" s="55">
        <v>3000</v>
      </c>
      <c r="G5" s="231">
        <v>4000</v>
      </c>
      <c r="H5" s="139"/>
      <c r="I5" s="140"/>
      <c r="K5" s="140"/>
      <c r="N5" t="s">
        <v>242</v>
      </c>
      <c r="O5" s="229">
        <v>-500</v>
      </c>
      <c r="P5" s="232">
        <v>0</v>
      </c>
      <c r="Q5" s="230">
        <v>1000</v>
      </c>
      <c r="R5" s="55">
        <v>2000</v>
      </c>
      <c r="S5" s="55">
        <v>3000</v>
      </c>
      <c r="T5" s="231">
        <v>4000</v>
      </c>
      <c r="U5" s="139"/>
      <c r="V5" s="140"/>
      <c r="X5" s="140"/>
      <c r="AA5" t="s">
        <v>242</v>
      </c>
      <c r="AB5" s="229">
        <v>-500</v>
      </c>
      <c r="AC5" s="232">
        <v>0</v>
      </c>
      <c r="AD5" s="230">
        <v>1000</v>
      </c>
      <c r="AE5" s="55">
        <v>2000</v>
      </c>
      <c r="AF5" s="55">
        <v>3000</v>
      </c>
      <c r="AG5" s="231">
        <v>4000</v>
      </c>
      <c r="AH5" s="139"/>
      <c r="AI5" s="140"/>
      <c r="AK5" s="139"/>
      <c r="AL5" s="140"/>
      <c r="AN5" s="139"/>
      <c r="AO5" s="140"/>
      <c r="AS5" s="2"/>
      <c r="AT5" s="2"/>
      <c r="AU5" s="2"/>
      <c r="AV5" s="139"/>
      <c r="AW5" s="140"/>
    </row>
    <row r="6" spans="1:55" ht="15" customHeight="1" thickBot="1" x14ac:dyDescent="0.35">
      <c r="A6">
        <v>-40</v>
      </c>
      <c r="B6" s="229">
        <v>1950</v>
      </c>
      <c r="C6" s="232">
        <v>1950</v>
      </c>
      <c r="D6" s="230">
        <v>1950</v>
      </c>
      <c r="E6" s="55">
        <v>1970</v>
      </c>
      <c r="F6" s="55">
        <v>2100</v>
      </c>
      <c r="G6" s="231">
        <v>99999</v>
      </c>
      <c r="H6" s="139"/>
      <c r="I6" s="140"/>
      <c r="K6" s="140"/>
      <c r="N6">
        <v>-40</v>
      </c>
      <c r="O6" s="229">
        <v>1900</v>
      </c>
      <c r="P6" s="232">
        <v>1900</v>
      </c>
      <c r="Q6" s="230">
        <v>1900</v>
      </c>
      <c r="R6" s="55">
        <v>1900</v>
      </c>
      <c r="S6" s="55">
        <v>2050</v>
      </c>
      <c r="T6" s="231">
        <v>99999</v>
      </c>
      <c r="U6" s="139"/>
      <c r="V6" s="140"/>
      <c r="X6" s="140"/>
      <c r="AA6">
        <v>-40</v>
      </c>
      <c r="AB6" s="229">
        <v>1850</v>
      </c>
      <c r="AC6" s="232">
        <v>1850</v>
      </c>
      <c r="AD6" s="230">
        <v>1850</v>
      </c>
      <c r="AE6" s="55">
        <v>1850</v>
      </c>
      <c r="AF6" s="55">
        <v>2000</v>
      </c>
      <c r="AG6" s="231">
        <v>99999</v>
      </c>
      <c r="AH6" s="139"/>
      <c r="AI6" s="140"/>
      <c r="AK6" s="139"/>
      <c r="AL6" s="140"/>
      <c r="AN6" s="139"/>
      <c r="AO6" s="140"/>
      <c r="AS6" s="2"/>
      <c r="AT6" s="2"/>
      <c r="AU6" s="2"/>
      <c r="AV6" s="139"/>
      <c r="AW6" s="140"/>
    </row>
    <row r="7" spans="1:55" ht="15" customHeight="1" x14ac:dyDescent="0.3">
      <c r="A7">
        <v>-30</v>
      </c>
      <c r="B7" s="229">
        <v>1950</v>
      </c>
      <c r="C7" s="232">
        <v>1950</v>
      </c>
      <c r="D7" s="230">
        <v>1950</v>
      </c>
      <c r="E7" s="55">
        <v>1970</v>
      </c>
      <c r="F7" s="55">
        <v>2100</v>
      </c>
      <c r="G7" s="231">
        <v>99999</v>
      </c>
      <c r="H7" s="139"/>
      <c r="I7" s="140"/>
      <c r="K7" s="140"/>
      <c r="N7">
        <v>-30</v>
      </c>
      <c r="O7" s="233">
        <v>1900</v>
      </c>
      <c r="P7" s="72">
        <v>1900</v>
      </c>
      <c r="Q7" s="203">
        <v>1900</v>
      </c>
      <c r="R7">
        <v>1900</v>
      </c>
      <c r="S7">
        <v>2050</v>
      </c>
      <c r="T7" s="22">
        <v>99999</v>
      </c>
      <c r="U7" s="139"/>
      <c r="V7" s="140"/>
      <c r="X7" s="140"/>
      <c r="AA7">
        <v>-30</v>
      </c>
      <c r="AB7" s="233">
        <v>1850</v>
      </c>
      <c r="AC7" s="72">
        <v>1850</v>
      </c>
      <c r="AD7" s="203">
        <v>1850</v>
      </c>
      <c r="AE7">
        <v>1850</v>
      </c>
      <c r="AF7">
        <v>2000</v>
      </c>
      <c r="AG7" s="22">
        <v>99999</v>
      </c>
      <c r="AH7" s="139"/>
      <c r="AI7" s="140"/>
      <c r="AK7" s="139"/>
      <c r="AL7" s="140"/>
      <c r="AN7" s="139"/>
      <c r="AO7" s="140"/>
      <c r="AS7" s="2"/>
      <c r="AT7" s="2"/>
      <c r="AU7" s="2"/>
      <c r="AV7" s="139"/>
      <c r="AW7" s="140"/>
    </row>
    <row r="8" spans="1:55" ht="15" customHeight="1" x14ac:dyDescent="0.3">
      <c r="A8">
        <v>-20</v>
      </c>
      <c r="B8" s="233">
        <v>1950</v>
      </c>
      <c r="C8" s="72">
        <v>1950</v>
      </c>
      <c r="D8" s="203">
        <v>1980</v>
      </c>
      <c r="E8">
        <v>2100</v>
      </c>
      <c r="F8">
        <v>2275</v>
      </c>
      <c r="G8" s="22">
        <v>99999</v>
      </c>
      <c r="H8" s="139"/>
      <c r="I8" s="140"/>
      <c r="K8" s="140"/>
      <c r="N8">
        <v>-20</v>
      </c>
      <c r="O8" s="233">
        <v>1900</v>
      </c>
      <c r="P8" s="72">
        <v>1900</v>
      </c>
      <c r="Q8" s="203">
        <v>1925</v>
      </c>
      <c r="R8">
        <v>2015</v>
      </c>
      <c r="S8">
        <v>2150</v>
      </c>
      <c r="T8" s="22">
        <v>99999</v>
      </c>
      <c r="U8" s="139"/>
      <c r="V8" s="140"/>
      <c r="X8" s="140"/>
      <c r="AA8">
        <v>-20</v>
      </c>
      <c r="AB8" s="233">
        <v>1850</v>
      </c>
      <c r="AC8" s="72">
        <v>1850</v>
      </c>
      <c r="AD8" s="203">
        <v>1850</v>
      </c>
      <c r="AE8">
        <v>1975</v>
      </c>
      <c r="AF8">
        <v>2100</v>
      </c>
      <c r="AG8" s="22">
        <v>99999</v>
      </c>
      <c r="AH8" s="139"/>
      <c r="AI8" s="140"/>
      <c r="AK8" s="139"/>
      <c r="AL8" s="140"/>
      <c r="AN8" s="139"/>
      <c r="AO8" s="140"/>
      <c r="AS8" s="2"/>
      <c r="AT8" s="2"/>
      <c r="AU8" s="2"/>
      <c r="AV8" s="139"/>
      <c r="AW8" s="140"/>
    </row>
    <row r="9" spans="1:55" ht="15" customHeight="1" x14ac:dyDescent="0.3">
      <c r="A9">
        <v>-10</v>
      </c>
      <c r="B9" s="233">
        <v>2000</v>
      </c>
      <c r="C9" s="72">
        <v>2000</v>
      </c>
      <c r="D9" s="203">
        <v>2130</v>
      </c>
      <c r="E9">
        <v>2250</v>
      </c>
      <c r="F9">
        <v>2400</v>
      </c>
      <c r="G9" s="22">
        <v>99999</v>
      </c>
      <c r="H9" s="139"/>
      <c r="I9" s="140"/>
      <c r="K9" s="140"/>
      <c r="N9">
        <v>-10</v>
      </c>
      <c r="O9" s="233">
        <v>1925</v>
      </c>
      <c r="P9" s="72">
        <v>1925</v>
      </c>
      <c r="Q9" s="203">
        <v>2050</v>
      </c>
      <c r="R9">
        <v>2150</v>
      </c>
      <c r="S9">
        <v>2300</v>
      </c>
      <c r="T9" s="22">
        <v>99999</v>
      </c>
      <c r="U9" s="139"/>
      <c r="V9" s="140"/>
      <c r="X9" s="140"/>
      <c r="AA9">
        <v>-10</v>
      </c>
      <c r="AB9" s="233">
        <v>1880</v>
      </c>
      <c r="AC9" s="72">
        <v>1880</v>
      </c>
      <c r="AD9" s="203">
        <v>2000</v>
      </c>
      <c r="AE9">
        <v>2100</v>
      </c>
      <c r="AF9">
        <v>2250</v>
      </c>
      <c r="AG9" s="22">
        <v>99999</v>
      </c>
      <c r="AH9" s="139"/>
      <c r="AI9" s="140"/>
      <c r="AK9" s="139"/>
      <c r="AL9" s="140"/>
      <c r="AN9" s="139"/>
      <c r="AO9" s="140"/>
      <c r="AS9" s="2"/>
      <c r="AT9" s="2"/>
      <c r="AU9" s="2"/>
      <c r="AV9" s="139"/>
      <c r="AW9" s="140"/>
    </row>
    <row r="10" spans="1:55" ht="15" customHeight="1" x14ac:dyDescent="0.3">
      <c r="A10">
        <v>0</v>
      </c>
      <c r="B10" s="233">
        <v>2100</v>
      </c>
      <c r="C10" s="72">
        <v>2100</v>
      </c>
      <c r="D10" s="203">
        <v>2260</v>
      </c>
      <c r="E10">
        <v>2400</v>
      </c>
      <c r="F10">
        <v>2600</v>
      </c>
      <c r="G10" s="22">
        <v>99999</v>
      </c>
      <c r="H10" s="139"/>
      <c r="I10" s="140"/>
      <c r="K10" s="140"/>
      <c r="N10">
        <v>0</v>
      </c>
      <c r="O10" s="233">
        <v>2050</v>
      </c>
      <c r="P10" s="72">
        <v>2050</v>
      </c>
      <c r="Q10" s="203">
        <v>2180</v>
      </c>
      <c r="R10">
        <v>2300</v>
      </c>
      <c r="S10">
        <v>2470</v>
      </c>
      <c r="T10" s="22">
        <v>99999</v>
      </c>
      <c r="U10" s="139"/>
      <c r="V10" s="140"/>
      <c r="X10" s="140"/>
      <c r="AA10">
        <v>0</v>
      </c>
      <c r="AB10" s="233">
        <v>2000</v>
      </c>
      <c r="AC10" s="72">
        <v>2000</v>
      </c>
      <c r="AD10" s="203">
        <v>2110</v>
      </c>
      <c r="AE10">
        <v>2250</v>
      </c>
      <c r="AF10">
        <v>2400</v>
      </c>
      <c r="AG10" s="22">
        <v>99999</v>
      </c>
      <c r="AH10" s="139"/>
      <c r="AI10" s="140"/>
      <c r="AK10" s="139"/>
      <c r="AL10" s="140"/>
      <c r="AN10" s="139"/>
      <c r="AO10" s="140"/>
      <c r="AS10" s="2"/>
      <c r="AT10" s="2"/>
      <c r="AU10" s="2"/>
      <c r="AV10" s="139"/>
      <c r="AW10" s="140"/>
    </row>
    <row r="11" spans="1:55" ht="15" customHeight="1" x14ac:dyDescent="0.3">
      <c r="A11">
        <v>10</v>
      </c>
      <c r="B11" s="233">
        <v>2250</v>
      </c>
      <c r="C11" s="72">
        <v>2250</v>
      </c>
      <c r="D11" s="203">
        <v>2400</v>
      </c>
      <c r="E11">
        <v>2550</v>
      </c>
      <c r="F11">
        <v>2750</v>
      </c>
      <c r="G11" s="22">
        <v>99999</v>
      </c>
      <c r="H11" s="139"/>
      <c r="I11" s="140"/>
      <c r="K11" s="140"/>
      <c r="N11">
        <v>10</v>
      </c>
      <c r="O11" s="233">
        <v>2150</v>
      </c>
      <c r="P11" s="72">
        <v>2150</v>
      </c>
      <c r="Q11" s="203">
        <v>2300</v>
      </c>
      <c r="R11">
        <v>2430</v>
      </c>
      <c r="S11">
        <v>2600</v>
      </c>
      <c r="T11" s="22">
        <v>99999</v>
      </c>
      <c r="U11" s="139"/>
      <c r="V11" s="140"/>
      <c r="X11" s="140"/>
      <c r="AA11">
        <v>10</v>
      </c>
      <c r="AB11" s="233">
        <v>2130</v>
      </c>
      <c r="AC11" s="72">
        <v>2130</v>
      </c>
      <c r="AD11" s="203">
        <v>2250</v>
      </c>
      <c r="AE11">
        <v>2400</v>
      </c>
      <c r="AF11">
        <v>2550</v>
      </c>
      <c r="AG11" s="22">
        <v>99999</v>
      </c>
      <c r="AH11" s="139"/>
      <c r="AI11" s="140"/>
      <c r="AK11" s="139"/>
      <c r="AL11" s="140"/>
      <c r="AN11" s="139"/>
      <c r="AO11" s="140"/>
      <c r="AS11" s="2"/>
      <c r="AT11" s="2"/>
      <c r="AU11" s="2"/>
      <c r="AV11" s="139"/>
      <c r="AW11" s="140"/>
    </row>
    <row r="12" spans="1:55" ht="15" customHeight="1" x14ac:dyDescent="0.3">
      <c r="A12">
        <v>20</v>
      </c>
      <c r="B12" s="233">
        <v>2390</v>
      </c>
      <c r="C12" s="72">
        <v>2390</v>
      </c>
      <c r="D12" s="203">
        <v>2550</v>
      </c>
      <c r="E12">
        <v>2700</v>
      </c>
      <c r="F12">
        <v>2900</v>
      </c>
      <c r="G12" s="22">
        <v>99999</v>
      </c>
      <c r="H12" s="139"/>
      <c r="I12" s="140"/>
      <c r="K12" s="140"/>
      <c r="N12">
        <v>20</v>
      </c>
      <c r="O12" s="233">
        <v>2300</v>
      </c>
      <c r="P12" s="72">
        <v>2300</v>
      </c>
      <c r="Q12" s="203">
        <v>2450</v>
      </c>
      <c r="R12">
        <v>2590</v>
      </c>
      <c r="S12">
        <v>2750</v>
      </c>
      <c r="T12" s="22">
        <v>99999</v>
      </c>
      <c r="U12" s="139"/>
      <c r="V12" s="140"/>
      <c r="X12" s="140"/>
      <c r="AA12">
        <v>20</v>
      </c>
      <c r="AB12" s="233">
        <v>2250</v>
      </c>
      <c r="AC12" s="72">
        <v>2250</v>
      </c>
      <c r="AD12" s="203">
        <v>2400</v>
      </c>
      <c r="AE12">
        <v>2550</v>
      </c>
      <c r="AF12">
        <v>2750</v>
      </c>
      <c r="AG12" s="22">
        <v>99999</v>
      </c>
      <c r="AH12" s="139"/>
      <c r="AI12" s="140"/>
      <c r="AK12" s="139"/>
      <c r="AL12" s="140"/>
      <c r="AN12" s="139"/>
      <c r="AO12" s="140"/>
      <c r="AS12" s="2"/>
      <c r="AT12" s="2"/>
      <c r="AU12" s="2"/>
      <c r="AV12" s="139"/>
      <c r="AW12" s="140"/>
    </row>
    <row r="13" spans="1:55" ht="15" customHeight="1" x14ac:dyDescent="0.3">
      <c r="A13">
        <v>30</v>
      </c>
      <c r="B13" s="233">
        <v>2530</v>
      </c>
      <c r="C13" s="72">
        <v>2530</v>
      </c>
      <c r="D13" s="203">
        <v>2700</v>
      </c>
      <c r="E13">
        <v>2900</v>
      </c>
      <c r="F13">
        <v>3100</v>
      </c>
      <c r="G13" s="22">
        <v>99999</v>
      </c>
      <c r="H13" s="139"/>
      <c r="I13" s="140"/>
      <c r="K13" s="140"/>
      <c r="N13">
        <v>30</v>
      </c>
      <c r="O13" s="233">
        <v>2425</v>
      </c>
      <c r="P13" s="72">
        <v>2425</v>
      </c>
      <c r="Q13" s="203">
        <v>2600</v>
      </c>
      <c r="R13">
        <v>2750</v>
      </c>
      <c r="S13">
        <v>2950</v>
      </c>
      <c r="T13" s="22">
        <v>99999</v>
      </c>
      <c r="U13" s="139"/>
      <c r="V13" s="140"/>
      <c r="X13" s="140"/>
      <c r="AA13">
        <v>30</v>
      </c>
      <c r="AB13" s="233">
        <v>2375</v>
      </c>
      <c r="AC13" s="72">
        <v>2375</v>
      </c>
      <c r="AD13" s="203">
        <v>2550</v>
      </c>
      <c r="AE13">
        <v>2700</v>
      </c>
      <c r="AF13">
        <v>2900</v>
      </c>
      <c r="AG13" s="22">
        <v>99999</v>
      </c>
      <c r="AH13" s="139"/>
      <c r="AI13" s="140"/>
      <c r="AK13" s="139"/>
      <c r="AL13" s="140"/>
      <c r="AN13" s="139"/>
      <c r="AO13" s="140"/>
      <c r="AS13" s="2"/>
      <c r="AT13" s="2"/>
      <c r="AU13" s="2"/>
      <c r="AV13" s="139"/>
      <c r="AW13" s="140"/>
    </row>
    <row r="14" spans="1:55" ht="15" customHeight="1" x14ac:dyDescent="0.3">
      <c r="A14">
        <v>40</v>
      </c>
      <c r="B14" s="233">
        <v>2700</v>
      </c>
      <c r="C14" s="72">
        <v>2700</v>
      </c>
      <c r="D14" s="203">
        <v>2900</v>
      </c>
      <c r="E14">
        <v>3100</v>
      </c>
      <c r="F14">
        <v>3400</v>
      </c>
      <c r="G14" s="22">
        <v>99999</v>
      </c>
      <c r="H14" s="139"/>
      <c r="I14" s="140"/>
      <c r="K14" s="140"/>
      <c r="N14">
        <v>40</v>
      </c>
      <c r="O14" s="233">
        <v>2575</v>
      </c>
      <c r="P14" s="72">
        <v>2575</v>
      </c>
      <c r="Q14" s="203">
        <v>2800</v>
      </c>
      <c r="R14">
        <v>2950</v>
      </c>
      <c r="S14">
        <v>3200</v>
      </c>
      <c r="T14" s="22">
        <v>99999</v>
      </c>
      <c r="U14" s="139"/>
      <c r="V14" s="140"/>
      <c r="X14" s="140"/>
      <c r="AA14">
        <v>40</v>
      </c>
      <c r="AB14" s="233">
        <v>2500</v>
      </c>
      <c r="AC14" s="72">
        <v>2500</v>
      </c>
      <c r="AD14" s="203">
        <v>2700</v>
      </c>
      <c r="AE14">
        <v>2900</v>
      </c>
      <c r="AF14">
        <v>3150</v>
      </c>
      <c r="AG14" s="22">
        <v>99999</v>
      </c>
      <c r="AH14" s="139"/>
      <c r="AI14" s="140"/>
      <c r="AK14" s="139"/>
      <c r="AL14" s="140"/>
      <c r="AN14" s="139"/>
      <c r="AO14" s="140"/>
      <c r="AS14" s="2"/>
      <c r="AT14" s="2"/>
      <c r="AU14" s="2"/>
      <c r="AV14" s="139"/>
      <c r="AW14" s="140"/>
    </row>
    <row r="15" spans="1:55" ht="15" customHeight="1" thickBot="1" x14ac:dyDescent="0.35">
      <c r="A15">
        <v>45</v>
      </c>
      <c r="B15" s="234">
        <v>99999</v>
      </c>
      <c r="C15" s="238">
        <v>99999</v>
      </c>
      <c r="D15" s="235">
        <v>99999</v>
      </c>
      <c r="E15" s="235">
        <v>99999</v>
      </c>
      <c r="F15" s="235">
        <v>99999</v>
      </c>
      <c r="G15" s="261">
        <v>99999</v>
      </c>
      <c r="H15" s="139"/>
      <c r="I15" s="140"/>
      <c r="K15" s="140"/>
      <c r="N15">
        <v>45</v>
      </c>
      <c r="O15" s="234">
        <v>99999</v>
      </c>
      <c r="P15" s="238">
        <v>99999</v>
      </c>
      <c r="Q15" s="235">
        <v>99999</v>
      </c>
      <c r="R15" s="235">
        <v>99999</v>
      </c>
      <c r="S15" s="235">
        <v>99999</v>
      </c>
      <c r="T15" s="261">
        <v>99999</v>
      </c>
      <c r="U15" s="139"/>
      <c r="V15" s="140"/>
      <c r="X15" s="140"/>
      <c r="AA15">
        <v>45</v>
      </c>
      <c r="AB15" s="234">
        <v>99999</v>
      </c>
      <c r="AC15" s="238">
        <v>99999</v>
      </c>
      <c r="AD15" s="235">
        <v>99999</v>
      </c>
      <c r="AE15" s="235">
        <v>99999</v>
      </c>
      <c r="AF15" s="235">
        <v>99999</v>
      </c>
      <c r="AG15" s="261">
        <v>99999</v>
      </c>
      <c r="AH15" s="139"/>
      <c r="AI15" s="140"/>
      <c r="AK15" s="139"/>
      <c r="AL15" s="140"/>
      <c r="AN15" s="139"/>
      <c r="AO15" s="140"/>
      <c r="AS15" s="2"/>
      <c r="AT15" s="2"/>
      <c r="AU15" s="2"/>
      <c r="AV15" s="139"/>
      <c r="AW15" s="140"/>
    </row>
    <row r="16" spans="1:55" ht="15" customHeight="1" x14ac:dyDescent="0.3">
      <c r="B16" s="139"/>
      <c r="C16" s="140"/>
      <c r="G16" s="2"/>
      <c r="H16" s="2"/>
      <c r="I16" s="2"/>
      <c r="J16" s="139"/>
      <c r="K16" s="140"/>
      <c r="O16" s="139"/>
      <c r="P16" s="140"/>
      <c r="T16" s="2"/>
      <c r="U16" s="2"/>
      <c r="V16" s="2"/>
      <c r="W16" s="139"/>
      <c r="X16" s="140"/>
      <c r="Z16" s="139"/>
      <c r="AB16" s="139"/>
      <c r="AC16" s="140"/>
      <c r="AG16" s="2"/>
      <c r="AH16" s="2"/>
      <c r="AI16" s="2"/>
      <c r="AJ16" s="139"/>
      <c r="AK16" s="140"/>
      <c r="AM16" s="2"/>
      <c r="AN16" s="2"/>
      <c r="AO16" s="2"/>
      <c r="AP16" s="139"/>
      <c r="AQ16" s="140"/>
      <c r="AU16" s="2"/>
      <c r="AV16" s="2"/>
      <c r="AW16" s="2"/>
      <c r="AX16" s="139"/>
      <c r="AY16" s="140"/>
    </row>
    <row r="17" spans="1:53" ht="15" customHeight="1" x14ac:dyDescent="0.3">
      <c r="B17" s="139" t="s">
        <v>146</v>
      </c>
      <c r="C17" s="140">
        <f ca="1">D1</f>
        <v>770</v>
      </c>
      <c r="D17" s="355" t="s">
        <v>201</v>
      </c>
      <c r="E17" s="355"/>
      <c r="G17" s="2"/>
      <c r="H17" s="2"/>
      <c r="I17" s="2"/>
      <c r="J17" s="139"/>
      <c r="K17" s="140"/>
      <c r="L17" s="72"/>
      <c r="O17" s="139" t="s">
        <v>146</v>
      </c>
      <c r="P17" s="140">
        <f ca="1">D1</f>
        <v>770</v>
      </c>
      <c r="Q17" s="355" t="s">
        <v>201</v>
      </c>
      <c r="R17" s="355"/>
      <c r="T17" s="2"/>
      <c r="U17" s="2"/>
      <c r="V17" s="2"/>
      <c r="W17" s="139"/>
      <c r="X17" s="140"/>
      <c r="Y17" s="72"/>
      <c r="Z17" s="139"/>
      <c r="AB17" s="139" t="s">
        <v>146</v>
      </c>
      <c r="AC17" s="140">
        <f ca="1">D1</f>
        <v>770</v>
      </c>
      <c r="AD17" s="355" t="s">
        <v>201</v>
      </c>
      <c r="AE17" s="355"/>
      <c r="AG17" s="2"/>
      <c r="AH17" s="2"/>
      <c r="AI17" s="2"/>
      <c r="AJ17" s="139"/>
      <c r="AK17" s="140"/>
      <c r="AL17" s="72"/>
      <c r="AM17" s="2"/>
      <c r="AN17" s="2"/>
      <c r="AO17" s="2"/>
      <c r="AP17" s="139"/>
      <c r="AQ17" s="140"/>
      <c r="AR17" s="355"/>
      <c r="AS17" s="355"/>
      <c r="AU17" s="2"/>
      <c r="AV17" s="2"/>
      <c r="AW17" s="2"/>
      <c r="AX17" s="139"/>
      <c r="AY17" s="140"/>
      <c r="AZ17" s="355"/>
      <c r="BA17" s="355"/>
    </row>
    <row r="18" spans="1:53" ht="15" customHeight="1" x14ac:dyDescent="0.3">
      <c r="B18" s="16" t="s">
        <v>202</v>
      </c>
      <c r="C18" s="141">
        <f t="array" aca="1" ref="C18" ca="1">INDEX(B5:G5,MATCH(C17,B5:G5,1))</f>
        <v>0</v>
      </c>
      <c r="D18" s="16" t="s">
        <v>144</v>
      </c>
      <c r="E18" s="17">
        <f>MATCH(MAX(A6:A15),A6:A15,1)</f>
        <v>10</v>
      </c>
      <c r="G18" s="2"/>
      <c r="H18" s="2"/>
      <c r="I18" s="2"/>
      <c r="J18" s="16"/>
      <c r="K18" s="141"/>
      <c r="L18" s="16"/>
      <c r="M18" s="17"/>
      <c r="O18" s="16" t="s">
        <v>202</v>
      </c>
      <c r="P18" s="141">
        <f t="array" aca="1" ref="P18" ca="1">INDEX(O5:T5,MATCH(P17,O5:T5,1))</f>
        <v>0</v>
      </c>
      <c r="Q18" s="16" t="s">
        <v>144</v>
      </c>
      <c r="R18" s="17">
        <f>MATCH(MAX(N6:N15),N6:N15,1)</f>
        <v>10</v>
      </c>
      <c r="T18" s="2"/>
      <c r="U18" s="2"/>
      <c r="V18" s="2"/>
      <c r="W18" s="16"/>
      <c r="X18" s="141"/>
      <c r="Y18" s="16"/>
      <c r="Z18" s="16"/>
      <c r="AB18" s="16" t="s">
        <v>202</v>
      </c>
      <c r="AC18" s="141">
        <f t="array" aca="1" ref="AC18" ca="1">INDEX(AB5:AG5,MATCH(AC17,AB5:AG5,1))</f>
        <v>0</v>
      </c>
      <c r="AD18" s="16" t="s">
        <v>144</v>
      </c>
      <c r="AE18" s="17">
        <f>MATCH(MAX(AA6:AA15),AA6:AA15,1)</f>
        <v>10</v>
      </c>
      <c r="AG18" s="2"/>
      <c r="AH18" s="2"/>
      <c r="AI18" s="2"/>
      <c r="AJ18" s="16"/>
      <c r="AK18" s="141"/>
      <c r="AL18" s="16"/>
      <c r="AM18" s="2"/>
      <c r="AN18" s="2"/>
      <c r="AO18" s="2"/>
      <c r="AP18" s="16"/>
      <c r="AQ18" s="141"/>
      <c r="AR18" s="16"/>
      <c r="AS18" s="17"/>
      <c r="AU18" s="2"/>
      <c r="AV18" s="2"/>
      <c r="AW18" s="2"/>
      <c r="AX18" s="16"/>
      <c r="AY18" s="141"/>
      <c r="AZ18" s="16"/>
      <c r="BA18" s="17"/>
    </row>
    <row r="19" spans="1:53" ht="15" customHeight="1" x14ac:dyDescent="0.3">
      <c r="B19" s="16" t="s">
        <v>203</v>
      </c>
      <c r="C19" s="141">
        <f t="array" aca="1" ref="C19" ca="1">INDEX(B5:G5,IF(MATCH(C17,B5:G5,1)&lt;E19,MATCH(C17,B5:G5,1)+1,MATCH(C17,B5:G5,1)))</f>
        <v>1000</v>
      </c>
      <c r="D19" s="16" t="s">
        <v>145</v>
      </c>
      <c r="E19" s="17">
        <f>MATCH(MAX(B5:G5),B5:G5,0)</f>
        <v>6</v>
      </c>
      <c r="G19" s="2"/>
      <c r="H19" s="2"/>
      <c r="I19" s="2"/>
      <c r="J19" s="16"/>
      <c r="K19" s="141"/>
      <c r="L19" s="16"/>
      <c r="M19" s="17"/>
      <c r="O19" s="16" t="s">
        <v>203</v>
      </c>
      <c r="P19" s="141">
        <f t="array" aca="1" ref="P19" ca="1">INDEX(O5:T5,IF(MATCH(P17,O5:T5,1)&lt;R19,MATCH(P17,O5:T5,1)+1,MATCH(P17,O5:T5,1)))</f>
        <v>1000</v>
      </c>
      <c r="Q19" s="16" t="s">
        <v>145</v>
      </c>
      <c r="R19" s="17">
        <f>MATCH(MAX(O5:T5),O5:T5,0)</f>
        <v>6</v>
      </c>
      <c r="T19" s="2"/>
      <c r="U19" s="2"/>
      <c r="V19" s="2"/>
      <c r="W19" s="16"/>
      <c r="X19" s="141"/>
      <c r="Y19" s="16"/>
      <c r="Z19" s="16"/>
      <c r="AB19" s="16" t="s">
        <v>203</v>
      </c>
      <c r="AC19" s="141">
        <f t="array" aca="1" ref="AC19" ca="1">INDEX(AB5:AG5,IF(MATCH(AC17,AB5:AG5,1)&lt;AE19,MATCH(AC17,AB5:AG5,1)+1,MATCH(AC17,AB5:AG5,1)))</f>
        <v>1000</v>
      </c>
      <c r="AD19" s="16" t="s">
        <v>145</v>
      </c>
      <c r="AE19" s="17">
        <f>MATCH(MAX(AB5:AG5),AB5:AG5,0)</f>
        <v>6</v>
      </c>
      <c r="AG19" s="2"/>
      <c r="AH19" s="2"/>
      <c r="AI19" s="2"/>
      <c r="AJ19" s="16"/>
      <c r="AK19" s="141"/>
      <c r="AL19" s="16"/>
      <c r="AM19" s="2"/>
      <c r="AN19" s="2"/>
      <c r="AO19" s="2"/>
      <c r="AP19" s="16"/>
      <c r="AQ19" s="141"/>
      <c r="AR19" s="16"/>
      <c r="AS19" s="17"/>
      <c r="AU19" s="2"/>
      <c r="AV19" s="2"/>
      <c r="AW19" s="2"/>
      <c r="AX19" s="16"/>
      <c r="AY19" s="141"/>
      <c r="AZ19" s="16"/>
      <c r="BA19" s="17"/>
    </row>
    <row r="20" spans="1:53" ht="15" customHeight="1" x14ac:dyDescent="0.3">
      <c r="B20" s="139" t="s">
        <v>147</v>
      </c>
      <c r="C20" s="186">
        <f ca="1">D2</f>
        <v>15</v>
      </c>
      <c r="D20" s="2"/>
      <c r="E20" s="2"/>
      <c r="G20" s="2"/>
      <c r="H20" s="2"/>
      <c r="I20" s="2"/>
      <c r="J20" s="139"/>
      <c r="K20" s="186"/>
      <c r="L20" s="2"/>
      <c r="M20" s="2"/>
      <c r="O20" s="139" t="s">
        <v>147</v>
      </c>
      <c r="P20" s="186">
        <f ca="1">D2</f>
        <v>15</v>
      </c>
      <c r="Q20" s="2"/>
      <c r="R20" s="2"/>
      <c r="T20" s="2"/>
      <c r="U20" s="2"/>
      <c r="V20" s="2"/>
      <c r="W20" s="139"/>
      <c r="X20" s="186"/>
      <c r="Y20" s="2"/>
      <c r="Z20" s="139"/>
      <c r="AB20" s="139" t="s">
        <v>147</v>
      </c>
      <c r="AC20" s="186">
        <f ca="1">D2</f>
        <v>15</v>
      </c>
      <c r="AD20" s="2"/>
      <c r="AE20" s="2"/>
      <c r="AG20" s="2"/>
      <c r="AH20" s="2"/>
      <c r="AI20" s="2"/>
      <c r="AJ20" s="139"/>
      <c r="AK20" s="186"/>
      <c r="AL20" s="2"/>
      <c r="AM20" s="2"/>
      <c r="AN20" s="2"/>
      <c r="AO20" s="2"/>
      <c r="AP20" s="139"/>
      <c r="AQ20" s="186"/>
      <c r="AR20" s="2"/>
      <c r="AS20" s="2"/>
      <c r="AU20" s="2"/>
      <c r="AV20" s="2"/>
      <c r="AW20" s="2"/>
      <c r="AX20" s="139"/>
      <c r="AY20" s="186"/>
      <c r="AZ20" s="2"/>
      <c r="BA20" s="2"/>
    </row>
    <row r="21" spans="1:53" ht="15" customHeight="1" x14ac:dyDescent="0.3">
      <c r="B21" s="16" t="s">
        <v>148</v>
      </c>
      <c r="C21" s="141">
        <f t="array" aca="1" ref="C21" ca="1">INDEX(A6:A15,MATCH(C20,A6:A15,1))</f>
        <v>10</v>
      </c>
      <c r="D21" s="2"/>
      <c r="E21" s="42"/>
      <c r="G21" s="2"/>
      <c r="H21" s="2"/>
      <c r="I21" s="2"/>
      <c r="J21" s="16"/>
      <c r="K21" s="141"/>
      <c r="L21" s="2"/>
      <c r="M21" s="42"/>
      <c r="O21" s="16" t="s">
        <v>148</v>
      </c>
      <c r="P21" s="141">
        <f t="array" aca="1" ref="P21" ca="1">INDEX(N6:N15,MATCH(P20,N6:N15,1))</f>
        <v>10</v>
      </c>
      <c r="Q21" s="2"/>
      <c r="R21" s="42"/>
      <c r="T21" s="2"/>
      <c r="U21" s="2"/>
      <c r="V21" s="2"/>
      <c r="W21" s="16"/>
      <c r="X21" s="141"/>
      <c r="Y21" s="2"/>
      <c r="Z21" s="16"/>
      <c r="AB21" s="16" t="s">
        <v>148</v>
      </c>
      <c r="AC21" s="141">
        <f t="array" aca="1" ref="AC21" ca="1">INDEX(AA6:AA15,MATCH(AC20,AA6:AA15,1))</f>
        <v>10</v>
      </c>
      <c r="AD21" s="2"/>
      <c r="AE21" s="42"/>
      <c r="AG21" s="2"/>
      <c r="AH21" s="2"/>
      <c r="AI21" s="2"/>
      <c r="AJ21" s="16"/>
      <c r="AK21" s="141"/>
      <c r="AL21" s="2"/>
      <c r="AM21" s="2"/>
      <c r="AN21" s="2"/>
      <c r="AO21" s="2"/>
      <c r="AP21" s="16"/>
      <c r="AQ21" s="141"/>
      <c r="AR21" s="2"/>
      <c r="AS21" s="42"/>
      <c r="AU21" s="2"/>
      <c r="AV21" s="2"/>
      <c r="AW21" s="2"/>
      <c r="AX21" s="16"/>
      <c r="AY21" s="141"/>
      <c r="AZ21" s="2"/>
      <c r="BA21" s="42"/>
    </row>
    <row r="22" spans="1:53" ht="15" customHeight="1" x14ac:dyDescent="0.3">
      <c r="B22" s="16" t="s">
        <v>149</v>
      </c>
      <c r="C22" s="141">
        <f t="array" aca="1" ref="C22" ca="1">INDEX(A6:A15,IF(MATCH(C20,A6:A15,1)&lt;E18,MATCH(C20,A6:A15,1)+1,MATCH(C20,A6:A15,1)))</f>
        <v>20</v>
      </c>
      <c r="D22" s="2"/>
      <c r="E22" s="42"/>
      <c r="G22" s="2"/>
      <c r="H22" s="2"/>
      <c r="I22" s="2"/>
      <c r="J22" s="16"/>
      <c r="K22" s="141"/>
      <c r="L22" s="2"/>
      <c r="M22" s="42"/>
      <c r="O22" s="16" t="s">
        <v>149</v>
      </c>
      <c r="P22" s="141">
        <f t="array" aca="1" ref="P22" ca="1">INDEX(N6:N15,IF(MATCH(P20,N6:N15,1)&lt;R18,MATCH(P20,N6:N15,1)+1,MATCH(P20,N6:N15,1)))</f>
        <v>20</v>
      </c>
      <c r="Q22" s="2"/>
      <c r="R22" s="42"/>
      <c r="T22" s="2"/>
      <c r="U22" s="2"/>
      <c r="V22" s="2"/>
      <c r="W22" s="16"/>
      <c r="X22" s="141"/>
      <c r="Y22" s="2"/>
      <c r="Z22" s="16"/>
      <c r="AB22" s="16" t="s">
        <v>149</v>
      </c>
      <c r="AC22" s="141">
        <f t="array" aca="1" ref="AC22" ca="1">INDEX(AA6:AA15,IF(MATCH(AC20,AA6:AA15,1)&lt;AE18,MATCH(AC20,AA6:AA15,1)+1,MATCH(AC20,AA6:AA15,1)))</f>
        <v>20</v>
      </c>
      <c r="AD22" s="2"/>
      <c r="AE22" s="42"/>
      <c r="AG22" s="2"/>
      <c r="AH22" s="2"/>
      <c r="AI22" s="2"/>
      <c r="AJ22" s="16"/>
      <c r="AK22" s="141"/>
      <c r="AL22" s="2"/>
      <c r="AM22" s="2"/>
      <c r="AN22" s="2"/>
      <c r="AO22" s="2"/>
      <c r="AP22" s="16"/>
      <c r="AQ22" s="141"/>
      <c r="AR22" s="2"/>
      <c r="AS22" s="42"/>
      <c r="AU22" s="2"/>
      <c r="AV22" s="2"/>
      <c r="AW22" s="2"/>
      <c r="AX22" s="16"/>
      <c r="AY22" s="141"/>
      <c r="AZ22" s="2"/>
      <c r="BA22" s="42"/>
    </row>
    <row r="23" spans="1:53" ht="15" customHeight="1" x14ac:dyDescent="0.3">
      <c r="B23" s="139" t="s">
        <v>150</v>
      </c>
      <c r="C23" s="140">
        <f t="array" aca="1" ref="C23" ca="1">INDEX(B6:G15,MATCH(C20,A6:A15,1),MATCH(C17,B5:G5,1))</f>
        <v>2250</v>
      </c>
      <c r="D23" s="2"/>
      <c r="E23" s="42"/>
      <c r="G23" s="2"/>
      <c r="H23" s="2"/>
      <c r="I23" s="2"/>
      <c r="J23" s="139"/>
      <c r="K23" s="140"/>
      <c r="L23" s="2"/>
      <c r="M23" s="42"/>
      <c r="O23" s="139" t="s">
        <v>150</v>
      </c>
      <c r="P23" s="140">
        <f t="array" aca="1" ref="P23" ca="1">INDEX(O6:T15,MATCH(P20,N6:N15,1),MATCH(P17,O5:T5,1))</f>
        <v>2150</v>
      </c>
      <c r="Q23" s="2"/>
      <c r="R23" s="42"/>
      <c r="T23" s="2"/>
      <c r="U23" s="2"/>
      <c r="V23" s="2"/>
      <c r="W23" s="139"/>
      <c r="X23" s="140"/>
      <c r="Y23" s="2"/>
      <c r="Z23" s="139"/>
      <c r="AB23" s="139" t="s">
        <v>150</v>
      </c>
      <c r="AC23" s="140">
        <f t="array" aca="1" ref="AC23" ca="1">INDEX(AB6:AG15,MATCH(AC20,AA6:AA15,1),MATCH(AC17,AB5:AG5,1))</f>
        <v>2130</v>
      </c>
      <c r="AD23" s="2"/>
      <c r="AE23" s="42"/>
      <c r="AG23" s="2"/>
      <c r="AH23" s="2"/>
      <c r="AI23" s="2"/>
      <c r="AJ23" s="139"/>
      <c r="AK23" s="140"/>
      <c r="AL23" s="2"/>
      <c r="AM23" s="2"/>
      <c r="AN23" s="2"/>
      <c r="AO23" s="2"/>
      <c r="AP23" s="139"/>
      <c r="AQ23" s="140"/>
      <c r="AR23" s="2"/>
      <c r="AS23" s="42"/>
      <c r="AU23" s="2"/>
      <c r="AV23" s="2"/>
      <c r="AW23" s="2"/>
      <c r="AX23" s="139"/>
      <c r="AY23" s="140"/>
      <c r="AZ23" s="2"/>
      <c r="BA23" s="42"/>
    </row>
    <row r="24" spans="1:53" ht="15" customHeight="1" x14ac:dyDescent="0.3">
      <c r="B24" s="139" t="s">
        <v>204</v>
      </c>
      <c r="C24" s="140">
        <f t="array" aca="1" ref="C24" ca="1">INDEX(B6:G15,MATCH(C20,A6:A15,1),IF(MATCH(C17,B5:G5,1)&lt;E19,MATCH(C17,B5:G5,1)+1,MATCH(C20,A6:A15,1)))</f>
        <v>2400</v>
      </c>
      <c r="E24" s="42"/>
      <c r="G24" s="2"/>
      <c r="H24" s="2"/>
      <c r="I24" s="2"/>
      <c r="J24" s="139"/>
      <c r="K24" s="140"/>
      <c r="M24" s="42"/>
      <c r="O24" s="139" t="s">
        <v>204</v>
      </c>
      <c r="P24" s="140">
        <f t="array" aca="1" ref="P24" ca="1">INDEX(O6:T15,MATCH(P20,N6:N15,1),IF(MATCH(P17,O5:T5,1)&lt;R19,MATCH(P17,O5:T5,1)+1,MATCH(P20,N6:N15,1)))</f>
        <v>2300</v>
      </c>
      <c r="R24" s="42"/>
      <c r="T24" s="2"/>
      <c r="U24" s="2"/>
      <c r="V24" s="2"/>
      <c r="W24" s="139"/>
      <c r="X24" s="140"/>
      <c r="Z24" s="139"/>
      <c r="AB24" s="139" t="s">
        <v>204</v>
      </c>
      <c r="AC24" s="140">
        <f t="array" aca="1" ref="AC24" ca="1">INDEX(AB6:AG15,MATCH(AC20,AA6:AA15,1),IF(MATCH(AC17,AB5:AG5,1)&lt;AE19,MATCH(AC17,AB5:AG5,1)+1,MATCH(AC20,AA6:AA15,1)))</f>
        <v>2250</v>
      </c>
      <c r="AE24" s="42"/>
      <c r="AG24" s="2"/>
      <c r="AH24" s="2"/>
      <c r="AI24" s="2"/>
      <c r="AJ24" s="139"/>
      <c r="AK24" s="140"/>
      <c r="AM24" s="2"/>
      <c r="AN24" s="2"/>
      <c r="AO24" s="2"/>
      <c r="AP24" s="139"/>
      <c r="AQ24" s="140"/>
      <c r="AS24" s="42"/>
      <c r="AU24" s="2"/>
      <c r="AV24" s="2"/>
      <c r="AW24" s="2"/>
      <c r="AX24" s="139"/>
      <c r="AY24" s="140"/>
      <c r="BA24" s="42"/>
    </row>
    <row r="25" spans="1:53" ht="15" customHeight="1" x14ac:dyDescent="0.3">
      <c r="B25" s="139" t="s">
        <v>151</v>
      </c>
      <c r="C25" s="140">
        <f t="array" aca="1" ref="C25" ca="1">INDEX(B6:G15,IF(MATCH(C20,A6:A15,1)&lt;E18,MATCH(C20,A6:A15,1)+1,MATCH(C20,A6:A15,1)),MATCH(C17,B5:G5,1))</f>
        <v>2390</v>
      </c>
      <c r="E25" s="42"/>
      <c r="G25" s="2"/>
      <c r="H25" s="2"/>
      <c r="I25" s="2"/>
      <c r="J25" s="139"/>
      <c r="K25" s="140"/>
      <c r="M25" s="42"/>
      <c r="O25" s="139" t="s">
        <v>151</v>
      </c>
      <c r="P25" s="140">
        <f t="array" aca="1" ref="P25" ca="1">INDEX(O6:T15,IF(MATCH(P20,N6:N15,1)&lt;R18,MATCH(P20,N6:N15,1)+1,MATCH(P20,N6:N15,1)),MATCH(P17,O5:T5,1))</f>
        <v>2300</v>
      </c>
      <c r="R25" s="42"/>
      <c r="T25" s="2"/>
      <c r="U25" s="2"/>
      <c r="V25" s="2"/>
      <c r="W25" s="139"/>
      <c r="X25" s="140"/>
      <c r="Z25" s="139"/>
      <c r="AB25" s="139" t="s">
        <v>151</v>
      </c>
      <c r="AC25" s="140">
        <f t="array" aca="1" ref="AC25" ca="1">INDEX(AB6:AG15,IF(MATCH(AC20,AA6:AA15,1)&lt;AE18,MATCH(AC20,AA6:AA15,1)+1,MATCH(AC20,AA6:AA15,1)),MATCH(AC17,AB5:AG5,1))</f>
        <v>2250</v>
      </c>
      <c r="AE25" s="42"/>
      <c r="AG25" s="2"/>
      <c r="AH25" s="2"/>
      <c r="AI25" s="2"/>
      <c r="AJ25" s="139"/>
      <c r="AK25" s="140"/>
      <c r="AM25" s="2"/>
      <c r="AN25" s="2"/>
      <c r="AO25" s="2"/>
      <c r="AP25" s="139"/>
      <c r="AQ25" s="140"/>
      <c r="AS25" s="42"/>
      <c r="AU25" s="2"/>
      <c r="AV25" s="2"/>
      <c r="AW25" s="2"/>
      <c r="AX25" s="139"/>
      <c r="AY25" s="140"/>
      <c r="BA25" s="42"/>
    </row>
    <row r="26" spans="1:53" ht="15" customHeight="1" x14ac:dyDescent="0.3">
      <c r="B26" s="139" t="s">
        <v>205</v>
      </c>
      <c r="C26" s="140">
        <f t="array" aca="1" ref="C26" ca="1">INDEX(B6:G15,IF(MATCH(C20,A6:A15,1)&lt;E18,MATCH(C20,A6:A15,1)+1,MATCH(C20,A6:A15,1)),IF(MATCH(C17,B5:G5,1)&lt;E19,MATCH(C17,B5:G5,1)+1,MATCH(C17,B5:G5,1)))</f>
        <v>2550</v>
      </c>
      <c r="G26" s="2"/>
      <c r="H26" s="2"/>
      <c r="I26" s="2"/>
      <c r="J26" s="139"/>
      <c r="K26" s="140"/>
      <c r="O26" s="139" t="s">
        <v>205</v>
      </c>
      <c r="P26" s="140">
        <f t="array" aca="1" ref="P26" ca="1">INDEX(O6:T15,IF(MATCH(P20,N6:N15,1)&lt;R18,MATCH(P20,N6:N15,1)+1,MATCH(P20,N6:N15,1)),IF(MATCH(P17,O5:T5,1)&lt;R19,MATCH(P17,O5:T5,1)+1,MATCH(P17,O5:T5,1)))</f>
        <v>2450</v>
      </c>
      <c r="T26" s="2"/>
      <c r="U26" s="2"/>
      <c r="V26" s="2"/>
      <c r="W26" s="139"/>
      <c r="X26" s="140"/>
      <c r="Z26" s="139"/>
      <c r="AB26" s="139" t="s">
        <v>205</v>
      </c>
      <c r="AC26" s="140">
        <f t="array" aca="1" ref="AC26" ca="1">INDEX(AB6:AG15,IF(MATCH(AC20,AA6:AA15,1)&lt;AE18,MATCH(AC20,AA6:AA15,1)+1,MATCH(AC20,AA6:AA15,1)),IF(MATCH(AC17,AB5:AG5,1)&lt;AE19,MATCH(AC17,AB5:AG5,1)+1,MATCH(AC17,AB5:AG5,1)))</f>
        <v>2400</v>
      </c>
      <c r="AG26" s="2"/>
      <c r="AH26" s="2"/>
      <c r="AI26" s="2"/>
      <c r="AJ26" s="139"/>
      <c r="AK26" s="140"/>
      <c r="AM26" s="2"/>
      <c r="AN26" s="2"/>
      <c r="AO26" s="2"/>
      <c r="AP26" s="139"/>
      <c r="AQ26" s="140"/>
      <c r="AU26" s="2"/>
      <c r="AV26" s="2"/>
      <c r="AW26" s="2"/>
      <c r="AX26" s="139"/>
      <c r="AY26" s="140"/>
    </row>
    <row r="27" spans="1:53" ht="15" customHeight="1" x14ac:dyDescent="0.3">
      <c r="B27" s="16" t="s">
        <v>206</v>
      </c>
      <c r="C27" s="141">
        <f ca="1">IFERROR(C23+(C17-C18)*(C24-C23)/(C19-C18),C23)</f>
        <v>2365.5</v>
      </c>
      <c r="G27" s="2"/>
      <c r="H27" s="2"/>
      <c r="I27" s="2"/>
      <c r="J27" s="16"/>
      <c r="K27" s="141"/>
      <c r="O27" s="16" t="s">
        <v>206</v>
      </c>
      <c r="P27" s="141">
        <f ca="1">IFERROR(P23+(P17-P18)*(P24-P23)/(P19-P18),P23)</f>
        <v>2265.5</v>
      </c>
      <c r="T27" s="2"/>
      <c r="U27" s="2"/>
      <c r="V27" s="2"/>
      <c r="W27" s="16"/>
      <c r="X27" s="141"/>
      <c r="Z27" s="16"/>
      <c r="AB27" s="16" t="s">
        <v>206</v>
      </c>
      <c r="AC27" s="141">
        <f ca="1">IFERROR(AC23+(AC17-AC18)*(AC24-AC23)/(AC19-AC18),AC23)</f>
        <v>2222.4</v>
      </c>
      <c r="AG27" s="2"/>
      <c r="AH27" s="2"/>
      <c r="AI27" s="2"/>
      <c r="AJ27" s="16"/>
      <c r="AK27" s="141"/>
      <c r="AM27" s="2"/>
      <c r="AN27" s="2"/>
      <c r="AO27" s="2"/>
      <c r="AP27" s="16"/>
      <c r="AQ27" s="141"/>
      <c r="AU27" s="2"/>
      <c r="AV27" s="2"/>
      <c r="AW27" s="2"/>
      <c r="AX27" s="16"/>
      <c r="AY27" s="141"/>
    </row>
    <row r="28" spans="1:53" ht="15" customHeight="1" x14ac:dyDescent="0.3">
      <c r="B28" s="16" t="s">
        <v>207</v>
      </c>
      <c r="C28" s="141">
        <f ca="1">IFERROR(C25+(C17-C18)*(C26-C25)/(C19-C18),C25)</f>
        <v>2513.1999999999998</v>
      </c>
      <c r="G28" s="2"/>
      <c r="H28" s="2"/>
      <c r="I28" s="2"/>
      <c r="J28" s="16"/>
      <c r="K28" s="141"/>
      <c r="O28" s="16" t="s">
        <v>207</v>
      </c>
      <c r="P28" s="141">
        <f ca="1">IFERROR(P25+(P17-P18)*(P26-P25)/(P19-P18),P25)</f>
        <v>2415.5</v>
      </c>
      <c r="T28" s="2"/>
      <c r="U28" s="2"/>
      <c r="V28" s="2"/>
      <c r="W28" s="16"/>
      <c r="X28" s="141"/>
      <c r="Z28" s="16"/>
      <c r="AB28" s="16" t="s">
        <v>207</v>
      </c>
      <c r="AC28" s="141">
        <f ca="1">IFERROR(AC25+(AC17-AC18)*(AC26-AC25)/(AC19-AC18),AC25)</f>
        <v>2365.5</v>
      </c>
      <c r="AG28" s="2"/>
      <c r="AH28" s="2"/>
      <c r="AI28" s="2"/>
      <c r="AJ28" s="16"/>
      <c r="AK28" s="141"/>
      <c r="AM28" s="2"/>
      <c r="AN28" s="2"/>
      <c r="AO28" s="2"/>
      <c r="AP28" s="16"/>
      <c r="AQ28" s="141"/>
      <c r="AU28" s="2"/>
      <c r="AV28" s="2"/>
      <c r="AW28" s="2"/>
      <c r="AX28" s="16"/>
      <c r="AY28" s="141"/>
    </row>
    <row r="29" spans="1:53" ht="15" customHeight="1" x14ac:dyDescent="0.3">
      <c r="B29" s="139" t="s">
        <v>208</v>
      </c>
      <c r="C29" s="140">
        <f ca="1">IFERROR(C27+(C20-C21)*(C28-C27)/(C22-C21),C27)</f>
        <v>2439.35</v>
      </c>
      <c r="G29" s="2"/>
      <c r="H29" s="2"/>
      <c r="I29" s="2"/>
      <c r="J29" s="139"/>
      <c r="K29" s="140"/>
      <c r="O29" s="139" t="s">
        <v>208</v>
      </c>
      <c r="P29" s="140">
        <f ca="1">IFERROR(P27+(P20-P21)*(P28-P27)/(P22-P21),P27)</f>
        <v>2340.5</v>
      </c>
      <c r="T29" s="2"/>
      <c r="U29" s="2"/>
      <c r="V29" s="2"/>
      <c r="W29" s="139"/>
      <c r="X29" s="140"/>
      <c r="Z29" s="139"/>
      <c r="AB29" s="139" t="s">
        <v>208</v>
      </c>
      <c r="AC29" s="140">
        <f ca="1">IFERROR(AC27+(AC20-AC21)*(AC28-AC27)/(AC22-AC21),AC27)</f>
        <v>2293.9499999999998</v>
      </c>
      <c r="AG29" s="2"/>
      <c r="AH29" s="2"/>
      <c r="AI29" s="2"/>
      <c r="AJ29" s="139"/>
      <c r="AK29" s="140"/>
      <c r="AM29" s="2"/>
      <c r="AN29" s="2"/>
      <c r="AO29" s="2"/>
      <c r="AP29" s="139"/>
      <c r="AQ29" s="140"/>
      <c r="AU29" s="2"/>
      <c r="AV29" s="2"/>
      <c r="AW29" s="2"/>
      <c r="AX29" s="139"/>
      <c r="AY29" s="140"/>
    </row>
    <row r="30" spans="1:53" ht="15.75" customHeight="1" x14ac:dyDescent="0.3"/>
    <row r="31" spans="1:53" ht="15" customHeight="1" x14ac:dyDescent="0.3">
      <c r="B31" s="355" t="s">
        <v>209</v>
      </c>
      <c r="C31" s="355"/>
      <c r="D31" s="355"/>
      <c r="E31" s="355"/>
      <c r="F31" s="355"/>
      <c r="G31" s="355"/>
      <c r="H31" s="72"/>
      <c r="I31" s="72"/>
      <c r="J31" s="72"/>
      <c r="K31" s="72"/>
      <c r="L31" s="72"/>
      <c r="M31" s="72"/>
      <c r="O31" s="355" t="s">
        <v>209</v>
      </c>
      <c r="P31" s="355"/>
      <c r="Q31" s="355"/>
      <c r="R31" s="355"/>
      <c r="S31" s="355"/>
      <c r="T31" s="355"/>
      <c r="U31" s="72"/>
      <c r="V31" s="72"/>
      <c r="W31" s="72"/>
      <c r="X31" s="72"/>
      <c r="Y31" s="72"/>
      <c r="AB31" s="355" t="s">
        <v>209</v>
      </c>
      <c r="AC31" s="355"/>
      <c r="AD31" s="355"/>
      <c r="AE31" s="355"/>
      <c r="AF31" s="355"/>
      <c r="AG31" s="355"/>
      <c r="AH31" s="72"/>
      <c r="AI31" s="72"/>
      <c r="AJ31" s="72"/>
      <c r="AK31" s="72"/>
      <c r="AL31" s="72"/>
    </row>
    <row r="32" spans="1:53" ht="15" customHeight="1" x14ac:dyDescent="0.3">
      <c r="A32" t="s">
        <v>35</v>
      </c>
      <c r="B32" s="263">
        <v>1950</v>
      </c>
      <c r="C32" s="269">
        <v>2500</v>
      </c>
      <c r="D32" s="270">
        <v>3000</v>
      </c>
      <c r="E32" s="270">
        <v>3500</v>
      </c>
      <c r="F32" s="270">
        <v>4000</v>
      </c>
      <c r="G32" s="231">
        <v>4500</v>
      </c>
      <c r="N32" t="s">
        <v>35</v>
      </c>
      <c r="O32" s="263">
        <v>1900</v>
      </c>
      <c r="P32" s="269">
        <v>2350</v>
      </c>
      <c r="Q32" s="270">
        <v>2850</v>
      </c>
      <c r="R32" s="270">
        <v>3350</v>
      </c>
      <c r="S32" s="231">
        <v>4500</v>
      </c>
      <c r="AA32" t="s">
        <v>35</v>
      </c>
      <c r="AB32" s="263">
        <v>1850</v>
      </c>
      <c r="AC32" s="269">
        <v>2200</v>
      </c>
      <c r="AD32" s="270">
        <v>2600</v>
      </c>
      <c r="AE32" s="270">
        <v>3150</v>
      </c>
      <c r="AF32" s="231">
        <v>4500</v>
      </c>
    </row>
    <row r="33" spans="1:38" ht="15" customHeight="1" x14ac:dyDescent="0.3">
      <c r="A33">
        <v>10000</v>
      </c>
      <c r="B33" s="229">
        <v>1000</v>
      </c>
      <c r="C33" s="230">
        <v>1280</v>
      </c>
      <c r="D33" s="55">
        <v>1550</v>
      </c>
      <c r="E33" s="55">
        <v>1800</v>
      </c>
      <c r="F33" s="55">
        <v>2050</v>
      </c>
      <c r="G33" s="231">
        <v>99999</v>
      </c>
      <c r="N33">
        <v>10000</v>
      </c>
      <c r="O33" s="229">
        <v>1000</v>
      </c>
      <c r="P33" s="230">
        <v>1200</v>
      </c>
      <c r="Q33" s="55">
        <v>1450</v>
      </c>
      <c r="R33" s="55">
        <v>1650</v>
      </c>
      <c r="S33" s="231">
        <v>99999</v>
      </c>
      <c r="AA33">
        <v>10000</v>
      </c>
      <c r="AB33" s="229">
        <v>1000</v>
      </c>
      <c r="AC33" s="230">
        <v>1100</v>
      </c>
      <c r="AD33" s="55">
        <v>1250</v>
      </c>
      <c r="AE33" s="55">
        <v>1500</v>
      </c>
      <c r="AF33" s="231">
        <v>99999</v>
      </c>
    </row>
    <row r="34" spans="1:38" ht="15" customHeight="1" x14ac:dyDescent="0.3">
      <c r="A34">
        <v>11000</v>
      </c>
      <c r="B34" s="233">
        <v>1100</v>
      </c>
      <c r="C34" s="203">
        <v>1400</v>
      </c>
      <c r="D34">
        <v>1700</v>
      </c>
      <c r="E34">
        <v>2000</v>
      </c>
      <c r="F34">
        <v>2275</v>
      </c>
      <c r="G34" s="22">
        <v>99999</v>
      </c>
      <c r="N34">
        <v>11000</v>
      </c>
      <c r="O34" s="233">
        <v>1100</v>
      </c>
      <c r="P34" s="203">
        <v>1300</v>
      </c>
      <c r="Q34">
        <v>1574</v>
      </c>
      <c r="R34">
        <v>1850</v>
      </c>
      <c r="S34" s="22">
        <v>99999</v>
      </c>
      <c r="AA34">
        <v>11000</v>
      </c>
      <c r="AB34" s="233">
        <v>1000</v>
      </c>
      <c r="AC34" s="203">
        <v>1200</v>
      </c>
      <c r="AD34">
        <v>1400</v>
      </c>
      <c r="AE34">
        <v>1675</v>
      </c>
      <c r="AF34" s="22">
        <v>99999</v>
      </c>
    </row>
    <row r="35" spans="1:38" ht="15" customHeight="1" x14ac:dyDescent="0.3">
      <c r="A35">
        <v>12000</v>
      </c>
      <c r="B35" s="233">
        <v>1200</v>
      </c>
      <c r="C35" s="203">
        <v>1550</v>
      </c>
      <c r="D35">
        <v>1850</v>
      </c>
      <c r="E35">
        <v>2200</v>
      </c>
      <c r="F35">
        <v>2490</v>
      </c>
      <c r="G35" s="22">
        <v>99999</v>
      </c>
      <c r="N35">
        <v>12000</v>
      </c>
      <c r="O35" s="233">
        <v>1170</v>
      </c>
      <c r="P35" s="203">
        <v>1425</v>
      </c>
      <c r="Q35">
        <v>1750</v>
      </c>
      <c r="R35">
        <v>2000</v>
      </c>
      <c r="S35" s="22">
        <v>99999</v>
      </c>
      <c r="AA35">
        <v>12000</v>
      </c>
      <c r="AB35" s="233">
        <v>1100</v>
      </c>
      <c r="AC35" s="203">
        <v>1310</v>
      </c>
      <c r="AD35">
        <v>1550</v>
      </c>
      <c r="AE35">
        <v>1850</v>
      </c>
      <c r="AF35" s="22">
        <v>99999</v>
      </c>
    </row>
    <row r="36" spans="1:38" ht="15" customHeight="1" x14ac:dyDescent="0.3">
      <c r="A36">
        <v>13000</v>
      </c>
      <c r="B36" s="233">
        <v>1300</v>
      </c>
      <c r="C36" s="203">
        <v>1700</v>
      </c>
      <c r="D36">
        <v>2050</v>
      </c>
      <c r="E36">
        <v>2400</v>
      </c>
      <c r="F36">
        <v>2700</v>
      </c>
      <c r="G36" s="22">
        <v>99999</v>
      </c>
      <c r="N36">
        <v>13000</v>
      </c>
      <c r="O36" s="233">
        <v>1250</v>
      </c>
      <c r="P36" s="203">
        <v>1550</v>
      </c>
      <c r="Q36">
        <v>1875</v>
      </c>
      <c r="R36">
        <v>2200</v>
      </c>
      <c r="S36" s="22">
        <v>99999</v>
      </c>
      <c r="AA36">
        <v>13000</v>
      </c>
      <c r="AB36" s="233">
        <v>1200</v>
      </c>
      <c r="AC36" s="203">
        <v>1420</v>
      </c>
      <c r="AD36">
        <v>1700</v>
      </c>
      <c r="AE36">
        <v>2000</v>
      </c>
      <c r="AF36" s="22">
        <v>99999</v>
      </c>
    </row>
    <row r="37" spans="1:38" ht="15" customHeight="1" x14ac:dyDescent="0.3">
      <c r="A37">
        <v>14000</v>
      </c>
      <c r="B37" s="233">
        <v>1450</v>
      </c>
      <c r="C37" s="203">
        <v>1850</v>
      </c>
      <c r="D37">
        <v>2200</v>
      </c>
      <c r="E37">
        <v>2600</v>
      </c>
      <c r="F37">
        <v>2950</v>
      </c>
      <c r="G37" s="22">
        <v>99999</v>
      </c>
      <c r="N37">
        <v>14000</v>
      </c>
      <c r="O37" s="233">
        <v>1350</v>
      </c>
      <c r="P37" s="203">
        <v>1650</v>
      </c>
      <c r="Q37">
        <v>2010</v>
      </c>
      <c r="R37">
        <v>2400</v>
      </c>
      <c r="S37" s="22">
        <v>99999</v>
      </c>
      <c r="AA37">
        <v>14000</v>
      </c>
      <c r="AB37" s="233">
        <v>1275</v>
      </c>
      <c r="AC37" s="203">
        <v>1530</v>
      </c>
      <c r="AD37">
        <v>1830</v>
      </c>
      <c r="AE37">
        <v>2150</v>
      </c>
      <c r="AF37" s="22">
        <v>99999</v>
      </c>
    </row>
    <row r="38" spans="1:38" ht="15" customHeight="1" x14ac:dyDescent="0.3">
      <c r="A38">
        <v>15000</v>
      </c>
      <c r="B38" s="233">
        <v>1600</v>
      </c>
      <c r="C38" s="203">
        <v>2050</v>
      </c>
      <c r="D38">
        <v>2450</v>
      </c>
      <c r="E38">
        <v>2850</v>
      </c>
      <c r="F38">
        <v>3250</v>
      </c>
      <c r="G38" s="22">
        <v>99999</v>
      </c>
      <c r="N38">
        <v>15000</v>
      </c>
      <c r="O38" s="233">
        <v>1550</v>
      </c>
      <c r="P38" s="203">
        <v>1950</v>
      </c>
      <c r="Q38">
        <v>2350</v>
      </c>
      <c r="R38">
        <v>2730</v>
      </c>
      <c r="S38" s="22">
        <v>99999</v>
      </c>
      <c r="AA38">
        <v>15000</v>
      </c>
      <c r="AB38" s="233">
        <v>1475</v>
      </c>
      <c r="AC38" s="203">
        <v>1750</v>
      </c>
      <c r="AD38">
        <v>2100</v>
      </c>
      <c r="AE38">
        <v>2500</v>
      </c>
      <c r="AF38" s="22">
        <v>99999</v>
      </c>
    </row>
    <row r="39" spans="1:38" ht="15" customHeight="1" x14ac:dyDescent="0.3">
      <c r="A39">
        <v>16000</v>
      </c>
      <c r="B39" s="233">
        <v>1800</v>
      </c>
      <c r="C39" s="203">
        <v>2350</v>
      </c>
      <c r="D39">
        <v>2800</v>
      </c>
      <c r="E39">
        <v>3200</v>
      </c>
      <c r="F39">
        <v>3650</v>
      </c>
      <c r="G39" s="22">
        <v>99999</v>
      </c>
      <c r="N39">
        <v>16000</v>
      </c>
      <c r="O39" s="233">
        <v>1750</v>
      </c>
      <c r="P39" s="203">
        <v>2200</v>
      </c>
      <c r="Q39">
        <v>2700</v>
      </c>
      <c r="R39">
        <v>3120</v>
      </c>
      <c r="S39" s="22">
        <v>99999</v>
      </c>
      <c r="AA39">
        <v>16000</v>
      </c>
      <c r="AB39" s="233">
        <v>1700</v>
      </c>
      <c r="AC39" s="203">
        <v>2025</v>
      </c>
      <c r="AD39">
        <v>2400</v>
      </c>
      <c r="AE39">
        <v>2900</v>
      </c>
      <c r="AF39" s="22">
        <v>99999</v>
      </c>
    </row>
    <row r="40" spans="1:38" ht="15" customHeight="1" x14ac:dyDescent="0.3">
      <c r="A40">
        <v>16600</v>
      </c>
      <c r="B40" s="234">
        <v>1950</v>
      </c>
      <c r="C40" s="235">
        <v>2500</v>
      </c>
      <c r="D40" s="68">
        <v>3000</v>
      </c>
      <c r="E40" s="68">
        <v>3500</v>
      </c>
      <c r="F40" s="68">
        <v>4000</v>
      </c>
      <c r="G40" s="22">
        <v>99999</v>
      </c>
      <c r="N40">
        <v>16600</v>
      </c>
      <c r="O40" s="234">
        <v>1900</v>
      </c>
      <c r="P40" s="235">
        <v>2350</v>
      </c>
      <c r="Q40" s="68">
        <v>2850</v>
      </c>
      <c r="R40" s="68">
        <v>3350</v>
      </c>
      <c r="S40" s="22">
        <v>99999</v>
      </c>
      <c r="AA40">
        <v>16600</v>
      </c>
      <c r="AB40" s="234">
        <v>1850</v>
      </c>
      <c r="AC40" s="235">
        <v>2200</v>
      </c>
      <c r="AD40" s="68">
        <v>2600</v>
      </c>
      <c r="AE40" s="68">
        <v>3150</v>
      </c>
      <c r="AF40" s="22">
        <v>99999</v>
      </c>
    </row>
    <row r="41" spans="1:38" ht="15" customHeight="1" x14ac:dyDescent="0.3">
      <c r="A41">
        <v>16700</v>
      </c>
      <c r="B41" s="234">
        <v>99999</v>
      </c>
      <c r="C41" s="235">
        <v>99999</v>
      </c>
      <c r="D41" s="235">
        <v>99999</v>
      </c>
      <c r="E41" s="235">
        <v>99999</v>
      </c>
      <c r="F41" s="235">
        <v>99999</v>
      </c>
      <c r="G41" s="292">
        <v>99999</v>
      </c>
      <c r="H41" s="203"/>
      <c r="I41" s="203"/>
      <c r="J41" s="203"/>
      <c r="K41" s="203"/>
      <c r="L41" s="203"/>
      <c r="M41" s="12"/>
      <c r="N41">
        <v>16700</v>
      </c>
      <c r="O41" s="234">
        <v>99999</v>
      </c>
      <c r="P41" s="235">
        <v>99999</v>
      </c>
      <c r="Q41" s="235">
        <v>99999</v>
      </c>
      <c r="R41" s="235">
        <v>99999</v>
      </c>
      <c r="S41" s="292">
        <v>99999</v>
      </c>
      <c r="T41" s="203"/>
      <c r="U41" s="203"/>
      <c r="V41" s="203"/>
      <c r="W41" s="203"/>
      <c r="X41" s="203"/>
      <c r="AA41">
        <v>16700</v>
      </c>
      <c r="AB41" s="234">
        <v>99999</v>
      </c>
      <c r="AC41" s="235">
        <v>99999</v>
      </c>
      <c r="AD41" s="235">
        <v>99999</v>
      </c>
      <c r="AE41" s="235">
        <v>99999</v>
      </c>
      <c r="AF41" s="292">
        <v>99999</v>
      </c>
      <c r="AG41" s="203"/>
      <c r="AH41" s="203"/>
      <c r="AI41" s="203"/>
      <c r="AJ41" s="203"/>
      <c r="AK41" s="203"/>
    </row>
    <row r="42" spans="1:38" ht="15" customHeight="1" x14ac:dyDescent="0.3">
      <c r="B42" s="139"/>
      <c r="C42" s="140"/>
      <c r="G42" s="2"/>
      <c r="H42" s="2"/>
      <c r="I42" s="2"/>
      <c r="J42" s="139"/>
      <c r="K42" s="140"/>
      <c r="O42" s="139"/>
      <c r="P42" s="140"/>
      <c r="T42" s="2"/>
      <c r="U42" s="2"/>
      <c r="V42" s="2"/>
      <c r="W42" s="139"/>
      <c r="X42" s="140"/>
      <c r="AB42" s="139"/>
      <c r="AC42" s="140"/>
      <c r="AG42" s="2"/>
      <c r="AH42" s="2"/>
      <c r="AI42" s="2"/>
      <c r="AJ42" s="139"/>
      <c r="AK42" s="140"/>
    </row>
    <row r="43" spans="1:38" ht="15" customHeight="1" x14ac:dyDescent="0.3">
      <c r="B43" s="139" t="s">
        <v>146</v>
      </c>
      <c r="C43" s="140">
        <f ca="1">C29</f>
        <v>2439.35</v>
      </c>
      <c r="D43" s="355" t="s">
        <v>201</v>
      </c>
      <c r="E43" s="355"/>
      <c r="G43" s="2"/>
      <c r="H43" s="2"/>
      <c r="I43" s="2"/>
      <c r="J43" s="139"/>
      <c r="K43" s="140"/>
      <c r="L43" s="72"/>
      <c r="O43" s="139" t="s">
        <v>146</v>
      </c>
      <c r="P43" s="140">
        <f ca="1">P29</f>
        <v>2340.5</v>
      </c>
      <c r="Q43" s="355" t="s">
        <v>201</v>
      </c>
      <c r="R43" s="355"/>
      <c r="T43" s="2"/>
      <c r="U43" s="2"/>
      <c r="V43" s="2"/>
      <c r="W43" s="139"/>
      <c r="X43" s="140"/>
      <c r="Y43" s="72"/>
      <c r="AB43" s="139" t="s">
        <v>146</v>
      </c>
      <c r="AC43" s="140">
        <f ca="1">AC29</f>
        <v>2293.9499999999998</v>
      </c>
      <c r="AD43" s="355" t="s">
        <v>201</v>
      </c>
      <c r="AE43" s="355"/>
      <c r="AG43" s="2"/>
      <c r="AH43" s="2"/>
      <c r="AI43" s="2"/>
      <c r="AJ43" s="139"/>
      <c r="AK43" s="140"/>
      <c r="AL43" s="72"/>
    </row>
    <row r="44" spans="1:38" ht="15" customHeight="1" x14ac:dyDescent="0.3">
      <c r="B44" s="16" t="s">
        <v>202</v>
      </c>
      <c r="C44" s="141">
        <f t="array" aca="1" ref="C44" ca="1">INDEX(B32:G32,MATCH(C43,B32:G32,1))</f>
        <v>1950</v>
      </c>
      <c r="D44" s="16" t="s">
        <v>144</v>
      </c>
      <c r="E44" s="17">
        <f>MATCH(MAX(A33:A41),A33:A41,1)</f>
        <v>9</v>
      </c>
      <c r="G44" s="2"/>
      <c r="H44" s="2"/>
      <c r="I44" s="2"/>
      <c r="J44" s="16"/>
      <c r="K44" s="141"/>
      <c r="L44" s="16"/>
      <c r="M44" s="17"/>
      <c r="O44" s="16" t="s">
        <v>202</v>
      </c>
      <c r="P44" s="141">
        <f t="array" aca="1" ref="P44" ca="1">INDEX(O32:S32,MATCH(P43,O32:S32,1))</f>
        <v>1900</v>
      </c>
      <c r="Q44" s="16" t="s">
        <v>144</v>
      </c>
      <c r="R44" s="17">
        <f>MATCH(MAX(N33:N41),N33:N41,1)</f>
        <v>9</v>
      </c>
      <c r="T44" s="2"/>
      <c r="U44" s="2"/>
      <c r="V44" s="2"/>
      <c r="W44" s="16"/>
      <c r="X44" s="141"/>
      <c r="Y44" s="16"/>
      <c r="AB44" s="16" t="s">
        <v>202</v>
      </c>
      <c r="AC44" s="141">
        <f t="array" aca="1" ref="AC44" ca="1">INDEX(AB32:AF32,MATCH(AC43,AB32:AF32,1))</f>
        <v>2200</v>
      </c>
      <c r="AD44" s="16" t="s">
        <v>144</v>
      </c>
      <c r="AE44" s="17">
        <f>MATCH(MAX(AA33:AA41),AA33:AA41,1)</f>
        <v>9</v>
      </c>
      <c r="AG44" s="2"/>
      <c r="AH44" s="2"/>
      <c r="AI44" s="2"/>
      <c r="AJ44" s="16"/>
      <c r="AK44" s="141"/>
      <c r="AL44" s="16"/>
    </row>
    <row r="45" spans="1:38" ht="15" customHeight="1" x14ac:dyDescent="0.3">
      <c r="B45" s="16" t="s">
        <v>203</v>
      </c>
      <c r="C45" s="141">
        <f t="array" aca="1" ref="C45" ca="1">INDEX(B32:G32,IF(MATCH(C43,B32:G32,1)&lt;E45,MATCH(C43,B32:G32,1)+1,MATCH(C43,B32:G32,1)))</f>
        <v>2500</v>
      </c>
      <c r="D45" s="16" t="s">
        <v>145</v>
      </c>
      <c r="E45" s="17">
        <f>MATCH(MAX(B32:G32),B32:G32,0)</f>
        <v>6</v>
      </c>
      <c r="G45" s="2"/>
      <c r="H45" s="2"/>
      <c r="I45" s="2"/>
      <c r="J45" s="16"/>
      <c r="K45" s="141"/>
      <c r="L45" s="16"/>
      <c r="M45" s="17"/>
      <c r="O45" s="16" t="s">
        <v>203</v>
      </c>
      <c r="P45" s="141">
        <f t="array" aca="1" ref="P45" ca="1">INDEX(O32:S32,IF(MATCH(P43,O32:S32,1)&lt;R45,MATCH(P43,O32:S32,1)+1,MATCH(P43,O32:S32,1)))</f>
        <v>2350</v>
      </c>
      <c r="Q45" s="16" t="s">
        <v>145</v>
      </c>
      <c r="R45" s="17">
        <f>MATCH(MAX(O32:S32),O32:S32,0)</f>
        <v>5</v>
      </c>
      <c r="T45" s="2"/>
      <c r="U45" s="2"/>
      <c r="V45" s="2"/>
      <c r="W45" s="16"/>
      <c r="X45" s="141"/>
      <c r="Y45" s="16"/>
      <c r="AB45" s="16" t="s">
        <v>203</v>
      </c>
      <c r="AC45" s="141">
        <f t="array" aca="1" ref="AC45" ca="1">INDEX(AB32:AF32,IF(MATCH(AC43,AB32:AF32,1)&lt;AE45,MATCH(AC43,AB32:AF32,1)+1,MATCH(AC43,AB32:AF32,1)))</f>
        <v>2600</v>
      </c>
      <c r="AD45" s="16" t="s">
        <v>145</v>
      </c>
      <c r="AE45" s="17">
        <f>MATCH(MAX(AB32:AF32),AB32:AF32,0)</f>
        <v>5</v>
      </c>
      <c r="AG45" s="2"/>
      <c r="AH45" s="2"/>
      <c r="AI45" s="2"/>
      <c r="AJ45" s="16"/>
      <c r="AK45" s="141"/>
      <c r="AL45" s="16"/>
    </row>
    <row r="46" spans="1:38" ht="15" customHeight="1" x14ac:dyDescent="0.3">
      <c r="B46" s="139" t="s">
        <v>147</v>
      </c>
      <c r="C46" s="186">
        <f>'Take-off'!$C$14</f>
        <v>15800</v>
      </c>
      <c r="D46" s="2"/>
      <c r="E46" s="2"/>
      <c r="G46" s="2"/>
      <c r="H46" s="2"/>
      <c r="I46" s="2"/>
      <c r="J46" s="139"/>
      <c r="K46" s="186"/>
      <c r="L46" s="2"/>
      <c r="M46" s="2"/>
      <c r="O46" s="139" t="s">
        <v>147</v>
      </c>
      <c r="P46" s="186">
        <f>'Take-off'!$C$14</f>
        <v>15800</v>
      </c>
      <c r="Q46" s="2"/>
      <c r="R46" s="2"/>
      <c r="T46" s="2"/>
      <c r="U46" s="2"/>
      <c r="V46" s="2"/>
      <c r="W46" s="139"/>
      <c r="X46" s="186"/>
      <c r="Y46" s="2"/>
      <c r="AB46" s="139" t="s">
        <v>147</v>
      </c>
      <c r="AC46" s="186">
        <f>'Take-off'!$C$14</f>
        <v>15800</v>
      </c>
      <c r="AD46" s="2"/>
      <c r="AE46" s="2"/>
      <c r="AG46" s="2"/>
      <c r="AH46" s="2"/>
      <c r="AI46" s="2"/>
      <c r="AJ46" s="139"/>
      <c r="AK46" s="186"/>
      <c r="AL46" s="2"/>
    </row>
    <row r="47" spans="1:38" ht="15" customHeight="1" x14ac:dyDescent="0.3">
      <c r="B47" s="16" t="s">
        <v>148</v>
      </c>
      <c r="C47" s="141">
        <f t="array" ref="C47">INDEX(A33:A41,MATCH(C46,A33:A41,1))</f>
        <v>15000</v>
      </c>
      <c r="D47" s="2"/>
      <c r="E47" s="42"/>
      <c r="G47" s="2"/>
      <c r="H47" s="2"/>
      <c r="I47" s="2"/>
      <c r="J47" s="16"/>
      <c r="K47" s="141"/>
      <c r="L47" s="2"/>
      <c r="M47" s="42"/>
      <c r="O47" s="16" t="s">
        <v>148</v>
      </c>
      <c r="P47" s="141">
        <f t="array" ref="P47">INDEX(N33:N41,MATCH(P46,N33:N41,1))</f>
        <v>15000</v>
      </c>
      <c r="Q47" s="2"/>
      <c r="R47" s="42"/>
      <c r="T47" s="2"/>
      <c r="U47" s="2"/>
      <c r="V47" s="2"/>
      <c r="W47" s="16"/>
      <c r="X47" s="141"/>
      <c r="Y47" s="2"/>
      <c r="AB47" s="16" t="s">
        <v>148</v>
      </c>
      <c r="AC47" s="141">
        <f t="array" ref="AC47">INDEX(AA33:AA41,MATCH(AC46,AA33:AA41,1))</f>
        <v>15000</v>
      </c>
      <c r="AD47" s="2"/>
      <c r="AE47" s="42"/>
      <c r="AG47" s="2"/>
      <c r="AH47" s="2"/>
      <c r="AI47" s="2"/>
      <c r="AJ47" s="16"/>
      <c r="AK47" s="141"/>
      <c r="AL47" s="2"/>
    </row>
    <row r="48" spans="1:38" ht="15" customHeight="1" x14ac:dyDescent="0.3">
      <c r="B48" s="16" t="s">
        <v>149</v>
      </c>
      <c r="C48" s="141">
        <f t="array" ref="C48">INDEX(A33:A41,IF(MATCH(C46,A33:A41,1)&lt;E44,MATCH(C46,A33:A41,1)+1,MATCH(C46,A33:A41,1)))</f>
        <v>16000</v>
      </c>
      <c r="D48" s="2"/>
      <c r="E48" s="42"/>
      <c r="G48" s="2"/>
      <c r="H48" s="2"/>
      <c r="I48" s="2"/>
      <c r="J48" s="16"/>
      <c r="K48" s="141"/>
      <c r="L48" s="2"/>
      <c r="M48" s="42"/>
      <c r="O48" s="16" t="s">
        <v>149</v>
      </c>
      <c r="P48" s="141">
        <f t="array" ref="P48">INDEX(N33:N41,IF(MATCH(P46,N33:N41,1)&lt;R44,MATCH(P46,N33:N41,1)+1,MATCH(P46,N33:N41,1)))</f>
        <v>16000</v>
      </c>
      <c r="Q48" s="2"/>
      <c r="R48" s="42"/>
      <c r="T48" s="2"/>
      <c r="U48" s="2"/>
      <c r="V48" s="2"/>
      <c r="W48" s="16"/>
      <c r="X48" s="141"/>
      <c r="Y48" s="2"/>
      <c r="AB48" s="16" t="s">
        <v>149</v>
      </c>
      <c r="AC48" s="141">
        <f t="array" ref="AC48">INDEX(AA33:AA41,IF(MATCH(AC46,AA33:AA41,1)&lt;AE44,MATCH(AC46,AA33:AA41,1)+1,MATCH(AC46,AA33:AA41,1)))</f>
        <v>16000</v>
      </c>
      <c r="AD48" s="2"/>
      <c r="AE48" s="42"/>
      <c r="AG48" s="2"/>
      <c r="AH48" s="2"/>
      <c r="AI48" s="2"/>
      <c r="AJ48" s="16"/>
      <c r="AK48" s="141"/>
      <c r="AL48" s="2"/>
    </row>
    <row r="49" spans="1:38" ht="15" customHeight="1" x14ac:dyDescent="0.3">
      <c r="B49" s="139" t="s">
        <v>150</v>
      </c>
      <c r="C49" s="140">
        <f t="array" aca="1" ref="C49" ca="1">INDEX(B33:G41,MATCH(C46,A33:A41,1),MATCH(C43,B32:G32,1))</f>
        <v>1600</v>
      </c>
      <c r="D49" s="2"/>
      <c r="E49" s="42"/>
      <c r="G49" s="2"/>
      <c r="H49" s="2"/>
      <c r="I49" s="2"/>
      <c r="J49" s="139"/>
      <c r="K49" s="140"/>
      <c r="L49" s="2"/>
      <c r="M49" s="42"/>
      <c r="O49" s="139" t="s">
        <v>150</v>
      </c>
      <c r="P49" s="140">
        <f t="array" aca="1" ref="P49" ca="1">INDEX(O33:S41,MATCH(P46,N33:N41,1),MATCH(P43,O32:S32,1))</f>
        <v>1550</v>
      </c>
      <c r="Q49" s="2"/>
      <c r="R49" s="42"/>
      <c r="T49" s="2"/>
      <c r="U49" s="2"/>
      <c r="V49" s="2"/>
      <c r="W49" s="139"/>
      <c r="X49" s="140"/>
      <c r="Y49" s="2"/>
      <c r="AB49" s="139" t="s">
        <v>150</v>
      </c>
      <c r="AC49" s="140">
        <f t="array" aca="1" ref="AC49" ca="1">INDEX(AB33:AF41,MATCH(AC46,AA33:AA41,1),MATCH(AC43,AB32:AF32,1))</f>
        <v>1750</v>
      </c>
      <c r="AD49" s="2"/>
      <c r="AE49" s="42"/>
      <c r="AG49" s="2"/>
      <c r="AH49" s="2"/>
      <c r="AI49" s="2"/>
      <c r="AJ49" s="139"/>
      <c r="AK49" s="140"/>
      <c r="AL49" s="2"/>
    </row>
    <row r="50" spans="1:38" ht="15" customHeight="1" x14ac:dyDescent="0.3">
      <c r="B50" s="139" t="s">
        <v>204</v>
      </c>
      <c r="C50" s="140">
        <f t="array" aca="1" ref="C50" ca="1">INDEX(B33:G41,MATCH(C46,A33:A41,1),IF(MATCH(C43,B32:G32,1)&lt;E45,MATCH(C43,B32:G32,1)+1,MATCH(C46,A33:A41,1)))</f>
        <v>2050</v>
      </c>
      <c r="E50" s="42"/>
      <c r="G50" s="2"/>
      <c r="H50" s="2"/>
      <c r="I50" s="2"/>
      <c r="J50" s="139"/>
      <c r="K50" s="140"/>
      <c r="M50" s="42"/>
      <c r="O50" s="139" t="s">
        <v>204</v>
      </c>
      <c r="P50" s="140">
        <f t="array" aca="1" ref="P50" ca="1">INDEX(O33:S41,MATCH(P46,N33:N41,1),IF(MATCH(P43,O32:S32,1)&lt;R45,MATCH(P43,O32:S32,1)+1,MATCH(P46,N33:N41,1)))</f>
        <v>1950</v>
      </c>
      <c r="R50" s="42"/>
      <c r="T50" s="2"/>
      <c r="U50" s="2"/>
      <c r="V50" s="2"/>
      <c r="W50" s="139"/>
      <c r="X50" s="140"/>
      <c r="AB50" s="139" t="s">
        <v>204</v>
      </c>
      <c r="AC50" s="140">
        <f t="array" aca="1" ref="AC50" ca="1">INDEX(AB33:AF41,MATCH(AC46,AA33:AA41,1),IF(MATCH(AC43,AB32:AF32,1)&lt;AE45,MATCH(AC43,AB32:AF32,1)+1,MATCH(AC46,AA33:AA41,1)))</f>
        <v>2100</v>
      </c>
      <c r="AE50" s="42"/>
      <c r="AG50" s="2"/>
      <c r="AH50" s="2"/>
      <c r="AI50" s="2"/>
      <c r="AJ50" s="139"/>
      <c r="AK50" s="140"/>
    </row>
    <row r="51" spans="1:38" ht="15" customHeight="1" x14ac:dyDescent="0.3">
      <c r="B51" s="139" t="s">
        <v>151</v>
      </c>
      <c r="C51" s="140">
        <f t="array" aca="1" ref="C51" ca="1">INDEX(B33:G41,IF(MATCH(C46,A33:A41,1)&lt;E44,MATCH(C46,A33:A41,1)+1,MATCH(C46,A33:A41,1)),MATCH(C43,B32:G32,1))</f>
        <v>1800</v>
      </c>
      <c r="E51" s="42"/>
      <c r="G51" s="2"/>
      <c r="H51" s="2"/>
      <c r="I51" s="2"/>
      <c r="J51" s="139"/>
      <c r="K51" s="140"/>
      <c r="M51" s="42"/>
      <c r="O51" s="139" t="s">
        <v>151</v>
      </c>
      <c r="P51" s="140">
        <f t="array" aca="1" ref="P51" ca="1">INDEX(O33:S41,IF(MATCH(P46,N33:N41,1)&lt;R44,MATCH(P46,N33:N41,1)+1,MATCH(P46,N33:N41,1)),MATCH(P43,O32:S32,1))</f>
        <v>1750</v>
      </c>
      <c r="R51" s="42"/>
      <c r="T51" s="2"/>
      <c r="U51" s="2"/>
      <c r="V51" s="2"/>
      <c r="W51" s="139"/>
      <c r="X51" s="140"/>
      <c r="AB51" s="139" t="s">
        <v>151</v>
      </c>
      <c r="AC51" s="140">
        <f t="array" aca="1" ref="AC51" ca="1">INDEX(AB33:AF41,IF(MATCH(AC46,AA33:AA41,1)&lt;AE44,MATCH(AC46,AA33:AA41,1)+1,MATCH(AC46,AA33:AA41,1)),MATCH(AC43,AB32:AF32,1))</f>
        <v>2025</v>
      </c>
      <c r="AE51" s="42"/>
      <c r="AG51" s="2"/>
      <c r="AH51" s="2"/>
      <c r="AI51" s="2"/>
      <c r="AJ51" s="139"/>
      <c r="AK51" s="140"/>
    </row>
    <row r="52" spans="1:38" ht="15" customHeight="1" x14ac:dyDescent="0.3">
      <c r="B52" s="139" t="s">
        <v>205</v>
      </c>
      <c r="C52" s="140">
        <f t="array" aca="1" ref="C52" ca="1">INDEX(B33:G41,IF(MATCH(C46,A33:A41,1)&lt;E44,MATCH(C46,A33:A41,1)+1,MATCH(C46,A33:A41,1)),IF(MATCH(C43,B32:G32,1)&lt;E45,MATCH(C43,B32:G32,1)+1,MATCH(C43,B32:G32,1)))</f>
        <v>2350</v>
      </c>
      <c r="G52" s="2"/>
      <c r="H52" s="2"/>
      <c r="I52" s="2"/>
      <c r="J52" s="139"/>
      <c r="K52" s="140"/>
      <c r="O52" s="139" t="s">
        <v>205</v>
      </c>
      <c r="P52" s="140">
        <f t="array" aca="1" ref="P52" ca="1">INDEX(O33:S41,IF(MATCH(P46,N33:N41,1)&lt;R44,MATCH(P46,N33:N41,1)+1,MATCH(P46,N33:N41,1)),IF(MATCH(P43,O32:S32,1)&lt;R45,MATCH(P43,O32:S32,1)+1,MATCH(P43,O32:S32,1)))</f>
        <v>2200</v>
      </c>
      <c r="T52" s="2"/>
      <c r="U52" s="2"/>
      <c r="V52" s="2"/>
      <c r="W52" s="139"/>
      <c r="X52" s="140"/>
      <c r="AB52" s="139" t="s">
        <v>205</v>
      </c>
      <c r="AC52" s="140">
        <f t="array" aca="1" ref="AC52" ca="1">INDEX(AB33:AF41,IF(MATCH(AC46,AA33:AA41,1)&lt;AE44,MATCH(AC46,AA33:AA41,1)+1,MATCH(AC46,AA33:AA41,1)),IF(MATCH(AC43,AB32:AF32,1)&lt;AE45,MATCH(AC43,AB32:AF32,1)+1,MATCH(AC43,AB32:AF32,1)))</f>
        <v>2400</v>
      </c>
      <c r="AG52" s="2"/>
      <c r="AH52" s="2"/>
      <c r="AI52" s="2"/>
      <c r="AJ52" s="139"/>
      <c r="AK52" s="140"/>
    </row>
    <row r="53" spans="1:38" ht="15" customHeight="1" x14ac:dyDescent="0.3">
      <c r="B53" s="16" t="s">
        <v>206</v>
      </c>
      <c r="C53" s="141">
        <f ca="1">IFERROR(C49+(C43-C44)*(C50-C49)/(C45-C44),C49)</f>
        <v>2000.3772727272726</v>
      </c>
      <c r="G53" s="2"/>
      <c r="H53" s="2"/>
      <c r="I53" s="2"/>
      <c r="J53" s="16"/>
      <c r="K53" s="141"/>
      <c r="O53" s="16" t="s">
        <v>206</v>
      </c>
      <c r="P53" s="141">
        <f ca="1">IFERROR(P49+(P43-P44)*(P50-P49)/(P45-P44),P49)</f>
        <v>1941.5555555555557</v>
      </c>
      <c r="T53" s="2"/>
      <c r="U53" s="2"/>
      <c r="V53" s="2"/>
      <c r="W53" s="16"/>
      <c r="X53" s="141"/>
      <c r="AB53" s="16" t="s">
        <v>206</v>
      </c>
      <c r="AC53" s="141">
        <f ca="1">IFERROR(AC49+(AC43-AC44)*(AC50-AC49)/(AC45-AC44),AC49)</f>
        <v>1832.2062499999997</v>
      </c>
      <c r="AG53" s="2"/>
      <c r="AH53" s="2"/>
      <c r="AI53" s="2"/>
      <c r="AJ53" s="16"/>
      <c r="AK53" s="141"/>
    </row>
    <row r="54" spans="1:38" ht="15" customHeight="1" x14ac:dyDescent="0.3">
      <c r="B54" s="16" t="s">
        <v>207</v>
      </c>
      <c r="C54" s="141">
        <f ca="1">IFERROR(C51+(C43-C44)*(C52-C51)/(C45-C44),C51)</f>
        <v>2289.35</v>
      </c>
      <c r="G54" s="2"/>
      <c r="H54" s="2"/>
      <c r="I54" s="2"/>
      <c r="J54" s="16"/>
      <c r="K54" s="141"/>
      <c r="O54" s="16" t="s">
        <v>207</v>
      </c>
      <c r="P54" s="141">
        <f ca="1">IFERROR(P51+(P43-P44)*(P52-P51)/(P45-P44),P51)</f>
        <v>2190.5</v>
      </c>
      <c r="T54" s="2"/>
      <c r="U54" s="2"/>
      <c r="V54" s="2"/>
      <c r="W54" s="16"/>
      <c r="X54" s="141"/>
      <c r="AB54" s="16" t="s">
        <v>207</v>
      </c>
      <c r="AC54" s="141">
        <f ca="1">IFERROR(AC51+(AC43-AC44)*(AC52-AC51)/(AC45-AC44),AC51)</f>
        <v>2113.078125</v>
      </c>
      <c r="AG54" s="2"/>
      <c r="AH54" s="2"/>
      <c r="AI54" s="2"/>
      <c r="AJ54" s="16"/>
      <c r="AK54" s="141"/>
    </row>
    <row r="55" spans="1:38" ht="15" customHeight="1" x14ac:dyDescent="0.3">
      <c r="B55" s="139" t="s">
        <v>208</v>
      </c>
      <c r="C55" s="140">
        <f ca="1">IFERROR(C53+(C46-C47)*(C54-C53)/(C48-C47),C53)</f>
        <v>2231.5554545454543</v>
      </c>
      <c r="G55" s="2"/>
      <c r="H55" s="2"/>
      <c r="I55" s="2"/>
      <c r="J55" s="139"/>
      <c r="K55" s="140"/>
      <c r="O55" s="139" t="s">
        <v>208</v>
      </c>
      <c r="P55" s="140">
        <f ca="1">IFERROR(P53+(P46-P47)*(P54-P53)/(P48-P47),P53)</f>
        <v>2140.7111111111112</v>
      </c>
      <c r="T55" s="2"/>
      <c r="U55" s="2"/>
      <c r="V55" s="2"/>
      <c r="W55" s="139"/>
      <c r="X55" s="140"/>
      <c r="AB55" s="139" t="s">
        <v>208</v>
      </c>
      <c r="AC55" s="140">
        <f ca="1">IFERROR(AC53+(AC46-AC47)*(AC54-AC53)/(AC48-AC47),AC53)</f>
        <v>2056.9037499999999</v>
      </c>
      <c r="AG55" s="2"/>
      <c r="AH55" s="2"/>
      <c r="AI55" s="2"/>
      <c r="AJ55" s="139"/>
      <c r="AK55" s="140"/>
    </row>
    <row r="57" spans="1:38" ht="15" customHeight="1" x14ac:dyDescent="0.3">
      <c r="B57" s="355" t="s">
        <v>210</v>
      </c>
      <c r="C57" s="355"/>
      <c r="D57" s="355"/>
      <c r="E57" s="355"/>
      <c r="F57" s="355"/>
      <c r="G57" s="355"/>
      <c r="H57" s="355"/>
      <c r="I57" s="355"/>
      <c r="J57" s="72"/>
      <c r="K57" s="72"/>
      <c r="L57" s="72"/>
      <c r="M57" s="72"/>
      <c r="O57" s="355" t="s">
        <v>210</v>
      </c>
      <c r="P57" s="355"/>
      <c r="Q57" s="355"/>
      <c r="R57" s="355"/>
      <c r="S57" s="355"/>
      <c r="T57" s="355"/>
      <c r="U57" s="355"/>
      <c r="V57" s="355"/>
      <c r="W57" s="72"/>
      <c r="X57" s="72"/>
      <c r="Y57" s="72"/>
      <c r="AB57" s="355" t="s">
        <v>210</v>
      </c>
      <c r="AC57" s="355"/>
      <c r="AD57" s="355"/>
      <c r="AE57" s="355"/>
      <c r="AF57" s="355"/>
      <c r="AG57" s="355"/>
      <c r="AH57" s="355"/>
      <c r="AI57" s="355"/>
      <c r="AJ57" s="72"/>
      <c r="AK57" s="72"/>
      <c r="AL57" s="72"/>
    </row>
    <row r="58" spans="1:38" ht="15" customHeight="1" x14ac:dyDescent="0.3">
      <c r="A58" t="s">
        <v>47</v>
      </c>
      <c r="B58" s="229">
        <v>1000</v>
      </c>
      <c r="C58" s="232">
        <v>1200</v>
      </c>
      <c r="D58" s="229">
        <v>1500</v>
      </c>
      <c r="E58" s="232">
        <v>2000</v>
      </c>
      <c r="F58" s="232">
        <v>2500</v>
      </c>
      <c r="G58" s="232">
        <v>3000</v>
      </c>
      <c r="H58" s="232">
        <v>3500</v>
      </c>
      <c r="I58" s="232">
        <v>4000</v>
      </c>
      <c r="J58" s="230">
        <v>4500</v>
      </c>
      <c r="K58" s="231">
        <v>5000</v>
      </c>
      <c r="N58" t="s">
        <v>47</v>
      </c>
      <c r="O58" s="229">
        <v>1000</v>
      </c>
      <c r="P58" s="232">
        <v>1200</v>
      </c>
      <c r="Q58" s="232">
        <v>1500</v>
      </c>
      <c r="R58" s="232">
        <v>2000</v>
      </c>
      <c r="S58" s="232">
        <v>2500</v>
      </c>
      <c r="T58" s="232">
        <v>3000</v>
      </c>
      <c r="U58" s="232">
        <v>3500</v>
      </c>
      <c r="V58" s="231">
        <v>5000</v>
      </c>
      <c r="AA58" t="s">
        <v>47</v>
      </c>
      <c r="AB58" s="229">
        <v>1000</v>
      </c>
      <c r="AC58" s="232">
        <v>1350</v>
      </c>
      <c r="AD58" s="232">
        <v>1500</v>
      </c>
      <c r="AE58" s="232">
        <v>2000</v>
      </c>
      <c r="AF58" s="232">
        <v>2500</v>
      </c>
      <c r="AG58" s="232">
        <v>3000</v>
      </c>
      <c r="AH58" s="232">
        <v>3500</v>
      </c>
      <c r="AI58" s="231">
        <v>4000</v>
      </c>
    </row>
    <row r="59" spans="1:38" ht="15" customHeight="1" x14ac:dyDescent="0.3">
      <c r="A59">
        <v>-10</v>
      </c>
      <c r="B59" s="229">
        <v>1350</v>
      </c>
      <c r="C59" s="232">
        <v>1650</v>
      </c>
      <c r="D59" s="229">
        <v>1850</v>
      </c>
      <c r="E59" s="232">
        <v>2400</v>
      </c>
      <c r="F59" s="232">
        <v>3000</v>
      </c>
      <c r="G59" s="232">
        <v>3650</v>
      </c>
      <c r="H59" s="232">
        <v>4200</v>
      </c>
      <c r="I59" s="232">
        <v>4800</v>
      </c>
      <c r="J59" s="237">
        <v>5400</v>
      </c>
      <c r="K59" s="237">
        <v>99999</v>
      </c>
      <c r="N59">
        <v>-10</v>
      </c>
      <c r="O59" s="229">
        <v>1400</v>
      </c>
      <c r="P59" s="232">
        <v>1600</v>
      </c>
      <c r="Q59" s="232">
        <v>1900</v>
      </c>
      <c r="R59" s="232">
        <v>2500</v>
      </c>
      <c r="S59" s="232">
        <v>3100</v>
      </c>
      <c r="T59" s="232">
        <v>3675</v>
      </c>
      <c r="U59" s="232">
        <v>4250</v>
      </c>
      <c r="V59" s="237">
        <v>99999</v>
      </c>
      <c r="AA59">
        <v>-10</v>
      </c>
      <c r="AB59" s="229">
        <v>1350</v>
      </c>
      <c r="AC59" s="232">
        <v>1800</v>
      </c>
      <c r="AD59" s="232">
        <v>1950</v>
      </c>
      <c r="AE59" s="232">
        <v>2600</v>
      </c>
      <c r="AF59" s="232">
        <v>3200</v>
      </c>
      <c r="AG59" s="232">
        <v>3800</v>
      </c>
      <c r="AH59" s="232">
        <v>4350</v>
      </c>
      <c r="AI59" s="237">
        <v>99999</v>
      </c>
    </row>
    <row r="60" spans="1:38" ht="15" customHeight="1" x14ac:dyDescent="0.3">
      <c r="A60">
        <v>0</v>
      </c>
      <c r="B60" s="233">
        <v>1000</v>
      </c>
      <c r="C60" s="72">
        <v>1200</v>
      </c>
      <c r="D60" s="233">
        <v>1500</v>
      </c>
      <c r="E60" s="72">
        <v>2000</v>
      </c>
      <c r="F60" s="72">
        <v>2500</v>
      </c>
      <c r="G60" s="72">
        <v>3000</v>
      </c>
      <c r="H60" s="72">
        <v>3500</v>
      </c>
      <c r="I60" s="72">
        <v>4000</v>
      </c>
      <c r="J60" s="262">
        <v>4500</v>
      </c>
      <c r="K60" s="237">
        <v>99999</v>
      </c>
      <c r="N60">
        <v>0</v>
      </c>
      <c r="O60" s="233">
        <v>1000</v>
      </c>
      <c r="P60" s="72">
        <v>1200</v>
      </c>
      <c r="Q60" s="72">
        <v>1500</v>
      </c>
      <c r="R60" s="72">
        <v>2000</v>
      </c>
      <c r="S60" s="72">
        <v>2500</v>
      </c>
      <c r="T60" s="72">
        <v>3000</v>
      </c>
      <c r="U60" s="72">
        <v>3500</v>
      </c>
      <c r="V60" s="237">
        <v>99999</v>
      </c>
      <c r="AA60">
        <v>0</v>
      </c>
      <c r="AB60" s="233">
        <v>1000</v>
      </c>
      <c r="AC60" s="72">
        <v>1350</v>
      </c>
      <c r="AD60" s="72">
        <v>1500</v>
      </c>
      <c r="AE60" s="72">
        <v>2000</v>
      </c>
      <c r="AF60" s="72">
        <v>2500</v>
      </c>
      <c r="AG60" s="72">
        <v>3000</v>
      </c>
      <c r="AH60" s="72">
        <v>3500</v>
      </c>
      <c r="AI60" s="237">
        <v>99999</v>
      </c>
    </row>
    <row r="61" spans="1:38" ht="15" customHeight="1" x14ac:dyDescent="0.3">
      <c r="A61">
        <v>30</v>
      </c>
      <c r="B61" s="234">
        <v>1000</v>
      </c>
      <c r="C61" s="238">
        <v>1000</v>
      </c>
      <c r="D61" s="234">
        <v>1200</v>
      </c>
      <c r="E61" s="238">
        <v>1600</v>
      </c>
      <c r="F61" s="238">
        <v>2000</v>
      </c>
      <c r="G61" s="238">
        <v>2400</v>
      </c>
      <c r="H61" s="238">
        <v>2850</v>
      </c>
      <c r="I61" s="238">
        <v>3250</v>
      </c>
      <c r="J61" s="239">
        <v>3700</v>
      </c>
      <c r="K61" s="265">
        <v>99999</v>
      </c>
      <c r="N61">
        <v>30</v>
      </c>
      <c r="O61" s="234">
        <v>1000</v>
      </c>
      <c r="P61" s="238">
        <v>1000</v>
      </c>
      <c r="Q61" s="238">
        <v>1150</v>
      </c>
      <c r="R61" s="238">
        <v>1525</v>
      </c>
      <c r="S61" s="238">
        <v>1950</v>
      </c>
      <c r="T61" s="238">
        <v>2400</v>
      </c>
      <c r="U61" s="238">
        <v>2800</v>
      </c>
      <c r="V61" s="265">
        <v>99999</v>
      </c>
      <c r="AA61">
        <v>30</v>
      </c>
      <c r="AB61" s="234">
        <v>1000</v>
      </c>
      <c r="AC61" s="238">
        <v>1000</v>
      </c>
      <c r="AD61" s="238">
        <v>1200</v>
      </c>
      <c r="AE61" s="238">
        <v>1550</v>
      </c>
      <c r="AF61" s="238">
        <v>1950</v>
      </c>
      <c r="AG61" s="238">
        <v>2400</v>
      </c>
      <c r="AH61" s="238">
        <v>2750</v>
      </c>
      <c r="AI61" s="265">
        <v>99999</v>
      </c>
    </row>
    <row r="62" spans="1:38" ht="15" customHeight="1" x14ac:dyDescent="0.3">
      <c r="B62" s="139"/>
      <c r="C62" s="140"/>
      <c r="G62" s="2"/>
      <c r="H62" s="2"/>
      <c r="I62" s="2"/>
      <c r="J62" s="139"/>
      <c r="K62" s="140"/>
      <c r="O62" s="139"/>
      <c r="P62" s="140"/>
      <c r="T62" s="2"/>
      <c r="U62" s="2"/>
      <c r="V62" s="2"/>
      <c r="W62" s="139"/>
      <c r="X62" s="140"/>
      <c r="AB62" s="139"/>
      <c r="AC62" s="140"/>
      <c r="AG62" s="2"/>
      <c r="AH62" s="2"/>
      <c r="AI62" s="2"/>
      <c r="AJ62" s="139"/>
      <c r="AK62" s="140"/>
    </row>
    <row r="63" spans="1:38" ht="15" customHeight="1" x14ac:dyDescent="0.3">
      <c r="B63" s="139" t="s">
        <v>146</v>
      </c>
      <c r="C63" s="140">
        <f ca="1">C55</f>
        <v>2231.5554545454543</v>
      </c>
      <c r="D63" s="355" t="s">
        <v>201</v>
      </c>
      <c r="E63" s="355"/>
      <c r="G63" s="2"/>
      <c r="H63" s="2"/>
      <c r="I63" s="2"/>
      <c r="J63" s="139"/>
      <c r="K63" s="140"/>
      <c r="L63" s="72"/>
      <c r="O63" s="139" t="s">
        <v>146</v>
      </c>
      <c r="P63" s="140">
        <f ca="1">P55</f>
        <v>2140.7111111111112</v>
      </c>
      <c r="Q63" s="355" t="s">
        <v>201</v>
      </c>
      <c r="R63" s="355"/>
      <c r="T63" s="2"/>
      <c r="U63" s="2"/>
      <c r="V63" s="2"/>
      <c r="W63" s="139"/>
      <c r="X63" s="140"/>
      <c r="Y63" s="72"/>
      <c r="AB63" s="139" t="s">
        <v>146</v>
      </c>
      <c r="AC63" s="140">
        <f ca="1">AC55</f>
        <v>2056.9037499999999</v>
      </c>
      <c r="AD63" s="355" t="s">
        <v>201</v>
      </c>
      <c r="AE63" s="355"/>
      <c r="AG63" s="2"/>
      <c r="AH63" s="2"/>
      <c r="AI63" s="2"/>
      <c r="AJ63" s="139"/>
      <c r="AK63" s="140"/>
      <c r="AL63" s="72"/>
    </row>
    <row r="64" spans="1:38" ht="15" customHeight="1" x14ac:dyDescent="0.3">
      <c r="B64" s="16" t="s">
        <v>202</v>
      </c>
      <c r="C64" s="141">
        <f t="array" aca="1" ref="C64" ca="1">INDEX($B58:$K58,MATCH(C63,$B58:$K58,1))</f>
        <v>2000</v>
      </c>
      <c r="D64" s="16" t="s">
        <v>144</v>
      </c>
      <c r="E64" s="17">
        <f>MATCH(MAX($A59:$A61),$A59:$A61,1)</f>
        <v>3</v>
      </c>
      <c r="G64" s="2"/>
      <c r="H64" s="2"/>
      <c r="I64" s="2"/>
      <c r="J64" s="16"/>
      <c r="K64" s="141"/>
      <c r="L64" s="16"/>
      <c r="M64" s="17"/>
      <c r="O64" s="16" t="s">
        <v>202</v>
      </c>
      <c r="P64" s="141">
        <f t="array" aca="1" ref="P64" ca="1">INDEX($O58:$V58,MATCH(P63,$O58:$V58,1))</f>
        <v>2000</v>
      </c>
      <c r="Q64" s="16" t="s">
        <v>144</v>
      </c>
      <c r="R64" s="17">
        <f>MATCH(MAX($N59:$N61),$N59:$N61,1)</f>
        <v>3</v>
      </c>
      <c r="T64" s="2"/>
      <c r="U64" s="2"/>
      <c r="V64" s="2"/>
      <c r="W64" s="16"/>
      <c r="X64" s="141"/>
      <c r="Y64" s="16"/>
      <c r="AB64" s="16" t="s">
        <v>202</v>
      </c>
      <c r="AC64" s="141">
        <f t="array" aca="1" ref="AC64" ca="1">INDEX($AB58:$AI58,MATCH(AC63,$AB58:$AI58,1))</f>
        <v>2000</v>
      </c>
      <c r="AD64" s="16" t="s">
        <v>144</v>
      </c>
      <c r="AE64" s="17">
        <f>MATCH(MAX($AA59:$AA61),$AA59:$AA61,1)</f>
        <v>3</v>
      </c>
      <c r="AG64" s="2"/>
      <c r="AH64" s="2"/>
      <c r="AI64" s="2"/>
      <c r="AJ64" s="16"/>
      <c r="AK64" s="141"/>
      <c r="AL64" s="16"/>
    </row>
    <row r="65" spans="1:38" ht="15" customHeight="1" x14ac:dyDescent="0.3">
      <c r="B65" s="16" t="s">
        <v>203</v>
      </c>
      <c r="C65" s="141">
        <f t="array" aca="1" ref="C65" ca="1">INDEX($B58:$K58,IF(MATCH(C63,$B58:$K58,1)&lt;E65,MATCH(C63,$B58:$K58,1)+1,MATCH(C63,$B58:$K58,1)))</f>
        <v>2500</v>
      </c>
      <c r="D65" s="16" t="s">
        <v>145</v>
      </c>
      <c r="E65" s="17">
        <f>MATCH(MAX($B58:$K58),$B58:$K58,0)</f>
        <v>10</v>
      </c>
      <c r="G65" s="2"/>
      <c r="H65" s="2"/>
      <c r="I65" s="2"/>
      <c r="J65" s="16"/>
      <c r="K65" s="141"/>
      <c r="L65" s="16"/>
      <c r="M65" s="17"/>
      <c r="O65" s="16" t="s">
        <v>203</v>
      </c>
      <c r="P65" s="141">
        <f t="array" aca="1" ref="P65" ca="1">INDEX($O58:$V58,IF(MATCH(P63,$O58:$V58,1)&lt;R65,MATCH(P63,$O58:$V58,1)+1,MATCH(P63,$O58:$V58,1)))</f>
        <v>2500</v>
      </c>
      <c r="Q65" s="16" t="s">
        <v>145</v>
      </c>
      <c r="R65" s="17">
        <f>MATCH(MAX($O58:$V58),$O58:$V58,0)</f>
        <v>8</v>
      </c>
      <c r="T65" s="2"/>
      <c r="U65" s="2"/>
      <c r="V65" s="2"/>
      <c r="W65" s="16"/>
      <c r="X65" s="141"/>
      <c r="Y65" s="16"/>
      <c r="AB65" s="16" t="s">
        <v>203</v>
      </c>
      <c r="AC65" s="141">
        <f t="array" aca="1" ref="AC65" ca="1">INDEX($AB58:$AI58,IF(MATCH(AC63,$AB58:$AI58,1)&lt;AE65,MATCH(AC63,$AB58:$AI58,1)+1,MATCH(AC63,$AB58:$AI58,1)))</f>
        <v>2500</v>
      </c>
      <c r="AD65" s="16" t="s">
        <v>145</v>
      </c>
      <c r="AE65" s="17">
        <f>MATCH(MAX($AB58:$AI58),$AB58:$AI58,0)</f>
        <v>8</v>
      </c>
      <c r="AG65" s="2"/>
      <c r="AH65" s="2"/>
      <c r="AI65" s="2"/>
      <c r="AJ65" s="16"/>
      <c r="AK65" s="141"/>
      <c r="AL65" s="16"/>
    </row>
    <row r="66" spans="1:38" ht="15" customHeight="1" x14ac:dyDescent="0.3">
      <c r="B66" s="139" t="s">
        <v>147</v>
      </c>
      <c r="C66" s="186">
        <f ca="1">'Take-off'!$C$24</f>
        <v>-2.3941410032796808</v>
      </c>
      <c r="D66" s="2"/>
      <c r="E66" s="2"/>
      <c r="G66" s="2"/>
      <c r="H66" s="2"/>
      <c r="I66" s="2"/>
      <c r="J66" s="139"/>
      <c r="K66" s="186"/>
      <c r="L66" s="2"/>
      <c r="M66" s="2"/>
      <c r="O66" s="139" t="s">
        <v>147</v>
      </c>
      <c r="P66" s="186">
        <f ca="1">'Take-off'!$C$24</f>
        <v>-2.3941410032796808</v>
      </c>
      <c r="Q66" s="2"/>
      <c r="R66" s="2"/>
      <c r="T66" s="2"/>
      <c r="U66" s="2"/>
      <c r="V66" s="2"/>
      <c r="W66" s="139"/>
      <c r="X66" s="186"/>
      <c r="Y66" s="2"/>
      <c r="AB66" s="139" t="s">
        <v>147</v>
      </c>
      <c r="AC66" s="186">
        <f ca="1">'Take-off'!$C$24</f>
        <v>-2.3941410032796808</v>
      </c>
      <c r="AD66" s="2"/>
      <c r="AE66" s="2"/>
      <c r="AG66" s="2"/>
      <c r="AH66" s="2"/>
      <c r="AI66" s="2"/>
      <c r="AJ66" s="139"/>
      <c r="AK66" s="186"/>
      <c r="AL66" s="2"/>
    </row>
    <row r="67" spans="1:38" ht="15" customHeight="1" x14ac:dyDescent="0.3">
      <c r="B67" s="16" t="s">
        <v>148</v>
      </c>
      <c r="C67" s="141">
        <f t="array" aca="1" ref="C67" ca="1">INDEX($A59:$A61,MATCH(C66,$A59:$A61,1))</f>
        <v>-10</v>
      </c>
      <c r="D67" s="2"/>
      <c r="E67" s="42"/>
      <c r="G67" s="2"/>
      <c r="H67" s="2"/>
      <c r="I67" s="2"/>
      <c r="J67" s="16"/>
      <c r="K67" s="141"/>
      <c r="L67" s="2"/>
      <c r="M67" s="42"/>
      <c r="O67" s="16" t="s">
        <v>148</v>
      </c>
      <c r="P67" s="141">
        <f t="array" aca="1" ref="P67" ca="1">INDEX($N59:$N61,MATCH(P66,$N59:$N61,1))</f>
        <v>-10</v>
      </c>
      <c r="Q67" s="2"/>
      <c r="R67" s="42"/>
      <c r="T67" s="2"/>
      <c r="U67" s="2"/>
      <c r="V67" s="2"/>
      <c r="W67" s="16"/>
      <c r="X67" s="141"/>
      <c r="Y67" s="2"/>
      <c r="AB67" s="16" t="s">
        <v>148</v>
      </c>
      <c r="AC67" s="141">
        <f t="array" aca="1" ref="AC67" ca="1">INDEX($AA59:$AA61,MATCH(AC66,$AA59:$AA61,1))</f>
        <v>-10</v>
      </c>
      <c r="AD67" s="2"/>
      <c r="AE67" s="42"/>
      <c r="AG67" s="2"/>
      <c r="AH67" s="2"/>
      <c r="AI67" s="2"/>
      <c r="AJ67" s="16"/>
      <c r="AK67" s="141"/>
      <c r="AL67" s="2"/>
    </row>
    <row r="68" spans="1:38" ht="15" customHeight="1" x14ac:dyDescent="0.3">
      <c r="B68" s="16" t="s">
        <v>149</v>
      </c>
      <c r="C68" s="141">
        <f t="array" aca="1" ref="C68" ca="1">INDEX($A59:$A61,IF(MATCH(C66,$A59:$A61,1)&lt;E64,MATCH(C66,$A59:$A61,1)+1,MATCH(C66,$A59:$A61,1)))</f>
        <v>0</v>
      </c>
      <c r="D68" s="2"/>
      <c r="E68" s="42"/>
      <c r="G68" s="2"/>
      <c r="H68" s="2"/>
      <c r="I68" s="2"/>
      <c r="J68" s="16"/>
      <c r="K68" s="141"/>
      <c r="L68" s="2"/>
      <c r="M68" s="42"/>
      <c r="O68" s="16" t="s">
        <v>149</v>
      </c>
      <c r="P68" s="141">
        <f t="array" aca="1" ref="P68" ca="1">INDEX($N59:$N61,IF(MATCH(P66,$N59:$N61,1)&lt;R64,MATCH(P66,$N59:$N61,1)+1,MATCH(P66,$N59:$N61,1)))</f>
        <v>0</v>
      </c>
      <c r="Q68" s="2"/>
      <c r="R68" s="42"/>
      <c r="T68" s="2"/>
      <c r="U68" s="2"/>
      <c r="V68" s="2"/>
      <c r="W68" s="16"/>
      <c r="X68" s="141"/>
      <c r="Y68" s="2"/>
      <c r="AB68" s="16" t="s">
        <v>149</v>
      </c>
      <c r="AC68" s="141">
        <f t="array" aca="1" ref="AC68" ca="1">INDEX($AA59:$AA61,IF(MATCH(AC66,$AA59:$AA61,1)&lt;AE64,MATCH(AC66,$AA59:$AA61,1)+1,MATCH(AC66,$AA59:$AA61,1)))</f>
        <v>0</v>
      </c>
      <c r="AD68" s="2"/>
      <c r="AE68" s="42"/>
      <c r="AG68" s="2"/>
      <c r="AH68" s="2"/>
      <c r="AI68" s="2"/>
      <c r="AJ68" s="16"/>
      <c r="AK68" s="141"/>
      <c r="AL68" s="2"/>
    </row>
    <row r="69" spans="1:38" ht="15" customHeight="1" x14ac:dyDescent="0.3">
      <c r="B69" s="139" t="s">
        <v>150</v>
      </c>
      <c r="C69" s="140">
        <f t="array" aca="1" ref="C69" ca="1">INDEX($B59:$K61,MATCH(C66,$A59:$A61,1),MATCH(C63,$B58:$K58,1))</f>
        <v>2400</v>
      </c>
      <c r="D69" s="2"/>
      <c r="E69" s="42"/>
      <c r="G69" s="2"/>
      <c r="H69" s="2"/>
      <c r="I69" s="2"/>
      <c r="J69" s="139"/>
      <c r="K69" s="140"/>
      <c r="L69" s="2"/>
      <c r="M69" s="42"/>
      <c r="O69" s="139" t="s">
        <v>150</v>
      </c>
      <c r="P69" s="140">
        <f t="array" aca="1" ref="P69" ca="1">INDEX($O59:$V61,MATCH(P66,$N59:$N61,1),MATCH(P63,$O58:$V58,1))</f>
        <v>2500</v>
      </c>
      <c r="Q69" s="2"/>
      <c r="R69" s="42"/>
      <c r="T69" s="2"/>
      <c r="U69" s="2"/>
      <c r="V69" s="2"/>
      <c r="W69" s="139"/>
      <c r="X69" s="140"/>
      <c r="Y69" s="2"/>
      <c r="AB69" s="139" t="s">
        <v>150</v>
      </c>
      <c r="AC69" s="140">
        <f t="array" aca="1" ref="AC69" ca="1">INDEX($AB59:$AI61,MATCH(AC66,$AA59:$AA61,1),MATCH(AC63,$AB58:$AI58,1))</f>
        <v>2600</v>
      </c>
      <c r="AD69" s="2"/>
      <c r="AE69" s="42"/>
      <c r="AG69" s="2"/>
      <c r="AH69" s="2"/>
      <c r="AI69" s="2"/>
      <c r="AJ69" s="139"/>
      <c r="AK69" s="140"/>
      <c r="AL69" s="2"/>
    </row>
    <row r="70" spans="1:38" ht="15" customHeight="1" x14ac:dyDescent="0.3">
      <c r="B70" s="139" t="s">
        <v>204</v>
      </c>
      <c r="C70" s="140">
        <f t="array" aca="1" ref="C70" ca="1">INDEX($B59:$K61,MATCH(C66,$A59:$A61,1),IF(MATCH(C63,$B58:$K58,1)&lt;E65,MATCH(C63,$B58:$K58,1)+1,MATCH(C66,$A59:$A61,1)))</f>
        <v>3000</v>
      </c>
      <c r="E70" s="42"/>
      <c r="G70" s="2"/>
      <c r="H70" s="2"/>
      <c r="I70" s="2"/>
      <c r="J70" s="139"/>
      <c r="K70" s="140"/>
      <c r="M70" s="42"/>
      <c r="O70" s="139" t="s">
        <v>204</v>
      </c>
      <c r="P70" s="140">
        <f t="array" aca="1" ref="P70" ca="1">INDEX($O59:$V61,MATCH(P66,$N59:$N61,1),IF(MATCH(P63,$O58:$V58,1)&lt;R65,MATCH(P63,$O58:$V58,1)+1,MATCH(P66,$N59:$N61,1)))</f>
        <v>3100</v>
      </c>
      <c r="R70" s="42"/>
      <c r="T70" s="2"/>
      <c r="U70" s="2"/>
      <c r="V70" s="2"/>
      <c r="W70" s="139"/>
      <c r="X70" s="140"/>
      <c r="AB70" s="139" t="s">
        <v>204</v>
      </c>
      <c r="AC70" s="140">
        <f t="array" aca="1" ref="AC70" ca="1">INDEX($AB59:$AI61,MATCH(AC66,$AA59:$AA61,1),IF(MATCH(AC63,$AB58:$AI58,1)&lt;AE65,MATCH(AC63,$AB58:$AI58,1)+1,MATCH(AC66,$AB59:$AI61,1)))</f>
        <v>3200</v>
      </c>
      <c r="AE70" s="42"/>
      <c r="AG70" s="2"/>
      <c r="AH70" s="2"/>
      <c r="AI70" s="2"/>
      <c r="AJ70" s="139"/>
      <c r="AK70" s="140"/>
    </row>
    <row r="71" spans="1:38" ht="15" customHeight="1" x14ac:dyDescent="0.3">
      <c r="B71" s="139" t="s">
        <v>151</v>
      </c>
      <c r="C71" s="140">
        <f t="array" aca="1" ref="C71" ca="1">INDEX($B59:$K61,IF(MATCH(C66,$A59:$A61,1)&lt;E64,MATCH(C66,$A59:$A61,1)+1,MATCH(C66,$A59:$A61,1)),MATCH(C63,$B58:$K58,1))</f>
        <v>2000</v>
      </c>
      <c r="E71" s="42"/>
      <c r="G71" s="2"/>
      <c r="H71" s="2"/>
      <c r="I71" s="2"/>
      <c r="J71" s="139"/>
      <c r="K71" s="140"/>
      <c r="M71" s="42"/>
      <c r="O71" s="139" t="s">
        <v>151</v>
      </c>
      <c r="P71" s="140">
        <f t="array" aca="1" ref="P71" ca="1">INDEX($O59:$V61,IF(MATCH(P66,$N59:$N61,1)&lt;R64,MATCH(P66,$N59:$N61,1)+1,MATCH(P66,$N59:$N61,1)),MATCH(P63,$O58:$V58,1))</f>
        <v>2000</v>
      </c>
      <c r="R71" s="42"/>
      <c r="T71" s="2"/>
      <c r="U71" s="2"/>
      <c r="V71" s="2"/>
      <c r="W71" s="139"/>
      <c r="X71" s="140"/>
      <c r="AB71" s="139" t="s">
        <v>151</v>
      </c>
      <c r="AC71" s="140">
        <f t="array" aca="1" ref="AC71" ca="1">INDEX($AB59:$AI61,IF(MATCH(AC66,$AA59:$AA61,1)&lt;AE64,MATCH(AC66,$AA59:$AA61,1)+1,MATCH(AC66,$AA59:$AA61,1)),MATCH(AC63,$AB58:$AI58,1))</f>
        <v>2000</v>
      </c>
      <c r="AE71" s="42"/>
      <c r="AG71" s="2"/>
      <c r="AH71" s="2"/>
      <c r="AI71" s="2"/>
      <c r="AJ71" s="139"/>
      <c r="AK71" s="140"/>
    </row>
    <row r="72" spans="1:38" ht="15" customHeight="1" x14ac:dyDescent="0.3">
      <c r="B72" s="139" t="s">
        <v>205</v>
      </c>
      <c r="C72" s="140">
        <f t="array" aca="1" ref="C72" ca="1">INDEX($B59:$K61,IF(MATCH(C66,$A59:$A61,1)&lt;E64,MATCH(C66,$A59:$A61,1)+1,MATCH(C66,$A59:$A61,1)),IF(MATCH(C63,$B58:$K58,1)&lt;E65,MATCH(C63,$B58:$K58,1)+1,MATCH(C63,$B58:$K58,1)))</f>
        <v>2500</v>
      </c>
      <c r="G72" s="2"/>
      <c r="H72" s="2"/>
      <c r="I72" s="2"/>
      <c r="J72" s="139"/>
      <c r="K72" s="140"/>
      <c r="O72" s="139" t="s">
        <v>205</v>
      </c>
      <c r="P72" s="140">
        <f t="array" aca="1" ref="P72" ca="1">INDEX($O59:$V61,IF(MATCH(P66,$N59:$N61,1)&lt;R64,MATCH(P66,$N59:$N61,1)+1,MATCH(P66,$N59:$N61,1)),IF(MATCH(P63,$O58:$V58,1)&lt;R65,MATCH(P63,$O58:$V58,1)+1,MATCH(P63,$O58:$V58,1)))</f>
        <v>2500</v>
      </c>
      <c r="T72" s="2"/>
      <c r="U72" s="2"/>
      <c r="V72" s="2"/>
      <c r="W72" s="139"/>
      <c r="X72" s="140"/>
      <c r="AB72" s="139" t="s">
        <v>205</v>
      </c>
      <c r="AC72" s="140">
        <f t="array" aca="1" ref="AC72" ca="1">INDEX($AB59:$AI61,IF(MATCH(AC66,$AA59:$AA61,1)&lt;AE64,MATCH(AC66,$AA59:$AA61,1)+1,MATCH(AC66,$AA59:$AA61,1)),IF(MATCH(AC63,$AB58:$AI58,1)&lt;AE65,MATCH(AC63,$AB58:$AI58,1)+1,MATCH(AC63,$AB58:$AI58,1)))</f>
        <v>2500</v>
      </c>
      <c r="AG72" s="2"/>
      <c r="AH72" s="2"/>
      <c r="AI72" s="2"/>
      <c r="AJ72" s="139"/>
      <c r="AK72" s="140"/>
    </row>
    <row r="73" spans="1:38" ht="15" customHeight="1" x14ac:dyDescent="0.3">
      <c r="B73" s="16" t="s">
        <v>206</v>
      </c>
      <c r="C73" s="141">
        <f ca="1">IFERROR(C69+(C63-C64)*(C70-C69)/(C65-C64),C69)</f>
        <v>2677.8665454545453</v>
      </c>
      <c r="G73" s="2"/>
      <c r="H73" s="2"/>
      <c r="I73" s="2"/>
      <c r="J73" s="16"/>
      <c r="K73" s="141"/>
      <c r="O73" s="16" t="s">
        <v>206</v>
      </c>
      <c r="P73" s="141">
        <f ca="1">IFERROR(P69+(P63-P64)*(P70-P69)/(P65-P64),P69)</f>
        <v>2668.8533333333335</v>
      </c>
      <c r="T73" s="2"/>
      <c r="U73" s="2"/>
      <c r="V73" s="2"/>
      <c r="W73" s="16"/>
      <c r="X73" s="141"/>
      <c r="AB73" s="16" t="s">
        <v>206</v>
      </c>
      <c r="AC73" s="141">
        <f ca="1">IFERROR(AC69+(AC63-AC64)*(AC70-AC69)/(AC65-AC64),AC69)</f>
        <v>2668.2844999999998</v>
      </c>
      <c r="AG73" s="2"/>
      <c r="AH73" s="2"/>
      <c r="AI73" s="2"/>
      <c r="AJ73" s="16"/>
      <c r="AK73" s="141"/>
    </row>
    <row r="74" spans="1:38" ht="15" customHeight="1" x14ac:dyDescent="0.3">
      <c r="B74" s="16" t="s">
        <v>207</v>
      </c>
      <c r="C74" s="141">
        <f ca="1">IFERROR(C71+(C63-C64)*(C72-C71)/(C65-C64),C71)</f>
        <v>2231.5554545454543</v>
      </c>
      <c r="G74" s="2"/>
      <c r="H74" s="2"/>
      <c r="I74" s="2"/>
      <c r="J74" s="16"/>
      <c r="K74" s="141"/>
      <c r="O74" s="16" t="s">
        <v>207</v>
      </c>
      <c r="P74" s="141">
        <f ca="1">IFERROR(P71+(P63-P64)*(P72-P71)/(P65-P64),P71)</f>
        <v>2140.7111111111112</v>
      </c>
      <c r="T74" s="2"/>
      <c r="U74" s="2"/>
      <c r="V74" s="2"/>
      <c r="W74" s="16"/>
      <c r="X74" s="141"/>
      <c r="AB74" s="16" t="s">
        <v>207</v>
      </c>
      <c r="AC74" s="141">
        <f ca="1">IFERROR(AC71+(AC63-AC64)*(AC72-AC71)/(AC65-AC64),AC71)</f>
        <v>2056.9037499999999</v>
      </c>
      <c r="AG74" s="2"/>
      <c r="AH74" s="2"/>
      <c r="AI74" s="2"/>
      <c r="AJ74" s="16"/>
      <c r="AK74" s="141"/>
    </row>
    <row r="75" spans="1:38" ht="15" customHeight="1" x14ac:dyDescent="0.3">
      <c r="B75" s="139" t="s">
        <v>208</v>
      </c>
      <c r="C75" s="140">
        <f ca="1">IFERROR(C73+(C66-C67)*(C74-C73)/(C68-C67),C73)</f>
        <v>2338.4086228418482</v>
      </c>
      <c r="G75" s="2"/>
      <c r="H75" s="2"/>
      <c r="I75" s="2"/>
      <c r="J75" s="139"/>
      <c r="K75" s="140"/>
      <c r="O75" s="139" t="s">
        <v>208</v>
      </c>
      <c r="P75" s="140">
        <f ca="1">IFERROR(P73+(P66-P67)*(P74-P73)/(P68-P67),P73)</f>
        <v>2267.1558060896582</v>
      </c>
      <c r="T75" s="2"/>
      <c r="U75" s="2"/>
      <c r="V75" s="2"/>
      <c r="W75" s="139"/>
      <c r="X75" s="140"/>
      <c r="AB75" s="139" t="s">
        <v>208</v>
      </c>
      <c r="AC75" s="140">
        <f ca="1">IFERROR(AC73+(AC66-AC67)*(AC74-AC73)/(AC68-AC67),AC73)</f>
        <v>2203.2769222190882</v>
      </c>
      <c r="AG75" s="2"/>
      <c r="AH75" s="2"/>
      <c r="AI75" s="2"/>
      <c r="AJ75" s="139"/>
      <c r="AK75" s="140"/>
    </row>
    <row r="76" spans="1:38" ht="15.75" customHeight="1" x14ac:dyDescent="0.3"/>
    <row r="77" spans="1:38" ht="15" customHeight="1" x14ac:dyDescent="0.3">
      <c r="B77" s="357" t="s">
        <v>211</v>
      </c>
      <c r="C77" s="357"/>
      <c r="D77" s="357"/>
      <c r="E77" s="357"/>
      <c r="F77" s="357"/>
      <c r="G77" s="357"/>
      <c r="H77" s="357"/>
      <c r="I77" s="357"/>
      <c r="O77" s="357" t="s">
        <v>211</v>
      </c>
      <c r="P77" s="357"/>
      <c r="Q77" s="357"/>
      <c r="R77" s="357"/>
      <c r="S77" s="357"/>
      <c r="T77" s="357"/>
      <c r="U77" s="357"/>
      <c r="V77" s="357"/>
      <c r="AB77" s="357" t="s">
        <v>211</v>
      </c>
      <c r="AC77" s="357"/>
      <c r="AD77" s="357"/>
      <c r="AE77" s="357"/>
      <c r="AF77" s="357"/>
      <c r="AG77" s="357"/>
      <c r="AH77" s="357"/>
      <c r="AI77" s="357"/>
    </row>
    <row r="78" spans="1:38" ht="15" customHeight="1" x14ac:dyDescent="0.3">
      <c r="A78" t="s">
        <v>33</v>
      </c>
      <c r="B78" s="229">
        <v>1000</v>
      </c>
      <c r="C78" s="232">
        <v>1500</v>
      </c>
      <c r="D78" s="232">
        <v>2000</v>
      </c>
      <c r="E78" s="232">
        <v>2500</v>
      </c>
      <c r="F78" s="232">
        <v>3000</v>
      </c>
      <c r="G78" s="232">
        <v>3500</v>
      </c>
      <c r="H78" s="232">
        <v>4000</v>
      </c>
      <c r="I78" s="232">
        <v>4500</v>
      </c>
      <c r="J78" s="232">
        <v>5000</v>
      </c>
      <c r="K78" s="230">
        <v>5500</v>
      </c>
      <c r="L78" s="231">
        <v>6000</v>
      </c>
      <c r="N78" t="s">
        <v>33</v>
      </c>
      <c r="O78" s="229">
        <v>1000</v>
      </c>
      <c r="P78" s="232">
        <v>1600</v>
      </c>
      <c r="Q78" s="232">
        <v>2200</v>
      </c>
      <c r="R78" s="232">
        <v>2800</v>
      </c>
      <c r="S78" s="232">
        <v>3400</v>
      </c>
      <c r="T78" s="232">
        <v>4000</v>
      </c>
      <c r="U78" s="232">
        <v>4600</v>
      </c>
      <c r="V78" s="231">
        <v>5000</v>
      </c>
      <c r="AA78" t="s">
        <v>33</v>
      </c>
      <c r="AB78" s="229">
        <v>1000</v>
      </c>
      <c r="AC78" s="232">
        <v>1500</v>
      </c>
      <c r="AD78" s="232">
        <v>2000</v>
      </c>
      <c r="AE78" s="232">
        <v>2500</v>
      </c>
      <c r="AF78" s="232">
        <v>3000</v>
      </c>
      <c r="AG78" s="232">
        <v>3500</v>
      </c>
      <c r="AH78" s="232">
        <v>4000</v>
      </c>
      <c r="AI78" s="232">
        <v>4500</v>
      </c>
      <c r="AJ78" s="231">
        <v>5000</v>
      </c>
    </row>
    <row r="79" spans="1:38" ht="15" customHeight="1" x14ac:dyDescent="0.3">
      <c r="A79">
        <v>0</v>
      </c>
      <c r="B79" s="229">
        <v>1000</v>
      </c>
      <c r="C79" s="232">
        <v>1500</v>
      </c>
      <c r="D79" s="232">
        <v>2000</v>
      </c>
      <c r="E79" s="232">
        <v>2500</v>
      </c>
      <c r="F79" s="232">
        <v>3000</v>
      </c>
      <c r="G79" s="232">
        <v>3500</v>
      </c>
      <c r="H79" s="232">
        <v>4000</v>
      </c>
      <c r="I79" s="232">
        <v>4500</v>
      </c>
      <c r="J79" s="232">
        <v>5000</v>
      </c>
      <c r="K79" s="237">
        <v>5500</v>
      </c>
      <c r="L79" s="237">
        <v>99999</v>
      </c>
      <c r="N79">
        <v>0</v>
      </c>
      <c r="O79" s="229">
        <v>1000</v>
      </c>
      <c r="P79" s="232">
        <v>1600</v>
      </c>
      <c r="Q79" s="232">
        <v>2200</v>
      </c>
      <c r="R79" s="232">
        <v>2800</v>
      </c>
      <c r="S79" s="232">
        <v>3400</v>
      </c>
      <c r="T79" s="232">
        <v>4000</v>
      </c>
      <c r="U79" s="232">
        <v>4600</v>
      </c>
      <c r="V79" s="237">
        <v>99999</v>
      </c>
      <c r="AA79">
        <v>0</v>
      </c>
      <c r="AB79" s="229">
        <v>1000</v>
      </c>
      <c r="AC79" s="232">
        <v>1500</v>
      </c>
      <c r="AD79" s="232">
        <v>2000</v>
      </c>
      <c r="AE79" s="232">
        <v>2500</v>
      </c>
      <c r="AF79" s="232">
        <v>3000</v>
      </c>
      <c r="AG79" s="232">
        <v>3500</v>
      </c>
      <c r="AH79" s="232">
        <v>4000</v>
      </c>
      <c r="AI79" s="232">
        <v>4500</v>
      </c>
      <c r="AJ79" s="237">
        <v>99999</v>
      </c>
    </row>
    <row r="80" spans="1:38" ht="15" customHeight="1" x14ac:dyDescent="0.3">
      <c r="A80">
        <v>50</v>
      </c>
      <c r="B80" s="234">
        <v>1500</v>
      </c>
      <c r="C80" s="238">
        <v>2300</v>
      </c>
      <c r="D80" s="238">
        <v>3050</v>
      </c>
      <c r="E80" s="238">
        <v>3800</v>
      </c>
      <c r="F80" s="238">
        <v>4600</v>
      </c>
      <c r="G80" s="238">
        <v>5300</v>
      </c>
      <c r="H80" s="238">
        <v>6050</v>
      </c>
      <c r="I80" s="238">
        <v>6800</v>
      </c>
      <c r="J80" s="238">
        <v>7700</v>
      </c>
      <c r="K80" s="239">
        <v>99999</v>
      </c>
      <c r="L80" s="237">
        <v>99999</v>
      </c>
      <c r="N80">
        <v>50</v>
      </c>
      <c r="O80" s="234">
        <v>1500</v>
      </c>
      <c r="P80" s="238">
        <v>2400</v>
      </c>
      <c r="Q80" s="238">
        <v>3350</v>
      </c>
      <c r="R80" s="238">
        <v>4250</v>
      </c>
      <c r="S80" s="238">
        <v>5150</v>
      </c>
      <c r="T80" s="238">
        <v>6100</v>
      </c>
      <c r="U80" s="238">
        <v>7000</v>
      </c>
      <c r="V80" s="237">
        <v>99999</v>
      </c>
      <c r="AA80">
        <v>50</v>
      </c>
      <c r="AB80" s="234">
        <v>1500</v>
      </c>
      <c r="AC80" s="238">
        <v>2200</v>
      </c>
      <c r="AD80" s="238">
        <v>3000</v>
      </c>
      <c r="AE80" s="238">
        <v>3750</v>
      </c>
      <c r="AF80" s="238">
        <v>4500</v>
      </c>
      <c r="AG80" s="238">
        <v>5300</v>
      </c>
      <c r="AH80" s="238">
        <v>6050</v>
      </c>
      <c r="AI80" s="238">
        <v>6850</v>
      </c>
      <c r="AJ80" s="237">
        <v>99999</v>
      </c>
    </row>
    <row r="81" spans="2:35" ht="15" customHeight="1" x14ac:dyDescent="0.3">
      <c r="B81" s="139"/>
      <c r="C81" s="140"/>
      <c r="G81" s="2"/>
      <c r="H81" s="2"/>
      <c r="I81" s="2"/>
      <c r="O81" s="139"/>
      <c r="P81" s="140"/>
      <c r="T81" s="2"/>
      <c r="U81" s="2"/>
      <c r="V81" s="2"/>
      <c r="AB81" s="139"/>
      <c r="AC81" s="140"/>
      <c r="AG81" s="2"/>
      <c r="AH81" s="2"/>
      <c r="AI81" s="2"/>
    </row>
    <row r="82" spans="2:35" ht="15" customHeight="1" x14ac:dyDescent="0.3">
      <c r="B82" s="139" t="s">
        <v>146</v>
      </c>
      <c r="C82" s="140">
        <f ca="1">C75</f>
        <v>2338.4086228418482</v>
      </c>
      <c r="D82" s="355" t="s">
        <v>201</v>
      </c>
      <c r="E82" s="355"/>
      <c r="G82" s="2"/>
      <c r="H82" s="2"/>
      <c r="I82" s="2"/>
      <c r="O82" s="139" t="s">
        <v>146</v>
      </c>
      <c r="P82" s="140">
        <f ca="1">P75</f>
        <v>2267.1558060896582</v>
      </c>
      <c r="Q82" s="355" t="s">
        <v>201</v>
      </c>
      <c r="R82" s="355"/>
      <c r="T82" s="2"/>
      <c r="U82" s="2"/>
      <c r="V82" s="2"/>
      <c r="AB82" s="139" t="s">
        <v>146</v>
      </c>
      <c r="AC82" s="140">
        <f ca="1">AC75</f>
        <v>2203.2769222190882</v>
      </c>
      <c r="AD82" s="355" t="s">
        <v>201</v>
      </c>
      <c r="AE82" s="355"/>
      <c r="AG82" s="2"/>
      <c r="AH82" s="2"/>
      <c r="AI82" s="2"/>
    </row>
    <row r="83" spans="2:35" ht="15" customHeight="1" x14ac:dyDescent="0.3">
      <c r="B83" s="16" t="s">
        <v>202</v>
      </c>
      <c r="C83" s="141">
        <f t="array" aca="1" ref="C83" ca="1">INDEX($B78:$L78,MATCH(C82,$B78:$L78,1))</f>
        <v>2000</v>
      </c>
      <c r="D83" s="16" t="s">
        <v>144</v>
      </c>
      <c r="E83" s="17">
        <f>MATCH(MAX($A79:$A80),$A79:$A80,1)</f>
        <v>2</v>
      </c>
      <c r="G83" s="2"/>
      <c r="H83" s="2"/>
      <c r="I83" s="2"/>
      <c r="O83" s="16" t="s">
        <v>202</v>
      </c>
      <c r="P83" s="141">
        <f t="array" aca="1" ref="P83" ca="1">INDEX($O78:$V78,MATCH(P82,$O78:$V78,1))</f>
        <v>2200</v>
      </c>
      <c r="Q83" s="16" t="s">
        <v>144</v>
      </c>
      <c r="R83" s="17">
        <f>MATCH(MAX($N79:$N80),$N79:$N80,1)</f>
        <v>2</v>
      </c>
      <c r="T83" s="2"/>
      <c r="U83" s="2"/>
      <c r="V83" s="2"/>
      <c r="AB83" s="16" t="s">
        <v>202</v>
      </c>
      <c r="AC83" s="141">
        <f t="array" aca="1" ref="AC83" ca="1">INDEX($AB78:$AJ78,MATCH(AC82,$AB78:$AJ78,1))</f>
        <v>2000</v>
      </c>
      <c r="AD83" s="16" t="s">
        <v>144</v>
      </c>
      <c r="AE83" s="17">
        <f>MATCH(MAX($AA79:$AA80),$AA79:$AA80,1)</f>
        <v>2</v>
      </c>
      <c r="AG83" s="2"/>
      <c r="AH83" s="2"/>
      <c r="AI83" s="2"/>
    </row>
    <row r="84" spans="2:35" ht="15" customHeight="1" x14ac:dyDescent="0.3">
      <c r="B84" s="16" t="s">
        <v>203</v>
      </c>
      <c r="C84" s="141">
        <f t="array" aca="1" ref="C84" ca="1">INDEX($B78:$L78,IF(MATCH(C82,$B78:$L78,1)&lt;E84,MATCH(C82,$B78:$L78,1)+1,MATCH(C82,$B78:$L78,1)))</f>
        <v>2500</v>
      </c>
      <c r="D84" s="16" t="s">
        <v>145</v>
      </c>
      <c r="E84" s="17">
        <f>MATCH(MAX($B78:$L78),$B78:$L78,0)</f>
        <v>11</v>
      </c>
      <c r="G84" s="2"/>
      <c r="H84" s="2"/>
      <c r="I84" s="2"/>
      <c r="O84" s="16" t="s">
        <v>203</v>
      </c>
      <c r="P84" s="141">
        <f t="array" aca="1" ref="P84" ca="1">INDEX($O78:$V78,IF(MATCH(P82,$O78:$V78,1)&lt;R84,MATCH(P82,$O78:$V78,1)+1,MATCH(P82,$O78:$V78,1)))</f>
        <v>2800</v>
      </c>
      <c r="Q84" s="16" t="s">
        <v>145</v>
      </c>
      <c r="R84" s="17">
        <f>MATCH(MAX($O78:$V78),$O78:$V78,0)</f>
        <v>8</v>
      </c>
      <c r="T84" s="2"/>
      <c r="U84" s="2"/>
      <c r="V84" s="2"/>
      <c r="AB84" s="16" t="s">
        <v>203</v>
      </c>
      <c r="AC84" s="141">
        <f t="array" aca="1" ref="AC84" ca="1">INDEX($AB78:$AJ78,IF(MATCH(AC82,$AB78:$AJ78,1)&lt;AE84,MATCH(AC82,$AB78:$AJ78,1)+1,MATCH(AC82,$AB78:$AJ78,1)))</f>
        <v>2500</v>
      </c>
      <c r="AD84" s="16" t="s">
        <v>145</v>
      </c>
      <c r="AE84" s="17">
        <f>MATCH(MAX($AB78:$AJ78),$AB78:$AJ78,0)</f>
        <v>9</v>
      </c>
      <c r="AG84" s="2"/>
      <c r="AH84" s="2"/>
      <c r="AI84" s="2"/>
    </row>
    <row r="85" spans="2:35" ht="15" customHeight="1" x14ac:dyDescent="0.3">
      <c r="B85" s="139" t="s">
        <v>147</v>
      </c>
      <c r="C85" s="186">
        <v>50</v>
      </c>
      <c r="D85" s="2"/>
      <c r="E85" s="2"/>
      <c r="G85" s="2"/>
      <c r="H85" s="2"/>
      <c r="I85" s="2"/>
      <c r="O85" s="139" t="s">
        <v>147</v>
      </c>
      <c r="P85" s="186">
        <v>50</v>
      </c>
      <c r="Q85" s="2"/>
      <c r="R85" s="2"/>
      <c r="T85" s="2"/>
      <c r="U85" s="2"/>
      <c r="V85" s="2"/>
      <c r="AB85" s="139" t="s">
        <v>147</v>
      </c>
      <c r="AC85" s="186">
        <v>50</v>
      </c>
      <c r="AD85" s="2"/>
      <c r="AE85" s="2"/>
      <c r="AG85" s="2"/>
      <c r="AH85" s="2"/>
      <c r="AI85" s="2"/>
    </row>
    <row r="86" spans="2:35" ht="15" customHeight="1" x14ac:dyDescent="0.3">
      <c r="B86" s="16" t="s">
        <v>148</v>
      </c>
      <c r="C86" s="141">
        <f t="array" ref="C86">INDEX($A79:$A80,MATCH(C85,$A79:$A80,1))</f>
        <v>50</v>
      </c>
      <c r="D86" s="2"/>
      <c r="E86" s="42"/>
      <c r="G86" s="2"/>
      <c r="H86" s="2"/>
      <c r="I86" s="2"/>
      <c r="O86" s="16" t="s">
        <v>148</v>
      </c>
      <c r="P86" s="141">
        <f t="array" ref="P86">INDEX($N79:$N80,MATCH(P85,$N79:$N80,1))</f>
        <v>50</v>
      </c>
      <c r="Q86" s="2"/>
      <c r="R86" s="42"/>
      <c r="T86" s="2"/>
      <c r="U86" s="2"/>
      <c r="V86" s="2"/>
      <c r="AB86" s="16" t="s">
        <v>148</v>
      </c>
      <c r="AC86" s="141">
        <f t="array" ref="AC86">INDEX($AA79:$AA80,MATCH(AC85,$AA79:$AA80,1))</f>
        <v>50</v>
      </c>
      <c r="AD86" s="2"/>
      <c r="AE86" s="42"/>
      <c r="AG86" s="2"/>
      <c r="AH86" s="2"/>
      <c r="AI86" s="2"/>
    </row>
    <row r="87" spans="2:35" ht="15" customHeight="1" x14ac:dyDescent="0.3">
      <c r="B87" s="16" t="s">
        <v>149</v>
      </c>
      <c r="C87" s="141">
        <f t="array" ref="C87">INDEX($A79:$A80,IF(MATCH(C85,$A79:$A80,1)&lt;E83,MATCH(C85,$A79:$A80,1)+1,MATCH(C85,$A79:$A80,1)))</f>
        <v>50</v>
      </c>
      <c r="D87" s="2"/>
      <c r="E87" s="42"/>
      <c r="G87" s="2"/>
      <c r="H87" s="2"/>
      <c r="I87" s="2"/>
      <c r="O87" s="16" t="s">
        <v>149</v>
      </c>
      <c r="P87" s="141">
        <f t="array" ref="P87">INDEX($N79:$N80,IF(MATCH(P85,$N79:$N80,1)&lt;R83,MATCH(P85,$N79:$N80,1)+1,MATCH(P85,$N79:$N80,1)))</f>
        <v>50</v>
      </c>
      <c r="Q87" s="2"/>
      <c r="R87" s="42"/>
      <c r="T87" s="2"/>
      <c r="U87" s="2"/>
      <c r="V87" s="2"/>
      <c r="AB87" s="16" t="s">
        <v>149</v>
      </c>
      <c r="AC87" s="141">
        <f t="array" ref="AC87">INDEX($AA79:$AA80,IF(MATCH(AC85,$AA79:$AA80,1)&lt;AE83,MATCH(AC85,$AA79:$AA80,1)+1,MATCH(AC85,$AA79:$AA80,1)))</f>
        <v>50</v>
      </c>
      <c r="AD87" s="2"/>
      <c r="AE87" s="42"/>
      <c r="AG87" s="2"/>
      <c r="AH87" s="2"/>
      <c r="AI87" s="2"/>
    </row>
    <row r="88" spans="2:35" ht="15" customHeight="1" x14ac:dyDescent="0.3">
      <c r="B88" s="139" t="s">
        <v>150</v>
      </c>
      <c r="C88" s="140">
        <f t="array" aca="1" ref="C88" ca="1">INDEX($B79:$L80,MATCH(C85,$A79:$A80,1),MATCH(C82,$B78:$L78,1))</f>
        <v>3050</v>
      </c>
      <c r="D88" s="2"/>
      <c r="E88" s="42"/>
      <c r="G88" s="2"/>
      <c r="H88" s="2"/>
      <c r="I88" s="2"/>
      <c r="O88" s="139" t="s">
        <v>150</v>
      </c>
      <c r="P88" s="140">
        <f t="array" aca="1" ref="P88" ca="1">INDEX($O79:$V80,MATCH(P85,$N79:$N80,1),MATCH(P82,$O78:$V78,1))</f>
        <v>3350</v>
      </c>
      <c r="Q88" s="2"/>
      <c r="R88" s="42"/>
      <c r="T88" s="2"/>
      <c r="U88" s="2"/>
      <c r="V88" s="2"/>
      <c r="AB88" s="139" t="s">
        <v>150</v>
      </c>
      <c r="AC88" s="140">
        <f t="array" aca="1" ref="AC88" ca="1">INDEX($AB79:$AJ80,MATCH(AC85,$AA79:$AA80,1),MATCH(AC82,$AB78:$AJ78,1))</f>
        <v>3000</v>
      </c>
      <c r="AD88" s="2"/>
      <c r="AE88" s="42"/>
      <c r="AG88" s="2"/>
      <c r="AH88" s="2"/>
      <c r="AI88" s="2"/>
    </row>
    <row r="89" spans="2:35" ht="15" customHeight="1" x14ac:dyDescent="0.3">
      <c r="B89" s="139" t="s">
        <v>204</v>
      </c>
      <c r="C89" s="140">
        <f t="array" aca="1" ref="C89" ca="1">INDEX($B79:$L80,MATCH(C85,$A79:$A80,1),IF(MATCH(C82,$B78:$L78,1)&lt;E84,MATCH(C82,$B78:$L78,1)+1,MATCH(C85,$A79:$A80,1)))</f>
        <v>3800</v>
      </c>
      <c r="E89" s="42"/>
      <c r="G89" s="2"/>
      <c r="H89" s="2"/>
      <c r="I89" s="2"/>
      <c r="O89" s="139" t="s">
        <v>204</v>
      </c>
      <c r="P89" s="140">
        <f t="array" aca="1" ref="P89" ca="1">INDEX($O79:$V80,MATCH(P85,$N79:$N80,1),IF(MATCH(P82,$O78:$V78,1)&lt;R84,MATCH(P82,$O78:$V78,1)+1,MATCH(P85,$N79:$N80,1)))</f>
        <v>4250</v>
      </c>
      <c r="R89" s="42"/>
      <c r="T89" s="2"/>
      <c r="U89" s="2"/>
      <c r="V89" s="2"/>
      <c r="AB89" s="139" t="s">
        <v>204</v>
      </c>
      <c r="AC89" s="140">
        <f t="array" aca="1" ref="AC89" ca="1">INDEX($AB79:$AJ80,MATCH(AC85,$AA79:$AA80,1),IF(MATCH(AC82,$AB78:$AJ78,1)&lt;AE84,MATCH(AC82,$AB78:$AJ78,1)+1,MATCH(AC85,$AA79:$AA80,1)))</f>
        <v>3750</v>
      </c>
      <c r="AE89" s="42"/>
      <c r="AG89" s="2"/>
      <c r="AH89" s="2"/>
      <c r="AI89" s="2"/>
    </row>
    <row r="90" spans="2:35" ht="15" customHeight="1" x14ac:dyDescent="0.3">
      <c r="B90" s="139" t="s">
        <v>151</v>
      </c>
      <c r="C90" s="140">
        <f t="array" aca="1" ref="C90" ca="1">INDEX($B79:$L80,IF(MATCH(C85,$A79:$A80,1)&lt;E83,MATCH(C85,$A79:$A80,1)+1,MATCH(C85,$A79:$A80,1)),MATCH(C82,$B78:$L78,1))</f>
        <v>3050</v>
      </c>
      <c r="E90" s="42"/>
      <c r="G90" s="2"/>
      <c r="H90" s="2"/>
      <c r="I90" s="2"/>
      <c r="O90" s="139" t="s">
        <v>151</v>
      </c>
      <c r="P90" s="140">
        <f t="array" aca="1" ref="P90" ca="1">INDEX($O79:$V80,IF(MATCH(P85,$N79:$N80,1)&lt;R83,MATCH(P85,$N79:$N80,1)+1,MATCH(P85,$N79:$N80,1)),MATCH(P82,$O78:$V78,1))</f>
        <v>3350</v>
      </c>
      <c r="R90" s="42"/>
      <c r="T90" s="2"/>
      <c r="U90" s="2"/>
      <c r="V90" s="2"/>
      <c r="AB90" s="139" t="s">
        <v>151</v>
      </c>
      <c r="AC90" s="140">
        <f t="array" aca="1" ref="AC90" ca="1">INDEX($AB79:$AJ80,IF(MATCH(AC85,$AA79:$AA80,1)&lt;AE83,MATCH(AC85,$AA79:$AA80,1)+1,MATCH(AC85,$AA79:$AA80,1)),MATCH(AC82,$AB78:$AJ78,1))</f>
        <v>3000</v>
      </c>
      <c r="AE90" s="42"/>
      <c r="AG90" s="2"/>
      <c r="AH90" s="2"/>
      <c r="AI90" s="2"/>
    </row>
    <row r="91" spans="2:35" ht="15" customHeight="1" x14ac:dyDescent="0.3">
      <c r="B91" s="139" t="s">
        <v>205</v>
      </c>
      <c r="C91" s="140">
        <f t="array" aca="1" ref="C91" ca="1">INDEX($B79:$L80,IF(MATCH(C85,$A79:$A80,1)&lt;E83,MATCH(C85,$A79:$A80,1)+1,MATCH(C85,$A79:$A80,1)),IF(MATCH(C82,$B78:$L78,1)&lt;E84,MATCH(C82,$B78:$L78,1)+1,MATCH(C82,$B78:$L78,1)))</f>
        <v>3800</v>
      </c>
      <c r="G91" s="2"/>
      <c r="H91" s="2"/>
      <c r="I91" s="2"/>
      <c r="O91" s="139" t="s">
        <v>205</v>
      </c>
      <c r="P91" s="140">
        <f t="array" aca="1" ref="P91" ca="1">INDEX($O79:$V80,IF(MATCH(P85,$N79:$N80,1)&lt;R83,MATCH(P85,$N79:$N80,1)+1,MATCH(P85,$N79:$N80,1)),IF(MATCH(P82,$O78:$V78,1)&lt;R84,MATCH(P82,$O78:$V78,1)+1,MATCH(P82,$O78:$V78,1)))</f>
        <v>4250</v>
      </c>
      <c r="T91" s="2"/>
      <c r="U91" s="2"/>
      <c r="V91" s="2"/>
      <c r="AB91" s="139" t="s">
        <v>205</v>
      </c>
      <c r="AC91" s="140">
        <f t="array" aca="1" ref="AC91" ca="1">INDEX($AB79:$AJ80,IF(MATCH(AC85,$AA79:$AA80,1)&lt;AE83,MATCH(AC85,$AA79:$AA80,1)+1,MATCH(AC85,$AA79:$AA80,1)),IF(MATCH(AC82,$AB78:$AJ78,1)&lt;AE84,MATCH(AC82,$AB78:$AJ78,1)+1,MATCH(AC82,$AB78:$AJ78,1)))</f>
        <v>3750</v>
      </c>
      <c r="AG91" s="2"/>
      <c r="AH91" s="2"/>
      <c r="AI91" s="2"/>
    </row>
    <row r="92" spans="2:35" ht="15" customHeight="1" x14ac:dyDescent="0.3">
      <c r="B92" s="16" t="s">
        <v>206</v>
      </c>
      <c r="C92" s="141">
        <f ca="1">IFERROR(C88+(C82-C83)*(C89-C88)/(C84-C83),C88)</f>
        <v>3557.6129342627723</v>
      </c>
      <c r="G92" s="2"/>
      <c r="H92" s="2"/>
      <c r="I92" s="2"/>
      <c r="O92" s="16" t="s">
        <v>206</v>
      </c>
      <c r="P92" s="141">
        <f ca="1">IFERROR(P88+(P82-P83)*(P89-P88)/(P84-P83),P88)</f>
        <v>3450.7337091344871</v>
      </c>
      <c r="T92" s="2"/>
      <c r="U92" s="2"/>
      <c r="V92" s="2"/>
      <c r="AB92" s="16" t="s">
        <v>206</v>
      </c>
      <c r="AC92" s="141">
        <f ca="1">IFERROR(AC88+(AC82-AC83)*(AC89-AC88)/(AC84-AC83),AC88)</f>
        <v>3304.9153833286323</v>
      </c>
      <c r="AG92" s="2"/>
      <c r="AH92" s="2"/>
      <c r="AI92" s="2"/>
    </row>
    <row r="93" spans="2:35" ht="15" customHeight="1" x14ac:dyDescent="0.3">
      <c r="B93" s="16" t="s">
        <v>207</v>
      </c>
      <c r="C93" s="141">
        <f ca="1">IFERROR(C90+(C82-C83)*(C91-C90)/(C84-C83),C90)</f>
        <v>3557.6129342627723</v>
      </c>
      <c r="G93" s="2"/>
      <c r="H93" s="2"/>
      <c r="I93" s="2"/>
      <c r="O93" s="16" t="s">
        <v>207</v>
      </c>
      <c r="P93" s="141">
        <f ca="1">IFERROR(P90+(P82-P83)*(P91-P90)/(P84-P83),P90)</f>
        <v>3450.7337091344871</v>
      </c>
      <c r="T93" s="2"/>
      <c r="U93" s="2"/>
      <c r="V93" s="2"/>
      <c r="AB93" s="16" t="s">
        <v>207</v>
      </c>
      <c r="AC93" s="141">
        <f ca="1">IFERROR(AC90+(AC82-AC83)*(AC91-AC90)/(AC84-AC83),AC90)</f>
        <v>3304.9153833286323</v>
      </c>
      <c r="AG93" s="2"/>
      <c r="AH93" s="2"/>
      <c r="AI93" s="2"/>
    </row>
    <row r="94" spans="2:35" ht="15" customHeight="1" x14ac:dyDescent="0.3">
      <c r="B94" s="139" t="s">
        <v>208</v>
      </c>
      <c r="C94" s="140">
        <f ca="1">IFERROR(C92+(C85-C86)*(C93-C92)/(C87-C86),C92)</f>
        <v>3557.6129342627723</v>
      </c>
      <c r="G94" s="2"/>
      <c r="H94" s="2"/>
      <c r="I94" s="2"/>
      <c r="O94" s="139" t="s">
        <v>208</v>
      </c>
      <c r="P94" s="140">
        <f ca="1">IFERROR(P92+(P85-P86)*(P93-P92)/(P87-P86),P92)</f>
        <v>3450.7337091344871</v>
      </c>
      <c r="T94" s="2"/>
      <c r="U94" s="2"/>
      <c r="V94" s="2"/>
      <c r="AB94" s="139" t="s">
        <v>208</v>
      </c>
      <c r="AC94" s="140">
        <f ca="1">IFERROR(AC92+(AC85-AC86)*(AC93-AC92)/(AC87-AC86),AC92)</f>
        <v>3304.9153833286323</v>
      </c>
      <c r="AG94" s="2"/>
      <c r="AH94" s="2"/>
      <c r="AI94" s="2"/>
    </row>
    <row r="95" spans="2:35" ht="15" customHeight="1" x14ac:dyDescent="0.3">
      <c r="B95" t="s">
        <v>155</v>
      </c>
      <c r="C95" s="197">
        <v>1.1499999999999999</v>
      </c>
      <c r="O95" t="s">
        <v>155</v>
      </c>
      <c r="P95" s="197">
        <v>1.1499999999999999</v>
      </c>
      <c r="AB95" t="s">
        <v>155</v>
      </c>
      <c r="AC95" s="197">
        <v>1.1499999999999999</v>
      </c>
    </row>
    <row r="96" spans="2:35" ht="15" customHeight="1" x14ac:dyDescent="0.3">
      <c r="B96" t="s">
        <v>212</v>
      </c>
      <c r="C96" s="20">
        <f ca="1">(C94*C95)/3.28</f>
        <v>1247.3338031713988</v>
      </c>
      <c r="O96" t="s">
        <v>212</v>
      </c>
      <c r="P96" s="20">
        <f ca="1">(P94*P95)/3.28</f>
        <v>1209.8609041172745</v>
      </c>
      <c r="AB96" t="s">
        <v>212</v>
      </c>
      <c r="AC96" s="20">
        <f ca="1">(AC94*AC95)/3.28</f>
        <v>1158.7355764719291</v>
      </c>
    </row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29">
    <mergeCell ref="B3:L3"/>
    <mergeCell ref="O3:Y3"/>
    <mergeCell ref="AB3:AL3"/>
    <mergeCell ref="B4:F4"/>
    <mergeCell ref="O4:S4"/>
    <mergeCell ref="AB4:AF4"/>
    <mergeCell ref="D17:E17"/>
    <mergeCell ref="Q17:R17"/>
    <mergeCell ref="AD17:AE17"/>
    <mergeCell ref="AR17:AS17"/>
    <mergeCell ref="AZ17:BA17"/>
    <mergeCell ref="B31:G31"/>
    <mergeCell ref="O31:T31"/>
    <mergeCell ref="AB31:AG31"/>
    <mergeCell ref="D43:E43"/>
    <mergeCell ref="Q43:R43"/>
    <mergeCell ref="AD43:AE43"/>
    <mergeCell ref="B57:I57"/>
    <mergeCell ref="O57:V57"/>
    <mergeCell ref="AB57:AI57"/>
    <mergeCell ref="D63:E63"/>
    <mergeCell ref="Q63:R63"/>
    <mergeCell ref="AD63:AE63"/>
    <mergeCell ref="B77:I77"/>
    <mergeCell ref="O77:V77"/>
    <mergeCell ref="AB77:AI77"/>
    <mergeCell ref="D82:E82"/>
    <mergeCell ref="Q82:R82"/>
    <mergeCell ref="AD82:AE82"/>
  </mergeCells>
  <conditionalFormatting sqref="B6:F14">
    <cfRule type="colorScale" priority="76">
      <colorScale>
        <cfvo type="min"/>
        <cfvo type="max"/>
        <color rgb="FFFCFCFF"/>
        <color rgb="FFF8696B"/>
      </colorScale>
    </cfRule>
  </conditionalFormatting>
  <conditionalFormatting sqref="B33:F40">
    <cfRule type="colorScale" priority="4">
      <colorScale>
        <cfvo type="min"/>
        <cfvo type="max"/>
        <color rgb="FFFCFCFF"/>
        <color rgb="FFF8696B"/>
      </colorScale>
    </cfRule>
  </conditionalFormatting>
  <conditionalFormatting sqref="B59:J61">
    <cfRule type="colorScale" priority="14">
      <colorScale>
        <cfvo type="min"/>
        <cfvo type="max"/>
        <color rgb="FFFCFCFF"/>
        <color rgb="FFF8696B"/>
      </colorScale>
    </cfRule>
  </conditionalFormatting>
  <conditionalFormatting sqref="B79:K80">
    <cfRule type="colorScale" priority="5">
      <colorScale>
        <cfvo type="min"/>
        <cfvo type="max"/>
        <color rgb="FFFCFCFF"/>
        <color rgb="FFF8696B"/>
      </colorScale>
    </cfRule>
  </conditionalFormatting>
  <conditionalFormatting sqref="K6:M15">
    <cfRule type="colorScale" priority="80">
      <colorScale>
        <cfvo type="min"/>
        <cfvo type="max"/>
        <color rgb="FFFCFCFF"/>
        <color rgb="FFF8696B"/>
      </colorScale>
    </cfRule>
  </conditionalFormatting>
  <conditionalFormatting sqref="O33:R40">
    <cfRule type="colorScale" priority="8">
      <colorScale>
        <cfvo type="min"/>
        <cfvo type="max"/>
        <color rgb="FFFCFCFF"/>
        <color rgb="FFF8696B"/>
      </colorScale>
    </cfRule>
  </conditionalFormatting>
  <conditionalFormatting sqref="O6:S14">
    <cfRule type="colorScale" priority="77">
      <colorScale>
        <cfvo type="min"/>
        <cfvo type="max"/>
        <color rgb="FFFCFCFF"/>
        <color rgb="FFF8696B"/>
      </colorScale>
    </cfRule>
  </conditionalFormatting>
  <conditionalFormatting sqref="O59:U61">
    <cfRule type="colorScale" priority="15">
      <colorScale>
        <cfvo type="min"/>
        <cfvo type="max"/>
        <color rgb="FFFCFCFF"/>
        <color rgb="FFF8696B"/>
      </colorScale>
    </cfRule>
  </conditionalFormatting>
  <conditionalFormatting sqref="O79:U80">
    <cfRule type="colorScale" priority="9">
      <colorScale>
        <cfvo type="min"/>
        <cfvo type="max"/>
        <color rgb="FFFCFCFF"/>
        <color rgb="FFF8696B"/>
      </colorScale>
    </cfRule>
  </conditionalFormatting>
  <conditionalFormatting sqref="X6:Y15">
    <cfRule type="colorScale" priority="79">
      <colorScale>
        <cfvo type="min"/>
        <cfvo type="max"/>
        <color rgb="FFFCFCFF"/>
        <color rgb="FFF8696B"/>
      </colorScale>
    </cfRule>
  </conditionalFormatting>
  <conditionalFormatting sqref="AB33:AE40">
    <cfRule type="colorScale" priority="12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78">
      <colorScale>
        <cfvo type="min"/>
        <cfvo type="max"/>
        <color rgb="FFFCFCFF"/>
        <color rgb="FFF8696B"/>
      </colorScale>
    </cfRule>
  </conditionalFormatting>
  <conditionalFormatting sqref="AB59:AH61">
    <cfRule type="colorScale" priority="16">
      <colorScale>
        <cfvo type="min"/>
        <cfvo type="max"/>
        <color rgb="FFFCFCFF"/>
        <color rgb="FFF8696B"/>
      </colorScale>
    </cfRule>
  </conditionalFormatting>
  <conditionalFormatting sqref="AB79:AI80">
    <cfRule type="colorScale" priority="13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11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C1003"/>
  <sheetViews>
    <sheetView topLeftCell="O40" zoomScaleNormal="100" workbookViewId="0">
      <selection activeCell="AF38" sqref="AF38"/>
    </sheetView>
  </sheetViews>
  <sheetFormatPr defaultColWidth="14.44140625" defaultRowHeight="15" customHeight="1" x14ac:dyDescent="0.3"/>
  <cols>
    <col min="1" max="12" width="9.109375" customWidth="1"/>
    <col min="13" max="13" width="5" customWidth="1"/>
    <col min="14" max="55" width="9.109375" customWidth="1"/>
  </cols>
  <sheetData>
    <row r="1" spans="1:55" ht="14.25" customHeight="1" x14ac:dyDescent="0.3">
      <c r="A1" s="131"/>
      <c r="B1" s="16" t="s">
        <v>195</v>
      </c>
      <c r="C1" s="139" t="s">
        <v>146</v>
      </c>
      <c r="D1" s="225">
        <f ca="1">IF('Take-off'!$C$9="",'Take-off'!$C$16,MAX(0,'Take-off'!$C$16+30*(1013-'Take-off'!$C$9)))</f>
        <v>770</v>
      </c>
      <c r="E1" s="226"/>
      <c r="F1" s="226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240"/>
      <c r="AW1" s="131"/>
      <c r="AX1" s="131"/>
      <c r="AY1" s="131"/>
      <c r="AZ1" s="131"/>
      <c r="BA1" s="131"/>
      <c r="BB1" s="131"/>
      <c r="BC1" s="131"/>
    </row>
    <row r="2" spans="1:55" ht="14.25" customHeight="1" x14ac:dyDescent="0.3">
      <c r="A2" s="131"/>
      <c r="B2" s="16" t="s">
        <v>197</v>
      </c>
      <c r="C2" s="139" t="s">
        <v>147</v>
      </c>
      <c r="D2" s="225">
        <f ca="1">IF('Take-off'!C13='Dropdown lists'!B30, 'Take-off'!$C$8+3, 'Take-off'!$C$8)</f>
        <v>15</v>
      </c>
      <c r="E2" s="227" t="s">
        <v>238</v>
      </c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240"/>
      <c r="AW2" s="131"/>
      <c r="AX2" s="131"/>
      <c r="AY2" s="131"/>
      <c r="AZ2" s="131"/>
      <c r="BA2" s="131"/>
      <c r="BB2" s="131"/>
      <c r="BC2" s="131"/>
    </row>
    <row r="3" spans="1:55" ht="14.25" customHeight="1" x14ac:dyDescent="0.3">
      <c r="A3" s="131"/>
      <c r="B3" s="356" t="s">
        <v>138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131"/>
      <c r="N3" s="131"/>
      <c r="O3" s="356" t="s">
        <v>239</v>
      </c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131"/>
      <c r="AA3" s="131"/>
      <c r="AB3" s="356" t="s">
        <v>240</v>
      </c>
      <c r="AC3" s="356"/>
      <c r="AD3" s="356"/>
      <c r="AE3" s="356"/>
      <c r="AF3" s="356"/>
      <c r="AG3" s="356"/>
      <c r="AH3" s="356"/>
      <c r="AI3" s="356"/>
      <c r="AJ3" s="356"/>
      <c r="AK3" s="356"/>
      <c r="AL3" s="356"/>
      <c r="AM3" s="131"/>
      <c r="AN3" s="131"/>
      <c r="AO3" s="131"/>
      <c r="AP3" s="131"/>
      <c r="AQ3" s="131"/>
      <c r="AR3" s="131"/>
      <c r="AS3" s="131"/>
      <c r="AT3" s="131"/>
      <c r="AU3" s="131"/>
      <c r="AV3" s="240"/>
      <c r="AW3" s="131"/>
      <c r="AX3" s="131"/>
      <c r="AY3" s="131"/>
      <c r="AZ3" s="131"/>
      <c r="BA3" s="131"/>
      <c r="BB3" s="131"/>
      <c r="BC3" s="131"/>
    </row>
    <row r="4" spans="1:55" ht="15" customHeight="1" x14ac:dyDescent="0.3">
      <c r="B4" s="357" t="s">
        <v>241</v>
      </c>
      <c r="C4" s="357"/>
      <c r="D4" s="357"/>
      <c r="E4" s="357"/>
      <c r="F4" s="357"/>
      <c r="G4" s="72"/>
      <c r="H4" s="72"/>
      <c r="I4" s="72"/>
      <c r="J4" s="72"/>
      <c r="K4" s="72"/>
      <c r="L4" s="72"/>
      <c r="M4" s="72"/>
      <c r="O4" s="357" t="s">
        <v>241</v>
      </c>
      <c r="P4" s="357"/>
      <c r="Q4" s="357"/>
      <c r="R4" s="357"/>
      <c r="S4" s="357"/>
      <c r="T4" s="72"/>
      <c r="U4" s="72"/>
      <c r="V4" s="72"/>
      <c r="W4" s="72"/>
      <c r="X4" s="72"/>
      <c r="Y4" s="72"/>
      <c r="Z4" s="139"/>
      <c r="AB4" s="357" t="s">
        <v>241</v>
      </c>
      <c r="AC4" s="357"/>
      <c r="AD4" s="357"/>
      <c r="AE4" s="357"/>
      <c r="AF4" s="357"/>
      <c r="AG4" s="72"/>
      <c r="AH4" s="72"/>
      <c r="AI4" s="72"/>
      <c r="AJ4" s="72"/>
      <c r="AK4" s="72"/>
      <c r="AL4" s="72"/>
      <c r="AM4" s="2"/>
      <c r="AN4" s="2"/>
      <c r="AO4" s="2"/>
      <c r="AP4" s="139"/>
      <c r="AQ4" s="140"/>
      <c r="AU4" s="2"/>
      <c r="AV4" s="2"/>
      <c r="AW4" s="2"/>
      <c r="AX4" s="139"/>
      <c r="AY4" s="140"/>
    </row>
    <row r="5" spans="1:55" ht="15" customHeight="1" x14ac:dyDescent="0.3">
      <c r="A5" t="s">
        <v>242</v>
      </c>
      <c r="B5" s="229">
        <v>-500</v>
      </c>
      <c r="C5" s="232">
        <v>0</v>
      </c>
      <c r="D5" s="230">
        <v>1000</v>
      </c>
      <c r="E5" s="55">
        <v>2000</v>
      </c>
      <c r="F5" s="55">
        <v>3000</v>
      </c>
      <c r="G5" s="231">
        <v>4000</v>
      </c>
      <c r="H5" s="139"/>
      <c r="J5" s="139"/>
      <c r="K5" s="140"/>
      <c r="N5" t="s">
        <v>242</v>
      </c>
      <c r="O5" s="229">
        <v>-500</v>
      </c>
      <c r="P5" s="232">
        <v>0</v>
      </c>
      <c r="Q5" s="230">
        <v>1000</v>
      </c>
      <c r="R5" s="55">
        <v>2000</v>
      </c>
      <c r="S5" s="55">
        <v>3000</v>
      </c>
      <c r="T5" s="231">
        <v>4000</v>
      </c>
      <c r="U5" s="139"/>
      <c r="V5" s="140"/>
      <c r="X5" s="140"/>
      <c r="AA5" t="s">
        <v>242</v>
      </c>
      <c r="AB5" s="229">
        <v>-500</v>
      </c>
      <c r="AC5" s="232">
        <v>0</v>
      </c>
      <c r="AD5" s="230">
        <v>1000</v>
      </c>
      <c r="AE5" s="55">
        <v>2000</v>
      </c>
      <c r="AF5" s="55">
        <v>3000</v>
      </c>
      <c r="AG5" s="231">
        <v>4000</v>
      </c>
      <c r="AH5" s="139"/>
      <c r="AI5" s="140"/>
      <c r="AK5" s="139"/>
      <c r="AL5" s="140"/>
      <c r="AN5" s="139"/>
      <c r="AO5" s="140"/>
      <c r="AS5" s="2"/>
      <c r="AT5" s="2"/>
      <c r="AU5" s="2"/>
      <c r="AV5" s="139"/>
      <c r="AW5" s="140"/>
    </row>
    <row r="6" spans="1:55" ht="15" customHeight="1" x14ac:dyDescent="0.3">
      <c r="A6">
        <v>-40</v>
      </c>
      <c r="B6" s="229">
        <v>3900</v>
      </c>
      <c r="C6" s="232">
        <v>3900</v>
      </c>
      <c r="D6" s="230">
        <v>3900</v>
      </c>
      <c r="E6" s="55">
        <v>4000</v>
      </c>
      <c r="F6" s="55">
        <v>4200</v>
      </c>
      <c r="G6" s="231">
        <v>99999</v>
      </c>
      <c r="H6" s="139"/>
      <c r="J6" s="139"/>
      <c r="K6" s="140"/>
      <c r="N6">
        <v>-40</v>
      </c>
      <c r="O6" s="229">
        <v>3600</v>
      </c>
      <c r="P6" s="232">
        <v>3600</v>
      </c>
      <c r="Q6" s="230">
        <v>3600</v>
      </c>
      <c r="R6" s="55">
        <v>3650</v>
      </c>
      <c r="S6" s="55">
        <v>3800</v>
      </c>
      <c r="T6" s="231">
        <v>99999</v>
      </c>
      <c r="U6" s="139"/>
      <c r="V6" s="140"/>
      <c r="X6" s="140"/>
      <c r="AA6">
        <v>-40</v>
      </c>
      <c r="AB6" s="229">
        <v>3250</v>
      </c>
      <c r="AC6" s="232">
        <v>3250</v>
      </c>
      <c r="AD6" s="230">
        <v>3250</v>
      </c>
      <c r="AE6" s="55">
        <v>3250</v>
      </c>
      <c r="AF6" s="55">
        <v>3250</v>
      </c>
      <c r="AG6" s="231">
        <v>99999</v>
      </c>
      <c r="AH6" s="139"/>
      <c r="AI6" s="140"/>
      <c r="AK6" s="139"/>
      <c r="AL6" s="140"/>
      <c r="AN6" s="139"/>
      <c r="AO6" s="140"/>
      <c r="AS6" s="2"/>
      <c r="AT6" s="2"/>
      <c r="AU6" s="2"/>
      <c r="AV6" s="139"/>
      <c r="AW6" s="140"/>
    </row>
    <row r="7" spans="1:55" ht="15" customHeight="1" x14ac:dyDescent="0.3">
      <c r="A7">
        <v>-30</v>
      </c>
      <c r="B7" s="233">
        <v>3900</v>
      </c>
      <c r="C7" s="72">
        <v>3900</v>
      </c>
      <c r="D7" s="203">
        <v>3900</v>
      </c>
      <c r="E7">
        <v>4000</v>
      </c>
      <c r="F7">
        <v>4200</v>
      </c>
      <c r="G7" s="22">
        <v>99999</v>
      </c>
      <c r="H7" s="139"/>
      <c r="J7" s="139"/>
      <c r="K7" s="140"/>
      <c r="N7">
        <v>-30</v>
      </c>
      <c r="O7" s="233">
        <v>3600</v>
      </c>
      <c r="P7" s="72">
        <v>3600</v>
      </c>
      <c r="Q7" s="203">
        <v>3600</v>
      </c>
      <c r="R7">
        <v>3650</v>
      </c>
      <c r="S7">
        <v>3800</v>
      </c>
      <c r="T7" s="22">
        <v>99999</v>
      </c>
      <c r="U7" s="139"/>
      <c r="V7" s="140"/>
      <c r="X7" s="140"/>
      <c r="AA7">
        <v>-30</v>
      </c>
      <c r="AB7" s="233">
        <v>3250</v>
      </c>
      <c r="AC7" s="72">
        <v>3250</v>
      </c>
      <c r="AD7" s="203">
        <v>3250</v>
      </c>
      <c r="AE7">
        <v>3250</v>
      </c>
      <c r="AF7">
        <v>3250</v>
      </c>
      <c r="AG7" s="22">
        <v>99999</v>
      </c>
      <c r="AH7" s="139"/>
      <c r="AI7" s="140"/>
      <c r="AK7" s="139"/>
      <c r="AL7" s="140"/>
      <c r="AN7" s="139"/>
      <c r="AO7" s="140"/>
      <c r="AS7" s="2"/>
      <c r="AT7" s="2"/>
      <c r="AU7" s="2"/>
      <c r="AV7" s="139"/>
      <c r="AW7" s="140"/>
    </row>
    <row r="8" spans="1:55" ht="15" customHeight="1" x14ac:dyDescent="0.3">
      <c r="A8">
        <v>-20</v>
      </c>
      <c r="B8" s="233">
        <v>3900</v>
      </c>
      <c r="C8" s="72">
        <v>3900</v>
      </c>
      <c r="D8" s="203">
        <v>4000</v>
      </c>
      <c r="E8">
        <v>4200</v>
      </c>
      <c r="F8">
        <v>4400</v>
      </c>
      <c r="G8" s="22">
        <v>99999</v>
      </c>
      <c r="H8" s="139"/>
      <c r="J8" s="139"/>
      <c r="K8" s="140"/>
      <c r="N8">
        <v>-20</v>
      </c>
      <c r="O8" s="233">
        <v>3600</v>
      </c>
      <c r="P8" s="72">
        <v>3600</v>
      </c>
      <c r="Q8" s="203">
        <v>3700</v>
      </c>
      <c r="R8">
        <v>3850</v>
      </c>
      <c r="S8">
        <v>4050</v>
      </c>
      <c r="T8" s="22">
        <v>99999</v>
      </c>
      <c r="U8" s="139"/>
      <c r="V8" s="140"/>
      <c r="X8" s="140"/>
      <c r="AA8">
        <v>-20</v>
      </c>
      <c r="AB8" s="233">
        <v>3250</v>
      </c>
      <c r="AC8" s="72">
        <v>3250</v>
      </c>
      <c r="AD8" s="203">
        <v>3300</v>
      </c>
      <c r="AE8">
        <v>3500</v>
      </c>
      <c r="AF8">
        <v>3700</v>
      </c>
      <c r="AG8" s="22">
        <v>99999</v>
      </c>
      <c r="AH8" s="139"/>
      <c r="AI8" s="140"/>
      <c r="AK8" s="139"/>
      <c r="AL8" s="140"/>
      <c r="AN8" s="139"/>
      <c r="AO8" s="140"/>
      <c r="AS8" s="2"/>
      <c r="AT8" s="2"/>
      <c r="AU8" s="2"/>
      <c r="AV8" s="139"/>
      <c r="AW8" s="140"/>
    </row>
    <row r="9" spans="1:55" ht="15" customHeight="1" x14ac:dyDescent="0.3">
      <c r="A9">
        <v>-10</v>
      </c>
      <c r="B9" s="233">
        <v>4000</v>
      </c>
      <c r="C9" s="72">
        <v>4000</v>
      </c>
      <c r="D9" s="203">
        <v>4200</v>
      </c>
      <c r="E9">
        <v>4400</v>
      </c>
      <c r="F9">
        <v>4600</v>
      </c>
      <c r="G9" s="22">
        <v>99999</v>
      </c>
      <c r="H9" s="139"/>
      <c r="J9" s="139"/>
      <c r="K9" s="140"/>
      <c r="N9">
        <v>-10</v>
      </c>
      <c r="O9" s="233">
        <v>3700</v>
      </c>
      <c r="P9" s="72">
        <v>3700</v>
      </c>
      <c r="Q9" s="203">
        <v>3900</v>
      </c>
      <c r="R9">
        <v>4050</v>
      </c>
      <c r="S9">
        <v>4250</v>
      </c>
      <c r="T9" s="22">
        <v>99999</v>
      </c>
      <c r="U9" s="139"/>
      <c r="V9" s="140"/>
      <c r="X9" s="140"/>
      <c r="AA9">
        <v>-10</v>
      </c>
      <c r="AB9" s="233">
        <v>3350</v>
      </c>
      <c r="AC9" s="72">
        <v>3350</v>
      </c>
      <c r="AD9" s="203">
        <v>3550</v>
      </c>
      <c r="AE9">
        <v>3730</v>
      </c>
      <c r="AF9">
        <v>3900</v>
      </c>
      <c r="AG9" s="22">
        <v>99999</v>
      </c>
      <c r="AH9" s="139"/>
      <c r="AI9" s="140"/>
      <c r="AK9" s="139"/>
      <c r="AL9" s="140"/>
      <c r="AN9" s="139"/>
      <c r="AO9" s="140"/>
      <c r="AS9" s="2"/>
      <c r="AT9" s="2"/>
      <c r="AU9" s="2"/>
      <c r="AV9" s="139"/>
      <c r="AW9" s="140"/>
    </row>
    <row r="10" spans="1:55" ht="15" customHeight="1" x14ac:dyDescent="0.3">
      <c r="A10">
        <v>0</v>
      </c>
      <c r="B10" s="233">
        <v>4200</v>
      </c>
      <c r="C10" s="72">
        <v>4200</v>
      </c>
      <c r="D10" s="203">
        <v>4400</v>
      </c>
      <c r="E10">
        <v>4650</v>
      </c>
      <c r="F10">
        <v>4850</v>
      </c>
      <c r="G10" s="22">
        <v>99999</v>
      </c>
      <c r="H10" s="139"/>
      <c r="J10" s="139"/>
      <c r="K10" s="140"/>
      <c r="N10">
        <v>0</v>
      </c>
      <c r="O10" s="233">
        <v>3850</v>
      </c>
      <c r="P10" s="72">
        <v>3850</v>
      </c>
      <c r="Q10" s="203">
        <v>4050</v>
      </c>
      <c r="R10">
        <v>4250</v>
      </c>
      <c r="S10">
        <v>4450</v>
      </c>
      <c r="T10" s="22">
        <v>99999</v>
      </c>
      <c r="U10" s="139"/>
      <c r="V10" s="140"/>
      <c r="X10" s="140"/>
      <c r="AA10">
        <v>0</v>
      </c>
      <c r="AB10" s="233">
        <v>3550</v>
      </c>
      <c r="AC10" s="72">
        <v>3550</v>
      </c>
      <c r="AD10" s="203">
        <v>3700</v>
      </c>
      <c r="AE10">
        <v>3900</v>
      </c>
      <c r="AF10">
        <v>4100</v>
      </c>
      <c r="AG10" s="22">
        <v>99999</v>
      </c>
      <c r="AH10" s="139"/>
      <c r="AI10" s="140"/>
      <c r="AK10" s="139"/>
      <c r="AL10" s="140"/>
      <c r="AN10" s="139"/>
      <c r="AO10" s="140"/>
      <c r="AS10" s="2"/>
      <c r="AT10" s="2"/>
      <c r="AU10" s="2"/>
      <c r="AV10" s="139"/>
      <c r="AW10" s="140"/>
    </row>
    <row r="11" spans="1:55" ht="15" customHeight="1" x14ac:dyDescent="0.3">
      <c r="A11">
        <v>10</v>
      </c>
      <c r="B11" s="233">
        <v>4450</v>
      </c>
      <c r="C11" s="72">
        <v>4450</v>
      </c>
      <c r="D11" s="203">
        <v>4650</v>
      </c>
      <c r="E11">
        <v>4850</v>
      </c>
      <c r="F11">
        <v>5100</v>
      </c>
      <c r="G11" s="22">
        <v>99999</v>
      </c>
      <c r="H11" s="139"/>
      <c r="J11" s="139"/>
      <c r="K11" s="140"/>
      <c r="N11">
        <v>10</v>
      </c>
      <c r="O11" s="233">
        <v>4050</v>
      </c>
      <c r="P11" s="72">
        <v>4050</v>
      </c>
      <c r="Q11" s="203">
        <v>4250</v>
      </c>
      <c r="R11">
        <v>4450</v>
      </c>
      <c r="S11">
        <v>4700</v>
      </c>
      <c r="T11" s="22">
        <v>99999</v>
      </c>
      <c r="U11" s="139"/>
      <c r="V11" s="140"/>
      <c r="X11" s="140"/>
      <c r="AA11">
        <v>10</v>
      </c>
      <c r="AB11" s="233">
        <v>3700</v>
      </c>
      <c r="AC11" s="72">
        <v>3700</v>
      </c>
      <c r="AD11" s="203">
        <v>3850</v>
      </c>
      <c r="AE11">
        <v>4100</v>
      </c>
      <c r="AF11">
        <v>4300</v>
      </c>
      <c r="AG11" s="22">
        <v>99999</v>
      </c>
      <c r="AH11" s="139"/>
      <c r="AI11" s="140"/>
      <c r="AK11" s="139"/>
      <c r="AL11" s="140"/>
      <c r="AN11" s="139"/>
      <c r="AO11" s="140"/>
      <c r="AS11" s="2"/>
      <c r="AT11" s="2"/>
      <c r="AU11" s="2"/>
      <c r="AV11" s="139"/>
      <c r="AW11" s="140"/>
    </row>
    <row r="12" spans="1:55" ht="15" customHeight="1" x14ac:dyDescent="0.3">
      <c r="A12">
        <v>20</v>
      </c>
      <c r="B12" s="233">
        <v>4625</v>
      </c>
      <c r="C12" s="72">
        <v>4625</v>
      </c>
      <c r="D12" s="203">
        <v>4850</v>
      </c>
      <c r="E12">
        <v>5100</v>
      </c>
      <c r="F12">
        <v>5400</v>
      </c>
      <c r="G12" s="22">
        <v>99999</v>
      </c>
      <c r="H12" s="139"/>
      <c r="J12" s="139"/>
      <c r="K12" s="140"/>
      <c r="N12">
        <v>20</v>
      </c>
      <c r="O12" s="233">
        <v>4250</v>
      </c>
      <c r="P12" s="72">
        <v>4250</v>
      </c>
      <c r="Q12" s="203">
        <v>4400</v>
      </c>
      <c r="R12">
        <v>4650</v>
      </c>
      <c r="S12">
        <v>4950</v>
      </c>
      <c r="T12" s="22">
        <v>99999</v>
      </c>
      <c r="U12" s="139"/>
      <c r="V12" s="140"/>
      <c r="X12" s="140"/>
      <c r="AA12">
        <v>20</v>
      </c>
      <c r="AB12" s="233">
        <v>3900</v>
      </c>
      <c r="AC12" s="72">
        <v>3900</v>
      </c>
      <c r="AD12" s="203">
        <v>4100</v>
      </c>
      <c r="AE12">
        <v>4300</v>
      </c>
      <c r="AF12">
        <v>4500</v>
      </c>
      <c r="AG12" s="22">
        <v>99999</v>
      </c>
      <c r="AH12" s="139"/>
      <c r="AI12" s="140"/>
      <c r="AK12" s="139"/>
      <c r="AL12" s="140"/>
      <c r="AN12" s="139"/>
      <c r="AO12" s="140"/>
      <c r="AS12" s="2"/>
      <c r="AT12" s="2"/>
      <c r="AU12" s="2"/>
      <c r="AV12" s="139"/>
      <c r="AW12" s="140"/>
    </row>
    <row r="13" spans="1:55" ht="15" customHeight="1" x14ac:dyDescent="0.3">
      <c r="A13">
        <v>30</v>
      </c>
      <c r="B13" s="233">
        <v>4800</v>
      </c>
      <c r="C13" s="72">
        <v>4800</v>
      </c>
      <c r="D13" s="203">
        <v>5050</v>
      </c>
      <c r="E13">
        <v>5300</v>
      </c>
      <c r="F13">
        <v>5650</v>
      </c>
      <c r="G13" s="22">
        <v>99999</v>
      </c>
      <c r="H13" s="139"/>
      <c r="J13" s="139"/>
      <c r="K13" s="140"/>
      <c r="N13">
        <v>30</v>
      </c>
      <c r="O13" s="233">
        <v>4450</v>
      </c>
      <c r="P13" s="72">
        <v>4450</v>
      </c>
      <c r="Q13" s="203">
        <v>4700</v>
      </c>
      <c r="R13">
        <v>4900</v>
      </c>
      <c r="S13">
        <v>5150</v>
      </c>
      <c r="T13" s="22">
        <v>99999</v>
      </c>
      <c r="U13" s="139"/>
      <c r="V13" s="140"/>
      <c r="X13" s="140"/>
      <c r="AA13">
        <v>30</v>
      </c>
      <c r="AB13" s="233">
        <v>4050</v>
      </c>
      <c r="AC13" s="72">
        <v>4050</v>
      </c>
      <c r="AD13" s="203">
        <v>4300</v>
      </c>
      <c r="AE13">
        <v>4500</v>
      </c>
      <c r="AF13">
        <v>4750</v>
      </c>
      <c r="AG13" s="22">
        <v>99999</v>
      </c>
      <c r="AH13" s="139"/>
      <c r="AI13" s="140"/>
      <c r="AK13" s="139"/>
      <c r="AL13" s="140"/>
      <c r="AN13" s="139"/>
      <c r="AO13" s="140"/>
      <c r="AS13" s="2"/>
      <c r="AT13" s="2"/>
      <c r="AU13" s="2"/>
      <c r="AV13" s="139"/>
      <c r="AW13" s="140"/>
    </row>
    <row r="14" spans="1:55" ht="15" customHeight="1" x14ac:dyDescent="0.3">
      <c r="A14">
        <v>40</v>
      </c>
      <c r="B14" s="233">
        <v>5050</v>
      </c>
      <c r="C14" s="72">
        <v>5050</v>
      </c>
      <c r="D14" s="203">
        <v>5300</v>
      </c>
      <c r="E14">
        <v>5600</v>
      </c>
      <c r="F14">
        <v>5950</v>
      </c>
      <c r="G14" s="22">
        <v>99999</v>
      </c>
      <c r="H14" s="139"/>
      <c r="J14" s="139"/>
      <c r="K14" s="140"/>
      <c r="N14">
        <v>40</v>
      </c>
      <c r="O14" s="233">
        <v>4650</v>
      </c>
      <c r="P14" s="72">
        <v>4650</v>
      </c>
      <c r="Q14" s="203">
        <v>4900</v>
      </c>
      <c r="R14">
        <v>5150</v>
      </c>
      <c r="S14">
        <v>5500</v>
      </c>
      <c r="T14" s="22">
        <v>99999</v>
      </c>
      <c r="U14" s="139"/>
      <c r="V14" s="140"/>
      <c r="X14" s="140"/>
      <c r="AA14">
        <v>40</v>
      </c>
      <c r="AB14" s="233">
        <v>4250</v>
      </c>
      <c r="AC14" s="72">
        <v>4250</v>
      </c>
      <c r="AD14" s="203">
        <v>4500</v>
      </c>
      <c r="AE14">
        <v>4750</v>
      </c>
      <c r="AF14">
        <v>5050</v>
      </c>
      <c r="AG14" s="22">
        <v>99999</v>
      </c>
      <c r="AH14" s="139"/>
      <c r="AI14" s="140"/>
      <c r="AK14" s="139"/>
      <c r="AL14" s="140"/>
      <c r="AN14" s="139"/>
      <c r="AO14" s="140"/>
      <c r="AS14" s="2"/>
      <c r="AT14" s="2"/>
      <c r="AU14" s="2"/>
      <c r="AV14" s="139"/>
      <c r="AW14" s="140"/>
    </row>
    <row r="15" spans="1:55" ht="15" customHeight="1" x14ac:dyDescent="0.3">
      <c r="A15">
        <v>45</v>
      </c>
      <c r="B15" s="234">
        <v>99999</v>
      </c>
      <c r="C15" s="238">
        <v>99999</v>
      </c>
      <c r="D15" s="235">
        <v>99999</v>
      </c>
      <c r="E15" s="235">
        <v>99999</v>
      </c>
      <c r="F15" s="235">
        <v>99999</v>
      </c>
      <c r="G15" s="261">
        <v>99999</v>
      </c>
      <c r="H15" s="139"/>
      <c r="J15" s="139"/>
      <c r="K15" s="140"/>
      <c r="N15">
        <v>45</v>
      </c>
      <c r="O15" s="234">
        <v>99999</v>
      </c>
      <c r="P15" s="238">
        <v>99999</v>
      </c>
      <c r="Q15" s="235">
        <v>99999</v>
      </c>
      <c r="R15" s="235">
        <v>99999</v>
      </c>
      <c r="S15" s="235">
        <v>99999</v>
      </c>
      <c r="T15" s="261">
        <v>99999</v>
      </c>
      <c r="U15" s="139"/>
      <c r="V15" s="140"/>
      <c r="X15" s="140"/>
      <c r="AA15">
        <v>45</v>
      </c>
      <c r="AB15" s="234">
        <v>99999</v>
      </c>
      <c r="AC15" s="238">
        <v>99999</v>
      </c>
      <c r="AD15" s="235">
        <v>99999</v>
      </c>
      <c r="AE15" s="235">
        <v>99999</v>
      </c>
      <c r="AF15" s="235">
        <v>99999</v>
      </c>
      <c r="AG15" s="261">
        <v>99999</v>
      </c>
      <c r="AH15" s="139"/>
      <c r="AI15" s="140"/>
      <c r="AK15" s="139"/>
      <c r="AL15" s="140"/>
      <c r="AN15" s="139"/>
      <c r="AO15" s="140"/>
      <c r="AS15" s="2"/>
      <c r="AT15" s="2"/>
      <c r="AU15" s="2"/>
      <c r="AV15" s="139"/>
      <c r="AW15" s="140"/>
    </row>
    <row r="16" spans="1:55" ht="15" customHeight="1" x14ac:dyDescent="0.3">
      <c r="B16" s="139"/>
      <c r="C16" s="140"/>
      <c r="G16" s="2"/>
      <c r="H16" s="2"/>
      <c r="I16" s="2"/>
      <c r="J16" s="139"/>
      <c r="K16" s="140"/>
      <c r="O16" s="139"/>
      <c r="P16" s="140"/>
      <c r="T16" s="2"/>
      <c r="U16" s="2"/>
      <c r="V16" s="2"/>
      <c r="W16" s="139"/>
      <c r="X16" s="140"/>
      <c r="Z16" s="139"/>
      <c r="AB16" s="139"/>
      <c r="AC16" s="140"/>
      <c r="AG16" s="2"/>
      <c r="AH16" s="2"/>
      <c r="AI16" s="2"/>
      <c r="AJ16" s="139"/>
      <c r="AK16" s="140"/>
      <c r="AM16" s="2"/>
      <c r="AN16" s="2"/>
      <c r="AO16" s="2"/>
      <c r="AP16" s="139"/>
      <c r="AQ16" s="140"/>
      <c r="AU16" s="2"/>
      <c r="AV16" s="2"/>
      <c r="AW16" s="2"/>
      <c r="AX16" s="139"/>
      <c r="AY16" s="140"/>
    </row>
    <row r="17" spans="1:53" ht="15" customHeight="1" x14ac:dyDescent="0.3">
      <c r="B17" s="139" t="s">
        <v>146</v>
      </c>
      <c r="C17" s="140">
        <f ca="1">D1</f>
        <v>770</v>
      </c>
      <c r="D17" s="355" t="s">
        <v>201</v>
      </c>
      <c r="E17" s="355"/>
      <c r="G17" s="2"/>
      <c r="H17" s="2"/>
      <c r="I17" s="2"/>
      <c r="J17" s="139"/>
      <c r="K17" s="140"/>
      <c r="L17" s="72"/>
      <c r="O17" s="139" t="s">
        <v>146</v>
      </c>
      <c r="P17" s="140">
        <f ca="1">D1</f>
        <v>770</v>
      </c>
      <c r="Q17" s="355" t="s">
        <v>201</v>
      </c>
      <c r="R17" s="355"/>
      <c r="T17" s="2"/>
      <c r="U17" s="2"/>
      <c r="V17" s="2"/>
      <c r="W17" s="139"/>
      <c r="X17" s="140"/>
      <c r="Y17" s="72"/>
      <c r="Z17" s="139"/>
      <c r="AB17" s="139" t="s">
        <v>146</v>
      </c>
      <c r="AC17" s="140">
        <f ca="1">D1</f>
        <v>770</v>
      </c>
      <c r="AD17" s="355" t="s">
        <v>201</v>
      </c>
      <c r="AE17" s="355"/>
      <c r="AG17" s="2"/>
      <c r="AH17" s="2"/>
      <c r="AI17" s="2"/>
      <c r="AJ17" s="139"/>
      <c r="AK17" s="140"/>
      <c r="AL17" s="72"/>
      <c r="AM17" s="2"/>
      <c r="AN17" s="2"/>
      <c r="AO17" s="2"/>
      <c r="AP17" s="139"/>
      <c r="AQ17" s="140"/>
      <c r="AR17" s="355"/>
      <c r="AS17" s="355"/>
      <c r="AU17" s="2"/>
      <c r="AV17" s="2"/>
      <c r="AW17" s="2"/>
      <c r="AX17" s="139"/>
      <c r="AY17" s="140"/>
      <c r="AZ17" s="355"/>
      <c r="BA17" s="355"/>
    </row>
    <row r="18" spans="1:53" ht="15" customHeight="1" x14ac:dyDescent="0.3">
      <c r="B18" s="16" t="s">
        <v>202</v>
      </c>
      <c r="C18" s="141">
        <f t="array" aca="1" ref="C18" ca="1">INDEX(B5:G5,MATCH(C17,B5:G5,1))</f>
        <v>0</v>
      </c>
      <c r="D18" s="16" t="s">
        <v>144</v>
      </c>
      <c r="E18" s="17">
        <f>MATCH(MAX(A6:A15),A6:A15,1)</f>
        <v>10</v>
      </c>
      <c r="G18" s="2"/>
      <c r="H18" s="2"/>
      <c r="I18" s="2"/>
      <c r="J18" s="16"/>
      <c r="K18" s="141"/>
      <c r="L18" s="16"/>
      <c r="M18" s="17"/>
      <c r="O18" s="16" t="s">
        <v>202</v>
      </c>
      <c r="P18" s="141">
        <f t="array" aca="1" ref="P18" ca="1">INDEX(O5:T5,MATCH(P17,O5:T5,1))</f>
        <v>0</v>
      </c>
      <c r="Q18" s="16" t="s">
        <v>144</v>
      </c>
      <c r="R18" s="17">
        <f>MATCH(MAX(N6:N15),N6:N15,1)</f>
        <v>10</v>
      </c>
      <c r="T18" s="2"/>
      <c r="U18" s="2"/>
      <c r="V18" s="2"/>
      <c r="W18" s="16"/>
      <c r="X18" s="141"/>
      <c r="Y18" s="16"/>
      <c r="Z18" s="16"/>
      <c r="AB18" s="16" t="s">
        <v>202</v>
      </c>
      <c r="AC18" s="141">
        <f t="array" aca="1" ref="AC18" ca="1">INDEX(AB5:AG5,MATCH(AC17,AB5:AG5,1))</f>
        <v>0</v>
      </c>
      <c r="AD18" s="16" t="s">
        <v>144</v>
      </c>
      <c r="AE18" s="17">
        <f>MATCH(MAX(AA6:AA15),AA6:AA15,1)</f>
        <v>10</v>
      </c>
      <c r="AG18" s="2"/>
      <c r="AH18" s="2"/>
      <c r="AI18" s="2"/>
      <c r="AJ18" s="16"/>
      <c r="AK18" s="141"/>
      <c r="AL18" s="16"/>
      <c r="AM18" s="2"/>
      <c r="AN18" s="2"/>
      <c r="AO18" s="2"/>
      <c r="AP18" s="16"/>
      <c r="AQ18" s="141"/>
      <c r="AR18" s="16"/>
      <c r="AS18" s="17"/>
      <c r="AU18" s="2"/>
      <c r="AV18" s="2"/>
      <c r="AW18" s="2"/>
      <c r="AX18" s="16"/>
      <c r="AY18" s="141"/>
      <c r="AZ18" s="16"/>
      <c r="BA18" s="17"/>
    </row>
    <row r="19" spans="1:53" ht="15" customHeight="1" x14ac:dyDescent="0.3">
      <c r="B19" s="16" t="s">
        <v>203</v>
      </c>
      <c r="C19" s="141">
        <f t="array" aca="1" ref="C19" ca="1">INDEX(B5:G5,IF(MATCH(C17,B5:G5,1)&lt;E19,MATCH(C17,B5:G5,1)+1,MATCH(C17,B5:G5,1)))</f>
        <v>1000</v>
      </c>
      <c r="D19" s="16" t="s">
        <v>145</v>
      </c>
      <c r="E19" s="17">
        <f>MATCH(MAX(B5:G5),B5:G5,0)</f>
        <v>6</v>
      </c>
      <c r="G19" s="2"/>
      <c r="H19" s="2"/>
      <c r="I19" s="2"/>
      <c r="J19" s="16"/>
      <c r="K19" s="141"/>
      <c r="L19" s="16"/>
      <c r="M19" s="17"/>
      <c r="O19" s="16" t="s">
        <v>203</v>
      </c>
      <c r="P19" s="141">
        <f t="array" aca="1" ref="P19" ca="1">INDEX(O5:T5,IF(MATCH(P17,O5:T5,1)&lt;R19,MATCH(P17,O5:T5,1)+1,MATCH(P17,O5:T5,1)))</f>
        <v>1000</v>
      </c>
      <c r="Q19" s="16" t="s">
        <v>145</v>
      </c>
      <c r="R19" s="17">
        <f>MATCH(MAX(O5:T5),O5:T5,0)</f>
        <v>6</v>
      </c>
      <c r="T19" s="2"/>
      <c r="U19" s="2"/>
      <c r="V19" s="2"/>
      <c r="W19" s="16"/>
      <c r="X19" s="141"/>
      <c r="Y19" s="16"/>
      <c r="Z19" s="16"/>
      <c r="AB19" s="16" t="s">
        <v>203</v>
      </c>
      <c r="AC19" s="141">
        <f t="array" aca="1" ref="AC19" ca="1">INDEX(AB5:AG5,IF(MATCH(AC17,AB5:AG5,1)&lt;AE19,MATCH(AC17,AB5:AG5,1)+1,MATCH(AC17,AB5:AG5,1)))</f>
        <v>1000</v>
      </c>
      <c r="AD19" s="16" t="s">
        <v>145</v>
      </c>
      <c r="AE19" s="17">
        <f>MATCH(MAX(AB5:AG5),AB5:AG5,0)</f>
        <v>6</v>
      </c>
      <c r="AG19" s="2"/>
      <c r="AH19" s="2"/>
      <c r="AI19" s="2"/>
      <c r="AJ19" s="16"/>
      <c r="AK19" s="141"/>
      <c r="AL19" s="16"/>
      <c r="AM19" s="2"/>
      <c r="AN19" s="2"/>
      <c r="AO19" s="2"/>
      <c r="AP19" s="16"/>
      <c r="AQ19" s="141"/>
      <c r="AR19" s="16"/>
      <c r="AS19" s="17"/>
      <c r="AU19" s="2"/>
      <c r="AV19" s="2"/>
      <c r="AW19" s="2"/>
      <c r="AX19" s="16"/>
      <c r="AY19" s="141"/>
      <c r="AZ19" s="16"/>
      <c r="BA19" s="17"/>
    </row>
    <row r="20" spans="1:53" ht="15" customHeight="1" x14ac:dyDescent="0.3">
      <c r="B20" s="139" t="s">
        <v>147</v>
      </c>
      <c r="C20" s="186">
        <f ca="1">D2</f>
        <v>15</v>
      </c>
      <c r="D20" s="2"/>
      <c r="E20" s="2"/>
      <c r="G20" s="2"/>
      <c r="H20" s="2"/>
      <c r="I20" s="2"/>
      <c r="J20" s="139"/>
      <c r="K20" s="186"/>
      <c r="L20" s="2"/>
      <c r="M20" s="2"/>
      <c r="O20" s="139" t="s">
        <v>147</v>
      </c>
      <c r="P20" s="186">
        <f ca="1">D2</f>
        <v>15</v>
      </c>
      <c r="Q20" s="2"/>
      <c r="R20" s="2"/>
      <c r="T20" s="2"/>
      <c r="U20" s="2"/>
      <c r="V20" s="2"/>
      <c r="W20" s="139"/>
      <c r="X20" s="186"/>
      <c r="Y20" s="2"/>
      <c r="Z20" s="139"/>
      <c r="AB20" s="139" t="s">
        <v>147</v>
      </c>
      <c r="AC20" s="186">
        <f ca="1">D2</f>
        <v>15</v>
      </c>
      <c r="AD20" s="2"/>
      <c r="AE20" s="2"/>
      <c r="AG20" s="2"/>
      <c r="AH20" s="2"/>
      <c r="AI20" s="2"/>
      <c r="AJ20" s="139"/>
      <c r="AK20" s="186"/>
      <c r="AL20" s="2"/>
      <c r="AM20" s="2"/>
      <c r="AN20" s="2"/>
      <c r="AO20" s="2"/>
      <c r="AP20" s="139"/>
      <c r="AQ20" s="186"/>
      <c r="AR20" s="2"/>
      <c r="AS20" s="2"/>
      <c r="AU20" s="2"/>
      <c r="AV20" s="2"/>
      <c r="AW20" s="2"/>
      <c r="AX20" s="139"/>
      <c r="AY20" s="186"/>
      <c r="AZ20" s="2"/>
      <c r="BA20" s="2"/>
    </row>
    <row r="21" spans="1:53" ht="15" customHeight="1" x14ac:dyDescent="0.3">
      <c r="B21" s="16" t="s">
        <v>148</v>
      </c>
      <c r="C21" s="141">
        <f t="array" aca="1" ref="C21" ca="1">INDEX(A6:A15,MATCH(C20,A6:A15,1))</f>
        <v>10</v>
      </c>
      <c r="D21" s="2"/>
      <c r="E21" s="42"/>
      <c r="G21" s="2"/>
      <c r="H21" s="2"/>
      <c r="I21" s="2"/>
      <c r="J21" s="16"/>
      <c r="K21" s="141"/>
      <c r="L21" s="2"/>
      <c r="M21" s="42"/>
      <c r="O21" s="16" t="s">
        <v>148</v>
      </c>
      <c r="P21" s="141">
        <f t="array" aca="1" ref="P21" ca="1">INDEX(N6:N15,MATCH(P20,N6:N15,1))</f>
        <v>10</v>
      </c>
      <c r="Q21" s="2"/>
      <c r="R21" s="42"/>
      <c r="T21" s="2"/>
      <c r="U21" s="2"/>
      <c r="V21" s="2"/>
      <c r="W21" s="16"/>
      <c r="X21" s="141"/>
      <c r="Y21" s="2"/>
      <c r="Z21" s="16"/>
      <c r="AB21" s="16" t="s">
        <v>148</v>
      </c>
      <c r="AC21" s="141">
        <f t="array" aca="1" ref="AC21" ca="1">INDEX(AA6:AA15,MATCH(AC20,AA6:AA15,1))</f>
        <v>10</v>
      </c>
      <c r="AD21" s="2"/>
      <c r="AE21" s="42"/>
      <c r="AG21" s="2"/>
      <c r="AH21" s="2"/>
      <c r="AI21" s="2"/>
      <c r="AJ21" s="16"/>
      <c r="AK21" s="141"/>
      <c r="AL21" s="2"/>
      <c r="AM21" s="2"/>
      <c r="AN21" s="2"/>
      <c r="AO21" s="2"/>
      <c r="AP21" s="16"/>
      <c r="AQ21" s="141"/>
      <c r="AR21" s="2"/>
      <c r="AS21" s="42"/>
      <c r="AU21" s="2"/>
      <c r="AV21" s="2"/>
      <c r="AW21" s="2"/>
      <c r="AX21" s="16"/>
      <c r="AY21" s="141"/>
      <c r="AZ21" s="2"/>
      <c r="BA21" s="42"/>
    </row>
    <row r="22" spans="1:53" ht="15" customHeight="1" x14ac:dyDescent="0.3">
      <c r="B22" s="16" t="s">
        <v>149</v>
      </c>
      <c r="C22" s="141">
        <f t="array" aca="1" ref="C22" ca="1">INDEX(A6:A15,IF(MATCH(C20,A6:A15,1)&lt;E18,MATCH(C20,A6:A15,1)+1,MATCH(C20,A6:A15,1)))</f>
        <v>20</v>
      </c>
      <c r="D22" s="2"/>
      <c r="E22" s="42"/>
      <c r="G22" s="2"/>
      <c r="H22" s="2"/>
      <c r="I22" s="2"/>
      <c r="J22" s="16"/>
      <c r="K22" s="141"/>
      <c r="L22" s="2"/>
      <c r="M22" s="42"/>
      <c r="O22" s="16" t="s">
        <v>149</v>
      </c>
      <c r="P22" s="141">
        <f t="array" aca="1" ref="P22" ca="1">INDEX(N6:N15,IF(MATCH(P20,N6:N15,1)&lt;R18,MATCH(P20,N6:N15,1)+1,MATCH(P20,N6:N15,1)))</f>
        <v>20</v>
      </c>
      <c r="Q22" s="2"/>
      <c r="R22" s="42"/>
      <c r="T22" s="2"/>
      <c r="U22" s="2"/>
      <c r="V22" s="2"/>
      <c r="W22" s="16"/>
      <c r="X22" s="141"/>
      <c r="Y22" s="2"/>
      <c r="Z22" s="16"/>
      <c r="AB22" s="16" t="s">
        <v>149</v>
      </c>
      <c r="AC22" s="141">
        <f t="array" aca="1" ref="AC22" ca="1">INDEX(AA6:AA15,IF(MATCH(AC20,AA6:AA15,1)&lt;AE18,MATCH(AC20,AA6:AA15,1)+1,MATCH(AC20,AA6:AA15,1)))</f>
        <v>20</v>
      </c>
      <c r="AD22" s="2"/>
      <c r="AE22" s="42"/>
      <c r="AG22" s="2"/>
      <c r="AH22" s="2"/>
      <c r="AI22" s="2"/>
      <c r="AJ22" s="16"/>
      <c r="AK22" s="141"/>
      <c r="AL22" s="2"/>
      <c r="AM22" s="2"/>
      <c r="AN22" s="2"/>
      <c r="AO22" s="2"/>
      <c r="AP22" s="16"/>
      <c r="AQ22" s="141"/>
      <c r="AR22" s="2"/>
      <c r="AS22" s="42"/>
      <c r="AU22" s="2"/>
      <c r="AV22" s="2"/>
      <c r="AW22" s="2"/>
      <c r="AX22" s="16"/>
      <c r="AY22" s="141"/>
      <c r="AZ22" s="2"/>
      <c r="BA22" s="42"/>
    </row>
    <row r="23" spans="1:53" ht="15" customHeight="1" x14ac:dyDescent="0.3">
      <c r="B23" s="139" t="s">
        <v>150</v>
      </c>
      <c r="C23" s="140">
        <f t="array" aca="1" ref="C23" ca="1">INDEX(B6:G15,MATCH(C20,A6:A15,1),MATCH(C17,B5:G5,1))</f>
        <v>4450</v>
      </c>
      <c r="D23" s="2"/>
      <c r="E23" s="42"/>
      <c r="G23" s="2"/>
      <c r="H23" s="2"/>
      <c r="I23" s="2"/>
      <c r="J23" s="139"/>
      <c r="K23" s="140"/>
      <c r="L23" s="2"/>
      <c r="M23" s="42"/>
      <c r="O23" s="139" t="s">
        <v>150</v>
      </c>
      <c r="P23" s="140">
        <f t="array" aca="1" ref="P23" ca="1">INDEX(O6:T15,MATCH(P20,N6:N15,1),MATCH(P17,O5:T5,1))</f>
        <v>4050</v>
      </c>
      <c r="Q23" s="2"/>
      <c r="R23" s="42"/>
      <c r="T23" s="2"/>
      <c r="U23" s="2"/>
      <c r="V23" s="2"/>
      <c r="W23" s="139"/>
      <c r="X23" s="140"/>
      <c r="Y23" s="2"/>
      <c r="Z23" s="139"/>
      <c r="AB23" s="139" t="s">
        <v>150</v>
      </c>
      <c r="AC23" s="140">
        <f t="array" aca="1" ref="AC23" ca="1">INDEX(AB6:AG15,MATCH(AC20,AA6:AA15,1),MATCH(AC17,AB5:AG5,1))</f>
        <v>3700</v>
      </c>
      <c r="AD23" s="2"/>
      <c r="AE23" s="42"/>
      <c r="AG23" s="2"/>
      <c r="AH23" s="2"/>
      <c r="AI23" s="2"/>
      <c r="AJ23" s="139"/>
      <c r="AK23" s="140"/>
      <c r="AL23" s="2"/>
      <c r="AM23" s="2"/>
      <c r="AN23" s="2"/>
      <c r="AO23" s="2"/>
      <c r="AP23" s="139"/>
      <c r="AQ23" s="140"/>
      <c r="AR23" s="2"/>
      <c r="AS23" s="42"/>
      <c r="AU23" s="2"/>
      <c r="AV23" s="2"/>
      <c r="AW23" s="2"/>
      <c r="AX23" s="139"/>
      <c r="AY23" s="140"/>
      <c r="AZ23" s="2"/>
      <c r="BA23" s="42"/>
    </row>
    <row r="24" spans="1:53" ht="15" customHeight="1" x14ac:dyDescent="0.3">
      <c r="B24" s="139" t="s">
        <v>204</v>
      </c>
      <c r="C24" s="140">
        <f t="array" aca="1" ref="C24" ca="1">INDEX(B6:G15,MATCH(C20,A6:A15,1),IF(MATCH(C17,B5:G5,1)&lt;E19,MATCH(C17,B5:G5,1)+1,MATCH(C20,A6:A15,1)))</f>
        <v>4650</v>
      </c>
      <c r="E24" s="42"/>
      <c r="G24" s="2"/>
      <c r="H24" s="2"/>
      <c r="I24" s="2"/>
      <c r="J24" s="139"/>
      <c r="K24" s="140"/>
      <c r="M24" s="42"/>
      <c r="O24" s="139" t="s">
        <v>204</v>
      </c>
      <c r="P24" s="140">
        <f t="array" aca="1" ref="P24" ca="1">INDEX(O6:T15,MATCH(P20,N6:N15,1),IF(MATCH(P17,O5:T5,1)&lt;R19,MATCH(P17,O5:T5,1)+1,MATCH(P20,N6:N15,1)))</f>
        <v>4250</v>
      </c>
      <c r="R24" s="42"/>
      <c r="T24" s="2"/>
      <c r="U24" s="2"/>
      <c r="V24" s="2"/>
      <c r="W24" s="139"/>
      <c r="X24" s="140"/>
      <c r="Z24" s="139"/>
      <c r="AB24" s="139" t="s">
        <v>204</v>
      </c>
      <c r="AC24" s="140">
        <f t="array" aca="1" ref="AC24" ca="1">INDEX(AB6:AG15,MATCH(AC20,AA6:AA15,1),IF(MATCH(AC17,AB5:AG5,1)&lt;AE19,MATCH(AC17,AB5:AG5,1)+1,MATCH(AC20,AA6:AA15,1)))</f>
        <v>3850</v>
      </c>
      <c r="AE24" s="42"/>
      <c r="AG24" s="2"/>
      <c r="AH24" s="2"/>
      <c r="AI24" s="2"/>
      <c r="AJ24" s="139"/>
      <c r="AK24" s="140"/>
      <c r="AM24" s="2"/>
      <c r="AN24" s="2"/>
      <c r="AO24" s="2"/>
      <c r="AP24" s="139"/>
      <c r="AQ24" s="140"/>
      <c r="AS24" s="42"/>
      <c r="AU24" s="2"/>
      <c r="AV24" s="2"/>
      <c r="AW24" s="2"/>
      <c r="AX24" s="139"/>
      <c r="AY24" s="140"/>
      <c r="BA24" s="42"/>
    </row>
    <row r="25" spans="1:53" ht="15" customHeight="1" x14ac:dyDescent="0.3">
      <c r="B25" s="139" t="s">
        <v>151</v>
      </c>
      <c r="C25" s="140">
        <f t="array" aca="1" ref="C25" ca="1">INDEX(B6:G15,IF(MATCH(C20,A6:A15,1)&lt;E18,MATCH(C20,A6:A15,1)+1,MATCH(C20,A6:A15,1)),MATCH(C17,B5:G5,1))</f>
        <v>4625</v>
      </c>
      <c r="E25" s="42"/>
      <c r="G25" s="2"/>
      <c r="H25" s="2"/>
      <c r="I25" s="2"/>
      <c r="J25" s="139"/>
      <c r="K25" s="140"/>
      <c r="M25" s="42"/>
      <c r="O25" s="139" t="s">
        <v>151</v>
      </c>
      <c r="P25" s="140">
        <f t="array" aca="1" ref="P25" ca="1">INDEX(O6:T15,IF(MATCH(P20,N6:N15,1)&lt;R18,MATCH(P20,N6:N15,1)+1,MATCH(P20,N6:N15,1)),MATCH(P17,O5:T5,1))</f>
        <v>4250</v>
      </c>
      <c r="R25" s="42"/>
      <c r="T25" s="2"/>
      <c r="U25" s="2"/>
      <c r="V25" s="2"/>
      <c r="W25" s="139"/>
      <c r="X25" s="140"/>
      <c r="Z25" s="139"/>
      <c r="AB25" s="139" t="s">
        <v>151</v>
      </c>
      <c r="AC25" s="140">
        <f t="array" aca="1" ref="AC25" ca="1">INDEX(AB6:AG15,IF(MATCH(AC20,AA6:AA15,1)&lt;AE18,MATCH(AC20,AA6:AA15,1)+1,MATCH(AC20,AA6:AA15,1)),MATCH(AC17,AB5:AG5,1))</f>
        <v>3900</v>
      </c>
      <c r="AE25" s="42"/>
      <c r="AG25" s="2"/>
      <c r="AH25" s="2"/>
      <c r="AI25" s="2"/>
      <c r="AJ25" s="139"/>
      <c r="AK25" s="140"/>
      <c r="AM25" s="2"/>
      <c r="AN25" s="2"/>
      <c r="AO25" s="2"/>
      <c r="AP25" s="139"/>
      <c r="AQ25" s="140"/>
      <c r="AS25" s="42"/>
      <c r="AU25" s="2"/>
      <c r="AV25" s="2"/>
      <c r="AW25" s="2"/>
      <c r="AX25" s="139"/>
      <c r="AY25" s="140"/>
      <c r="BA25" s="42"/>
    </row>
    <row r="26" spans="1:53" ht="15" customHeight="1" x14ac:dyDescent="0.3">
      <c r="B26" s="139" t="s">
        <v>205</v>
      </c>
      <c r="C26" s="140">
        <f t="array" aca="1" ref="C26" ca="1">INDEX(B6:G15,IF(MATCH(C20,A6:A15,1)&lt;E18,MATCH(C20,A6:A15,1)+1,MATCH(C20,A6:A15,1)),IF(MATCH(C17,B5:G5,1)&lt;E19,MATCH(C17,B5:G5,1)+1,MATCH(C17,B5:G5,1)))</f>
        <v>4850</v>
      </c>
      <c r="G26" s="2"/>
      <c r="H26" s="2"/>
      <c r="I26" s="2"/>
      <c r="J26" s="139"/>
      <c r="K26" s="140"/>
      <c r="O26" s="139" t="s">
        <v>205</v>
      </c>
      <c r="P26" s="140">
        <f t="array" aca="1" ref="P26" ca="1">INDEX(O6:T15,IF(MATCH(P20,N6:N15,1)&lt;R18,MATCH(P20,N6:N15,1)+1,MATCH(P20,N6:N15,1)),IF(MATCH(P17,O5:T5,1)&lt;R19,MATCH(P17,O5:T5,1)+1,MATCH(P17,O5:T5,1)))</f>
        <v>4400</v>
      </c>
      <c r="T26" s="2"/>
      <c r="U26" s="2"/>
      <c r="V26" s="2"/>
      <c r="W26" s="139"/>
      <c r="X26" s="140"/>
      <c r="Z26" s="139"/>
      <c r="AB26" s="139" t="s">
        <v>205</v>
      </c>
      <c r="AC26" s="140">
        <f t="array" aca="1" ref="AC26" ca="1">INDEX(AB6:AG15,IF(MATCH(AC20,AA6:AA15,1)&lt;AE18,MATCH(AC20,AA6:AA15,1)+1,MATCH(AC20,AA6:AA15,1)),IF(MATCH(AC17,AB5:AG5,1)&lt;AE19,MATCH(AC17,AB5:AG5,1)+1,MATCH(AC17,AB5:AG5,1)))</f>
        <v>4100</v>
      </c>
      <c r="AG26" s="2"/>
      <c r="AH26" s="2"/>
      <c r="AI26" s="2"/>
      <c r="AJ26" s="139"/>
      <c r="AK26" s="140"/>
      <c r="AM26" s="2"/>
      <c r="AN26" s="2"/>
      <c r="AO26" s="2"/>
      <c r="AP26" s="139"/>
      <c r="AQ26" s="140"/>
      <c r="AU26" s="2"/>
      <c r="AV26" s="2"/>
      <c r="AW26" s="2"/>
      <c r="AX26" s="139"/>
      <c r="AY26" s="140"/>
    </row>
    <row r="27" spans="1:53" ht="15" customHeight="1" x14ac:dyDescent="0.3">
      <c r="B27" s="16" t="s">
        <v>206</v>
      </c>
      <c r="C27" s="141">
        <f ca="1">IFERROR(C23+(C17-C18)*(C24-C23)/(C19-C18),C23)</f>
        <v>4604</v>
      </c>
      <c r="G27" s="2"/>
      <c r="H27" s="2"/>
      <c r="I27" s="2"/>
      <c r="J27" s="16"/>
      <c r="K27" s="141"/>
      <c r="O27" s="16" t="s">
        <v>206</v>
      </c>
      <c r="P27" s="141">
        <f ca="1">IFERROR(P23+(P17-P18)*(P24-P23)/(P19-P18),P23)</f>
        <v>4204</v>
      </c>
      <c r="T27" s="2"/>
      <c r="U27" s="2"/>
      <c r="V27" s="2"/>
      <c r="W27" s="16"/>
      <c r="X27" s="141"/>
      <c r="Z27" s="16"/>
      <c r="AB27" s="16" t="s">
        <v>206</v>
      </c>
      <c r="AC27" s="141">
        <f ca="1">IFERROR(AC23+(AC17-AC18)*(AC24-AC23)/(AC19-AC18),AC23)</f>
        <v>3815.5</v>
      </c>
      <c r="AG27" s="2"/>
      <c r="AH27" s="2"/>
      <c r="AI27" s="2"/>
      <c r="AJ27" s="16"/>
      <c r="AK27" s="141"/>
      <c r="AM27" s="2"/>
      <c r="AN27" s="2"/>
      <c r="AO27" s="2"/>
      <c r="AP27" s="16"/>
      <c r="AQ27" s="141"/>
      <c r="AU27" s="2"/>
      <c r="AV27" s="2"/>
      <c r="AW27" s="2"/>
      <c r="AX27" s="16"/>
      <c r="AY27" s="141"/>
    </row>
    <row r="28" spans="1:53" ht="15" customHeight="1" x14ac:dyDescent="0.3">
      <c r="B28" s="16" t="s">
        <v>207</v>
      </c>
      <c r="C28" s="141">
        <f ca="1">IFERROR(C25+(C17-C18)*(C26-C25)/(C19-C18),C25)</f>
        <v>4798.25</v>
      </c>
      <c r="G28" s="2"/>
      <c r="H28" s="2"/>
      <c r="I28" s="2"/>
      <c r="J28" s="16"/>
      <c r="K28" s="141"/>
      <c r="O28" s="16" t="s">
        <v>207</v>
      </c>
      <c r="P28" s="141">
        <f ca="1">IFERROR(P25+(P17-P18)*(P26-P25)/(P19-P18),P25)</f>
        <v>4365.5</v>
      </c>
      <c r="T28" s="2"/>
      <c r="U28" s="2"/>
      <c r="V28" s="2"/>
      <c r="W28" s="16"/>
      <c r="X28" s="141"/>
      <c r="Z28" s="16"/>
      <c r="AB28" s="16" t="s">
        <v>207</v>
      </c>
      <c r="AC28" s="141">
        <f ca="1">IFERROR(AC25+(AC17-AC18)*(AC26-AC25)/(AC19-AC18),AC25)</f>
        <v>4054</v>
      </c>
      <c r="AG28" s="2"/>
      <c r="AH28" s="2"/>
      <c r="AI28" s="2"/>
      <c r="AJ28" s="16"/>
      <c r="AK28" s="141"/>
      <c r="AM28" s="2"/>
      <c r="AN28" s="2"/>
      <c r="AO28" s="2"/>
      <c r="AP28" s="16"/>
      <c r="AQ28" s="141"/>
      <c r="AU28" s="2"/>
      <c r="AV28" s="2"/>
      <c r="AW28" s="2"/>
      <c r="AX28" s="16"/>
      <c r="AY28" s="141"/>
    </row>
    <row r="29" spans="1:53" ht="15" customHeight="1" x14ac:dyDescent="0.3">
      <c r="B29" s="139" t="s">
        <v>208</v>
      </c>
      <c r="C29" s="140">
        <f ca="1">IFERROR(C27+(C20-C21)*(C28-C27)/(C22-C21),C27)</f>
        <v>4701.125</v>
      </c>
      <c r="G29" s="2"/>
      <c r="H29" s="2"/>
      <c r="I29" s="2"/>
      <c r="J29" s="139"/>
      <c r="K29" s="140"/>
      <c r="O29" s="139" t="s">
        <v>208</v>
      </c>
      <c r="P29" s="140">
        <f ca="1">IFERROR(P27+(P20-P21)*(P28-P27)/(P22-P21),P27)</f>
        <v>4284.75</v>
      </c>
      <c r="T29" s="2"/>
      <c r="U29" s="2"/>
      <c r="V29" s="2"/>
      <c r="W29" s="139"/>
      <c r="X29" s="140"/>
      <c r="Z29" s="139"/>
      <c r="AB29" s="139" t="s">
        <v>208</v>
      </c>
      <c r="AC29" s="140">
        <f ca="1">IFERROR(AC27+(AC20-AC21)*(AC28-AC27)/(AC22-AC21),AC27)</f>
        <v>3934.75</v>
      </c>
      <c r="AG29" s="2"/>
      <c r="AH29" s="2"/>
      <c r="AI29" s="2"/>
      <c r="AJ29" s="139"/>
      <c r="AK29" s="140"/>
      <c r="AM29" s="2"/>
      <c r="AN29" s="2"/>
      <c r="AO29" s="2"/>
      <c r="AP29" s="139"/>
      <c r="AQ29" s="140"/>
      <c r="AU29" s="2"/>
      <c r="AV29" s="2"/>
      <c r="AW29" s="2"/>
      <c r="AX29" s="139"/>
      <c r="AY29" s="140"/>
    </row>
    <row r="30" spans="1:53" ht="15.75" customHeight="1" x14ac:dyDescent="0.3"/>
    <row r="31" spans="1:53" ht="15" customHeight="1" x14ac:dyDescent="0.3">
      <c r="B31" s="355" t="s">
        <v>209</v>
      </c>
      <c r="C31" s="355"/>
      <c r="D31" s="355"/>
      <c r="E31" s="355"/>
      <c r="F31" s="355"/>
      <c r="G31" s="355"/>
      <c r="H31" s="72"/>
      <c r="I31" s="72"/>
      <c r="J31" s="72"/>
      <c r="K31" s="72"/>
      <c r="L31" s="72"/>
      <c r="M31" s="72"/>
      <c r="O31" s="355" t="s">
        <v>209</v>
      </c>
      <c r="P31" s="355"/>
      <c r="Q31" s="355"/>
      <c r="R31" s="355"/>
      <c r="S31" s="355"/>
      <c r="T31" s="355"/>
      <c r="U31" s="72"/>
      <c r="V31" s="72"/>
      <c r="W31" s="72"/>
      <c r="X31" s="72"/>
      <c r="Y31" s="72"/>
      <c r="AB31" s="355" t="s">
        <v>209</v>
      </c>
      <c r="AC31" s="355"/>
      <c r="AD31" s="355"/>
      <c r="AE31" s="355"/>
      <c r="AF31" s="355"/>
      <c r="AG31" s="355"/>
      <c r="AH31" s="72"/>
      <c r="AI31" s="72"/>
      <c r="AJ31" s="72"/>
      <c r="AK31" s="72"/>
      <c r="AL31" s="72"/>
    </row>
    <row r="32" spans="1:53" ht="15" customHeight="1" x14ac:dyDescent="0.3">
      <c r="A32" t="s">
        <v>35</v>
      </c>
      <c r="B32" s="263">
        <v>3900</v>
      </c>
      <c r="C32" s="269">
        <v>4400</v>
      </c>
      <c r="D32" s="270">
        <v>4950</v>
      </c>
      <c r="E32" s="270">
        <v>5400</v>
      </c>
      <c r="F32" s="270">
        <v>5900</v>
      </c>
      <c r="G32" s="231">
        <v>6000</v>
      </c>
      <c r="N32" t="s">
        <v>35</v>
      </c>
      <c r="O32" s="263">
        <v>3600</v>
      </c>
      <c r="P32" s="269">
        <v>4300</v>
      </c>
      <c r="Q32" s="270">
        <v>5000</v>
      </c>
      <c r="R32" s="270">
        <v>5700</v>
      </c>
      <c r="S32" s="231">
        <v>6000</v>
      </c>
      <c r="AA32" t="s">
        <v>35</v>
      </c>
      <c r="AB32" s="263">
        <v>3250</v>
      </c>
      <c r="AC32" s="269">
        <v>3700</v>
      </c>
      <c r="AD32" s="270">
        <v>4200</v>
      </c>
      <c r="AE32" s="270">
        <v>4750</v>
      </c>
      <c r="AF32" s="231">
        <v>5000</v>
      </c>
    </row>
    <row r="33" spans="1:38" ht="15" customHeight="1" x14ac:dyDescent="0.3">
      <c r="A33">
        <v>10000</v>
      </c>
      <c r="B33" s="229">
        <v>2850</v>
      </c>
      <c r="C33" s="230">
        <v>3200</v>
      </c>
      <c r="D33" s="55">
        <v>3500</v>
      </c>
      <c r="E33" s="55">
        <v>3800</v>
      </c>
      <c r="F33" s="55">
        <v>4100</v>
      </c>
      <c r="G33" s="231">
        <v>99999</v>
      </c>
      <c r="N33">
        <v>10000</v>
      </c>
      <c r="O33" s="229">
        <v>2500</v>
      </c>
      <c r="P33" s="230">
        <v>2900</v>
      </c>
      <c r="Q33" s="55">
        <v>3350</v>
      </c>
      <c r="R33" s="55">
        <v>3800</v>
      </c>
      <c r="S33" s="231">
        <v>99999</v>
      </c>
      <c r="AA33">
        <v>10000</v>
      </c>
      <c r="AB33" s="229">
        <v>2200</v>
      </c>
      <c r="AC33" s="230">
        <v>2450</v>
      </c>
      <c r="AD33" s="55">
        <v>2800</v>
      </c>
      <c r="AE33" s="55">
        <v>3050</v>
      </c>
      <c r="AF33" s="231">
        <v>99999</v>
      </c>
    </row>
    <row r="34" spans="1:38" ht="15" customHeight="1" x14ac:dyDescent="0.3">
      <c r="A34">
        <v>11000</v>
      </c>
      <c r="B34" s="233">
        <v>2900</v>
      </c>
      <c r="C34" s="203">
        <v>3300</v>
      </c>
      <c r="D34">
        <v>3600</v>
      </c>
      <c r="E34">
        <v>3950</v>
      </c>
      <c r="F34">
        <v>4300</v>
      </c>
      <c r="G34" s="22">
        <v>99999</v>
      </c>
      <c r="N34">
        <v>11000</v>
      </c>
      <c r="O34" s="233">
        <v>2600</v>
      </c>
      <c r="P34" s="203">
        <v>3050</v>
      </c>
      <c r="Q34">
        <v>3500</v>
      </c>
      <c r="R34">
        <v>4000</v>
      </c>
      <c r="S34" s="22">
        <v>99999</v>
      </c>
      <c r="AA34">
        <v>11000</v>
      </c>
      <c r="AB34" s="233">
        <v>2300</v>
      </c>
      <c r="AC34" s="203">
        <v>2550</v>
      </c>
      <c r="AD34">
        <v>2900</v>
      </c>
      <c r="AE34">
        <v>3200</v>
      </c>
      <c r="AF34" s="22">
        <v>99999</v>
      </c>
    </row>
    <row r="35" spans="1:38" ht="15" customHeight="1" x14ac:dyDescent="0.3">
      <c r="A35">
        <v>12000</v>
      </c>
      <c r="B35" s="233">
        <v>3000</v>
      </c>
      <c r="C35" s="203">
        <v>3400</v>
      </c>
      <c r="D35">
        <v>3750</v>
      </c>
      <c r="E35">
        <v>4100</v>
      </c>
      <c r="F35">
        <v>4500</v>
      </c>
      <c r="G35" s="22">
        <v>99999</v>
      </c>
      <c r="N35">
        <v>12000</v>
      </c>
      <c r="O35" s="233">
        <v>2700</v>
      </c>
      <c r="P35" s="203">
        <v>3150</v>
      </c>
      <c r="Q35">
        <v>3650</v>
      </c>
      <c r="R35">
        <v>4150</v>
      </c>
      <c r="S35" s="22">
        <v>99999</v>
      </c>
      <c r="AA35">
        <v>12000</v>
      </c>
      <c r="AB35" s="233">
        <v>2350</v>
      </c>
      <c r="AC35" s="203">
        <v>2700</v>
      </c>
      <c r="AD35">
        <v>3000</v>
      </c>
      <c r="AE35">
        <v>3350</v>
      </c>
      <c r="AF35" s="22">
        <v>99999</v>
      </c>
    </row>
    <row r="36" spans="1:38" ht="15" customHeight="1" x14ac:dyDescent="0.3">
      <c r="A36">
        <v>13000</v>
      </c>
      <c r="B36" s="233">
        <v>3100</v>
      </c>
      <c r="C36" s="203">
        <v>3500</v>
      </c>
      <c r="D36">
        <v>3900</v>
      </c>
      <c r="E36">
        <v>4300</v>
      </c>
      <c r="F36">
        <v>4650</v>
      </c>
      <c r="G36" s="22">
        <v>99999</v>
      </c>
      <c r="N36">
        <v>13000</v>
      </c>
      <c r="O36" s="233">
        <v>2750</v>
      </c>
      <c r="P36" s="203">
        <v>3300</v>
      </c>
      <c r="Q36">
        <v>3800</v>
      </c>
      <c r="R36">
        <v>4300</v>
      </c>
      <c r="S36" s="22">
        <v>99999</v>
      </c>
      <c r="AA36">
        <v>13000</v>
      </c>
      <c r="AB36" s="233">
        <v>2500</v>
      </c>
      <c r="AC36" s="203">
        <v>2800</v>
      </c>
      <c r="AD36">
        <v>3150</v>
      </c>
      <c r="AE36">
        <v>3500</v>
      </c>
      <c r="AF36" s="22">
        <v>99999</v>
      </c>
    </row>
    <row r="37" spans="1:38" ht="15" customHeight="1" x14ac:dyDescent="0.3">
      <c r="A37">
        <v>14000</v>
      </c>
      <c r="B37" s="233">
        <v>3250</v>
      </c>
      <c r="C37" s="203">
        <v>3650</v>
      </c>
      <c r="D37">
        <v>4050</v>
      </c>
      <c r="E37">
        <v>4450</v>
      </c>
      <c r="F37">
        <v>4900</v>
      </c>
      <c r="G37" s="22">
        <v>99999</v>
      </c>
      <c r="N37">
        <v>14000</v>
      </c>
      <c r="O37" s="233">
        <v>2850</v>
      </c>
      <c r="P37" s="203">
        <v>3400</v>
      </c>
      <c r="Q37">
        <v>3950</v>
      </c>
      <c r="R37">
        <v>4500</v>
      </c>
      <c r="S37" s="22">
        <v>99999</v>
      </c>
      <c r="AA37">
        <v>14000</v>
      </c>
      <c r="AB37" s="233">
        <v>2550</v>
      </c>
      <c r="AC37" s="203">
        <v>2900</v>
      </c>
      <c r="AD37">
        <v>3280</v>
      </c>
      <c r="AE37">
        <v>3650</v>
      </c>
      <c r="AF37" s="22">
        <v>99999</v>
      </c>
    </row>
    <row r="38" spans="1:38" ht="15" customHeight="1" x14ac:dyDescent="0.3">
      <c r="A38">
        <v>14600</v>
      </c>
      <c r="B38" s="233">
        <v>3300</v>
      </c>
      <c r="C38" s="203">
        <v>3750</v>
      </c>
      <c r="D38">
        <v>4150</v>
      </c>
      <c r="E38">
        <v>4550</v>
      </c>
      <c r="F38">
        <v>5000</v>
      </c>
      <c r="G38" s="22">
        <v>99999</v>
      </c>
      <c r="N38">
        <v>14400</v>
      </c>
      <c r="O38" s="233">
        <v>2900</v>
      </c>
      <c r="P38" s="203">
        <v>3450</v>
      </c>
      <c r="Q38">
        <v>4000</v>
      </c>
      <c r="R38">
        <v>4600</v>
      </c>
      <c r="S38" s="22">
        <v>99999</v>
      </c>
      <c r="AA38">
        <v>14400</v>
      </c>
      <c r="AB38" s="233">
        <v>2650</v>
      </c>
      <c r="AC38" s="203">
        <v>3000</v>
      </c>
      <c r="AD38">
        <v>3350</v>
      </c>
      <c r="AE38">
        <v>3750</v>
      </c>
      <c r="AF38" s="22">
        <v>99999</v>
      </c>
    </row>
    <row r="39" spans="1:38" ht="15" customHeight="1" x14ac:dyDescent="0.3">
      <c r="A39">
        <v>15000</v>
      </c>
      <c r="B39" s="233">
        <v>3450</v>
      </c>
      <c r="C39" s="203">
        <v>3870</v>
      </c>
      <c r="D39">
        <v>4300</v>
      </c>
      <c r="E39">
        <v>4700</v>
      </c>
      <c r="F39">
        <v>5200</v>
      </c>
      <c r="G39" s="22">
        <v>99999</v>
      </c>
      <c r="N39">
        <v>15000</v>
      </c>
      <c r="O39" s="233">
        <v>3100</v>
      </c>
      <c r="P39" s="203">
        <v>3700</v>
      </c>
      <c r="Q39">
        <v>4300</v>
      </c>
      <c r="R39">
        <v>4900</v>
      </c>
      <c r="S39" s="22">
        <v>99999</v>
      </c>
      <c r="AA39">
        <v>15000</v>
      </c>
      <c r="AB39" s="233">
        <v>2750</v>
      </c>
      <c r="AC39" s="203">
        <v>3150</v>
      </c>
      <c r="AD39">
        <v>3600</v>
      </c>
      <c r="AE39">
        <v>3950</v>
      </c>
      <c r="AF39" s="22">
        <v>99999</v>
      </c>
    </row>
    <row r="40" spans="1:38" ht="15" customHeight="1" x14ac:dyDescent="0.3">
      <c r="A40">
        <v>16000</v>
      </c>
      <c r="B40" s="233">
        <v>3700</v>
      </c>
      <c r="C40" s="203">
        <v>4200</v>
      </c>
      <c r="D40">
        <v>4700</v>
      </c>
      <c r="E40">
        <v>5100</v>
      </c>
      <c r="F40">
        <v>5600</v>
      </c>
      <c r="G40" s="22">
        <v>99999</v>
      </c>
      <c r="N40">
        <v>16000</v>
      </c>
      <c r="O40" s="233">
        <v>3400</v>
      </c>
      <c r="P40" s="203">
        <v>4100</v>
      </c>
      <c r="Q40">
        <v>4700</v>
      </c>
      <c r="R40">
        <v>5400</v>
      </c>
      <c r="S40" s="22">
        <v>99999</v>
      </c>
      <c r="AA40">
        <v>16000</v>
      </c>
      <c r="AB40" s="233">
        <v>3100</v>
      </c>
      <c r="AC40" s="203">
        <v>3550</v>
      </c>
      <c r="AD40">
        <v>3950</v>
      </c>
      <c r="AE40">
        <v>4450</v>
      </c>
      <c r="AF40" s="22">
        <v>99999</v>
      </c>
    </row>
    <row r="41" spans="1:38" ht="15" customHeight="1" x14ac:dyDescent="0.3">
      <c r="A41">
        <v>16600</v>
      </c>
      <c r="B41" s="234">
        <v>3900</v>
      </c>
      <c r="C41" s="235">
        <v>4400</v>
      </c>
      <c r="D41" s="68">
        <v>4950</v>
      </c>
      <c r="E41" s="68">
        <v>5400</v>
      </c>
      <c r="F41" s="68">
        <v>5900</v>
      </c>
      <c r="G41" s="22">
        <v>99999</v>
      </c>
      <c r="N41">
        <v>16600</v>
      </c>
      <c r="O41" s="234">
        <v>3600</v>
      </c>
      <c r="P41" s="235">
        <v>4300</v>
      </c>
      <c r="Q41" s="68">
        <v>5000</v>
      </c>
      <c r="R41" s="68">
        <v>5700</v>
      </c>
      <c r="S41" s="22">
        <v>99999</v>
      </c>
      <c r="AA41">
        <v>16600</v>
      </c>
      <c r="AB41" s="234">
        <v>3250</v>
      </c>
      <c r="AC41" s="235">
        <v>3700</v>
      </c>
      <c r="AD41" s="68">
        <v>4200</v>
      </c>
      <c r="AE41" s="68">
        <v>4750</v>
      </c>
      <c r="AF41" s="22">
        <v>99999</v>
      </c>
    </row>
    <row r="42" spans="1:38" ht="15" customHeight="1" x14ac:dyDescent="0.3">
      <c r="A42">
        <v>16700</v>
      </c>
      <c r="B42" s="234">
        <v>99999</v>
      </c>
      <c r="C42" s="235">
        <v>99999</v>
      </c>
      <c r="D42" s="235">
        <v>99999</v>
      </c>
      <c r="E42" s="235">
        <v>99999</v>
      </c>
      <c r="F42" s="235">
        <v>99999</v>
      </c>
      <c r="G42" s="292">
        <v>99999</v>
      </c>
      <c r="H42" s="203"/>
      <c r="I42" s="203"/>
      <c r="J42" s="203"/>
      <c r="K42" s="203"/>
      <c r="L42" s="203"/>
      <c r="M42" s="12"/>
      <c r="N42">
        <v>16700</v>
      </c>
      <c r="O42" s="234">
        <v>99999</v>
      </c>
      <c r="P42" s="235">
        <v>99999</v>
      </c>
      <c r="Q42" s="235">
        <v>99999</v>
      </c>
      <c r="R42" s="235">
        <v>99999</v>
      </c>
      <c r="S42" s="292">
        <v>99999</v>
      </c>
      <c r="T42" s="203"/>
      <c r="U42" s="203"/>
      <c r="V42" s="203"/>
      <c r="W42" s="203"/>
      <c r="X42" s="203"/>
      <c r="AA42">
        <v>16700</v>
      </c>
      <c r="AB42" s="234">
        <v>99999</v>
      </c>
      <c r="AC42" s="235">
        <v>99999</v>
      </c>
      <c r="AD42" s="235">
        <v>99999</v>
      </c>
      <c r="AE42" s="235">
        <v>99999</v>
      </c>
      <c r="AF42" s="292">
        <v>99999</v>
      </c>
      <c r="AG42" s="203"/>
      <c r="AH42" s="203"/>
      <c r="AI42" s="203"/>
      <c r="AJ42" s="203"/>
      <c r="AK42" s="203"/>
    </row>
    <row r="43" spans="1:38" ht="15" customHeight="1" x14ac:dyDescent="0.3">
      <c r="B43" s="139"/>
      <c r="C43" s="140"/>
      <c r="G43" s="2"/>
      <c r="H43" s="2"/>
      <c r="I43" s="2"/>
      <c r="J43" s="139"/>
      <c r="K43" s="140"/>
      <c r="O43" s="139"/>
      <c r="P43" s="140"/>
      <c r="T43" s="2"/>
      <c r="U43" s="2"/>
      <c r="V43" s="2"/>
      <c r="W43" s="139"/>
      <c r="X43" s="140"/>
      <c r="AB43" s="139"/>
      <c r="AC43" s="140"/>
      <c r="AG43" s="2"/>
      <c r="AH43" s="2"/>
      <c r="AI43" s="2"/>
      <c r="AJ43" s="139"/>
      <c r="AK43" s="140"/>
    </row>
    <row r="44" spans="1:38" ht="15" customHeight="1" x14ac:dyDescent="0.3">
      <c r="B44" s="139" t="s">
        <v>146</v>
      </c>
      <c r="C44" s="140">
        <f ca="1">C29</f>
        <v>4701.125</v>
      </c>
      <c r="D44" s="355" t="s">
        <v>201</v>
      </c>
      <c r="E44" s="355"/>
      <c r="G44" s="2"/>
      <c r="H44" s="2"/>
      <c r="I44" s="2"/>
      <c r="J44" s="139"/>
      <c r="K44" s="140"/>
      <c r="L44" s="72"/>
      <c r="O44" s="139" t="s">
        <v>146</v>
      </c>
      <c r="P44" s="140">
        <f ca="1">P29</f>
        <v>4284.75</v>
      </c>
      <c r="Q44" s="355" t="s">
        <v>201</v>
      </c>
      <c r="R44" s="355"/>
      <c r="T44" s="2"/>
      <c r="U44" s="2"/>
      <c r="V44" s="2"/>
      <c r="W44" s="139"/>
      <c r="X44" s="140"/>
      <c r="Y44" s="72"/>
      <c r="AB44" s="139" t="s">
        <v>146</v>
      </c>
      <c r="AC44" s="140">
        <f ca="1">AC29</f>
        <v>3934.75</v>
      </c>
      <c r="AD44" s="355" t="s">
        <v>201</v>
      </c>
      <c r="AE44" s="355"/>
      <c r="AG44" s="2"/>
      <c r="AH44" s="2"/>
      <c r="AI44" s="2"/>
      <c r="AJ44" s="139"/>
      <c r="AK44" s="140"/>
      <c r="AL44" s="72"/>
    </row>
    <row r="45" spans="1:38" ht="15" customHeight="1" x14ac:dyDescent="0.3">
      <c r="B45" s="16" t="s">
        <v>202</v>
      </c>
      <c r="C45" s="141">
        <f t="array" aca="1" ref="C45" ca="1">INDEX(B32:G32,MATCH(C44,B32:G32,1))</f>
        <v>4400</v>
      </c>
      <c r="D45" s="16" t="s">
        <v>144</v>
      </c>
      <c r="E45" s="17">
        <f>MATCH(MAX(A33:A42),A33:A42,1)</f>
        <v>10</v>
      </c>
      <c r="G45" s="2"/>
      <c r="H45" s="2"/>
      <c r="I45" s="2"/>
      <c r="J45" s="16"/>
      <c r="K45" s="141"/>
      <c r="L45" s="16"/>
      <c r="M45" s="17"/>
      <c r="O45" s="16" t="s">
        <v>202</v>
      </c>
      <c r="P45" s="141">
        <f t="array" aca="1" ref="P45" ca="1">INDEX(O32:S32,MATCH(P44,O32:S32,1))</f>
        <v>3600</v>
      </c>
      <c r="Q45" s="16" t="s">
        <v>144</v>
      </c>
      <c r="R45" s="17">
        <f>MATCH(MAX(N33:N42),N33:N42,1)</f>
        <v>10</v>
      </c>
      <c r="T45" s="2"/>
      <c r="U45" s="2"/>
      <c r="V45" s="2"/>
      <c r="W45" s="16"/>
      <c r="X45" s="141"/>
      <c r="Y45" s="16"/>
      <c r="AB45" s="16" t="s">
        <v>202</v>
      </c>
      <c r="AC45" s="141">
        <f t="array" aca="1" ref="AC45" ca="1">INDEX(AB32:AF32,MATCH(AC44,AB32:AF32,1))</f>
        <v>3700</v>
      </c>
      <c r="AD45" s="16" t="s">
        <v>144</v>
      </c>
      <c r="AE45" s="17">
        <f>MATCH(MAX(AA33:AA42),AA33:AA42,1)</f>
        <v>10</v>
      </c>
      <c r="AG45" s="2"/>
      <c r="AH45" s="2"/>
      <c r="AI45" s="2"/>
      <c r="AJ45" s="16"/>
      <c r="AK45" s="141"/>
      <c r="AL45" s="16"/>
    </row>
    <row r="46" spans="1:38" ht="15" customHeight="1" x14ac:dyDescent="0.3">
      <c r="B46" s="16" t="s">
        <v>203</v>
      </c>
      <c r="C46" s="141">
        <f t="array" aca="1" ref="C46" ca="1">INDEX(B32:G32,IF(MATCH(C44,B32:G32,1)&lt;E46,MATCH(C44,B32:G32,1)+1,MATCH(C44,B32:G32,1)))</f>
        <v>4950</v>
      </c>
      <c r="D46" s="16" t="s">
        <v>145</v>
      </c>
      <c r="E46" s="17">
        <f>MATCH(MAX(B32:G32),B32:G32,0)</f>
        <v>6</v>
      </c>
      <c r="G46" s="2"/>
      <c r="H46" s="2"/>
      <c r="I46" s="2"/>
      <c r="J46" s="16"/>
      <c r="K46" s="141"/>
      <c r="L46" s="16"/>
      <c r="M46" s="17"/>
      <c r="O46" s="16" t="s">
        <v>203</v>
      </c>
      <c r="P46" s="141">
        <f t="array" aca="1" ref="P46" ca="1">INDEX(O32:S32,IF(MATCH(P44,O32:S32,1)&lt;R46,MATCH(P44,O32:S32,1)+1,MATCH(P44,O32:S32,1)))</f>
        <v>4300</v>
      </c>
      <c r="Q46" s="16" t="s">
        <v>145</v>
      </c>
      <c r="R46" s="17">
        <f>MATCH(MAX(O32:S32),O32:S32,0)</f>
        <v>5</v>
      </c>
      <c r="T46" s="2"/>
      <c r="U46" s="2"/>
      <c r="V46" s="2"/>
      <c r="W46" s="16"/>
      <c r="X46" s="141"/>
      <c r="Y46" s="16"/>
      <c r="AB46" s="16" t="s">
        <v>203</v>
      </c>
      <c r="AC46" s="141">
        <f t="array" aca="1" ref="AC46" ca="1">INDEX(AB32:AF32,IF(MATCH(AC44,AB32:AF32,1)&lt;AE46,MATCH(AC44,AB32:AF32,1)+1,MATCH(AC44,AB32:AF32,1)))</f>
        <v>4200</v>
      </c>
      <c r="AD46" s="16" t="s">
        <v>145</v>
      </c>
      <c r="AE46" s="17">
        <f>MATCH(MAX(AB32:AF32),AB32:AF32,0)</f>
        <v>5</v>
      </c>
      <c r="AG46" s="2"/>
      <c r="AH46" s="2"/>
      <c r="AI46" s="2"/>
      <c r="AJ46" s="16"/>
      <c r="AK46" s="141"/>
      <c r="AL46" s="16"/>
    </row>
    <row r="47" spans="1:38" ht="15" customHeight="1" x14ac:dyDescent="0.3">
      <c r="B47" s="139" t="s">
        <v>147</v>
      </c>
      <c r="C47" s="186">
        <f>'Take-off'!$C$14</f>
        <v>15800</v>
      </c>
      <c r="D47" s="2"/>
      <c r="E47" s="2"/>
      <c r="G47" s="2"/>
      <c r="H47" s="2"/>
      <c r="I47" s="2"/>
      <c r="J47" s="139"/>
      <c r="K47" s="186"/>
      <c r="L47" s="2"/>
      <c r="M47" s="2"/>
      <c r="O47" s="139" t="s">
        <v>147</v>
      </c>
      <c r="P47" s="186">
        <f>'Take-off'!$C$14</f>
        <v>15800</v>
      </c>
      <c r="Q47" s="2"/>
      <c r="R47" s="2"/>
      <c r="T47" s="2"/>
      <c r="U47" s="2"/>
      <c r="V47" s="2"/>
      <c r="W47" s="139"/>
      <c r="X47" s="186"/>
      <c r="Y47" s="2"/>
      <c r="AB47" s="139" t="s">
        <v>147</v>
      </c>
      <c r="AC47" s="186">
        <f>'Take-off'!$C$14</f>
        <v>15800</v>
      </c>
      <c r="AD47" s="2"/>
      <c r="AE47" s="2"/>
      <c r="AG47" s="2"/>
      <c r="AH47" s="2"/>
      <c r="AI47" s="2"/>
      <c r="AJ47" s="139"/>
      <c r="AK47" s="186"/>
      <c r="AL47" s="2"/>
    </row>
    <row r="48" spans="1:38" ht="15" customHeight="1" x14ac:dyDescent="0.3">
      <c r="B48" s="16" t="s">
        <v>148</v>
      </c>
      <c r="C48" s="141">
        <f t="array" ref="C48">INDEX(A33:A42,MATCH(C47,A33:A42,1))</f>
        <v>15000</v>
      </c>
      <c r="D48" s="2"/>
      <c r="E48" s="42"/>
      <c r="G48" s="2"/>
      <c r="H48" s="2"/>
      <c r="I48" s="2"/>
      <c r="J48" s="16"/>
      <c r="K48" s="141"/>
      <c r="L48" s="2"/>
      <c r="M48" s="42"/>
      <c r="O48" s="16" t="s">
        <v>148</v>
      </c>
      <c r="P48" s="141">
        <f t="array" ref="P48">INDEX(N33:N42,MATCH(P47,N33:N42,1))</f>
        <v>15000</v>
      </c>
      <c r="Q48" s="2"/>
      <c r="R48" s="42"/>
      <c r="T48" s="2"/>
      <c r="U48" s="2"/>
      <c r="V48" s="2"/>
      <c r="W48" s="16"/>
      <c r="X48" s="141"/>
      <c r="Y48" s="2"/>
      <c r="AB48" s="16" t="s">
        <v>148</v>
      </c>
      <c r="AC48" s="141">
        <f t="array" ref="AC48">INDEX(AA33:AA42,MATCH(AC47,AA33:AA42,1))</f>
        <v>15000</v>
      </c>
      <c r="AD48" s="2"/>
      <c r="AE48" s="42"/>
      <c r="AG48" s="2"/>
      <c r="AH48" s="2"/>
      <c r="AI48" s="2"/>
      <c r="AJ48" s="16"/>
      <c r="AK48" s="141"/>
      <c r="AL48" s="2"/>
    </row>
    <row r="49" spans="1:38" ht="15" customHeight="1" x14ac:dyDescent="0.3">
      <c r="B49" s="16" t="s">
        <v>149</v>
      </c>
      <c r="C49" s="141">
        <f t="array" ref="C49">INDEX(A33:A42,IF(MATCH(C47,A33:A42,1)&lt;E45,MATCH(C47,A33:A42,1)+1,MATCH(C47,A33:A42,1)))</f>
        <v>16000</v>
      </c>
      <c r="D49" s="2"/>
      <c r="E49" s="42"/>
      <c r="G49" s="2"/>
      <c r="H49" s="2"/>
      <c r="I49" s="2"/>
      <c r="J49" s="16"/>
      <c r="K49" s="141"/>
      <c r="L49" s="2"/>
      <c r="M49" s="42"/>
      <c r="O49" s="16" t="s">
        <v>149</v>
      </c>
      <c r="P49" s="141">
        <f t="array" ref="P49">INDEX(N33:N42,IF(MATCH(P47,N33:N42,1)&lt;R45,MATCH(P47,N33:N42,1)+1,MATCH(P47,N33:N42,1)))</f>
        <v>16000</v>
      </c>
      <c r="Q49" s="2"/>
      <c r="R49" s="42"/>
      <c r="T49" s="2"/>
      <c r="U49" s="2"/>
      <c r="V49" s="2"/>
      <c r="W49" s="16"/>
      <c r="X49" s="141"/>
      <c r="Y49" s="2"/>
      <c r="AB49" s="16" t="s">
        <v>149</v>
      </c>
      <c r="AC49" s="141">
        <f t="array" ref="AC49">INDEX(AA33:AA42,IF(MATCH(AC47,AA33:AA42,1)&lt;AE45,MATCH(AC47,AA33:AA42,1)+1,MATCH(AC47,AA33:AA42,1)))</f>
        <v>16000</v>
      </c>
      <c r="AD49" s="2"/>
      <c r="AE49" s="42"/>
      <c r="AG49" s="2"/>
      <c r="AH49" s="2"/>
      <c r="AI49" s="2"/>
      <c r="AJ49" s="16"/>
      <c r="AK49" s="141"/>
      <c r="AL49" s="2"/>
    </row>
    <row r="50" spans="1:38" ht="15" customHeight="1" x14ac:dyDescent="0.3">
      <c r="B50" s="139" t="s">
        <v>150</v>
      </c>
      <c r="C50" s="140">
        <f t="array" aca="1" ref="C50" ca="1">INDEX(B33:G42,MATCH(C47,A33:A42,1),MATCH(C44,B32:G32,1))</f>
        <v>3870</v>
      </c>
      <c r="D50" s="2"/>
      <c r="E50" s="42"/>
      <c r="G50" s="2"/>
      <c r="H50" s="2"/>
      <c r="I50" s="2"/>
      <c r="J50" s="139"/>
      <c r="K50" s="140"/>
      <c r="L50" s="2"/>
      <c r="M50" s="42"/>
      <c r="O50" s="139" t="s">
        <v>150</v>
      </c>
      <c r="P50" s="140">
        <f t="array" aca="1" ref="P50" ca="1">INDEX(O33:S42,MATCH(P47,N33:N42,1),MATCH(P44,O32:S32,1))</f>
        <v>3100</v>
      </c>
      <c r="Q50" s="2"/>
      <c r="R50" s="42"/>
      <c r="T50" s="2"/>
      <c r="U50" s="2"/>
      <c r="V50" s="2"/>
      <c r="W50" s="139"/>
      <c r="X50" s="140"/>
      <c r="Y50" s="2"/>
      <c r="AB50" s="139" t="s">
        <v>150</v>
      </c>
      <c r="AC50" s="140">
        <f t="array" aca="1" ref="AC50" ca="1">INDEX(AB33:AF42,MATCH(AC47,AA33:AA42,1),MATCH(AC44,AB32:AF32,1))</f>
        <v>3150</v>
      </c>
      <c r="AD50" s="2"/>
      <c r="AE50" s="42"/>
      <c r="AG50" s="2"/>
      <c r="AH50" s="2"/>
      <c r="AI50" s="2"/>
      <c r="AJ50" s="139"/>
      <c r="AK50" s="140"/>
      <c r="AL50" s="2"/>
    </row>
    <row r="51" spans="1:38" ht="15" customHeight="1" x14ac:dyDescent="0.3">
      <c r="B51" s="139" t="s">
        <v>204</v>
      </c>
      <c r="C51" s="140">
        <f t="array" aca="1" ref="C51" ca="1">INDEX(B33:G42,MATCH(C47,A33:A42,1),IF(MATCH(C44,B32:G32,1)&lt;E46,MATCH(C44,B32:G32,1)+1,MATCH(C47,A33:A42,1)))</f>
        <v>4300</v>
      </c>
      <c r="E51" s="42"/>
      <c r="G51" s="2"/>
      <c r="H51" s="2"/>
      <c r="I51" s="2"/>
      <c r="J51" s="139"/>
      <c r="K51" s="140"/>
      <c r="M51" s="42"/>
      <c r="O51" s="139" t="s">
        <v>204</v>
      </c>
      <c r="P51" s="140">
        <f t="array" aca="1" ref="P51" ca="1">INDEX(O33:S42,MATCH(P47,N33:N42,1),IF(MATCH(P44,O32:S32,1)&lt;R46,MATCH(P44,O32:S32,1)+1,MATCH(P47,N33:N42,1)))</f>
        <v>3700</v>
      </c>
      <c r="R51" s="42"/>
      <c r="T51" s="2"/>
      <c r="U51" s="2"/>
      <c r="V51" s="2"/>
      <c r="W51" s="139"/>
      <c r="X51" s="140"/>
      <c r="AB51" s="139" t="s">
        <v>204</v>
      </c>
      <c r="AC51" s="140">
        <f t="array" aca="1" ref="AC51" ca="1">INDEX(AB33:AF42,MATCH(AC47,AA33:AA42,1),IF(MATCH(AC44,AB32:AF32,1)&lt;AE46,MATCH(AC44,AB32:AF32,1)+1,MATCH(AC47,AA33:AA42,1)))</f>
        <v>3600</v>
      </c>
      <c r="AE51" s="42"/>
      <c r="AG51" s="2"/>
      <c r="AH51" s="2"/>
      <c r="AI51" s="2"/>
      <c r="AJ51" s="139"/>
      <c r="AK51" s="140"/>
    </row>
    <row r="52" spans="1:38" ht="15" customHeight="1" x14ac:dyDescent="0.3">
      <c r="B52" s="139" t="s">
        <v>151</v>
      </c>
      <c r="C52" s="140">
        <f t="array" aca="1" ref="C52" ca="1">INDEX(B33:G42,IF(MATCH(C47,A33:A42,1)&lt;E45,MATCH(C47,A33:A42,1)+1,MATCH(C47,A33:A42,1)),MATCH(C44,B32:G32,1))</f>
        <v>4200</v>
      </c>
      <c r="E52" s="42"/>
      <c r="G52" s="2"/>
      <c r="H52" s="2"/>
      <c r="I52" s="2"/>
      <c r="J52" s="139"/>
      <c r="K52" s="140"/>
      <c r="M52" s="42"/>
      <c r="O52" s="139" t="s">
        <v>151</v>
      </c>
      <c r="P52" s="140">
        <f t="array" aca="1" ref="P52" ca="1">INDEX(O33:S42,IF(MATCH(P47,N33:N42,1)&lt;R45,MATCH(P47,N33:N42,1)+1,MATCH(P47,N33:N42,1)),MATCH(P44,O32:S32,1))</f>
        <v>3400</v>
      </c>
      <c r="R52" s="42"/>
      <c r="T52" s="2"/>
      <c r="U52" s="2"/>
      <c r="V52" s="2"/>
      <c r="W52" s="139"/>
      <c r="X52" s="140"/>
      <c r="AB52" s="139" t="s">
        <v>151</v>
      </c>
      <c r="AC52" s="140">
        <f t="array" aca="1" ref="AC52" ca="1">INDEX(AB33:AF42,IF(MATCH(AC47,AA33:AA42,1)&lt;AE45,MATCH(AC47,AA33:AA42,1)+1,MATCH(AC47,AA33:AA42,1)),MATCH(AC44,AB32:AF32,1))</f>
        <v>3550</v>
      </c>
      <c r="AE52" s="42"/>
      <c r="AG52" s="2"/>
      <c r="AH52" s="2"/>
      <c r="AI52" s="2"/>
      <c r="AJ52" s="139"/>
      <c r="AK52" s="140"/>
    </row>
    <row r="53" spans="1:38" ht="15" customHeight="1" x14ac:dyDescent="0.3">
      <c r="B53" s="139" t="s">
        <v>205</v>
      </c>
      <c r="C53" s="140">
        <f t="array" aca="1" ref="C53" ca="1">INDEX(B33:G42,IF(MATCH(C47,A33:A42,1)&lt;E45,MATCH(C47,A33:A42,1)+1,MATCH(C47,A33:A42,1)),IF(MATCH(C44,B32:G32,1)&lt;E46,MATCH(C44,B32:G32,1)+1,MATCH(C44,B32:G32,1)))</f>
        <v>4700</v>
      </c>
      <c r="G53" s="2"/>
      <c r="H53" s="2"/>
      <c r="I53" s="2"/>
      <c r="J53" s="139"/>
      <c r="K53" s="140"/>
      <c r="O53" s="139" t="s">
        <v>205</v>
      </c>
      <c r="P53" s="140">
        <f t="array" aca="1" ref="P53" ca="1">INDEX(O33:S42,IF(MATCH(P47,N33:N42,1)&lt;R45,MATCH(P47,N33:N42,1)+1,MATCH(P47,N33:N42,1)),IF(MATCH(P44,O32:S32,1)&lt;R46,MATCH(P44,O32:S32,1)+1,MATCH(P44,O32:S32,1)))</f>
        <v>4100</v>
      </c>
      <c r="T53" s="2"/>
      <c r="U53" s="2"/>
      <c r="V53" s="2"/>
      <c r="W53" s="139"/>
      <c r="X53" s="140"/>
      <c r="AB53" s="139" t="s">
        <v>205</v>
      </c>
      <c r="AC53" s="140">
        <f t="array" aca="1" ref="AC53" ca="1">INDEX(AB33:AF42,IF(MATCH(AC47,AA33:AA42,1)&lt;AE45,MATCH(AC47,AA33:AA42,1)+1,MATCH(AC47,AA33:AA42,1)),IF(MATCH(AC44,AB32:AF32,1)&lt;AE46,MATCH(AC44,AB32:AF32,1)+1,MATCH(AC44,AB32:AF32,1)))</f>
        <v>3950</v>
      </c>
      <c r="AG53" s="2"/>
      <c r="AH53" s="2"/>
      <c r="AI53" s="2"/>
      <c r="AJ53" s="139"/>
      <c r="AK53" s="140"/>
    </row>
    <row r="54" spans="1:38" ht="15" customHeight="1" x14ac:dyDescent="0.3">
      <c r="B54" s="16" t="s">
        <v>206</v>
      </c>
      <c r="C54" s="141">
        <f ca="1">IFERROR(C50+(C44-C45)*(C51-C50)/(C46-C45),C50)</f>
        <v>4105.4250000000002</v>
      </c>
      <c r="G54" s="2"/>
      <c r="H54" s="2"/>
      <c r="I54" s="2"/>
      <c r="J54" s="16"/>
      <c r="K54" s="141"/>
      <c r="O54" s="16" t="s">
        <v>206</v>
      </c>
      <c r="P54" s="141">
        <f ca="1">IFERROR(P50+(P44-P45)*(P51-P50)/(P46-P45),P50)</f>
        <v>3686.9285714285716</v>
      </c>
      <c r="T54" s="2"/>
      <c r="U54" s="2"/>
      <c r="V54" s="2"/>
      <c r="W54" s="16"/>
      <c r="X54" s="141"/>
      <c r="AB54" s="16" t="s">
        <v>206</v>
      </c>
      <c r="AC54" s="141">
        <f ca="1">IFERROR(AC50+(AC44-AC45)*(AC51-AC50)/(AC46-AC45),AC50)</f>
        <v>3361.2750000000001</v>
      </c>
      <c r="AG54" s="2"/>
      <c r="AH54" s="2"/>
      <c r="AI54" s="2"/>
      <c r="AJ54" s="16"/>
      <c r="AK54" s="141"/>
    </row>
    <row r="55" spans="1:38" ht="15" customHeight="1" x14ac:dyDescent="0.3">
      <c r="B55" s="16" t="s">
        <v>207</v>
      </c>
      <c r="C55" s="141">
        <f ca="1">IFERROR(C52+(C44-C45)*(C53-C52)/(C46-C45),C52)</f>
        <v>4473.75</v>
      </c>
      <c r="G55" s="2"/>
      <c r="H55" s="2"/>
      <c r="I55" s="2"/>
      <c r="J55" s="16"/>
      <c r="K55" s="141"/>
      <c r="O55" s="16" t="s">
        <v>207</v>
      </c>
      <c r="P55" s="141">
        <f ca="1">IFERROR(P52+(P44-P45)*(P53-P52)/(P46-P45),P52)</f>
        <v>4084.75</v>
      </c>
      <c r="T55" s="2"/>
      <c r="U55" s="2"/>
      <c r="V55" s="2"/>
      <c r="W55" s="16"/>
      <c r="X55" s="141"/>
      <c r="AB55" s="16" t="s">
        <v>207</v>
      </c>
      <c r="AC55" s="141">
        <f ca="1">IFERROR(AC52+(AC44-AC45)*(AC53-AC52)/(AC46-AC45),AC52)</f>
        <v>3737.8</v>
      </c>
      <c r="AG55" s="2"/>
      <c r="AH55" s="2"/>
      <c r="AI55" s="2"/>
      <c r="AJ55" s="16"/>
      <c r="AK55" s="141"/>
    </row>
    <row r="56" spans="1:38" ht="15" customHeight="1" x14ac:dyDescent="0.3">
      <c r="B56" s="139" t="s">
        <v>208</v>
      </c>
      <c r="C56" s="140">
        <f ca="1">IFERROR(C54+(C47-C48)*(C55-C54)/(C49-C48),C54)</f>
        <v>4400.085</v>
      </c>
      <c r="G56" s="2"/>
      <c r="H56" s="2"/>
      <c r="I56" s="2"/>
      <c r="J56" s="139"/>
      <c r="K56" s="140"/>
      <c r="O56" s="139" t="s">
        <v>208</v>
      </c>
      <c r="P56" s="140">
        <f ca="1">IFERROR(P54+(P47-P48)*(P55-P54)/(P49-P48),P54)</f>
        <v>4005.1857142857143</v>
      </c>
      <c r="T56" s="2"/>
      <c r="U56" s="2"/>
      <c r="V56" s="2"/>
      <c r="W56" s="139"/>
      <c r="X56" s="140"/>
      <c r="AB56" s="139" t="s">
        <v>208</v>
      </c>
      <c r="AC56" s="140">
        <f ca="1">IFERROR(AC54+(AC47-AC48)*(AC55-AC54)/(AC49-AC48),AC54)</f>
        <v>3662.4950000000003</v>
      </c>
      <c r="AG56" s="2"/>
      <c r="AH56" s="2"/>
      <c r="AI56" s="2"/>
      <c r="AJ56" s="139"/>
      <c r="AK56" s="140"/>
    </row>
    <row r="58" spans="1:38" ht="15" customHeight="1" x14ac:dyDescent="0.3">
      <c r="B58" s="355" t="s">
        <v>210</v>
      </c>
      <c r="C58" s="355"/>
      <c r="D58" s="355"/>
      <c r="E58" s="355"/>
      <c r="F58" s="355"/>
      <c r="G58" s="355"/>
      <c r="H58" s="355"/>
      <c r="I58" s="355"/>
      <c r="J58" s="72"/>
      <c r="K58" s="72"/>
      <c r="L58" s="72"/>
      <c r="M58" s="72"/>
      <c r="O58" s="355" t="s">
        <v>210</v>
      </c>
      <c r="P58" s="355"/>
      <c r="Q58" s="355"/>
      <c r="R58" s="355"/>
      <c r="S58" s="355"/>
      <c r="T58" s="355"/>
      <c r="U58" s="355"/>
      <c r="V58" s="355"/>
      <c r="W58" s="72"/>
      <c r="X58" s="72"/>
      <c r="Y58" s="72"/>
      <c r="AB58" s="355" t="s">
        <v>210</v>
      </c>
      <c r="AC58" s="355"/>
      <c r="AD58" s="355"/>
      <c r="AE58" s="355"/>
      <c r="AF58" s="355"/>
      <c r="AG58" s="355"/>
      <c r="AH58" s="355"/>
      <c r="AI58" s="355"/>
      <c r="AJ58" s="72"/>
      <c r="AK58" s="72"/>
      <c r="AL58" s="72"/>
    </row>
    <row r="59" spans="1:38" ht="15" customHeight="1" x14ac:dyDescent="0.3">
      <c r="A59" t="s">
        <v>47</v>
      </c>
      <c r="B59" s="232">
        <v>2500</v>
      </c>
      <c r="C59" s="232">
        <v>3000</v>
      </c>
      <c r="D59" s="232">
        <v>3500</v>
      </c>
      <c r="E59" s="232">
        <v>4000</v>
      </c>
      <c r="F59" s="230">
        <v>4500</v>
      </c>
      <c r="G59" s="230">
        <v>5000</v>
      </c>
      <c r="H59" s="230">
        <v>5500</v>
      </c>
      <c r="I59" s="232">
        <v>6000</v>
      </c>
      <c r="J59" s="231">
        <v>6500</v>
      </c>
      <c r="N59" t="s">
        <v>47</v>
      </c>
      <c r="O59" s="229">
        <v>2400</v>
      </c>
      <c r="P59" s="232">
        <v>2800</v>
      </c>
      <c r="Q59" s="232">
        <v>3500</v>
      </c>
      <c r="R59" s="232">
        <v>4350</v>
      </c>
      <c r="S59" s="232">
        <v>5100</v>
      </c>
      <c r="T59" s="232">
        <v>5900</v>
      </c>
      <c r="U59" s="231">
        <v>6000</v>
      </c>
      <c r="AA59" t="s">
        <v>47</v>
      </c>
      <c r="AB59" s="229">
        <v>2200</v>
      </c>
      <c r="AC59" s="232">
        <v>2500</v>
      </c>
      <c r="AD59" s="232">
        <v>3000</v>
      </c>
      <c r="AE59" s="232">
        <v>3500</v>
      </c>
      <c r="AF59" s="232">
        <v>4000</v>
      </c>
      <c r="AG59" s="232">
        <v>4500</v>
      </c>
      <c r="AH59" s="232">
        <v>5000</v>
      </c>
      <c r="AI59" s="237">
        <v>5500</v>
      </c>
      <c r="AJ59" s="12"/>
    </row>
    <row r="60" spans="1:38" ht="15" customHeight="1" x14ac:dyDescent="0.3">
      <c r="A60">
        <v>-10</v>
      </c>
      <c r="B60" s="229">
        <v>3200</v>
      </c>
      <c r="C60" s="232">
        <v>3800</v>
      </c>
      <c r="D60" s="232">
        <v>4450</v>
      </c>
      <c r="E60" s="232">
        <v>5100</v>
      </c>
      <c r="F60" s="232">
        <v>5700</v>
      </c>
      <c r="G60" s="232">
        <v>6350</v>
      </c>
      <c r="H60" s="232">
        <v>6900</v>
      </c>
      <c r="I60" s="232">
        <v>7500</v>
      </c>
      <c r="J60" s="237">
        <v>99999</v>
      </c>
      <c r="N60">
        <v>-10</v>
      </c>
      <c r="O60" s="229">
        <v>3100</v>
      </c>
      <c r="P60" s="232">
        <v>3500</v>
      </c>
      <c r="Q60" s="232">
        <v>4400</v>
      </c>
      <c r="R60" s="232">
        <v>5300</v>
      </c>
      <c r="S60" s="232">
        <v>6300</v>
      </c>
      <c r="T60" s="232">
        <v>7300</v>
      </c>
      <c r="U60" s="237">
        <v>99999</v>
      </c>
      <c r="AA60">
        <v>-10</v>
      </c>
      <c r="AB60" s="229">
        <v>2850</v>
      </c>
      <c r="AC60" s="232">
        <v>3250</v>
      </c>
      <c r="AD60" s="232">
        <v>3850</v>
      </c>
      <c r="AE60" s="232">
        <v>4500</v>
      </c>
      <c r="AF60" s="232">
        <v>5100</v>
      </c>
      <c r="AG60" s="232">
        <v>5550</v>
      </c>
      <c r="AH60" s="232">
        <v>6300</v>
      </c>
      <c r="AI60" s="237">
        <v>99999</v>
      </c>
      <c r="AJ60" s="72"/>
    </row>
    <row r="61" spans="1:38" ht="15" customHeight="1" x14ac:dyDescent="0.3">
      <c r="A61">
        <v>0</v>
      </c>
      <c r="B61" s="233">
        <v>2500</v>
      </c>
      <c r="C61" s="72">
        <v>3000</v>
      </c>
      <c r="D61" s="72">
        <v>3500</v>
      </c>
      <c r="E61" s="72">
        <v>4000</v>
      </c>
      <c r="F61" s="72">
        <v>4500</v>
      </c>
      <c r="G61" s="72">
        <v>5000</v>
      </c>
      <c r="H61" s="72">
        <v>5500</v>
      </c>
      <c r="I61" s="72">
        <v>6000</v>
      </c>
      <c r="J61" s="237">
        <v>99999</v>
      </c>
      <c r="N61">
        <v>0</v>
      </c>
      <c r="O61" s="233">
        <v>2400</v>
      </c>
      <c r="P61" s="72">
        <v>2800</v>
      </c>
      <c r="Q61" s="72">
        <v>3500</v>
      </c>
      <c r="R61" s="72">
        <v>4350</v>
      </c>
      <c r="S61" s="72">
        <v>5100</v>
      </c>
      <c r="T61" s="72">
        <v>5900</v>
      </c>
      <c r="U61" s="237">
        <v>99999</v>
      </c>
      <c r="AA61">
        <v>0</v>
      </c>
      <c r="AB61" s="233">
        <v>2200</v>
      </c>
      <c r="AC61" s="72">
        <v>2500</v>
      </c>
      <c r="AD61" s="72">
        <v>3000</v>
      </c>
      <c r="AE61" s="72">
        <v>3500</v>
      </c>
      <c r="AF61" s="72">
        <v>4000</v>
      </c>
      <c r="AG61" s="72">
        <v>4500</v>
      </c>
      <c r="AH61" s="72">
        <v>5000</v>
      </c>
      <c r="AI61" s="262">
        <v>99999</v>
      </c>
      <c r="AJ61" s="72"/>
    </row>
    <row r="62" spans="1:38" ht="15" customHeight="1" x14ac:dyDescent="0.3">
      <c r="A62">
        <v>30</v>
      </c>
      <c r="B62" s="234">
        <v>2000</v>
      </c>
      <c r="C62" s="238">
        <v>2000</v>
      </c>
      <c r="D62" s="238">
        <v>2250</v>
      </c>
      <c r="E62" s="238">
        <v>2700</v>
      </c>
      <c r="F62" s="238">
        <v>3100</v>
      </c>
      <c r="G62" s="238">
        <v>3500</v>
      </c>
      <c r="H62" s="238">
        <v>3850</v>
      </c>
      <c r="I62" s="238">
        <v>4250</v>
      </c>
      <c r="J62" s="265">
        <v>99999</v>
      </c>
      <c r="N62">
        <v>30</v>
      </c>
      <c r="O62" s="234">
        <v>2000</v>
      </c>
      <c r="P62" s="238">
        <v>2100</v>
      </c>
      <c r="Q62" s="238">
        <v>2700</v>
      </c>
      <c r="R62" s="238">
        <v>3350</v>
      </c>
      <c r="S62" s="238">
        <v>4000</v>
      </c>
      <c r="T62" s="238">
        <v>4650</v>
      </c>
      <c r="U62" s="265">
        <v>99999</v>
      </c>
      <c r="AA62">
        <v>30</v>
      </c>
      <c r="AB62" s="234">
        <v>2000</v>
      </c>
      <c r="AC62" s="238">
        <v>2000</v>
      </c>
      <c r="AD62" s="238">
        <v>2200</v>
      </c>
      <c r="AE62" s="238">
        <v>2600</v>
      </c>
      <c r="AF62" s="238">
        <v>3100</v>
      </c>
      <c r="AG62" s="238">
        <v>3400</v>
      </c>
      <c r="AH62" s="238">
        <v>3850</v>
      </c>
      <c r="AI62" s="239">
        <v>99999</v>
      </c>
      <c r="AJ62" s="72"/>
    </row>
    <row r="63" spans="1:38" ht="15" customHeight="1" x14ac:dyDescent="0.3">
      <c r="B63" s="139"/>
      <c r="C63" s="140"/>
      <c r="G63" s="2"/>
      <c r="H63" s="2"/>
      <c r="I63" s="2"/>
      <c r="J63" s="139"/>
      <c r="K63" s="140"/>
      <c r="O63" s="139"/>
      <c r="P63" s="140"/>
      <c r="T63" s="2"/>
      <c r="U63" s="2"/>
      <c r="V63" s="2"/>
      <c r="W63" s="139"/>
      <c r="X63" s="140"/>
      <c r="AB63" s="139"/>
      <c r="AC63" s="140"/>
      <c r="AG63" s="2"/>
      <c r="AH63" s="2"/>
      <c r="AI63" s="2"/>
      <c r="AJ63" s="139"/>
      <c r="AK63" s="140"/>
    </row>
    <row r="64" spans="1:38" ht="15" customHeight="1" x14ac:dyDescent="0.3">
      <c r="B64" s="139" t="s">
        <v>146</v>
      </c>
      <c r="C64" s="140">
        <f ca="1">C56</f>
        <v>4400.085</v>
      </c>
      <c r="D64" s="355" t="s">
        <v>201</v>
      </c>
      <c r="E64" s="355"/>
      <c r="G64" s="2"/>
      <c r="H64" s="2"/>
      <c r="I64" s="2"/>
      <c r="J64" s="139"/>
      <c r="K64" s="140"/>
      <c r="L64" s="72"/>
      <c r="O64" s="139" t="s">
        <v>146</v>
      </c>
      <c r="P64" s="140">
        <f ca="1">P56</f>
        <v>4005.1857142857143</v>
      </c>
      <c r="Q64" s="355" t="s">
        <v>201</v>
      </c>
      <c r="R64" s="355"/>
      <c r="T64" s="2"/>
      <c r="U64" s="2"/>
      <c r="V64" s="2"/>
      <c r="W64" s="139"/>
      <c r="X64" s="140"/>
      <c r="Y64" s="72"/>
      <c r="AB64" s="139" t="s">
        <v>146</v>
      </c>
      <c r="AC64" s="140">
        <f ca="1">AC56</f>
        <v>3662.4950000000003</v>
      </c>
      <c r="AD64" s="355" t="s">
        <v>201</v>
      </c>
      <c r="AE64" s="355"/>
      <c r="AG64" s="2"/>
      <c r="AH64" s="2"/>
      <c r="AI64" s="2"/>
      <c r="AJ64" s="139"/>
      <c r="AK64" s="140"/>
      <c r="AL64" s="72"/>
    </row>
    <row r="65" spans="2:38" ht="15" customHeight="1" x14ac:dyDescent="0.3">
      <c r="B65" s="16" t="s">
        <v>202</v>
      </c>
      <c r="C65" s="141">
        <f t="array" aca="1" ref="C65" ca="1">INDEX(B59:J59,MATCH(C64,B59:J59,1))</f>
        <v>4000</v>
      </c>
      <c r="D65" s="16" t="s">
        <v>144</v>
      </c>
      <c r="E65" s="17">
        <f>MATCH(MAX(A60:A62),A60:A62,1)</f>
        <v>3</v>
      </c>
      <c r="G65" s="2"/>
      <c r="H65" s="2"/>
      <c r="I65" s="2"/>
      <c r="J65" s="16"/>
      <c r="K65" s="141"/>
      <c r="L65" s="16"/>
      <c r="M65" s="17"/>
      <c r="O65" s="16" t="s">
        <v>202</v>
      </c>
      <c r="P65" s="141">
        <f t="array" aca="1" ref="P65" ca="1">INDEX(O59:U59,MATCH(P64,O59:U59,1))</f>
        <v>3500</v>
      </c>
      <c r="Q65" s="16" t="s">
        <v>144</v>
      </c>
      <c r="R65" s="17">
        <f>MATCH(MAX(N60:N62),N60:N62,1)</f>
        <v>3</v>
      </c>
      <c r="T65" s="2"/>
      <c r="U65" s="2"/>
      <c r="V65" s="2"/>
      <c r="W65" s="16"/>
      <c r="X65" s="141"/>
      <c r="Y65" s="16"/>
      <c r="AB65" s="16" t="s">
        <v>202</v>
      </c>
      <c r="AC65" s="141">
        <f t="array" aca="1" ref="AC65" ca="1">INDEX(AB59:AI59,MATCH(AC64,AB59:AI59,1))</f>
        <v>3500</v>
      </c>
      <c r="AD65" s="16" t="s">
        <v>144</v>
      </c>
      <c r="AE65" s="17">
        <f>MATCH(MAX(AA60:AA62),AA60:AA62,1)</f>
        <v>3</v>
      </c>
      <c r="AG65" s="2"/>
      <c r="AH65" s="2"/>
      <c r="AI65" s="2"/>
      <c r="AJ65" s="16"/>
      <c r="AK65" s="141"/>
      <c r="AL65" s="16"/>
    </row>
    <row r="66" spans="2:38" ht="15" customHeight="1" x14ac:dyDescent="0.3">
      <c r="B66" s="16" t="s">
        <v>203</v>
      </c>
      <c r="C66" s="141">
        <f t="array" aca="1" ref="C66" ca="1">INDEX(B59:J59,IF(MATCH(C64,B59:J59,1)&lt;E66,MATCH(C64,B59:J59,1)+1,MATCH(C64,B59:J59,1)))</f>
        <v>4500</v>
      </c>
      <c r="D66" s="16" t="s">
        <v>145</v>
      </c>
      <c r="E66" s="17">
        <f>MATCH(MAX(B59:J59),B59:J59,0)</f>
        <v>9</v>
      </c>
      <c r="G66" s="2"/>
      <c r="H66" s="2"/>
      <c r="I66" s="2"/>
      <c r="J66" s="16"/>
      <c r="K66" s="141"/>
      <c r="L66" s="16"/>
      <c r="M66" s="17"/>
      <c r="O66" s="16" t="s">
        <v>203</v>
      </c>
      <c r="P66" s="141">
        <f t="array" aca="1" ref="P66" ca="1">INDEX(O59:U59,IF(MATCH(P64,O59:U59,1)&lt;R66,MATCH(P64,O59:U59,1)+1,MATCH(P64,O59:U59,1)))</f>
        <v>4350</v>
      </c>
      <c r="Q66" s="16" t="s">
        <v>145</v>
      </c>
      <c r="R66" s="17">
        <f>MATCH(MAX(O59:U59),O59:U59,0)</f>
        <v>7</v>
      </c>
      <c r="T66" s="2"/>
      <c r="U66" s="2"/>
      <c r="V66" s="2"/>
      <c r="W66" s="16"/>
      <c r="X66" s="141"/>
      <c r="Y66" s="16"/>
      <c r="AB66" s="16" t="s">
        <v>203</v>
      </c>
      <c r="AC66" s="141">
        <f t="array" aca="1" ref="AC66" ca="1">INDEX(AB59:AI59,IF(MATCH(AC64,AB59:AI59,1)&lt;AE66,MATCH(AC64,AB59:AI59,1)+1,MATCH(AC64,AB59:AI59,1)))</f>
        <v>4000</v>
      </c>
      <c r="AD66" s="16" t="s">
        <v>145</v>
      </c>
      <c r="AE66" s="17">
        <f>MATCH(MAX(AB59:AI59),AB59:AI59,0)</f>
        <v>8</v>
      </c>
      <c r="AG66" s="2"/>
      <c r="AH66" s="2"/>
      <c r="AI66" s="2"/>
      <c r="AJ66" s="16"/>
      <c r="AK66" s="141"/>
      <c r="AL66" s="16"/>
    </row>
    <row r="67" spans="2:38" ht="15" customHeight="1" x14ac:dyDescent="0.3">
      <c r="B67" s="139" t="s">
        <v>147</v>
      </c>
      <c r="C67" s="186">
        <f ca="1">'Take-off'!$C$24</f>
        <v>-2.3941410032796808</v>
      </c>
      <c r="D67" s="2"/>
      <c r="E67" s="2"/>
      <c r="G67" s="2"/>
      <c r="H67" s="2"/>
      <c r="I67" s="2"/>
      <c r="J67" s="139"/>
      <c r="K67" s="186"/>
      <c r="L67" s="2"/>
      <c r="M67" s="2"/>
      <c r="O67" s="139" t="s">
        <v>147</v>
      </c>
      <c r="P67" s="186">
        <f ca="1">'Take-off'!$C$24</f>
        <v>-2.3941410032796808</v>
      </c>
      <c r="Q67" s="2"/>
      <c r="R67" s="2"/>
      <c r="T67" s="2"/>
      <c r="U67" s="2"/>
      <c r="V67" s="2"/>
      <c r="W67" s="139"/>
      <c r="X67" s="186"/>
      <c r="Y67" s="2"/>
      <c r="AB67" s="139" t="s">
        <v>147</v>
      </c>
      <c r="AC67" s="186">
        <f ca="1">'Take-off'!$C$24</f>
        <v>-2.3941410032796808</v>
      </c>
      <c r="AD67" s="2"/>
      <c r="AE67" s="2"/>
      <c r="AG67" s="2"/>
      <c r="AH67" s="2"/>
      <c r="AI67" s="2"/>
      <c r="AJ67" s="139"/>
      <c r="AK67" s="186"/>
      <c r="AL67" s="2"/>
    </row>
    <row r="68" spans="2:38" ht="15" customHeight="1" x14ac:dyDescent="0.3">
      <c r="B68" s="16" t="s">
        <v>148</v>
      </c>
      <c r="C68" s="141">
        <f t="array" aca="1" ref="C68" ca="1">INDEX(A60:A62,MATCH(C67,A60:A62,1))</f>
        <v>-10</v>
      </c>
      <c r="D68" s="2"/>
      <c r="E68" s="42"/>
      <c r="G68" s="2"/>
      <c r="H68" s="2"/>
      <c r="I68" s="2"/>
      <c r="J68" s="16"/>
      <c r="K68" s="141"/>
      <c r="L68" s="2"/>
      <c r="M68" s="42"/>
      <c r="O68" s="16" t="s">
        <v>148</v>
      </c>
      <c r="P68" s="141">
        <f t="array" aca="1" ref="P68" ca="1">INDEX(N60:N62,MATCH(P67,N60:N62,1))</f>
        <v>-10</v>
      </c>
      <c r="Q68" s="2"/>
      <c r="R68" s="42"/>
      <c r="T68" s="2"/>
      <c r="U68" s="2"/>
      <c r="V68" s="2"/>
      <c r="W68" s="16"/>
      <c r="X68" s="141"/>
      <c r="Y68" s="2"/>
      <c r="AB68" s="16" t="s">
        <v>148</v>
      </c>
      <c r="AC68" s="141">
        <f t="array" aca="1" ref="AC68" ca="1">INDEX(AA60:AA62,MATCH(AC67,AA60:AA62,1))</f>
        <v>-10</v>
      </c>
      <c r="AD68" s="2"/>
      <c r="AE68" s="42"/>
      <c r="AG68" s="2"/>
      <c r="AH68" s="2"/>
      <c r="AI68" s="2"/>
      <c r="AJ68" s="16"/>
      <c r="AK68" s="141"/>
      <c r="AL68" s="2"/>
    </row>
    <row r="69" spans="2:38" ht="15" customHeight="1" x14ac:dyDescent="0.3">
      <c r="B69" s="16" t="s">
        <v>149</v>
      </c>
      <c r="C69" s="141">
        <f t="array" aca="1" ref="C69" ca="1">INDEX(A60:A62,IF(MATCH(C67,A60:A62,1)&lt;E65,MATCH(C67,A60:A62,1)+1,MATCH(C67,A60:A62,1)))</f>
        <v>0</v>
      </c>
      <c r="D69" s="2"/>
      <c r="E69" s="42"/>
      <c r="G69" s="2"/>
      <c r="H69" s="2"/>
      <c r="I69" s="2"/>
      <c r="J69" s="16"/>
      <c r="K69" s="141"/>
      <c r="L69" s="2"/>
      <c r="M69" s="42"/>
      <c r="O69" s="16" t="s">
        <v>149</v>
      </c>
      <c r="P69" s="141">
        <f t="array" aca="1" ref="P69" ca="1">INDEX(N60:N62,IF(MATCH(P67,N60:N62,1)&lt;R65,MATCH(P67,N60:N62,1)+1,MATCH(P67,N60:N62,1)))</f>
        <v>0</v>
      </c>
      <c r="Q69" s="2"/>
      <c r="R69" s="42"/>
      <c r="T69" s="2"/>
      <c r="U69" s="2"/>
      <c r="V69" s="2"/>
      <c r="W69" s="16"/>
      <c r="X69" s="141"/>
      <c r="Y69" s="2"/>
      <c r="AB69" s="16" t="s">
        <v>149</v>
      </c>
      <c r="AC69" s="141">
        <f t="array" aca="1" ref="AC69" ca="1">INDEX(AA60:AA62,IF(MATCH(AC67,AA60:AA62,1)&lt;AE65,MATCH(AC67,AA60:AA62,1)+1,MATCH(AC67,AA60:AA62,1)))</f>
        <v>0</v>
      </c>
      <c r="AD69" s="2"/>
      <c r="AE69" s="42"/>
      <c r="AG69" s="2"/>
      <c r="AH69" s="2"/>
      <c r="AI69" s="2"/>
      <c r="AJ69" s="16"/>
      <c r="AK69" s="141"/>
      <c r="AL69" s="2"/>
    </row>
    <row r="70" spans="2:38" ht="15" customHeight="1" x14ac:dyDescent="0.3">
      <c r="B70" s="139" t="s">
        <v>150</v>
      </c>
      <c r="C70" s="140">
        <f t="array" aca="1" ref="C70" ca="1">INDEX(B60:J62,MATCH(C67,A60:A62,1),MATCH(C64,B59:J59,1))</f>
        <v>5100</v>
      </c>
      <c r="D70" s="2"/>
      <c r="E70" s="42"/>
      <c r="G70" s="2"/>
      <c r="H70" s="2"/>
      <c r="I70" s="2"/>
      <c r="J70" s="139"/>
      <c r="K70" s="140"/>
      <c r="L70" s="2"/>
      <c r="M70" s="42"/>
      <c r="O70" s="139" t="s">
        <v>150</v>
      </c>
      <c r="P70" s="140">
        <f t="array" aca="1" ref="P70" ca="1">INDEX(O60:U62,MATCH(P67,N60:N62,1),MATCH(P64,O59:U59,1))</f>
        <v>4400</v>
      </c>
      <c r="Q70" s="2"/>
      <c r="R70" s="42"/>
      <c r="T70" s="2"/>
      <c r="U70" s="2"/>
      <c r="V70" s="2"/>
      <c r="W70" s="139"/>
      <c r="X70" s="140"/>
      <c r="Y70" s="2"/>
      <c r="AB70" s="139" t="s">
        <v>150</v>
      </c>
      <c r="AC70" s="140">
        <f t="array" aca="1" ref="AC70" ca="1">INDEX(AB60:AI62,MATCH(AC67,AA60:AA62,1),MATCH(AC64,AB59:AI59,1))</f>
        <v>4500</v>
      </c>
      <c r="AD70" s="2"/>
      <c r="AE70" s="42"/>
      <c r="AG70" s="2"/>
      <c r="AH70" s="2"/>
      <c r="AI70" s="2"/>
      <c r="AJ70" s="139"/>
      <c r="AK70" s="140"/>
      <c r="AL70" s="2"/>
    </row>
    <row r="71" spans="2:38" ht="15" customHeight="1" x14ac:dyDescent="0.3">
      <c r="B71" s="139" t="s">
        <v>204</v>
      </c>
      <c r="C71" s="140">
        <f t="array" aca="1" ref="C71" ca="1">INDEX(B60:J62,MATCH(C67,A60:A62,1),IF(MATCH(C64,B59:J59,1)&lt;E66,MATCH(C64,B59:J59,1)+1,MATCH(C67,A60:A62,1)))</f>
        <v>5700</v>
      </c>
      <c r="E71" s="42"/>
      <c r="G71" s="2"/>
      <c r="H71" s="2"/>
      <c r="I71" s="2"/>
      <c r="J71" s="139"/>
      <c r="K71" s="140"/>
      <c r="M71" s="42"/>
      <c r="O71" s="139" t="s">
        <v>204</v>
      </c>
      <c r="P71" s="140">
        <f t="array" aca="1" ref="P71" ca="1">INDEX(O60:U62,MATCH(P67,N60:N62,1),IF(MATCH(P64,O59:U59,1)&lt;R66,MATCH(P64,O59:U59,1)+1,MATCH(P67,N60:N62,1)))</f>
        <v>5300</v>
      </c>
      <c r="R71" s="42"/>
      <c r="T71" s="2"/>
      <c r="U71" s="2"/>
      <c r="V71" s="2"/>
      <c r="W71" s="139"/>
      <c r="X71" s="140"/>
      <c r="AB71" s="139" t="s">
        <v>204</v>
      </c>
      <c r="AC71" s="140">
        <f t="array" aca="1" ref="AC71" ca="1">INDEX(AB60:AI62,MATCH(AC67,AA60:AA62,1),IF(MATCH(AC64,AB59:AI59,1)&lt;AE66,MATCH(AC64,AB59:AI59,1)+1,MATCH(AC67,AA60:AA62,1)))</f>
        <v>5100</v>
      </c>
      <c r="AE71" s="42"/>
      <c r="AG71" s="2"/>
      <c r="AH71" s="2"/>
      <c r="AI71" s="2"/>
      <c r="AJ71" s="139"/>
      <c r="AK71" s="140"/>
    </row>
    <row r="72" spans="2:38" ht="15" customHeight="1" x14ac:dyDescent="0.3">
      <c r="B72" s="139" t="s">
        <v>151</v>
      </c>
      <c r="C72" s="140">
        <f t="array" aca="1" ref="C72" ca="1">INDEX(B60:J62,IF(MATCH(C67,A60:A62,1)&lt;E65,MATCH(C67,A60:A62,1)+1,MATCH(C67,A60:A62,1)),MATCH(C64,B59:J59,1))</f>
        <v>4000</v>
      </c>
      <c r="E72" s="42"/>
      <c r="G72" s="2"/>
      <c r="H72" s="2"/>
      <c r="I72" s="2"/>
      <c r="J72" s="139"/>
      <c r="K72" s="140"/>
      <c r="M72" s="42"/>
      <c r="O72" s="139" t="s">
        <v>151</v>
      </c>
      <c r="P72" s="140">
        <f t="array" aca="1" ref="P72" ca="1">INDEX(O60:U62,IF(MATCH(P67,N60:N62,1)&lt;R65,MATCH(P67,N60:N62,1)+1,MATCH(P67,N60:N62,1)),MATCH(P64,O59:U59,1))</f>
        <v>3500</v>
      </c>
      <c r="R72" s="42"/>
      <c r="T72" s="2"/>
      <c r="U72" s="2"/>
      <c r="V72" s="2"/>
      <c r="W72" s="139"/>
      <c r="X72" s="140"/>
      <c r="AB72" s="139" t="s">
        <v>151</v>
      </c>
      <c r="AC72" s="140">
        <f t="array" aca="1" ref="AC72" ca="1">INDEX(AB60:AI62,IF(MATCH(AC67,AA60:AA62,1)&lt;AE65,MATCH(AC67,AA60:AA62,1)+1,MATCH(AC67,AA60:AA62,1)),MATCH(AC64,AB59:AI59,1))</f>
        <v>3500</v>
      </c>
      <c r="AE72" s="42"/>
      <c r="AG72" s="2"/>
      <c r="AH72" s="2"/>
      <c r="AI72" s="2"/>
      <c r="AJ72" s="139"/>
      <c r="AK72" s="140"/>
    </row>
    <row r="73" spans="2:38" ht="15" customHeight="1" x14ac:dyDescent="0.3">
      <c r="B73" s="139" t="s">
        <v>205</v>
      </c>
      <c r="C73" s="140">
        <f t="array" aca="1" ref="C73" ca="1">INDEX(B60:J62,IF(MATCH(C67,A60:A62,1)&lt;E65,MATCH(C67,A60:A62,1)+1,MATCH(C67,A60:A62,1)),IF(MATCH(C64,B59:J59,1)&lt;E66,MATCH(C64,B59:J59,1)+1,MATCH(C64,B59:J59,1)))</f>
        <v>4500</v>
      </c>
      <c r="G73" s="2"/>
      <c r="H73" s="2"/>
      <c r="I73" s="2"/>
      <c r="J73" s="139"/>
      <c r="K73" s="140"/>
      <c r="O73" s="139" t="s">
        <v>205</v>
      </c>
      <c r="P73" s="140">
        <f t="array" aca="1" ref="P73" ca="1">INDEX(O60:U62,IF(MATCH(P67,N60:N62,1)&lt;R65,MATCH(P67,N60:N62,1)+1,MATCH(P67,N60:N62,1)),IF(MATCH(P64,O59:U59,1)&lt;R66,MATCH(P64,O59:U59,1)+1,MATCH(P64,O59:U59,1)))</f>
        <v>4350</v>
      </c>
      <c r="T73" s="2"/>
      <c r="U73" s="2"/>
      <c r="V73" s="2"/>
      <c r="W73" s="139"/>
      <c r="X73" s="140"/>
      <c r="AB73" s="139" t="s">
        <v>205</v>
      </c>
      <c r="AC73" s="140">
        <f t="array" aca="1" ref="AC73" ca="1">INDEX(AB60:AI62,IF(MATCH(AC67,AA60:AA62,1)&lt;AE65,MATCH(AC67,AA60:AA62,1)+1,MATCH(AC67,AA60:AA62,1)),IF(MATCH(AC64,AB59:AI59,1)&lt;AE66,MATCH(AC64,AB59:AI59,1)+1,MATCH(AC64,AB59:AI59,1)))</f>
        <v>4000</v>
      </c>
      <c r="AG73" s="2"/>
      <c r="AH73" s="2"/>
      <c r="AI73" s="2"/>
      <c r="AJ73" s="139"/>
      <c r="AK73" s="140"/>
    </row>
    <row r="74" spans="2:38" ht="15" customHeight="1" x14ac:dyDescent="0.3">
      <c r="B74" s="16" t="s">
        <v>206</v>
      </c>
      <c r="C74" s="141">
        <f ca="1">IFERROR(C70+(C64-C65)*(C71-C70)/(C66-C65),C70)</f>
        <v>5580.1019999999999</v>
      </c>
      <c r="G74" s="2"/>
      <c r="H74" s="2"/>
      <c r="I74" s="2"/>
      <c r="J74" s="16"/>
      <c r="K74" s="141"/>
      <c r="O74" s="16" t="s">
        <v>206</v>
      </c>
      <c r="P74" s="141">
        <f ca="1">IFERROR(P70+(P64-P65)*(P71-P70)/(P66-P65),P70)</f>
        <v>4934.9025210084037</v>
      </c>
      <c r="T74" s="2"/>
      <c r="U74" s="2"/>
      <c r="V74" s="2"/>
      <c r="W74" s="16"/>
      <c r="X74" s="141"/>
      <c r="AB74" s="16" t="s">
        <v>206</v>
      </c>
      <c r="AC74" s="141">
        <f ca="1">IFERROR(AC70+(AC64-AC65)*(AC71-AC70)/(AC66-AC65),AC70)</f>
        <v>4694.9940000000006</v>
      </c>
      <c r="AG74" s="2"/>
      <c r="AH74" s="2"/>
      <c r="AI74" s="2"/>
      <c r="AJ74" s="16"/>
      <c r="AK74" s="141"/>
    </row>
    <row r="75" spans="2:38" ht="15" customHeight="1" x14ac:dyDescent="0.3">
      <c r="B75" s="16" t="s">
        <v>207</v>
      </c>
      <c r="C75" s="141">
        <f ca="1">IFERROR(C72+(C64-C65)*(C73-C72)/(C66-C65),C72)</f>
        <v>4400.085</v>
      </c>
      <c r="G75" s="2"/>
      <c r="H75" s="2"/>
      <c r="I75" s="2"/>
      <c r="J75" s="16"/>
      <c r="K75" s="141"/>
      <c r="O75" s="16" t="s">
        <v>207</v>
      </c>
      <c r="P75" s="141">
        <f ca="1">IFERROR(P72+(P64-P65)*(P73-P72)/(P66-P65),P72)</f>
        <v>4005.1857142857143</v>
      </c>
      <c r="T75" s="2"/>
      <c r="U75" s="2"/>
      <c r="V75" s="2"/>
      <c r="W75" s="16"/>
      <c r="X75" s="141"/>
      <c r="AB75" s="16" t="s">
        <v>207</v>
      </c>
      <c r="AC75" s="141">
        <f ca="1">IFERROR(AC72+(AC64-AC65)*(AC73-AC72)/(AC66-AC65),AC72)</f>
        <v>3662.4950000000003</v>
      </c>
      <c r="AG75" s="2"/>
      <c r="AH75" s="2"/>
      <c r="AI75" s="2"/>
      <c r="AJ75" s="16"/>
      <c r="AK75" s="141"/>
    </row>
    <row r="76" spans="2:38" ht="15" customHeight="1" x14ac:dyDescent="0.3">
      <c r="B76" s="139" t="s">
        <v>208</v>
      </c>
      <c r="C76" s="140">
        <f ca="1">IFERROR(C74+(C67-C68)*(C75-C74)/(C69-C68),C74)</f>
        <v>4682.5977084267079</v>
      </c>
      <c r="G76" s="2"/>
      <c r="H76" s="2"/>
      <c r="I76" s="2"/>
      <c r="J76" s="139"/>
      <c r="K76" s="140"/>
      <c r="O76" s="139" t="s">
        <v>208</v>
      </c>
      <c r="P76" s="140">
        <f ca="1">IFERROR(P74+(P67-P68)*(P75-P74)/(P69-P68),P74)</f>
        <v>4227.7730271270184</v>
      </c>
      <c r="T76" s="2"/>
      <c r="U76" s="2"/>
      <c r="V76" s="2"/>
      <c r="W76" s="139"/>
      <c r="X76" s="140"/>
      <c r="AB76" s="139" t="s">
        <v>208</v>
      </c>
      <c r="AC76" s="140">
        <f ca="1">IFERROR(AC74+(AC67-AC68)*(AC75-AC74)/(AC69-AC68),AC74)</f>
        <v>3909.6898191745272</v>
      </c>
      <c r="AG76" s="2"/>
      <c r="AH76" s="2"/>
      <c r="AI76" s="2"/>
      <c r="AJ76" s="139"/>
      <c r="AK76" s="140"/>
    </row>
    <row r="77" spans="2:38" ht="15.75" customHeight="1" x14ac:dyDescent="0.3"/>
    <row r="78" spans="2:38" ht="15.75" customHeight="1" x14ac:dyDescent="0.3"/>
    <row r="79" spans="2:38" ht="15.75" customHeight="1" x14ac:dyDescent="0.3"/>
    <row r="80" spans="2:3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23">
    <mergeCell ref="B3:L3"/>
    <mergeCell ref="O3:Y3"/>
    <mergeCell ref="AB3:AL3"/>
    <mergeCell ref="B4:F4"/>
    <mergeCell ref="O4:S4"/>
    <mergeCell ref="AB4:AF4"/>
    <mergeCell ref="D17:E17"/>
    <mergeCell ref="Q17:R17"/>
    <mergeCell ref="AD17:AE17"/>
    <mergeCell ref="AR17:AS17"/>
    <mergeCell ref="AZ17:BA17"/>
    <mergeCell ref="B31:G31"/>
    <mergeCell ref="O31:T31"/>
    <mergeCell ref="AB31:AG31"/>
    <mergeCell ref="D44:E44"/>
    <mergeCell ref="Q44:R44"/>
    <mergeCell ref="AD44:AE44"/>
    <mergeCell ref="B58:I58"/>
    <mergeCell ref="O58:V58"/>
    <mergeCell ref="AB58:AI58"/>
    <mergeCell ref="D64:E64"/>
    <mergeCell ref="Q64:R64"/>
    <mergeCell ref="AD64:AE64"/>
  </mergeCells>
  <conditionalFormatting sqref="B6:F14">
    <cfRule type="colorScale" priority="81">
      <colorScale>
        <cfvo type="min"/>
        <cfvo type="max"/>
        <color rgb="FFFCFCFF"/>
        <color rgb="FFF8696B"/>
      </colorScale>
    </cfRule>
  </conditionalFormatting>
  <conditionalFormatting sqref="B33:F41">
    <cfRule type="colorScale" priority="4">
      <colorScale>
        <cfvo type="min"/>
        <cfvo type="max"/>
        <color rgb="FFFCFCFF"/>
        <color rgb="FFF8696B"/>
      </colorScale>
    </cfRule>
  </conditionalFormatting>
  <conditionalFormatting sqref="B60:I62">
    <cfRule type="colorScale" priority="11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3">
      <colorScale>
        <cfvo type="min"/>
        <cfvo type="max"/>
        <color rgb="FFFCFCFF"/>
        <color rgb="FFF8696B"/>
      </colorScale>
    </cfRule>
  </conditionalFormatting>
  <conditionalFormatting sqref="O33:R41">
    <cfRule type="colorScale" priority="7">
      <colorScale>
        <cfvo type="min"/>
        <cfvo type="max"/>
        <color rgb="FFFCFCFF"/>
        <color rgb="FFF8696B"/>
      </colorScale>
    </cfRule>
  </conditionalFormatting>
  <conditionalFormatting sqref="O6:S14">
    <cfRule type="colorScale" priority="82">
      <colorScale>
        <cfvo type="min"/>
        <cfvo type="max"/>
        <color rgb="FFFCFCFF"/>
        <color rgb="FFF8696B"/>
      </colorScale>
    </cfRule>
  </conditionalFormatting>
  <conditionalFormatting sqref="O60:T62">
    <cfRule type="colorScale" priority="12">
      <colorScale>
        <cfvo type="min"/>
        <cfvo type="max"/>
        <color rgb="FFFCFCFF"/>
        <color rgb="FFF8696B"/>
      </colorScale>
    </cfRule>
  </conditionalFormatting>
  <conditionalFormatting sqref="X6:Y15">
    <cfRule type="colorScale" priority="83">
      <colorScale>
        <cfvo type="min"/>
        <cfvo type="max"/>
        <color rgb="FFFCFCFF"/>
        <color rgb="FFF8696B"/>
      </colorScale>
    </cfRule>
  </conditionalFormatting>
  <conditionalFormatting sqref="AB33:AE41">
    <cfRule type="colorScale" priority="10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84">
      <colorScale>
        <cfvo type="min"/>
        <cfvo type="max"/>
        <color rgb="FFFCFCFF"/>
        <color rgb="FFF8696B"/>
      </colorScale>
    </cfRule>
  </conditionalFormatting>
  <conditionalFormatting sqref="AB60:AH62">
    <cfRule type="colorScale" priority="13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9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S1000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.109375" customWidth="1"/>
    <col min="2" max="2" width="36.5546875" customWidth="1"/>
    <col min="3" max="4" width="43.109375" customWidth="1"/>
    <col min="6" max="6" width="22.109375" customWidth="1"/>
    <col min="7" max="7" width="25.109375" customWidth="1"/>
    <col min="8" max="8" width="25.88671875" customWidth="1"/>
    <col min="12" max="12" width="23.6640625" customWidth="1"/>
    <col min="14" max="14" width="18" customWidth="1"/>
    <col min="15" max="15" width="20.5546875" customWidth="1"/>
  </cols>
  <sheetData>
    <row r="1" spans="1:19" ht="14.4" x14ac:dyDescent="0.3">
      <c r="A1" s="310"/>
      <c r="B1" s="311" t="s">
        <v>251</v>
      </c>
      <c r="C1" s="312" t="s">
        <v>252</v>
      </c>
      <c r="D1" s="313" t="s">
        <v>253</v>
      </c>
      <c r="E1" s="313" t="s">
        <v>254</v>
      </c>
      <c r="F1" s="418" t="s">
        <v>255</v>
      </c>
      <c r="G1" s="418"/>
      <c r="H1" s="313"/>
      <c r="I1" s="313"/>
      <c r="J1" s="314"/>
      <c r="K1" s="310"/>
      <c r="L1" s="310"/>
      <c r="M1" s="310"/>
      <c r="N1" s="310"/>
      <c r="O1" s="310"/>
      <c r="P1" s="310"/>
      <c r="Q1" s="310"/>
      <c r="R1" s="310"/>
      <c r="S1" s="310"/>
    </row>
    <row r="2" spans="1:19" ht="100.8" x14ac:dyDescent="0.3">
      <c r="A2" s="315" t="s">
        <v>256</v>
      </c>
      <c r="B2" s="316" t="s">
        <v>256</v>
      </c>
      <c r="C2" s="317" t="s">
        <v>257</v>
      </c>
      <c r="D2" s="318"/>
      <c r="E2" s="318"/>
      <c r="F2" s="317"/>
      <c r="G2" s="317"/>
      <c r="H2" s="318"/>
      <c r="I2" s="318"/>
      <c r="J2" s="319"/>
      <c r="K2" s="320"/>
      <c r="L2" s="320"/>
      <c r="M2" s="320"/>
      <c r="N2" s="320"/>
      <c r="O2" s="320"/>
      <c r="P2" s="320"/>
      <c r="Q2" s="320"/>
      <c r="R2" s="320"/>
      <c r="S2" s="320"/>
    </row>
    <row r="3" spans="1:19" ht="14.4" x14ac:dyDescent="0.3">
      <c r="A3" s="315"/>
      <c r="B3" s="316"/>
      <c r="C3" s="317" t="s">
        <v>258</v>
      </c>
      <c r="D3" s="318"/>
      <c r="E3" s="318"/>
      <c r="F3" s="317"/>
      <c r="G3" s="317"/>
      <c r="H3" s="318"/>
      <c r="I3" s="318"/>
      <c r="J3" s="319"/>
      <c r="K3" s="320"/>
      <c r="L3" s="320"/>
      <c r="M3" s="320"/>
      <c r="N3" s="320"/>
      <c r="O3" s="320"/>
      <c r="P3" s="320"/>
      <c r="Q3" s="320"/>
      <c r="R3" s="320"/>
      <c r="S3" s="320"/>
    </row>
    <row r="4" spans="1:19" ht="46.2" customHeight="1" x14ac:dyDescent="0.3">
      <c r="A4" s="321"/>
      <c r="B4" s="322"/>
      <c r="C4" s="323" t="s">
        <v>259</v>
      </c>
      <c r="D4" s="324"/>
      <c r="E4" s="324"/>
      <c r="F4" s="323"/>
      <c r="G4" s="323"/>
      <c r="H4" s="324"/>
      <c r="I4" s="324"/>
      <c r="J4" s="325"/>
      <c r="K4" s="326"/>
      <c r="L4" s="326"/>
      <c r="M4" s="326"/>
      <c r="N4" s="419" t="s">
        <v>260</v>
      </c>
      <c r="O4" s="419"/>
      <c r="P4" s="419"/>
      <c r="Q4" s="419"/>
      <c r="R4" s="326"/>
      <c r="S4" s="326"/>
    </row>
    <row r="5" spans="1:19" ht="14.4" x14ac:dyDescent="0.3">
      <c r="A5" s="327"/>
      <c r="B5" s="316" t="s">
        <v>261</v>
      </c>
      <c r="C5" s="317" t="s">
        <v>262</v>
      </c>
      <c r="D5" s="318"/>
      <c r="E5" s="318"/>
      <c r="F5" s="317"/>
      <c r="G5" s="317"/>
      <c r="H5" s="318"/>
      <c r="I5" s="318"/>
      <c r="J5" s="319"/>
      <c r="K5" s="320"/>
      <c r="L5" s="328"/>
      <c r="M5" s="329" t="s">
        <v>263</v>
      </c>
      <c r="N5" s="328" t="s">
        <v>264</v>
      </c>
      <c r="O5" s="328" t="s">
        <v>265</v>
      </c>
      <c r="P5" s="329" t="s">
        <v>171</v>
      </c>
      <c r="Q5" s="328" t="s">
        <v>266</v>
      </c>
      <c r="R5" s="329"/>
      <c r="S5" s="328" t="s">
        <v>213</v>
      </c>
    </row>
    <row r="6" spans="1:19" ht="86.4" x14ac:dyDescent="0.3">
      <c r="A6" s="321"/>
      <c r="B6" s="322"/>
      <c r="C6" s="323" t="s">
        <v>262</v>
      </c>
      <c r="D6" s="324"/>
      <c r="E6" s="324"/>
      <c r="F6" s="323"/>
      <c r="G6" s="323"/>
      <c r="H6" s="324"/>
      <c r="I6" s="324"/>
      <c r="J6" s="325"/>
      <c r="K6" s="326"/>
      <c r="L6" s="330" t="s">
        <v>175</v>
      </c>
      <c r="M6" s="331" t="s">
        <v>267</v>
      </c>
      <c r="N6" s="332" t="s">
        <v>268</v>
      </c>
      <c r="O6" s="332" t="s">
        <v>269</v>
      </c>
      <c r="P6" s="331" t="s">
        <v>270</v>
      </c>
      <c r="Q6" s="331" t="s">
        <v>271</v>
      </c>
      <c r="R6" s="331"/>
      <c r="S6" s="331" t="s">
        <v>272</v>
      </c>
    </row>
    <row r="7" spans="1:19" ht="28.8" x14ac:dyDescent="0.3">
      <c r="A7" s="327"/>
      <c r="B7" s="316"/>
      <c r="C7" s="317" t="s">
        <v>262</v>
      </c>
      <c r="D7" s="318"/>
      <c r="E7" s="318"/>
      <c r="F7" s="317"/>
      <c r="G7" s="317"/>
      <c r="H7" s="318"/>
      <c r="I7" s="318"/>
      <c r="J7" s="319"/>
      <c r="K7" s="320"/>
      <c r="L7" s="333" t="s">
        <v>178</v>
      </c>
      <c r="M7" s="334" t="s">
        <v>273</v>
      </c>
      <c r="N7" s="334" t="s">
        <v>273</v>
      </c>
      <c r="O7" s="334" t="s">
        <v>273</v>
      </c>
      <c r="P7" s="334" t="s">
        <v>273</v>
      </c>
      <c r="Q7" s="334" t="s">
        <v>273</v>
      </c>
      <c r="R7" s="334"/>
      <c r="S7" s="335" t="s">
        <v>274</v>
      </c>
    </row>
    <row r="8" spans="1:19" ht="28.8" x14ac:dyDescent="0.3">
      <c r="A8" s="321"/>
      <c r="B8" s="322"/>
      <c r="C8" s="323" t="s">
        <v>262</v>
      </c>
      <c r="D8" s="324"/>
      <c r="E8" s="324"/>
      <c r="F8" s="323"/>
      <c r="G8" s="323"/>
      <c r="H8" s="324"/>
      <c r="I8" s="324"/>
      <c r="J8" s="325"/>
      <c r="K8" s="326"/>
      <c r="L8" s="330" t="s">
        <v>176</v>
      </c>
      <c r="M8" s="336" t="s">
        <v>273</v>
      </c>
      <c r="N8" s="337" t="s">
        <v>129</v>
      </c>
      <c r="O8" s="337" t="s">
        <v>129</v>
      </c>
      <c r="P8" s="331">
        <f>IF('Take-off'!$C$17&gt;0, ((+'Take-off'!$C$17*5)%*SUM(M8:O8)),0 )</f>
        <v>0</v>
      </c>
      <c r="Q8" s="337" t="s">
        <v>129</v>
      </c>
      <c r="R8" s="336"/>
      <c r="S8" s="331" t="s">
        <v>274</v>
      </c>
    </row>
    <row r="9" spans="1:19" ht="28.8" x14ac:dyDescent="0.3">
      <c r="A9" s="327"/>
      <c r="B9" s="316"/>
      <c r="C9" s="317" t="s">
        <v>262</v>
      </c>
      <c r="D9" s="318"/>
      <c r="E9" s="318"/>
      <c r="F9" s="317"/>
      <c r="G9" s="317"/>
      <c r="H9" s="318"/>
      <c r="I9" s="318"/>
      <c r="J9" s="319"/>
      <c r="K9" s="320"/>
      <c r="L9" s="333" t="s">
        <v>177</v>
      </c>
      <c r="M9" s="338" t="s">
        <v>275</v>
      </c>
      <c r="N9" s="339" t="s">
        <v>273</v>
      </c>
      <c r="O9" s="339" t="s">
        <v>276</v>
      </c>
      <c r="P9" s="339" t="s">
        <v>273</v>
      </c>
      <c r="Q9" s="334" t="s">
        <v>273</v>
      </c>
      <c r="R9" s="334"/>
      <c r="S9" s="335" t="s">
        <v>274</v>
      </c>
    </row>
    <row r="10" spans="1:19" ht="57.6" x14ac:dyDescent="0.3">
      <c r="A10" s="321"/>
      <c r="B10" s="322" t="s">
        <v>277</v>
      </c>
      <c r="C10" s="323" t="s">
        <v>278</v>
      </c>
      <c r="D10" s="324" t="s">
        <v>279</v>
      </c>
      <c r="E10" s="324"/>
      <c r="F10" s="323" t="s">
        <v>280</v>
      </c>
      <c r="G10" s="323"/>
      <c r="H10" s="324"/>
      <c r="I10" s="324"/>
      <c r="J10" s="325"/>
      <c r="K10" s="326"/>
      <c r="L10" s="326"/>
      <c r="M10" s="326"/>
      <c r="N10" s="326"/>
      <c r="O10" s="326"/>
      <c r="P10" s="326"/>
      <c r="Q10" s="326"/>
      <c r="R10" s="326"/>
      <c r="S10" s="326"/>
    </row>
    <row r="11" spans="1:19" ht="43.2" x14ac:dyDescent="0.3">
      <c r="A11" s="327"/>
      <c r="B11" s="316" t="s">
        <v>281</v>
      </c>
      <c r="C11" s="317"/>
      <c r="D11" s="318" t="s">
        <v>282</v>
      </c>
      <c r="E11" s="318"/>
      <c r="F11" s="317"/>
      <c r="G11" s="317"/>
      <c r="H11" s="318"/>
      <c r="I11" s="318"/>
      <c r="J11" s="319"/>
      <c r="K11" s="320"/>
      <c r="L11" s="320"/>
      <c r="M11" s="320"/>
      <c r="N11" s="320"/>
      <c r="O11" s="320"/>
      <c r="P11" s="320"/>
      <c r="Q11" s="320"/>
      <c r="R11" s="320"/>
      <c r="S11" s="320"/>
    </row>
    <row r="12" spans="1:19" ht="28.8" x14ac:dyDescent="0.3">
      <c r="A12" s="321"/>
      <c r="B12" s="322" t="s">
        <v>283</v>
      </c>
      <c r="C12" s="323" t="s">
        <v>284</v>
      </c>
      <c r="D12" s="324"/>
      <c r="E12" s="324"/>
      <c r="F12" s="323"/>
      <c r="G12" s="323"/>
      <c r="H12" s="324"/>
      <c r="I12" s="324"/>
      <c r="J12" s="325"/>
      <c r="K12" s="326"/>
      <c r="L12" s="326"/>
      <c r="M12" s="326"/>
      <c r="N12" s="326"/>
      <c r="O12" s="326"/>
      <c r="P12" s="326"/>
      <c r="Q12" s="326"/>
      <c r="R12" s="326"/>
      <c r="S12" s="326"/>
    </row>
    <row r="13" spans="1:19" ht="28.8" x14ac:dyDescent="0.3">
      <c r="A13" s="327"/>
      <c r="B13" s="316" t="s">
        <v>285</v>
      </c>
      <c r="C13" s="317" t="s">
        <v>286</v>
      </c>
      <c r="D13" s="318"/>
      <c r="E13" s="318"/>
      <c r="F13" s="317"/>
      <c r="G13" s="317"/>
      <c r="H13" s="318"/>
      <c r="I13" s="318"/>
      <c r="J13" s="319"/>
      <c r="K13" s="320"/>
      <c r="L13" s="320"/>
      <c r="M13" s="320"/>
      <c r="N13" s="320"/>
      <c r="O13" s="320"/>
      <c r="P13" s="320"/>
      <c r="Q13" s="320"/>
      <c r="R13" s="320"/>
      <c r="S13" s="320"/>
    </row>
    <row r="14" spans="1:19" ht="28.8" x14ac:dyDescent="0.3">
      <c r="A14" s="321"/>
      <c r="B14" s="322"/>
      <c r="C14" s="323" t="s">
        <v>287</v>
      </c>
      <c r="D14" s="324"/>
      <c r="E14" s="324"/>
      <c r="F14" s="323"/>
      <c r="G14" s="323"/>
      <c r="H14" s="324"/>
      <c r="I14" s="324"/>
      <c r="J14" s="325"/>
      <c r="K14" s="326"/>
      <c r="L14" s="326"/>
      <c r="M14" s="326"/>
      <c r="N14" s="326"/>
      <c r="O14" s="326"/>
      <c r="P14" s="326"/>
      <c r="Q14" s="326"/>
      <c r="R14" s="326"/>
      <c r="S14" s="326"/>
    </row>
    <row r="15" spans="1:19" ht="28.8" x14ac:dyDescent="0.3">
      <c r="A15" s="327"/>
      <c r="B15" s="316"/>
      <c r="C15" s="317" t="s">
        <v>288</v>
      </c>
      <c r="D15" s="318"/>
      <c r="E15" s="318"/>
      <c r="F15" s="317"/>
      <c r="G15" s="317"/>
      <c r="H15" s="318"/>
      <c r="I15" s="318"/>
      <c r="J15" s="319"/>
      <c r="K15" s="320"/>
      <c r="L15" s="320"/>
      <c r="M15" s="320"/>
      <c r="N15" s="320"/>
      <c r="O15" s="320"/>
      <c r="P15" s="320"/>
      <c r="Q15" s="320"/>
      <c r="R15" s="320"/>
      <c r="S15" s="320"/>
    </row>
    <row r="16" spans="1:19" ht="43.2" x14ac:dyDescent="0.3">
      <c r="A16" s="340"/>
      <c r="B16" s="341" t="s">
        <v>23</v>
      </c>
      <c r="C16" s="342"/>
      <c r="D16" s="343"/>
      <c r="E16" s="343"/>
      <c r="F16" s="323" t="s">
        <v>289</v>
      </c>
      <c r="G16" s="323" t="s">
        <v>290</v>
      </c>
      <c r="H16" s="343"/>
      <c r="I16" s="343"/>
      <c r="J16" s="344"/>
      <c r="K16" s="321"/>
      <c r="L16" s="321"/>
      <c r="M16" s="321"/>
      <c r="N16" s="321"/>
      <c r="O16" s="321"/>
      <c r="P16" s="321"/>
      <c r="Q16" s="321"/>
      <c r="R16" s="321"/>
      <c r="S16" s="321"/>
    </row>
    <row r="17" spans="1:8" ht="14.4" x14ac:dyDescent="0.3">
      <c r="C17" s="17"/>
      <c r="F17" s="17"/>
      <c r="G17" s="17"/>
    </row>
    <row r="18" spans="1:8" ht="14.4" x14ac:dyDescent="0.3">
      <c r="A18" s="340" t="s">
        <v>291</v>
      </c>
      <c r="B18" s="341" t="s">
        <v>292</v>
      </c>
      <c r="C18" s="342"/>
      <c r="D18" s="343"/>
      <c r="E18" s="343"/>
      <c r="F18" s="342"/>
      <c r="G18" s="323"/>
      <c r="H18" s="343"/>
    </row>
    <row r="19" spans="1:8" ht="43.2" x14ac:dyDescent="0.3">
      <c r="A19" s="327"/>
      <c r="B19" s="316" t="s">
        <v>293</v>
      </c>
      <c r="C19" s="317" t="s">
        <v>294</v>
      </c>
      <c r="D19" s="318" t="s">
        <v>295</v>
      </c>
      <c r="E19" s="318" t="s">
        <v>296</v>
      </c>
      <c r="F19" s="317"/>
      <c r="G19" s="317"/>
      <c r="H19" s="318"/>
    </row>
    <row r="20" spans="1:8" ht="14.4" x14ac:dyDescent="0.3">
      <c r="A20" s="321"/>
      <c r="B20" s="322"/>
      <c r="C20" s="323" t="s">
        <v>297</v>
      </c>
      <c r="D20" s="324"/>
      <c r="E20" s="324"/>
      <c r="F20" s="323"/>
      <c r="G20" s="323"/>
      <c r="H20" s="324"/>
    </row>
    <row r="21" spans="1:8" ht="15.75" customHeight="1" x14ac:dyDescent="0.3">
      <c r="A21" s="327"/>
      <c r="B21" s="316"/>
      <c r="C21" s="317" t="s">
        <v>298</v>
      </c>
      <c r="D21" s="318"/>
      <c r="E21" s="318"/>
      <c r="F21" s="317"/>
      <c r="G21" s="317"/>
      <c r="H21" s="318"/>
    </row>
    <row r="22" spans="1:8" ht="15.75" customHeight="1" x14ac:dyDescent="0.3">
      <c r="A22" s="345"/>
      <c r="B22" s="346" t="s">
        <v>299</v>
      </c>
      <c r="C22" s="323" t="s">
        <v>300</v>
      </c>
      <c r="D22" s="324"/>
      <c r="E22" s="324" t="s">
        <v>296</v>
      </c>
      <c r="F22" s="323"/>
      <c r="G22" s="323"/>
      <c r="H22" s="324"/>
    </row>
    <row r="23" spans="1:8" ht="15.75" customHeight="1" x14ac:dyDescent="0.3">
      <c r="A23" s="347"/>
      <c r="B23" s="348" t="s">
        <v>301</v>
      </c>
      <c r="C23" s="317" t="s">
        <v>302</v>
      </c>
      <c r="D23" s="318"/>
      <c r="E23" s="318"/>
      <c r="F23" s="317" t="s">
        <v>303</v>
      </c>
      <c r="G23" s="349" t="s">
        <v>304</v>
      </c>
      <c r="H23" s="318"/>
    </row>
    <row r="24" spans="1:8" ht="15.75" customHeight="1" x14ac:dyDescent="0.3">
      <c r="A24" s="345"/>
      <c r="B24" s="346"/>
      <c r="C24" s="323" t="s">
        <v>305</v>
      </c>
      <c r="D24" s="324"/>
      <c r="E24" s="324"/>
      <c r="F24" s="323"/>
      <c r="G24" s="323"/>
      <c r="H24" s="324"/>
    </row>
    <row r="25" spans="1:8" ht="15.75" customHeight="1" x14ac:dyDescent="0.3">
      <c r="A25" s="320"/>
      <c r="B25" s="350" t="s">
        <v>306</v>
      </c>
      <c r="C25" s="317"/>
      <c r="D25" s="318"/>
      <c r="E25" s="318"/>
      <c r="F25" s="317" t="s">
        <v>307</v>
      </c>
      <c r="G25" s="351" t="s">
        <v>308</v>
      </c>
      <c r="H25" s="318"/>
    </row>
    <row r="26" spans="1:8" ht="15.75" customHeight="1" x14ac:dyDescent="0.3">
      <c r="A26" s="326"/>
      <c r="B26" s="352" t="s">
        <v>309</v>
      </c>
      <c r="C26" s="323" t="s">
        <v>310</v>
      </c>
      <c r="D26" s="324" t="s">
        <v>311</v>
      </c>
      <c r="E26" s="324" t="s">
        <v>296</v>
      </c>
      <c r="F26" s="323"/>
      <c r="G26" s="323"/>
      <c r="H26" s="324"/>
    </row>
    <row r="27" spans="1:8" ht="15.75" customHeight="1" x14ac:dyDescent="0.3">
      <c r="A27" s="320"/>
      <c r="B27" s="350"/>
      <c r="C27" s="317"/>
      <c r="D27" s="318"/>
      <c r="E27" s="318"/>
      <c r="F27" s="317"/>
      <c r="G27" s="317"/>
      <c r="H27" s="318"/>
    </row>
    <row r="28" spans="1:8" ht="15.75" customHeight="1" x14ac:dyDescent="0.3">
      <c r="A28" s="345"/>
      <c r="B28" s="346" t="s">
        <v>312</v>
      </c>
      <c r="C28" s="323" t="s">
        <v>313</v>
      </c>
      <c r="D28" s="324"/>
      <c r="E28" s="324"/>
      <c r="F28" s="323"/>
      <c r="G28" s="323"/>
      <c r="H28" s="324"/>
    </row>
    <row r="29" spans="1:8" ht="15.75" customHeight="1" x14ac:dyDescent="0.3">
      <c r="A29" s="347"/>
      <c r="B29" s="348" t="s">
        <v>314</v>
      </c>
      <c r="C29" s="317" t="s">
        <v>315</v>
      </c>
      <c r="D29" s="318" t="s">
        <v>316</v>
      </c>
      <c r="E29" s="318" t="s">
        <v>317</v>
      </c>
      <c r="F29" s="317" t="s">
        <v>318</v>
      </c>
      <c r="G29" s="317" t="s">
        <v>319</v>
      </c>
      <c r="H29" s="318" t="s">
        <v>320</v>
      </c>
    </row>
    <row r="30" spans="1:8" ht="15.75" customHeight="1" x14ac:dyDescent="0.3">
      <c r="A30" s="353" t="s">
        <v>199</v>
      </c>
      <c r="B30" s="346" t="s">
        <v>321</v>
      </c>
      <c r="C30" s="323" t="s">
        <v>322</v>
      </c>
      <c r="D30" s="324"/>
      <c r="E30" s="324" t="s">
        <v>296</v>
      </c>
      <c r="F30" s="323"/>
      <c r="G30" s="323" t="s">
        <v>323</v>
      </c>
      <c r="H30" s="324"/>
    </row>
    <row r="31" spans="1:8" ht="15.75" customHeight="1" x14ac:dyDescent="0.3">
      <c r="A31" s="320"/>
      <c r="B31" s="320" t="s">
        <v>93</v>
      </c>
      <c r="C31" s="317" t="s">
        <v>324</v>
      </c>
      <c r="D31" s="318" t="s">
        <v>325</v>
      </c>
      <c r="E31" s="318"/>
      <c r="F31" s="317"/>
      <c r="G31" s="317"/>
      <c r="H31" s="318"/>
    </row>
    <row r="32" spans="1:8" ht="15.75" customHeight="1" x14ac:dyDescent="0.3">
      <c r="A32" s="326"/>
      <c r="B32" s="326" t="s">
        <v>118</v>
      </c>
      <c r="C32" s="323" t="s">
        <v>326</v>
      </c>
      <c r="D32" s="324" t="s">
        <v>327</v>
      </c>
      <c r="E32" s="324"/>
      <c r="F32" s="323"/>
      <c r="G32" s="323"/>
      <c r="H32" s="324"/>
    </row>
    <row r="33" spans="1:8" ht="15.75" customHeight="1" x14ac:dyDescent="0.3">
      <c r="A33" s="354" t="s">
        <v>328</v>
      </c>
      <c r="B33" s="348" t="s">
        <v>329</v>
      </c>
      <c r="C33" s="317"/>
      <c r="D33" s="318"/>
      <c r="E33" s="318"/>
      <c r="F33" s="317"/>
      <c r="G33" s="317"/>
      <c r="H33" s="318"/>
    </row>
    <row r="34" spans="1:8" ht="15.75" customHeight="1" x14ac:dyDescent="0.3">
      <c r="A34" s="345"/>
      <c r="B34" s="346" t="s">
        <v>330</v>
      </c>
      <c r="C34" s="323" t="s">
        <v>331</v>
      </c>
      <c r="D34" s="324"/>
      <c r="E34" s="324"/>
      <c r="F34" s="323"/>
      <c r="G34" s="323"/>
      <c r="H34" s="324"/>
    </row>
    <row r="35" spans="1:8" ht="15.75" customHeight="1" x14ac:dyDescent="0.3">
      <c r="C35" s="17"/>
      <c r="F35" s="17"/>
      <c r="G35" s="17"/>
    </row>
    <row r="36" spans="1:8" ht="15.75" customHeight="1" x14ac:dyDescent="0.3">
      <c r="C36" s="17"/>
      <c r="F36" s="17"/>
      <c r="G36" s="17"/>
    </row>
    <row r="37" spans="1:8" ht="15.75" customHeight="1" x14ac:dyDescent="0.3">
      <c r="C37" s="17"/>
      <c r="F37" s="17"/>
      <c r="G37" s="17"/>
    </row>
    <row r="38" spans="1:8" ht="15.75" customHeight="1" x14ac:dyDescent="0.3">
      <c r="C38" s="17"/>
      <c r="F38" s="17"/>
      <c r="G38" s="17"/>
    </row>
    <row r="39" spans="1:8" ht="15.75" customHeight="1" x14ac:dyDescent="0.3">
      <c r="C39" s="17"/>
      <c r="F39" s="17"/>
      <c r="G39" s="17"/>
    </row>
    <row r="40" spans="1:8" ht="15.75" customHeight="1" x14ac:dyDescent="0.3">
      <c r="C40" s="17"/>
      <c r="F40" s="17"/>
      <c r="G40" s="17"/>
    </row>
    <row r="41" spans="1:8" ht="15.75" customHeight="1" x14ac:dyDescent="0.3">
      <c r="C41" s="17"/>
      <c r="F41" s="17"/>
      <c r="G41" s="17"/>
    </row>
    <row r="42" spans="1:8" ht="15.75" customHeight="1" x14ac:dyDescent="0.3">
      <c r="C42" s="17"/>
      <c r="F42" s="17"/>
      <c r="G42" s="17"/>
    </row>
    <row r="43" spans="1:8" ht="15.75" customHeight="1" x14ac:dyDescent="0.3">
      <c r="C43" s="17"/>
      <c r="F43" s="17"/>
      <c r="G43" s="17"/>
    </row>
    <row r="44" spans="1:8" ht="15.75" customHeight="1" x14ac:dyDescent="0.3">
      <c r="C44" s="17"/>
      <c r="F44" s="17"/>
      <c r="G44" s="17"/>
    </row>
    <row r="45" spans="1:8" ht="15.75" customHeight="1" x14ac:dyDescent="0.3">
      <c r="C45" s="17"/>
      <c r="F45" s="17"/>
      <c r="G45" s="17"/>
    </row>
    <row r="46" spans="1:8" ht="15.75" customHeight="1" x14ac:dyDescent="0.3">
      <c r="C46" s="17"/>
      <c r="F46" s="17"/>
      <c r="G46" s="17"/>
    </row>
    <row r="47" spans="1:8" ht="15.75" customHeight="1" x14ac:dyDescent="0.3">
      <c r="C47" s="17"/>
      <c r="F47" s="17"/>
      <c r="G47" s="17"/>
    </row>
    <row r="48" spans="1:8" ht="15.75" customHeight="1" x14ac:dyDescent="0.3">
      <c r="C48" s="17"/>
      <c r="F48" s="17"/>
      <c r="G48" s="17"/>
    </row>
    <row r="49" spans="3:7" ht="15.75" customHeight="1" x14ac:dyDescent="0.3">
      <c r="C49" s="17"/>
      <c r="F49" s="17"/>
      <c r="G49" s="17"/>
    </row>
    <row r="50" spans="3:7" ht="15.75" customHeight="1" x14ac:dyDescent="0.3">
      <c r="C50" s="17"/>
      <c r="F50" s="17"/>
      <c r="G50" s="17"/>
    </row>
    <row r="51" spans="3:7" ht="15.75" customHeight="1" x14ac:dyDescent="0.3">
      <c r="C51" s="17"/>
      <c r="F51" s="17"/>
      <c r="G51" s="17"/>
    </row>
    <row r="52" spans="3:7" ht="15.75" customHeight="1" x14ac:dyDescent="0.3">
      <c r="C52" s="17"/>
      <c r="F52" s="17"/>
      <c r="G52" s="17"/>
    </row>
    <row r="53" spans="3:7" ht="15.75" customHeight="1" x14ac:dyDescent="0.3">
      <c r="C53" s="17"/>
      <c r="F53" s="17"/>
      <c r="G53" s="17"/>
    </row>
    <row r="54" spans="3:7" ht="15.75" customHeight="1" x14ac:dyDescent="0.3">
      <c r="C54" s="17"/>
      <c r="F54" s="17"/>
      <c r="G54" s="17"/>
    </row>
    <row r="55" spans="3:7" ht="15.75" customHeight="1" x14ac:dyDescent="0.3">
      <c r="C55" s="17"/>
      <c r="F55" s="17"/>
      <c r="G55" s="17"/>
    </row>
    <row r="56" spans="3:7" ht="15.75" customHeight="1" x14ac:dyDescent="0.3">
      <c r="C56" s="17"/>
      <c r="F56" s="17"/>
      <c r="G56" s="17"/>
    </row>
    <row r="57" spans="3:7" ht="15.75" customHeight="1" x14ac:dyDescent="0.3">
      <c r="C57" s="17"/>
      <c r="F57" s="17"/>
      <c r="G57" s="17"/>
    </row>
    <row r="58" spans="3:7" ht="15.75" customHeight="1" x14ac:dyDescent="0.3">
      <c r="C58" s="17"/>
      <c r="F58" s="17"/>
      <c r="G58" s="17"/>
    </row>
    <row r="59" spans="3:7" ht="15.75" customHeight="1" x14ac:dyDescent="0.3">
      <c r="C59" s="17"/>
      <c r="F59" s="17"/>
      <c r="G59" s="17"/>
    </row>
    <row r="60" spans="3:7" ht="15.75" customHeight="1" x14ac:dyDescent="0.3">
      <c r="C60" s="17"/>
      <c r="F60" s="17"/>
      <c r="G60" s="17"/>
    </row>
    <row r="61" spans="3:7" ht="15.75" customHeight="1" x14ac:dyDescent="0.3">
      <c r="C61" s="17"/>
      <c r="F61" s="17"/>
      <c r="G61" s="17"/>
    </row>
    <row r="62" spans="3:7" ht="15.75" customHeight="1" x14ac:dyDescent="0.3">
      <c r="C62" s="17"/>
      <c r="F62" s="17"/>
      <c r="G62" s="17"/>
    </row>
    <row r="63" spans="3:7" ht="15.75" customHeight="1" x14ac:dyDescent="0.3">
      <c r="C63" s="17"/>
      <c r="F63" s="17"/>
      <c r="G63" s="17"/>
    </row>
    <row r="64" spans="3:7" ht="15.75" customHeight="1" x14ac:dyDescent="0.3">
      <c r="C64" s="17"/>
      <c r="F64" s="17"/>
      <c r="G64" s="17"/>
    </row>
    <row r="65" spans="3:7" ht="15.75" customHeight="1" x14ac:dyDescent="0.3">
      <c r="C65" s="17"/>
      <c r="F65" s="17"/>
      <c r="G65" s="17"/>
    </row>
    <row r="66" spans="3:7" ht="15.75" customHeight="1" x14ac:dyDescent="0.3">
      <c r="C66" s="17"/>
      <c r="F66" s="17"/>
      <c r="G66" s="17"/>
    </row>
    <row r="67" spans="3:7" ht="15.75" customHeight="1" x14ac:dyDescent="0.3">
      <c r="C67" s="17"/>
      <c r="F67" s="17"/>
      <c r="G67" s="17"/>
    </row>
    <row r="68" spans="3:7" ht="15.75" customHeight="1" x14ac:dyDescent="0.3">
      <c r="C68" s="17"/>
      <c r="F68" s="17"/>
      <c r="G68" s="17"/>
    </row>
    <row r="69" spans="3:7" ht="15.75" customHeight="1" x14ac:dyDescent="0.3">
      <c r="C69" s="17"/>
      <c r="F69" s="17"/>
      <c r="G69" s="17"/>
    </row>
    <row r="70" spans="3:7" ht="15.75" customHeight="1" x14ac:dyDescent="0.3">
      <c r="C70" s="17"/>
      <c r="F70" s="17"/>
      <c r="G70" s="17"/>
    </row>
    <row r="71" spans="3:7" ht="15.75" customHeight="1" x14ac:dyDescent="0.3">
      <c r="C71" s="17"/>
      <c r="F71" s="17"/>
      <c r="G71" s="17"/>
    </row>
    <row r="72" spans="3:7" ht="15.75" customHeight="1" x14ac:dyDescent="0.3">
      <c r="C72" s="17"/>
      <c r="F72" s="17"/>
      <c r="G72" s="17"/>
    </row>
    <row r="73" spans="3:7" ht="15.75" customHeight="1" x14ac:dyDescent="0.3">
      <c r="C73" s="17"/>
      <c r="F73" s="17"/>
      <c r="G73" s="17"/>
    </row>
    <row r="74" spans="3:7" ht="15.75" customHeight="1" x14ac:dyDescent="0.3">
      <c r="C74" s="17"/>
      <c r="F74" s="17"/>
      <c r="G74" s="17"/>
    </row>
    <row r="75" spans="3:7" ht="15.75" customHeight="1" x14ac:dyDescent="0.3">
      <c r="C75" s="17"/>
      <c r="F75" s="17"/>
      <c r="G75" s="17"/>
    </row>
    <row r="76" spans="3:7" ht="15.75" customHeight="1" x14ac:dyDescent="0.3">
      <c r="C76" s="17"/>
      <c r="F76" s="17"/>
      <c r="G76" s="17"/>
    </row>
    <row r="77" spans="3:7" ht="15.75" customHeight="1" x14ac:dyDescent="0.3">
      <c r="C77" s="17"/>
      <c r="F77" s="17"/>
      <c r="G77" s="17"/>
    </row>
    <row r="78" spans="3:7" ht="15.75" customHeight="1" x14ac:dyDescent="0.3">
      <c r="C78" s="17"/>
      <c r="F78" s="17"/>
      <c r="G78" s="17"/>
    </row>
    <row r="79" spans="3:7" ht="15.75" customHeight="1" x14ac:dyDescent="0.3">
      <c r="C79" s="17"/>
      <c r="F79" s="17"/>
      <c r="G79" s="17"/>
    </row>
    <row r="80" spans="3:7" ht="15.75" customHeight="1" x14ac:dyDescent="0.3">
      <c r="C80" s="17"/>
      <c r="F80" s="17"/>
      <c r="G80" s="17"/>
    </row>
    <row r="81" spans="3:7" ht="15.75" customHeight="1" x14ac:dyDescent="0.3">
      <c r="C81" s="17"/>
      <c r="F81" s="17"/>
      <c r="G81" s="17"/>
    </row>
    <row r="82" spans="3:7" ht="15.75" customHeight="1" x14ac:dyDescent="0.3">
      <c r="C82" s="17"/>
      <c r="F82" s="17"/>
      <c r="G82" s="17"/>
    </row>
    <row r="83" spans="3:7" ht="15.75" customHeight="1" x14ac:dyDescent="0.3">
      <c r="C83" s="17"/>
      <c r="F83" s="17"/>
      <c r="G83" s="17"/>
    </row>
    <row r="84" spans="3:7" ht="15.75" customHeight="1" x14ac:dyDescent="0.3">
      <c r="C84" s="17"/>
      <c r="F84" s="17"/>
      <c r="G84" s="17"/>
    </row>
    <row r="85" spans="3:7" ht="15.75" customHeight="1" x14ac:dyDescent="0.3">
      <c r="C85" s="17"/>
      <c r="F85" s="17"/>
      <c r="G85" s="17"/>
    </row>
    <row r="86" spans="3:7" ht="15.75" customHeight="1" x14ac:dyDescent="0.3">
      <c r="C86" s="17"/>
      <c r="F86" s="17"/>
      <c r="G86" s="17"/>
    </row>
    <row r="87" spans="3:7" ht="15.75" customHeight="1" x14ac:dyDescent="0.3">
      <c r="C87" s="17"/>
      <c r="F87" s="17"/>
      <c r="G87" s="17"/>
    </row>
    <row r="88" spans="3:7" ht="15.75" customHeight="1" x14ac:dyDescent="0.3">
      <c r="C88" s="17"/>
      <c r="F88" s="17"/>
      <c r="G88" s="17"/>
    </row>
    <row r="89" spans="3:7" ht="15.75" customHeight="1" x14ac:dyDescent="0.3">
      <c r="C89" s="17"/>
      <c r="F89" s="17"/>
      <c r="G89" s="17"/>
    </row>
    <row r="90" spans="3:7" ht="15.75" customHeight="1" x14ac:dyDescent="0.3">
      <c r="C90" s="17"/>
      <c r="F90" s="17"/>
      <c r="G90" s="17"/>
    </row>
    <row r="91" spans="3:7" ht="15.75" customHeight="1" x14ac:dyDescent="0.3">
      <c r="C91" s="17"/>
      <c r="F91" s="17"/>
      <c r="G91" s="17"/>
    </row>
    <row r="92" spans="3:7" ht="15.75" customHeight="1" x14ac:dyDescent="0.3">
      <c r="C92" s="17"/>
      <c r="F92" s="17"/>
      <c r="G92" s="17"/>
    </row>
    <row r="93" spans="3:7" ht="15.75" customHeight="1" x14ac:dyDescent="0.3">
      <c r="C93" s="17"/>
      <c r="F93" s="17"/>
      <c r="G93" s="17"/>
    </row>
    <row r="94" spans="3:7" ht="15.75" customHeight="1" x14ac:dyDescent="0.3">
      <c r="C94" s="17"/>
      <c r="F94" s="17"/>
      <c r="G94" s="17"/>
    </row>
    <row r="95" spans="3:7" ht="15.75" customHeight="1" x14ac:dyDescent="0.3">
      <c r="C95" s="17"/>
      <c r="F95" s="17"/>
      <c r="G95" s="17"/>
    </row>
    <row r="96" spans="3:7" ht="15.75" customHeight="1" x14ac:dyDescent="0.3">
      <c r="C96" s="17"/>
      <c r="F96" s="17"/>
      <c r="G96" s="17"/>
    </row>
    <row r="97" spans="3:7" ht="15.75" customHeight="1" x14ac:dyDescent="0.3">
      <c r="C97" s="17"/>
      <c r="F97" s="17"/>
      <c r="G97" s="17"/>
    </row>
    <row r="98" spans="3:7" ht="15.75" customHeight="1" x14ac:dyDescent="0.3">
      <c r="C98" s="17"/>
      <c r="F98" s="17"/>
      <c r="G98" s="17"/>
    </row>
    <row r="99" spans="3:7" ht="15.75" customHeight="1" x14ac:dyDescent="0.3">
      <c r="C99" s="17"/>
      <c r="F99" s="17"/>
      <c r="G99" s="17"/>
    </row>
    <row r="100" spans="3:7" ht="15.75" customHeight="1" x14ac:dyDescent="0.3">
      <c r="C100" s="17"/>
      <c r="F100" s="17"/>
      <c r="G100" s="17"/>
    </row>
    <row r="101" spans="3:7" ht="15.75" customHeight="1" x14ac:dyDescent="0.3">
      <c r="C101" s="17"/>
      <c r="F101" s="17"/>
      <c r="G101" s="17"/>
    </row>
    <row r="102" spans="3:7" ht="15.75" customHeight="1" x14ac:dyDescent="0.3">
      <c r="C102" s="17"/>
      <c r="F102" s="17"/>
      <c r="G102" s="17"/>
    </row>
    <row r="103" spans="3:7" ht="15.75" customHeight="1" x14ac:dyDescent="0.3">
      <c r="C103" s="17"/>
      <c r="F103" s="17"/>
      <c r="G103" s="17"/>
    </row>
    <row r="104" spans="3:7" ht="15.75" customHeight="1" x14ac:dyDescent="0.3">
      <c r="C104" s="17"/>
      <c r="F104" s="17"/>
      <c r="G104" s="17"/>
    </row>
    <row r="105" spans="3:7" ht="15.75" customHeight="1" x14ac:dyDescent="0.3">
      <c r="C105" s="17"/>
      <c r="F105" s="17"/>
      <c r="G105" s="17"/>
    </row>
    <row r="106" spans="3:7" ht="15.75" customHeight="1" x14ac:dyDescent="0.3">
      <c r="C106" s="17"/>
      <c r="F106" s="17"/>
      <c r="G106" s="17"/>
    </row>
    <row r="107" spans="3:7" ht="15.75" customHeight="1" x14ac:dyDescent="0.3">
      <c r="C107" s="17"/>
      <c r="F107" s="17"/>
      <c r="G107" s="17"/>
    </row>
    <row r="108" spans="3:7" ht="15.75" customHeight="1" x14ac:dyDescent="0.3">
      <c r="C108" s="17"/>
      <c r="F108" s="17"/>
      <c r="G108" s="17"/>
    </row>
    <row r="109" spans="3:7" ht="15.75" customHeight="1" x14ac:dyDescent="0.3">
      <c r="C109" s="17"/>
      <c r="F109" s="17"/>
      <c r="G109" s="17"/>
    </row>
    <row r="110" spans="3:7" ht="15.75" customHeight="1" x14ac:dyDescent="0.3">
      <c r="C110" s="17"/>
      <c r="F110" s="17"/>
      <c r="G110" s="17"/>
    </row>
    <row r="111" spans="3:7" ht="15.75" customHeight="1" x14ac:dyDescent="0.3">
      <c r="C111" s="17"/>
      <c r="F111" s="17"/>
      <c r="G111" s="17"/>
    </row>
    <row r="112" spans="3:7" ht="15.75" customHeight="1" x14ac:dyDescent="0.3">
      <c r="C112" s="17"/>
      <c r="F112" s="17"/>
      <c r="G112" s="17"/>
    </row>
    <row r="113" spans="3:7" ht="15.75" customHeight="1" x14ac:dyDescent="0.3">
      <c r="C113" s="17"/>
      <c r="F113" s="17"/>
      <c r="G113" s="17"/>
    </row>
    <row r="114" spans="3:7" ht="15.75" customHeight="1" x14ac:dyDescent="0.3">
      <c r="C114" s="17"/>
      <c r="F114" s="17"/>
      <c r="G114" s="17"/>
    </row>
    <row r="115" spans="3:7" ht="15.75" customHeight="1" x14ac:dyDescent="0.3">
      <c r="C115" s="17"/>
      <c r="F115" s="17"/>
      <c r="G115" s="17"/>
    </row>
    <row r="116" spans="3:7" ht="15.75" customHeight="1" x14ac:dyDescent="0.3">
      <c r="C116" s="17"/>
      <c r="F116" s="17"/>
      <c r="G116" s="17"/>
    </row>
    <row r="117" spans="3:7" ht="15.75" customHeight="1" x14ac:dyDescent="0.3">
      <c r="C117" s="17"/>
      <c r="F117" s="17"/>
      <c r="G117" s="17"/>
    </row>
    <row r="118" spans="3:7" ht="15.75" customHeight="1" x14ac:dyDescent="0.3">
      <c r="C118" s="17"/>
      <c r="F118" s="17"/>
      <c r="G118" s="17"/>
    </row>
    <row r="119" spans="3:7" ht="15.75" customHeight="1" x14ac:dyDescent="0.3">
      <c r="C119" s="17"/>
      <c r="F119" s="17"/>
      <c r="G119" s="17"/>
    </row>
    <row r="120" spans="3:7" ht="15.75" customHeight="1" x14ac:dyDescent="0.3">
      <c r="C120" s="17"/>
      <c r="F120" s="17"/>
      <c r="G120" s="17"/>
    </row>
    <row r="121" spans="3:7" ht="15.75" customHeight="1" x14ac:dyDescent="0.3">
      <c r="C121" s="17"/>
      <c r="F121" s="17"/>
      <c r="G121" s="17"/>
    </row>
    <row r="122" spans="3:7" ht="15.75" customHeight="1" x14ac:dyDescent="0.3">
      <c r="C122" s="17"/>
      <c r="F122" s="17"/>
      <c r="G122" s="17"/>
    </row>
    <row r="123" spans="3:7" ht="15.75" customHeight="1" x14ac:dyDescent="0.3">
      <c r="C123" s="17"/>
      <c r="F123" s="17"/>
      <c r="G123" s="17"/>
    </row>
    <row r="124" spans="3:7" ht="15.75" customHeight="1" x14ac:dyDescent="0.3">
      <c r="C124" s="17"/>
      <c r="F124" s="17"/>
      <c r="G124" s="17"/>
    </row>
    <row r="125" spans="3:7" ht="15.75" customHeight="1" x14ac:dyDescent="0.3">
      <c r="C125" s="17"/>
      <c r="F125" s="17"/>
      <c r="G125" s="17"/>
    </row>
    <row r="126" spans="3:7" ht="15.75" customHeight="1" x14ac:dyDescent="0.3">
      <c r="C126" s="17"/>
      <c r="F126" s="17"/>
      <c r="G126" s="17"/>
    </row>
    <row r="127" spans="3:7" ht="15.75" customHeight="1" x14ac:dyDescent="0.3">
      <c r="C127" s="17"/>
      <c r="F127" s="17"/>
      <c r="G127" s="17"/>
    </row>
    <row r="128" spans="3:7" ht="15.75" customHeight="1" x14ac:dyDescent="0.3">
      <c r="C128" s="17"/>
      <c r="F128" s="17"/>
      <c r="G128" s="17"/>
    </row>
    <row r="129" spans="3:7" ht="15.75" customHeight="1" x14ac:dyDescent="0.3">
      <c r="C129" s="17"/>
      <c r="F129" s="17"/>
      <c r="G129" s="17"/>
    </row>
    <row r="130" spans="3:7" ht="15.75" customHeight="1" x14ac:dyDescent="0.3">
      <c r="C130" s="17"/>
      <c r="F130" s="17"/>
      <c r="G130" s="17"/>
    </row>
    <row r="131" spans="3:7" ht="15.75" customHeight="1" x14ac:dyDescent="0.3">
      <c r="C131" s="17"/>
      <c r="F131" s="17"/>
      <c r="G131" s="17"/>
    </row>
    <row r="132" spans="3:7" ht="15.75" customHeight="1" x14ac:dyDescent="0.3">
      <c r="C132" s="17"/>
      <c r="F132" s="17"/>
      <c r="G132" s="17"/>
    </row>
    <row r="133" spans="3:7" ht="15.75" customHeight="1" x14ac:dyDescent="0.3">
      <c r="C133" s="17"/>
      <c r="F133" s="17"/>
      <c r="G133" s="17"/>
    </row>
    <row r="134" spans="3:7" ht="15.75" customHeight="1" x14ac:dyDescent="0.3">
      <c r="C134" s="17"/>
      <c r="F134" s="17"/>
      <c r="G134" s="17"/>
    </row>
    <row r="135" spans="3:7" ht="15.75" customHeight="1" x14ac:dyDescent="0.3">
      <c r="C135" s="17"/>
      <c r="F135" s="17"/>
      <c r="G135" s="17"/>
    </row>
    <row r="136" spans="3:7" ht="15.75" customHeight="1" x14ac:dyDescent="0.3">
      <c r="C136" s="17"/>
      <c r="F136" s="17"/>
      <c r="G136" s="17"/>
    </row>
    <row r="137" spans="3:7" ht="15.75" customHeight="1" x14ac:dyDescent="0.3">
      <c r="C137" s="17"/>
      <c r="F137" s="17"/>
      <c r="G137" s="17"/>
    </row>
    <row r="138" spans="3:7" ht="15.75" customHeight="1" x14ac:dyDescent="0.3">
      <c r="C138" s="17"/>
      <c r="F138" s="17"/>
      <c r="G138" s="17"/>
    </row>
    <row r="139" spans="3:7" ht="15.75" customHeight="1" x14ac:dyDescent="0.3">
      <c r="C139" s="17"/>
      <c r="F139" s="17"/>
      <c r="G139" s="17"/>
    </row>
    <row r="140" spans="3:7" ht="15.75" customHeight="1" x14ac:dyDescent="0.3">
      <c r="C140" s="17"/>
      <c r="F140" s="17"/>
      <c r="G140" s="17"/>
    </row>
    <row r="141" spans="3:7" ht="15.75" customHeight="1" x14ac:dyDescent="0.3">
      <c r="C141" s="17"/>
      <c r="F141" s="17"/>
      <c r="G141" s="17"/>
    </row>
    <row r="142" spans="3:7" ht="15.75" customHeight="1" x14ac:dyDescent="0.3">
      <c r="C142" s="17"/>
      <c r="F142" s="17"/>
      <c r="G142" s="17"/>
    </row>
    <row r="143" spans="3:7" ht="15.75" customHeight="1" x14ac:dyDescent="0.3">
      <c r="C143" s="17"/>
      <c r="F143" s="17"/>
      <c r="G143" s="17"/>
    </row>
    <row r="144" spans="3:7" ht="15.75" customHeight="1" x14ac:dyDescent="0.3">
      <c r="C144" s="17"/>
      <c r="F144" s="17"/>
      <c r="G144" s="17"/>
    </row>
    <row r="145" spans="3:7" ht="15.75" customHeight="1" x14ac:dyDescent="0.3">
      <c r="C145" s="17"/>
      <c r="F145" s="17"/>
      <c r="G145" s="17"/>
    </row>
    <row r="146" spans="3:7" ht="15.75" customHeight="1" x14ac:dyDescent="0.3">
      <c r="C146" s="17"/>
      <c r="F146" s="17"/>
      <c r="G146" s="17"/>
    </row>
    <row r="147" spans="3:7" ht="15.75" customHeight="1" x14ac:dyDescent="0.3">
      <c r="C147" s="17"/>
      <c r="F147" s="17"/>
      <c r="G147" s="17"/>
    </row>
    <row r="148" spans="3:7" ht="15.75" customHeight="1" x14ac:dyDescent="0.3">
      <c r="C148" s="17"/>
      <c r="F148" s="17"/>
      <c r="G148" s="17"/>
    </row>
    <row r="149" spans="3:7" ht="15.75" customHeight="1" x14ac:dyDescent="0.3">
      <c r="C149" s="17"/>
      <c r="F149" s="17"/>
      <c r="G149" s="17"/>
    </row>
    <row r="150" spans="3:7" ht="15.75" customHeight="1" x14ac:dyDescent="0.3">
      <c r="C150" s="17"/>
      <c r="F150" s="17"/>
      <c r="G150" s="17"/>
    </row>
    <row r="151" spans="3:7" ht="15.75" customHeight="1" x14ac:dyDescent="0.3">
      <c r="C151" s="17"/>
      <c r="F151" s="17"/>
      <c r="G151" s="17"/>
    </row>
    <row r="152" spans="3:7" ht="15.75" customHeight="1" x14ac:dyDescent="0.3">
      <c r="C152" s="17"/>
      <c r="F152" s="17"/>
      <c r="G152" s="17"/>
    </row>
    <row r="153" spans="3:7" ht="15.75" customHeight="1" x14ac:dyDescent="0.3">
      <c r="C153" s="17"/>
      <c r="F153" s="17"/>
      <c r="G153" s="17"/>
    </row>
    <row r="154" spans="3:7" ht="15.75" customHeight="1" x14ac:dyDescent="0.3">
      <c r="C154" s="17"/>
      <c r="F154" s="17"/>
      <c r="G154" s="17"/>
    </row>
    <row r="155" spans="3:7" ht="15.75" customHeight="1" x14ac:dyDescent="0.3">
      <c r="C155" s="17"/>
      <c r="F155" s="17"/>
      <c r="G155" s="17"/>
    </row>
    <row r="156" spans="3:7" ht="15.75" customHeight="1" x14ac:dyDescent="0.3">
      <c r="C156" s="17"/>
      <c r="F156" s="17"/>
      <c r="G156" s="17"/>
    </row>
    <row r="157" spans="3:7" ht="15.75" customHeight="1" x14ac:dyDescent="0.3">
      <c r="C157" s="17"/>
      <c r="F157" s="17"/>
      <c r="G157" s="17"/>
    </row>
    <row r="158" spans="3:7" ht="15.75" customHeight="1" x14ac:dyDescent="0.3">
      <c r="C158" s="17"/>
      <c r="F158" s="17"/>
      <c r="G158" s="17"/>
    </row>
    <row r="159" spans="3:7" ht="15.75" customHeight="1" x14ac:dyDescent="0.3">
      <c r="C159" s="17"/>
      <c r="F159" s="17"/>
      <c r="G159" s="17"/>
    </row>
    <row r="160" spans="3:7" ht="15.75" customHeight="1" x14ac:dyDescent="0.3">
      <c r="C160" s="17"/>
      <c r="F160" s="17"/>
      <c r="G160" s="17"/>
    </row>
    <row r="161" spans="3:7" ht="15.75" customHeight="1" x14ac:dyDescent="0.3">
      <c r="C161" s="17"/>
      <c r="F161" s="17"/>
      <c r="G161" s="17"/>
    </row>
    <row r="162" spans="3:7" ht="15.75" customHeight="1" x14ac:dyDescent="0.3">
      <c r="C162" s="17"/>
      <c r="F162" s="17"/>
      <c r="G162" s="17"/>
    </row>
    <row r="163" spans="3:7" ht="15.75" customHeight="1" x14ac:dyDescent="0.3">
      <c r="C163" s="17"/>
      <c r="F163" s="17"/>
      <c r="G163" s="17"/>
    </row>
    <row r="164" spans="3:7" ht="15.75" customHeight="1" x14ac:dyDescent="0.3">
      <c r="C164" s="17"/>
      <c r="F164" s="17"/>
      <c r="G164" s="17"/>
    </row>
    <row r="165" spans="3:7" ht="15.75" customHeight="1" x14ac:dyDescent="0.3">
      <c r="C165" s="17"/>
      <c r="F165" s="17"/>
      <c r="G165" s="17"/>
    </row>
    <row r="166" spans="3:7" ht="15.75" customHeight="1" x14ac:dyDescent="0.3">
      <c r="C166" s="17"/>
      <c r="F166" s="17"/>
      <c r="G166" s="17"/>
    </row>
    <row r="167" spans="3:7" ht="15.75" customHeight="1" x14ac:dyDescent="0.3">
      <c r="C167" s="17"/>
      <c r="F167" s="17"/>
      <c r="G167" s="17"/>
    </row>
    <row r="168" spans="3:7" ht="15.75" customHeight="1" x14ac:dyDescent="0.3">
      <c r="C168" s="17"/>
      <c r="F168" s="17"/>
      <c r="G168" s="17"/>
    </row>
    <row r="169" spans="3:7" ht="15.75" customHeight="1" x14ac:dyDescent="0.3">
      <c r="C169" s="17"/>
      <c r="F169" s="17"/>
      <c r="G169" s="17"/>
    </row>
    <row r="170" spans="3:7" ht="15.75" customHeight="1" x14ac:dyDescent="0.3">
      <c r="C170" s="17"/>
      <c r="F170" s="17"/>
      <c r="G170" s="17"/>
    </row>
    <row r="171" spans="3:7" ht="15.75" customHeight="1" x14ac:dyDescent="0.3">
      <c r="C171" s="17"/>
      <c r="F171" s="17"/>
      <c r="G171" s="17"/>
    </row>
    <row r="172" spans="3:7" ht="15.75" customHeight="1" x14ac:dyDescent="0.3">
      <c r="C172" s="17"/>
      <c r="F172" s="17"/>
      <c r="G172" s="17"/>
    </row>
    <row r="173" spans="3:7" ht="15.75" customHeight="1" x14ac:dyDescent="0.3">
      <c r="C173" s="17"/>
      <c r="F173" s="17"/>
      <c r="G173" s="17"/>
    </row>
    <row r="174" spans="3:7" ht="15.75" customHeight="1" x14ac:dyDescent="0.3">
      <c r="C174" s="17"/>
      <c r="F174" s="17"/>
      <c r="G174" s="17"/>
    </row>
    <row r="175" spans="3:7" ht="15.75" customHeight="1" x14ac:dyDescent="0.3">
      <c r="C175" s="17"/>
      <c r="F175" s="17"/>
      <c r="G175" s="17"/>
    </row>
    <row r="176" spans="3:7" ht="15.75" customHeight="1" x14ac:dyDescent="0.3">
      <c r="C176" s="17"/>
      <c r="F176" s="17"/>
      <c r="G176" s="17"/>
    </row>
    <row r="177" spans="3:7" ht="15.75" customHeight="1" x14ac:dyDescent="0.3">
      <c r="C177" s="17"/>
      <c r="F177" s="17"/>
      <c r="G177" s="17"/>
    </row>
    <row r="178" spans="3:7" ht="15.75" customHeight="1" x14ac:dyDescent="0.3">
      <c r="C178" s="17"/>
      <c r="F178" s="17"/>
      <c r="G178" s="17"/>
    </row>
    <row r="179" spans="3:7" ht="15.75" customHeight="1" x14ac:dyDescent="0.3">
      <c r="C179" s="17"/>
      <c r="F179" s="17"/>
      <c r="G179" s="17"/>
    </row>
    <row r="180" spans="3:7" ht="15.75" customHeight="1" x14ac:dyDescent="0.3">
      <c r="C180" s="17"/>
      <c r="F180" s="17"/>
      <c r="G180" s="17"/>
    </row>
    <row r="181" spans="3:7" ht="15.75" customHeight="1" x14ac:dyDescent="0.3">
      <c r="C181" s="17"/>
      <c r="F181" s="17"/>
      <c r="G181" s="17"/>
    </row>
    <row r="182" spans="3:7" ht="15.75" customHeight="1" x14ac:dyDescent="0.3">
      <c r="C182" s="17"/>
      <c r="F182" s="17"/>
      <c r="G182" s="17"/>
    </row>
    <row r="183" spans="3:7" ht="15.75" customHeight="1" x14ac:dyDescent="0.3">
      <c r="C183" s="17"/>
      <c r="F183" s="17"/>
      <c r="G183" s="17"/>
    </row>
    <row r="184" spans="3:7" ht="15.75" customHeight="1" x14ac:dyDescent="0.3">
      <c r="C184" s="17"/>
      <c r="F184" s="17"/>
      <c r="G184" s="17"/>
    </row>
    <row r="185" spans="3:7" ht="15.75" customHeight="1" x14ac:dyDescent="0.3">
      <c r="C185" s="17"/>
      <c r="F185" s="17"/>
      <c r="G185" s="17"/>
    </row>
    <row r="186" spans="3:7" ht="15.75" customHeight="1" x14ac:dyDescent="0.3">
      <c r="C186" s="17"/>
      <c r="F186" s="17"/>
      <c r="G186" s="17"/>
    </row>
    <row r="187" spans="3:7" ht="15.75" customHeight="1" x14ac:dyDescent="0.3">
      <c r="C187" s="17"/>
      <c r="F187" s="17"/>
      <c r="G187" s="17"/>
    </row>
    <row r="188" spans="3:7" ht="15.75" customHeight="1" x14ac:dyDescent="0.3">
      <c r="C188" s="17"/>
      <c r="F188" s="17"/>
      <c r="G188" s="17"/>
    </row>
    <row r="189" spans="3:7" ht="15.75" customHeight="1" x14ac:dyDescent="0.3">
      <c r="C189" s="17"/>
      <c r="F189" s="17"/>
      <c r="G189" s="17"/>
    </row>
    <row r="190" spans="3:7" ht="15.75" customHeight="1" x14ac:dyDescent="0.3">
      <c r="C190" s="17"/>
      <c r="F190" s="17"/>
      <c r="G190" s="17"/>
    </row>
    <row r="191" spans="3:7" ht="15.75" customHeight="1" x14ac:dyDescent="0.3">
      <c r="C191" s="17"/>
      <c r="F191" s="17"/>
      <c r="G191" s="17"/>
    </row>
    <row r="192" spans="3:7" ht="15.75" customHeight="1" x14ac:dyDescent="0.3">
      <c r="C192" s="17"/>
      <c r="F192" s="17"/>
      <c r="G192" s="17"/>
    </row>
    <row r="193" spans="3:7" ht="15.75" customHeight="1" x14ac:dyDescent="0.3">
      <c r="C193" s="17"/>
      <c r="F193" s="17"/>
      <c r="G193" s="17"/>
    </row>
    <row r="194" spans="3:7" ht="15.75" customHeight="1" x14ac:dyDescent="0.3">
      <c r="C194" s="17"/>
      <c r="F194" s="17"/>
      <c r="G194" s="17"/>
    </row>
    <row r="195" spans="3:7" ht="15.75" customHeight="1" x14ac:dyDescent="0.3">
      <c r="C195" s="17"/>
      <c r="F195" s="17"/>
      <c r="G195" s="17"/>
    </row>
    <row r="196" spans="3:7" ht="15.75" customHeight="1" x14ac:dyDescent="0.3">
      <c r="C196" s="17"/>
      <c r="F196" s="17"/>
      <c r="G196" s="17"/>
    </row>
    <row r="197" spans="3:7" ht="15.75" customHeight="1" x14ac:dyDescent="0.3">
      <c r="C197" s="17"/>
      <c r="F197" s="17"/>
      <c r="G197" s="17"/>
    </row>
    <row r="198" spans="3:7" ht="15.75" customHeight="1" x14ac:dyDescent="0.3">
      <c r="C198" s="17"/>
      <c r="F198" s="17"/>
      <c r="G198" s="17"/>
    </row>
    <row r="199" spans="3:7" ht="15.75" customHeight="1" x14ac:dyDescent="0.3">
      <c r="C199" s="17"/>
      <c r="F199" s="17"/>
      <c r="G199" s="17"/>
    </row>
    <row r="200" spans="3:7" ht="15.75" customHeight="1" x14ac:dyDescent="0.3">
      <c r="C200" s="17"/>
      <c r="F200" s="17"/>
      <c r="G200" s="17"/>
    </row>
    <row r="201" spans="3:7" ht="15.75" customHeight="1" x14ac:dyDescent="0.3">
      <c r="C201" s="17"/>
      <c r="F201" s="17"/>
      <c r="G201" s="17"/>
    </row>
    <row r="202" spans="3:7" ht="15.75" customHeight="1" x14ac:dyDescent="0.3">
      <c r="C202" s="17"/>
      <c r="F202" s="17"/>
      <c r="G202" s="17"/>
    </row>
    <row r="203" spans="3:7" ht="15.75" customHeight="1" x14ac:dyDescent="0.3">
      <c r="C203" s="17"/>
      <c r="F203" s="17"/>
      <c r="G203" s="17"/>
    </row>
    <row r="204" spans="3:7" ht="15.75" customHeight="1" x14ac:dyDescent="0.3">
      <c r="C204" s="17"/>
      <c r="F204" s="17"/>
      <c r="G204" s="17"/>
    </row>
    <row r="205" spans="3:7" ht="15.75" customHeight="1" x14ac:dyDescent="0.3">
      <c r="C205" s="17"/>
      <c r="F205" s="17"/>
      <c r="G205" s="17"/>
    </row>
    <row r="206" spans="3:7" ht="15.75" customHeight="1" x14ac:dyDescent="0.3">
      <c r="C206" s="17"/>
      <c r="F206" s="17"/>
      <c r="G206" s="17"/>
    </row>
    <row r="207" spans="3:7" ht="15.75" customHeight="1" x14ac:dyDescent="0.3">
      <c r="C207" s="17"/>
      <c r="F207" s="17"/>
      <c r="G207" s="17"/>
    </row>
    <row r="208" spans="3:7" ht="15.75" customHeight="1" x14ac:dyDescent="0.3">
      <c r="C208" s="17"/>
      <c r="F208" s="17"/>
      <c r="G208" s="17"/>
    </row>
    <row r="209" spans="3:7" ht="15.75" customHeight="1" x14ac:dyDescent="0.3">
      <c r="C209" s="17"/>
      <c r="F209" s="17"/>
      <c r="G209" s="17"/>
    </row>
    <row r="210" spans="3:7" ht="15.75" customHeight="1" x14ac:dyDescent="0.3">
      <c r="C210" s="17"/>
      <c r="F210" s="17"/>
      <c r="G210" s="17"/>
    </row>
    <row r="211" spans="3:7" ht="15.75" customHeight="1" x14ac:dyDescent="0.3">
      <c r="C211" s="17"/>
      <c r="F211" s="17"/>
      <c r="G211" s="17"/>
    </row>
    <row r="212" spans="3:7" ht="15.75" customHeight="1" x14ac:dyDescent="0.3">
      <c r="C212" s="17"/>
      <c r="F212" s="17"/>
      <c r="G212" s="17"/>
    </row>
    <row r="213" spans="3:7" ht="15.75" customHeight="1" x14ac:dyDescent="0.3">
      <c r="C213" s="17"/>
      <c r="F213" s="17"/>
      <c r="G213" s="17"/>
    </row>
    <row r="214" spans="3:7" ht="15.75" customHeight="1" x14ac:dyDescent="0.3">
      <c r="C214" s="17"/>
      <c r="F214" s="17"/>
      <c r="G214" s="17"/>
    </row>
    <row r="215" spans="3:7" ht="15.75" customHeight="1" x14ac:dyDescent="0.3">
      <c r="C215" s="17"/>
      <c r="F215" s="17"/>
      <c r="G215" s="17"/>
    </row>
    <row r="216" spans="3:7" ht="15.75" customHeight="1" x14ac:dyDescent="0.3">
      <c r="C216" s="17"/>
      <c r="F216" s="17"/>
      <c r="G216" s="17"/>
    </row>
    <row r="217" spans="3:7" ht="15.75" customHeight="1" x14ac:dyDescent="0.3">
      <c r="C217" s="17"/>
      <c r="F217" s="17"/>
      <c r="G217" s="17"/>
    </row>
    <row r="218" spans="3:7" ht="15.75" customHeight="1" x14ac:dyDescent="0.3">
      <c r="C218" s="17"/>
      <c r="F218" s="17"/>
      <c r="G218" s="17"/>
    </row>
    <row r="219" spans="3:7" ht="15.75" customHeight="1" x14ac:dyDescent="0.3">
      <c r="C219" s="17"/>
      <c r="F219" s="17"/>
      <c r="G219" s="17"/>
    </row>
    <row r="220" spans="3:7" ht="15.75" customHeight="1" x14ac:dyDescent="0.3">
      <c r="C220" s="17"/>
      <c r="F220" s="17"/>
      <c r="G220" s="17"/>
    </row>
    <row r="221" spans="3:7" ht="15.75" customHeight="1" x14ac:dyDescent="0.3">
      <c r="C221" s="17"/>
      <c r="F221" s="17"/>
      <c r="G221" s="17"/>
    </row>
    <row r="222" spans="3:7" ht="15.75" customHeight="1" x14ac:dyDescent="0.3">
      <c r="C222" s="17"/>
      <c r="F222" s="17"/>
      <c r="G222" s="17"/>
    </row>
    <row r="223" spans="3:7" ht="15.75" customHeight="1" x14ac:dyDescent="0.3">
      <c r="C223" s="17"/>
      <c r="F223" s="17"/>
      <c r="G223" s="17"/>
    </row>
    <row r="224" spans="3:7" ht="15.75" customHeight="1" x14ac:dyDescent="0.3">
      <c r="C224" s="17"/>
      <c r="F224" s="17"/>
      <c r="G224" s="17"/>
    </row>
    <row r="225" spans="3:7" ht="15.75" customHeight="1" x14ac:dyDescent="0.3">
      <c r="C225" s="17"/>
      <c r="F225" s="17"/>
      <c r="G225" s="17"/>
    </row>
    <row r="226" spans="3:7" ht="15.75" customHeight="1" x14ac:dyDescent="0.3">
      <c r="C226" s="17"/>
      <c r="F226" s="17"/>
      <c r="G226" s="17"/>
    </row>
    <row r="227" spans="3:7" ht="15.75" customHeight="1" x14ac:dyDescent="0.3">
      <c r="C227" s="17"/>
      <c r="F227" s="17"/>
      <c r="G227" s="17"/>
    </row>
    <row r="228" spans="3:7" ht="15.75" customHeight="1" x14ac:dyDescent="0.3">
      <c r="C228" s="17"/>
      <c r="F228" s="17"/>
      <c r="G228" s="17"/>
    </row>
    <row r="229" spans="3:7" ht="15.75" customHeight="1" x14ac:dyDescent="0.3">
      <c r="C229" s="17"/>
      <c r="F229" s="17"/>
      <c r="G229" s="17"/>
    </row>
    <row r="230" spans="3:7" ht="15.75" customHeight="1" x14ac:dyDescent="0.3">
      <c r="C230" s="17"/>
      <c r="F230" s="17"/>
      <c r="G230" s="17"/>
    </row>
    <row r="231" spans="3:7" ht="15.75" customHeight="1" x14ac:dyDescent="0.3">
      <c r="C231" s="17"/>
      <c r="F231" s="17"/>
      <c r="G231" s="17"/>
    </row>
    <row r="232" spans="3:7" ht="15.75" customHeight="1" x14ac:dyDescent="0.3">
      <c r="C232" s="17"/>
      <c r="F232" s="17"/>
      <c r="G232" s="17"/>
    </row>
    <row r="233" spans="3:7" ht="15.75" customHeight="1" x14ac:dyDescent="0.3">
      <c r="C233" s="17"/>
      <c r="F233" s="17"/>
      <c r="G233" s="17"/>
    </row>
    <row r="234" spans="3:7" ht="15.75" customHeight="1" x14ac:dyDescent="0.3">
      <c r="C234" s="17"/>
      <c r="F234" s="17"/>
      <c r="G234" s="17"/>
    </row>
    <row r="235" spans="3:7" ht="15.75" customHeight="1" x14ac:dyDescent="0.3">
      <c r="C235" s="17"/>
      <c r="F235" s="17"/>
      <c r="G235" s="17"/>
    </row>
    <row r="236" spans="3:7" ht="15.75" customHeight="1" x14ac:dyDescent="0.3">
      <c r="C236" s="17"/>
      <c r="F236" s="17"/>
      <c r="G236" s="17"/>
    </row>
    <row r="237" spans="3:7" ht="15.75" customHeight="1" x14ac:dyDescent="0.3">
      <c r="C237" s="17"/>
      <c r="F237" s="17"/>
      <c r="G237" s="17"/>
    </row>
    <row r="238" spans="3:7" ht="15.75" customHeight="1" x14ac:dyDescent="0.3">
      <c r="C238" s="17"/>
      <c r="F238" s="17"/>
      <c r="G238" s="17"/>
    </row>
    <row r="239" spans="3:7" ht="15.75" customHeight="1" x14ac:dyDescent="0.3">
      <c r="C239" s="17"/>
      <c r="F239" s="17"/>
      <c r="G239" s="17"/>
    </row>
    <row r="240" spans="3:7" ht="15.75" customHeight="1" x14ac:dyDescent="0.3">
      <c r="C240" s="17"/>
      <c r="F240" s="17"/>
      <c r="G240" s="17"/>
    </row>
    <row r="241" spans="3:7" ht="15.75" customHeight="1" x14ac:dyDescent="0.3">
      <c r="C241" s="17"/>
      <c r="F241" s="17"/>
      <c r="G241" s="17"/>
    </row>
    <row r="242" spans="3:7" ht="15.75" customHeight="1" x14ac:dyDescent="0.3">
      <c r="C242" s="17"/>
      <c r="F242" s="17"/>
      <c r="G242" s="17"/>
    </row>
    <row r="243" spans="3:7" ht="15.75" customHeight="1" x14ac:dyDescent="0.3">
      <c r="C243" s="17"/>
      <c r="F243" s="17"/>
      <c r="G243" s="17"/>
    </row>
    <row r="244" spans="3:7" ht="15.75" customHeight="1" x14ac:dyDescent="0.3">
      <c r="C244" s="17"/>
      <c r="F244" s="17"/>
      <c r="G244" s="17"/>
    </row>
    <row r="245" spans="3:7" ht="15.75" customHeight="1" x14ac:dyDescent="0.3">
      <c r="C245" s="17"/>
      <c r="F245" s="17"/>
      <c r="G245" s="17"/>
    </row>
    <row r="246" spans="3:7" ht="15.75" customHeight="1" x14ac:dyDescent="0.3">
      <c r="C246" s="17"/>
      <c r="F246" s="17"/>
      <c r="G246" s="17"/>
    </row>
    <row r="247" spans="3:7" ht="15.75" customHeight="1" x14ac:dyDescent="0.3">
      <c r="C247" s="17"/>
      <c r="F247" s="17"/>
      <c r="G247" s="17"/>
    </row>
    <row r="248" spans="3:7" ht="15.75" customHeight="1" x14ac:dyDescent="0.3">
      <c r="C248" s="17"/>
      <c r="F248" s="17"/>
      <c r="G248" s="17"/>
    </row>
    <row r="249" spans="3:7" ht="15.75" customHeight="1" x14ac:dyDescent="0.3">
      <c r="C249" s="17"/>
      <c r="F249" s="17"/>
      <c r="G249" s="17"/>
    </row>
    <row r="250" spans="3:7" ht="15.75" customHeight="1" x14ac:dyDescent="0.3">
      <c r="C250" s="17"/>
      <c r="F250" s="17"/>
      <c r="G250" s="17"/>
    </row>
    <row r="251" spans="3:7" ht="15.75" customHeight="1" x14ac:dyDescent="0.3">
      <c r="C251" s="17"/>
      <c r="F251" s="17"/>
      <c r="G251" s="17"/>
    </row>
    <row r="252" spans="3:7" ht="15.75" customHeight="1" x14ac:dyDescent="0.3">
      <c r="C252" s="17"/>
      <c r="F252" s="17"/>
      <c r="G252" s="17"/>
    </row>
    <row r="253" spans="3:7" ht="15.75" customHeight="1" x14ac:dyDescent="0.3">
      <c r="C253" s="17"/>
      <c r="F253" s="17"/>
      <c r="G253" s="17"/>
    </row>
    <row r="254" spans="3:7" ht="15.75" customHeight="1" x14ac:dyDescent="0.3">
      <c r="C254" s="17"/>
      <c r="F254" s="17"/>
      <c r="G254" s="17"/>
    </row>
    <row r="255" spans="3:7" ht="15.75" customHeight="1" x14ac:dyDescent="0.3">
      <c r="C255" s="17"/>
      <c r="F255" s="17"/>
      <c r="G255" s="17"/>
    </row>
    <row r="256" spans="3:7" ht="15.75" customHeight="1" x14ac:dyDescent="0.3">
      <c r="C256" s="17"/>
      <c r="F256" s="17"/>
      <c r="G256" s="17"/>
    </row>
    <row r="257" spans="3:7" ht="15.75" customHeight="1" x14ac:dyDescent="0.3">
      <c r="C257" s="17"/>
      <c r="F257" s="17"/>
      <c r="G257" s="17"/>
    </row>
    <row r="258" spans="3:7" ht="15.75" customHeight="1" x14ac:dyDescent="0.3">
      <c r="C258" s="17"/>
      <c r="F258" s="17"/>
      <c r="G258" s="17"/>
    </row>
    <row r="259" spans="3:7" ht="15.75" customHeight="1" x14ac:dyDescent="0.3">
      <c r="C259" s="17"/>
      <c r="F259" s="17"/>
      <c r="G259" s="17"/>
    </row>
    <row r="260" spans="3:7" ht="15.75" customHeight="1" x14ac:dyDescent="0.3">
      <c r="C260" s="17"/>
      <c r="F260" s="17"/>
      <c r="G260" s="17"/>
    </row>
    <row r="261" spans="3:7" ht="15.75" customHeight="1" x14ac:dyDescent="0.3">
      <c r="C261" s="17"/>
      <c r="F261" s="17"/>
      <c r="G261" s="17"/>
    </row>
    <row r="262" spans="3:7" ht="15.75" customHeight="1" x14ac:dyDescent="0.3">
      <c r="C262" s="17"/>
      <c r="F262" s="17"/>
      <c r="G262" s="17"/>
    </row>
    <row r="263" spans="3:7" ht="15.75" customHeight="1" x14ac:dyDescent="0.3">
      <c r="C263" s="17"/>
      <c r="F263" s="17"/>
      <c r="G263" s="17"/>
    </row>
    <row r="264" spans="3:7" ht="15.75" customHeight="1" x14ac:dyDescent="0.3">
      <c r="C264" s="17"/>
      <c r="F264" s="17"/>
      <c r="G264" s="17"/>
    </row>
    <row r="265" spans="3:7" ht="15.75" customHeight="1" x14ac:dyDescent="0.3">
      <c r="C265" s="17"/>
      <c r="F265" s="17"/>
      <c r="G265" s="17"/>
    </row>
    <row r="266" spans="3:7" ht="15.75" customHeight="1" x14ac:dyDescent="0.3">
      <c r="C266" s="17"/>
      <c r="F266" s="17"/>
      <c r="G266" s="17"/>
    </row>
    <row r="267" spans="3:7" ht="15.75" customHeight="1" x14ac:dyDescent="0.3">
      <c r="C267" s="17"/>
      <c r="F267" s="17"/>
      <c r="G267" s="17"/>
    </row>
    <row r="268" spans="3:7" ht="15.75" customHeight="1" x14ac:dyDescent="0.3">
      <c r="C268" s="17"/>
      <c r="F268" s="17"/>
      <c r="G268" s="17"/>
    </row>
    <row r="269" spans="3:7" ht="15.75" customHeight="1" x14ac:dyDescent="0.3">
      <c r="C269" s="17"/>
      <c r="F269" s="17"/>
      <c r="G269" s="17"/>
    </row>
    <row r="270" spans="3:7" ht="15.75" customHeight="1" x14ac:dyDescent="0.3">
      <c r="C270" s="17"/>
      <c r="F270" s="17"/>
      <c r="G270" s="17"/>
    </row>
    <row r="271" spans="3:7" ht="15.75" customHeight="1" x14ac:dyDescent="0.3">
      <c r="C271" s="17"/>
      <c r="F271" s="17"/>
      <c r="G271" s="17"/>
    </row>
    <row r="272" spans="3:7" ht="15.75" customHeight="1" x14ac:dyDescent="0.3">
      <c r="C272" s="17"/>
      <c r="F272" s="17"/>
      <c r="G272" s="17"/>
    </row>
    <row r="273" spans="3:7" ht="15.75" customHeight="1" x14ac:dyDescent="0.3">
      <c r="C273" s="17"/>
      <c r="F273" s="17"/>
      <c r="G273" s="17"/>
    </row>
    <row r="274" spans="3:7" ht="15.75" customHeight="1" x14ac:dyDescent="0.3">
      <c r="C274" s="17"/>
      <c r="F274" s="17"/>
      <c r="G274" s="17"/>
    </row>
    <row r="275" spans="3:7" ht="15.75" customHeight="1" x14ac:dyDescent="0.3">
      <c r="C275" s="17"/>
      <c r="F275" s="17"/>
      <c r="G275" s="17"/>
    </row>
    <row r="276" spans="3:7" ht="15.75" customHeight="1" x14ac:dyDescent="0.3">
      <c r="C276" s="17"/>
      <c r="F276" s="17"/>
      <c r="G276" s="17"/>
    </row>
    <row r="277" spans="3:7" ht="15.75" customHeight="1" x14ac:dyDescent="0.3">
      <c r="C277" s="17"/>
      <c r="F277" s="17"/>
      <c r="G277" s="17"/>
    </row>
    <row r="278" spans="3:7" ht="15.75" customHeight="1" x14ac:dyDescent="0.3">
      <c r="C278" s="17"/>
      <c r="F278" s="17"/>
      <c r="G278" s="17"/>
    </row>
    <row r="279" spans="3:7" ht="15.75" customHeight="1" x14ac:dyDescent="0.3">
      <c r="C279" s="17"/>
      <c r="F279" s="17"/>
      <c r="G279" s="17"/>
    </row>
    <row r="280" spans="3:7" ht="15.75" customHeight="1" x14ac:dyDescent="0.3">
      <c r="C280" s="17"/>
      <c r="F280" s="17"/>
      <c r="G280" s="17"/>
    </row>
    <row r="281" spans="3:7" ht="15.75" customHeight="1" x14ac:dyDescent="0.3">
      <c r="C281" s="17"/>
      <c r="F281" s="17"/>
      <c r="G281" s="17"/>
    </row>
    <row r="282" spans="3:7" ht="15.75" customHeight="1" x14ac:dyDescent="0.3">
      <c r="C282" s="17"/>
      <c r="F282" s="17"/>
      <c r="G282" s="17"/>
    </row>
    <row r="283" spans="3:7" ht="15.75" customHeight="1" x14ac:dyDescent="0.3">
      <c r="C283" s="17"/>
      <c r="F283" s="17"/>
      <c r="G283" s="17"/>
    </row>
    <row r="284" spans="3:7" ht="15.75" customHeight="1" x14ac:dyDescent="0.3">
      <c r="C284" s="17"/>
      <c r="F284" s="17"/>
      <c r="G284" s="17"/>
    </row>
    <row r="285" spans="3:7" ht="15.75" customHeight="1" x14ac:dyDescent="0.3">
      <c r="C285" s="17"/>
      <c r="F285" s="17"/>
      <c r="G285" s="17"/>
    </row>
    <row r="286" spans="3:7" ht="15.75" customHeight="1" x14ac:dyDescent="0.3">
      <c r="C286" s="17"/>
      <c r="F286" s="17"/>
      <c r="G286" s="17"/>
    </row>
    <row r="287" spans="3:7" ht="15.75" customHeight="1" x14ac:dyDescent="0.3">
      <c r="C287" s="17"/>
      <c r="F287" s="17"/>
      <c r="G287" s="17"/>
    </row>
    <row r="288" spans="3:7" ht="15.75" customHeight="1" x14ac:dyDescent="0.3">
      <c r="C288" s="17"/>
      <c r="F288" s="17"/>
      <c r="G288" s="17"/>
    </row>
    <row r="289" spans="3:7" ht="15.75" customHeight="1" x14ac:dyDescent="0.3">
      <c r="C289" s="17"/>
      <c r="F289" s="17"/>
      <c r="G289" s="17"/>
    </row>
    <row r="290" spans="3:7" ht="15.75" customHeight="1" x14ac:dyDescent="0.3">
      <c r="C290" s="17"/>
      <c r="F290" s="17"/>
      <c r="G290" s="17"/>
    </row>
    <row r="291" spans="3:7" ht="15.75" customHeight="1" x14ac:dyDescent="0.3">
      <c r="C291" s="17"/>
      <c r="F291" s="17"/>
      <c r="G291" s="17"/>
    </row>
    <row r="292" spans="3:7" ht="15.75" customHeight="1" x14ac:dyDescent="0.3">
      <c r="C292" s="17"/>
      <c r="F292" s="17"/>
      <c r="G292" s="17"/>
    </row>
    <row r="293" spans="3:7" ht="15.75" customHeight="1" x14ac:dyDescent="0.3">
      <c r="C293" s="17"/>
      <c r="F293" s="17"/>
      <c r="G293" s="17"/>
    </row>
    <row r="294" spans="3:7" ht="15.75" customHeight="1" x14ac:dyDescent="0.3">
      <c r="C294" s="17"/>
      <c r="F294" s="17"/>
      <c r="G294" s="17"/>
    </row>
    <row r="295" spans="3:7" ht="15.75" customHeight="1" x14ac:dyDescent="0.3">
      <c r="C295" s="17"/>
      <c r="F295" s="17"/>
      <c r="G295" s="17"/>
    </row>
    <row r="296" spans="3:7" ht="15.75" customHeight="1" x14ac:dyDescent="0.3">
      <c r="C296" s="17"/>
      <c r="F296" s="17"/>
      <c r="G296" s="17"/>
    </row>
    <row r="297" spans="3:7" ht="15.75" customHeight="1" x14ac:dyDescent="0.3">
      <c r="C297" s="17"/>
      <c r="F297" s="17"/>
      <c r="G297" s="17"/>
    </row>
    <row r="298" spans="3:7" ht="15.75" customHeight="1" x14ac:dyDescent="0.3">
      <c r="C298" s="17"/>
      <c r="F298" s="17"/>
      <c r="G298" s="17"/>
    </row>
    <row r="299" spans="3:7" ht="15.75" customHeight="1" x14ac:dyDescent="0.3">
      <c r="C299" s="17"/>
      <c r="F299" s="17"/>
      <c r="G299" s="17"/>
    </row>
    <row r="300" spans="3:7" ht="15.75" customHeight="1" x14ac:dyDescent="0.3">
      <c r="C300" s="17"/>
      <c r="F300" s="17"/>
      <c r="G300" s="17"/>
    </row>
    <row r="301" spans="3:7" ht="15.75" customHeight="1" x14ac:dyDescent="0.3">
      <c r="C301" s="17"/>
      <c r="F301" s="17"/>
      <c r="G301" s="17"/>
    </row>
    <row r="302" spans="3:7" ht="15.75" customHeight="1" x14ac:dyDescent="0.3">
      <c r="C302" s="17"/>
      <c r="F302" s="17"/>
      <c r="G302" s="17"/>
    </row>
    <row r="303" spans="3:7" ht="15.75" customHeight="1" x14ac:dyDescent="0.3">
      <c r="C303" s="17"/>
      <c r="F303" s="17"/>
      <c r="G303" s="17"/>
    </row>
    <row r="304" spans="3:7" ht="15.75" customHeight="1" x14ac:dyDescent="0.3">
      <c r="C304" s="17"/>
      <c r="F304" s="17"/>
      <c r="G304" s="17"/>
    </row>
    <row r="305" spans="3:7" ht="15.75" customHeight="1" x14ac:dyDescent="0.3">
      <c r="C305" s="17"/>
      <c r="F305" s="17"/>
      <c r="G305" s="17"/>
    </row>
    <row r="306" spans="3:7" ht="15.75" customHeight="1" x14ac:dyDescent="0.3">
      <c r="C306" s="17"/>
      <c r="F306" s="17"/>
      <c r="G306" s="17"/>
    </row>
    <row r="307" spans="3:7" ht="15.75" customHeight="1" x14ac:dyDescent="0.3">
      <c r="C307" s="17"/>
      <c r="F307" s="17"/>
      <c r="G307" s="17"/>
    </row>
    <row r="308" spans="3:7" ht="15.75" customHeight="1" x14ac:dyDescent="0.3">
      <c r="C308" s="17"/>
      <c r="F308" s="17"/>
      <c r="G308" s="17"/>
    </row>
    <row r="309" spans="3:7" ht="15.75" customHeight="1" x14ac:dyDescent="0.3">
      <c r="C309" s="17"/>
      <c r="F309" s="17"/>
      <c r="G309" s="17"/>
    </row>
    <row r="310" spans="3:7" ht="15.75" customHeight="1" x14ac:dyDescent="0.3">
      <c r="C310" s="17"/>
      <c r="F310" s="17"/>
      <c r="G310" s="17"/>
    </row>
    <row r="311" spans="3:7" ht="15.75" customHeight="1" x14ac:dyDescent="0.3">
      <c r="C311" s="17"/>
      <c r="F311" s="17"/>
      <c r="G311" s="17"/>
    </row>
    <row r="312" spans="3:7" ht="15.75" customHeight="1" x14ac:dyDescent="0.3">
      <c r="C312" s="17"/>
      <c r="F312" s="17"/>
      <c r="G312" s="17"/>
    </row>
    <row r="313" spans="3:7" ht="15.75" customHeight="1" x14ac:dyDescent="0.3">
      <c r="C313" s="17"/>
      <c r="F313" s="17"/>
      <c r="G313" s="17"/>
    </row>
    <row r="314" spans="3:7" ht="15.75" customHeight="1" x14ac:dyDescent="0.3">
      <c r="C314" s="17"/>
      <c r="F314" s="17"/>
      <c r="G314" s="17"/>
    </row>
    <row r="315" spans="3:7" ht="15.75" customHeight="1" x14ac:dyDescent="0.3">
      <c r="C315" s="17"/>
      <c r="F315" s="17"/>
      <c r="G315" s="17"/>
    </row>
    <row r="316" spans="3:7" ht="15.75" customHeight="1" x14ac:dyDescent="0.3">
      <c r="C316" s="17"/>
      <c r="F316" s="17"/>
      <c r="G316" s="17"/>
    </row>
    <row r="317" spans="3:7" ht="15.75" customHeight="1" x14ac:dyDescent="0.3">
      <c r="C317" s="17"/>
      <c r="F317" s="17"/>
      <c r="G317" s="17"/>
    </row>
    <row r="318" spans="3:7" ht="15.75" customHeight="1" x14ac:dyDescent="0.3">
      <c r="C318" s="17"/>
      <c r="F318" s="17"/>
      <c r="G318" s="17"/>
    </row>
    <row r="319" spans="3:7" ht="15.75" customHeight="1" x14ac:dyDescent="0.3">
      <c r="C319" s="17"/>
      <c r="F319" s="17"/>
      <c r="G319" s="17"/>
    </row>
    <row r="320" spans="3:7" ht="15.75" customHeight="1" x14ac:dyDescent="0.3">
      <c r="C320" s="17"/>
      <c r="F320" s="17"/>
      <c r="G320" s="17"/>
    </row>
    <row r="321" spans="3:7" ht="15.75" customHeight="1" x14ac:dyDescent="0.3">
      <c r="C321" s="17"/>
      <c r="F321" s="17"/>
      <c r="G321" s="17"/>
    </row>
    <row r="322" spans="3:7" ht="15.75" customHeight="1" x14ac:dyDescent="0.3">
      <c r="C322" s="17"/>
      <c r="F322" s="17"/>
      <c r="G322" s="17"/>
    </row>
    <row r="323" spans="3:7" ht="15.75" customHeight="1" x14ac:dyDescent="0.3">
      <c r="C323" s="17"/>
      <c r="F323" s="17"/>
      <c r="G323" s="17"/>
    </row>
    <row r="324" spans="3:7" ht="15.75" customHeight="1" x14ac:dyDescent="0.3">
      <c r="C324" s="17"/>
      <c r="F324" s="17"/>
      <c r="G324" s="17"/>
    </row>
    <row r="325" spans="3:7" ht="15.75" customHeight="1" x14ac:dyDescent="0.3">
      <c r="C325" s="17"/>
      <c r="F325" s="17"/>
      <c r="G325" s="17"/>
    </row>
    <row r="326" spans="3:7" ht="15.75" customHeight="1" x14ac:dyDescent="0.3">
      <c r="C326" s="17"/>
      <c r="F326" s="17"/>
      <c r="G326" s="17"/>
    </row>
    <row r="327" spans="3:7" ht="15.75" customHeight="1" x14ac:dyDescent="0.3">
      <c r="C327" s="17"/>
      <c r="F327" s="17"/>
      <c r="G327" s="17"/>
    </row>
    <row r="328" spans="3:7" ht="15.75" customHeight="1" x14ac:dyDescent="0.3">
      <c r="C328" s="17"/>
      <c r="F328" s="17"/>
      <c r="G328" s="17"/>
    </row>
    <row r="329" spans="3:7" ht="15.75" customHeight="1" x14ac:dyDescent="0.3">
      <c r="C329" s="17"/>
      <c r="F329" s="17"/>
      <c r="G329" s="17"/>
    </row>
    <row r="330" spans="3:7" ht="15.75" customHeight="1" x14ac:dyDescent="0.3">
      <c r="C330" s="17"/>
      <c r="F330" s="17"/>
      <c r="G330" s="17"/>
    </row>
    <row r="331" spans="3:7" ht="15.75" customHeight="1" x14ac:dyDescent="0.3">
      <c r="C331" s="17"/>
      <c r="F331" s="17"/>
      <c r="G331" s="17"/>
    </row>
    <row r="332" spans="3:7" ht="15.75" customHeight="1" x14ac:dyDescent="0.3">
      <c r="C332" s="17"/>
      <c r="F332" s="17"/>
      <c r="G332" s="17"/>
    </row>
    <row r="333" spans="3:7" ht="15.75" customHeight="1" x14ac:dyDescent="0.3">
      <c r="C333" s="17"/>
      <c r="F333" s="17"/>
      <c r="G333" s="17"/>
    </row>
    <row r="334" spans="3:7" ht="15.75" customHeight="1" x14ac:dyDescent="0.3">
      <c r="C334" s="17"/>
      <c r="F334" s="17"/>
      <c r="G334" s="17"/>
    </row>
    <row r="335" spans="3:7" ht="15.75" customHeight="1" x14ac:dyDescent="0.3">
      <c r="C335" s="17"/>
      <c r="F335" s="17"/>
      <c r="G335" s="17"/>
    </row>
    <row r="336" spans="3:7" ht="15.75" customHeight="1" x14ac:dyDescent="0.3">
      <c r="C336" s="17"/>
      <c r="F336" s="17"/>
      <c r="G336" s="17"/>
    </row>
    <row r="337" spans="3:7" ht="15.75" customHeight="1" x14ac:dyDescent="0.3">
      <c r="C337" s="17"/>
      <c r="F337" s="17"/>
      <c r="G337" s="17"/>
    </row>
    <row r="338" spans="3:7" ht="15.75" customHeight="1" x14ac:dyDescent="0.3">
      <c r="C338" s="17"/>
      <c r="F338" s="17"/>
      <c r="G338" s="17"/>
    </row>
    <row r="339" spans="3:7" ht="15.75" customHeight="1" x14ac:dyDescent="0.3">
      <c r="C339" s="17"/>
      <c r="F339" s="17"/>
      <c r="G339" s="17"/>
    </row>
    <row r="340" spans="3:7" ht="15.75" customHeight="1" x14ac:dyDescent="0.3">
      <c r="C340" s="17"/>
      <c r="F340" s="17"/>
      <c r="G340" s="17"/>
    </row>
    <row r="341" spans="3:7" ht="15.75" customHeight="1" x14ac:dyDescent="0.3">
      <c r="C341" s="17"/>
      <c r="F341" s="17"/>
      <c r="G341" s="17"/>
    </row>
    <row r="342" spans="3:7" ht="15.75" customHeight="1" x14ac:dyDescent="0.3">
      <c r="C342" s="17"/>
      <c r="F342" s="17"/>
      <c r="G342" s="17"/>
    </row>
    <row r="343" spans="3:7" ht="15.75" customHeight="1" x14ac:dyDescent="0.3">
      <c r="C343" s="17"/>
      <c r="F343" s="17"/>
      <c r="G343" s="17"/>
    </row>
    <row r="344" spans="3:7" ht="15.75" customHeight="1" x14ac:dyDescent="0.3">
      <c r="C344" s="17"/>
      <c r="F344" s="17"/>
      <c r="G344" s="17"/>
    </row>
    <row r="345" spans="3:7" ht="15.75" customHeight="1" x14ac:dyDescent="0.3">
      <c r="C345" s="17"/>
      <c r="F345" s="17"/>
      <c r="G345" s="17"/>
    </row>
    <row r="346" spans="3:7" ht="15.75" customHeight="1" x14ac:dyDescent="0.3">
      <c r="C346" s="17"/>
      <c r="F346" s="17"/>
      <c r="G346" s="17"/>
    </row>
    <row r="347" spans="3:7" ht="15.75" customHeight="1" x14ac:dyDescent="0.3">
      <c r="C347" s="17"/>
      <c r="F347" s="17"/>
      <c r="G347" s="17"/>
    </row>
    <row r="348" spans="3:7" ht="15.75" customHeight="1" x14ac:dyDescent="0.3">
      <c r="C348" s="17"/>
      <c r="F348" s="17"/>
      <c r="G348" s="17"/>
    </row>
    <row r="349" spans="3:7" ht="15.75" customHeight="1" x14ac:dyDescent="0.3">
      <c r="C349" s="17"/>
      <c r="F349" s="17"/>
      <c r="G349" s="17"/>
    </row>
    <row r="350" spans="3:7" ht="15.75" customHeight="1" x14ac:dyDescent="0.3">
      <c r="C350" s="17"/>
      <c r="F350" s="17"/>
      <c r="G350" s="17"/>
    </row>
    <row r="351" spans="3:7" ht="15.75" customHeight="1" x14ac:dyDescent="0.3">
      <c r="C351" s="17"/>
      <c r="F351" s="17"/>
      <c r="G351" s="17"/>
    </row>
    <row r="352" spans="3:7" ht="15.75" customHeight="1" x14ac:dyDescent="0.3">
      <c r="C352" s="17"/>
      <c r="F352" s="17"/>
      <c r="G352" s="17"/>
    </row>
    <row r="353" spans="3:7" ht="15.75" customHeight="1" x14ac:dyDescent="0.3">
      <c r="C353" s="17"/>
      <c r="F353" s="17"/>
      <c r="G353" s="17"/>
    </row>
    <row r="354" spans="3:7" ht="15.75" customHeight="1" x14ac:dyDescent="0.3">
      <c r="C354" s="17"/>
      <c r="F354" s="17"/>
      <c r="G354" s="17"/>
    </row>
    <row r="355" spans="3:7" ht="15.75" customHeight="1" x14ac:dyDescent="0.3">
      <c r="C355" s="17"/>
      <c r="F355" s="17"/>
      <c r="G355" s="17"/>
    </row>
    <row r="356" spans="3:7" ht="15.75" customHeight="1" x14ac:dyDescent="0.3">
      <c r="C356" s="17"/>
      <c r="F356" s="17"/>
      <c r="G356" s="17"/>
    </row>
    <row r="357" spans="3:7" ht="15.75" customHeight="1" x14ac:dyDescent="0.3">
      <c r="C357" s="17"/>
      <c r="F357" s="17"/>
      <c r="G357" s="17"/>
    </row>
    <row r="358" spans="3:7" ht="15.75" customHeight="1" x14ac:dyDescent="0.3">
      <c r="C358" s="17"/>
      <c r="F358" s="17"/>
      <c r="G358" s="17"/>
    </row>
    <row r="359" spans="3:7" ht="15.75" customHeight="1" x14ac:dyDescent="0.3">
      <c r="C359" s="17"/>
      <c r="F359" s="17"/>
      <c r="G359" s="17"/>
    </row>
    <row r="360" spans="3:7" ht="15.75" customHeight="1" x14ac:dyDescent="0.3">
      <c r="C360" s="17"/>
      <c r="F360" s="17"/>
      <c r="G360" s="17"/>
    </row>
    <row r="361" spans="3:7" ht="15.75" customHeight="1" x14ac:dyDescent="0.3">
      <c r="C361" s="17"/>
      <c r="F361" s="17"/>
      <c r="G361" s="17"/>
    </row>
    <row r="362" spans="3:7" ht="15.75" customHeight="1" x14ac:dyDescent="0.3">
      <c r="C362" s="17"/>
      <c r="F362" s="17"/>
      <c r="G362" s="17"/>
    </row>
    <row r="363" spans="3:7" ht="15.75" customHeight="1" x14ac:dyDescent="0.3">
      <c r="C363" s="17"/>
      <c r="F363" s="17"/>
      <c r="G363" s="17"/>
    </row>
    <row r="364" spans="3:7" ht="15.75" customHeight="1" x14ac:dyDescent="0.3">
      <c r="C364" s="17"/>
      <c r="F364" s="17"/>
      <c r="G364" s="17"/>
    </row>
    <row r="365" spans="3:7" ht="15.75" customHeight="1" x14ac:dyDescent="0.3">
      <c r="C365" s="17"/>
      <c r="F365" s="17"/>
      <c r="G365" s="17"/>
    </row>
    <row r="366" spans="3:7" ht="15.75" customHeight="1" x14ac:dyDescent="0.3">
      <c r="C366" s="17"/>
      <c r="F366" s="17"/>
      <c r="G366" s="17"/>
    </row>
    <row r="367" spans="3:7" ht="15.75" customHeight="1" x14ac:dyDescent="0.3">
      <c r="C367" s="17"/>
      <c r="F367" s="17"/>
      <c r="G367" s="17"/>
    </row>
    <row r="368" spans="3:7" ht="15.75" customHeight="1" x14ac:dyDescent="0.3">
      <c r="C368" s="17"/>
      <c r="F368" s="17"/>
      <c r="G368" s="17"/>
    </row>
    <row r="369" spans="3:7" ht="15.75" customHeight="1" x14ac:dyDescent="0.3">
      <c r="C369" s="17"/>
      <c r="F369" s="17"/>
      <c r="G369" s="17"/>
    </row>
    <row r="370" spans="3:7" ht="15.75" customHeight="1" x14ac:dyDescent="0.3">
      <c r="C370" s="17"/>
      <c r="F370" s="17"/>
      <c r="G370" s="17"/>
    </row>
    <row r="371" spans="3:7" ht="15.75" customHeight="1" x14ac:dyDescent="0.3">
      <c r="C371" s="17"/>
      <c r="F371" s="17"/>
      <c r="G371" s="17"/>
    </row>
    <row r="372" spans="3:7" ht="15.75" customHeight="1" x14ac:dyDescent="0.3">
      <c r="C372" s="17"/>
      <c r="F372" s="17"/>
      <c r="G372" s="17"/>
    </row>
    <row r="373" spans="3:7" ht="15.75" customHeight="1" x14ac:dyDescent="0.3">
      <c r="C373" s="17"/>
      <c r="F373" s="17"/>
      <c r="G373" s="17"/>
    </row>
    <row r="374" spans="3:7" ht="15.75" customHeight="1" x14ac:dyDescent="0.3">
      <c r="C374" s="17"/>
      <c r="F374" s="17"/>
      <c r="G374" s="17"/>
    </row>
    <row r="375" spans="3:7" ht="15.75" customHeight="1" x14ac:dyDescent="0.3">
      <c r="C375" s="17"/>
      <c r="F375" s="17"/>
      <c r="G375" s="17"/>
    </row>
    <row r="376" spans="3:7" ht="15.75" customHeight="1" x14ac:dyDescent="0.3">
      <c r="C376" s="17"/>
      <c r="F376" s="17"/>
      <c r="G376" s="17"/>
    </row>
    <row r="377" spans="3:7" ht="15.75" customHeight="1" x14ac:dyDescent="0.3">
      <c r="C377" s="17"/>
      <c r="F377" s="17"/>
      <c r="G377" s="17"/>
    </row>
    <row r="378" spans="3:7" ht="15.75" customHeight="1" x14ac:dyDescent="0.3">
      <c r="C378" s="17"/>
      <c r="F378" s="17"/>
      <c r="G378" s="17"/>
    </row>
    <row r="379" spans="3:7" ht="15.75" customHeight="1" x14ac:dyDescent="0.3">
      <c r="C379" s="17"/>
      <c r="F379" s="17"/>
      <c r="G379" s="17"/>
    </row>
    <row r="380" spans="3:7" ht="15.75" customHeight="1" x14ac:dyDescent="0.3">
      <c r="C380" s="17"/>
      <c r="F380" s="17"/>
      <c r="G380" s="17"/>
    </row>
    <row r="381" spans="3:7" ht="15.75" customHeight="1" x14ac:dyDescent="0.3">
      <c r="C381" s="17"/>
      <c r="F381" s="17"/>
      <c r="G381" s="17"/>
    </row>
    <row r="382" spans="3:7" ht="15.75" customHeight="1" x14ac:dyDescent="0.3">
      <c r="C382" s="17"/>
      <c r="F382" s="17"/>
      <c r="G382" s="17"/>
    </row>
    <row r="383" spans="3:7" ht="15.75" customHeight="1" x14ac:dyDescent="0.3">
      <c r="C383" s="17"/>
      <c r="F383" s="17"/>
      <c r="G383" s="17"/>
    </row>
    <row r="384" spans="3:7" ht="15.75" customHeight="1" x14ac:dyDescent="0.3">
      <c r="C384" s="17"/>
      <c r="F384" s="17"/>
      <c r="G384" s="17"/>
    </row>
    <row r="385" spans="3:7" ht="15.75" customHeight="1" x14ac:dyDescent="0.3">
      <c r="C385" s="17"/>
      <c r="F385" s="17"/>
      <c r="G385" s="17"/>
    </row>
    <row r="386" spans="3:7" ht="15.75" customHeight="1" x14ac:dyDescent="0.3">
      <c r="C386" s="17"/>
      <c r="F386" s="17"/>
      <c r="G386" s="17"/>
    </row>
    <row r="387" spans="3:7" ht="15.75" customHeight="1" x14ac:dyDescent="0.3">
      <c r="C387" s="17"/>
      <c r="F387" s="17"/>
      <c r="G387" s="17"/>
    </row>
    <row r="388" spans="3:7" ht="15.75" customHeight="1" x14ac:dyDescent="0.3">
      <c r="C388" s="17"/>
      <c r="F388" s="17"/>
      <c r="G388" s="17"/>
    </row>
    <row r="389" spans="3:7" ht="15.75" customHeight="1" x14ac:dyDescent="0.3">
      <c r="C389" s="17"/>
      <c r="F389" s="17"/>
      <c r="G389" s="17"/>
    </row>
    <row r="390" spans="3:7" ht="15.75" customHeight="1" x14ac:dyDescent="0.3">
      <c r="C390" s="17"/>
      <c r="F390" s="17"/>
      <c r="G390" s="17"/>
    </row>
    <row r="391" spans="3:7" ht="15.75" customHeight="1" x14ac:dyDescent="0.3">
      <c r="C391" s="17"/>
      <c r="F391" s="17"/>
      <c r="G391" s="17"/>
    </row>
    <row r="392" spans="3:7" ht="15.75" customHeight="1" x14ac:dyDescent="0.3">
      <c r="C392" s="17"/>
      <c r="F392" s="17"/>
      <c r="G392" s="17"/>
    </row>
    <row r="393" spans="3:7" ht="15.75" customHeight="1" x14ac:dyDescent="0.3">
      <c r="C393" s="17"/>
      <c r="F393" s="17"/>
      <c r="G393" s="17"/>
    </row>
    <row r="394" spans="3:7" ht="15.75" customHeight="1" x14ac:dyDescent="0.3">
      <c r="C394" s="17"/>
      <c r="F394" s="17"/>
      <c r="G394" s="17"/>
    </row>
    <row r="395" spans="3:7" ht="15.75" customHeight="1" x14ac:dyDescent="0.3">
      <c r="C395" s="17"/>
      <c r="F395" s="17"/>
      <c r="G395" s="17"/>
    </row>
    <row r="396" spans="3:7" ht="15.75" customHeight="1" x14ac:dyDescent="0.3">
      <c r="C396" s="17"/>
      <c r="F396" s="17"/>
      <c r="G396" s="17"/>
    </row>
    <row r="397" spans="3:7" ht="15.75" customHeight="1" x14ac:dyDescent="0.3">
      <c r="C397" s="17"/>
      <c r="F397" s="17"/>
      <c r="G397" s="17"/>
    </row>
    <row r="398" spans="3:7" ht="15.75" customHeight="1" x14ac:dyDescent="0.3">
      <c r="C398" s="17"/>
      <c r="F398" s="17"/>
      <c r="G398" s="17"/>
    </row>
    <row r="399" spans="3:7" ht="15.75" customHeight="1" x14ac:dyDescent="0.3">
      <c r="C399" s="17"/>
      <c r="F399" s="17"/>
      <c r="G399" s="17"/>
    </row>
    <row r="400" spans="3:7" ht="15.75" customHeight="1" x14ac:dyDescent="0.3">
      <c r="C400" s="17"/>
      <c r="F400" s="17"/>
      <c r="G400" s="17"/>
    </row>
    <row r="401" spans="3:7" ht="15.75" customHeight="1" x14ac:dyDescent="0.3">
      <c r="C401" s="17"/>
      <c r="F401" s="17"/>
      <c r="G401" s="17"/>
    </row>
    <row r="402" spans="3:7" ht="15.75" customHeight="1" x14ac:dyDescent="0.3">
      <c r="C402" s="17"/>
      <c r="F402" s="17"/>
      <c r="G402" s="17"/>
    </row>
    <row r="403" spans="3:7" ht="15.75" customHeight="1" x14ac:dyDescent="0.3">
      <c r="C403" s="17"/>
      <c r="F403" s="17"/>
      <c r="G403" s="17"/>
    </row>
    <row r="404" spans="3:7" ht="15.75" customHeight="1" x14ac:dyDescent="0.3">
      <c r="C404" s="17"/>
      <c r="F404" s="17"/>
      <c r="G404" s="17"/>
    </row>
    <row r="405" spans="3:7" ht="15.75" customHeight="1" x14ac:dyDescent="0.3">
      <c r="C405" s="17"/>
      <c r="F405" s="17"/>
      <c r="G405" s="17"/>
    </row>
    <row r="406" spans="3:7" ht="15.75" customHeight="1" x14ac:dyDescent="0.3">
      <c r="C406" s="17"/>
      <c r="F406" s="17"/>
      <c r="G406" s="17"/>
    </row>
    <row r="407" spans="3:7" ht="15.75" customHeight="1" x14ac:dyDescent="0.3">
      <c r="C407" s="17"/>
      <c r="F407" s="17"/>
      <c r="G407" s="17"/>
    </row>
    <row r="408" spans="3:7" ht="15.75" customHeight="1" x14ac:dyDescent="0.3">
      <c r="C408" s="17"/>
      <c r="F408" s="17"/>
      <c r="G408" s="17"/>
    </row>
    <row r="409" spans="3:7" ht="15.75" customHeight="1" x14ac:dyDescent="0.3">
      <c r="C409" s="17"/>
      <c r="F409" s="17"/>
      <c r="G409" s="17"/>
    </row>
    <row r="410" spans="3:7" ht="15.75" customHeight="1" x14ac:dyDescent="0.3">
      <c r="C410" s="17"/>
      <c r="F410" s="17"/>
      <c r="G410" s="17"/>
    </row>
    <row r="411" spans="3:7" ht="15.75" customHeight="1" x14ac:dyDescent="0.3">
      <c r="C411" s="17"/>
      <c r="F411" s="17"/>
      <c r="G411" s="17"/>
    </row>
    <row r="412" spans="3:7" ht="15.75" customHeight="1" x14ac:dyDescent="0.3">
      <c r="C412" s="17"/>
      <c r="F412" s="17"/>
      <c r="G412" s="17"/>
    </row>
    <row r="413" spans="3:7" ht="15.75" customHeight="1" x14ac:dyDescent="0.3">
      <c r="C413" s="17"/>
      <c r="F413" s="17"/>
      <c r="G413" s="17"/>
    </row>
    <row r="414" spans="3:7" ht="15.75" customHeight="1" x14ac:dyDescent="0.3">
      <c r="C414" s="17"/>
      <c r="F414" s="17"/>
      <c r="G414" s="17"/>
    </row>
    <row r="415" spans="3:7" ht="15.75" customHeight="1" x14ac:dyDescent="0.3">
      <c r="C415" s="17"/>
      <c r="F415" s="17"/>
      <c r="G415" s="17"/>
    </row>
    <row r="416" spans="3:7" ht="15.75" customHeight="1" x14ac:dyDescent="0.3">
      <c r="C416" s="17"/>
      <c r="F416" s="17"/>
      <c r="G416" s="17"/>
    </row>
    <row r="417" spans="3:7" ht="15.75" customHeight="1" x14ac:dyDescent="0.3">
      <c r="C417" s="17"/>
      <c r="F417" s="17"/>
      <c r="G417" s="17"/>
    </row>
    <row r="418" spans="3:7" ht="15.75" customHeight="1" x14ac:dyDescent="0.3">
      <c r="C418" s="17"/>
      <c r="F418" s="17"/>
      <c r="G418" s="17"/>
    </row>
    <row r="419" spans="3:7" ht="15.75" customHeight="1" x14ac:dyDescent="0.3">
      <c r="C419" s="17"/>
      <c r="F419" s="17"/>
      <c r="G419" s="17"/>
    </row>
    <row r="420" spans="3:7" ht="15.75" customHeight="1" x14ac:dyDescent="0.3">
      <c r="C420" s="17"/>
      <c r="F420" s="17"/>
      <c r="G420" s="17"/>
    </row>
    <row r="421" spans="3:7" ht="15.75" customHeight="1" x14ac:dyDescent="0.3">
      <c r="C421" s="17"/>
      <c r="F421" s="17"/>
      <c r="G421" s="17"/>
    </row>
    <row r="422" spans="3:7" ht="15.75" customHeight="1" x14ac:dyDescent="0.3">
      <c r="C422" s="17"/>
      <c r="F422" s="17"/>
      <c r="G422" s="17"/>
    </row>
    <row r="423" spans="3:7" ht="15.75" customHeight="1" x14ac:dyDescent="0.3">
      <c r="C423" s="17"/>
      <c r="F423" s="17"/>
      <c r="G423" s="17"/>
    </row>
    <row r="424" spans="3:7" ht="15.75" customHeight="1" x14ac:dyDescent="0.3">
      <c r="C424" s="17"/>
      <c r="F424" s="17"/>
      <c r="G424" s="17"/>
    </row>
    <row r="425" spans="3:7" ht="15.75" customHeight="1" x14ac:dyDescent="0.3">
      <c r="C425" s="17"/>
      <c r="F425" s="17"/>
      <c r="G425" s="17"/>
    </row>
    <row r="426" spans="3:7" ht="15.75" customHeight="1" x14ac:dyDescent="0.3">
      <c r="C426" s="17"/>
      <c r="F426" s="17"/>
      <c r="G426" s="17"/>
    </row>
    <row r="427" spans="3:7" ht="15.75" customHeight="1" x14ac:dyDescent="0.3">
      <c r="C427" s="17"/>
      <c r="F427" s="17"/>
      <c r="G427" s="17"/>
    </row>
    <row r="428" spans="3:7" ht="15.75" customHeight="1" x14ac:dyDescent="0.3">
      <c r="C428" s="17"/>
      <c r="F428" s="17"/>
      <c r="G428" s="17"/>
    </row>
    <row r="429" spans="3:7" ht="15.75" customHeight="1" x14ac:dyDescent="0.3">
      <c r="C429" s="17"/>
      <c r="F429" s="17"/>
      <c r="G429" s="17"/>
    </row>
    <row r="430" spans="3:7" ht="15.75" customHeight="1" x14ac:dyDescent="0.3">
      <c r="C430" s="17"/>
      <c r="F430" s="17"/>
      <c r="G430" s="17"/>
    </row>
    <row r="431" spans="3:7" ht="15.75" customHeight="1" x14ac:dyDescent="0.3">
      <c r="C431" s="17"/>
      <c r="F431" s="17"/>
      <c r="G431" s="17"/>
    </row>
    <row r="432" spans="3:7" ht="15.75" customHeight="1" x14ac:dyDescent="0.3">
      <c r="C432" s="17"/>
      <c r="F432" s="17"/>
      <c r="G432" s="17"/>
    </row>
    <row r="433" spans="3:7" ht="15.75" customHeight="1" x14ac:dyDescent="0.3">
      <c r="C433" s="17"/>
      <c r="F433" s="17"/>
      <c r="G433" s="17"/>
    </row>
    <row r="434" spans="3:7" ht="15.75" customHeight="1" x14ac:dyDescent="0.3">
      <c r="C434" s="17"/>
      <c r="F434" s="17"/>
      <c r="G434" s="17"/>
    </row>
    <row r="435" spans="3:7" ht="15.75" customHeight="1" x14ac:dyDescent="0.3">
      <c r="C435" s="17"/>
      <c r="F435" s="17"/>
      <c r="G435" s="17"/>
    </row>
    <row r="436" spans="3:7" ht="15.75" customHeight="1" x14ac:dyDescent="0.3">
      <c r="C436" s="17"/>
      <c r="F436" s="17"/>
      <c r="G436" s="17"/>
    </row>
    <row r="437" spans="3:7" ht="15.75" customHeight="1" x14ac:dyDescent="0.3">
      <c r="C437" s="17"/>
      <c r="F437" s="17"/>
      <c r="G437" s="17"/>
    </row>
    <row r="438" spans="3:7" ht="15.75" customHeight="1" x14ac:dyDescent="0.3">
      <c r="C438" s="17"/>
      <c r="F438" s="17"/>
      <c r="G438" s="17"/>
    </row>
    <row r="439" spans="3:7" ht="15.75" customHeight="1" x14ac:dyDescent="0.3">
      <c r="C439" s="17"/>
      <c r="F439" s="17"/>
      <c r="G439" s="17"/>
    </row>
    <row r="440" spans="3:7" ht="15.75" customHeight="1" x14ac:dyDescent="0.3">
      <c r="C440" s="17"/>
      <c r="F440" s="17"/>
      <c r="G440" s="17"/>
    </row>
    <row r="441" spans="3:7" ht="15.75" customHeight="1" x14ac:dyDescent="0.3">
      <c r="C441" s="17"/>
      <c r="F441" s="17"/>
      <c r="G441" s="17"/>
    </row>
    <row r="442" spans="3:7" ht="15.75" customHeight="1" x14ac:dyDescent="0.3">
      <c r="C442" s="17"/>
      <c r="F442" s="17"/>
      <c r="G442" s="17"/>
    </row>
    <row r="443" spans="3:7" ht="15.75" customHeight="1" x14ac:dyDescent="0.3">
      <c r="C443" s="17"/>
      <c r="F443" s="17"/>
      <c r="G443" s="17"/>
    </row>
    <row r="444" spans="3:7" ht="15.75" customHeight="1" x14ac:dyDescent="0.3">
      <c r="C444" s="17"/>
      <c r="F444" s="17"/>
      <c r="G444" s="17"/>
    </row>
    <row r="445" spans="3:7" ht="15.75" customHeight="1" x14ac:dyDescent="0.3">
      <c r="C445" s="17"/>
      <c r="F445" s="17"/>
      <c r="G445" s="17"/>
    </row>
    <row r="446" spans="3:7" ht="15.75" customHeight="1" x14ac:dyDescent="0.3">
      <c r="C446" s="17"/>
      <c r="F446" s="17"/>
      <c r="G446" s="17"/>
    </row>
    <row r="447" spans="3:7" ht="15.75" customHeight="1" x14ac:dyDescent="0.3">
      <c r="C447" s="17"/>
      <c r="F447" s="17"/>
      <c r="G447" s="17"/>
    </row>
    <row r="448" spans="3:7" ht="15.75" customHeight="1" x14ac:dyDescent="0.3">
      <c r="C448" s="17"/>
      <c r="F448" s="17"/>
      <c r="G448" s="17"/>
    </row>
    <row r="449" spans="3:7" ht="15.75" customHeight="1" x14ac:dyDescent="0.3">
      <c r="C449" s="17"/>
      <c r="F449" s="17"/>
      <c r="G449" s="17"/>
    </row>
    <row r="450" spans="3:7" ht="15.75" customHeight="1" x14ac:dyDescent="0.3">
      <c r="C450" s="17"/>
      <c r="F450" s="17"/>
      <c r="G450" s="17"/>
    </row>
    <row r="451" spans="3:7" ht="15.75" customHeight="1" x14ac:dyDescent="0.3">
      <c r="C451" s="17"/>
      <c r="F451" s="17"/>
      <c r="G451" s="17"/>
    </row>
    <row r="452" spans="3:7" ht="15.75" customHeight="1" x14ac:dyDescent="0.3">
      <c r="C452" s="17"/>
      <c r="F452" s="17"/>
      <c r="G452" s="17"/>
    </row>
    <row r="453" spans="3:7" ht="15.75" customHeight="1" x14ac:dyDescent="0.3">
      <c r="C453" s="17"/>
      <c r="F453" s="17"/>
      <c r="G453" s="17"/>
    </row>
    <row r="454" spans="3:7" ht="15.75" customHeight="1" x14ac:dyDescent="0.3">
      <c r="C454" s="17"/>
      <c r="F454" s="17"/>
      <c r="G454" s="17"/>
    </row>
    <row r="455" spans="3:7" ht="15.75" customHeight="1" x14ac:dyDescent="0.3">
      <c r="C455" s="17"/>
      <c r="F455" s="17"/>
      <c r="G455" s="17"/>
    </row>
    <row r="456" spans="3:7" ht="15.75" customHeight="1" x14ac:dyDescent="0.3">
      <c r="C456" s="17"/>
      <c r="F456" s="17"/>
      <c r="G456" s="17"/>
    </row>
    <row r="457" spans="3:7" ht="15.75" customHeight="1" x14ac:dyDescent="0.3">
      <c r="C457" s="17"/>
      <c r="F457" s="17"/>
      <c r="G457" s="17"/>
    </row>
    <row r="458" spans="3:7" ht="15.75" customHeight="1" x14ac:dyDescent="0.3">
      <c r="C458" s="17"/>
      <c r="F458" s="17"/>
      <c r="G458" s="17"/>
    </row>
    <row r="459" spans="3:7" ht="15.75" customHeight="1" x14ac:dyDescent="0.3">
      <c r="C459" s="17"/>
      <c r="F459" s="17"/>
      <c r="G459" s="17"/>
    </row>
    <row r="460" spans="3:7" ht="15.75" customHeight="1" x14ac:dyDescent="0.3">
      <c r="C460" s="17"/>
      <c r="F460" s="17"/>
      <c r="G460" s="17"/>
    </row>
    <row r="461" spans="3:7" ht="15.75" customHeight="1" x14ac:dyDescent="0.3">
      <c r="C461" s="17"/>
      <c r="F461" s="17"/>
      <c r="G461" s="17"/>
    </row>
    <row r="462" spans="3:7" ht="15.75" customHeight="1" x14ac:dyDescent="0.3">
      <c r="C462" s="17"/>
      <c r="F462" s="17"/>
      <c r="G462" s="17"/>
    </row>
    <row r="463" spans="3:7" ht="15.75" customHeight="1" x14ac:dyDescent="0.3">
      <c r="C463" s="17"/>
      <c r="F463" s="17"/>
      <c r="G463" s="17"/>
    </row>
    <row r="464" spans="3:7" ht="15.75" customHeight="1" x14ac:dyDescent="0.3">
      <c r="C464" s="17"/>
      <c r="F464" s="17"/>
      <c r="G464" s="17"/>
    </row>
    <row r="465" spans="3:7" ht="15.75" customHeight="1" x14ac:dyDescent="0.3">
      <c r="C465" s="17"/>
      <c r="F465" s="17"/>
      <c r="G465" s="17"/>
    </row>
    <row r="466" spans="3:7" ht="15.75" customHeight="1" x14ac:dyDescent="0.3">
      <c r="C466" s="17"/>
      <c r="F466" s="17"/>
      <c r="G466" s="17"/>
    </row>
    <row r="467" spans="3:7" ht="15.75" customHeight="1" x14ac:dyDescent="0.3">
      <c r="C467" s="17"/>
      <c r="F467" s="17"/>
      <c r="G467" s="17"/>
    </row>
    <row r="468" spans="3:7" ht="15.75" customHeight="1" x14ac:dyDescent="0.3">
      <c r="C468" s="17"/>
      <c r="F468" s="17"/>
      <c r="G468" s="17"/>
    </row>
    <row r="469" spans="3:7" ht="15.75" customHeight="1" x14ac:dyDescent="0.3">
      <c r="C469" s="17"/>
      <c r="F469" s="17"/>
      <c r="G469" s="17"/>
    </row>
    <row r="470" spans="3:7" ht="15.75" customHeight="1" x14ac:dyDescent="0.3">
      <c r="C470" s="17"/>
      <c r="F470" s="17"/>
      <c r="G470" s="17"/>
    </row>
    <row r="471" spans="3:7" ht="15.75" customHeight="1" x14ac:dyDescent="0.3">
      <c r="C471" s="17"/>
      <c r="F471" s="17"/>
      <c r="G471" s="17"/>
    </row>
    <row r="472" spans="3:7" ht="15.75" customHeight="1" x14ac:dyDescent="0.3">
      <c r="C472" s="17"/>
      <c r="F472" s="17"/>
      <c r="G472" s="17"/>
    </row>
    <row r="473" spans="3:7" ht="15.75" customHeight="1" x14ac:dyDescent="0.3">
      <c r="C473" s="17"/>
      <c r="F473" s="17"/>
      <c r="G473" s="17"/>
    </row>
    <row r="474" spans="3:7" ht="15.75" customHeight="1" x14ac:dyDescent="0.3">
      <c r="C474" s="17"/>
      <c r="F474" s="17"/>
      <c r="G474" s="17"/>
    </row>
    <row r="475" spans="3:7" ht="15.75" customHeight="1" x14ac:dyDescent="0.3">
      <c r="C475" s="17"/>
      <c r="F475" s="17"/>
      <c r="G475" s="17"/>
    </row>
    <row r="476" spans="3:7" ht="15.75" customHeight="1" x14ac:dyDescent="0.3">
      <c r="C476" s="17"/>
      <c r="F476" s="17"/>
      <c r="G476" s="17"/>
    </row>
    <row r="477" spans="3:7" ht="15.75" customHeight="1" x14ac:dyDescent="0.3">
      <c r="C477" s="17"/>
      <c r="F477" s="17"/>
      <c r="G477" s="17"/>
    </row>
    <row r="478" spans="3:7" ht="15.75" customHeight="1" x14ac:dyDescent="0.3">
      <c r="C478" s="17"/>
      <c r="F478" s="17"/>
      <c r="G478" s="17"/>
    </row>
    <row r="479" spans="3:7" ht="15.75" customHeight="1" x14ac:dyDescent="0.3">
      <c r="C479" s="17"/>
      <c r="F479" s="17"/>
      <c r="G479" s="17"/>
    </row>
    <row r="480" spans="3:7" ht="15.75" customHeight="1" x14ac:dyDescent="0.3">
      <c r="C480" s="17"/>
      <c r="F480" s="17"/>
      <c r="G480" s="17"/>
    </row>
    <row r="481" spans="3:7" ht="15.75" customHeight="1" x14ac:dyDescent="0.3">
      <c r="C481" s="17"/>
      <c r="F481" s="17"/>
      <c r="G481" s="17"/>
    </row>
    <row r="482" spans="3:7" ht="15.75" customHeight="1" x14ac:dyDescent="0.3">
      <c r="C482" s="17"/>
      <c r="F482" s="17"/>
      <c r="G482" s="17"/>
    </row>
    <row r="483" spans="3:7" ht="15.75" customHeight="1" x14ac:dyDescent="0.3">
      <c r="C483" s="17"/>
      <c r="F483" s="17"/>
      <c r="G483" s="17"/>
    </row>
    <row r="484" spans="3:7" ht="15.75" customHeight="1" x14ac:dyDescent="0.3">
      <c r="C484" s="17"/>
      <c r="F484" s="17"/>
      <c r="G484" s="17"/>
    </row>
    <row r="485" spans="3:7" ht="15.75" customHeight="1" x14ac:dyDescent="0.3">
      <c r="C485" s="17"/>
      <c r="F485" s="17"/>
      <c r="G485" s="17"/>
    </row>
    <row r="486" spans="3:7" ht="15.75" customHeight="1" x14ac:dyDescent="0.3">
      <c r="C486" s="17"/>
      <c r="F486" s="17"/>
      <c r="G486" s="17"/>
    </row>
    <row r="487" spans="3:7" ht="15.75" customHeight="1" x14ac:dyDescent="0.3">
      <c r="C487" s="17"/>
      <c r="F487" s="17"/>
      <c r="G487" s="17"/>
    </row>
    <row r="488" spans="3:7" ht="15.75" customHeight="1" x14ac:dyDescent="0.3">
      <c r="C488" s="17"/>
      <c r="F488" s="17"/>
      <c r="G488" s="17"/>
    </row>
    <row r="489" spans="3:7" ht="15.75" customHeight="1" x14ac:dyDescent="0.3">
      <c r="C489" s="17"/>
      <c r="F489" s="17"/>
      <c r="G489" s="17"/>
    </row>
    <row r="490" spans="3:7" ht="15.75" customHeight="1" x14ac:dyDescent="0.3">
      <c r="C490" s="17"/>
      <c r="F490" s="17"/>
      <c r="G490" s="17"/>
    </row>
    <row r="491" spans="3:7" ht="15.75" customHeight="1" x14ac:dyDescent="0.3">
      <c r="C491" s="17"/>
      <c r="F491" s="17"/>
      <c r="G491" s="17"/>
    </row>
    <row r="492" spans="3:7" ht="15.75" customHeight="1" x14ac:dyDescent="0.3">
      <c r="C492" s="17"/>
      <c r="F492" s="17"/>
      <c r="G492" s="17"/>
    </row>
    <row r="493" spans="3:7" ht="15.75" customHeight="1" x14ac:dyDescent="0.3">
      <c r="C493" s="17"/>
      <c r="F493" s="17"/>
      <c r="G493" s="17"/>
    </row>
    <row r="494" spans="3:7" ht="15.75" customHeight="1" x14ac:dyDescent="0.3">
      <c r="C494" s="17"/>
      <c r="F494" s="17"/>
      <c r="G494" s="17"/>
    </row>
    <row r="495" spans="3:7" ht="15.75" customHeight="1" x14ac:dyDescent="0.3">
      <c r="C495" s="17"/>
      <c r="F495" s="17"/>
      <c r="G495" s="17"/>
    </row>
    <row r="496" spans="3:7" ht="15.75" customHeight="1" x14ac:dyDescent="0.3">
      <c r="C496" s="17"/>
      <c r="F496" s="17"/>
      <c r="G496" s="17"/>
    </row>
    <row r="497" spans="3:7" ht="15.75" customHeight="1" x14ac:dyDescent="0.3">
      <c r="C497" s="17"/>
      <c r="F497" s="17"/>
      <c r="G497" s="17"/>
    </row>
    <row r="498" spans="3:7" ht="15.75" customHeight="1" x14ac:dyDescent="0.3">
      <c r="C498" s="17"/>
      <c r="F498" s="17"/>
      <c r="G498" s="17"/>
    </row>
    <row r="499" spans="3:7" ht="15.75" customHeight="1" x14ac:dyDescent="0.3">
      <c r="C499" s="17"/>
      <c r="F499" s="17"/>
      <c r="G499" s="17"/>
    </row>
    <row r="500" spans="3:7" ht="15.75" customHeight="1" x14ac:dyDescent="0.3">
      <c r="C500" s="17"/>
      <c r="F500" s="17"/>
      <c r="G500" s="17"/>
    </row>
    <row r="501" spans="3:7" ht="15.75" customHeight="1" x14ac:dyDescent="0.3">
      <c r="C501" s="17"/>
      <c r="F501" s="17"/>
      <c r="G501" s="17"/>
    </row>
    <row r="502" spans="3:7" ht="15.75" customHeight="1" x14ac:dyDescent="0.3">
      <c r="C502" s="17"/>
      <c r="F502" s="17"/>
      <c r="G502" s="17"/>
    </row>
    <row r="503" spans="3:7" ht="15.75" customHeight="1" x14ac:dyDescent="0.3">
      <c r="C503" s="17"/>
      <c r="F503" s="17"/>
      <c r="G503" s="17"/>
    </row>
    <row r="504" spans="3:7" ht="15.75" customHeight="1" x14ac:dyDescent="0.3">
      <c r="C504" s="17"/>
      <c r="F504" s="17"/>
      <c r="G504" s="17"/>
    </row>
    <row r="505" spans="3:7" ht="15.75" customHeight="1" x14ac:dyDescent="0.3">
      <c r="C505" s="17"/>
      <c r="F505" s="17"/>
      <c r="G505" s="17"/>
    </row>
    <row r="506" spans="3:7" ht="15.75" customHeight="1" x14ac:dyDescent="0.3">
      <c r="C506" s="17"/>
      <c r="F506" s="17"/>
      <c r="G506" s="17"/>
    </row>
    <row r="507" spans="3:7" ht="15.75" customHeight="1" x14ac:dyDescent="0.3">
      <c r="C507" s="17"/>
      <c r="F507" s="17"/>
      <c r="G507" s="17"/>
    </row>
    <row r="508" spans="3:7" ht="15.75" customHeight="1" x14ac:dyDescent="0.3">
      <c r="C508" s="17"/>
      <c r="F508" s="17"/>
      <c r="G508" s="17"/>
    </row>
    <row r="509" spans="3:7" ht="15.75" customHeight="1" x14ac:dyDescent="0.3">
      <c r="C509" s="17"/>
      <c r="F509" s="17"/>
      <c r="G509" s="17"/>
    </row>
    <row r="510" spans="3:7" ht="15.75" customHeight="1" x14ac:dyDescent="0.3">
      <c r="C510" s="17"/>
      <c r="F510" s="17"/>
      <c r="G510" s="17"/>
    </row>
    <row r="511" spans="3:7" ht="15.75" customHeight="1" x14ac:dyDescent="0.3">
      <c r="C511" s="17"/>
      <c r="F511" s="17"/>
      <c r="G511" s="17"/>
    </row>
    <row r="512" spans="3:7" ht="15.75" customHeight="1" x14ac:dyDescent="0.3">
      <c r="C512" s="17"/>
      <c r="F512" s="17"/>
      <c r="G512" s="17"/>
    </row>
    <row r="513" spans="3:7" ht="15.75" customHeight="1" x14ac:dyDescent="0.3">
      <c r="C513" s="17"/>
      <c r="F513" s="17"/>
      <c r="G513" s="17"/>
    </row>
    <row r="514" spans="3:7" ht="15.75" customHeight="1" x14ac:dyDescent="0.3">
      <c r="C514" s="17"/>
      <c r="F514" s="17"/>
      <c r="G514" s="17"/>
    </row>
    <row r="515" spans="3:7" ht="15.75" customHeight="1" x14ac:dyDescent="0.3">
      <c r="C515" s="17"/>
      <c r="F515" s="17"/>
      <c r="G515" s="17"/>
    </row>
    <row r="516" spans="3:7" ht="15.75" customHeight="1" x14ac:dyDescent="0.3">
      <c r="C516" s="17"/>
      <c r="F516" s="17"/>
      <c r="G516" s="17"/>
    </row>
    <row r="517" spans="3:7" ht="15.75" customHeight="1" x14ac:dyDescent="0.3">
      <c r="C517" s="17"/>
      <c r="F517" s="17"/>
      <c r="G517" s="17"/>
    </row>
    <row r="518" spans="3:7" ht="15.75" customHeight="1" x14ac:dyDescent="0.3">
      <c r="C518" s="17"/>
      <c r="F518" s="17"/>
      <c r="G518" s="17"/>
    </row>
    <row r="519" spans="3:7" ht="15.75" customHeight="1" x14ac:dyDescent="0.3">
      <c r="C519" s="17"/>
      <c r="F519" s="17"/>
      <c r="G519" s="17"/>
    </row>
    <row r="520" spans="3:7" ht="15.75" customHeight="1" x14ac:dyDescent="0.3">
      <c r="C520" s="17"/>
      <c r="F520" s="17"/>
      <c r="G520" s="17"/>
    </row>
    <row r="521" spans="3:7" ht="15.75" customHeight="1" x14ac:dyDescent="0.3">
      <c r="C521" s="17"/>
      <c r="F521" s="17"/>
      <c r="G521" s="17"/>
    </row>
    <row r="522" spans="3:7" ht="15.75" customHeight="1" x14ac:dyDescent="0.3">
      <c r="C522" s="17"/>
      <c r="F522" s="17"/>
      <c r="G522" s="17"/>
    </row>
    <row r="523" spans="3:7" ht="15.75" customHeight="1" x14ac:dyDescent="0.3">
      <c r="C523" s="17"/>
      <c r="F523" s="17"/>
      <c r="G523" s="17"/>
    </row>
    <row r="524" spans="3:7" ht="15.75" customHeight="1" x14ac:dyDescent="0.3">
      <c r="C524" s="17"/>
      <c r="F524" s="17"/>
      <c r="G524" s="17"/>
    </row>
    <row r="525" spans="3:7" ht="15.75" customHeight="1" x14ac:dyDescent="0.3">
      <c r="C525" s="17"/>
      <c r="F525" s="17"/>
      <c r="G525" s="17"/>
    </row>
    <row r="526" spans="3:7" ht="15.75" customHeight="1" x14ac:dyDescent="0.3">
      <c r="C526" s="17"/>
      <c r="F526" s="17"/>
      <c r="G526" s="17"/>
    </row>
    <row r="527" spans="3:7" ht="15.75" customHeight="1" x14ac:dyDescent="0.3">
      <c r="C527" s="17"/>
      <c r="F527" s="17"/>
      <c r="G527" s="17"/>
    </row>
    <row r="528" spans="3:7" ht="15.75" customHeight="1" x14ac:dyDescent="0.3">
      <c r="C528" s="17"/>
      <c r="F528" s="17"/>
      <c r="G528" s="17"/>
    </row>
    <row r="529" spans="3:7" ht="15.75" customHeight="1" x14ac:dyDescent="0.3">
      <c r="C529" s="17"/>
      <c r="F529" s="17"/>
      <c r="G529" s="17"/>
    </row>
    <row r="530" spans="3:7" ht="15.75" customHeight="1" x14ac:dyDescent="0.3">
      <c r="C530" s="17"/>
      <c r="F530" s="17"/>
      <c r="G530" s="17"/>
    </row>
    <row r="531" spans="3:7" ht="15.75" customHeight="1" x14ac:dyDescent="0.3">
      <c r="C531" s="17"/>
      <c r="F531" s="17"/>
      <c r="G531" s="17"/>
    </row>
    <row r="532" spans="3:7" ht="15.75" customHeight="1" x14ac:dyDescent="0.3">
      <c r="C532" s="17"/>
      <c r="F532" s="17"/>
      <c r="G532" s="17"/>
    </row>
    <row r="533" spans="3:7" ht="15.75" customHeight="1" x14ac:dyDescent="0.3">
      <c r="C533" s="17"/>
      <c r="F533" s="17"/>
      <c r="G533" s="17"/>
    </row>
    <row r="534" spans="3:7" ht="15.75" customHeight="1" x14ac:dyDescent="0.3">
      <c r="C534" s="17"/>
      <c r="F534" s="17"/>
      <c r="G534" s="17"/>
    </row>
    <row r="535" spans="3:7" ht="15.75" customHeight="1" x14ac:dyDescent="0.3">
      <c r="C535" s="17"/>
      <c r="F535" s="17"/>
      <c r="G535" s="17"/>
    </row>
    <row r="536" spans="3:7" ht="15.75" customHeight="1" x14ac:dyDescent="0.3">
      <c r="C536" s="17"/>
      <c r="F536" s="17"/>
      <c r="G536" s="17"/>
    </row>
    <row r="537" spans="3:7" ht="15.75" customHeight="1" x14ac:dyDescent="0.3">
      <c r="C537" s="17"/>
      <c r="F537" s="17"/>
      <c r="G537" s="17"/>
    </row>
    <row r="538" spans="3:7" ht="15.75" customHeight="1" x14ac:dyDescent="0.3">
      <c r="C538" s="17"/>
      <c r="F538" s="17"/>
      <c r="G538" s="17"/>
    </row>
    <row r="539" spans="3:7" ht="15.75" customHeight="1" x14ac:dyDescent="0.3">
      <c r="C539" s="17"/>
      <c r="F539" s="17"/>
      <c r="G539" s="17"/>
    </row>
    <row r="540" spans="3:7" ht="15.75" customHeight="1" x14ac:dyDescent="0.3">
      <c r="C540" s="17"/>
      <c r="F540" s="17"/>
      <c r="G540" s="17"/>
    </row>
    <row r="541" spans="3:7" ht="15.75" customHeight="1" x14ac:dyDescent="0.3">
      <c r="C541" s="17"/>
      <c r="F541" s="17"/>
      <c r="G541" s="17"/>
    </row>
    <row r="542" spans="3:7" ht="15.75" customHeight="1" x14ac:dyDescent="0.3">
      <c r="C542" s="17"/>
      <c r="F542" s="17"/>
      <c r="G542" s="17"/>
    </row>
    <row r="543" spans="3:7" ht="15.75" customHeight="1" x14ac:dyDescent="0.3">
      <c r="C543" s="17"/>
      <c r="F543" s="17"/>
      <c r="G543" s="17"/>
    </row>
    <row r="544" spans="3:7" ht="15.75" customHeight="1" x14ac:dyDescent="0.3">
      <c r="C544" s="17"/>
      <c r="F544" s="17"/>
      <c r="G544" s="17"/>
    </row>
    <row r="545" spans="3:7" ht="15.75" customHeight="1" x14ac:dyDescent="0.3">
      <c r="C545" s="17"/>
      <c r="F545" s="17"/>
      <c r="G545" s="17"/>
    </row>
    <row r="546" spans="3:7" ht="15.75" customHeight="1" x14ac:dyDescent="0.3">
      <c r="C546" s="17"/>
      <c r="F546" s="17"/>
      <c r="G546" s="17"/>
    </row>
    <row r="547" spans="3:7" ht="15.75" customHeight="1" x14ac:dyDescent="0.3">
      <c r="C547" s="17"/>
      <c r="F547" s="17"/>
      <c r="G547" s="17"/>
    </row>
    <row r="548" spans="3:7" ht="15.75" customHeight="1" x14ac:dyDescent="0.3">
      <c r="C548" s="17"/>
      <c r="F548" s="17"/>
      <c r="G548" s="17"/>
    </row>
    <row r="549" spans="3:7" ht="15.75" customHeight="1" x14ac:dyDescent="0.3">
      <c r="C549" s="17"/>
      <c r="F549" s="17"/>
      <c r="G549" s="17"/>
    </row>
    <row r="550" spans="3:7" ht="15.75" customHeight="1" x14ac:dyDescent="0.3">
      <c r="C550" s="17"/>
      <c r="F550" s="17"/>
      <c r="G550" s="17"/>
    </row>
    <row r="551" spans="3:7" ht="15.75" customHeight="1" x14ac:dyDescent="0.3">
      <c r="C551" s="17"/>
      <c r="F551" s="17"/>
      <c r="G551" s="17"/>
    </row>
    <row r="552" spans="3:7" ht="15.75" customHeight="1" x14ac:dyDescent="0.3">
      <c r="C552" s="17"/>
      <c r="F552" s="17"/>
      <c r="G552" s="17"/>
    </row>
    <row r="553" spans="3:7" ht="15.75" customHeight="1" x14ac:dyDescent="0.3">
      <c r="C553" s="17"/>
      <c r="F553" s="17"/>
      <c r="G553" s="17"/>
    </row>
    <row r="554" spans="3:7" ht="15.75" customHeight="1" x14ac:dyDescent="0.3">
      <c r="C554" s="17"/>
      <c r="F554" s="17"/>
      <c r="G554" s="17"/>
    </row>
    <row r="555" spans="3:7" ht="15.75" customHeight="1" x14ac:dyDescent="0.3">
      <c r="C555" s="17"/>
      <c r="F555" s="17"/>
      <c r="G555" s="17"/>
    </row>
    <row r="556" spans="3:7" ht="15.75" customHeight="1" x14ac:dyDescent="0.3">
      <c r="C556" s="17"/>
      <c r="F556" s="17"/>
      <c r="G556" s="17"/>
    </row>
    <row r="557" spans="3:7" ht="15.75" customHeight="1" x14ac:dyDescent="0.3">
      <c r="C557" s="17"/>
      <c r="F557" s="17"/>
      <c r="G557" s="17"/>
    </row>
    <row r="558" spans="3:7" ht="15.75" customHeight="1" x14ac:dyDescent="0.3">
      <c r="C558" s="17"/>
      <c r="F558" s="17"/>
      <c r="G558" s="17"/>
    </row>
    <row r="559" spans="3:7" ht="15.75" customHeight="1" x14ac:dyDescent="0.3">
      <c r="C559" s="17"/>
      <c r="F559" s="17"/>
      <c r="G559" s="17"/>
    </row>
    <row r="560" spans="3:7" ht="15.75" customHeight="1" x14ac:dyDescent="0.3">
      <c r="C560" s="17"/>
      <c r="F560" s="17"/>
      <c r="G560" s="17"/>
    </row>
    <row r="561" spans="3:7" ht="15.75" customHeight="1" x14ac:dyDescent="0.3">
      <c r="C561" s="17"/>
      <c r="F561" s="17"/>
      <c r="G561" s="17"/>
    </row>
    <row r="562" spans="3:7" ht="15.75" customHeight="1" x14ac:dyDescent="0.3">
      <c r="C562" s="17"/>
      <c r="F562" s="17"/>
      <c r="G562" s="17"/>
    </row>
    <row r="563" spans="3:7" ht="15.75" customHeight="1" x14ac:dyDescent="0.3">
      <c r="C563" s="17"/>
      <c r="F563" s="17"/>
      <c r="G563" s="17"/>
    </row>
    <row r="564" spans="3:7" ht="15.75" customHeight="1" x14ac:dyDescent="0.3">
      <c r="C564" s="17"/>
      <c r="F564" s="17"/>
      <c r="G564" s="17"/>
    </row>
    <row r="565" spans="3:7" ht="15.75" customHeight="1" x14ac:dyDescent="0.3">
      <c r="C565" s="17"/>
      <c r="F565" s="17"/>
      <c r="G565" s="17"/>
    </row>
    <row r="566" spans="3:7" ht="15.75" customHeight="1" x14ac:dyDescent="0.3">
      <c r="C566" s="17"/>
      <c r="F566" s="17"/>
      <c r="G566" s="17"/>
    </row>
    <row r="567" spans="3:7" ht="15.75" customHeight="1" x14ac:dyDescent="0.3">
      <c r="C567" s="17"/>
      <c r="F567" s="17"/>
      <c r="G567" s="17"/>
    </row>
    <row r="568" spans="3:7" ht="15.75" customHeight="1" x14ac:dyDescent="0.3">
      <c r="C568" s="17"/>
      <c r="F568" s="17"/>
      <c r="G568" s="17"/>
    </row>
    <row r="569" spans="3:7" ht="15.75" customHeight="1" x14ac:dyDescent="0.3">
      <c r="C569" s="17"/>
      <c r="F569" s="17"/>
      <c r="G569" s="17"/>
    </row>
    <row r="570" spans="3:7" ht="15.75" customHeight="1" x14ac:dyDescent="0.3">
      <c r="C570" s="17"/>
      <c r="F570" s="17"/>
      <c r="G570" s="17"/>
    </row>
    <row r="571" spans="3:7" ht="15.75" customHeight="1" x14ac:dyDescent="0.3">
      <c r="C571" s="17"/>
      <c r="F571" s="17"/>
      <c r="G571" s="17"/>
    </row>
    <row r="572" spans="3:7" ht="15.75" customHeight="1" x14ac:dyDescent="0.3">
      <c r="C572" s="17"/>
      <c r="F572" s="17"/>
      <c r="G572" s="17"/>
    </row>
    <row r="573" spans="3:7" ht="15.75" customHeight="1" x14ac:dyDescent="0.3">
      <c r="C573" s="17"/>
      <c r="F573" s="17"/>
      <c r="G573" s="17"/>
    </row>
    <row r="574" spans="3:7" ht="15.75" customHeight="1" x14ac:dyDescent="0.3">
      <c r="C574" s="17"/>
      <c r="F574" s="17"/>
      <c r="G574" s="17"/>
    </row>
    <row r="575" spans="3:7" ht="15.75" customHeight="1" x14ac:dyDescent="0.3">
      <c r="C575" s="17"/>
      <c r="F575" s="17"/>
      <c r="G575" s="17"/>
    </row>
    <row r="576" spans="3:7" ht="15.75" customHeight="1" x14ac:dyDescent="0.3">
      <c r="C576" s="17"/>
      <c r="F576" s="17"/>
      <c r="G576" s="17"/>
    </row>
    <row r="577" spans="3:7" ht="15.75" customHeight="1" x14ac:dyDescent="0.3">
      <c r="C577" s="17"/>
      <c r="F577" s="17"/>
      <c r="G577" s="17"/>
    </row>
    <row r="578" spans="3:7" ht="15.75" customHeight="1" x14ac:dyDescent="0.3">
      <c r="C578" s="17"/>
      <c r="F578" s="17"/>
      <c r="G578" s="17"/>
    </row>
    <row r="579" spans="3:7" ht="15.75" customHeight="1" x14ac:dyDescent="0.3">
      <c r="C579" s="17"/>
      <c r="F579" s="17"/>
      <c r="G579" s="17"/>
    </row>
    <row r="580" spans="3:7" ht="15.75" customHeight="1" x14ac:dyDescent="0.3">
      <c r="C580" s="17"/>
      <c r="F580" s="17"/>
      <c r="G580" s="17"/>
    </row>
    <row r="581" spans="3:7" ht="15.75" customHeight="1" x14ac:dyDescent="0.3">
      <c r="C581" s="17"/>
      <c r="F581" s="17"/>
      <c r="G581" s="17"/>
    </row>
    <row r="582" spans="3:7" ht="15.75" customHeight="1" x14ac:dyDescent="0.3">
      <c r="C582" s="17"/>
      <c r="F582" s="17"/>
      <c r="G582" s="17"/>
    </row>
    <row r="583" spans="3:7" ht="15.75" customHeight="1" x14ac:dyDescent="0.3">
      <c r="C583" s="17"/>
      <c r="F583" s="17"/>
      <c r="G583" s="17"/>
    </row>
    <row r="584" spans="3:7" ht="15.75" customHeight="1" x14ac:dyDescent="0.3">
      <c r="C584" s="17"/>
      <c r="F584" s="17"/>
      <c r="G584" s="17"/>
    </row>
    <row r="585" spans="3:7" ht="15.75" customHeight="1" x14ac:dyDescent="0.3">
      <c r="C585" s="17"/>
      <c r="F585" s="17"/>
      <c r="G585" s="17"/>
    </row>
    <row r="586" spans="3:7" ht="15.75" customHeight="1" x14ac:dyDescent="0.3">
      <c r="C586" s="17"/>
      <c r="F586" s="17"/>
      <c r="G586" s="17"/>
    </row>
    <row r="587" spans="3:7" ht="15.75" customHeight="1" x14ac:dyDescent="0.3">
      <c r="C587" s="17"/>
      <c r="F587" s="17"/>
      <c r="G587" s="17"/>
    </row>
    <row r="588" spans="3:7" ht="15.75" customHeight="1" x14ac:dyDescent="0.3">
      <c r="C588" s="17"/>
      <c r="F588" s="17"/>
      <c r="G588" s="17"/>
    </row>
    <row r="589" spans="3:7" ht="15.75" customHeight="1" x14ac:dyDescent="0.3">
      <c r="C589" s="17"/>
      <c r="F589" s="17"/>
      <c r="G589" s="17"/>
    </row>
    <row r="590" spans="3:7" ht="15.75" customHeight="1" x14ac:dyDescent="0.3">
      <c r="C590" s="17"/>
      <c r="F590" s="17"/>
      <c r="G590" s="17"/>
    </row>
    <row r="591" spans="3:7" ht="15.75" customHeight="1" x14ac:dyDescent="0.3">
      <c r="C591" s="17"/>
      <c r="F591" s="17"/>
      <c r="G591" s="17"/>
    </row>
    <row r="592" spans="3:7" ht="15.75" customHeight="1" x14ac:dyDescent="0.3">
      <c r="C592" s="17"/>
      <c r="F592" s="17"/>
      <c r="G592" s="17"/>
    </row>
    <row r="593" spans="3:7" ht="15.75" customHeight="1" x14ac:dyDescent="0.3">
      <c r="C593" s="17"/>
      <c r="F593" s="17"/>
      <c r="G593" s="17"/>
    </row>
    <row r="594" spans="3:7" ht="15.75" customHeight="1" x14ac:dyDescent="0.3">
      <c r="C594" s="17"/>
      <c r="F594" s="17"/>
      <c r="G594" s="17"/>
    </row>
    <row r="595" spans="3:7" ht="15.75" customHeight="1" x14ac:dyDescent="0.3">
      <c r="C595" s="17"/>
      <c r="F595" s="17"/>
      <c r="G595" s="17"/>
    </row>
    <row r="596" spans="3:7" ht="15.75" customHeight="1" x14ac:dyDescent="0.3">
      <c r="C596" s="17"/>
      <c r="F596" s="17"/>
      <c r="G596" s="17"/>
    </row>
    <row r="597" spans="3:7" ht="15.75" customHeight="1" x14ac:dyDescent="0.3">
      <c r="C597" s="17"/>
      <c r="F597" s="17"/>
      <c r="G597" s="17"/>
    </row>
    <row r="598" spans="3:7" ht="15.75" customHeight="1" x14ac:dyDescent="0.3">
      <c r="C598" s="17"/>
      <c r="F598" s="17"/>
      <c r="G598" s="17"/>
    </row>
    <row r="599" spans="3:7" ht="15.75" customHeight="1" x14ac:dyDescent="0.3">
      <c r="C599" s="17"/>
      <c r="F599" s="17"/>
      <c r="G599" s="17"/>
    </row>
    <row r="600" spans="3:7" ht="15.75" customHeight="1" x14ac:dyDescent="0.3">
      <c r="C600" s="17"/>
      <c r="F600" s="17"/>
      <c r="G600" s="17"/>
    </row>
    <row r="601" spans="3:7" ht="15.75" customHeight="1" x14ac:dyDescent="0.3">
      <c r="C601" s="17"/>
      <c r="F601" s="17"/>
      <c r="G601" s="17"/>
    </row>
    <row r="602" spans="3:7" ht="15.75" customHeight="1" x14ac:dyDescent="0.3">
      <c r="C602" s="17"/>
      <c r="F602" s="17"/>
      <c r="G602" s="17"/>
    </row>
    <row r="603" spans="3:7" ht="15.75" customHeight="1" x14ac:dyDescent="0.3">
      <c r="C603" s="17"/>
      <c r="F603" s="17"/>
      <c r="G603" s="17"/>
    </row>
    <row r="604" spans="3:7" ht="15.75" customHeight="1" x14ac:dyDescent="0.3">
      <c r="C604" s="17"/>
      <c r="F604" s="17"/>
      <c r="G604" s="17"/>
    </row>
    <row r="605" spans="3:7" ht="15.75" customHeight="1" x14ac:dyDescent="0.3">
      <c r="C605" s="17"/>
      <c r="F605" s="17"/>
      <c r="G605" s="17"/>
    </row>
    <row r="606" spans="3:7" ht="15.75" customHeight="1" x14ac:dyDescent="0.3">
      <c r="C606" s="17"/>
      <c r="F606" s="17"/>
      <c r="G606" s="17"/>
    </row>
    <row r="607" spans="3:7" ht="15.75" customHeight="1" x14ac:dyDescent="0.3">
      <c r="C607" s="17"/>
      <c r="F607" s="17"/>
      <c r="G607" s="17"/>
    </row>
    <row r="608" spans="3:7" ht="15.75" customHeight="1" x14ac:dyDescent="0.3">
      <c r="C608" s="17"/>
      <c r="F608" s="17"/>
      <c r="G608" s="17"/>
    </row>
    <row r="609" spans="3:7" ht="15.75" customHeight="1" x14ac:dyDescent="0.3">
      <c r="C609" s="17"/>
      <c r="F609" s="17"/>
      <c r="G609" s="17"/>
    </row>
    <row r="610" spans="3:7" ht="15.75" customHeight="1" x14ac:dyDescent="0.3">
      <c r="C610" s="17"/>
      <c r="F610" s="17"/>
      <c r="G610" s="17"/>
    </row>
    <row r="611" spans="3:7" ht="15.75" customHeight="1" x14ac:dyDescent="0.3">
      <c r="C611" s="17"/>
      <c r="F611" s="17"/>
      <c r="G611" s="17"/>
    </row>
    <row r="612" spans="3:7" ht="15.75" customHeight="1" x14ac:dyDescent="0.3">
      <c r="C612" s="17"/>
      <c r="F612" s="17"/>
      <c r="G612" s="17"/>
    </row>
    <row r="613" spans="3:7" ht="15.75" customHeight="1" x14ac:dyDescent="0.3">
      <c r="C613" s="17"/>
      <c r="F613" s="17"/>
      <c r="G613" s="17"/>
    </row>
    <row r="614" spans="3:7" ht="15.75" customHeight="1" x14ac:dyDescent="0.3">
      <c r="C614" s="17"/>
      <c r="F614" s="17"/>
      <c r="G614" s="17"/>
    </row>
    <row r="615" spans="3:7" ht="15.75" customHeight="1" x14ac:dyDescent="0.3">
      <c r="C615" s="17"/>
      <c r="F615" s="17"/>
      <c r="G615" s="17"/>
    </row>
    <row r="616" spans="3:7" ht="15.75" customHeight="1" x14ac:dyDescent="0.3">
      <c r="C616" s="17"/>
      <c r="F616" s="17"/>
      <c r="G616" s="17"/>
    </row>
    <row r="617" spans="3:7" ht="15.75" customHeight="1" x14ac:dyDescent="0.3">
      <c r="C617" s="17"/>
      <c r="F617" s="17"/>
      <c r="G617" s="17"/>
    </row>
    <row r="618" spans="3:7" ht="15.75" customHeight="1" x14ac:dyDescent="0.3">
      <c r="C618" s="17"/>
      <c r="F618" s="17"/>
      <c r="G618" s="17"/>
    </row>
    <row r="619" spans="3:7" ht="15.75" customHeight="1" x14ac:dyDescent="0.3">
      <c r="C619" s="17"/>
      <c r="F619" s="17"/>
      <c r="G619" s="17"/>
    </row>
    <row r="620" spans="3:7" ht="15.75" customHeight="1" x14ac:dyDescent="0.3">
      <c r="C620" s="17"/>
      <c r="F620" s="17"/>
      <c r="G620" s="17"/>
    </row>
    <row r="621" spans="3:7" ht="15.75" customHeight="1" x14ac:dyDescent="0.3">
      <c r="C621" s="17"/>
      <c r="F621" s="17"/>
      <c r="G621" s="17"/>
    </row>
    <row r="622" spans="3:7" ht="15.75" customHeight="1" x14ac:dyDescent="0.3">
      <c r="C622" s="17"/>
      <c r="F622" s="17"/>
      <c r="G622" s="17"/>
    </row>
    <row r="623" spans="3:7" ht="15.75" customHeight="1" x14ac:dyDescent="0.3">
      <c r="C623" s="17"/>
      <c r="F623" s="17"/>
      <c r="G623" s="17"/>
    </row>
    <row r="624" spans="3:7" ht="15.75" customHeight="1" x14ac:dyDescent="0.3">
      <c r="C624" s="17"/>
      <c r="F624" s="17"/>
      <c r="G624" s="17"/>
    </row>
    <row r="625" spans="3:7" ht="15.75" customHeight="1" x14ac:dyDescent="0.3">
      <c r="C625" s="17"/>
      <c r="F625" s="17"/>
      <c r="G625" s="17"/>
    </row>
    <row r="626" spans="3:7" ht="15.75" customHeight="1" x14ac:dyDescent="0.3">
      <c r="C626" s="17"/>
      <c r="F626" s="17"/>
      <c r="G626" s="17"/>
    </row>
    <row r="627" spans="3:7" ht="15.75" customHeight="1" x14ac:dyDescent="0.3">
      <c r="C627" s="17"/>
      <c r="F627" s="17"/>
      <c r="G627" s="17"/>
    </row>
    <row r="628" spans="3:7" ht="15.75" customHeight="1" x14ac:dyDescent="0.3">
      <c r="C628" s="17"/>
      <c r="F628" s="17"/>
      <c r="G628" s="17"/>
    </row>
    <row r="629" spans="3:7" ht="15.75" customHeight="1" x14ac:dyDescent="0.3">
      <c r="C629" s="17"/>
      <c r="F629" s="17"/>
      <c r="G629" s="17"/>
    </row>
    <row r="630" spans="3:7" ht="15.75" customHeight="1" x14ac:dyDescent="0.3">
      <c r="C630" s="17"/>
      <c r="F630" s="17"/>
      <c r="G630" s="17"/>
    </row>
    <row r="631" spans="3:7" ht="15.75" customHeight="1" x14ac:dyDescent="0.3">
      <c r="C631" s="17"/>
      <c r="F631" s="17"/>
      <c r="G631" s="17"/>
    </row>
    <row r="632" spans="3:7" ht="15.75" customHeight="1" x14ac:dyDescent="0.3">
      <c r="C632" s="17"/>
      <c r="F632" s="17"/>
      <c r="G632" s="17"/>
    </row>
    <row r="633" spans="3:7" ht="15.75" customHeight="1" x14ac:dyDescent="0.3">
      <c r="C633" s="17"/>
      <c r="F633" s="17"/>
      <c r="G633" s="17"/>
    </row>
    <row r="634" spans="3:7" ht="15.75" customHeight="1" x14ac:dyDescent="0.3">
      <c r="C634" s="17"/>
      <c r="F634" s="17"/>
      <c r="G634" s="17"/>
    </row>
    <row r="635" spans="3:7" ht="15.75" customHeight="1" x14ac:dyDescent="0.3">
      <c r="C635" s="17"/>
      <c r="F635" s="17"/>
      <c r="G635" s="17"/>
    </row>
    <row r="636" spans="3:7" ht="15.75" customHeight="1" x14ac:dyDescent="0.3">
      <c r="C636" s="17"/>
      <c r="F636" s="17"/>
      <c r="G636" s="17"/>
    </row>
    <row r="637" spans="3:7" ht="15.75" customHeight="1" x14ac:dyDescent="0.3">
      <c r="C637" s="17"/>
      <c r="F637" s="17"/>
      <c r="G637" s="17"/>
    </row>
    <row r="638" spans="3:7" ht="15.75" customHeight="1" x14ac:dyDescent="0.3">
      <c r="C638" s="17"/>
      <c r="F638" s="17"/>
      <c r="G638" s="17"/>
    </row>
    <row r="639" spans="3:7" ht="15.75" customHeight="1" x14ac:dyDescent="0.3">
      <c r="C639" s="17"/>
      <c r="F639" s="17"/>
      <c r="G639" s="17"/>
    </row>
    <row r="640" spans="3:7" ht="15.75" customHeight="1" x14ac:dyDescent="0.3">
      <c r="C640" s="17"/>
      <c r="F640" s="17"/>
      <c r="G640" s="17"/>
    </row>
    <row r="641" spans="3:7" ht="15.75" customHeight="1" x14ac:dyDescent="0.3">
      <c r="C641" s="17"/>
      <c r="F641" s="17"/>
      <c r="G641" s="17"/>
    </row>
    <row r="642" spans="3:7" ht="15.75" customHeight="1" x14ac:dyDescent="0.3">
      <c r="C642" s="17"/>
      <c r="F642" s="17"/>
      <c r="G642" s="17"/>
    </row>
    <row r="643" spans="3:7" ht="15.75" customHeight="1" x14ac:dyDescent="0.3">
      <c r="C643" s="17"/>
      <c r="F643" s="17"/>
      <c r="G643" s="17"/>
    </row>
    <row r="644" spans="3:7" ht="15.75" customHeight="1" x14ac:dyDescent="0.3">
      <c r="C644" s="17"/>
      <c r="F644" s="17"/>
      <c r="G644" s="17"/>
    </row>
    <row r="645" spans="3:7" ht="15.75" customHeight="1" x14ac:dyDescent="0.3">
      <c r="C645" s="17"/>
      <c r="F645" s="17"/>
      <c r="G645" s="17"/>
    </row>
    <row r="646" spans="3:7" ht="15.75" customHeight="1" x14ac:dyDescent="0.3">
      <c r="C646" s="17"/>
      <c r="F646" s="17"/>
      <c r="G646" s="17"/>
    </row>
    <row r="647" spans="3:7" ht="15.75" customHeight="1" x14ac:dyDescent="0.3">
      <c r="C647" s="17"/>
      <c r="F647" s="17"/>
      <c r="G647" s="17"/>
    </row>
    <row r="648" spans="3:7" ht="15.75" customHeight="1" x14ac:dyDescent="0.3">
      <c r="C648" s="17"/>
      <c r="F648" s="17"/>
      <c r="G648" s="17"/>
    </row>
    <row r="649" spans="3:7" ht="15.75" customHeight="1" x14ac:dyDescent="0.3">
      <c r="C649" s="17"/>
      <c r="F649" s="17"/>
      <c r="G649" s="17"/>
    </row>
    <row r="650" spans="3:7" ht="15.75" customHeight="1" x14ac:dyDescent="0.3">
      <c r="C650" s="17"/>
      <c r="F650" s="17"/>
      <c r="G650" s="17"/>
    </row>
    <row r="651" spans="3:7" ht="15.75" customHeight="1" x14ac:dyDescent="0.3">
      <c r="C651" s="17"/>
      <c r="F651" s="17"/>
      <c r="G651" s="17"/>
    </row>
    <row r="652" spans="3:7" ht="15.75" customHeight="1" x14ac:dyDescent="0.3">
      <c r="C652" s="17"/>
      <c r="F652" s="17"/>
      <c r="G652" s="17"/>
    </row>
    <row r="653" spans="3:7" ht="15.75" customHeight="1" x14ac:dyDescent="0.3">
      <c r="C653" s="17"/>
      <c r="F653" s="17"/>
      <c r="G653" s="17"/>
    </row>
    <row r="654" spans="3:7" ht="15.75" customHeight="1" x14ac:dyDescent="0.3">
      <c r="C654" s="17"/>
      <c r="F654" s="17"/>
      <c r="G654" s="17"/>
    </row>
    <row r="655" spans="3:7" ht="15.75" customHeight="1" x14ac:dyDescent="0.3">
      <c r="C655" s="17"/>
      <c r="F655" s="17"/>
      <c r="G655" s="17"/>
    </row>
    <row r="656" spans="3:7" ht="15.75" customHeight="1" x14ac:dyDescent="0.3">
      <c r="C656" s="17"/>
      <c r="F656" s="17"/>
      <c r="G656" s="17"/>
    </row>
    <row r="657" spans="3:7" ht="15.75" customHeight="1" x14ac:dyDescent="0.3">
      <c r="C657" s="17"/>
      <c r="F657" s="17"/>
      <c r="G657" s="17"/>
    </row>
    <row r="658" spans="3:7" ht="15.75" customHeight="1" x14ac:dyDescent="0.3">
      <c r="C658" s="17"/>
      <c r="F658" s="17"/>
      <c r="G658" s="17"/>
    </row>
    <row r="659" spans="3:7" ht="15.75" customHeight="1" x14ac:dyDescent="0.3">
      <c r="C659" s="17"/>
      <c r="F659" s="17"/>
      <c r="G659" s="17"/>
    </row>
    <row r="660" spans="3:7" ht="15.75" customHeight="1" x14ac:dyDescent="0.3">
      <c r="C660" s="17"/>
      <c r="F660" s="17"/>
      <c r="G660" s="17"/>
    </row>
    <row r="661" spans="3:7" ht="15.75" customHeight="1" x14ac:dyDescent="0.3">
      <c r="C661" s="17"/>
      <c r="F661" s="17"/>
      <c r="G661" s="17"/>
    </row>
    <row r="662" spans="3:7" ht="15.75" customHeight="1" x14ac:dyDescent="0.3">
      <c r="C662" s="17"/>
      <c r="F662" s="17"/>
      <c r="G662" s="17"/>
    </row>
    <row r="663" spans="3:7" ht="15.75" customHeight="1" x14ac:dyDescent="0.3">
      <c r="C663" s="17"/>
      <c r="F663" s="17"/>
      <c r="G663" s="17"/>
    </row>
    <row r="664" spans="3:7" ht="15.75" customHeight="1" x14ac:dyDescent="0.3">
      <c r="C664" s="17"/>
      <c r="F664" s="17"/>
      <c r="G664" s="17"/>
    </row>
    <row r="665" spans="3:7" ht="15.75" customHeight="1" x14ac:dyDescent="0.3">
      <c r="C665" s="17"/>
      <c r="F665" s="17"/>
      <c r="G665" s="17"/>
    </row>
    <row r="666" spans="3:7" ht="15.75" customHeight="1" x14ac:dyDescent="0.3">
      <c r="C666" s="17"/>
      <c r="F666" s="17"/>
      <c r="G666" s="17"/>
    </row>
    <row r="667" spans="3:7" ht="15.75" customHeight="1" x14ac:dyDescent="0.3">
      <c r="C667" s="17"/>
      <c r="F667" s="17"/>
      <c r="G667" s="17"/>
    </row>
    <row r="668" spans="3:7" ht="15.75" customHeight="1" x14ac:dyDescent="0.3">
      <c r="C668" s="17"/>
      <c r="F668" s="17"/>
      <c r="G668" s="17"/>
    </row>
    <row r="669" spans="3:7" ht="15.75" customHeight="1" x14ac:dyDescent="0.3">
      <c r="C669" s="17"/>
      <c r="F669" s="17"/>
      <c r="G669" s="17"/>
    </row>
    <row r="670" spans="3:7" ht="15.75" customHeight="1" x14ac:dyDescent="0.3">
      <c r="C670" s="17"/>
      <c r="F670" s="17"/>
      <c r="G670" s="17"/>
    </row>
    <row r="671" spans="3:7" ht="15.75" customHeight="1" x14ac:dyDescent="0.3">
      <c r="C671" s="17"/>
      <c r="F671" s="17"/>
      <c r="G671" s="17"/>
    </row>
    <row r="672" spans="3:7" ht="15.75" customHeight="1" x14ac:dyDescent="0.3">
      <c r="C672" s="17"/>
      <c r="F672" s="17"/>
      <c r="G672" s="17"/>
    </row>
    <row r="673" spans="3:7" ht="15.75" customHeight="1" x14ac:dyDescent="0.3">
      <c r="C673" s="17"/>
      <c r="F673" s="17"/>
      <c r="G673" s="17"/>
    </row>
    <row r="674" spans="3:7" ht="15.75" customHeight="1" x14ac:dyDescent="0.3">
      <c r="C674" s="17"/>
      <c r="F674" s="17"/>
      <c r="G674" s="17"/>
    </row>
    <row r="675" spans="3:7" ht="15.75" customHeight="1" x14ac:dyDescent="0.3">
      <c r="C675" s="17"/>
      <c r="F675" s="17"/>
      <c r="G675" s="17"/>
    </row>
    <row r="676" spans="3:7" ht="15.75" customHeight="1" x14ac:dyDescent="0.3">
      <c r="C676" s="17"/>
      <c r="F676" s="17"/>
      <c r="G676" s="17"/>
    </row>
    <row r="677" spans="3:7" ht="15.75" customHeight="1" x14ac:dyDescent="0.3">
      <c r="C677" s="17"/>
      <c r="F677" s="17"/>
      <c r="G677" s="17"/>
    </row>
    <row r="678" spans="3:7" ht="15.75" customHeight="1" x14ac:dyDescent="0.3">
      <c r="C678" s="17"/>
      <c r="F678" s="17"/>
      <c r="G678" s="17"/>
    </row>
    <row r="679" spans="3:7" ht="15.75" customHeight="1" x14ac:dyDescent="0.3">
      <c r="C679" s="17"/>
      <c r="F679" s="17"/>
      <c r="G679" s="17"/>
    </row>
    <row r="680" spans="3:7" ht="15.75" customHeight="1" x14ac:dyDescent="0.3">
      <c r="C680" s="17"/>
      <c r="F680" s="17"/>
      <c r="G680" s="17"/>
    </row>
    <row r="681" spans="3:7" ht="15.75" customHeight="1" x14ac:dyDescent="0.3">
      <c r="C681" s="17"/>
      <c r="F681" s="17"/>
      <c r="G681" s="17"/>
    </row>
    <row r="682" spans="3:7" ht="15.75" customHeight="1" x14ac:dyDescent="0.3">
      <c r="C682" s="17"/>
      <c r="F682" s="17"/>
      <c r="G682" s="17"/>
    </row>
    <row r="683" spans="3:7" ht="15.75" customHeight="1" x14ac:dyDescent="0.3">
      <c r="C683" s="17"/>
      <c r="F683" s="17"/>
      <c r="G683" s="17"/>
    </row>
    <row r="684" spans="3:7" ht="15.75" customHeight="1" x14ac:dyDescent="0.3">
      <c r="C684" s="17"/>
      <c r="F684" s="17"/>
      <c r="G684" s="17"/>
    </row>
    <row r="685" spans="3:7" ht="15.75" customHeight="1" x14ac:dyDescent="0.3">
      <c r="C685" s="17"/>
      <c r="F685" s="17"/>
      <c r="G685" s="17"/>
    </row>
    <row r="686" spans="3:7" ht="15.75" customHeight="1" x14ac:dyDescent="0.3">
      <c r="C686" s="17"/>
      <c r="F686" s="17"/>
      <c r="G686" s="17"/>
    </row>
    <row r="687" spans="3:7" ht="15.75" customHeight="1" x14ac:dyDescent="0.3">
      <c r="C687" s="17"/>
      <c r="F687" s="17"/>
      <c r="G687" s="17"/>
    </row>
    <row r="688" spans="3:7" ht="15.75" customHeight="1" x14ac:dyDescent="0.3">
      <c r="C688" s="17"/>
      <c r="F688" s="17"/>
      <c r="G688" s="17"/>
    </row>
    <row r="689" spans="3:7" ht="15.75" customHeight="1" x14ac:dyDescent="0.3">
      <c r="C689" s="17"/>
      <c r="F689" s="17"/>
      <c r="G689" s="17"/>
    </row>
    <row r="690" spans="3:7" ht="15.75" customHeight="1" x14ac:dyDescent="0.3">
      <c r="C690" s="17"/>
      <c r="F690" s="17"/>
      <c r="G690" s="17"/>
    </row>
    <row r="691" spans="3:7" ht="15.75" customHeight="1" x14ac:dyDescent="0.3">
      <c r="C691" s="17"/>
      <c r="F691" s="17"/>
      <c r="G691" s="17"/>
    </row>
    <row r="692" spans="3:7" ht="15.75" customHeight="1" x14ac:dyDescent="0.3">
      <c r="C692" s="17"/>
      <c r="F692" s="17"/>
      <c r="G692" s="17"/>
    </row>
    <row r="693" spans="3:7" ht="15.75" customHeight="1" x14ac:dyDescent="0.3">
      <c r="C693" s="17"/>
      <c r="F693" s="17"/>
      <c r="G693" s="17"/>
    </row>
    <row r="694" spans="3:7" ht="15.75" customHeight="1" x14ac:dyDescent="0.3">
      <c r="C694" s="17"/>
      <c r="F694" s="17"/>
      <c r="G694" s="17"/>
    </row>
    <row r="695" spans="3:7" ht="15.75" customHeight="1" x14ac:dyDescent="0.3">
      <c r="C695" s="17"/>
      <c r="F695" s="17"/>
      <c r="G695" s="17"/>
    </row>
    <row r="696" spans="3:7" ht="15.75" customHeight="1" x14ac:dyDescent="0.3">
      <c r="C696" s="17"/>
      <c r="F696" s="17"/>
      <c r="G696" s="17"/>
    </row>
    <row r="697" spans="3:7" ht="15.75" customHeight="1" x14ac:dyDescent="0.3">
      <c r="C697" s="17"/>
      <c r="F697" s="17"/>
      <c r="G697" s="17"/>
    </row>
    <row r="698" spans="3:7" ht="15.75" customHeight="1" x14ac:dyDescent="0.3">
      <c r="C698" s="17"/>
      <c r="F698" s="17"/>
      <c r="G698" s="17"/>
    </row>
    <row r="699" spans="3:7" ht="15.75" customHeight="1" x14ac:dyDescent="0.3">
      <c r="C699" s="17"/>
      <c r="F699" s="17"/>
      <c r="G699" s="17"/>
    </row>
    <row r="700" spans="3:7" ht="15.75" customHeight="1" x14ac:dyDescent="0.3">
      <c r="C700" s="17"/>
      <c r="F700" s="17"/>
      <c r="G700" s="17"/>
    </row>
    <row r="701" spans="3:7" ht="15.75" customHeight="1" x14ac:dyDescent="0.3">
      <c r="C701" s="17"/>
      <c r="F701" s="17"/>
      <c r="G701" s="17"/>
    </row>
    <row r="702" spans="3:7" ht="15.75" customHeight="1" x14ac:dyDescent="0.3">
      <c r="C702" s="17"/>
      <c r="F702" s="17"/>
      <c r="G702" s="17"/>
    </row>
    <row r="703" spans="3:7" ht="15.75" customHeight="1" x14ac:dyDescent="0.3">
      <c r="C703" s="17"/>
      <c r="F703" s="17"/>
      <c r="G703" s="17"/>
    </row>
    <row r="704" spans="3:7" ht="15.75" customHeight="1" x14ac:dyDescent="0.3">
      <c r="C704" s="17"/>
      <c r="F704" s="17"/>
      <c r="G704" s="17"/>
    </row>
    <row r="705" spans="3:7" ht="15.75" customHeight="1" x14ac:dyDescent="0.3">
      <c r="C705" s="17"/>
      <c r="F705" s="17"/>
      <c r="G705" s="17"/>
    </row>
    <row r="706" spans="3:7" ht="15.75" customHeight="1" x14ac:dyDescent="0.3">
      <c r="C706" s="17"/>
      <c r="F706" s="17"/>
      <c r="G706" s="17"/>
    </row>
    <row r="707" spans="3:7" ht="15.75" customHeight="1" x14ac:dyDescent="0.3">
      <c r="C707" s="17"/>
      <c r="F707" s="17"/>
      <c r="G707" s="17"/>
    </row>
    <row r="708" spans="3:7" ht="15.75" customHeight="1" x14ac:dyDescent="0.3">
      <c r="C708" s="17"/>
      <c r="F708" s="17"/>
      <c r="G708" s="17"/>
    </row>
    <row r="709" spans="3:7" ht="15.75" customHeight="1" x14ac:dyDescent="0.3">
      <c r="C709" s="17"/>
      <c r="F709" s="17"/>
      <c r="G709" s="17"/>
    </row>
    <row r="710" spans="3:7" ht="15.75" customHeight="1" x14ac:dyDescent="0.3">
      <c r="C710" s="17"/>
      <c r="F710" s="17"/>
      <c r="G710" s="17"/>
    </row>
    <row r="711" spans="3:7" ht="15.75" customHeight="1" x14ac:dyDescent="0.3">
      <c r="C711" s="17"/>
      <c r="F711" s="17"/>
      <c r="G711" s="17"/>
    </row>
    <row r="712" spans="3:7" ht="15.75" customHeight="1" x14ac:dyDescent="0.3">
      <c r="C712" s="17"/>
      <c r="F712" s="17"/>
      <c r="G712" s="17"/>
    </row>
    <row r="713" spans="3:7" ht="15.75" customHeight="1" x14ac:dyDescent="0.3">
      <c r="C713" s="17"/>
      <c r="F713" s="17"/>
      <c r="G713" s="17"/>
    </row>
    <row r="714" spans="3:7" ht="15.75" customHeight="1" x14ac:dyDescent="0.3">
      <c r="C714" s="17"/>
      <c r="F714" s="17"/>
      <c r="G714" s="17"/>
    </row>
    <row r="715" spans="3:7" ht="15.75" customHeight="1" x14ac:dyDescent="0.3">
      <c r="C715" s="17"/>
      <c r="F715" s="17"/>
      <c r="G715" s="17"/>
    </row>
    <row r="716" spans="3:7" ht="15.75" customHeight="1" x14ac:dyDescent="0.3">
      <c r="C716" s="17"/>
      <c r="F716" s="17"/>
      <c r="G716" s="17"/>
    </row>
    <row r="717" spans="3:7" ht="15.75" customHeight="1" x14ac:dyDescent="0.3">
      <c r="C717" s="17"/>
      <c r="F717" s="17"/>
      <c r="G717" s="17"/>
    </row>
    <row r="718" spans="3:7" ht="15.75" customHeight="1" x14ac:dyDescent="0.3">
      <c r="C718" s="17"/>
      <c r="F718" s="17"/>
      <c r="G718" s="17"/>
    </row>
    <row r="719" spans="3:7" ht="15.75" customHeight="1" x14ac:dyDescent="0.3">
      <c r="C719" s="17"/>
      <c r="F719" s="17"/>
      <c r="G719" s="17"/>
    </row>
    <row r="720" spans="3:7" ht="15.75" customHeight="1" x14ac:dyDescent="0.3">
      <c r="C720" s="17"/>
      <c r="F720" s="17"/>
      <c r="G720" s="17"/>
    </row>
    <row r="721" spans="3:7" ht="15.75" customHeight="1" x14ac:dyDescent="0.3">
      <c r="C721" s="17"/>
      <c r="F721" s="17"/>
      <c r="G721" s="17"/>
    </row>
    <row r="722" spans="3:7" ht="15.75" customHeight="1" x14ac:dyDescent="0.3">
      <c r="C722" s="17"/>
      <c r="F722" s="17"/>
      <c r="G722" s="17"/>
    </row>
    <row r="723" spans="3:7" ht="15.75" customHeight="1" x14ac:dyDescent="0.3">
      <c r="C723" s="17"/>
      <c r="F723" s="17"/>
      <c r="G723" s="17"/>
    </row>
    <row r="724" spans="3:7" ht="15.75" customHeight="1" x14ac:dyDescent="0.3">
      <c r="C724" s="17"/>
      <c r="F724" s="17"/>
      <c r="G724" s="17"/>
    </row>
    <row r="725" spans="3:7" ht="15.75" customHeight="1" x14ac:dyDescent="0.3">
      <c r="C725" s="17"/>
      <c r="F725" s="17"/>
      <c r="G725" s="17"/>
    </row>
    <row r="726" spans="3:7" ht="15.75" customHeight="1" x14ac:dyDescent="0.3">
      <c r="C726" s="17"/>
      <c r="F726" s="17"/>
      <c r="G726" s="17"/>
    </row>
    <row r="727" spans="3:7" ht="15.75" customHeight="1" x14ac:dyDescent="0.3">
      <c r="C727" s="17"/>
      <c r="F727" s="17"/>
      <c r="G727" s="17"/>
    </row>
    <row r="728" spans="3:7" ht="15.75" customHeight="1" x14ac:dyDescent="0.3">
      <c r="C728" s="17"/>
      <c r="F728" s="17"/>
      <c r="G728" s="17"/>
    </row>
    <row r="729" spans="3:7" ht="15.75" customHeight="1" x14ac:dyDescent="0.3">
      <c r="C729" s="17"/>
      <c r="F729" s="17"/>
      <c r="G729" s="17"/>
    </row>
    <row r="730" spans="3:7" ht="15.75" customHeight="1" x14ac:dyDescent="0.3">
      <c r="C730" s="17"/>
      <c r="F730" s="17"/>
      <c r="G730" s="17"/>
    </row>
    <row r="731" spans="3:7" ht="15.75" customHeight="1" x14ac:dyDescent="0.3">
      <c r="C731" s="17"/>
      <c r="F731" s="17"/>
      <c r="G731" s="17"/>
    </row>
    <row r="732" spans="3:7" ht="15.75" customHeight="1" x14ac:dyDescent="0.3">
      <c r="C732" s="17"/>
      <c r="F732" s="17"/>
      <c r="G732" s="17"/>
    </row>
    <row r="733" spans="3:7" ht="15.75" customHeight="1" x14ac:dyDescent="0.3">
      <c r="C733" s="17"/>
      <c r="F733" s="17"/>
      <c r="G733" s="17"/>
    </row>
    <row r="734" spans="3:7" ht="15.75" customHeight="1" x14ac:dyDescent="0.3">
      <c r="C734" s="17"/>
      <c r="F734" s="17"/>
      <c r="G734" s="17"/>
    </row>
    <row r="735" spans="3:7" ht="15.75" customHeight="1" x14ac:dyDescent="0.3">
      <c r="C735" s="17"/>
      <c r="F735" s="17"/>
      <c r="G735" s="17"/>
    </row>
    <row r="736" spans="3:7" ht="15.75" customHeight="1" x14ac:dyDescent="0.3">
      <c r="C736" s="17"/>
      <c r="F736" s="17"/>
      <c r="G736" s="17"/>
    </row>
    <row r="737" spans="3:7" ht="15.75" customHeight="1" x14ac:dyDescent="0.3">
      <c r="C737" s="17"/>
      <c r="F737" s="17"/>
      <c r="G737" s="17"/>
    </row>
    <row r="738" spans="3:7" ht="15.75" customHeight="1" x14ac:dyDescent="0.3">
      <c r="C738" s="17"/>
      <c r="F738" s="17"/>
      <c r="G738" s="17"/>
    </row>
    <row r="739" spans="3:7" ht="15.75" customHeight="1" x14ac:dyDescent="0.3">
      <c r="C739" s="17"/>
      <c r="F739" s="17"/>
      <c r="G739" s="17"/>
    </row>
    <row r="740" spans="3:7" ht="15.75" customHeight="1" x14ac:dyDescent="0.3">
      <c r="C740" s="17"/>
      <c r="F740" s="17"/>
      <c r="G740" s="17"/>
    </row>
    <row r="741" spans="3:7" ht="15.75" customHeight="1" x14ac:dyDescent="0.3">
      <c r="C741" s="17"/>
      <c r="F741" s="17"/>
      <c r="G741" s="17"/>
    </row>
    <row r="742" spans="3:7" ht="15.75" customHeight="1" x14ac:dyDescent="0.3">
      <c r="C742" s="17"/>
      <c r="F742" s="17"/>
      <c r="G742" s="17"/>
    </row>
    <row r="743" spans="3:7" ht="15.75" customHeight="1" x14ac:dyDescent="0.3">
      <c r="C743" s="17"/>
      <c r="F743" s="17"/>
      <c r="G743" s="17"/>
    </row>
    <row r="744" spans="3:7" ht="15.75" customHeight="1" x14ac:dyDescent="0.3">
      <c r="C744" s="17"/>
      <c r="F744" s="17"/>
      <c r="G744" s="17"/>
    </row>
    <row r="745" spans="3:7" ht="15.75" customHeight="1" x14ac:dyDescent="0.3">
      <c r="C745" s="17"/>
      <c r="F745" s="17"/>
      <c r="G745" s="17"/>
    </row>
    <row r="746" spans="3:7" ht="15.75" customHeight="1" x14ac:dyDescent="0.3">
      <c r="C746" s="17"/>
      <c r="F746" s="17"/>
      <c r="G746" s="17"/>
    </row>
    <row r="747" spans="3:7" ht="15.75" customHeight="1" x14ac:dyDescent="0.3">
      <c r="C747" s="17"/>
      <c r="F747" s="17"/>
      <c r="G747" s="17"/>
    </row>
    <row r="748" spans="3:7" ht="15.75" customHeight="1" x14ac:dyDescent="0.3">
      <c r="C748" s="17"/>
      <c r="F748" s="17"/>
      <c r="G748" s="17"/>
    </row>
    <row r="749" spans="3:7" ht="15.75" customHeight="1" x14ac:dyDescent="0.3">
      <c r="C749" s="17"/>
      <c r="F749" s="17"/>
      <c r="G749" s="17"/>
    </row>
    <row r="750" spans="3:7" ht="15.75" customHeight="1" x14ac:dyDescent="0.3">
      <c r="C750" s="17"/>
      <c r="F750" s="17"/>
      <c r="G750" s="17"/>
    </row>
    <row r="751" spans="3:7" ht="15.75" customHeight="1" x14ac:dyDescent="0.3">
      <c r="C751" s="17"/>
      <c r="F751" s="17"/>
      <c r="G751" s="17"/>
    </row>
    <row r="752" spans="3:7" ht="15.75" customHeight="1" x14ac:dyDescent="0.3">
      <c r="C752" s="17"/>
      <c r="F752" s="17"/>
      <c r="G752" s="17"/>
    </row>
    <row r="753" spans="3:7" ht="15.75" customHeight="1" x14ac:dyDescent="0.3">
      <c r="C753" s="17"/>
      <c r="F753" s="17"/>
      <c r="G753" s="17"/>
    </row>
    <row r="754" spans="3:7" ht="15.75" customHeight="1" x14ac:dyDescent="0.3">
      <c r="C754" s="17"/>
      <c r="F754" s="17"/>
      <c r="G754" s="17"/>
    </row>
    <row r="755" spans="3:7" ht="15.75" customHeight="1" x14ac:dyDescent="0.3">
      <c r="C755" s="17"/>
      <c r="F755" s="17"/>
      <c r="G755" s="17"/>
    </row>
    <row r="756" spans="3:7" ht="15.75" customHeight="1" x14ac:dyDescent="0.3">
      <c r="C756" s="17"/>
      <c r="F756" s="17"/>
      <c r="G756" s="17"/>
    </row>
    <row r="757" spans="3:7" ht="15.75" customHeight="1" x14ac:dyDescent="0.3">
      <c r="C757" s="17"/>
      <c r="F757" s="17"/>
      <c r="G757" s="17"/>
    </row>
    <row r="758" spans="3:7" ht="15.75" customHeight="1" x14ac:dyDescent="0.3">
      <c r="C758" s="17"/>
      <c r="F758" s="17"/>
      <c r="G758" s="17"/>
    </row>
    <row r="759" spans="3:7" ht="15.75" customHeight="1" x14ac:dyDescent="0.3">
      <c r="C759" s="17"/>
      <c r="F759" s="17"/>
      <c r="G759" s="17"/>
    </row>
    <row r="760" spans="3:7" ht="15.75" customHeight="1" x14ac:dyDescent="0.3">
      <c r="C760" s="17"/>
      <c r="F760" s="17"/>
      <c r="G760" s="17"/>
    </row>
    <row r="761" spans="3:7" ht="15.75" customHeight="1" x14ac:dyDescent="0.3">
      <c r="C761" s="17"/>
      <c r="F761" s="17"/>
      <c r="G761" s="17"/>
    </row>
    <row r="762" spans="3:7" ht="15.75" customHeight="1" x14ac:dyDescent="0.3">
      <c r="C762" s="17"/>
      <c r="F762" s="17"/>
      <c r="G762" s="17"/>
    </row>
    <row r="763" spans="3:7" ht="15.75" customHeight="1" x14ac:dyDescent="0.3">
      <c r="C763" s="17"/>
      <c r="F763" s="17"/>
      <c r="G763" s="17"/>
    </row>
    <row r="764" spans="3:7" ht="15.75" customHeight="1" x14ac:dyDescent="0.3">
      <c r="C764" s="17"/>
      <c r="F764" s="17"/>
      <c r="G764" s="17"/>
    </row>
    <row r="765" spans="3:7" ht="15.75" customHeight="1" x14ac:dyDescent="0.3">
      <c r="C765" s="17"/>
      <c r="F765" s="17"/>
      <c r="G765" s="17"/>
    </row>
    <row r="766" spans="3:7" ht="15.75" customHeight="1" x14ac:dyDescent="0.3">
      <c r="C766" s="17"/>
      <c r="F766" s="17"/>
      <c r="G766" s="17"/>
    </row>
    <row r="767" spans="3:7" ht="15.75" customHeight="1" x14ac:dyDescent="0.3">
      <c r="C767" s="17"/>
      <c r="F767" s="17"/>
      <c r="G767" s="17"/>
    </row>
    <row r="768" spans="3:7" ht="15.75" customHeight="1" x14ac:dyDescent="0.3">
      <c r="C768" s="17"/>
      <c r="F768" s="17"/>
      <c r="G768" s="17"/>
    </row>
    <row r="769" spans="3:7" ht="15.75" customHeight="1" x14ac:dyDescent="0.3">
      <c r="C769" s="17"/>
      <c r="F769" s="17"/>
      <c r="G769" s="17"/>
    </row>
    <row r="770" spans="3:7" ht="15.75" customHeight="1" x14ac:dyDescent="0.3">
      <c r="C770" s="17"/>
      <c r="F770" s="17"/>
      <c r="G770" s="17"/>
    </row>
    <row r="771" spans="3:7" ht="15.75" customHeight="1" x14ac:dyDescent="0.3">
      <c r="C771" s="17"/>
      <c r="F771" s="17"/>
      <c r="G771" s="17"/>
    </row>
    <row r="772" spans="3:7" ht="15.75" customHeight="1" x14ac:dyDescent="0.3">
      <c r="C772" s="17"/>
      <c r="F772" s="17"/>
      <c r="G772" s="17"/>
    </row>
    <row r="773" spans="3:7" ht="15.75" customHeight="1" x14ac:dyDescent="0.3">
      <c r="C773" s="17"/>
      <c r="F773" s="17"/>
      <c r="G773" s="17"/>
    </row>
    <row r="774" spans="3:7" ht="15.75" customHeight="1" x14ac:dyDescent="0.3">
      <c r="C774" s="17"/>
      <c r="F774" s="17"/>
      <c r="G774" s="17"/>
    </row>
    <row r="775" spans="3:7" ht="15.75" customHeight="1" x14ac:dyDescent="0.3">
      <c r="C775" s="17"/>
      <c r="F775" s="17"/>
      <c r="G775" s="17"/>
    </row>
    <row r="776" spans="3:7" ht="15.75" customHeight="1" x14ac:dyDescent="0.3">
      <c r="C776" s="17"/>
      <c r="F776" s="17"/>
      <c r="G776" s="17"/>
    </row>
    <row r="777" spans="3:7" ht="15.75" customHeight="1" x14ac:dyDescent="0.3">
      <c r="C777" s="17"/>
      <c r="F777" s="17"/>
      <c r="G777" s="17"/>
    </row>
    <row r="778" spans="3:7" ht="15.75" customHeight="1" x14ac:dyDescent="0.3">
      <c r="C778" s="17"/>
      <c r="F778" s="17"/>
      <c r="G778" s="17"/>
    </row>
    <row r="779" spans="3:7" ht="15.75" customHeight="1" x14ac:dyDescent="0.3">
      <c r="C779" s="17"/>
      <c r="F779" s="17"/>
      <c r="G779" s="17"/>
    </row>
    <row r="780" spans="3:7" ht="15.75" customHeight="1" x14ac:dyDescent="0.3">
      <c r="C780" s="17"/>
      <c r="F780" s="17"/>
      <c r="G780" s="17"/>
    </row>
    <row r="781" spans="3:7" ht="15.75" customHeight="1" x14ac:dyDescent="0.3">
      <c r="C781" s="17"/>
      <c r="F781" s="17"/>
      <c r="G781" s="17"/>
    </row>
    <row r="782" spans="3:7" ht="15.75" customHeight="1" x14ac:dyDescent="0.3">
      <c r="C782" s="17"/>
      <c r="F782" s="17"/>
      <c r="G782" s="17"/>
    </row>
    <row r="783" spans="3:7" ht="15.75" customHeight="1" x14ac:dyDescent="0.3">
      <c r="C783" s="17"/>
      <c r="F783" s="17"/>
      <c r="G783" s="17"/>
    </row>
    <row r="784" spans="3:7" ht="15.75" customHeight="1" x14ac:dyDescent="0.3">
      <c r="C784" s="17"/>
      <c r="F784" s="17"/>
      <c r="G784" s="17"/>
    </row>
    <row r="785" spans="3:7" ht="15.75" customHeight="1" x14ac:dyDescent="0.3">
      <c r="C785" s="17"/>
      <c r="F785" s="17"/>
      <c r="G785" s="17"/>
    </row>
    <row r="786" spans="3:7" ht="15.75" customHeight="1" x14ac:dyDescent="0.3">
      <c r="C786" s="17"/>
      <c r="F786" s="17"/>
      <c r="G786" s="17"/>
    </row>
    <row r="787" spans="3:7" ht="15.75" customHeight="1" x14ac:dyDescent="0.3">
      <c r="C787" s="17"/>
      <c r="F787" s="17"/>
      <c r="G787" s="17"/>
    </row>
    <row r="788" spans="3:7" ht="15.75" customHeight="1" x14ac:dyDescent="0.3">
      <c r="C788" s="17"/>
      <c r="F788" s="17"/>
      <c r="G788" s="17"/>
    </row>
    <row r="789" spans="3:7" ht="15.75" customHeight="1" x14ac:dyDescent="0.3">
      <c r="C789" s="17"/>
      <c r="F789" s="17"/>
      <c r="G789" s="17"/>
    </row>
    <row r="790" spans="3:7" ht="15.75" customHeight="1" x14ac:dyDescent="0.3">
      <c r="C790" s="17"/>
      <c r="F790" s="17"/>
      <c r="G790" s="17"/>
    </row>
    <row r="791" spans="3:7" ht="15.75" customHeight="1" x14ac:dyDescent="0.3">
      <c r="C791" s="17"/>
      <c r="F791" s="17"/>
      <c r="G791" s="17"/>
    </row>
    <row r="792" spans="3:7" ht="15.75" customHeight="1" x14ac:dyDescent="0.3">
      <c r="C792" s="17"/>
      <c r="F792" s="17"/>
      <c r="G792" s="17"/>
    </row>
    <row r="793" spans="3:7" ht="15.75" customHeight="1" x14ac:dyDescent="0.3">
      <c r="C793" s="17"/>
      <c r="F793" s="17"/>
      <c r="G793" s="17"/>
    </row>
    <row r="794" spans="3:7" ht="15.75" customHeight="1" x14ac:dyDescent="0.3">
      <c r="C794" s="17"/>
      <c r="F794" s="17"/>
      <c r="G794" s="17"/>
    </row>
    <row r="795" spans="3:7" ht="15.75" customHeight="1" x14ac:dyDescent="0.3">
      <c r="C795" s="17"/>
      <c r="F795" s="17"/>
      <c r="G795" s="17"/>
    </row>
    <row r="796" spans="3:7" ht="15.75" customHeight="1" x14ac:dyDescent="0.3">
      <c r="C796" s="17"/>
      <c r="F796" s="17"/>
      <c r="G796" s="17"/>
    </row>
    <row r="797" spans="3:7" ht="15.75" customHeight="1" x14ac:dyDescent="0.3">
      <c r="C797" s="17"/>
      <c r="F797" s="17"/>
      <c r="G797" s="17"/>
    </row>
    <row r="798" spans="3:7" ht="15.75" customHeight="1" x14ac:dyDescent="0.3">
      <c r="C798" s="17"/>
      <c r="F798" s="17"/>
      <c r="G798" s="17"/>
    </row>
    <row r="799" spans="3:7" ht="15.75" customHeight="1" x14ac:dyDescent="0.3">
      <c r="C799" s="17"/>
      <c r="F799" s="17"/>
      <c r="G799" s="17"/>
    </row>
    <row r="800" spans="3:7" ht="15.75" customHeight="1" x14ac:dyDescent="0.3">
      <c r="C800" s="17"/>
      <c r="F800" s="17"/>
      <c r="G800" s="17"/>
    </row>
    <row r="801" spans="3:7" ht="15.75" customHeight="1" x14ac:dyDescent="0.3">
      <c r="C801" s="17"/>
      <c r="F801" s="17"/>
      <c r="G801" s="17"/>
    </row>
    <row r="802" spans="3:7" ht="15.75" customHeight="1" x14ac:dyDescent="0.3">
      <c r="C802" s="17"/>
      <c r="F802" s="17"/>
      <c r="G802" s="17"/>
    </row>
    <row r="803" spans="3:7" ht="15.75" customHeight="1" x14ac:dyDescent="0.3">
      <c r="C803" s="17"/>
      <c r="F803" s="17"/>
      <c r="G803" s="17"/>
    </row>
    <row r="804" spans="3:7" ht="15.75" customHeight="1" x14ac:dyDescent="0.3">
      <c r="C804" s="17"/>
      <c r="F804" s="17"/>
      <c r="G804" s="17"/>
    </row>
    <row r="805" spans="3:7" ht="15.75" customHeight="1" x14ac:dyDescent="0.3">
      <c r="C805" s="17"/>
      <c r="F805" s="17"/>
      <c r="G805" s="17"/>
    </row>
    <row r="806" spans="3:7" ht="15.75" customHeight="1" x14ac:dyDescent="0.3">
      <c r="C806" s="17"/>
      <c r="F806" s="17"/>
      <c r="G806" s="17"/>
    </row>
    <row r="807" spans="3:7" ht="15.75" customHeight="1" x14ac:dyDescent="0.3">
      <c r="C807" s="17"/>
      <c r="F807" s="17"/>
      <c r="G807" s="17"/>
    </row>
    <row r="808" spans="3:7" ht="15.75" customHeight="1" x14ac:dyDescent="0.3">
      <c r="C808" s="17"/>
      <c r="F808" s="17"/>
      <c r="G808" s="17"/>
    </row>
    <row r="809" spans="3:7" ht="15.75" customHeight="1" x14ac:dyDescent="0.3">
      <c r="C809" s="17"/>
      <c r="F809" s="17"/>
      <c r="G809" s="17"/>
    </row>
    <row r="810" spans="3:7" ht="15.75" customHeight="1" x14ac:dyDescent="0.3">
      <c r="C810" s="17"/>
      <c r="F810" s="17"/>
      <c r="G810" s="17"/>
    </row>
    <row r="811" spans="3:7" ht="15.75" customHeight="1" x14ac:dyDescent="0.3">
      <c r="C811" s="17"/>
      <c r="F811" s="17"/>
      <c r="G811" s="17"/>
    </row>
    <row r="812" spans="3:7" ht="15.75" customHeight="1" x14ac:dyDescent="0.3">
      <c r="C812" s="17"/>
      <c r="F812" s="17"/>
      <c r="G812" s="17"/>
    </row>
    <row r="813" spans="3:7" ht="15.75" customHeight="1" x14ac:dyDescent="0.3">
      <c r="C813" s="17"/>
      <c r="F813" s="17"/>
      <c r="G813" s="17"/>
    </row>
    <row r="814" spans="3:7" ht="15.75" customHeight="1" x14ac:dyDescent="0.3">
      <c r="C814" s="17"/>
      <c r="F814" s="17"/>
      <c r="G814" s="17"/>
    </row>
    <row r="815" spans="3:7" ht="15.75" customHeight="1" x14ac:dyDescent="0.3">
      <c r="C815" s="17"/>
      <c r="F815" s="17"/>
      <c r="G815" s="17"/>
    </row>
    <row r="816" spans="3:7" ht="15.75" customHeight="1" x14ac:dyDescent="0.3">
      <c r="C816" s="17"/>
      <c r="F816" s="17"/>
      <c r="G816" s="17"/>
    </row>
    <row r="817" spans="3:7" ht="15.75" customHeight="1" x14ac:dyDescent="0.3">
      <c r="C817" s="17"/>
      <c r="F817" s="17"/>
      <c r="G817" s="17"/>
    </row>
    <row r="818" spans="3:7" ht="15.75" customHeight="1" x14ac:dyDescent="0.3">
      <c r="C818" s="17"/>
      <c r="F818" s="17"/>
      <c r="G818" s="17"/>
    </row>
    <row r="819" spans="3:7" ht="15.75" customHeight="1" x14ac:dyDescent="0.3">
      <c r="C819" s="17"/>
      <c r="F819" s="17"/>
      <c r="G819" s="17"/>
    </row>
    <row r="820" spans="3:7" ht="15.75" customHeight="1" x14ac:dyDescent="0.3">
      <c r="C820" s="17"/>
      <c r="F820" s="17"/>
      <c r="G820" s="17"/>
    </row>
    <row r="821" spans="3:7" ht="15.75" customHeight="1" x14ac:dyDescent="0.3">
      <c r="C821" s="17"/>
      <c r="F821" s="17"/>
      <c r="G821" s="17"/>
    </row>
    <row r="822" spans="3:7" ht="15.75" customHeight="1" x14ac:dyDescent="0.3">
      <c r="C822" s="17"/>
      <c r="F822" s="17"/>
      <c r="G822" s="17"/>
    </row>
    <row r="823" spans="3:7" ht="15.75" customHeight="1" x14ac:dyDescent="0.3">
      <c r="C823" s="17"/>
      <c r="F823" s="17"/>
      <c r="G823" s="17"/>
    </row>
    <row r="824" spans="3:7" ht="15.75" customHeight="1" x14ac:dyDescent="0.3">
      <c r="C824" s="17"/>
      <c r="F824" s="17"/>
      <c r="G824" s="17"/>
    </row>
    <row r="825" spans="3:7" ht="15.75" customHeight="1" x14ac:dyDescent="0.3">
      <c r="C825" s="17"/>
      <c r="F825" s="17"/>
      <c r="G825" s="17"/>
    </row>
    <row r="826" spans="3:7" ht="15.75" customHeight="1" x14ac:dyDescent="0.3">
      <c r="C826" s="17"/>
      <c r="F826" s="17"/>
      <c r="G826" s="17"/>
    </row>
    <row r="827" spans="3:7" ht="15.75" customHeight="1" x14ac:dyDescent="0.3">
      <c r="C827" s="17"/>
      <c r="F827" s="17"/>
      <c r="G827" s="17"/>
    </row>
    <row r="828" spans="3:7" ht="15.75" customHeight="1" x14ac:dyDescent="0.3">
      <c r="C828" s="17"/>
      <c r="F828" s="17"/>
      <c r="G828" s="17"/>
    </row>
    <row r="829" spans="3:7" ht="15.75" customHeight="1" x14ac:dyDescent="0.3">
      <c r="C829" s="17"/>
      <c r="F829" s="17"/>
      <c r="G829" s="17"/>
    </row>
    <row r="830" spans="3:7" ht="15.75" customHeight="1" x14ac:dyDescent="0.3">
      <c r="C830" s="17"/>
      <c r="F830" s="17"/>
      <c r="G830" s="17"/>
    </row>
    <row r="831" spans="3:7" ht="15.75" customHeight="1" x14ac:dyDescent="0.3">
      <c r="C831" s="17"/>
      <c r="F831" s="17"/>
      <c r="G831" s="17"/>
    </row>
    <row r="832" spans="3:7" ht="15.75" customHeight="1" x14ac:dyDescent="0.3">
      <c r="C832" s="17"/>
      <c r="F832" s="17"/>
      <c r="G832" s="17"/>
    </row>
    <row r="833" spans="3:7" ht="15.75" customHeight="1" x14ac:dyDescent="0.3">
      <c r="C833" s="17"/>
      <c r="F833" s="17"/>
      <c r="G833" s="17"/>
    </row>
    <row r="834" spans="3:7" ht="15.75" customHeight="1" x14ac:dyDescent="0.3">
      <c r="C834" s="17"/>
      <c r="F834" s="17"/>
      <c r="G834" s="17"/>
    </row>
    <row r="835" spans="3:7" ht="15.75" customHeight="1" x14ac:dyDescent="0.3">
      <c r="C835" s="17"/>
      <c r="F835" s="17"/>
      <c r="G835" s="17"/>
    </row>
    <row r="836" spans="3:7" ht="15.75" customHeight="1" x14ac:dyDescent="0.3">
      <c r="C836" s="17"/>
      <c r="F836" s="17"/>
      <c r="G836" s="17"/>
    </row>
    <row r="837" spans="3:7" ht="15.75" customHeight="1" x14ac:dyDescent="0.3">
      <c r="C837" s="17"/>
      <c r="F837" s="17"/>
      <c r="G837" s="17"/>
    </row>
    <row r="838" spans="3:7" ht="15.75" customHeight="1" x14ac:dyDescent="0.3">
      <c r="C838" s="17"/>
      <c r="F838" s="17"/>
      <c r="G838" s="17"/>
    </row>
    <row r="839" spans="3:7" ht="15.75" customHeight="1" x14ac:dyDescent="0.3">
      <c r="C839" s="17"/>
      <c r="F839" s="17"/>
      <c r="G839" s="17"/>
    </row>
    <row r="840" spans="3:7" ht="15.75" customHeight="1" x14ac:dyDescent="0.3">
      <c r="C840" s="17"/>
      <c r="F840" s="17"/>
      <c r="G840" s="17"/>
    </row>
    <row r="841" spans="3:7" ht="15.75" customHeight="1" x14ac:dyDescent="0.3">
      <c r="C841" s="17"/>
      <c r="F841" s="17"/>
      <c r="G841" s="17"/>
    </row>
    <row r="842" spans="3:7" ht="15.75" customHeight="1" x14ac:dyDescent="0.3">
      <c r="C842" s="17"/>
      <c r="F842" s="17"/>
      <c r="G842" s="17"/>
    </row>
    <row r="843" spans="3:7" ht="15.75" customHeight="1" x14ac:dyDescent="0.3">
      <c r="C843" s="17"/>
      <c r="F843" s="17"/>
      <c r="G843" s="17"/>
    </row>
    <row r="844" spans="3:7" ht="15.75" customHeight="1" x14ac:dyDescent="0.3">
      <c r="C844" s="17"/>
      <c r="F844" s="17"/>
      <c r="G844" s="17"/>
    </row>
    <row r="845" spans="3:7" ht="15.75" customHeight="1" x14ac:dyDescent="0.3">
      <c r="C845" s="17"/>
      <c r="F845" s="17"/>
      <c r="G845" s="17"/>
    </row>
    <row r="846" spans="3:7" ht="15.75" customHeight="1" x14ac:dyDescent="0.3">
      <c r="C846" s="17"/>
      <c r="F846" s="17"/>
      <c r="G846" s="17"/>
    </row>
    <row r="847" spans="3:7" ht="15.75" customHeight="1" x14ac:dyDescent="0.3">
      <c r="C847" s="17"/>
      <c r="F847" s="17"/>
      <c r="G847" s="17"/>
    </row>
    <row r="848" spans="3:7" ht="15.75" customHeight="1" x14ac:dyDescent="0.3">
      <c r="C848" s="17"/>
      <c r="F848" s="17"/>
      <c r="G848" s="17"/>
    </row>
    <row r="849" spans="3:7" ht="15.75" customHeight="1" x14ac:dyDescent="0.3">
      <c r="C849" s="17"/>
      <c r="F849" s="17"/>
      <c r="G849" s="17"/>
    </row>
    <row r="850" spans="3:7" ht="15.75" customHeight="1" x14ac:dyDescent="0.3">
      <c r="C850" s="17"/>
      <c r="F850" s="17"/>
      <c r="G850" s="17"/>
    </row>
    <row r="851" spans="3:7" ht="15.75" customHeight="1" x14ac:dyDescent="0.3">
      <c r="C851" s="17"/>
      <c r="F851" s="17"/>
      <c r="G851" s="17"/>
    </row>
    <row r="852" spans="3:7" ht="15.75" customHeight="1" x14ac:dyDescent="0.3">
      <c r="C852" s="17"/>
      <c r="F852" s="17"/>
      <c r="G852" s="17"/>
    </row>
    <row r="853" spans="3:7" ht="15.75" customHeight="1" x14ac:dyDescent="0.3">
      <c r="C853" s="17"/>
      <c r="F853" s="17"/>
      <c r="G853" s="17"/>
    </row>
    <row r="854" spans="3:7" ht="15.75" customHeight="1" x14ac:dyDescent="0.3">
      <c r="C854" s="17"/>
      <c r="F854" s="17"/>
      <c r="G854" s="17"/>
    </row>
    <row r="855" spans="3:7" ht="15.75" customHeight="1" x14ac:dyDescent="0.3">
      <c r="C855" s="17"/>
      <c r="F855" s="17"/>
      <c r="G855" s="17"/>
    </row>
    <row r="856" spans="3:7" ht="15.75" customHeight="1" x14ac:dyDescent="0.3">
      <c r="C856" s="17"/>
      <c r="F856" s="17"/>
      <c r="G856" s="17"/>
    </row>
    <row r="857" spans="3:7" ht="15.75" customHeight="1" x14ac:dyDescent="0.3">
      <c r="C857" s="17"/>
      <c r="F857" s="17"/>
      <c r="G857" s="17"/>
    </row>
    <row r="858" spans="3:7" ht="15.75" customHeight="1" x14ac:dyDescent="0.3">
      <c r="C858" s="17"/>
      <c r="F858" s="17"/>
      <c r="G858" s="17"/>
    </row>
    <row r="859" spans="3:7" ht="15.75" customHeight="1" x14ac:dyDescent="0.3">
      <c r="C859" s="17"/>
      <c r="F859" s="17"/>
      <c r="G859" s="17"/>
    </row>
    <row r="860" spans="3:7" ht="15.75" customHeight="1" x14ac:dyDescent="0.3">
      <c r="C860" s="17"/>
      <c r="F860" s="17"/>
      <c r="G860" s="17"/>
    </row>
    <row r="861" spans="3:7" ht="15.75" customHeight="1" x14ac:dyDescent="0.3">
      <c r="C861" s="17"/>
      <c r="F861" s="17"/>
      <c r="G861" s="17"/>
    </row>
    <row r="862" spans="3:7" ht="15.75" customHeight="1" x14ac:dyDescent="0.3">
      <c r="C862" s="17"/>
      <c r="F862" s="17"/>
      <c r="G862" s="17"/>
    </row>
    <row r="863" spans="3:7" ht="15.75" customHeight="1" x14ac:dyDescent="0.3">
      <c r="C863" s="17"/>
      <c r="F863" s="17"/>
      <c r="G863" s="17"/>
    </row>
    <row r="864" spans="3:7" ht="15.75" customHeight="1" x14ac:dyDescent="0.3">
      <c r="C864" s="17"/>
      <c r="F864" s="17"/>
      <c r="G864" s="17"/>
    </row>
    <row r="865" spans="3:7" ht="15.75" customHeight="1" x14ac:dyDescent="0.3">
      <c r="C865" s="17"/>
      <c r="F865" s="17"/>
      <c r="G865" s="17"/>
    </row>
    <row r="866" spans="3:7" ht="15.75" customHeight="1" x14ac:dyDescent="0.3">
      <c r="C866" s="17"/>
      <c r="F866" s="17"/>
      <c r="G866" s="17"/>
    </row>
    <row r="867" spans="3:7" ht="15.75" customHeight="1" x14ac:dyDescent="0.3">
      <c r="C867" s="17"/>
      <c r="F867" s="17"/>
      <c r="G867" s="17"/>
    </row>
    <row r="868" spans="3:7" ht="15.75" customHeight="1" x14ac:dyDescent="0.3">
      <c r="C868" s="17"/>
      <c r="F868" s="17"/>
      <c r="G868" s="17"/>
    </row>
    <row r="869" spans="3:7" ht="15.75" customHeight="1" x14ac:dyDescent="0.3">
      <c r="C869" s="17"/>
      <c r="F869" s="17"/>
      <c r="G869" s="17"/>
    </row>
    <row r="870" spans="3:7" ht="15.75" customHeight="1" x14ac:dyDescent="0.3">
      <c r="C870" s="17"/>
      <c r="F870" s="17"/>
      <c r="G870" s="17"/>
    </row>
    <row r="871" spans="3:7" ht="15.75" customHeight="1" x14ac:dyDescent="0.3">
      <c r="C871" s="17"/>
      <c r="F871" s="17"/>
      <c r="G871" s="17"/>
    </row>
    <row r="872" spans="3:7" ht="15.75" customHeight="1" x14ac:dyDescent="0.3">
      <c r="C872" s="17"/>
      <c r="F872" s="17"/>
      <c r="G872" s="17"/>
    </row>
    <row r="873" spans="3:7" ht="15.75" customHeight="1" x14ac:dyDescent="0.3">
      <c r="C873" s="17"/>
      <c r="F873" s="17"/>
      <c r="G873" s="17"/>
    </row>
    <row r="874" spans="3:7" ht="15.75" customHeight="1" x14ac:dyDescent="0.3">
      <c r="C874" s="17"/>
      <c r="F874" s="17"/>
      <c r="G874" s="17"/>
    </row>
    <row r="875" spans="3:7" ht="15.75" customHeight="1" x14ac:dyDescent="0.3">
      <c r="C875" s="17"/>
      <c r="F875" s="17"/>
      <c r="G875" s="17"/>
    </row>
    <row r="876" spans="3:7" ht="15.75" customHeight="1" x14ac:dyDescent="0.3">
      <c r="C876" s="17"/>
      <c r="F876" s="17"/>
      <c r="G876" s="17"/>
    </row>
    <row r="877" spans="3:7" ht="15.75" customHeight="1" x14ac:dyDescent="0.3">
      <c r="C877" s="17"/>
      <c r="F877" s="17"/>
      <c r="G877" s="17"/>
    </row>
    <row r="878" spans="3:7" ht="15.75" customHeight="1" x14ac:dyDescent="0.3">
      <c r="C878" s="17"/>
      <c r="F878" s="17"/>
      <c r="G878" s="17"/>
    </row>
    <row r="879" spans="3:7" ht="15.75" customHeight="1" x14ac:dyDescent="0.3">
      <c r="C879" s="17"/>
      <c r="F879" s="17"/>
      <c r="G879" s="17"/>
    </row>
    <row r="880" spans="3:7" ht="15.75" customHeight="1" x14ac:dyDescent="0.3">
      <c r="C880" s="17"/>
      <c r="F880" s="17"/>
      <c r="G880" s="17"/>
    </row>
    <row r="881" spans="3:7" ht="15.75" customHeight="1" x14ac:dyDescent="0.3">
      <c r="C881" s="17"/>
      <c r="F881" s="17"/>
      <c r="G881" s="17"/>
    </row>
    <row r="882" spans="3:7" ht="15.75" customHeight="1" x14ac:dyDescent="0.3">
      <c r="C882" s="17"/>
      <c r="F882" s="17"/>
      <c r="G882" s="17"/>
    </row>
    <row r="883" spans="3:7" ht="15.75" customHeight="1" x14ac:dyDescent="0.3">
      <c r="C883" s="17"/>
      <c r="F883" s="17"/>
      <c r="G883" s="17"/>
    </row>
    <row r="884" spans="3:7" ht="15.75" customHeight="1" x14ac:dyDescent="0.3">
      <c r="C884" s="17"/>
      <c r="F884" s="17"/>
      <c r="G884" s="17"/>
    </row>
    <row r="885" spans="3:7" ht="15.75" customHeight="1" x14ac:dyDescent="0.3">
      <c r="C885" s="17"/>
      <c r="F885" s="17"/>
      <c r="G885" s="17"/>
    </row>
    <row r="886" spans="3:7" ht="15.75" customHeight="1" x14ac:dyDescent="0.3">
      <c r="C886" s="17"/>
      <c r="F886" s="17"/>
      <c r="G886" s="17"/>
    </row>
    <row r="887" spans="3:7" ht="15.75" customHeight="1" x14ac:dyDescent="0.3">
      <c r="C887" s="17"/>
      <c r="F887" s="17"/>
      <c r="G887" s="17"/>
    </row>
    <row r="888" spans="3:7" ht="15.75" customHeight="1" x14ac:dyDescent="0.3">
      <c r="C888" s="17"/>
      <c r="F888" s="17"/>
      <c r="G888" s="17"/>
    </row>
    <row r="889" spans="3:7" ht="15.75" customHeight="1" x14ac:dyDescent="0.3">
      <c r="C889" s="17"/>
      <c r="F889" s="17"/>
      <c r="G889" s="17"/>
    </row>
    <row r="890" spans="3:7" ht="15.75" customHeight="1" x14ac:dyDescent="0.3">
      <c r="C890" s="17"/>
      <c r="F890" s="17"/>
      <c r="G890" s="17"/>
    </row>
    <row r="891" spans="3:7" ht="15.75" customHeight="1" x14ac:dyDescent="0.3">
      <c r="C891" s="17"/>
      <c r="F891" s="17"/>
      <c r="G891" s="17"/>
    </row>
    <row r="892" spans="3:7" ht="15.75" customHeight="1" x14ac:dyDescent="0.3">
      <c r="C892" s="17"/>
      <c r="F892" s="17"/>
      <c r="G892" s="17"/>
    </row>
    <row r="893" spans="3:7" ht="15.75" customHeight="1" x14ac:dyDescent="0.3">
      <c r="C893" s="17"/>
      <c r="F893" s="17"/>
      <c r="G893" s="17"/>
    </row>
    <row r="894" spans="3:7" ht="15.75" customHeight="1" x14ac:dyDescent="0.3">
      <c r="C894" s="17"/>
      <c r="F894" s="17"/>
      <c r="G894" s="17"/>
    </row>
    <row r="895" spans="3:7" ht="15.75" customHeight="1" x14ac:dyDescent="0.3">
      <c r="C895" s="17"/>
      <c r="F895" s="17"/>
      <c r="G895" s="17"/>
    </row>
    <row r="896" spans="3:7" ht="15.75" customHeight="1" x14ac:dyDescent="0.3">
      <c r="C896" s="17"/>
      <c r="F896" s="17"/>
      <c r="G896" s="17"/>
    </row>
    <row r="897" spans="3:7" ht="15.75" customHeight="1" x14ac:dyDescent="0.3">
      <c r="C897" s="17"/>
      <c r="F897" s="17"/>
      <c r="G897" s="17"/>
    </row>
    <row r="898" spans="3:7" ht="15.75" customHeight="1" x14ac:dyDescent="0.3">
      <c r="C898" s="17"/>
      <c r="F898" s="17"/>
      <c r="G898" s="17"/>
    </row>
    <row r="899" spans="3:7" ht="15.75" customHeight="1" x14ac:dyDescent="0.3">
      <c r="C899" s="17"/>
      <c r="F899" s="17"/>
      <c r="G899" s="17"/>
    </row>
    <row r="900" spans="3:7" ht="15.75" customHeight="1" x14ac:dyDescent="0.3">
      <c r="C900" s="17"/>
      <c r="F900" s="17"/>
      <c r="G900" s="17"/>
    </row>
    <row r="901" spans="3:7" ht="15.75" customHeight="1" x14ac:dyDescent="0.3">
      <c r="C901" s="17"/>
      <c r="F901" s="17"/>
      <c r="G901" s="17"/>
    </row>
    <row r="902" spans="3:7" ht="15.75" customHeight="1" x14ac:dyDescent="0.3">
      <c r="C902" s="17"/>
      <c r="F902" s="17"/>
      <c r="G902" s="17"/>
    </row>
    <row r="903" spans="3:7" ht="15.75" customHeight="1" x14ac:dyDescent="0.3">
      <c r="C903" s="17"/>
      <c r="F903" s="17"/>
      <c r="G903" s="17"/>
    </row>
    <row r="904" spans="3:7" ht="15.75" customHeight="1" x14ac:dyDescent="0.3">
      <c r="C904" s="17"/>
      <c r="F904" s="17"/>
      <c r="G904" s="17"/>
    </row>
    <row r="905" spans="3:7" ht="15.75" customHeight="1" x14ac:dyDescent="0.3">
      <c r="C905" s="17"/>
      <c r="F905" s="17"/>
      <c r="G905" s="17"/>
    </row>
    <row r="906" spans="3:7" ht="15.75" customHeight="1" x14ac:dyDescent="0.3">
      <c r="C906" s="17"/>
      <c r="F906" s="17"/>
      <c r="G906" s="17"/>
    </row>
    <row r="907" spans="3:7" ht="15.75" customHeight="1" x14ac:dyDescent="0.3">
      <c r="C907" s="17"/>
      <c r="F907" s="17"/>
      <c r="G907" s="17"/>
    </row>
    <row r="908" spans="3:7" ht="15.75" customHeight="1" x14ac:dyDescent="0.3">
      <c r="C908" s="17"/>
      <c r="F908" s="17"/>
      <c r="G908" s="17"/>
    </row>
    <row r="909" spans="3:7" ht="15.75" customHeight="1" x14ac:dyDescent="0.3">
      <c r="C909" s="17"/>
      <c r="F909" s="17"/>
      <c r="G909" s="17"/>
    </row>
    <row r="910" spans="3:7" ht="15.75" customHeight="1" x14ac:dyDescent="0.3">
      <c r="C910" s="17"/>
      <c r="F910" s="17"/>
      <c r="G910" s="17"/>
    </row>
    <row r="911" spans="3:7" ht="15.75" customHeight="1" x14ac:dyDescent="0.3">
      <c r="C911" s="17"/>
      <c r="F911" s="17"/>
      <c r="G911" s="17"/>
    </row>
    <row r="912" spans="3:7" ht="15.75" customHeight="1" x14ac:dyDescent="0.3">
      <c r="C912" s="17"/>
      <c r="F912" s="17"/>
      <c r="G912" s="17"/>
    </row>
    <row r="913" spans="3:7" ht="15.75" customHeight="1" x14ac:dyDescent="0.3">
      <c r="C913" s="17"/>
      <c r="F913" s="17"/>
      <c r="G913" s="17"/>
    </row>
    <row r="914" spans="3:7" ht="15.75" customHeight="1" x14ac:dyDescent="0.3">
      <c r="C914" s="17"/>
      <c r="F914" s="17"/>
      <c r="G914" s="17"/>
    </row>
    <row r="915" spans="3:7" ht="15.75" customHeight="1" x14ac:dyDescent="0.3">
      <c r="C915" s="17"/>
      <c r="F915" s="17"/>
      <c r="G915" s="17"/>
    </row>
    <row r="916" spans="3:7" ht="15.75" customHeight="1" x14ac:dyDescent="0.3">
      <c r="C916" s="17"/>
      <c r="F916" s="17"/>
      <c r="G916" s="17"/>
    </row>
    <row r="917" spans="3:7" ht="15.75" customHeight="1" x14ac:dyDescent="0.3">
      <c r="C917" s="17"/>
      <c r="F917" s="17"/>
      <c r="G917" s="17"/>
    </row>
    <row r="918" spans="3:7" ht="15.75" customHeight="1" x14ac:dyDescent="0.3">
      <c r="C918" s="17"/>
      <c r="F918" s="17"/>
      <c r="G918" s="17"/>
    </row>
    <row r="919" spans="3:7" ht="15.75" customHeight="1" x14ac:dyDescent="0.3">
      <c r="C919" s="17"/>
      <c r="F919" s="17"/>
      <c r="G919" s="17"/>
    </row>
    <row r="920" spans="3:7" ht="15.75" customHeight="1" x14ac:dyDescent="0.3">
      <c r="C920" s="17"/>
      <c r="F920" s="17"/>
      <c r="G920" s="17"/>
    </row>
    <row r="921" spans="3:7" ht="15.75" customHeight="1" x14ac:dyDescent="0.3">
      <c r="C921" s="17"/>
      <c r="F921" s="17"/>
      <c r="G921" s="17"/>
    </row>
    <row r="922" spans="3:7" ht="15.75" customHeight="1" x14ac:dyDescent="0.3">
      <c r="C922" s="17"/>
      <c r="F922" s="17"/>
      <c r="G922" s="17"/>
    </row>
    <row r="923" spans="3:7" ht="15.75" customHeight="1" x14ac:dyDescent="0.3">
      <c r="C923" s="17"/>
      <c r="F923" s="17"/>
      <c r="G923" s="17"/>
    </row>
    <row r="924" spans="3:7" ht="15.75" customHeight="1" x14ac:dyDescent="0.3">
      <c r="C924" s="17"/>
      <c r="F924" s="17"/>
      <c r="G924" s="17"/>
    </row>
    <row r="925" spans="3:7" ht="15.75" customHeight="1" x14ac:dyDescent="0.3">
      <c r="C925" s="17"/>
      <c r="F925" s="17"/>
      <c r="G925" s="17"/>
    </row>
    <row r="926" spans="3:7" ht="15.75" customHeight="1" x14ac:dyDescent="0.3">
      <c r="C926" s="17"/>
      <c r="F926" s="17"/>
      <c r="G926" s="17"/>
    </row>
    <row r="927" spans="3:7" ht="15.75" customHeight="1" x14ac:dyDescent="0.3">
      <c r="C927" s="17"/>
      <c r="F927" s="17"/>
      <c r="G927" s="17"/>
    </row>
    <row r="928" spans="3:7" ht="15.75" customHeight="1" x14ac:dyDescent="0.3">
      <c r="C928" s="17"/>
      <c r="F928" s="17"/>
      <c r="G928" s="17"/>
    </row>
    <row r="929" spans="3:7" ht="15.75" customHeight="1" x14ac:dyDescent="0.3">
      <c r="C929" s="17"/>
      <c r="F929" s="17"/>
      <c r="G929" s="17"/>
    </row>
    <row r="930" spans="3:7" ht="15.75" customHeight="1" x14ac:dyDescent="0.3">
      <c r="C930" s="17"/>
      <c r="F930" s="17"/>
      <c r="G930" s="17"/>
    </row>
    <row r="931" spans="3:7" ht="15.75" customHeight="1" x14ac:dyDescent="0.3">
      <c r="C931" s="17"/>
      <c r="F931" s="17"/>
      <c r="G931" s="17"/>
    </row>
    <row r="932" spans="3:7" ht="15.75" customHeight="1" x14ac:dyDescent="0.3">
      <c r="C932" s="17"/>
      <c r="F932" s="17"/>
      <c r="G932" s="17"/>
    </row>
    <row r="933" spans="3:7" ht="15.75" customHeight="1" x14ac:dyDescent="0.3">
      <c r="C933" s="17"/>
      <c r="F933" s="17"/>
      <c r="G933" s="17"/>
    </row>
    <row r="934" spans="3:7" ht="15.75" customHeight="1" x14ac:dyDescent="0.3">
      <c r="C934" s="17"/>
      <c r="F934" s="17"/>
      <c r="G934" s="17"/>
    </row>
    <row r="935" spans="3:7" ht="15.75" customHeight="1" x14ac:dyDescent="0.3">
      <c r="C935" s="17"/>
      <c r="F935" s="17"/>
      <c r="G935" s="17"/>
    </row>
    <row r="936" spans="3:7" ht="15.75" customHeight="1" x14ac:dyDescent="0.3">
      <c r="C936" s="17"/>
      <c r="F936" s="17"/>
      <c r="G936" s="17"/>
    </row>
    <row r="937" spans="3:7" ht="15.75" customHeight="1" x14ac:dyDescent="0.3">
      <c r="C937" s="17"/>
      <c r="F937" s="17"/>
      <c r="G937" s="17"/>
    </row>
    <row r="938" spans="3:7" ht="15.75" customHeight="1" x14ac:dyDescent="0.3">
      <c r="C938" s="17"/>
      <c r="F938" s="17"/>
      <c r="G938" s="17"/>
    </row>
    <row r="939" spans="3:7" ht="15.75" customHeight="1" x14ac:dyDescent="0.3">
      <c r="C939" s="17"/>
      <c r="F939" s="17"/>
      <c r="G939" s="17"/>
    </row>
    <row r="940" spans="3:7" ht="15.75" customHeight="1" x14ac:dyDescent="0.3">
      <c r="C940" s="17"/>
      <c r="F940" s="17"/>
      <c r="G940" s="17"/>
    </row>
    <row r="941" spans="3:7" ht="15.75" customHeight="1" x14ac:dyDescent="0.3">
      <c r="C941" s="17"/>
      <c r="F941" s="17"/>
      <c r="G941" s="17"/>
    </row>
    <row r="942" spans="3:7" ht="15.75" customHeight="1" x14ac:dyDescent="0.3">
      <c r="C942" s="17"/>
      <c r="F942" s="17"/>
      <c r="G942" s="17"/>
    </row>
    <row r="943" spans="3:7" ht="15.75" customHeight="1" x14ac:dyDescent="0.3">
      <c r="C943" s="17"/>
      <c r="F943" s="17"/>
      <c r="G943" s="17"/>
    </row>
    <row r="944" spans="3:7" ht="15.75" customHeight="1" x14ac:dyDescent="0.3">
      <c r="C944" s="17"/>
      <c r="F944" s="17"/>
      <c r="G944" s="17"/>
    </row>
    <row r="945" spans="3:7" ht="15.75" customHeight="1" x14ac:dyDescent="0.3">
      <c r="C945" s="17"/>
      <c r="F945" s="17"/>
      <c r="G945" s="17"/>
    </row>
    <row r="946" spans="3:7" ht="15.75" customHeight="1" x14ac:dyDescent="0.3">
      <c r="C946" s="17"/>
      <c r="F946" s="17"/>
      <c r="G946" s="17"/>
    </row>
    <row r="947" spans="3:7" ht="15.75" customHeight="1" x14ac:dyDescent="0.3">
      <c r="C947" s="17"/>
      <c r="F947" s="17"/>
      <c r="G947" s="17"/>
    </row>
    <row r="948" spans="3:7" ht="15.75" customHeight="1" x14ac:dyDescent="0.3">
      <c r="C948" s="17"/>
      <c r="F948" s="17"/>
      <c r="G948" s="17"/>
    </row>
    <row r="949" spans="3:7" ht="15.75" customHeight="1" x14ac:dyDescent="0.3">
      <c r="C949" s="17"/>
      <c r="F949" s="17"/>
      <c r="G949" s="17"/>
    </row>
    <row r="950" spans="3:7" ht="15.75" customHeight="1" x14ac:dyDescent="0.3">
      <c r="C950" s="17"/>
      <c r="F950" s="17"/>
      <c r="G950" s="17"/>
    </row>
    <row r="951" spans="3:7" ht="15.75" customHeight="1" x14ac:dyDescent="0.3">
      <c r="C951" s="17"/>
      <c r="F951" s="17"/>
      <c r="G951" s="17"/>
    </row>
    <row r="952" spans="3:7" ht="15.75" customHeight="1" x14ac:dyDescent="0.3">
      <c r="C952" s="17"/>
      <c r="F952" s="17"/>
      <c r="G952" s="17"/>
    </row>
    <row r="953" spans="3:7" ht="15.75" customHeight="1" x14ac:dyDescent="0.3">
      <c r="C953" s="17"/>
      <c r="F953" s="17"/>
      <c r="G953" s="17"/>
    </row>
    <row r="954" spans="3:7" ht="15.75" customHeight="1" x14ac:dyDescent="0.3">
      <c r="C954" s="17"/>
      <c r="F954" s="17"/>
      <c r="G954" s="17"/>
    </row>
    <row r="955" spans="3:7" ht="15.75" customHeight="1" x14ac:dyDescent="0.3">
      <c r="C955" s="17"/>
      <c r="F955" s="17"/>
      <c r="G955" s="17"/>
    </row>
    <row r="956" spans="3:7" ht="15.75" customHeight="1" x14ac:dyDescent="0.3">
      <c r="C956" s="17"/>
      <c r="F956" s="17"/>
      <c r="G956" s="17"/>
    </row>
    <row r="957" spans="3:7" ht="15.75" customHeight="1" x14ac:dyDescent="0.3">
      <c r="C957" s="17"/>
      <c r="F957" s="17"/>
      <c r="G957" s="17"/>
    </row>
    <row r="958" spans="3:7" ht="15.75" customHeight="1" x14ac:dyDescent="0.3">
      <c r="C958" s="17"/>
      <c r="F958" s="17"/>
      <c r="G958" s="17"/>
    </row>
    <row r="959" spans="3:7" ht="15.75" customHeight="1" x14ac:dyDescent="0.3">
      <c r="C959" s="17"/>
      <c r="F959" s="17"/>
      <c r="G959" s="17"/>
    </row>
    <row r="960" spans="3:7" ht="15.75" customHeight="1" x14ac:dyDescent="0.3">
      <c r="C960" s="17"/>
      <c r="F960" s="17"/>
      <c r="G960" s="17"/>
    </row>
    <row r="961" spans="3:7" ht="15.75" customHeight="1" x14ac:dyDescent="0.3">
      <c r="C961" s="17"/>
      <c r="F961" s="17"/>
      <c r="G961" s="17"/>
    </row>
    <row r="962" spans="3:7" ht="15.75" customHeight="1" x14ac:dyDescent="0.3">
      <c r="C962" s="17"/>
      <c r="F962" s="17"/>
      <c r="G962" s="17"/>
    </row>
    <row r="963" spans="3:7" ht="15.75" customHeight="1" x14ac:dyDescent="0.3">
      <c r="C963" s="17"/>
      <c r="F963" s="17"/>
      <c r="G963" s="17"/>
    </row>
    <row r="964" spans="3:7" ht="15.75" customHeight="1" x14ac:dyDescent="0.3">
      <c r="C964" s="17"/>
      <c r="F964" s="17"/>
      <c r="G964" s="17"/>
    </row>
    <row r="965" spans="3:7" ht="15.75" customHeight="1" x14ac:dyDescent="0.3">
      <c r="C965" s="17"/>
      <c r="F965" s="17"/>
      <c r="G965" s="17"/>
    </row>
    <row r="966" spans="3:7" ht="15.75" customHeight="1" x14ac:dyDescent="0.3">
      <c r="C966" s="17"/>
      <c r="F966" s="17"/>
      <c r="G966" s="17"/>
    </row>
    <row r="967" spans="3:7" ht="15.75" customHeight="1" x14ac:dyDescent="0.3">
      <c r="C967" s="17"/>
      <c r="F967" s="17"/>
      <c r="G967" s="17"/>
    </row>
    <row r="968" spans="3:7" ht="15.75" customHeight="1" x14ac:dyDescent="0.3">
      <c r="C968" s="17"/>
      <c r="F968" s="17"/>
      <c r="G968" s="17"/>
    </row>
    <row r="969" spans="3:7" ht="15.75" customHeight="1" x14ac:dyDescent="0.3">
      <c r="C969" s="17"/>
      <c r="F969" s="17"/>
      <c r="G969" s="17"/>
    </row>
    <row r="970" spans="3:7" ht="15.75" customHeight="1" x14ac:dyDescent="0.3">
      <c r="C970" s="17"/>
      <c r="F970" s="17"/>
      <c r="G970" s="17"/>
    </row>
    <row r="971" spans="3:7" ht="15.75" customHeight="1" x14ac:dyDescent="0.3">
      <c r="C971" s="17"/>
      <c r="F971" s="17"/>
      <c r="G971" s="17"/>
    </row>
    <row r="972" spans="3:7" ht="15.75" customHeight="1" x14ac:dyDescent="0.3">
      <c r="C972" s="17"/>
      <c r="F972" s="17"/>
      <c r="G972" s="17"/>
    </row>
    <row r="973" spans="3:7" ht="15.75" customHeight="1" x14ac:dyDescent="0.3">
      <c r="C973" s="17"/>
      <c r="F973" s="17"/>
      <c r="G973" s="17"/>
    </row>
    <row r="974" spans="3:7" ht="15.75" customHeight="1" x14ac:dyDescent="0.3">
      <c r="C974" s="17"/>
      <c r="F974" s="17"/>
      <c r="G974" s="17"/>
    </row>
    <row r="975" spans="3:7" ht="15.75" customHeight="1" x14ac:dyDescent="0.3">
      <c r="C975" s="17"/>
      <c r="F975" s="17"/>
      <c r="G975" s="17"/>
    </row>
    <row r="976" spans="3:7" ht="15.75" customHeight="1" x14ac:dyDescent="0.3">
      <c r="C976" s="17"/>
      <c r="F976" s="17"/>
      <c r="G976" s="17"/>
    </row>
    <row r="977" spans="3:7" ht="15.75" customHeight="1" x14ac:dyDescent="0.3">
      <c r="C977" s="17"/>
      <c r="F977" s="17"/>
      <c r="G977" s="17"/>
    </row>
    <row r="978" spans="3:7" ht="15.75" customHeight="1" x14ac:dyDescent="0.3">
      <c r="C978" s="17"/>
      <c r="F978" s="17"/>
      <c r="G978" s="17"/>
    </row>
    <row r="979" spans="3:7" ht="15.75" customHeight="1" x14ac:dyDescent="0.3">
      <c r="C979" s="17"/>
      <c r="F979" s="17"/>
      <c r="G979" s="17"/>
    </row>
    <row r="980" spans="3:7" ht="15.75" customHeight="1" x14ac:dyDescent="0.3">
      <c r="C980" s="17"/>
      <c r="F980" s="17"/>
      <c r="G980" s="17"/>
    </row>
    <row r="981" spans="3:7" ht="15.75" customHeight="1" x14ac:dyDescent="0.3">
      <c r="C981" s="17"/>
      <c r="F981" s="17"/>
      <c r="G981" s="17"/>
    </row>
    <row r="982" spans="3:7" ht="15.75" customHeight="1" x14ac:dyDescent="0.3">
      <c r="C982" s="17"/>
      <c r="F982" s="17"/>
      <c r="G982" s="17"/>
    </row>
    <row r="983" spans="3:7" ht="15.75" customHeight="1" x14ac:dyDescent="0.3">
      <c r="C983" s="17"/>
      <c r="F983" s="17"/>
      <c r="G983" s="17"/>
    </row>
    <row r="984" spans="3:7" ht="15.75" customHeight="1" x14ac:dyDescent="0.3">
      <c r="C984" s="17"/>
      <c r="F984" s="17"/>
      <c r="G984" s="17"/>
    </row>
    <row r="985" spans="3:7" ht="15.75" customHeight="1" x14ac:dyDescent="0.3">
      <c r="C985" s="17"/>
      <c r="F985" s="17"/>
      <c r="G985" s="17"/>
    </row>
    <row r="986" spans="3:7" ht="15.75" customHeight="1" x14ac:dyDescent="0.3">
      <c r="C986" s="17"/>
      <c r="F986" s="17"/>
      <c r="G986" s="17"/>
    </row>
    <row r="987" spans="3:7" ht="15.75" customHeight="1" x14ac:dyDescent="0.3">
      <c r="C987" s="17"/>
      <c r="F987" s="17"/>
      <c r="G987" s="17"/>
    </row>
    <row r="988" spans="3:7" ht="15.75" customHeight="1" x14ac:dyDescent="0.3">
      <c r="C988" s="17"/>
      <c r="F988" s="17"/>
      <c r="G988" s="17"/>
    </row>
    <row r="989" spans="3:7" ht="15.75" customHeight="1" x14ac:dyDescent="0.3">
      <c r="C989" s="17"/>
      <c r="F989" s="17"/>
      <c r="G989" s="17"/>
    </row>
    <row r="990" spans="3:7" ht="15.75" customHeight="1" x14ac:dyDescent="0.3">
      <c r="C990" s="17"/>
      <c r="F990" s="17"/>
      <c r="G990" s="17"/>
    </row>
    <row r="991" spans="3:7" ht="15.75" customHeight="1" x14ac:dyDescent="0.3">
      <c r="C991" s="17"/>
      <c r="F991" s="17"/>
      <c r="G991" s="17"/>
    </row>
    <row r="992" spans="3:7" ht="15.75" customHeight="1" x14ac:dyDescent="0.3">
      <c r="C992" s="17"/>
      <c r="F992" s="17"/>
      <c r="G992" s="17"/>
    </row>
    <row r="993" spans="3:7" ht="15.75" customHeight="1" x14ac:dyDescent="0.3">
      <c r="C993" s="17"/>
      <c r="F993" s="17"/>
      <c r="G993" s="17"/>
    </row>
    <row r="994" spans="3:7" ht="15.75" customHeight="1" x14ac:dyDescent="0.3">
      <c r="C994" s="17"/>
      <c r="F994" s="17"/>
      <c r="G994" s="17"/>
    </row>
    <row r="995" spans="3:7" ht="15.75" customHeight="1" x14ac:dyDescent="0.3">
      <c r="C995" s="17"/>
      <c r="F995" s="17"/>
      <c r="G995" s="17"/>
    </row>
    <row r="996" spans="3:7" ht="15.75" customHeight="1" x14ac:dyDescent="0.3">
      <c r="C996" s="17"/>
      <c r="F996" s="17"/>
      <c r="G996" s="17"/>
    </row>
    <row r="997" spans="3:7" ht="15.75" customHeight="1" x14ac:dyDescent="0.3">
      <c r="C997" s="17"/>
      <c r="F997" s="17"/>
      <c r="G997" s="17"/>
    </row>
    <row r="998" spans="3:7" ht="15.75" customHeight="1" x14ac:dyDescent="0.3">
      <c r="C998" s="17"/>
      <c r="F998" s="17"/>
      <c r="G998" s="17"/>
    </row>
    <row r="999" spans="3:7" ht="15.75" customHeight="1" x14ac:dyDescent="0.3">
      <c r="C999" s="17"/>
      <c r="F999" s="17"/>
      <c r="G999" s="17"/>
    </row>
    <row r="1000" spans="3:7" ht="15.75" customHeight="1" x14ac:dyDescent="0.3">
      <c r="C1000" s="17"/>
      <c r="F1000" s="17"/>
      <c r="G1000" s="17"/>
    </row>
  </sheetData>
  <mergeCells count="2">
    <mergeCell ref="F1:G1"/>
    <mergeCell ref="N4:Q4"/>
  </mergeCells>
  <pageMargins left="0" right="0" top="0" bottom="0" header="0.511811023622047" footer="0.511811023622047"/>
  <pageSetup orientation="landscape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CFDACB9C317E44B65EE510FC845ADF" ma:contentTypeVersion="13" ma:contentTypeDescription="Skapa ett nytt dokument." ma:contentTypeScope="" ma:versionID="1c9e161efc84c4d21ee7504099ada50c">
  <xsd:schema xmlns:xsd="http://www.w3.org/2001/XMLSchema" xmlns:xs="http://www.w3.org/2001/XMLSchema" xmlns:p="http://schemas.microsoft.com/office/2006/metadata/properties" xmlns:ns2="ad7783eb-294a-4872-a790-54a408345846" xmlns:ns3="79cfe074-6702-4f56-92d6-0bfcd31daee5" targetNamespace="http://schemas.microsoft.com/office/2006/metadata/properties" ma:root="true" ma:fieldsID="3e090ab344d7c3dd95f938bb7d7ad82f" ns2:_="" ns3:_="">
    <xsd:import namespace="ad7783eb-294a-4872-a790-54a408345846"/>
    <xsd:import namespace="79cfe074-6702-4f56-92d6-0bfcd31da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783eb-294a-4872-a790-54a408345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1c7cd0a3-83bd-4856-8d22-fbbffddc11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fe074-6702-4f56-92d6-0bfcd31daee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a3a947-3e01-40ba-a188-cdf810524933}" ma:internalName="TaxCatchAll" ma:showField="CatchAllData" ma:web="79cfe074-6702-4f56-92d6-0bfcd31dae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cfe074-6702-4f56-92d6-0bfcd31daee5" xsi:nil="true"/>
    <lcf76f155ced4ddcb4097134ff3c332f xmlns="ad7783eb-294a-4872-a790-54a4083458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78CA5A-338C-42BD-83C0-8BCF9AC6A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7783eb-294a-4872-a790-54a408345846"/>
    <ds:schemaRef ds:uri="79cfe074-6702-4f56-92d6-0bfcd31dae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22CB13-D078-4EAD-8F4C-AE25963BF3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B27270-3E8B-48B3-B386-A7B12D78FCE7}">
  <ds:schemaRefs>
    <ds:schemaRef ds:uri="http://schemas.microsoft.com/office/2006/metadata/properties"/>
    <ds:schemaRef ds:uri="http://schemas.microsoft.com/office/infopath/2007/PartnerControls"/>
    <ds:schemaRef ds:uri="79cfe074-6702-4f56-92d6-0bfcd31daee5"/>
    <ds:schemaRef ds:uri="ad7783eb-294a-4872-a790-54a4083458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17</vt:i4>
      </vt:variant>
    </vt:vector>
  </HeadingPairs>
  <TitlesOfParts>
    <vt:vector size="17" baseType="lpstr">
      <vt:lpstr>Take-off</vt:lpstr>
      <vt:lpstr>Landing</vt:lpstr>
      <vt:lpstr>Airport data</vt:lpstr>
      <vt:lpstr>Dropdown lists</vt:lpstr>
      <vt:lpstr>LDG Performance</vt:lpstr>
      <vt:lpstr>TAKE OFF Performance FLAPS UP</vt:lpstr>
      <vt:lpstr>TAKE OFF Performance FLAPS TAKE</vt:lpstr>
      <vt:lpstr>TAKE OFF Performance FLAPS APPR</vt:lpstr>
      <vt:lpstr>Landing distance data</vt:lpstr>
      <vt:lpstr>Takeoff distance  contamined 2</vt:lpstr>
      <vt:lpstr>Takeoff distance  contaminated</vt:lpstr>
      <vt:lpstr>Accelerate and GO (2)</vt:lpstr>
      <vt:lpstr>OEI CLIMB GRADIENT</vt:lpstr>
      <vt:lpstr>NET GRADIENT OF CLIMB</vt:lpstr>
      <vt:lpstr>Takeoff distance (2)</vt:lpstr>
      <vt:lpstr>Accelerate and stop2</vt:lpstr>
      <vt:lpstr>Checklista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Erik Jonasson</cp:lastModifiedBy>
  <cp:revision>3</cp:revision>
  <dcterms:modified xsi:type="dcterms:W3CDTF">2026-10-13T10:52:22Z</dcterms:modified>
  <dc:language>sv-SE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0x0101002ECFDACB9C317E44B65EE510FC845ADF</vt:lpwstr>
  </property>
  <property fmtid="{D5CDD505-2E9C-101B-9397-08002B2CF9AE}" pid="3" name="MediaServiceImageTags">
    <vt:lpwstr/>
  </property>
</Properties>
</file>