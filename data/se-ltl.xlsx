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48" documentId="11_136A2C62A7C78C276A7BCA893372D064D64834DC" xr6:coauthVersionLast="47" xr6:coauthVersionMax="47" xr10:uidLastSave="{C892DFDB-6B14-417B-94CA-4E45AC5C99BA}"/>
  <bookViews>
    <workbookView xWindow="0" yWindow="0" windowWidth="0" windowHeight="0" xr2:uid="{00000000-000D-0000-FFFF-FFFF00000000}"/>
  </bookViews>
  <sheets>
    <sheet name="Take-off" sheetId="1" r:id="rId1"/>
    <sheet name="Landing" sheetId="2" r:id="rId2"/>
    <sheet name="Airport data" sheetId="3" r:id="rId3"/>
    <sheet name="Dropdown list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4" i="1" l="1"/>
  <c r="I201" i="1"/>
  <c r="E636" i="1"/>
  <c r="R636" i="1"/>
  <c r="AE636" i="1"/>
  <c r="E637" i="1"/>
  <c r="R637" i="1"/>
  <c r="AE637" i="1"/>
  <c r="E662" i="1"/>
  <c r="R662" i="1"/>
  <c r="AE662" i="1"/>
  <c r="E663" i="1"/>
  <c r="R663" i="1"/>
  <c r="AE663" i="1"/>
  <c r="C664" i="1"/>
  <c r="P664" i="1"/>
  <c r="AC664" i="1"/>
  <c r="C665" i="1" a="1"/>
  <c r="C665" i="1"/>
  <c r="P665" i="1" a="1"/>
  <c r="P665" i="1"/>
  <c r="AC665" i="1" a="1"/>
  <c r="AC665" i="1"/>
  <c r="C666" i="1" a="1"/>
  <c r="C666" i="1"/>
  <c r="P666" i="1" a="1"/>
  <c r="P666" i="1"/>
  <c r="AC666" i="1" a="1"/>
  <c r="AC666" i="1"/>
  <c r="E682" i="1"/>
  <c r="R682" i="1"/>
  <c r="AE682" i="1"/>
  <c r="E683" i="1"/>
  <c r="R683" i="1"/>
  <c r="AE683" i="1"/>
  <c r="E701" i="1"/>
  <c r="R701" i="1"/>
  <c r="AE701" i="1"/>
  <c r="E702" i="1"/>
  <c r="R702" i="1"/>
  <c r="AE702" i="1"/>
  <c r="C704" i="1" a="1"/>
  <c r="C704" i="1"/>
  <c r="P704" i="1" a="1"/>
  <c r="P704" i="1"/>
  <c r="AC704" i="1" a="1"/>
  <c r="AC704" i="1"/>
  <c r="C705" i="1" a="1"/>
  <c r="C705" i="1"/>
  <c r="P705" i="1" a="1"/>
  <c r="P705" i="1"/>
  <c r="AC705" i="1" a="1"/>
  <c r="AC705" i="1"/>
  <c r="E576" i="1"/>
  <c r="R576" i="1"/>
  <c r="AE576" i="1"/>
  <c r="E577" i="1"/>
  <c r="R577" i="1"/>
  <c r="AE577" i="1"/>
  <c r="E602" i="1"/>
  <c r="R602" i="1"/>
  <c r="AE602" i="1"/>
  <c r="E603" i="1"/>
  <c r="R603" i="1"/>
  <c r="AE603" i="1"/>
  <c r="C604" i="1"/>
  <c r="P604" i="1"/>
  <c r="AC604" i="1"/>
  <c r="C605" i="1" a="1"/>
  <c r="C605" i="1"/>
  <c r="P605" i="1" a="1"/>
  <c r="P605" i="1"/>
  <c r="AC605" i="1" a="1"/>
  <c r="AC605" i="1"/>
  <c r="C606" i="1" a="1"/>
  <c r="C606" i="1"/>
  <c r="P606" i="1" a="1"/>
  <c r="P606" i="1"/>
  <c r="AC606" i="1" a="1"/>
  <c r="AC606" i="1"/>
  <c r="D505" i="1"/>
  <c r="D506" i="1"/>
  <c r="C520" i="1"/>
  <c r="C521" i="1" a="1"/>
  <c r="C521" i="1"/>
  <c r="E521" i="1"/>
  <c r="E522" i="1"/>
  <c r="C522" i="1" s="1" a="1"/>
  <c r="C522" i="1" s="1"/>
  <c r="C523" i="1"/>
  <c r="C524" i="1" a="1"/>
  <c r="C524" i="1"/>
  <c r="C525" i="1" a="1"/>
  <c r="C525" i="1"/>
  <c r="C526" i="1" a="1"/>
  <c r="C526" i="1"/>
  <c r="C527" i="1" a="1"/>
  <c r="C527" i="1"/>
  <c r="C528" i="1" a="1"/>
  <c r="C528" i="1"/>
  <c r="C529" i="1" a="1"/>
  <c r="C529" i="1"/>
  <c r="C530" i="1"/>
  <c r="C531" i="1"/>
  <c r="C532" i="1"/>
  <c r="S539" i="1"/>
  <c r="S540" i="1"/>
  <c r="Q542" i="1" a="1"/>
  <c r="Q542" i="1"/>
  <c r="Q543" i="1" a="1"/>
  <c r="Q543" i="1"/>
  <c r="C545" i="1"/>
  <c r="C546" i="1" a="1"/>
  <c r="C546" i="1"/>
  <c r="E546" i="1"/>
  <c r="E547" i="1"/>
  <c r="C547" i="1" s="1" a="1"/>
  <c r="C547" i="1" s="1"/>
  <c r="C548" i="1"/>
  <c r="C549" i="1" a="1"/>
  <c r="C549" i="1"/>
  <c r="C550" i="1" a="1"/>
  <c r="C550" i="1"/>
  <c r="C551" i="1" a="1"/>
  <c r="C551" i="1"/>
  <c r="C552" i="1" a="1"/>
  <c r="C552" i="1"/>
  <c r="C553" i="1" a="1"/>
  <c r="C553" i="1"/>
  <c r="C554" i="1" a="1"/>
  <c r="C554" i="1"/>
  <c r="C555" i="1"/>
  <c r="C556" i="1"/>
  <c r="C557" i="1"/>
  <c r="C558" i="1"/>
  <c r="Q538" i="1" s="1"/>
  <c r="E446" i="1"/>
  <c r="R446" i="1"/>
  <c r="AE446" i="1"/>
  <c r="E447" i="1"/>
  <c r="R447" i="1"/>
  <c r="AE447" i="1"/>
  <c r="E472" i="1"/>
  <c r="R472" i="1"/>
  <c r="AE472" i="1"/>
  <c r="E473" i="1"/>
  <c r="R473" i="1"/>
  <c r="AE473" i="1"/>
  <c r="C474" i="1"/>
  <c r="P474" i="1"/>
  <c r="AC474" i="1"/>
  <c r="C475" i="1" a="1"/>
  <c r="C475" i="1"/>
  <c r="P475" i="1" a="1"/>
  <c r="P475" i="1"/>
  <c r="AC475" i="1" a="1"/>
  <c r="AC475" i="1"/>
  <c r="C476" i="1" a="1"/>
  <c r="C476" i="1"/>
  <c r="P476" i="1" a="1"/>
  <c r="P476" i="1"/>
  <c r="AC476" i="1" a="1"/>
  <c r="AC476" i="1"/>
  <c r="E492" i="1"/>
  <c r="R492" i="1"/>
  <c r="AE492" i="1"/>
  <c r="E493" i="1"/>
  <c r="R493" i="1"/>
  <c r="AE493" i="1"/>
  <c r="E371" i="1"/>
  <c r="R371" i="1"/>
  <c r="AE371" i="1"/>
  <c r="E372" i="1"/>
  <c r="R372" i="1"/>
  <c r="AE372" i="1"/>
  <c r="E397" i="1"/>
  <c r="R397" i="1"/>
  <c r="AE397" i="1"/>
  <c r="E398" i="1"/>
  <c r="R398" i="1"/>
  <c r="AE398" i="1"/>
  <c r="C399" i="1"/>
  <c r="P399" i="1"/>
  <c r="AC399" i="1"/>
  <c r="C400" i="1" a="1"/>
  <c r="C400" i="1"/>
  <c r="P400" i="1" a="1"/>
  <c r="P400" i="1"/>
  <c r="AC400" i="1" a="1"/>
  <c r="AC400" i="1"/>
  <c r="C401" i="1" a="1"/>
  <c r="C401" i="1"/>
  <c r="P401" i="1" a="1"/>
  <c r="P401" i="1"/>
  <c r="AC401" i="1" a="1"/>
  <c r="AC401" i="1"/>
  <c r="E417" i="1"/>
  <c r="R417" i="1"/>
  <c r="AF417" i="1"/>
  <c r="E418" i="1"/>
  <c r="R418" i="1"/>
  <c r="AF418" i="1"/>
  <c r="D250" i="1"/>
  <c r="D251" i="1"/>
  <c r="C270" i="1"/>
  <c r="C271" i="1" a="1"/>
  <c r="C271" i="1"/>
  <c r="E271" i="1"/>
  <c r="M271" i="1"/>
  <c r="E272" i="1"/>
  <c r="C272" i="1" s="1" a="1"/>
  <c r="C272" i="1" s="1"/>
  <c r="M272" i="1"/>
  <c r="C273" i="1"/>
  <c r="C274" i="1" a="1"/>
  <c r="C274" i="1"/>
  <c r="C275" i="1" a="1"/>
  <c r="C275" i="1"/>
  <c r="C276" i="1" a="1"/>
  <c r="C276" i="1"/>
  <c r="C277" i="1" a="1"/>
  <c r="C277" i="1"/>
  <c r="C278" i="1" a="1"/>
  <c r="C278" i="1"/>
  <c r="C279" i="1" a="1"/>
  <c r="C279" i="1"/>
  <c r="C280" i="1"/>
  <c r="C281" i="1"/>
  <c r="C282" i="1"/>
  <c r="C295" i="1"/>
  <c r="C296" i="1" a="1"/>
  <c r="C296" i="1"/>
  <c r="E296" i="1"/>
  <c r="M296" i="1"/>
  <c r="E297" i="1"/>
  <c r="C297" i="1" s="1" a="1"/>
  <c r="C297" i="1" s="1"/>
  <c r="M297" i="1"/>
  <c r="C298" i="1"/>
  <c r="K298" i="1"/>
  <c r="C299" i="1" a="1"/>
  <c r="C299" i="1"/>
  <c r="K299" i="1" a="1"/>
  <c r="K299" i="1"/>
  <c r="C300" i="1" a="1"/>
  <c r="C300" i="1"/>
  <c r="K300" i="1" a="1"/>
  <c r="K300" i="1"/>
  <c r="C301" i="1" a="1"/>
  <c r="C301" i="1"/>
  <c r="C302" i="1" a="1"/>
  <c r="C302" i="1"/>
  <c r="C303" i="1" a="1"/>
  <c r="C303" i="1"/>
  <c r="C304" i="1" a="1"/>
  <c r="C304" i="1"/>
  <c r="C305" i="1"/>
  <c r="C306" i="1"/>
  <c r="C307" i="1"/>
  <c r="C316" i="1"/>
  <c r="C317" i="1" a="1"/>
  <c r="C317" i="1"/>
  <c r="E317" i="1"/>
  <c r="M317" i="1"/>
  <c r="E318" i="1"/>
  <c r="C318" i="1" s="1" a="1"/>
  <c r="C318" i="1" s="1"/>
  <c r="M318" i="1"/>
  <c r="E336" i="1"/>
  <c r="M336" i="1"/>
  <c r="E337" i="1"/>
  <c r="M337" i="1"/>
  <c r="C339" i="1" a="1"/>
  <c r="C339" i="1"/>
  <c r="K339" i="1" a="1"/>
  <c r="K339" i="1"/>
  <c r="C340" i="1" a="1"/>
  <c r="C340" i="1"/>
  <c r="K340" i="1" a="1"/>
  <c r="K340" i="1"/>
  <c r="C350" i="1"/>
  <c r="E222" i="1"/>
  <c r="I222" i="1"/>
  <c r="E223" i="1"/>
  <c r="I223" i="1"/>
  <c r="E225" i="1"/>
  <c r="I225" i="1"/>
  <c r="E226" i="1"/>
  <c r="I226" i="1"/>
  <c r="E227" i="1" a="1"/>
  <c r="E227" i="1"/>
  <c r="I227" i="1" a="1"/>
  <c r="I227" i="1"/>
  <c r="E228" i="1" a="1"/>
  <c r="E228" i="1"/>
  <c r="I228" i="1" a="1"/>
  <c r="I228" i="1"/>
  <c r="E229" i="1" a="1"/>
  <c r="E229" i="1"/>
  <c r="I229" i="1" a="1"/>
  <c r="I229" i="1"/>
  <c r="E230" i="1" a="1"/>
  <c r="E230" i="1"/>
  <c r="I230" i="1" a="1"/>
  <c r="I230" i="1"/>
  <c r="E231" i="1"/>
  <c r="I231" i="1"/>
  <c r="C237" i="1"/>
  <c r="I237" i="1"/>
  <c r="J237" i="1"/>
  <c r="M237" i="1"/>
  <c r="N237" i="1"/>
  <c r="C238" i="1"/>
  <c r="I238" i="1"/>
  <c r="J238" i="1"/>
  <c r="M238" i="1"/>
  <c r="N238" i="1"/>
  <c r="C239" i="1"/>
  <c r="I239" i="1"/>
  <c r="J239" i="1"/>
  <c r="M239" i="1"/>
  <c r="N239" i="1"/>
  <c r="C240" i="1"/>
  <c r="I240" i="1"/>
  <c r="J240" i="1"/>
  <c r="M240" i="1"/>
  <c r="N240" i="1"/>
  <c r="P240" i="1"/>
  <c r="E182" i="1"/>
  <c r="I182" i="1"/>
  <c r="E183" i="1"/>
  <c r="I183" i="1"/>
  <c r="E185" i="1"/>
  <c r="I185" i="1"/>
  <c r="E186" i="1"/>
  <c r="I186" i="1"/>
  <c r="E187" i="1" a="1"/>
  <c r="E187" i="1"/>
  <c r="I187" i="1" a="1"/>
  <c r="I187" i="1"/>
  <c r="E188" i="1" a="1"/>
  <c r="E188" i="1"/>
  <c r="I188" i="1" a="1"/>
  <c r="I188" i="1"/>
  <c r="E189" i="1" a="1"/>
  <c r="E189" i="1"/>
  <c r="I189" i="1" a="1"/>
  <c r="I189" i="1"/>
  <c r="E190" i="1" a="1"/>
  <c r="E190" i="1"/>
  <c r="I190" i="1" a="1"/>
  <c r="I190" i="1"/>
  <c r="E191" i="1"/>
  <c r="I191" i="1"/>
  <c r="I197" i="1"/>
  <c r="J197" i="1"/>
  <c r="M197" i="1"/>
  <c r="N197" i="1"/>
  <c r="I198" i="1"/>
  <c r="J198" i="1"/>
  <c r="M198" i="1"/>
  <c r="N198" i="1"/>
  <c r="I199" i="1"/>
  <c r="J199" i="1"/>
  <c r="I200" i="1"/>
  <c r="J200" i="1"/>
  <c r="M200" i="1"/>
  <c r="N200" i="1"/>
  <c r="J201" i="1"/>
  <c r="M201" i="1"/>
  <c r="N201" i="1"/>
  <c r="C91" i="1"/>
  <c r="C92" i="1"/>
  <c r="E94" i="1"/>
  <c r="I94" i="1"/>
  <c r="K94" i="1"/>
  <c r="M94" i="1"/>
  <c r="E95" i="1"/>
  <c r="I95" i="1"/>
  <c r="K95" i="1"/>
  <c r="M95" i="1"/>
  <c r="E96" i="1" a="1"/>
  <c r="E96" i="1"/>
  <c r="I96" i="1" a="1"/>
  <c r="I96" i="1"/>
  <c r="K96" i="1" a="1"/>
  <c r="K96" i="1"/>
  <c r="M96" i="1" a="1"/>
  <c r="M96" i="1"/>
  <c r="E97" i="1" a="1"/>
  <c r="E97" i="1"/>
  <c r="I97" i="1" a="1"/>
  <c r="I97" i="1"/>
  <c r="K97" i="1" a="1"/>
  <c r="K97" i="1"/>
  <c r="M97" i="1" a="1"/>
  <c r="M97" i="1"/>
  <c r="E98" i="1" a="1"/>
  <c r="E98" i="1"/>
  <c r="I98" i="1" a="1"/>
  <c r="I98" i="1"/>
  <c r="K98" i="1" a="1"/>
  <c r="K98" i="1"/>
  <c r="M98" i="1" a="1"/>
  <c r="M98" i="1"/>
  <c r="E99" i="1" a="1"/>
  <c r="E99" i="1"/>
  <c r="I99" i="1" a="1"/>
  <c r="I99" i="1"/>
  <c r="K99" i="1" a="1"/>
  <c r="K99" i="1"/>
  <c r="M99" i="1" a="1"/>
  <c r="M99" i="1"/>
  <c r="E100" i="1"/>
  <c r="I100" i="1"/>
  <c r="K100" i="1"/>
  <c r="M100" i="1"/>
  <c r="B111" i="1"/>
  <c r="C111" i="1"/>
  <c r="D111" i="1"/>
  <c r="C116" i="1"/>
  <c r="C134" i="1"/>
  <c r="C158" i="1"/>
  <c r="C159" i="1"/>
  <c r="B161" i="1"/>
  <c r="D161" i="1"/>
  <c r="C8" i="2" a="1"/>
  <c r="C8" i="2"/>
  <c r="C9" i="2" a="1"/>
  <c r="C9" i="2"/>
  <c r="C7" i="2" a="1"/>
  <c r="C7" i="2"/>
  <c r="C6" i="2" a="1"/>
  <c r="C6" i="2"/>
  <c r="C8" i="1" a="1"/>
  <c r="C8" i="1"/>
  <c r="D621" i="1" s="1"/>
  <c r="C9" i="1" a="1"/>
  <c r="C9" i="1"/>
  <c r="C7" i="1" a="1"/>
  <c r="C7" i="1"/>
  <c r="C6" i="1" a="1"/>
  <c r="C6" i="1"/>
  <c r="I29" i="4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29" i="2"/>
  <c r="G22" i="2" a="1"/>
  <c r="G22" i="2"/>
  <c r="C20" i="2"/>
  <c r="C18" i="2" a="1"/>
  <c r="C18" i="2"/>
  <c r="C17" i="2" a="1"/>
  <c r="C17" i="2"/>
  <c r="C16" i="2" a="1"/>
  <c r="C16" i="2"/>
  <c r="C15" i="2" a="1"/>
  <c r="C15" i="2"/>
  <c r="C14" i="2"/>
  <c r="C70" i="1" a="1"/>
  <c r="C70" i="1"/>
  <c r="C69" i="1" a="1"/>
  <c r="C69" i="1"/>
  <c r="B60" i="1"/>
  <c r="B59" i="1"/>
  <c r="B58" i="1"/>
  <c r="B57" i="1"/>
  <c r="B56" i="1"/>
  <c r="B55" i="1"/>
  <c r="F25" i="1" a="1"/>
  <c r="F25" i="1"/>
  <c r="C22" i="1" a="1"/>
  <c r="C22" i="1"/>
  <c r="C21" i="1" a="1"/>
  <c r="C21" i="1"/>
  <c r="C57" i="1" s="1"/>
  <c r="C20" i="1" a="1"/>
  <c r="C20" i="1"/>
  <c r="C56" i="1" s="1"/>
  <c r="G19" i="1" a="1"/>
  <c r="G19" i="1"/>
  <c r="C19" i="1" a="1"/>
  <c r="C19" i="1"/>
  <c r="C55" i="1" s="1"/>
  <c r="C18" i="1" a="1"/>
  <c r="C18" i="1"/>
  <c r="C17" i="1" a="1"/>
  <c r="C17" i="1"/>
  <c r="K350" i="1" s="1"/>
  <c r="C16" i="1" a="1"/>
  <c r="C16" i="1"/>
  <c r="F12" i="1"/>
  <c r="D620" i="1" l="1"/>
  <c r="C638" i="1"/>
  <c r="P638" i="1"/>
  <c r="AC638" i="1"/>
  <c r="D560" i="1"/>
  <c r="D431" i="1"/>
  <c r="D561" i="1"/>
  <c r="Q539" i="1" a="1"/>
  <c r="Q539" i="1" s="1"/>
  <c r="Q540" i="1" a="1"/>
  <c r="Q540" i="1" s="1"/>
  <c r="P544" i="1" a="1"/>
  <c r="P544" i="1" s="1"/>
  <c r="P545" i="1" a="1"/>
  <c r="P545" i="1" s="1"/>
  <c r="P546" i="1" a="1"/>
  <c r="P546" i="1" s="1"/>
  <c r="P547" i="1" a="1"/>
  <c r="P547" i="1" s="1"/>
  <c r="D430" i="1"/>
  <c r="C448" i="1"/>
  <c r="P448" i="1"/>
  <c r="AC448" i="1"/>
  <c r="D355" i="1"/>
  <c r="G251" i="1"/>
  <c r="K273" i="1" s="1"/>
  <c r="D356" i="1"/>
  <c r="G250" i="1"/>
  <c r="K270" i="1" s="1"/>
  <c r="K274" i="1" a="1"/>
  <c r="K274" i="1" s="1"/>
  <c r="K275" i="1" a="1"/>
  <c r="K275" i="1" s="1"/>
  <c r="K276" i="1" a="1"/>
  <c r="K276" i="1" s="1"/>
  <c r="K277" i="1" a="1"/>
  <c r="K277" i="1" s="1"/>
  <c r="K278" i="1" a="1"/>
  <c r="K278" i="1" s="1"/>
  <c r="K279" i="1" a="1"/>
  <c r="K279" i="1" s="1"/>
  <c r="F237" i="1"/>
  <c r="F238" i="1"/>
  <c r="F239" i="1"/>
  <c r="F240" i="1"/>
  <c r="B203" i="1"/>
  <c r="B243" i="1"/>
  <c r="F197" i="1"/>
  <c r="F198" i="1"/>
  <c r="F199" i="1"/>
  <c r="F200" i="1"/>
  <c r="F201" i="1"/>
  <c r="C203" i="1"/>
  <c r="C208" i="1"/>
  <c r="D203" i="1"/>
  <c r="D36" i="2"/>
  <c r="C36" i="2"/>
  <c r="AC639" i="1" l="1" a="1"/>
  <c r="AC639" i="1" s="1"/>
  <c r="AC640" i="1" a="1"/>
  <c r="AC640" i="1" s="1"/>
  <c r="P639" i="1" a="1"/>
  <c r="P639" i="1" s="1"/>
  <c r="P640" i="1" a="1"/>
  <c r="P640" i="1" s="1"/>
  <c r="C639" i="1" a="1"/>
  <c r="C639" i="1" s="1"/>
  <c r="C640" i="1" a="1"/>
  <c r="C640" i="1" s="1"/>
  <c r="C635" i="1"/>
  <c r="P635" i="1"/>
  <c r="AC635" i="1"/>
  <c r="C578" i="1"/>
  <c r="P578" i="1"/>
  <c r="AC578" i="1"/>
  <c r="C575" i="1"/>
  <c r="P575" i="1"/>
  <c r="AC575" i="1"/>
  <c r="P549" i="1"/>
  <c r="P548" i="1"/>
  <c r="P550" i="1" s="1"/>
  <c r="AC449" i="1" a="1"/>
  <c r="AC449" i="1" s="1"/>
  <c r="AC450" i="1" a="1"/>
  <c r="AC450" i="1" s="1"/>
  <c r="P449" i="1" a="1"/>
  <c r="P449" i="1" s="1"/>
  <c r="P450" i="1" a="1"/>
  <c r="P450" i="1" s="1"/>
  <c r="C449" i="1" a="1"/>
  <c r="C449" i="1" s="1"/>
  <c r="C450" i="1" a="1"/>
  <c r="C450" i="1" s="1"/>
  <c r="C445" i="1"/>
  <c r="P445" i="1"/>
  <c r="AC445" i="1"/>
  <c r="C373" i="1"/>
  <c r="P373" i="1"/>
  <c r="AC373" i="1"/>
  <c r="C370" i="1"/>
  <c r="P370" i="1"/>
  <c r="AC370" i="1"/>
  <c r="K271" i="1" a="1"/>
  <c r="K271" i="1" s="1"/>
  <c r="K272" i="1" a="1"/>
  <c r="K272" i="1" s="1"/>
  <c r="C243" i="1"/>
  <c r="D243" i="1" s="1"/>
  <c r="C248" i="1"/>
  <c r="C26" i="2"/>
  <c r="C45" i="1"/>
  <c r="G45" i="1"/>
  <c r="G26" i="2"/>
  <c r="C22" i="2"/>
  <c r="C21" i="2"/>
  <c r="C319" i="1" s="1"/>
  <c r="C25" i="1"/>
  <c r="C24" i="1"/>
  <c r="C684" i="1" l="1"/>
  <c r="P684" i="1"/>
  <c r="AC684" i="1"/>
  <c r="AC636" i="1" a="1"/>
  <c r="AC636" i="1" s="1"/>
  <c r="AC637" i="1" a="1"/>
  <c r="AC637" i="1" s="1"/>
  <c r="AC641" i="1" a="1"/>
  <c r="AC641" i="1" s="1"/>
  <c r="AC642" i="1" a="1"/>
  <c r="AC642" i="1" s="1"/>
  <c r="AC643" i="1" a="1"/>
  <c r="AC643" i="1" s="1"/>
  <c r="AC644" i="1" a="1"/>
  <c r="AC644" i="1" s="1"/>
  <c r="P636" i="1" a="1"/>
  <c r="P636" i="1" s="1"/>
  <c r="P637" i="1" a="1"/>
  <c r="P637" i="1" s="1"/>
  <c r="P641" i="1" a="1"/>
  <c r="P641" i="1" s="1"/>
  <c r="P642" i="1" a="1"/>
  <c r="P642" i="1" s="1"/>
  <c r="P643" i="1" a="1"/>
  <c r="P643" i="1" s="1"/>
  <c r="P644" i="1" a="1"/>
  <c r="P644" i="1" s="1"/>
  <c r="C636" i="1" a="1"/>
  <c r="C636" i="1" s="1"/>
  <c r="C637" i="1" a="1"/>
  <c r="C637" i="1" s="1"/>
  <c r="C641" i="1" a="1"/>
  <c r="C641" i="1" s="1"/>
  <c r="C642" i="1" a="1"/>
  <c r="C642" i="1" s="1"/>
  <c r="C643" i="1" a="1"/>
  <c r="C643" i="1" s="1"/>
  <c r="C644" i="1" a="1"/>
  <c r="C644" i="1" s="1"/>
  <c r="AC576" i="1" a="1"/>
  <c r="AC576" i="1" s="1"/>
  <c r="AC577" i="1" a="1"/>
  <c r="AC577" i="1" s="1"/>
  <c r="P576" i="1" a="1"/>
  <c r="P576" i="1" s="1"/>
  <c r="P577" i="1" a="1"/>
  <c r="P577" i="1" s="1"/>
  <c r="C576" i="1" a="1"/>
  <c r="C576" i="1" s="1"/>
  <c r="C577" i="1" a="1"/>
  <c r="C577" i="1" s="1"/>
  <c r="AC579" i="1" a="1"/>
  <c r="AC579" i="1" s="1"/>
  <c r="AC580" i="1" a="1"/>
  <c r="AC580" i="1" s="1"/>
  <c r="AC581" i="1" a="1"/>
  <c r="AC581" i="1" s="1"/>
  <c r="AC582" i="1" a="1"/>
  <c r="AC582" i="1" s="1"/>
  <c r="AC583" i="1" a="1"/>
  <c r="AC583" i="1" s="1"/>
  <c r="AC584" i="1" a="1"/>
  <c r="AC584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P494" i="1"/>
  <c r="AC494" i="1"/>
  <c r="AC446" i="1" a="1"/>
  <c r="AC446" i="1" s="1"/>
  <c r="AC447" i="1" a="1"/>
  <c r="AC447" i="1" s="1"/>
  <c r="AC451" i="1" a="1"/>
  <c r="AC451" i="1" s="1"/>
  <c r="AC452" i="1" a="1"/>
  <c r="AC452" i="1" s="1"/>
  <c r="AC453" i="1" a="1"/>
  <c r="AC453" i="1" s="1"/>
  <c r="AC454" i="1" a="1"/>
  <c r="AC454" i="1" s="1"/>
  <c r="P446" i="1" a="1"/>
  <c r="P446" i="1" s="1"/>
  <c r="P447" i="1" a="1"/>
  <c r="P447" i="1" s="1"/>
  <c r="P451" i="1" a="1"/>
  <c r="P451" i="1" s="1"/>
  <c r="P452" i="1" a="1"/>
  <c r="P452" i="1" s="1"/>
  <c r="P453" i="1" a="1"/>
  <c r="P453" i="1" s="1"/>
  <c r="P454" i="1" a="1"/>
  <c r="P454" i="1" s="1"/>
  <c r="C446" i="1" a="1"/>
  <c r="C446" i="1" s="1"/>
  <c r="C447" i="1" a="1"/>
  <c r="C447" i="1" s="1"/>
  <c r="C451" i="1" a="1"/>
  <c r="C451" i="1" s="1"/>
  <c r="C452" i="1" a="1"/>
  <c r="C452" i="1" s="1"/>
  <c r="C453" i="1" a="1"/>
  <c r="C453" i="1" s="1"/>
  <c r="C454" i="1" a="1"/>
  <c r="C454" i="1" s="1"/>
  <c r="C419" i="1"/>
  <c r="P419" i="1"/>
  <c r="AD419" i="1"/>
  <c r="AC371" i="1" a="1"/>
  <c r="AC371" i="1" s="1"/>
  <c r="AC372" i="1" a="1"/>
  <c r="AC372" i="1" s="1"/>
  <c r="P371" i="1" a="1"/>
  <c r="P371" i="1" s="1"/>
  <c r="P372" i="1" a="1"/>
  <c r="P372" i="1" s="1"/>
  <c r="C371" i="1" a="1"/>
  <c r="C371" i="1" s="1"/>
  <c r="C372" i="1" a="1"/>
  <c r="C372" i="1" s="1"/>
  <c r="AC374" i="1" a="1"/>
  <c r="AC374" i="1" s="1"/>
  <c r="AC375" i="1" a="1"/>
  <c r="AC375" i="1" s="1"/>
  <c r="AC376" i="1" a="1"/>
  <c r="AC376" i="1" s="1"/>
  <c r="AC377" i="1" a="1"/>
  <c r="AC377" i="1" s="1"/>
  <c r="AC378" i="1" a="1"/>
  <c r="AC378" i="1" s="1"/>
  <c r="AC379" i="1" a="1"/>
  <c r="AC379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K319" i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K281" i="1"/>
  <c r="K280" i="1"/>
  <c r="K282" i="1" s="1"/>
  <c r="K295" i="1" s="1"/>
  <c r="F6" i="1"/>
  <c r="F6" i="2"/>
  <c r="C39" i="1"/>
  <c r="C38" i="1"/>
  <c r="C32" i="1"/>
  <c r="C31" i="1"/>
  <c r="C40" i="1"/>
  <c r="C33" i="1"/>
  <c r="C646" i="1" l="1"/>
  <c r="C645" i="1"/>
  <c r="C647" i="1" s="1"/>
  <c r="C661" i="1" s="1"/>
  <c r="P646" i="1"/>
  <c r="P645" i="1"/>
  <c r="P647" i="1" s="1"/>
  <c r="P661" i="1" s="1"/>
  <c r="AC646" i="1"/>
  <c r="AC645" i="1"/>
  <c r="AC647" i="1" s="1"/>
  <c r="AC661" i="1" s="1"/>
  <c r="AC685" i="1" a="1"/>
  <c r="AC685" i="1" s="1"/>
  <c r="AC686" i="1" a="1"/>
  <c r="AC686" i="1" s="1"/>
  <c r="P685" i="1" a="1"/>
  <c r="P685" i="1" s="1"/>
  <c r="P686" i="1" a="1"/>
  <c r="P686" i="1" s="1"/>
  <c r="C685" i="1" a="1"/>
  <c r="C685" i="1" s="1"/>
  <c r="C686" i="1" a="1"/>
  <c r="C686" i="1" s="1"/>
  <c r="C586" i="1"/>
  <c r="C585" i="1"/>
  <c r="C587" i="1" s="1"/>
  <c r="C601" i="1" s="1"/>
  <c r="P586" i="1"/>
  <c r="P585" i="1"/>
  <c r="P587" i="1" s="1"/>
  <c r="P601" i="1" s="1"/>
  <c r="AC586" i="1"/>
  <c r="AC585" i="1"/>
  <c r="AC587" i="1" s="1"/>
  <c r="AC601" i="1" s="1"/>
  <c r="C456" i="1"/>
  <c r="C455" i="1"/>
  <c r="C457" i="1" s="1"/>
  <c r="C471" i="1" s="1"/>
  <c r="P456" i="1"/>
  <c r="P455" i="1"/>
  <c r="P457" i="1" s="1"/>
  <c r="P471" i="1" s="1"/>
  <c r="AC456" i="1"/>
  <c r="AC455" i="1"/>
  <c r="AC457" i="1" s="1"/>
  <c r="AC471" i="1" s="1"/>
  <c r="AC495" i="1" a="1"/>
  <c r="AC495" i="1" s="1"/>
  <c r="AC496" i="1" a="1"/>
  <c r="AC496" i="1" s="1"/>
  <c r="P495" i="1" a="1"/>
  <c r="P495" i="1" s="1"/>
  <c r="P496" i="1" a="1"/>
  <c r="P496" i="1" s="1"/>
  <c r="C495" i="1"/>
  <c r="C496" i="1" a="1"/>
  <c r="C496" i="1" s="1"/>
  <c r="C381" i="1"/>
  <c r="C380" i="1"/>
  <c r="C382" i="1" s="1"/>
  <c r="C396" i="1" s="1"/>
  <c r="P381" i="1"/>
  <c r="P380" i="1"/>
  <c r="P382" i="1" s="1"/>
  <c r="P396" i="1" s="1"/>
  <c r="AC381" i="1"/>
  <c r="AC380" i="1"/>
  <c r="AC382" i="1" s="1"/>
  <c r="AC396" i="1" s="1"/>
  <c r="AD420" i="1" a="1"/>
  <c r="AD420" i="1" s="1"/>
  <c r="AD421" i="1" a="1"/>
  <c r="AD421" i="1" s="1"/>
  <c r="P420" i="1" a="1"/>
  <c r="P420" i="1" s="1"/>
  <c r="P421" i="1" a="1"/>
  <c r="P421" i="1" s="1"/>
  <c r="C420" i="1" a="1"/>
  <c r="C420" i="1" s="1"/>
  <c r="C421" i="1" a="1"/>
  <c r="C421" i="1" s="1"/>
  <c r="K296" i="1" a="1"/>
  <c r="K296" i="1" s="1"/>
  <c r="K297" i="1" a="1"/>
  <c r="K297" i="1" s="1"/>
  <c r="K301" i="1" a="1"/>
  <c r="K301" i="1" s="1"/>
  <c r="K302" i="1" a="1"/>
  <c r="K302" i="1" s="1"/>
  <c r="K303" i="1" a="1"/>
  <c r="K303" i="1" s="1"/>
  <c r="K304" i="1" a="1"/>
  <c r="K304" i="1" s="1"/>
  <c r="C327" i="1"/>
  <c r="C326" i="1"/>
  <c r="C328" i="1" s="1"/>
  <c r="C335" i="1" s="1"/>
  <c r="K320" i="1" a="1"/>
  <c r="K320" i="1" s="1"/>
  <c r="K321" i="1" a="1"/>
  <c r="K321" i="1" s="1"/>
  <c r="AC662" i="1" l="1" a="1"/>
  <c r="AC662" i="1" s="1"/>
  <c r="AC663" i="1" a="1"/>
  <c r="AC663" i="1" s="1"/>
  <c r="AC667" i="1" a="1"/>
  <c r="AC667" i="1" s="1"/>
  <c r="AC668" i="1" a="1"/>
  <c r="AC668" i="1" s="1"/>
  <c r="AC669" i="1" a="1"/>
  <c r="AC669" i="1" s="1"/>
  <c r="AC670" i="1" a="1"/>
  <c r="AC670" i="1" s="1"/>
  <c r="P662" i="1" a="1"/>
  <c r="P662" i="1" s="1"/>
  <c r="P663" i="1" a="1"/>
  <c r="P663" i="1" s="1"/>
  <c r="P667" i="1" a="1"/>
  <c r="P667" i="1" s="1"/>
  <c r="P668" i="1" a="1"/>
  <c r="P668" i="1" s="1"/>
  <c r="P669" i="1" a="1"/>
  <c r="P669" i="1" s="1"/>
  <c r="P670" i="1" a="1"/>
  <c r="P670" i="1" s="1"/>
  <c r="C662" i="1" a="1"/>
  <c r="C662" i="1" s="1"/>
  <c r="C663" i="1" a="1"/>
  <c r="C663" i="1" s="1"/>
  <c r="C667" i="1" a="1"/>
  <c r="C667" i="1" s="1"/>
  <c r="C668" i="1" a="1"/>
  <c r="C668" i="1" s="1"/>
  <c r="C669" i="1" a="1"/>
  <c r="C669" i="1" s="1"/>
  <c r="C670" i="1" a="1"/>
  <c r="C670" i="1" s="1"/>
  <c r="AC602" i="1" a="1"/>
  <c r="AC602" i="1" s="1"/>
  <c r="AC603" i="1" a="1"/>
  <c r="AC603" i="1" s="1"/>
  <c r="AC607" i="1" a="1"/>
  <c r="AC607" i="1" s="1"/>
  <c r="AC608" i="1" a="1"/>
  <c r="AC608" i="1" s="1"/>
  <c r="AC609" i="1" a="1"/>
  <c r="AC609" i="1" s="1"/>
  <c r="AC610" i="1" a="1"/>
  <c r="AC610" i="1" s="1"/>
  <c r="P602" i="1" a="1"/>
  <c r="P602" i="1" s="1"/>
  <c r="P603" i="1" a="1"/>
  <c r="P603" i="1" s="1"/>
  <c r="P607" i="1" a="1"/>
  <c r="P607" i="1" s="1"/>
  <c r="P608" i="1" a="1"/>
  <c r="P608" i="1" s="1"/>
  <c r="P609" i="1" a="1"/>
  <c r="P609" i="1" s="1"/>
  <c r="P610" i="1" a="1"/>
  <c r="P610" i="1" s="1"/>
  <c r="C602" i="1" a="1"/>
  <c r="C602" i="1" s="1"/>
  <c r="C603" i="1" a="1"/>
  <c r="C603" i="1" s="1"/>
  <c r="C607" i="1" a="1"/>
  <c r="C607" i="1" s="1"/>
  <c r="C608" i="1" a="1"/>
  <c r="C608" i="1" s="1"/>
  <c r="C609" i="1" a="1"/>
  <c r="C609" i="1" s="1"/>
  <c r="C610" i="1" a="1"/>
  <c r="C610" i="1" s="1"/>
  <c r="AC472" i="1" a="1"/>
  <c r="AC472" i="1" s="1"/>
  <c r="AC473" i="1" a="1"/>
  <c r="AC473" i="1" s="1"/>
  <c r="AC477" i="1" a="1"/>
  <c r="AC477" i="1" s="1"/>
  <c r="AC478" i="1" a="1"/>
  <c r="AC478" i="1" s="1"/>
  <c r="AC479" i="1" a="1"/>
  <c r="AC479" i="1" s="1"/>
  <c r="AC480" i="1" a="1"/>
  <c r="AC480" i="1" s="1"/>
  <c r="P472" i="1" a="1"/>
  <c r="P472" i="1" s="1"/>
  <c r="P473" i="1" a="1"/>
  <c r="P473" i="1" s="1"/>
  <c r="P477" i="1" a="1"/>
  <c r="P477" i="1" s="1"/>
  <c r="P478" i="1" a="1"/>
  <c r="P478" i="1" s="1"/>
  <c r="P479" i="1" a="1"/>
  <c r="P479" i="1" s="1"/>
  <c r="P480" i="1" a="1"/>
  <c r="P480" i="1" s="1"/>
  <c r="C472" i="1" a="1"/>
  <c r="C472" i="1" s="1"/>
  <c r="C473" i="1" a="1"/>
  <c r="C473" i="1" s="1"/>
  <c r="C477" i="1" a="1"/>
  <c r="C477" i="1" s="1"/>
  <c r="C478" i="1" a="1"/>
  <c r="C478" i="1" s="1"/>
  <c r="C479" i="1" a="1"/>
  <c r="C479" i="1" s="1"/>
  <c r="C480" i="1" a="1"/>
  <c r="C480" i="1" s="1"/>
  <c r="AC397" i="1" a="1"/>
  <c r="AC397" i="1" s="1"/>
  <c r="AC398" i="1" a="1"/>
  <c r="AC398" i="1" s="1"/>
  <c r="AC402" i="1" a="1"/>
  <c r="AC402" i="1" s="1"/>
  <c r="AC403" i="1" a="1"/>
  <c r="AC403" i="1" s="1"/>
  <c r="AC404" i="1" a="1"/>
  <c r="AC404" i="1" s="1"/>
  <c r="AC405" i="1" a="1"/>
  <c r="AC405" i="1" s="1"/>
  <c r="P397" i="1" a="1"/>
  <c r="P397" i="1" s="1"/>
  <c r="P398" i="1" a="1"/>
  <c r="P398" i="1" s="1"/>
  <c r="P402" i="1" a="1"/>
  <c r="P402" i="1" s="1"/>
  <c r="P403" i="1" a="1"/>
  <c r="P403" i="1" s="1"/>
  <c r="P404" i="1" a="1"/>
  <c r="P404" i="1" s="1"/>
  <c r="P405" i="1" a="1"/>
  <c r="P405" i="1" s="1"/>
  <c r="C397" i="1" a="1"/>
  <c r="C397" i="1" s="1"/>
  <c r="C398" i="1" a="1"/>
  <c r="C398" i="1" s="1"/>
  <c r="C402" i="1" a="1"/>
  <c r="C402" i="1" s="1"/>
  <c r="C403" i="1" a="1"/>
  <c r="C403" i="1" s="1"/>
  <c r="C404" i="1" a="1"/>
  <c r="C404" i="1" s="1"/>
  <c r="C405" i="1" a="1"/>
  <c r="C405" i="1" s="1"/>
  <c r="C336" i="1" a="1"/>
  <c r="C336" i="1" s="1"/>
  <c r="C337" i="1" a="1"/>
  <c r="C337" i="1" s="1"/>
  <c r="C341" i="1" a="1"/>
  <c r="C341" i="1" s="1"/>
  <c r="C342" i="1" a="1"/>
  <c r="C342" i="1" s="1"/>
  <c r="C343" i="1" a="1"/>
  <c r="C343" i="1" s="1"/>
  <c r="C344" i="1" a="1"/>
  <c r="C344" i="1" s="1"/>
  <c r="K306" i="1"/>
  <c r="K305" i="1"/>
  <c r="K307" i="1" s="1"/>
  <c r="K316" i="1" s="1"/>
  <c r="C672" i="1" l="1"/>
  <c r="C671" i="1"/>
  <c r="C673" i="1" s="1"/>
  <c r="C681" i="1" s="1"/>
  <c r="P672" i="1"/>
  <c r="P671" i="1"/>
  <c r="P673" i="1" s="1"/>
  <c r="P681" i="1" s="1"/>
  <c r="AC672" i="1"/>
  <c r="AC671" i="1"/>
  <c r="AC673" i="1" s="1"/>
  <c r="AC681" i="1" s="1"/>
  <c r="C612" i="1"/>
  <c r="C611" i="1"/>
  <c r="C613" i="1" s="1"/>
  <c r="C614" i="1" s="1"/>
  <c r="P612" i="1"/>
  <c r="P611" i="1"/>
  <c r="P613" i="1" s="1"/>
  <c r="P614" i="1" s="1"/>
  <c r="AC612" i="1"/>
  <c r="AC611" i="1"/>
  <c r="AC613" i="1" s="1"/>
  <c r="C482" i="1"/>
  <c r="C481" i="1"/>
  <c r="C483" i="1" s="1"/>
  <c r="C491" i="1" s="1"/>
  <c r="P482" i="1"/>
  <c r="P481" i="1"/>
  <c r="P483" i="1" s="1"/>
  <c r="P491" i="1" s="1"/>
  <c r="AC482" i="1"/>
  <c r="AC481" i="1"/>
  <c r="AC483" i="1" s="1"/>
  <c r="AC491" i="1" s="1"/>
  <c r="C407" i="1"/>
  <c r="C406" i="1"/>
  <c r="C408" i="1" s="1"/>
  <c r="C416" i="1" s="1"/>
  <c r="P407" i="1"/>
  <c r="P406" i="1"/>
  <c r="P408" i="1" s="1"/>
  <c r="P416" i="1" s="1"/>
  <c r="AC407" i="1"/>
  <c r="AC406" i="1"/>
  <c r="AC408" i="1" s="1"/>
  <c r="AD416" i="1" s="1"/>
  <c r="K317" i="1" a="1"/>
  <c r="K317" i="1" s="1"/>
  <c r="K318" i="1" a="1"/>
  <c r="K318" i="1" s="1"/>
  <c r="K322" i="1" a="1"/>
  <c r="K322" i="1" s="1"/>
  <c r="K323" i="1" a="1"/>
  <c r="K323" i="1" s="1"/>
  <c r="K324" i="1" a="1"/>
  <c r="K324" i="1" s="1"/>
  <c r="K325" i="1" a="1"/>
  <c r="K325" i="1" s="1"/>
  <c r="C346" i="1"/>
  <c r="C345" i="1"/>
  <c r="C347" i="1" s="1"/>
  <c r="C349" i="1" s="1"/>
  <c r="C351" i="1" s="1"/>
  <c r="C31" i="2"/>
  <c r="C42" i="1"/>
  <c r="P200" i="1" s="1"/>
  <c r="AC682" i="1" l="1" a="1"/>
  <c r="AC682" i="1" s="1"/>
  <c r="AC683" i="1" a="1"/>
  <c r="AC683" i="1" s="1"/>
  <c r="AC687" i="1" a="1"/>
  <c r="AC687" i="1" s="1"/>
  <c r="AC688" i="1" a="1"/>
  <c r="AC688" i="1" s="1"/>
  <c r="AC689" i="1" a="1"/>
  <c r="AC689" i="1" s="1"/>
  <c r="AC690" i="1" a="1"/>
  <c r="AC690" i="1" s="1"/>
  <c r="P682" i="1" a="1"/>
  <c r="P682" i="1" s="1"/>
  <c r="P683" i="1" a="1"/>
  <c r="P683" i="1" s="1"/>
  <c r="P687" i="1" a="1"/>
  <c r="P687" i="1" s="1"/>
  <c r="P688" i="1" a="1"/>
  <c r="P688" i="1" s="1"/>
  <c r="P689" i="1" a="1"/>
  <c r="P689" i="1" s="1"/>
  <c r="P690" i="1" a="1"/>
  <c r="P690" i="1" s="1"/>
  <c r="C682" i="1" a="1"/>
  <c r="C682" i="1" s="1"/>
  <c r="C683" i="1" a="1"/>
  <c r="C683" i="1" s="1"/>
  <c r="C687" i="1" a="1"/>
  <c r="C687" i="1" s="1"/>
  <c r="C688" i="1" a="1"/>
  <c r="C688" i="1" s="1"/>
  <c r="C689" i="1" a="1"/>
  <c r="C689" i="1" s="1"/>
  <c r="C690" i="1" a="1"/>
  <c r="C690" i="1" s="1"/>
  <c r="AC492" i="1" a="1"/>
  <c r="AC492" i="1" s="1"/>
  <c r="AC493" i="1" a="1"/>
  <c r="AC493" i="1" s="1"/>
  <c r="AC497" i="1" a="1"/>
  <c r="AC497" i="1" s="1"/>
  <c r="AC498" i="1" a="1"/>
  <c r="AC498" i="1" s="1"/>
  <c r="AC499" i="1" a="1"/>
  <c r="AC499" i="1" s="1"/>
  <c r="AC500" i="1" a="1"/>
  <c r="AC500" i="1" s="1"/>
  <c r="P492" i="1" a="1"/>
  <c r="P492" i="1" s="1"/>
  <c r="P493" i="1" a="1"/>
  <c r="P493" i="1" s="1"/>
  <c r="P497" i="1" a="1"/>
  <c r="P497" i="1" s="1"/>
  <c r="P498" i="1" a="1"/>
  <c r="P498" i="1" s="1"/>
  <c r="P499" i="1" a="1"/>
  <c r="P499" i="1" s="1"/>
  <c r="P500" i="1" a="1"/>
  <c r="P500" i="1" s="1"/>
  <c r="C492" i="1" a="1"/>
  <c r="C492" i="1" s="1"/>
  <c r="C493" i="1" a="1"/>
  <c r="C493" i="1" s="1"/>
  <c r="C497" i="1" a="1"/>
  <c r="C497" i="1" s="1"/>
  <c r="C498" i="1" a="1"/>
  <c r="C498" i="1" s="1"/>
  <c r="C499" i="1" a="1"/>
  <c r="C499" i="1" s="1"/>
  <c r="C500" i="1" a="1"/>
  <c r="C500" i="1" s="1"/>
  <c r="AD417" i="1" a="1"/>
  <c r="AD417" i="1" s="1"/>
  <c r="AD418" i="1" a="1"/>
  <c r="AD418" i="1" s="1"/>
  <c r="AD422" i="1" a="1"/>
  <c r="AD422" i="1" s="1"/>
  <c r="AD423" i="1" a="1"/>
  <c r="AD423" i="1" s="1"/>
  <c r="AD424" i="1" a="1"/>
  <c r="AD424" i="1" s="1"/>
  <c r="AD425" i="1" a="1"/>
  <c r="AD425" i="1" s="1"/>
  <c r="P417" i="1" a="1"/>
  <c r="P417" i="1" s="1"/>
  <c r="P418" i="1" a="1"/>
  <c r="P418" i="1" s="1"/>
  <c r="P422" i="1" a="1"/>
  <c r="P422" i="1" s="1"/>
  <c r="P423" i="1" a="1"/>
  <c r="P423" i="1" s="1"/>
  <c r="P424" i="1" a="1"/>
  <c r="P424" i="1" s="1"/>
  <c r="P425" i="1" a="1"/>
  <c r="P425" i="1" s="1"/>
  <c r="C417" i="1" a="1"/>
  <c r="C417" i="1" s="1"/>
  <c r="C418" i="1" a="1"/>
  <c r="C418" i="1" s="1"/>
  <c r="C422" i="1" a="1"/>
  <c r="C422" i="1" s="1"/>
  <c r="C423" i="1" a="1"/>
  <c r="C423" i="1" s="1"/>
  <c r="C424" i="1" a="1"/>
  <c r="C424" i="1" s="1"/>
  <c r="C425" i="1" a="1"/>
  <c r="C425" i="1" s="1"/>
  <c r="K327" i="1"/>
  <c r="K326" i="1"/>
  <c r="K328" i="1" s="1"/>
  <c r="K335" i="1" s="1"/>
  <c r="C43" i="1"/>
  <c r="B162" i="1"/>
  <c r="C692" i="1" l="1"/>
  <c r="C691" i="1"/>
  <c r="C693" i="1" s="1"/>
  <c r="P692" i="1"/>
  <c r="P691" i="1"/>
  <c r="P693" i="1" s="1"/>
  <c r="P700" i="1" s="1"/>
  <c r="AC692" i="1"/>
  <c r="AC691" i="1"/>
  <c r="AC693" i="1" s="1"/>
  <c r="AC700" i="1" s="1"/>
  <c r="C502" i="1"/>
  <c r="C501" i="1"/>
  <c r="C503" i="1" s="1"/>
  <c r="P502" i="1"/>
  <c r="P501" i="1"/>
  <c r="P503" i="1" s="1"/>
  <c r="AC502" i="1"/>
  <c r="AC501" i="1"/>
  <c r="AC503" i="1" s="1"/>
  <c r="B238" i="1" s="1"/>
  <c r="C427" i="1"/>
  <c r="C426" i="1"/>
  <c r="C428" i="1" s="1"/>
  <c r="B199" i="1" s="1"/>
  <c r="P427" i="1"/>
  <c r="P426" i="1"/>
  <c r="P428" i="1" s="1"/>
  <c r="AD427" i="1"/>
  <c r="AD426" i="1"/>
  <c r="AD428" i="1" s="1"/>
  <c r="B239" i="1" s="1"/>
  <c r="K336" i="1" a="1"/>
  <c r="K336" i="1" s="1"/>
  <c r="K337" i="1" a="1"/>
  <c r="K337" i="1" s="1"/>
  <c r="K341" i="1" a="1"/>
  <c r="K341" i="1" s="1"/>
  <c r="K342" i="1" a="1"/>
  <c r="K342" i="1" s="1"/>
  <c r="K343" i="1" a="1"/>
  <c r="K343" i="1" s="1"/>
  <c r="K344" i="1" a="1"/>
  <c r="K344" i="1" s="1"/>
  <c r="G239" i="1"/>
  <c r="Q239" i="1" s="1"/>
  <c r="K239" i="1"/>
  <c r="L239" i="1" s="1"/>
  <c r="B240" i="1"/>
  <c r="G238" i="1"/>
  <c r="K238" i="1"/>
  <c r="G199" i="1"/>
  <c r="Q199" i="1" s="1"/>
  <c r="K199" i="1"/>
  <c r="B200" i="1"/>
  <c r="B163" i="1" a="1"/>
  <c r="B163" i="1" s="1"/>
  <c r="B164" i="1" a="1"/>
  <c r="B164" i="1" s="1"/>
  <c r="B165" i="1" a="1"/>
  <c r="B165" i="1" s="1"/>
  <c r="B166" i="1" a="1"/>
  <c r="B166" i="1" s="1"/>
  <c r="B201" i="1"/>
  <c r="G27" i="2"/>
  <c r="D37" i="2" s="1"/>
  <c r="AC701" i="1" l="1" a="1"/>
  <c r="AC701" i="1" s="1"/>
  <c r="AC702" i="1" a="1"/>
  <c r="AC702" i="1" s="1"/>
  <c r="AC706" i="1" a="1"/>
  <c r="AC706" i="1" s="1"/>
  <c r="AC707" i="1" a="1"/>
  <c r="AC707" i="1" s="1"/>
  <c r="AC708" i="1" a="1"/>
  <c r="AC708" i="1" s="1"/>
  <c r="AC709" i="1" a="1"/>
  <c r="AC709" i="1" s="1"/>
  <c r="P701" i="1" a="1"/>
  <c r="P701" i="1" s="1"/>
  <c r="P702" i="1" a="1"/>
  <c r="P702" i="1" s="1"/>
  <c r="P706" i="1" a="1"/>
  <c r="P706" i="1" s="1"/>
  <c r="P707" i="1" a="1"/>
  <c r="P707" i="1" s="1"/>
  <c r="P708" i="1" a="1"/>
  <c r="P708" i="1" s="1"/>
  <c r="P709" i="1" a="1"/>
  <c r="P709" i="1" s="1"/>
  <c r="C700" i="1"/>
  <c r="B197" i="1"/>
  <c r="K346" i="1"/>
  <c r="K345" i="1"/>
  <c r="K347" i="1" s="1"/>
  <c r="K349" i="1" s="1"/>
  <c r="K351" i="1" s="1"/>
  <c r="L238" i="1"/>
  <c r="Q238" i="1"/>
  <c r="G240" i="1"/>
  <c r="K240" i="1"/>
  <c r="G201" i="1"/>
  <c r="C30" i="1" s="1"/>
  <c r="K201" i="1"/>
  <c r="G200" i="1"/>
  <c r="K200" i="1"/>
  <c r="B167" i="1"/>
  <c r="G197" i="1" l="1"/>
  <c r="C28" i="1" s="1"/>
  <c r="K197" i="1"/>
  <c r="C701" i="1" a="1"/>
  <c r="C701" i="1" s="1"/>
  <c r="C702" i="1" a="1"/>
  <c r="C702" i="1" s="1"/>
  <c r="C706" i="1" a="1"/>
  <c r="C706" i="1" s="1"/>
  <c r="C707" i="1" a="1"/>
  <c r="C707" i="1" s="1"/>
  <c r="C708" i="1" a="1"/>
  <c r="C708" i="1" s="1"/>
  <c r="C709" i="1" a="1"/>
  <c r="C709" i="1" s="1"/>
  <c r="P711" i="1"/>
  <c r="P710" i="1"/>
  <c r="P712" i="1" s="1"/>
  <c r="AC711" i="1"/>
  <c r="AC710" i="1"/>
  <c r="AC712" i="1" s="1"/>
  <c r="B237" i="1" s="1"/>
  <c r="B133" i="1"/>
  <c r="C133" i="1" s="1"/>
  <c r="G46" i="1" s="1"/>
  <c r="D162" i="1"/>
  <c r="G237" i="1"/>
  <c r="K237" i="1"/>
  <c r="L240" i="1"/>
  <c r="Q240" i="1"/>
  <c r="L200" i="1"/>
  <c r="Q200" i="1"/>
  <c r="L201" i="1"/>
  <c r="Q201" i="1" s="1"/>
  <c r="C37" i="1" s="1"/>
  <c r="C60" i="1"/>
  <c r="C27" i="2"/>
  <c r="C37" i="2" s="1"/>
  <c r="C711" i="1" l="1"/>
  <c r="C710" i="1"/>
  <c r="C712" i="1" s="1"/>
  <c r="B198" i="1" s="1"/>
  <c r="L197" i="1"/>
  <c r="Q197" i="1"/>
  <c r="C35" i="1" s="1"/>
  <c r="D163" i="1" a="1"/>
  <c r="D163" i="1" s="1"/>
  <c r="D164" i="1" a="1"/>
  <c r="D164" i="1" s="1"/>
  <c r="D165" i="1" a="1"/>
  <c r="D165" i="1" s="1"/>
  <c r="D166" i="1" a="1"/>
  <c r="D166" i="1" s="1"/>
  <c r="L237" i="1"/>
  <c r="O237" i="1"/>
  <c r="Q237" i="1"/>
  <c r="G198" i="1"/>
  <c r="K198" i="1"/>
  <c r="C58" i="1"/>
  <c r="F21" i="1"/>
  <c r="C29" i="1"/>
  <c r="D167" i="1" l="1"/>
  <c r="C46" i="1" s="1"/>
  <c r="L198" i="1"/>
  <c r="O198" i="1"/>
  <c r="Q198" i="1"/>
  <c r="C36" i="1"/>
  <c r="C5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tc={dbfe3512-74e1-44ae-9d49-ac8c6aa65c95}</author>
    <author>tc={1e351f40-92c6-47ed-ab42-4b56f98145a6}</author>
    <author>tc={bedb02f0-b54e-4c0e-b1ef-9fc1f6e4d396}</author>
    <author>tc={8bd70d89-d93b-4af7-8c07-b787ac1c8294}</author>
    <author>tc={2fab5a5e-b843-4ed5-942d-1db510423e0e}</author>
    <author>tc={f71a44d2-93cc-405d-95ec-df9f3e162a39}</author>
    <author>tc={c1dfbf76-7a3e-408a-9f9d-3aff83575622}</author>
    <author>tc={917e309f-6a41-497a-86b0-a27f2143dc6c}</author>
    <author>tc={2a2bbff1-76aa-4fbe-ba85-36a2f297ce86}</author>
  </authors>
  <commentList>
    <comment ref="I13" authorId="0" shapeId="0" xr:uid="{DBFE3512-74E1-44AE-9D49-AC8C6AA65C95}">
      <text>
        <t>[Threaded comment]
Your version of Excel allows you to read this threaded comment; however, any edits to it will get removed if the file is opened in a newer version of Excel. Learn more: https://go.microsoft.com/fwlink/?linkid=870924
Comment:
    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>
      </text>
    </comment>
    <comment ref="B19" authorId="1" shapeId="0" xr:uid="{1E351F40-92C6-47ED-AB42-4B56F98145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B21" authorId="2" shapeId="0" xr:uid="{BEDB02F0-B54E-4C0E-B1EF-9FC1F6E4D39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I40" authorId="3" shapeId="0" xr:uid="{8BD70D89-D93B-4AF7-8C07-B787AC1C8294}">
      <text>
        <t>[Threaded comment]
Your version of Excel allows you to read this threaded comment; however, any edits to it will get removed if the file is opened in a newer version of Excel. Learn more: https://go.microsoft.com/fwlink/?linkid=870924
Comment:
    Hinderfritt 2,5%
Plus 0,8% marginal
Annars står det på SID eller på annan plats</t>
      </text>
    </comment>
    <comment ref="B42" authorId="4" shapeId="0" xr:uid="{2FAB5A5E-B843-4ED5-942D-1DB510423E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  <comment ref="A199" authorId="5" shapeId="0" xr:uid="{F71A44D2-93CC-405D-95EC-DF9F3E162A39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200" authorId="6" shapeId="0" xr:uid="{C1DFBF76-7A3E-408A-9F9D-3AFF83575622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  <comment ref="A239" authorId="7" shapeId="0" xr:uid="{917E309F-6A41-497A-86B0-A27F2143DC6C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240" authorId="8" shapeId="0" xr:uid="{2A2BBFF1-76AA-4FBE-BA85-36A2F297CE86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tc={efac0845-592d-4113-b9ac-c129a309f311}</author>
    <author>tc={a93e9c67-4bda-47ab-b37b-389aa85c152c}</author>
  </authors>
  <commentList>
    <comment ref="B20" authorId="0" shapeId="0" xr:uid="{EFAC0845-592D-4113-B9AC-C129A309F311}">
      <text>
        <t>[Threaded comment]
Your version of Excel allows you to read this threaded comment; however, any edits to it will get removed if the file is opened in a newer version of Excel. Learn more: https://go.microsoft.com/fwlink/?linkid=870924
Comment:
    RWCC eller "70%" (OM-A 8.1.5.6 Commencement and continuation of an approach)</t>
      </text>
    </comment>
    <comment ref="B31" authorId="1" shapeId="0" xr:uid="{A93E9C67-4BDA-47AB-B37B-389AA85C152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<sst xmlns="http://schemas.openxmlformats.org/spreadsheetml/2006/main" count="1298" uniqueCount="266">
  <si>
    <t>SE-LTL</t>
  </si>
  <si>
    <t xml:space="preserve">Take-off distance Beech 200 </t>
  </si>
  <si>
    <t>Version</t>
  </si>
  <si>
    <t>Interpoleringsverktyg för startsträcka från AFM.</t>
  </si>
  <si>
    <t>Flygplats och bana:</t>
  </si>
  <si>
    <t>ESUP RWY 29</t>
  </si>
  <si>
    <t>ESUP 300450Z AUTO 20000KT 9999 ///////// M02/M02 Q1034</t>
  </si>
  <si>
    <t>Wind direction:</t>
  </si>
  <si>
    <t>°</t>
  </si>
  <si>
    <t>Wind speed:</t>
  </si>
  <si>
    <t>kt</t>
  </si>
  <si>
    <t>Outside air temperature:</t>
  </si>
  <si>
    <t>°C</t>
  </si>
  <si>
    <t>QNH</t>
  </si>
  <si>
    <t>Hpa</t>
  </si>
  <si>
    <t>Runway Condition Code</t>
  </si>
  <si>
    <t>MANUAL MET -&gt;</t>
  </si>
  <si>
    <t>Runway contaminant</t>
  </si>
  <si>
    <t>No contaminant</t>
  </si>
  <si>
    <t>Contaminant depth</t>
  </si>
  <si>
    <t>mm</t>
  </si>
  <si>
    <t>Max:</t>
  </si>
  <si>
    <t>Engine Anti-ice</t>
  </si>
  <si>
    <t>OFF</t>
  </si>
  <si>
    <t>Take off mass:</t>
  </si>
  <si>
    <t>Lbs</t>
  </si>
  <si>
    <t>Airport data (Expandable)</t>
  </si>
  <si>
    <t>Treshold elevation:</t>
  </si>
  <si>
    <t>ft</t>
  </si>
  <si>
    <t>Runway Slope:</t>
  </si>
  <si>
    <t>%</t>
  </si>
  <si>
    <t>+ = upphill</t>
  </si>
  <si>
    <t>RWY Heading:</t>
  </si>
  <si>
    <t>ASDA:</t>
  </si>
  <si>
    <t>m</t>
  </si>
  <si>
    <t>Req gradient:</t>
  </si>
  <si>
    <t>TORA:</t>
  </si>
  <si>
    <t>TODA:</t>
  </si>
  <si>
    <t>TOR</t>
  </si>
  <si>
    <t>LDA:</t>
  </si>
  <si>
    <t>Calculated data</t>
  </si>
  <si>
    <t>Head/Tail wind</t>
  </si>
  <si>
    <t>Kt</t>
  </si>
  <si>
    <t>Crosswind</t>
  </si>
  <si>
    <t>Limit</t>
  </si>
  <si>
    <t>FLAPS:</t>
  </si>
  <si>
    <t>UP</t>
  </si>
  <si>
    <t>TAKE-OFF</t>
  </si>
  <si>
    <t>APP</t>
  </si>
  <si>
    <t>FULL</t>
  </si>
  <si>
    <t>Dry Runway (Expandable)</t>
  </si>
  <si>
    <t>Ground Roll [m]</t>
  </si>
  <si>
    <t>Take off distance [m]</t>
  </si>
  <si>
    <t>Accelerade &amp; STOP [m]</t>
  </si>
  <si>
    <t>V1 [kts]</t>
  </si>
  <si>
    <t>VR [kts]</t>
  </si>
  <si>
    <t>V2 [kts]</t>
  </si>
  <si>
    <t>Selected contaminant</t>
  </si>
  <si>
    <t>Standard Procedure Design Gradient (PDG): 3,3%</t>
  </si>
  <si>
    <t>Climb</t>
  </si>
  <si>
    <t>Net Gradient OEI wings level [%]</t>
  </si>
  <si>
    <t>Gradient includes wind, 150% &amp; 50%</t>
  </si>
  <si>
    <t>Emergency Return</t>
  </si>
  <si>
    <t>VREF [kts]</t>
  </si>
  <si>
    <t>Landing Distance [m]</t>
  </si>
  <si>
    <t>Flaps UP</t>
  </si>
  <si>
    <t>Engine out procedure</t>
  </si>
  <si>
    <t>Minimum cloud base:</t>
  </si>
  <si>
    <t>Escape Route:</t>
  </si>
  <si>
    <t>LANDING PERFORMANCE (Normal)</t>
  </si>
  <si>
    <t>EMG RETURN</t>
  </si>
  <si>
    <t>FLAPS UP</t>
  </si>
  <si>
    <t>Normal</t>
  </si>
  <si>
    <t>Landing Mass</t>
  </si>
  <si>
    <t>Speeds</t>
  </si>
  <si>
    <t>Vref</t>
  </si>
  <si>
    <t>Table size Landing distance</t>
  </si>
  <si>
    <t>Rows:</t>
  </si>
  <si>
    <t>Columns:</t>
  </si>
  <si>
    <t>x_n:</t>
  </si>
  <si>
    <t>y_n:</t>
  </si>
  <si>
    <t>n1:</t>
  </si>
  <si>
    <t>n2:</t>
  </si>
  <si>
    <t>y1_n1:</t>
  </si>
  <si>
    <t>y1_n2:</t>
  </si>
  <si>
    <t>Vref:</t>
  </si>
  <si>
    <t>Windcalc</t>
  </si>
  <si>
    <t>WCA</t>
  </si>
  <si>
    <t>Factor</t>
  </si>
  <si>
    <t>H/T wind</t>
  </si>
  <si>
    <t>Crosswind factor</t>
  </si>
  <si>
    <t>Unfactorised</t>
  </si>
  <si>
    <t>Factorised</t>
  </si>
  <si>
    <t>Landing Distance Factor:</t>
  </si>
  <si>
    <t>LANDING PERFORMANCE (UP)</t>
  </si>
  <si>
    <t>Landing Distance Flaps LAND [feet]</t>
  </si>
  <si>
    <t>Landing distance</t>
  </si>
  <si>
    <t>2900Ft Max i grafen</t>
  </si>
  <si>
    <t>T/O Distance:</t>
  </si>
  <si>
    <t>Take off PERFORMANCE (FLAPS UP)</t>
  </si>
  <si>
    <t>V1/R</t>
  </si>
  <si>
    <t>V2</t>
  </si>
  <si>
    <t>Table size Vref</t>
  </si>
  <si>
    <t>Landing distance required calculations</t>
  </si>
  <si>
    <t>Flat</t>
  </si>
  <si>
    <t>Teknik</t>
  </si>
  <si>
    <t>Runwayfactor &lt;5</t>
  </si>
  <si>
    <t>Runwayfactor &lt;3</t>
  </si>
  <si>
    <t>Slope</t>
  </si>
  <si>
    <t>Totalt</t>
  </si>
  <si>
    <t>Factor for Contaminant type</t>
  </si>
  <si>
    <t>Tot before</t>
  </si>
  <si>
    <t>Correction</t>
  </si>
  <si>
    <t>Rulebased factor</t>
  </si>
  <si>
    <t>Correction 15ft istället för 35ft</t>
  </si>
  <si>
    <t>Total contaminated</t>
  </si>
  <si>
    <t>Ground Roll</t>
  </si>
  <si>
    <t>N/A</t>
  </si>
  <si>
    <t>Take off distance</t>
  </si>
  <si>
    <t>Accelerate GO DRY</t>
  </si>
  <si>
    <t>Accelerate GO WET/CONT</t>
  </si>
  <si>
    <t>35 fot</t>
  </si>
  <si>
    <t>Accelerate stop</t>
  </si>
  <si>
    <t>TDR</t>
  </si>
  <si>
    <t>TAKE OFF PERFORMANCE (FLAPS APPROACH)</t>
  </si>
  <si>
    <t xml:space="preserve"> Mass</t>
  </si>
  <si>
    <t>Windcorrected distances</t>
  </si>
  <si>
    <t>Technique</t>
  </si>
  <si>
    <t>Accelerate STOP distance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</si>
  <si>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</si>
  <si>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</si>
  <si>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</si>
  <si>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</si>
  <si>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</si>
  <si>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</si>
  <si>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</si>
  <si>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</si>
  <si>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</si>
  <si>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</si>
  <si>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y2_n1:</t>
  </si>
  <si>
    <t>y2_n2:</t>
  </si>
  <si>
    <t>y_n1:</t>
  </si>
  <si>
    <t>y_n2:</t>
  </si>
  <si>
    <t>Distance</t>
  </si>
  <si>
    <t>Vikt</t>
  </si>
  <si>
    <t>Vind</t>
  </si>
  <si>
    <t>Obstacle height</t>
  </si>
  <si>
    <t>Meter</t>
  </si>
  <si>
    <t>Includes ICE-Vane. Could be disregarded for us</t>
  </si>
  <si>
    <t>FLAPS TAKEOFF</t>
  </si>
  <si>
    <t>FLAPS APPROACH</t>
  </si>
  <si>
    <t>Density altitude</t>
  </si>
  <si>
    <t>Temp/PA</t>
  </si>
  <si>
    <t>NET GRADIENT OF CLIMB - FLAPS UP</t>
  </si>
  <si>
    <t>ROC</t>
  </si>
  <si>
    <t>ROC-&gt;Gradient</t>
  </si>
  <si>
    <t>ICE VANE CORR</t>
  </si>
  <si>
    <t>35 fot extra</t>
  </si>
  <si>
    <t>NET GRADIENT OF CLIMB - FLAPS TAKEOFF</t>
  </si>
  <si>
    <t>NET GRADIENT OF CLIMB - FLAPS APPROACH</t>
  </si>
  <si>
    <t>Gradient</t>
  </si>
  <si>
    <t>TAKE OFF DISTANCE - FLAPS UP</t>
  </si>
  <si>
    <t>TAKE OFF DISTANCE - FLAPS TAKEOFF</t>
  </si>
  <si>
    <t>TAKE OFF DISTANCE - FLAPS APPROACH</t>
  </si>
  <si>
    <t>Landning distance Beech 200 - SE-LTL</t>
  </si>
  <si>
    <t>Interpoleringsverktyg för landningsträcka</t>
  </si>
  <si>
    <t>2026-XY-ZV</t>
  </si>
  <si>
    <t>ESUP 300450Z AUTO 00000KT 9999 ///////// M02/M02 Q1034</t>
  </si>
  <si>
    <t>Remove manual MET</t>
  </si>
  <si>
    <t>Manual MET -&gt;</t>
  </si>
  <si>
    <t>REFRESH METAR</t>
  </si>
  <si>
    <t>Landing weight</t>
  </si>
  <si>
    <t>Max landing weight</t>
  </si>
  <si>
    <t>Airport data</t>
  </si>
  <si>
    <t>Elevation:</t>
  </si>
  <si>
    <t>Landing Distance Factor</t>
  </si>
  <si>
    <t>Landing Distance</t>
  </si>
  <si>
    <t>Landing Distance factored [m]</t>
  </si>
  <si>
    <t>Flap Up based on AFM graph</t>
  </si>
  <si>
    <t>Missed approach</t>
  </si>
  <si>
    <t>OEI Climb Gradient [%]</t>
  </si>
  <si>
    <t>Flaps FULL</t>
  </si>
  <si>
    <t>LDA</t>
  </si>
  <si>
    <t>Airport</t>
  </si>
  <si>
    <t>Runway Threshold Elevation:</t>
  </si>
  <si>
    <t>TORA</t>
  </si>
  <si>
    <t>TODA</t>
  </si>
  <si>
    <t>ASDA</t>
  </si>
  <si>
    <t>RWY Slope:</t>
  </si>
  <si>
    <t>RWY
HDG</t>
  </si>
  <si>
    <t>Minimum departure climb gradient, obstacles</t>
  </si>
  <si>
    <t>Uppdaterad</t>
  </si>
  <si>
    <t>ESCAPE ROUTE INFO</t>
  </si>
  <si>
    <t>Min cloud base</t>
  </si>
  <si>
    <t>Routing</t>
  </si>
  <si>
    <t>[ft]</t>
  </si>
  <si>
    <t>[m]</t>
  </si>
  <si>
    <t>[%]</t>
  </si>
  <si>
    <t>[°]</t>
  </si>
  <si>
    <t>[Date]</t>
  </si>
  <si>
    <t>No airport selected</t>
  </si>
  <si>
    <t>-</t>
  </si>
  <si>
    <t>Custom airport</t>
  </si>
  <si>
    <t>Kör mot OY gör en racetrack entry och stig på QDR 090 till MSA.</t>
  </si>
  <si>
    <t>ÄNDRA ljusgröna RADER VID BEHOV</t>
  </si>
  <si>
    <t>ESKM RWY 16</t>
  </si>
  <si>
    <t>ESKM RWY 34</t>
  </si>
  <si>
    <t>ESND RWY 09</t>
  </si>
  <si>
    <t>ESSA</t>
  </si>
  <si>
    <t>ESND RWY 27</t>
  </si>
  <si>
    <t>ESNU 14 B</t>
  </si>
  <si>
    <t>ESNU 14 FULL</t>
  </si>
  <si>
    <t>ESNU 32</t>
  </si>
  <si>
    <t>ESNU 32 D</t>
  </si>
  <si>
    <t>ESNZ RWY 12 G</t>
  </si>
  <si>
    <t>ESNZ RWY 30</t>
  </si>
  <si>
    <t>ESOH RWY 18</t>
  </si>
  <si>
    <t>ESOH RWY 36</t>
  </si>
  <si>
    <t>ESPA RWY 14 A3</t>
  </si>
  <si>
    <t>ESPA RWY 32 A5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</si>
  <si>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</si>
  <si>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</si>
  <si>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</si>
  <si>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</si>
  <si>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</si>
  <si>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</si>
  <si>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</si>
  <si>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</si>
  <si>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</si>
  <si>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</si>
  <si>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</si>
  <si>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</si>
  <si>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</si>
  <si>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</si>
  <si>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</si>
  <si>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</si>
  <si>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</si>
  <si>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</si>
  <si>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</si>
  <si>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</si>
  <si>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ESUP RWY 11</t>
  </si>
  <si>
    <t>ESUT RWY 15</t>
  </si>
  <si>
    <t>Climb STRAIGHT ahead to "SUT" LOCATOR and enter published holding.</t>
  </si>
  <si>
    <t>Source:</t>
  </si>
  <si>
    <t>AIP</t>
  </si>
  <si>
    <t>AIP AD</t>
  </si>
  <si>
    <t>AIP AD 2.12</t>
  </si>
  <si>
    <t>Uträknat från AIP "AOC"</t>
  </si>
  <si>
    <t>Factors</t>
  </si>
  <si>
    <t>X-wind</t>
  </si>
  <si>
    <t>RWCC</t>
  </si>
  <si>
    <t>Faktor</t>
  </si>
  <si>
    <t>FLAPS</t>
  </si>
  <si>
    <t>Runway take off</t>
  </si>
  <si>
    <t>Engine anti-ice</t>
  </si>
  <si>
    <t>ON</t>
  </si>
  <si>
    <t>Måttenhet</t>
  </si>
  <si>
    <t>Max</t>
  </si>
  <si>
    <t>Wet Runway</t>
  </si>
  <si>
    <t>Compacted snow</t>
  </si>
  <si>
    <t>Dry snow</t>
  </si>
  <si>
    <t>Wet snow</t>
  </si>
  <si>
    <t>Slush</t>
  </si>
  <si>
    <t>Standing water</t>
  </si>
  <si>
    <t>Static T/O power</t>
  </si>
  <si>
    <t>Rolling take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</si>
</sst>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yyyy\-mm\-dd"/>
  </numFmts>
  <fonts count="2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sz val="11"/>
      <color theme="1"/>
      <name val="Calibri"/>
      <scheme val="minor"/>
    </font>
    <font>
      <b/>
      <sz val="14"/>
      <color theme="1"/>
      <name val="Calibri"/>
    </font>
    <font>
      <b/>
      <sz val="25"/>
      <color theme="1"/>
      <name val="Calibri"/>
    </font>
    <font>
      <b/>
      <sz val="12"/>
      <color theme="1"/>
      <name val="Calibri"/>
    </font>
    <font>
      <sz val="10"/>
      <color theme="1"/>
      <name val="Calibri"/>
    </font>
    <font>
      <sz val="9"/>
      <color theme="1"/>
      <name val="Calibri"/>
    </font>
    <font>
      <b/>
      <sz val="17"/>
      <color theme="1"/>
      <name val="Calibri"/>
    </font>
    <font>
      <b/>
      <sz val="17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24"/>
      <color theme="1"/>
      <name val="Calibri"/>
    </font>
    <font>
      <sz val="25"/>
      <color theme="1"/>
      <name val="Calibri"/>
    </font>
    <font>
      <sz val="8"/>
      <color rgb="FF000000"/>
      <name val="Arial"/>
    </font>
    <font>
      <sz val="8"/>
      <color theme="1"/>
      <name val="Calibri"/>
    </font>
    <font>
      <sz val="9"/>
      <color rgb="FF000000"/>
      <name val="Google Sans"/>
    </font>
    <font>
      <sz val="11"/>
      <color theme="0"/>
      <name val="Calibri"/>
    </font>
    <font>
      <sz val="12"/>
      <color theme="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4"/>
        <bgColor theme="4"/>
      </patternFill>
    </fill>
  </fills>
  <borders count="100">
    <border>
      <left/>
      <right/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uble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/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33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 wrapText="1"/>
    </xf>
    <xf numFmtId="0" fontId="4" fillId="0" borderId="0" xfId="0" applyFont="1"/>
    <xf numFmtId="0" fontId="2" fillId="2" borderId="15" xfId="0" applyFont="1" applyFill="1" applyBorder="1" applyAlignment="1">
      <alignment horizontal="center" wrapText="1"/>
    </xf>
    <xf numFmtId="0" fontId="2" fillId="2" borderId="16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2" fillId="0" borderId="0" xfId="0" applyFont="1"/>
    <xf numFmtId="0" fontId="2" fillId="2" borderId="17" xfId="0" applyFont="1" applyFill="1" applyBorder="1" applyAlignment="1">
      <alignment horizontal="center"/>
    </xf>
    <xf numFmtId="0" fontId="2" fillId="0" borderId="18" xfId="0" applyFont="1" applyBorder="1"/>
    <xf numFmtId="0" fontId="2" fillId="2" borderId="19" xfId="0" quotePrefix="1" applyFont="1" applyFill="1" applyBorder="1" applyAlignment="1">
      <alignment horizontal="center" wrapText="1"/>
    </xf>
    <xf numFmtId="164" fontId="2" fillId="0" borderId="0" xfId="0" applyNumberFormat="1" applyFont="1" applyAlignment="1">
      <alignment horizontal="center" vertical="center"/>
    </xf>
    <xf numFmtId="0" fontId="2" fillId="2" borderId="19" xfId="0" applyFont="1" applyFill="1" applyBorder="1" applyAlignment="1">
      <alignment horizontal="center" wrapText="1"/>
    </xf>
    <xf numFmtId="0" fontId="2" fillId="0" borderId="20" xfId="0" applyFont="1" applyBorder="1"/>
    <xf numFmtId="1" fontId="2" fillId="2" borderId="19" xfId="0" quotePrefix="1" applyNumberFormat="1" applyFont="1" applyFill="1" applyBorder="1" applyAlignment="1">
      <alignment horizontal="center" wrapText="1"/>
    </xf>
    <xf numFmtId="1" fontId="2" fillId="2" borderId="19" xfId="0" applyNumberFormat="1" applyFont="1" applyFill="1" applyBorder="1" applyAlignment="1">
      <alignment horizontal="center" wrapText="1"/>
    </xf>
    <xf numFmtId="0" fontId="2" fillId="3" borderId="21" xfId="0" applyFont="1" applyFill="1" applyBorder="1" applyAlignment="1">
      <alignment horizontal="center"/>
    </xf>
    <xf numFmtId="1" fontId="2" fillId="3" borderId="22" xfId="0" applyNumberFormat="1" applyFont="1" applyFill="1" applyBorder="1" applyAlignment="1">
      <alignment horizontal="center"/>
    </xf>
    <xf numFmtId="0" fontId="2" fillId="0" borderId="23" xfId="0" applyFont="1" applyBorder="1"/>
    <xf numFmtId="1" fontId="2" fillId="3" borderId="19" xfId="0" applyNumberFormat="1" applyFont="1" applyFill="1" applyBorder="1" applyAlignment="1">
      <alignment horizontal="center"/>
    </xf>
    <xf numFmtId="1" fontId="2" fillId="3" borderId="24" xfId="0" applyNumberFormat="1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2" fontId="2" fillId="3" borderId="25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" fillId="3" borderId="27" xfId="0" applyNumberFormat="1" applyFont="1" applyFill="1" applyBorder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2" fillId="3" borderId="28" xfId="0" applyNumberFormat="1" applyFont="1" applyFill="1" applyBorder="1" applyAlignment="1">
      <alignment horizontal="center"/>
    </xf>
    <xf numFmtId="2" fontId="2" fillId="3" borderId="28" xfId="0" applyNumberFormat="1" applyFont="1" applyFill="1" applyBorder="1" applyAlignment="1">
      <alignment horizontal="center"/>
    </xf>
    <xf numFmtId="165" fontId="2" fillId="3" borderId="29" xfId="0" applyNumberFormat="1" applyFont="1" applyFill="1" applyBorder="1" applyAlignment="1">
      <alignment horizontal="center"/>
    </xf>
    <xf numFmtId="1" fontId="2" fillId="3" borderId="30" xfId="0" applyNumberFormat="1" applyFont="1" applyFill="1" applyBorder="1" applyAlignment="1">
      <alignment horizontal="center"/>
    </xf>
    <xf numFmtId="1" fontId="2" fillId="2" borderId="31" xfId="0" applyNumberFormat="1" applyFont="1" applyFill="1" applyBorder="1" applyAlignment="1">
      <alignment horizontal="center"/>
    </xf>
    <xf numFmtId="166" fontId="2" fillId="2" borderId="32" xfId="0" applyNumberFormat="1" applyFont="1" applyFill="1" applyBorder="1" applyAlignment="1">
      <alignment horizontal="center"/>
    </xf>
    <xf numFmtId="166" fontId="2" fillId="2" borderId="0" xfId="0" applyNumberFormat="1" applyFont="1" applyFill="1" applyAlignment="1">
      <alignment horizontal="center"/>
    </xf>
    <xf numFmtId="1" fontId="2" fillId="2" borderId="22" xfId="0" applyNumberFormat="1" applyFont="1" applyFill="1" applyBorder="1" applyAlignment="1">
      <alignment horizontal="center"/>
    </xf>
    <xf numFmtId="1" fontId="2" fillId="2" borderId="25" xfId="0" applyNumberFormat="1" applyFont="1" applyFill="1" applyBorder="1" applyAlignment="1">
      <alignment horizontal="center"/>
    </xf>
    <xf numFmtId="1" fontId="2" fillId="2" borderId="33" xfId="0" applyNumberFormat="1" applyFont="1" applyFill="1" applyBorder="1" applyAlignment="1">
      <alignment horizontal="center"/>
    </xf>
    <xf numFmtId="2" fontId="2" fillId="2" borderId="33" xfId="0" applyNumberFormat="1" applyFont="1" applyFill="1" applyBorder="1" applyAlignment="1">
      <alignment horizontal="center"/>
    </xf>
    <xf numFmtId="2" fontId="2" fillId="2" borderId="25" xfId="0" applyNumberFormat="1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1" fontId="2" fillId="2" borderId="34" xfId="0" applyNumberFormat="1" applyFont="1" applyFill="1" applyBorder="1" applyAlignment="1">
      <alignment horizontal="center"/>
    </xf>
    <xf numFmtId="1" fontId="2" fillId="2" borderId="35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21" xfId="0" applyNumberFormat="1" applyFont="1" applyFill="1" applyBorder="1" applyAlignment="1">
      <alignment horizontal="center"/>
    </xf>
    <xf numFmtId="0" fontId="2" fillId="2" borderId="3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2" fontId="2" fillId="2" borderId="24" xfId="0" applyNumberFormat="1" applyFont="1" applyFill="1" applyBorder="1" applyAlignment="1">
      <alignment horizontal="center"/>
    </xf>
    <xf numFmtId="1" fontId="2" fillId="2" borderId="19" xfId="0" applyNumberFormat="1" applyFont="1" applyFill="1" applyBorder="1" applyAlignment="1">
      <alignment horizontal="center"/>
    </xf>
    <xf numFmtId="166" fontId="2" fillId="2" borderId="27" xfId="0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4" fillId="5" borderId="0" xfId="0" applyFont="1" applyFill="1"/>
    <xf numFmtId="0" fontId="2" fillId="2" borderId="31" xfId="0" applyFont="1" applyFill="1" applyBorder="1" applyAlignment="1">
      <alignment horizontal="center"/>
    </xf>
    <xf numFmtId="0" fontId="6" fillId="0" borderId="36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/>
    </xf>
    <xf numFmtId="0" fontId="8" fillId="0" borderId="38" xfId="0" applyFont="1" applyBorder="1" applyAlignment="1">
      <alignment horizontal="center" vertical="center"/>
    </xf>
    <xf numFmtId="166" fontId="9" fillId="0" borderId="39" xfId="0" applyNumberFormat="1" applyFont="1" applyBorder="1" applyAlignment="1">
      <alignment horizontal="center" vertical="center"/>
    </xf>
    <xf numFmtId="0" fontId="2" fillId="2" borderId="27" xfId="0" applyFont="1" applyFill="1" applyBorder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0" fontId="12" fillId="7" borderId="43" xfId="0" applyFont="1" applyFill="1" applyBorder="1" applyAlignment="1">
      <alignment horizontal="left" vertical="center"/>
    </xf>
    <xf numFmtId="0" fontId="13" fillId="0" borderId="47" xfId="0" applyFont="1" applyBorder="1" applyAlignment="1">
      <alignment horizontal="right" vertical="center"/>
    </xf>
    <xf numFmtId="0" fontId="2" fillId="0" borderId="47" xfId="0" applyFont="1" applyBorder="1" applyAlignment="1">
      <alignment vertical="center"/>
    </xf>
    <xf numFmtId="0" fontId="2" fillId="0" borderId="47" xfId="0" applyFont="1" applyBorder="1" applyAlignment="1">
      <alignment horizontal="left" vertical="center"/>
    </xf>
    <xf numFmtId="0" fontId="2" fillId="2" borderId="28" xfId="0" applyFont="1" applyFill="1" applyBorder="1" applyAlignment="1">
      <alignment horizontal="center"/>
    </xf>
    <xf numFmtId="0" fontId="2" fillId="2" borderId="30" xfId="0" applyFont="1" applyFill="1" applyBorder="1" applyAlignment="1">
      <alignment horizontal="center"/>
    </xf>
    <xf numFmtId="0" fontId="13" fillId="8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0" borderId="47" xfId="0" applyFont="1" applyBorder="1" applyAlignment="1">
      <alignment horizontal="left"/>
    </xf>
    <xf numFmtId="0" fontId="2" fillId="0" borderId="0" xfId="0" applyFont="1" applyAlignment="1">
      <alignment horizontal="center" wrapText="1"/>
    </xf>
    <xf numFmtId="0" fontId="2" fillId="0" borderId="47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3" fillId="9" borderId="4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2" fillId="9" borderId="47" xfId="0" applyFont="1" applyFill="1" applyBorder="1"/>
    <xf numFmtId="1" fontId="1" fillId="11" borderId="47" xfId="0" applyNumberFormat="1" applyFont="1" applyFill="1" applyBorder="1" applyAlignment="1">
      <alignment horizontal="center" vertical="center"/>
    </xf>
    <xf numFmtId="1" fontId="2" fillId="11" borderId="47" xfId="0" applyNumberFormat="1" applyFont="1" applyFill="1" applyBorder="1" applyAlignment="1">
      <alignment horizontal="center" vertical="center"/>
    </xf>
    <xf numFmtId="1" fontId="1" fillId="8" borderId="4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" fontId="2" fillId="8" borderId="47" xfId="0" applyNumberFormat="1" applyFont="1" applyFill="1" applyBorder="1" applyAlignment="1">
      <alignment horizontal="center" vertical="center"/>
    </xf>
    <xf numFmtId="0" fontId="2" fillId="6" borderId="50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6" fillId="0" borderId="0" xfId="0" applyFont="1"/>
    <xf numFmtId="0" fontId="2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/>
    </xf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1" fontId="2" fillId="0" borderId="0" xfId="0" applyNumberFormat="1" applyFont="1"/>
    <xf numFmtId="1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2" fillId="6" borderId="50" xfId="0" applyFont="1" applyFill="1" applyBorder="1" applyAlignment="1">
      <alignment horizontal="center"/>
    </xf>
    <xf numFmtId="0" fontId="2" fillId="6" borderId="51" xfId="0" applyFont="1" applyFill="1" applyBorder="1" applyAlignment="1">
      <alignment horizontal="center"/>
    </xf>
    <xf numFmtId="1" fontId="2" fillId="0" borderId="0" xfId="0" applyNumberFormat="1" applyFont="1" applyAlignment="1">
      <alignment vertical="center"/>
    </xf>
    <xf numFmtId="0" fontId="7" fillId="0" borderId="52" xfId="0" applyFont="1" applyBorder="1" applyAlignment="1">
      <alignment horizontal="center" vertical="center"/>
    </xf>
    <xf numFmtId="1" fontId="4" fillId="0" borderId="0" xfId="0" applyNumberFormat="1" applyFont="1"/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7" fillId="0" borderId="56" xfId="0" applyFont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/>
    </xf>
    <xf numFmtId="1" fontId="2" fillId="0" borderId="36" xfId="0" applyNumberFormat="1" applyFont="1" applyBorder="1" applyAlignment="1">
      <alignment horizontal="center" vertical="center"/>
    </xf>
    <xf numFmtId="1" fontId="2" fillId="0" borderId="60" xfId="0" applyNumberFormat="1" applyFont="1" applyBorder="1" applyAlignment="1">
      <alignment horizontal="center" vertical="center"/>
    </xf>
    <xf numFmtId="1" fontId="2" fillId="0" borderId="61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 vertical="center"/>
    </xf>
    <xf numFmtId="1" fontId="2" fillId="0" borderId="62" xfId="0" applyNumberFormat="1" applyFont="1" applyBorder="1" applyAlignment="1">
      <alignment horizontal="center" vertical="center"/>
    </xf>
    <xf numFmtId="0" fontId="2" fillId="0" borderId="63" xfId="0" applyFont="1" applyBorder="1" applyAlignment="1">
      <alignment horizontal="right" vertical="center"/>
    </xf>
    <xf numFmtId="1" fontId="2" fillId="0" borderId="64" xfId="0" applyNumberFormat="1" applyFont="1" applyBorder="1" applyAlignment="1">
      <alignment horizontal="center" vertical="center"/>
    </xf>
    <xf numFmtId="1" fontId="2" fillId="0" borderId="65" xfId="0" applyNumberFormat="1" applyFont="1" applyBorder="1" applyAlignment="1">
      <alignment horizontal="center" vertical="center"/>
    </xf>
    <xf numFmtId="165" fontId="2" fillId="0" borderId="66" xfId="0" applyNumberFormat="1" applyFont="1" applyBorder="1" applyAlignment="1">
      <alignment horizontal="center" vertical="center"/>
    </xf>
    <xf numFmtId="165" fontId="2" fillId="0" borderId="64" xfId="0" applyNumberFormat="1" applyFont="1" applyBorder="1" applyAlignment="1">
      <alignment horizontal="center" vertical="center"/>
    </xf>
    <xf numFmtId="1" fontId="2" fillId="0" borderId="44" xfId="0" applyNumberFormat="1" applyFont="1" applyBorder="1" applyAlignment="1">
      <alignment horizontal="center" vertical="center"/>
    </xf>
    <xf numFmtId="0" fontId="2" fillId="0" borderId="67" xfId="0" applyFont="1" applyBorder="1" applyAlignment="1">
      <alignment horizontal="right" vertical="center"/>
    </xf>
    <xf numFmtId="1" fontId="2" fillId="0" borderId="66" xfId="0" applyNumberFormat="1" applyFont="1" applyBorder="1" applyAlignment="1">
      <alignment horizontal="center" vertical="center"/>
    </xf>
    <xf numFmtId="1" fontId="2" fillId="0" borderId="68" xfId="0" applyNumberFormat="1" applyFont="1" applyBorder="1" applyAlignment="1">
      <alignment horizontal="center" vertical="center"/>
    </xf>
    <xf numFmtId="1" fontId="1" fillId="0" borderId="69" xfId="0" applyNumberFormat="1" applyFont="1" applyBorder="1" applyAlignment="1">
      <alignment horizontal="center" vertical="center"/>
    </xf>
    <xf numFmtId="1" fontId="1" fillId="0" borderId="71" xfId="0" applyNumberFormat="1" applyFont="1" applyBorder="1" applyAlignment="1">
      <alignment horizontal="center" vertical="center"/>
    </xf>
    <xf numFmtId="1" fontId="2" fillId="0" borderId="72" xfId="0" applyNumberFormat="1" applyFont="1" applyBorder="1" applyAlignment="1">
      <alignment horizontal="center" vertical="center"/>
    </xf>
    <xf numFmtId="0" fontId="2" fillId="0" borderId="73" xfId="0" applyFont="1" applyBorder="1" applyAlignment="1">
      <alignment horizontal="right" vertical="center"/>
    </xf>
    <xf numFmtId="1" fontId="2" fillId="0" borderId="74" xfId="0" applyNumberFormat="1" applyFont="1" applyBorder="1" applyAlignment="1">
      <alignment horizontal="center" vertical="center"/>
    </xf>
    <xf numFmtId="1" fontId="2" fillId="0" borderId="47" xfId="0" applyNumberFormat="1" applyFont="1" applyBorder="1" applyAlignment="1">
      <alignment horizontal="center"/>
    </xf>
    <xf numFmtId="1" fontId="2" fillId="0" borderId="75" xfId="0" applyNumberFormat="1" applyFont="1" applyBorder="1" applyAlignment="1">
      <alignment horizontal="center" vertical="center"/>
    </xf>
    <xf numFmtId="1" fontId="2" fillId="0" borderId="76" xfId="0" applyNumberFormat="1" applyFont="1" applyBorder="1" applyAlignment="1">
      <alignment horizontal="center" vertical="center"/>
    </xf>
    <xf numFmtId="165" fontId="2" fillId="0" borderId="76" xfId="0" applyNumberFormat="1" applyFont="1" applyBorder="1" applyAlignment="1">
      <alignment horizontal="center" vertical="center"/>
    </xf>
    <xf numFmtId="165" fontId="2" fillId="0" borderId="74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77" xfId="0" applyFont="1" applyBorder="1" applyAlignment="1">
      <alignment horizontal="right" vertical="center"/>
    </xf>
    <xf numFmtId="1" fontId="2" fillId="0" borderId="48" xfId="0" applyNumberFormat="1" applyFont="1" applyBorder="1" applyAlignment="1">
      <alignment horizontal="center" vertical="center"/>
    </xf>
    <xf numFmtId="0" fontId="2" fillId="0" borderId="78" xfId="0" applyFont="1" applyBorder="1" applyAlignment="1">
      <alignment horizontal="right" vertical="center"/>
    </xf>
    <xf numFmtId="1" fontId="2" fillId="0" borderId="47" xfId="0" applyNumberFormat="1" applyFont="1" applyBorder="1" applyAlignment="1">
      <alignment horizontal="center" vertical="center"/>
    </xf>
    <xf numFmtId="165" fontId="2" fillId="0" borderId="79" xfId="0" applyNumberFormat="1" applyFont="1" applyBorder="1" applyAlignment="1">
      <alignment horizontal="center" vertical="center"/>
    </xf>
    <xf numFmtId="0" fontId="2" fillId="5" borderId="0" xfId="0" applyFont="1" applyFill="1"/>
    <xf numFmtId="0" fontId="2" fillId="0" borderId="82" xfId="0" applyFont="1" applyBorder="1" applyAlignment="1">
      <alignment horizontal="right" vertical="center"/>
    </xf>
    <xf numFmtId="0" fontId="2" fillId="0" borderId="83" xfId="0" applyFont="1" applyBorder="1" applyAlignment="1">
      <alignment horizontal="right" vertical="center"/>
    </xf>
    <xf numFmtId="4" fontId="2" fillId="0" borderId="8" xfId="0" applyNumberFormat="1" applyFont="1" applyBorder="1" applyAlignment="1">
      <alignment horizontal="center" vertical="center"/>
    </xf>
    <xf numFmtId="0" fontId="2" fillId="0" borderId="84" xfId="0" applyFont="1" applyBorder="1" applyAlignment="1">
      <alignment horizontal="right" vertical="center"/>
    </xf>
    <xf numFmtId="165" fontId="2" fillId="0" borderId="11" xfId="0" applyNumberFormat="1" applyFont="1" applyBorder="1" applyAlignment="1">
      <alignment horizontal="center" vertical="center"/>
    </xf>
    <xf numFmtId="1" fontId="18" fillId="0" borderId="0" xfId="0" applyNumberFormat="1" applyFont="1"/>
    <xf numFmtId="165" fontId="1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 vertical="center"/>
    </xf>
    <xf numFmtId="1" fontId="2" fillId="0" borderId="11" xfId="0" applyNumberFormat="1" applyFont="1" applyBorder="1" applyAlignment="1">
      <alignment horizontal="center" vertical="center"/>
    </xf>
    <xf numFmtId="1" fontId="2" fillId="0" borderId="88" xfId="0" applyNumberFormat="1" applyFont="1" applyBorder="1" applyAlignment="1">
      <alignment horizontal="center" vertical="center"/>
    </xf>
    <xf numFmtId="0" fontId="2" fillId="0" borderId="89" xfId="0" applyFont="1" applyBorder="1" applyAlignment="1">
      <alignment horizontal="right" vertical="center"/>
    </xf>
    <xf numFmtId="1" fontId="2" fillId="0" borderId="15" xfId="0" applyNumberFormat="1" applyFont="1" applyBorder="1" applyAlignment="1">
      <alignment horizontal="center" vertical="center"/>
    </xf>
    <xf numFmtId="0" fontId="2" fillId="0" borderId="81" xfId="0" applyFont="1" applyBorder="1" applyAlignment="1">
      <alignment horizontal="left" vertical="center"/>
    </xf>
    <xf numFmtId="0" fontId="2" fillId="0" borderId="81" xfId="0" applyFont="1" applyBorder="1"/>
    <xf numFmtId="1" fontId="2" fillId="0" borderId="81" xfId="0" applyNumberFormat="1" applyFont="1" applyBorder="1" applyAlignment="1">
      <alignment horizontal="center" vertical="center"/>
    </xf>
    <xf numFmtId="1" fontId="2" fillId="0" borderId="90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" fontId="2" fillId="0" borderId="0" xfId="0" applyNumberFormat="1" applyFont="1" applyAlignment="1">
      <alignment wrapText="1"/>
    </xf>
    <xf numFmtId="1" fontId="1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left"/>
    </xf>
    <xf numFmtId="0" fontId="4" fillId="0" borderId="80" xfId="0" applyFont="1" applyBorder="1"/>
    <xf numFmtId="0" fontId="4" fillId="0" borderId="81" xfId="0" applyFont="1" applyBorder="1"/>
    <xf numFmtId="0" fontId="4" fillId="0" borderId="83" xfId="0" applyFont="1" applyBorder="1"/>
    <xf numFmtId="9" fontId="2" fillId="0" borderId="0" xfId="0" applyNumberFormat="1" applyFont="1"/>
    <xf numFmtId="10" fontId="2" fillId="0" borderId="0" xfId="0" applyNumberFormat="1" applyFont="1"/>
    <xf numFmtId="1" fontId="1" fillId="0" borderId="0" xfId="0" applyNumberFormat="1" applyFont="1"/>
    <xf numFmtId="1" fontId="1" fillId="0" borderId="95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/>
    </xf>
    <xf numFmtId="0" fontId="1" fillId="0" borderId="97" xfId="0" applyFont="1" applyBorder="1"/>
    <xf numFmtId="1" fontId="1" fillId="0" borderId="98" xfId="0" applyNumberFormat="1" applyFont="1" applyBorder="1"/>
    <xf numFmtId="0" fontId="2" fillId="0" borderId="98" xfId="0" applyFont="1" applyBorder="1"/>
    <xf numFmtId="0" fontId="2" fillId="0" borderId="99" xfId="0" applyFont="1" applyBorder="1" applyAlignment="1">
      <alignment vertical="center"/>
    </xf>
    <xf numFmtId="0" fontId="2" fillId="0" borderId="97" xfId="0" applyFont="1" applyBorder="1"/>
    <xf numFmtId="0" fontId="2" fillId="0" borderId="80" xfId="0" applyFont="1" applyBorder="1"/>
    <xf numFmtId="1" fontId="2" fillId="0" borderId="81" xfId="0" applyNumberFormat="1" applyFont="1" applyBorder="1"/>
    <xf numFmtId="0" fontId="1" fillId="0" borderId="80" xfId="0" applyFont="1" applyBorder="1"/>
    <xf numFmtId="1" fontId="1" fillId="0" borderId="81" xfId="0" applyNumberFormat="1" applyFont="1" applyBorder="1"/>
    <xf numFmtId="0" fontId="2" fillId="0" borderId="83" xfId="0" applyFont="1" applyBorder="1" applyAlignment="1">
      <alignment vertical="center"/>
    </xf>
    <xf numFmtId="0" fontId="1" fillId="0" borderId="98" xfId="0" applyFont="1" applyBorder="1"/>
    <xf numFmtId="0" fontId="1" fillId="0" borderId="0" xfId="0" applyFont="1" applyAlignment="1">
      <alignment horizontal="left"/>
    </xf>
    <xf numFmtId="0" fontId="1" fillId="0" borderId="99" xfId="0" applyFont="1" applyBorder="1"/>
    <xf numFmtId="0" fontId="1" fillId="0" borderId="81" xfId="0" applyFont="1" applyBorder="1"/>
    <xf numFmtId="0" fontId="1" fillId="0" borderId="70" xfId="0" applyFont="1" applyBorder="1"/>
    <xf numFmtId="165" fontId="1" fillId="0" borderId="97" xfId="0" applyNumberFormat="1" applyFont="1" applyBorder="1"/>
    <xf numFmtId="0" fontId="1" fillId="0" borderId="42" xfId="0" applyFont="1" applyBorder="1"/>
    <xf numFmtId="165" fontId="1" fillId="0" borderId="98" xfId="0" applyNumberFormat="1" applyFont="1" applyBorder="1"/>
    <xf numFmtId="1" fontId="1" fillId="0" borderId="42" xfId="0" applyNumberFormat="1" applyFont="1" applyBorder="1"/>
    <xf numFmtId="165" fontId="2" fillId="0" borderId="98" xfId="0" applyNumberFormat="1" applyFont="1" applyBorder="1"/>
    <xf numFmtId="0" fontId="2" fillId="0" borderId="42" xfId="0" applyFont="1" applyBorder="1"/>
    <xf numFmtId="165" fontId="1" fillId="0" borderId="0" xfId="0" applyNumberFormat="1" applyFont="1"/>
    <xf numFmtId="1" fontId="1" fillId="0" borderId="83" xfId="0" applyNumberFormat="1" applyFont="1" applyBorder="1"/>
    <xf numFmtId="2" fontId="1" fillId="0" borderId="97" xfId="0" applyNumberFormat="1" applyFont="1" applyBorder="1"/>
    <xf numFmtId="2" fontId="1" fillId="0" borderId="98" xfId="0" applyNumberFormat="1" applyFont="1" applyBorder="1"/>
    <xf numFmtId="2" fontId="2" fillId="0" borderId="98" xfId="0" applyNumberFormat="1" applyFont="1" applyBorder="1"/>
    <xf numFmtId="0" fontId="1" fillId="0" borderId="83" xfId="0" applyFont="1" applyBorder="1"/>
    <xf numFmtId="165" fontId="1" fillId="0" borderId="80" xfId="0" applyNumberFormat="1" applyFont="1" applyBorder="1"/>
    <xf numFmtId="165" fontId="1" fillId="0" borderId="81" xfId="0" applyNumberFormat="1" applyFont="1" applyBorder="1"/>
    <xf numFmtId="0" fontId="1" fillId="0" borderId="43" xfId="0" applyFont="1" applyBorder="1"/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165" fontId="1" fillId="0" borderId="42" xfId="0" applyNumberFormat="1" applyFont="1" applyBorder="1"/>
    <xf numFmtId="165" fontId="2" fillId="0" borderId="81" xfId="0" applyNumberFormat="1" applyFont="1" applyBorder="1"/>
    <xf numFmtId="2" fontId="1" fillId="0" borderId="80" xfId="0" applyNumberFormat="1" applyFont="1" applyBorder="1"/>
    <xf numFmtId="2" fontId="1" fillId="0" borderId="81" xfId="0" applyNumberFormat="1" applyFont="1" applyBorder="1"/>
    <xf numFmtId="2" fontId="2" fillId="0" borderId="81" xfId="0" applyNumberFormat="1" applyFont="1" applyBorder="1"/>
    <xf numFmtId="2" fontId="4" fillId="0" borderId="0" xfId="0" applyNumberFormat="1" applyFont="1"/>
    <xf numFmtId="0" fontId="10" fillId="6" borderId="70" xfId="0" applyFont="1" applyFill="1" applyBorder="1" applyAlignment="1">
      <alignment horizontal="right" vertical="center"/>
    </xf>
    <xf numFmtId="0" fontId="2" fillId="0" borderId="50" xfId="0" applyFont="1" applyBorder="1" applyAlignment="1">
      <alignment horizontal="right" vertical="center"/>
    </xf>
    <xf numFmtId="0" fontId="2" fillId="0" borderId="51" xfId="0" applyFont="1" applyBorder="1"/>
    <xf numFmtId="0" fontId="2" fillId="4" borderId="96" xfId="0" applyFont="1" applyFill="1" applyBorder="1"/>
    <xf numFmtId="0" fontId="2" fillId="0" borderId="51" xfId="0" applyFont="1" applyBorder="1" applyAlignment="1">
      <alignment horizontal="left"/>
    </xf>
    <xf numFmtId="0" fontId="2" fillId="0" borderId="51" xfId="0" applyFont="1" applyBorder="1" applyAlignment="1">
      <alignment horizontal="center"/>
    </xf>
    <xf numFmtId="0" fontId="1" fillId="2" borderId="97" xfId="0" applyFont="1" applyFill="1" applyBorder="1" applyAlignment="1">
      <alignment horizontal="right" vertical="center"/>
    </xf>
    <xf numFmtId="0" fontId="1" fillId="2" borderId="98" xfId="0" applyFont="1" applyFill="1" applyBorder="1" applyAlignment="1">
      <alignment horizontal="center" vertical="center"/>
    </xf>
    <xf numFmtId="0" fontId="1" fillId="2" borderId="98" xfId="0" applyFont="1" applyFill="1" applyBorder="1" applyAlignment="1">
      <alignment horizontal="center"/>
    </xf>
    <xf numFmtId="0" fontId="1" fillId="2" borderId="99" xfId="0" applyFont="1" applyFill="1" applyBorder="1" applyAlignment="1">
      <alignment horizontal="center"/>
    </xf>
    <xf numFmtId="0" fontId="17" fillId="0" borderId="50" xfId="0" applyFont="1" applyBorder="1" applyAlignment="1">
      <alignment horizontal="right" vertical="center"/>
    </xf>
    <xf numFmtId="0" fontId="4" fillId="0" borderId="50" xfId="0" applyFont="1" applyBorder="1" applyAlignment="1">
      <alignment horizontal="right"/>
    </xf>
    <xf numFmtId="0" fontId="4" fillId="0" borderId="51" xfId="0" applyFont="1" applyBorder="1"/>
    <xf numFmtId="0" fontId="4" fillId="0" borderId="50" xfId="0" applyFont="1" applyBorder="1"/>
    <xf numFmtId="0" fontId="2" fillId="6" borderId="96" xfId="0" applyFont="1" applyFill="1" applyBorder="1" applyAlignment="1">
      <alignment horizontal="center"/>
    </xf>
    <xf numFmtId="0" fontId="1" fillId="0" borderId="50" xfId="0" applyFont="1" applyBorder="1" applyAlignment="1">
      <alignment horizontal="right" vertical="center"/>
    </xf>
    <xf numFmtId="0" fontId="1" fillId="0" borderId="51" xfId="0" applyFont="1" applyBorder="1" applyAlignment="1">
      <alignment horizontal="center"/>
    </xf>
    <xf numFmtId="1" fontId="1" fillId="0" borderId="51" xfId="0" applyNumberFormat="1" applyFont="1" applyBorder="1" applyAlignment="1">
      <alignment horizontal="right" vertical="center"/>
    </xf>
    <xf numFmtId="0" fontId="2" fillId="0" borderId="50" xfId="0" applyFont="1" applyBorder="1" applyAlignment="1">
      <alignment horizontal="center" vertical="center"/>
    </xf>
    <xf numFmtId="1" fontId="2" fillId="3" borderId="26" xfId="0" applyNumberFormat="1" applyFont="1" applyFill="1" applyBorder="1" applyAlignment="1">
      <alignment horizontal="center"/>
    </xf>
    <xf numFmtId="1" fontId="2" fillId="3" borderId="29" xfId="0" applyNumberFormat="1" applyFont="1" applyFill="1" applyBorder="1" applyAlignment="1">
      <alignment horizontal="center"/>
    </xf>
    <xf numFmtId="2" fontId="2" fillId="2" borderId="31" xfId="0" applyNumberFormat="1" applyFont="1" applyFill="1" applyBorder="1" applyAlignment="1">
      <alignment horizontal="center"/>
    </xf>
    <xf numFmtId="1" fontId="2" fillId="2" borderId="95" xfId="0" applyNumberFormat="1" applyFont="1" applyFill="1" applyBorder="1" applyAlignment="1">
      <alignment horizontal="center"/>
    </xf>
    <xf numFmtId="0" fontId="2" fillId="2" borderId="95" xfId="0" applyFont="1" applyFill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9" fillId="13" borderId="96" xfId="0" applyFont="1" applyFill="1" applyBorder="1" applyAlignment="1">
      <alignment horizontal="center" vertical="center"/>
    </xf>
    <xf numFmtId="1" fontId="19" fillId="13" borderId="96" xfId="0" applyNumberFormat="1" applyFont="1" applyFill="1" applyBorder="1" applyAlignment="1">
      <alignment horizontal="center" vertical="center"/>
    </xf>
    <xf numFmtId="2" fontId="19" fillId="13" borderId="96" xfId="0" applyNumberFormat="1" applyFont="1" applyFill="1" applyBorder="1" applyAlignment="1">
      <alignment horizontal="center" vertical="center"/>
    </xf>
    <xf numFmtId="0" fontId="2" fillId="14" borderId="96" xfId="0" applyFont="1" applyFill="1" applyBorder="1"/>
    <xf numFmtId="0" fontId="2" fillId="14" borderId="96" xfId="0" applyFont="1" applyFill="1" applyBorder="1" applyAlignment="1">
      <alignment horizontal="center" vertical="center"/>
    </xf>
    <xf numFmtId="0" fontId="2" fillId="15" borderId="96" xfId="0" applyFont="1" applyFill="1" applyBorder="1"/>
    <xf numFmtId="0" fontId="2" fillId="15" borderId="96" xfId="0" applyFont="1" applyFill="1" applyBorder="1" applyAlignment="1">
      <alignment horizontal="center" vertical="center"/>
    </xf>
    <xf numFmtId="0" fontId="18" fillId="8" borderId="96" xfId="0" applyFont="1" applyFill="1" applyBorder="1"/>
    <xf numFmtId="0" fontId="2" fillId="0" borderId="50" xfId="0" applyFont="1" applyBorder="1"/>
    <xf numFmtId="0" fontId="2" fillId="0" borderId="51" xfId="0" applyFont="1" applyBorder="1" applyAlignment="1">
      <alignment vertical="center"/>
    </xf>
    <xf numFmtId="0" fontId="1" fillId="0" borderId="50" xfId="0" applyFont="1" applyBorder="1"/>
    <xf numFmtId="0" fontId="1" fillId="0" borderId="51" xfId="0" applyFont="1" applyBorder="1"/>
    <xf numFmtId="165" fontId="1" fillId="0" borderId="50" xfId="0" applyNumberFormat="1" applyFont="1" applyBorder="1"/>
    <xf numFmtId="2" fontId="1" fillId="0" borderId="50" xfId="0" applyNumberFormat="1" applyFont="1" applyBorder="1"/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" fillId="0" borderId="81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1" fillId="16" borderId="96" xfId="0" applyFont="1" applyFill="1" applyBorder="1" applyAlignment="1">
      <alignment horizontal="center"/>
    </xf>
    <xf numFmtId="0" fontId="7" fillId="0" borderId="5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10" borderId="48" xfId="0" applyFont="1" applyFill="1" applyBorder="1" applyAlignment="1">
      <alignment horizontal="center" vertical="center"/>
    </xf>
    <xf numFmtId="0" fontId="7" fillId="10" borderId="44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7" fillId="10" borderId="48" xfId="0" applyFont="1" applyFill="1" applyBorder="1" applyAlignment="1">
      <alignment horizontal="center" vertical="center" wrapText="1"/>
    </xf>
    <xf numFmtId="0" fontId="2" fillId="12" borderId="96" xfId="0" applyFont="1" applyFill="1" applyBorder="1" applyAlignment="1">
      <alignment wrapText="1"/>
    </xf>
    <xf numFmtId="0" fontId="2" fillId="6" borderId="96" xfId="0" applyFont="1" applyFill="1" applyBorder="1" applyAlignment="1">
      <alignment vertical="center"/>
    </xf>
    <xf numFmtId="0" fontId="2" fillId="0" borderId="0" xfId="0" quotePrefix="1" applyFont="1" applyAlignment="1">
      <alignment vertical="center"/>
    </xf>
    <xf numFmtId="0" fontId="2" fillId="0" borderId="0" xfId="0" applyFont="1" applyAlignment="1">
      <alignment horizontal="right" wrapText="1"/>
    </xf>
    <xf numFmtId="0" fontId="2" fillId="6" borderId="70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1" fontId="2" fillId="0" borderId="85" xfId="0" applyNumberFormat="1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textRotation="90" wrapText="1"/>
    </xf>
    <xf numFmtId="0" fontId="4" fillId="0" borderId="0" xfId="0" applyFont="1" applyAlignment="1">
      <alignment horizontal="left" vertical="center"/>
    </xf>
    <xf numFmtId="0" fontId="1" fillId="5" borderId="81" xfId="0" applyFont="1" applyFill="1" applyBorder="1" applyAlignment="1">
      <alignment horizontal="center"/>
    </xf>
    <xf numFmtId="0" fontId="9" fillId="0" borderId="50" xfId="0" applyFont="1" applyBorder="1" applyAlignment="1">
      <alignment horizontal="center" vertical="center"/>
    </xf>
    <xf numFmtId="0" fontId="11" fillId="7" borderId="42" xfId="0" applyFont="1" applyFill="1" applyBorder="1" applyAlignment="1">
      <alignment horizontal="left" vertical="center"/>
    </xf>
    <xf numFmtId="0" fontId="13" fillId="7" borderId="4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11" fillId="7" borderId="40" xfId="0" applyFont="1" applyFill="1" applyBorder="1" applyAlignment="1">
      <alignment horizontal="left" vertical="center"/>
    </xf>
    <xf numFmtId="0" fontId="2" fillId="6" borderId="97" xfId="0" applyFont="1" applyFill="1" applyBorder="1" applyAlignment="1">
      <alignment horizontal="center" vertical="center"/>
    </xf>
    <xf numFmtId="0" fontId="17" fillId="0" borderId="50" xfId="0" applyFont="1" applyBorder="1" applyAlignment="1">
      <alignment horizontal="right" vertical="center" wrapText="1"/>
    </xf>
    <xf numFmtId="0" fontId="2" fillId="0" borderId="0" xfId="0" applyFont="1" applyAlignment="1">
      <alignment horizontal="center"/>
    </xf>
    <xf numFmtId="0" fontId="17" fillId="0" borderId="80" xfId="0" applyFont="1" applyBorder="1" applyAlignment="1">
      <alignment horizontal="left" vertical="center"/>
    </xf>
    <xf numFmtId="0" fontId="4" fillId="0" borderId="0" xfId="0" applyFont="1" applyAlignment="1">
      <alignment horizontal="center" vertical="top" textRotation="90"/>
    </xf>
    <xf numFmtId="0" fontId="2" fillId="6" borderId="9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4" borderId="96" xfId="0" applyFont="1" applyFill="1" applyBorder="1" applyAlignment="1">
      <alignment horizontal="center" vertical="center"/>
    </xf>
    <xf numFmtId="0" fontId="3" fillId="0" borderId="81" xfId="0" applyFont="1" applyBorder="1" applyAlignment="1"/>
    <xf numFmtId="0" fontId="0" fillId="0" borderId="0" xfId="0" applyAlignment="1"/>
    <xf numFmtId="0" fontId="3" fillId="0" borderId="42" xfId="0" applyFont="1" applyBorder="1" applyAlignment="1"/>
    <xf numFmtId="0" fontId="3" fillId="0" borderId="45" xfId="0" applyFont="1" applyBorder="1" applyAlignment="1"/>
    <xf numFmtId="0" fontId="3" fillId="0" borderId="46" xfId="0" applyFont="1" applyBorder="1" applyAlignment="1"/>
    <xf numFmtId="0" fontId="3" fillId="0" borderId="51" xfId="0" applyFont="1" applyBorder="1" applyAlignment="1"/>
    <xf numFmtId="0" fontId="14" fillId="0" borderId="51" xfId="0" applyFont="1" applyBorder="1" applyAlignment="1"/>
    <xf numFmtId="0" fontId="15" fillId="0" borderId="51" xfId="0" applyFont="1" applyBorder="1" applyAlignment="1"/>
    <xf numFmtId="0" fontId="3" fillId="0" borderId="96" xfId="0" applyFont="1" applyBorder="1" applyAlignment="1"/>
    <xf numFmtId="0" fontId="3" fillId="0" borderId="43" xfId="0" applyFont="1" applyBorder="1" applyAlignment="1"/>
    <xf numFmtId="0" fontId="3" fillId="0" borderId="86" xfId="0" applyFont="1" applyBorder="1" applyAlignment="1"/>
    <xf numFmtId="0" fontId="3" fillId="0" borderId="87" xfId="0" applyFont="1" applyBorder="1" applyAlignment="1"/>
    <xf numFmtId="0" fontId="3" fillId="0" borderId="91" xfId="0" applyFont="1" applyBorder="1" applyAlignment="1"/>
    <xf numFmtId="0" fontId="3" fillId="0" borderId="67" xfId="0" applyFont="1" applyBorder="1" applyAlignment="1"/>
    <xf numFmtId="0" fontId="3" fillId="0" borderId="92" xfId="0" applyFont="1" applyBorder="1" applyAlignment="1"/>
    <xf numFmtId="0" fontId="3" fillId="0" borderId="93" xfId="0" applyFont="1" applyBorder="1" applyAlignment="1"/>
    <xf numFmtId="0" fontId="3" fillId="0" borderId="94" xfId="0" applyFont="1" applyBorder="1" applyAlignment="1"/>
    <xf numFmtId="0" fontId="3" fillId="0" borderId="49" xfId="0" applyFont="1" applyBorder="1" applyAlignment="1"/>
    <xf numFmtId="0" fontId="3" fillId="0" borderId="11" xfId="0" applyFont="1" applyBorder="1" applyAlignment="1"/>
    <xf numFmtId="0" fontId="3" fillId="0" borderId="53" xfId="0" applyFont="1" applyBorder="1" applyAlignment="1"/>
    <xf numFmtId="0" fontId="3" fillId="0" borderId="13" xfId="0" applyFont="1" applyBorder="1" applyAlignment="1"/>
    <xf numFmtId="0" fontId="3" fillId="0" borderId="37" xfId="0" applyFont="1" applyBorder="1" applyAlignment="1"/>
    <xf numFmtId="0" fontId="3" fillId="0" borderId="40" xfId="0" applyFont="1" applyBorder="1" applyAlignment="1"/>
    <xf numFmtId="0" fontId="3" fillId="0" borderId="41" xfId="0" applyFont="1" applyBorder="1" applyAlignment="1"/>
    <xf numFmtId="0" fontId="3" fillId="0" borderId="98" xfId="0" applyFont="1" applyBorder="1" applyAlignment="1"/>
    <xf numFmtId="0" fontId="3" fillId="0" borderId="99" xfId="0" applyFont="1" applyBorder="1" applyAlignment="1"/>
    <xf numFmtId="0" fontId="3" fillId="0" borderId="17" xfId="0" applyFont="1" applyBorder="1" applyAlignment="1"/>
    <xf numFmtId="0" fontId="3" fillId="0" borderId="19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3" fillId="0" borderId="10" xfId="0" applyFont="1" applyBorder="1" applyAlignment="1"/>
    <xf numFmtId="0" fontId="3" fillId="0" borderId="12" xfId="0" applyFont="1" applyBorder="1" applyAlignment="1"/>
  </cellXfs>
  <cellStyles count="1">
    <cellStyle name="Normal" xfId="0" builtinId="0"/>
  </cellStyles>
  <dxfs count="4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Selected Contaminant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'Take-off'!$B$55</c:f>
              <c:strCache>
                <c:ptCount val="1"/>
                <c:pt idx="0">
                  <c:v>ASDA:</c:v>
                </c:pt>
              </c:strCache>
            </c:strRef>
          </c:tx>
          <c:spPr>
            <a:solidFill>
              <a:srgbClr val="434343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'Take-off'!$C$55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9-4A42-BE61-F176542A5416}"/>
            </c:ext>
          </c:extLst>
        </c:ser>
        <c:ser>
          <c:idx val="1"/>
          <c:order val="1"/>
          <c:tx>
            <c:strRef>
              <c:f>'Take-off'!$B$56</c:f>
              <c:strCache>
                <c:ptCount val="1"/>
                <c:pt idx="0">
                  <c:v>TORA:</c:v>
                </c:pt>
              </c:strCache>
            </c:strRef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'Take-off'!$C$56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9-4A42-BE61-F176542A5416}"/>
            </c:ext>
          </c:extLst>
        </c:ser>
        <c:ser>
          <c:idx val="2"/>
          <c:order val="2"/>
          <c:tx>
            <c:strRef>
              <c:f>'Take-off'!$B$57</c:f>
              <c:strCache>
                <c:ptCount val="1"/>
                <c:pt idx="0">
                  <c:v>TODA:</c:v>
                </c:pt>
              </c:strCache>
            </c:strRef>
          </c:tx>
          <c:spPr>
            <a:solidFill>
              <a:srgbClr val="999999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'Take-off'!$C$57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9-4A42-BE61-F176542A5416}"/>
            </c:ext>
          </c:extLst>
        </c:ser>
        <c:ser>
          <c:idx val="3"/>
          <c:order val="3"/>
          <c:tx>
            <c:strRef>
              <c:f>'Take-off'!$B$58</c:f>
              <c:strCache>
                <c:ptCount val="1"/>
                <c:pt idx="0">
                  <c:v>Ground Roll [m]</c:v>
                </c:pt>
              </c:strCache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'Take-off'!$C$58</c:f>
              <c:numCache>
                <c:formatCode>0</c:formatCode>
                <c:ptCount val="1"/>
                <c:pt idx="0">
                  <c:v>451.92682926829269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29-4A42-BE61-F176542A5416}"/>
            </c:ext>
          </c:extLst>
        </c:ser>
        <c:ser>
          <c:idx val="4"/>
          <c:order val="4"/>
          <c:tx>
            <c:strRef>
              <c:f>'Take-off'!$B$59</c:f>
              <c:strCache>
                <c:ptCount val="1"/>
                <c:pt idx="0">
                  <c:v>Take off distance [m]</c:v>
                </c:pt>
              </c:strCache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'Take-off'!$C$59</c:f>
              <c:numCache>
                <c:formatCode>0</c:formatCode>
                <c:ptCount val="1"/>
                <c:pt idx="0">
                  <c:v>757.92682926829275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C29-4A42-BE61-F176542A5416}"/>
            </c:ext>
          </c:extLst>
        </c:ser>
        <c:ser>
          <c:idx val="5"/>
          <c:order val="5"/>
          <c:tx>
            <c:strRef>
              <c:f>'Take-off'!$B$60</c:f>
              <c:strCache>
                <c:ptCount val="1"/>
                <c:pt idx="0">
                  <c:v>Accelerade &amp; STOP [m]</c:v>
                </c:pt>
              </c:strCache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'Take-off'!$C$60</c:f>
              <c:numCache>
                <c:formatCode>0</c:formatCode>
                <c:ptCount val="1"/>
                <c:pt idx="0">
                  <c:v>788.41463414634154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29-4A42-BE61-F176542A5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6860980"/>
        <c:axId val="592389054"/>
      </c:barChart>
      <c:catAx>
        <c:axId val="182686098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2389054"/>
        <c:crosses val="autoZero"/>
        <c:auto val="1"/>
        <c:lblAlgn val="ctr"/>
        <c:lblOffset val="100"/>
        <c:noMultiLvlLbl val="1"/>
      </c:catAx>
      <c:valAx>
        <c:axId val="5923890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Flaps UP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6860980"/>
        <c:crosses val="max"/>
        <c:crossBetween val="between"/>
      </c:valAx>
    </c:plotArea>
    <c:legend>
      <c:legendPos val="tr"/>
      <c:overlay val="1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LDA</c:v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2300</c:v>
                </c:pt>
                <c:pt idx="1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A-431C-8642-39D7CCD2B969}"/>
            </c:ext>
          </c:extLst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1587.5514890243899</c:v>
                </c:pt>
                <c:pt idx="1">
                  <c:v>933.8538170731706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A-431C-8642-39D7CCD2B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872040"/>
        <c:axId val="1220987704"/>
      </c:barChart>
      <c:catAx>
        <c:axId val="8058720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0987704"/>
        <c:crosses val="autoZero"/>
        <c:auto val="1"/>
        <c:lblAlgn val="ctr"/>
        <c:lblOffset val="100"/>
        <c:noMultiLvlLbl val="1"/>
      </c:catAx>
      <c:valAx>
        <c:axId val="12209877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5872040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209550</xdr:colOff>
      <xdr:row>46</xdr:row>
      <xdr:rowOff>76200</xdr:rowOff>
    </xdr:from>
    <xdr:ext cx="5715000" cy="3533775"/>
    <xdr:graphicFrame macro="">
      <xdr:nvGraphicFramePr>
        <xdr:cNvPr id="2" name="Chart 1" title="Diagra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266700</xdr:colOff>
      <xdr:row>31</xdr:row>
      <xdr:rowOff>104775</xdr:rowOff>
    </xdr:from>
    <xdr:ext cx="5153025" cy="2667000"/>
    <xdr:graphicFrame macro="">
      <xdr:nvGraphicFramePr>
        <xdr:cNvPr id="2" name="Chart 2" title="Diagra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ns-ops" id="{BC107197-E4A2-4D78-A12F-12AE4EB72F2D}" userId="" providerId="google-sheets"/>
  <person displayName="Erik Jonasson" id="{4650A6DE-A670-426F-BF1A-97AD2C13CD85}" userId="" providerId="google-sheets"/>
  <person displayName="markus.uppenberg@jonair.se" id="{D06A7672-6E3D-4428-A40C-A6D15A12D151}" userId="markus.uppenberg@jonair.se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3" dT="2026-09-09T09:57:58.00" personId="{4650A6DE-A670-426F-BF1A-97AD2C13CD85}" id="{DBFE3512-74E1-44AE-9D49-AC8C6AA65C95}" done="1">
    <text>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ext>
    <mentions>
      <mention mentionpersonId="{D06A7672-6E3D-4428-A40C-A6D15A12D151}" mentionId="{A05733FD-5863-4EA4-9AC3-680C825143DA}" startIndex="0" length="27"/>
    </mentions>
  </threadedComment>
  <threadedComment ref="B19" dT="2026-09-08T18:06:20.00" personId="{00000000-0000-0000-0000-000000000000}" id="{1E351F40-92C6-47ED-AB42-4B56F98145A6}" done="1">
    <text>Includes 10m for aircraft alignment</text>
  </threadedComment>
  <threadedComment ref="B21" dT="2026-09-08T18:06:20.00" personId="{00000000-0000-0000-0000-000000000000}" id="{BEDB02F0-B54E-4C0E-B1EF-9FC1F6E4D396}" done="1">
    <text>Includes 10m for aircraft alignment</text>
  </threadedComment>
  <threadedComment ref="I40" dT="2026-09-08T18:06:20.00" personId="{BC107197-E4A2-4D78-A12F-12AE4EB72F2D}" id="{8BD70D89-D93B-4AF7-8C07-B787AC1C8294}">
    <text>Hinderfritt 2,5%
Plus 0,8% marginal
Annars står det på SID eller på annan plats</text>
  </threadedComment>
  <threadedComment ref="B42" dT="2026-09-08T18:06:20.00" personId="{00000000-0000-0000-0000-000000000000}" id="{2FAB5A5E-B843-4ED5-942D-1DB510423E0E}">
    <text>Climb Gradient (%) wind corrected = Climb Gradient (%) x (Airspeed/ GS)
50% headwind
150% tailwind</text>
  </threadedComment>
  <threadedComment ref="A199" dT="2026-09-08T18:06:20.00" personId="{00000000-0000-0000-0000-000000000000}" id="{F71A44D2-93CC-405D-95EC-DF9F3E162A39}">
    <text>Till 35 fot</text>
  </threadedComment>
  <threadedComment ref="A200" dT="2026-09-08T18:06:20.00" personId="{00000000-0000-0000-0000-000000000000}" id="{C1DFBF76-7A3E-408A-9F9D-3AFF83575622}">
    <text>Till 15 fot enligt reglerna</text>
  </threadedComment>
  <threadedComment ref="A239" dT="2026-09-08T18:06:20.00" personId="{00000000-0000-0000-0000-000000000000}" id="{917E309F-6A41-497A-86B0-A27F2143DC6C}">
    <text>Till 35 fot</text>
  </threadedComment>
  <threadedComment ref="A240" dT="2026-09-08T18:06:20.00" personId="{00000000-0000-0000-0000-000000000000}" id="{2A2BBFF1-76AA-4FBE-BA85-36A2F297CE86}">
    <text>Till 15 fot enligt reglerna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9-08T18:06:20.00" personId="{00000000-0000-0000-0000-000000000000}" id="{EFAC0845-592D-4113-B9AC-C129A309F311}">
    <text>RWCC eller "70%" (OM-A 8.1.5.6 Commencement and continuation of an approach)</text>
  </threadedComment>
  <threadedComment ref="B31" dT="2026-09-08T18:06:20.00" personId="{00000000-0000-0000-0000-000000000000}" id="{A93E9C67-4BDA-47AB-B37B-389AA85C152C}">
    <text>Climb Gradient (%) wind corrected = Climb Gradient (%) x (Airspeed/ GS)
50% headwind
150% tailwind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1006"/>
  <sheetViews>
    <sheetView showGridLines="0" tabSelected="1" topLeftCell="A478" workbookViewId="0">
      <selection activeCell="C495" sqref="C495"/>
    </sheetView>
  </sheetViews>
  <sheetFormatPr defaultColWidth="14.42578125" defaultRowHeight="15" customHeight="1" outlineLevelRow="1"/>
  <cols>
    <col min="1" max="1" width="4" customWidth="1"/>
    <col min="2" max="2" width="28.28515625" customWidth="1"/>
    <col min="3" max="3" width="19.28515625" customWidth="1"/>
    <col min="4" max="4" width="9.140625" customWidth="1"/>
    <col min="5" max="5" width="6.5703125" customWidth="1"/>
    <col min="6" max="6" width="15" customWidth="1"/>
    <col min="7" max="7" width="9" customWidth="1"/>
    <col min="8" max="8" width="5.42578125" customWidth="1"/>
    <col min="9" max="9" width="6.140625" customWidth="1"/>
    <col min="10" max="13" width="12.140625" customWidth="1"/>
    <col min="16" max="16" width="50.28515625" customWidth="1"/>
  </cols>
  <sheetData>
    <row r="1" spans="1:12" ht="15" customHeight="1">
      <c r="B1" s="283" t="s">
        <v>0</v>
      </c>
      <c r="C1" s="303"/>
      <c r="D1" s="303"/>
      <c r="E1" s="303"/>
      <c r="F1" s="303"/>
      <c r="G1" s="303"/>
    </row>
    <row r="2" spans="1:12" ht="32.25">
      <c r="A2" s="55"/>
      <c r="B2" s="57" t="s">
        <v>1</v>
      </c>
      <c r="C2" s="58"/>
      <c r="D2" s="58"/>
      <c r="E2" s="58"/>
      <c r="F2" s="59" t="s">
        <v>0</v>
      </c>
      <c r="G2" s="61" t="s">
        <v>2</v>
      </c>
      <c r="H2" s="12"/>
    </row>
    <row r="3" spans="1:12" ht="14.25" customHeight="1">
      <c r="A3" s="55"/>
      <c r="B3" s="284" t="s">
        <v>3</v>
      </c>
      <c r="C3" s="304"/>
      <c r="D3" s="304"/>
      <c r="E3" s="304"/>
      <c r="F3" s="64"/>
      <c r="G3" s="62">
        <v>46266</v>
      </c>
      <c r="H3" s="12"/>
    </row>
    <row r="4" spans="1:12" ht="52.5" customHeight="1">
      <c r="A4" s="55"/>
      <c r="B4" s="220" t="s">
        <v>4</v>
      </c>
      <c r="C4" s="285" t="s">
        <v>5</v>
      </c>
      <c r="D4" s="305"/>
      <c r="E4" s="305"/>
      <c r="F4" s="305"/>
      <c r="G4" s="65"/>
      <c r="I4" s="12"/>
    </row>
    <row r="5" spans="1:12" ht="30" customHeight="1">
      <c r="A5" s="55"/>
      <c r="B5" s="221"/>
      <c r="C5" s="286" t="s">
        <v>6</v>
      </c>
      <c r="D5" s="306"/>
      <c r="E5" s="306"/>
      <c r="F5" s="306"/>
      <c r="G5" s="307"/>
      <c r="I5" s="12"/>
    </row>
    <row r="6" spans="1:12" ht="14.25" customHeight="1">
      <c r="A6" s="55"/>
      <c r="B6" s="221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200</v>
      </c>
      <c r="D6" s="67" t="s">
        <v>8</v>
      </c>
      <c r="E6" s="68"/>
      <c r="F6" s="287" t="str">
        <f>IF(C24&lt;0, "Tailwind", "")</f>
        <v/>
      </c>
      <c r="G6" s="308"/>
      <c r="I6" s="12"/>
    </row>
    <row r="7" spans="1:12" ht="14.25" customHeight="1">
      <c r="A7" s="55"/>
      <c r="B7" s="221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304"/>
      <c r="G7" s="308"/>
    </row>
    <row r="8" spans="1:12" ht="14.25" customHeight="1">
      <c r="A8" s="55"/>
      <c r="B8" s="221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80"/>
      <c r="G8" s="309"/>
      <c r="I8" s="12"/>
    </row>
    <row r="9" spans="1:12" ht="14.25" customHeight="1">
      <c r="A9" s="55"/>
      <c r="B9" s="221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304"/>
      <c r="G9" s="308"/>
    </row>
    <row r="10" spans="1:12" ht="22.5" customHeight="1">
      <c r="A10" s="55"/>
      <c r="B10" s="221" t="s">
        <v>15</v>
      </c>
      <c r="C10" s="80">
        <v>6</v>
      </c>
      <c r="D10" s="83"/>
      <c r="E10" s="281" t="s">
        <v>16</v>
      </c>
      <c r="F10" s="282"/>
      <c r="G10" s="310"/>
      <c r="J10" s="8"/>
    </row>
    <row r="11" spans="1:12" ht="22.5" customHeight="1">
      <c r="A11" s="55"/>
      <c r="B11" s="221" t="s">
        <v>17</v>
      </c>
      <c r="C11" s="80" t="s">
        <v>18</v>
      </c>
      <c r="D11" s="12"/>
      <c r="E11" s="304"/>
      <c r="F11" s="304"/>
      <c r="G11" s="308"/>
    </row>
    <row r="12" spans="1:12" ht="22.5" customHeight="1">
      <c r="A12" s="55"/>
      <c r="B12" s="221" t="s">
        <v>19</v>
      </c>
      <c r="C12" s="80">
        <v>0</v>
      </c>
      <c r="D12" s="83" t="s">
        <v>20</v>
      </c>
      <c r="E12" s="73" t="s">
        <v>21</v>
      </c>
      <c r="F12" s="88" t="str">
        <f>VLOOKUP(C11,'Dropdown lists'!B34:F40,5,FALSE)</f>
        <v>N/A</v>
      </c>
      <c r="G12" s="222"/>
    </row>
    <row r="13" spans="1:12" ht="22.5" customHeight="1">
      <c r="A13" s="55"/>
      <c r="B13" s="221" t="s">
        <v>22</v>
      </c>
      <c r="C13" s="80" t="s">
        <v>23</v>
      </c>
      <c r="D13" s="83"/>
      <c r="E13" s="12"/>
      <c r="F13" s="79"/>
      <c r="G13" s="222"/>
      <c r="I13" s="273"/>
      <c r="J13" s="311"/>
      <c r="K13" s="311"/>
      <c r="L13" s="311"/>
    </row>
    <row r="14" spans="1:12" ht="22.5" customHeight="1">
      <c r="A14" s="55"/>
      <c r="B14" s="221" t="s">
        <v>24</v>
      </c>
      <c r="C14" s="80">
        <v>11000</v>
      </c>
      <c r="D14" s="83" t="s">
        <v>25</v>
      </c>
      <c r="E14" s="12"/>
      <c r="F14" s="12"/>
      <c r="G14" s="222"/>
      <c r="I14" s="311"/>
      <c r="J14" s="311"/>
      <c r="K14" s="311"/>
      <c r="L14" s="311"/>
    </row>
    <row r="15" spans="1:12" ht="14.25" customHeight="1">
      <c r="A15" s="55"/>
      <c r="B15" s="90" t="s">
        <v>26</v>
      </c>
      <c r="C15" s="274"/>
      <c r="D15" s="311"/>
      <c r="E15" s="311"/>
      <c r="F15" s="311"/>
      <c r="G15" s="308"/>
      <c r="I15" s="223"/>
    </row>
    <row r="16" spans="1:12" ht="14.25" customHeight="1" outlineLevel="1">
      <c r="A16" s="55"/>
      <c r="B16" s="221" t="s">
        <v>27</v>
      </c>
      <c r="C16" s="99">
        <f t="array" ref="C16">INDEX('Airport data'!$A$5:$L1006,MATCH($C$4,'Airport data'!$A$5:$A1006,0),2)</f>
        <v>541</v>
      </c>
      <c r="D16" s="83" t="s">
        <v>28</v>
      </c>
      <c r="F16" s="12"/>
      <c r="G16" s="222"/>
      <c r="H16" s="83"/>
    </row>
    <row r="17" spans="1:13" ht="14.25" customHeight="1" outlineLevel="1">
      <c r="A17" s="55"/>
      <c r="B17" s="221" t="s">
        <v>29</v>
      </c>
      <c r="C17" s="101">
        <f t="array" ref="C17">INDEX('Airport data'!$A$5:$L1006,MATCH($C$4,'Airport data'!$A$5:$A1006,0),7)</f>
        <v>0</v>
      </c>
      <c r="D17" s="83" t="s">
        <v>30</v>
      </c>
      <c r="E17" s="275" t="s">
        <v>31</v>
      </c>
      <c r="F17" s="304"/>
      <c r="G17" s="308"/>
      <c r="H17" s="12"/>
    </row>
    <row r="18" spans="1:13" outlineLevel="1">
      <c r="A18" s="55"/>
      <c r="B18" s="221" t="s">
        <v>32</v>
      </c>
      <c r="C18" s="99">
        <f t="array" ref="C18">INDEX('Airport data'!$A$5:$L1006,MATCH($C$4,'Airport data'!$A$5:$A1006,0),8)</f>
        <v>285</v>
      </c>
      <c r="D18" s="83" t="s">
        <v>8</v>
      </c>
      <c r="F18" s="12"/>
      <c r="G18" s="222"/>
      <c r="H18" s="12"/>
    </row>
    <row r="19" spans="1:13" outlineLevel="1">
      <c r="A19" s="55"/>
      <c r="B19" s="221" t="s">
        <v>33</v>
      </c>
      <c r="C19" s="99">
        <f t="array" ref="C19">INDEX('Airport data'!$A$5:$L1006,MATCH($C$4,'Airport data'!$A$5:$A1006,0),5)-10</f>
        <v>2290</v>
      </c>
      <c r="D19" s="83" t="s">
        <v>34</v>
      </c>
      <c r="E19" s="276" t="s">
        <v>35</v>
      </c>
      <c r="F19" s="304"/>
      <c r="G19" s="224">
        <f t="array" ref="G19">INDEX('Airport data'!$A$5:$L1006,MATCH($C$4,'Airport data'!$A$5:$A1006,0),9)</f>
        <v>3.3</v>
      </c>
      <c r="H19" s="72"/>
    </row>
    <row r="20" spans="1:13" outlineLevel="1">
      <c r="A20" s="55"/>
      <c r="B20" s="221" t="s">
        <v>36</v>
      </c>
      <c r="C20" s="99">
        <f t="array" ref="C20">INDEX('Airport data'!$A$5:$L1006,MATCH($C$4,'Airport data'!$A$5:$A1006,0),3)-10</f>
        <v>2290</v>
      </c>
      <c r="D20" s="83" t="s">
        <v>34</v>
      </c>
      <c r="G20" s="222"/>
      <c r="H20" s="12"/>
      <c r="J20" s="8"/>
    </row>
    <row r="21" spans="1:13" outlineLevel="1">
      <c r="A21" s="55"/>
      <c r="B21" s="221" t="s">
        <v>37</v>
      </c>
      <c r="C21" s="99">
        <f t="array" ref="C21">INDEX('Airport data'!$A$5:$L1006,MATCH($C$4,'Airport data'!$A$5:$A1006,0),4)-10</f>
        <v>2290</v>
      </c>
      <c r="D21" s="83" t="s">
        <v>34</v>
      </c>
      <c r="E21" s="8" t="s">
        <v>38</v>
      </c>
      <c r="F21" s="106">
        <f>C35*1.15</f>
        <v>519.7158536585365</v>
      </c>
      <c r="G21" s="222"/>
      <c r="H21" s="12"/>
      <c r="J21" s="8"/>
    </row>
    <row r="22" spans="1:13" outlineLevel="1">
      <c r="A22" s="55"/>
      <c r="B22" s="221" t="s">
        <v>39</v>
      </c>
      <c r="C22" s="99">
        <f t="array" ref="C22">INDEX('Airport data'!$A$5:$L1006,MATCH($C$4,'Airport data'!$A$5:$A1006,0),6)</f>
        <v>2300</v>
      </c>
      <c r="D22" s="83" t="s">
        <v>34</v>
      </c>
      <c r="E22" s="72"/>
      <c r="F22" s="72"/>
      <c r="G22" s="225"/>
      <c r="J22" s="8"/>
    </row>
    <row r="23" spans="1:13" ht="15.75" customHeight="1">
      <c r="A23" s="55"/>
      <c r="B23" s="102" t="s">
        <v>40</v>
      </c>
      <c r="C23" s="274"/>
      <c r="D23" s="311"/>
      <c r="E23" s="311"/>
      <c r="F23" s="311"/>
      <c r="G23" s="308"/>
      <c r="H23" s="12"/>
      <c r="J23" s="8"/>
    </row>
    <row r="24" spans="1:13" ht="15.75" customHeight="1">
      <c r="A24" s="55"/>
      <c r="B24" s="221" t="s">
        <v>41</v>
      </c>
      <c r="C24" s="110">
        <f>'Take-off'!D203</f>
        <v>0</v>
      </c>
      <c r="D24" s="83" t="s">
        <v>42</v>
      </c>
      <c r="E24" s="95"/>
      <c r="F24" s="12"/>
      <c r="G24" s="222"/>
    </row>
    <row r="25" spans="1:13" ht="15.75" customHeight="1">
      <c r="A25" s="55"/>
      <c r="B25" s="221" t="s">
        <v>43</v>
      </c>
      <c r="C25" s="110">
        <f>ABS('Take-off'!C208*C7)</f>
        <v>0</v>
      </c>
      <c r="D25" s="83" t="s">
        <v>42</v>
      </c>
      <c r="E25" s="73" t="s">
        <v>44</v>
      </c>
      <c r="F25" s="88">
        <f t="array" ref="F25">IF(ISBLANK(#REF!), 25,  INDEX('Dropdown lists'!$B$4:$D$10,MATCH(C10,'Dropdown lists'!$B$4:$B$10,0),3))</f>
        <v>25</v>
      </c>
      <c r="G25" s="222"/>
      <c r="H25" s="12"/>
    </row>
    <row r="26" spans="1:13" ht="15.75" customHeight="1">
      <c r="A26" s="55"/>
      <c r="B26" s="226" t="s">
        <v>45</v>
      </c>
      <c r="C26" s="227" t="s">
        <v>46</v>
      </c>
      <c r="D26" s="227" t="s">
        <v>47</v>
      </c>
      <c r="E26" s="228" t="s">
        <v>48</v>
      </c>
      <c r="F26" s="228"/>
      <c r="G26" s="229" t="s">
        <v>49</v>
      </c>
    </row>
    <row r="27" spans="1:13" ht="15.75" customHeight="1">
      <c r="A27" s="55"/>
      <c r="B27" s="277" t="s">
        <v>50</v>
      </c>
      <c r="C27" s="305"/>
      <c r="D27" s="305"/>
      <c r="E27" s="305"/>
      <c r="F27" s="305"/>
      <c r="G27" s="312"/>
    </row>
    <row r="28" spans="1:13" ht="14.25" hidden="1" customHeight="1" outlineLevel="1">
      <c r="A28" s="55"/>
      <c r="B28" s="135" t="s">
        <v>51</v>
      </c>
      <c r="C28" s="142">
        <f>'Take-off'!G197</f>
        <v>451.92682926829269</v>
      </c>
      <c r="F28" s="12"/>
      <c r="G28" s="222"/>
      <c r="H28" s="12"/>
      <c r="I28" s="8"/>
      <c r="J28" s="8"/>
      <c r="K28" s="8"/>
      <c r="L28" s="8"/>
      <c r="M28" s="8"/>
    </row>
    <row r="29" spans="1:13" ht="14.25" hidden="1" customHeight="1" outlineLevel="1">
      <c r="A29" s="55"/>
      <c r="B29" s="143" t="s">
        <v>52</v>
      </c>
      <c r="C29" s="144">
        <f>MAX('Take-off'!G198:G199)</f>
        <v>757.92682926829275</v>
      </c>
      <c r="F29" s="12"/>
      <c r="G29" s="222"/>
      <c r="H29" s="12"/>
      <c r="I29" s="8"/>
      <c r="J29" s="8"/>
      <c r="K29" s="8"/>
      <c r="L29" s="8"/>
      <c r="M29" s="8"/>
    </row>
    <row r="30" spans="1:13" ht="15.75" hidden="1" customHeight="1" outlineLevel="1">
      <c r="A30" s="55"/>
      <c r="B30" s="143" t="s">
        <v>53</v>
      </c>
      <c r="C30" s="144">
        <f>MAX('Take-off'!G201)</f>
        <v>788.41463414634154</v>
      </c>
      <c r="F30" s="12"/>
      <c r="G30" s="222"/>
      <c r="H30" s="12"/>
      <c r="I30" s="8"/>
      <c r="J30" s="8"/>
      <c r="K30" s="8"/>
      <c r="L30" s="8"/>
      <c r="M30" s="8"/>
    </row>
    <row r="31" spans="1:13" ht="15.75" hidden="1" customHeight="1" outlineLevel="1">
      <c r="A31" s="55"/>
      <c r="B31" s="123" t="s">
        <v>54</v>
      </c>
      <c r="C31" s="146">
        <f>'Take-off'!E$191</f>
        <v>94</v>
      </c>
      <c r="F31" s="12"/>
      <c r="G31" s="222"/>
      <c r="H31" s="12"/>
      <c r="I31" s="8"/>
      <c r="J31" s="8"/>
      <c r="K31" s="8"/>
      <c r="L31" s="8"/>
      <c r="M31" s="8"/>
    </row>
    <row r="32" spans="1:13" ht="15.75" hidden="1" customHeight="1" outlineLevel="1">
      <c r="A32" s="55"/>
      <c r="B32" s="123" t="s">
        <v>55</v>
      </c>
      <c r="C32" s="146">
        <f>'Take-off'!E$191</f>
        <v>94</v>
      </c>
      <c r="F32" s="12"/>
      <c r="G32" s="222"/>
      <c r="H32" s="12"/>
      <c r="I32" s="8"/>
      <c r="J32" s="8"/>
      <c r="K32" s="8"/>
      <c r="L32" s="8"/>
      <c r="M32" s="8"/>
    </row>
    <row r="33" spans="1:9" ht="15.75" hidden="1" customHeight="1" outlineLevel="1">
      <c r="A33" s="148"/>
      <c r="B33" s="149" t="s">
        <v>56</v>
      </c>
      <c r="C33" s="142">
        <f>'Take-off'!I191</f>
        <v>103</v>
      </c>
      <c r="F33" s="12"/>
      <c r="G33" s="222"/>
      <c r="H33" s="12"/>
    </row>
    <row r="34" spans="1:9" ht="15.75" customHeight="1" collapsed="1">
      <c r="A34" s="55"/>
      <c r="B34" s="277" t="s">
        <v>57</v>
      </c>
      <c r="C34" s="305"/>
      <c r="D34" s="305"/>
      <c r="E34" s="305"/>
      <c r="F34" s="305"/>
      <c r="G34" s="312"/>
      <c r="H34" s="12"/>
      <c r="I34" s="12"/>
    </row>
    <row r="35" spans="1:9" ht="15.75" customHeight="1">
      <c r="A35" s="55"/>
      <c r="B35" s="135" t="s">
        <v>51</v>
      </c>
      <c r="C35" s="142">
        <f>'Take-off'!Q197</f>
        <v>451.92682926829269</v>
      </c>
      <c r="F35" s="12"/>
      <c r="G35" s="222"/>
      <c r="H35" s="12"/>
      <c r="I35" s="151"/>
    </row>
    <row r="36" spans="1:9" ht="15.75" customHeight="1">
      <c r="A36" s="55"/>
      <c r="B36" s="143" t="s">
        <v>52</v>
      </c>
      <c r="C36" s="144">
        <f>MAX('Take-off'!Q198:Q200)</f>
        <v>757.92682926829275</v>
      </c>
      <c r="F36" s="12"/>
      <c r="G36" s="222"/>
      <c r="H36" s="12"/>
      <c r="I36" s="12"/>
    </row>
    <row r="37" spans="1:9" ht="15.75" customHeight="1">
      <c r="A37" s="55"/>
      <c r="B37" s="143" t="s">
        <v>53</v>
      </c>
      <c r="C37" s="144">
        <f>MAX('Take-off'!Q201)</f>
        <v>788.41463414634154</v>
      </c>
      <c r="F37" s="12"/>
      <c r="G37" s="222"/>
      <c r="H37" s="12"/>
      <c r="I37" s="73"/>
    </row>
    <row r="38" spans="1:9" ht="15.75" customHeight="1">
      <c r="A38" s="55"/>
      <c r="B38" s="143" t="s">
        <v>54</v>
      </c>
      <c r="C38" s="146">
        <f>'Take-off'!E$191</f>
        <v>94</v>
      </c>
      <c r="F38" s="12"/>
      <c r="G38" s="222"/>
      <c r="H38" s="12"/>
    </row>
    <row r="39" spans="1:9" ht="15.75" customHeight="1">
      <c r="A39" s="55"/>
      <c r="B39" s="123" t="s">
        <v>55</v>
      </c>
      <c r="C39" s="146">
        <f>'Take-off'!E$191</f>
        <v>94</v>
      </c>
      <c r="F39" s="12"/>
      <c r="G39" s="222"/>
      <c r="H39" s="12"/>
    </row>
    <row r="40" spans="1:9" ht="15.75" customHeight="1">
      <c r="A40" s="55"/>
      <c r="B40" s="149" t="s">
        <v>56</v>
      </c>
      <c r="C40" s="144">
        <f>'Take-off'!I$191</f>
        <v>103</v>
      </c>
      <c r="F40" s="12"/>
      <c r="G40" s="222"/>
      <c r="H40" s="12"/>
      <c r="I40" s="88" t="s">
        <v>58</v>
      </c>
    </row>
    <row r="41" spans="1:9" ht="15.75" customHeight="1">
      <c r="A41" s="55"/>
      <c r="B41" s="277" t="s">
        <v>59</v>
      </c>
      <c r="C41" s="305"/>
      <c r="D41" s="305"/>
      <c r="E41" s="305"/>
      <c r="F41" s="305"/>
      <c r="G41" s="312"/>
      <c r="H41" s="12"/>
      <c r="I41" s="12"/>
    </row>
    <row r="42" spans="1:9" ht="15.75" customHeight="1">
      <c r="A42" s="55"/>
      <c r="B42" s="152" t="s">
        <v>60</v>
      </c>
      <c r="C42" s="153">
        <f>IF(  C24&gt;0, 'Take-off'!C614*(125/(125-50%*ABS(C24))),  'Take-off'!C614*(125/(125+150%*ABS(C24)))  )</f>
        <v>8.0938349999999986</v>
      </c>
      <c r="F42" s="12"/>
      <c r="G42" s="222"/>
      <c r="H42" s="12"/>
      <c r="I42" s="99"/>
    </row>
    <row r="43" spans="1:9" ht="15.75" customHeight="1">
      <c r="A43" s="55"/>
      <c r="B43" s="230" t="s">
        <v>61</v>
      </c>
      <c r="C43" s="278" t="str">
        <f>IF(C42&gt;G19,"", "Check jeppessen climb requriment")</f>
        <v/>
      </c>
      <c r="D43" s="313"/>
      <c r="E43" s="314"/>
      <c r="F43" s="12"/>
      <c r="G43" s="222"/>
      <c r="H43" s="12"/>
      <c r="I43" s="99"/>
    </row>
    <row r="44" spans="1:9" ht="15.75" customHeight="1">
      <c r="A44" s="55"/>
      <c r="B44" s="277" t="s">
        <v>62</v>
      </c>
      <c r="C44" s="305"/>
      <c r="D44" s="305"/>
      <c r="E44" s="305"/>
      <c r="F44" s="305"/>
      <c r="G44" s="312"/>
      <c r="H44" s="12"/>
      <c r="I44" s="99"/>
    </row>
    <row r="45" spans="1:9" ht="15.75" customHeight="1">
      <c r="A45" s="55"/>
      <c r="B45" s="152" t="s">
        <v>63</v>
      </c>
      <c r="C45" s="157">
        <f>'Take-off'!K100</f>
        <v>113</v>
      </c>
      <c r="D45" s="95"/>
      <c r="F45" s="92"/>
      <c r="G45" s="158">
        <f>'Take-off'!I100</f>
        <v>90</v>
      </c>
      <c r="H45" s="12"/>
      <c r="I45" s="99"/>
    </row>
    <row r="46" spans="1:9" ht="15.75" customHeight="1">
      <c r="A46" s="55"/>
      <c r="B46" s="159" t="s">
        <v>64</v>
      </c>
      <c r="C46" s="160">
        <f>('Take-off'!D167/3.28)*'Take-off'!C134</f>
        <v>1596.9201890243901</v>
      </c>
      <c r="D46" s="161"/>
      <c r="E46" s="162"/>
      <c r="F46" s="163"/>
      <c r="G46" s="164">
        <f>'Take-off'!C133</f>
        <v>939.36481707317068</v>
      </c>
      <c r="H46" s="12"/>
      <c r="I46" s="99"/>
    </row>
    <row r="47" spans="1:9" ht="15.75" customHeight="1">
      <c r="H47" s="12"/>
      <c r="I47" s="99"/>
    </row>
    <row r="48" spans="1:9" ht="15.75" customHeight="1">
      <c r="B48" s="73"/>
      <c r="F48" s="92"/>
      <c r="G48" s="92"/>
      <c r="H48" s="12"/>
      <c r="I48" s="99"/>
    </row>
    <row r="49" spans="2:9" ht="15.75" customHeight="1">
      <c r="B49" s="73"/>
      <c r="F49" s="92"/>
      <c r="G49" s="92"/>
      <c r="H49" s="12"/>
      <c r="I49" s="99"/>
    </row>
    <row r="50" spans="2:9" ht="15.75" customHeight="1">
      <c r="B50" s="73"/>
      <c r="F50" s="92"/>
      <c r="G50" s="92"/>
      <c r="H50" s="12"/>
      <c r="I50" s="99"/>
    </row>
    <row r="51" spans="2:9" ht="15.75" customHeight="1">
      <c r="B51" s="73"/>
      <c r="F51" s="92"/>
      <c r="G51" s="92"/>
    </row>
    <row r="52" spans="2:9" ht="15.75" customHeight="1">
      <c r="B52" s="73"/>
      <c r="F52" s="92"/>
      <c r="G52" s="92"/>
    </row>
    <row r="53" spans="2:9" ht="15.75" customHeight="1">
      <c r="B53" s="73"/>
      <c r="F53" s="92"/>
      <c r="G53" s="92"/>
    </row>
    <row r="54" spans="2:9" ht="15.75" customHeight="1">
      <c r="C54" s="12" t="s">
        <v>65</v>
      </c>
      <c r="D54" s="92"/>
    </row>
    <row r="55" spans="2:9" ht="15" customHeight="1">
      <c r="B55" s="99" t="str">
        <f>'Take-off'!$B19</f>
        <v>ASDA:</v>
      </c>
      <c r="C55" s="99">
        <f>'Take-off'!$C19</f>
        <v>2290</v>
      </c>
    </row>
    <row r="56" spans="2:9" ht="15" customHeight="1">
      <c r="B56" s="99" t="str">
        <f>'Take-off'!$B20</f>
        <v>TORA:</v>
      </c>
      <c r="C56" s="99">
        <f>'Take-off'!$C20</f>
        <v>2290</v>
      </c>
    </row>
    <row r="57" spans="2:9" ht="15" customHeight="1">
      <c r="B57" s="99" t="str">
        <f>'Take-off'!$B21</f>
        <v>TODA:</v>
      </c>
      <c r="C57" s="99">
        <f>'Take-off'!$C21</f>
        <v>2290</v>
      </c>
    </row>
    <row r="58" spans="2:9" ht="15" customHeight="1">
      <c r="B58" s="12" t="str">
        <f t="shared" ref="B58:C58" si="0">B35</f>
        <v>Ground Roll [m]</v>
      </c>
      <c r="C58" s="99">
        <f t="shared" si="0"/>
        <v>451.92682926829269</v>
      </c>
    </row>
    <row r="59" spans="2:9" ht="15" customHeight="1">
      <c r="B59" s="12" t="str">
        <f t="shared" ref="B59:C59" si="1">B36</f>
        <v>Take off distance [m]</v>
      </c>
      <c r="C59" s="99">
        <f t="shared" si="1"/>
        <v>757.92682926829275</v>
      </c>
    </row>
    <row r="60" spans="2:9" ht="15.75" customHeight="1">
      <c r="B60" s="12" t="str">
        <f t="shared" ref="B60:C60" si="2">B37</f>
        <v>Accelerade &amp; STOP [m]</v>
      </c>
      <c r="C60" s="99">
        <f t="shared" si="2"/>
        <v>788.41463414634154</v>
      </c>
    </row>
    <row r="61" spans="2:9" ht="15.75" customHeight="1"/>
    <row r="62" spans="2:9" ht="15.75" customHeight="1"/>
    <row r="63" spans="2:9" ht="15.75" customHeight="1"/>
    <row r="64" spans="2:9" ht="15.75" customHeight="1"/>
    <row r="65" spans="1:13" ht="15.75" customHeight="1"/>
    <row r="66" spans="1:13" ht="15.75" customHeight="1"/>
    <row r="67" spans="1:13" ht="15.75" customHeight="1"/>
    <row r="68" spans="1:13" ht="15.75" customHeight="1">
      <c r="B68" s="277" t="s">
        <v>66</v>
      </c>
      <c r="C68" s="305"/>
      <c r="D68" s="305"/>
      <c r="E68" s="305"/>
      <c r="F68" s="305"/>
      <c r="G68" s="312"/>
    </row>
    <row r="69" spans="1:13" ht="15.75" customHeight="1">
      <c r="B69" s="231" t="s">
        <v>67</v>
      </c>
      <c r="C69" s="99">
        <f t="array" ref="C69">INDEX('Airport data'!$B$5:$M$44,MATCH($C$4,'Airport data'!$A$5:$A$44,0),10)</f>
        <v>0</v>
      </c>
      <c r="D69" s="8" t="s">
        <v>28</v>
      </c>
      <c r="G69" s="232"/>
    </row>
    <row r="70" spans="1:13" ht="15.75" customHeight="1">
      <c r="B70" s="231" t="s">
        <v>68</v>
      </c>
      <c r="C70" s="279">
        <f t="array" ref="C70">INDEX('Airport data'!$B$5:$M$44,MATCH($C$4,'Airport data'!$A$5:$A$44,0),11)</f>
        <v>0</v>
      </c>
      <c r="D70" s="313"/>
      <c r="E70" s="313"/>
      <c r="F70" s="313"/>
      <c r="G70" s="315"/>
    </row>
    <row r="71" spans="1:13" ht="15.75" customHeight="1">
      <c r="B71" s="233"/>
      <c r="C71" s="316"/>
      <c r="D71" s="304"/>
      <c r="E71" s="304"/>
      <c r="F71" s="304"/>
      <c r="G71" s="308"/>
    </row>
    <row r="72" spans="1:13" ht="15.75" customHeight="1">
      <c r="B72" s="233"/>
      <c r="C72" s="317"/>
      <c r="D72" s="318"/>
      <c r="E72" s="318"/>
      <c r="F72" s="318"/>
      <c r="G72" s="319"/>
    </row>
    <row r="73" spans="1:13" ht="15.75" customHeight="1">
      <c r="B73" s="173"/>
      <c r="C73" s="174"/>
      <c r="D73" s="174"/>
      <c r="E73" s="174"/>
      <c r="F73" s="174"/>
      <c r="G73" s="175"/>
    </row>
    <row r="74" spans="1:13" ht="15.75" customHeight="1"/>
    <row r="75" spans="1:13" ht="15.75" customHeight="1"/>
    <row r="76" spans="1:13" ht="15.75" customHeight="1"/>
    <row r="77" spans="1:13" ht="15.75" customHeight="1"/>
    <row r="78" spans="1:13" ht="15.75" customHeight="1"/>
    <row r="79" spans="1:13" ht="15.75" customHeight="1"/>
    <row r="80" spans="1:13" ht="15.75" customHeight="1">
      <c r="A80" s="261" t="s">
        <v>69</v>
      </c>
      <c r="B80" s="304"/>
      <c r="C80" s="304"/>
      <c r="D80" s="304"/>
      <c r="E80" s="304"/>
      <c r="F80" s="78"/>
      <c r="G80" s="78"/>
      <c r="K80" s="2"/>
      <c r="L80" s="2"/>
      <c r="M80" s="2"/>
    </row>
    <row r="81" spans="1:13" ht="15.75" customHeight="1">
      <c r="A81" s="79"/>
      <c r="B81" s="79"/>
      <c r="C81" s="79"/>
      <c r="D81" s="79"/>
      <c r="E81" s="79"/>
      <c r="H81" s="79" t="s">
        <v>70</v>
      </c>
      <c r="I81" s="79" t="s">
        <v>70</v>
      </c>
      <c r="J81" s="79" t="s">
        <v>71</v>
      </c>
      <c r="K81" s="81" t="s">
        <v>70</v>
      </c>
      <c r="L81" s="79" t="s">
        <v>71</v>
      </c>
      <c r="M81" s="81" t="s">
        <v>72</v>
      </c>
    </row>
    <row r="82" spans="1:13" ht="15.75" customHeight="1">
      <c r="A82" s="268" t="s">
        <v>73</v>
      </c>
      <c r="D82" s="269" t="s">
        <v>74</v>
      </c>
      <c r="E82" s="320"/>
      <c r="H82" s="269" t="s">
        <v>74</v>
      </c>
      <c r="I82" s="320"/>
      <c r="J82" s="269" t="s">
        <v>74</v>
      </c>
      <c r="K82" s="320"/>
      <c r="L82" s="269" t="s">
        <v>74</v>
      </c>
      <c r="M82" s="320"/>
    </row>
    <row r="83" spans="1:13" ht="15.75" customHeight="1">
      <c r="A83" s="321"/>
      <c r="D83" s="270" t="s">
        <v>75</v>
      </c>
      <c r="E83" s="320"/>
      <c r="H83" s="270" t="s">
        <v>75</v>
      </c>
      <c r="I83" s="320"/>
      <c r="J83" s="270" t="s">
        <v>75</v>
      </c>
      <c r="K83" s="320"/>
      <c r="L83" s="270" t="s">
        <v>75</v>
      </c>
      <c r="M83" s="320"/>
    </row>
    <row r="84" spans="1:13" ht="15.75" customHeight="1">
      <c r="A84" s="85">
        <v>9000</v>
      </c>
      <c r="D84" s="86">
        <v>80</v>
      </c>
      <c r="E84" s="86"/>
      <c r="H84" s="86">
        <v>80</v>
      </c>
      <c r="I84" s="86"/>
      <c r="J84" s="86">
        <v>103</v>
      </c>
      <c r="K84" s="86"/>
      <c r="L84" s="86">
        <v>103</v>
      </c>
      <c r="M84" s="86"/>
    </row>
    <row r="85" spans="1:13" ht="15.75" customHeight="1">
      <c r="A85" s="87">
        <v>10000</v>
      </c>
      <c r="D85" s="89">
        <v>85</v>
      </c>
      <c r="E85" s="89"/>
      <c r="H85" s="89">
        <v>85</v>
      </c>
      <c r="I85" s="89"/>
      <c r="J85" s="89">
        <v>108</v>
      </c>
      <c r="K85" s="89"/>
      <c r="L85" s="89">
        <v>108</v>
      </c>
      <c r="M85" s="89"/>
    </row>
    <row r="86" spans="1:13" ht="15.75" customHeight="1">
      <c r="A86" s="85">
        <v>11000</v>
      </c>
      <c r="D86" s="86">
        <v>90</v>
      </c>
      <c r="E86" s="86"/>
      <c r="H86" s="86">
        <v>90</v>
      </c>
      <c r="I86" s="86"/>
      <c r="J86" s="86">
        <v>113</v>
      </c>
      <c r="K86" s="86"/>
      <c r="L86" s="86">
        <v>113</v>
      </c>
      <c r="M86" s="86"/>
    </row>
    <row r="87" spans="1:13" ht="15.75" customHeight="1">
      <c r="A87" s="87">
        <v>12000</v>
      </c>
      <c r="D87" s="89">
        <v>95</v>
      </c>
      <c r="E87" s="89"/>
      <c r="H87" s="89">
        <v>95</v>
      </c>
      <c r="I87" s="89"/>
      <c r="J87" s="89">
        <v>119</v>
      </c>
      <c r="K87" s="89"/>
      <c r="L87" s="89">
        <v>119</v>
      </c>
      <c r="M87" s="89"/>
    </row>
    <row r="88" spans="1:13" ht="15.75" customHeight="1">
      <c r="A88" s="85">
        <v>12500</v>
      </c>
      <c r="D88" s="86">
        <v>97</v>
      </c>
      <c r="E88" s="86"/>
      <c r="H88" s="86">
        <v>97</v>
      </c>
      <c r="I88" s="86"/>
      <c r="J88" s="86">
        <v>121</v>
      </c>
      <c r="K88" s="86"/>
      <c r="L88" s="86">
        <v>121</v>
      </c>
      <c r="M88" s="86"/>
    </row>
    <row r="89" spans="1:13" ht="15.75" customHeight="1">
      <c r="A89" s="91"/>
      <c r="B89" s="92"/>
      <c r="C89" s="92"/>
      <c r="D89" s="92"/>
      <c r="H89" s="2"/>
      <c r="I89" s="2"/>
      <c r="J89" s="2"/>
      <c r="K89" s="2"/>
      <c r="L89" s="2"/>
      <c r="M89" s="2"/>
    </row>
    <row r="90" spans="1:13" ht="15.75" customHeight="1">
      <c r="A90" s="260" t="s">
        <v>76</v>
      </c>
      <c r="B90" s="304"/>
      <c r="C90" s="304"/>
      <c r="D90" s="12"/>
      <c r="E90" s="12"/>
      <c r="F90" s="12"/>
      <c r="H90" s="271"/>
      <c r="I90" s="304"/>
      <c r="J90" s="304"/>
      <c r="K90" s="2"/>
      <c r="L90" s="2"/>
      <c r="M90" s="2"/>
    </row>
    <row r="91" spans="1:13" ht="15.75" customHeight="1">
      <c r="A91" s="2"/>
      <c r="B91" s="73" t="s">
        <v>77</v>
      </c>
      <c r="C91" s="88">
        <f>MATCH(MAX(A84:A88),A84:A88,0)</f>
        <v>5</v>
      </c>
      <c r="D91" s="2"/>
      <c r="E91" s="73"/>
      <c r="F91" s="88"/>
      <c r="H91" s="2"/>
      <c r="I91" s="73"/>
      <c r="J91" s="94"/>
      <c r="K91" s="2"/>
      <c r="L91" s="2"/>
      <c r="M91" s="2"/>
    </row>
    <row r="92" spans="1:13" ht="15.75" customHeight="1">
      <c r="A92" s="2"/>
      <c r="B92" s="73" t="s">
        <v>78</v>
      </c>
      <c r="C92" s="88">
        <f>MATCH(MAX(D84),D84,0)</f>
        <v>1</v>
      </c>
      <c r="D92" s="2"/>
      <c r="E92" s="73"/>
      <c r="F92" s="88"/>
      <c r="H92" s="2"/>
      <c r="I92" s="73"/>
      <c r="J92" s="94"/>
      <c r="K92" s="2"/>
      <c r="L92" s="2"/>
      <c r="M92" s="2"/>
    </row>
    <row r="93" spans="1:1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ht="15.75" customHeight="1">
      <c r="D94" s="95" t="s">
        <v>79</v>
      </c>
      <c r="E94" s="26" t="str">
        <f>D83</f>
        <v>Vref</v>
      </c>
      <c r="F94" s="26"/>
      <c r="H94" s="95"/>
      <c r="I94" s="26" t="str">
        <f>H83</f>
        <v>Vref</v>
      </c>
      <c r="J94" s="26"/>
      <c r="K94" s="26" t="str">
        <f>J83</f>
        <v>Vref</v>
      </c>
      <c r="L94" s="2"/>
      <c r="M94" s="26" t="str">
        <f>L83</f>
        <v>Vref</v>
      </c>
    </row>
    <row r="95" spans="1:13" ht="15.75" customHeight="1">
      <c r="D95" s="96" t="s">
        <v>80</v>
      </c>
      <c r="E95" s="97">
        <f>Landing!C11</f>
        <v>11000</v>
      </c>
      <c r="F95" s="97"/>
      <c r="H95" s="98"/>
      <c r="I95" s="97">
        <f>'Take-off'!C14</f>
        <v>11000</v>
      </c>
      <c r="J95" s="97"/>
      <c r="K95" s="97">
        <f>'Take-off'!C14</f>
        <v>11000</v>
      </c>
      <c r="L95" s="2"/>
      <c r="M95" s="97">
        <f>Landing!C11</f>
        <v>11000</v>
      </c>
    </row>
    <row r="96" spans="1:13" ht="15.75" customHeight="1">
      <c r="D96" s="73" t="s">
        <v>81</v>
      </c>
      <c r="E96" s="100">
        <f t="array" ref="E96">INDEX($A$84:$A$88,MATCH(E95,$A$84:$A$88,1))</f>
        <v>11000</v>
      </c>
      <c r="F96" s="100"/>
      <c r="H96" s="73"/>
      <c r="I96" s="100">
        <f t="array" ref="I96">INDEX($A$84:$A$88,MATCH(I95,$A$84:$A$88,1))</f>
        <v>11000</v>
      </c>
      <c r="J96" s="100"/>
      <c r="K96" s="100">
        <f t="array" ref="K96">INDEX($A$84:$A$88,MATCH(K95,$A$84:$A$88,1))</f>
        <v>11000</v>
      </c>
      <c r="L96" s="2"/>
      <c r="M96" s="100">
        <f t="array" ref="M96">INDEX($A$84:$A$88,MATCH(M95,$A$84:$A$88,1))</f>
        <v>11000</v>
      </c>
    </row>
    <row r="97" spans="1:13" ht="15.75" customHeight="1">
      <c r="D97" s="73" t="s">
        <v>82</v>
      </c>
      <c r="E97" s="100">
        <f t="array" ref="E97">INDEX($A$84:$A$88,IF(MATCH(E95,$A$84:$A$88,1)&lt;$C$91,MATCH(E95,$A$84:$A$88,1)+1,MATCH(E95,$A$84:$A$88,1)))</f>
        <v>12000</v>
      </c>
      <c r="F97" s="100"/>
      <c r="H97" s="73"/>
      <c r="I97" s="100">
        <f t="array" ref="I97">INDEX($A$84:$A$88,IF(MATCH(I95,$A$84:$A$88,1)&lt;$C$91,MATCH(I95,$A$84:$A$88,1)+1,MATCH(I95,$A$84:$A$88,1)))</f>
        <v>12000</v>
      </c>
      <c r="J97" s="100"/>
      <c r="K97" s="100">
        <f t="array" ref="K97">INDEX($A$84:$A$88,IF(MATCH(K95,$A$84:$A$88,1)&lt;$C$91,MATCH(K95,$A$84:$A$88,1)+1,MATCH(K95,$A$84:$A$88,1)))</f>
        <v>12000</v>
      </c>
      <c r="L97" s="2"/>
      <c r="M97" s="100">
        <f t="array" ref="M97">INDEX($A$84:$A$88,IF(MATCH(M95,$A$84:$A$88,1)&lt;$C$91,MATCH(M95,$A$84:$A$88,1)+1,MATCH(M95,$A$84:$A$88,1)))</f>
        <v>12000</v>
      </c>
    </row>
    <row r="98" spans="1:13" ht="15.75" customHeight="1">
      <c r="D98" s="98" t="s">
        <v>83</v>
      </c>
      <c r="E98" s="97">
        <f t="array" ref="E98">INDEX(D84:D88,MATCH(E95,$A$84:$A$88,1),MATCH(E94,D83,1))</f>
        <v>90</v>
      </c>
      <c r="F98" s="97"/>
      <c r="H98" s="98"/>
      <c r="I98" s="97">
        <f t="array" ref="I98">INDEX(H84:H88,MATCH(I95,$A$84:$A$88,1),MATCH(I94,H83,1))</f>
        <v>90</v>
      </c>
      <c r="J98" s="97"/>
      <c r="K98" s="97">
        <f t="array" ref="K98">INDEX(J84:J88,MATCH(K95,$A$84:$A$88,1),MATCH(K94,J83,1))</f>
        <v>113</v>
      </c>
      <c r="L98" s="2"/>
      <c r="M98" s="97">
        <f t="array" ref="M98">INDEX(L84:L88,MATCH(M95,$A$84:$A$88,1),MATCH(M94,L83,1))</f>
        <v>113</v>
      </c>
    </row>
    <row r="99" spans="1:13" ht="15.75" customHeight="1">
      <c r="D99" s="98" t="s">
        <v>84</v>
      </c>
      <c r="E99" s="97">
        <f t="array" ref="E99">INDEX(D84:D88,IF(MATCH(E95,$A$84:$A$88,1)&lt;$C$91,MATCH(E95,$A$84:$A$88,1)+1,MATCH(E95,$A$84:$A$88,1)),MATCH(E94,D83,1))</f>
        <v>95</v>
      </c>
      <c r="F99" s="97"/>
      <c r="H99" s="98"/>
      <c r="I99" s="97">
        <f t="array" ref="I99">INDEX(H84:H88,IF(MATCH(I95,$A$84:$A$88,1)&lt;$C$91,MATCH(I95,$A$84:$A$88,1)+1,MATCH(I95,$A$84:$A$88,1)),MATCH(I94,H83,1))</f>
        <v>95</v>
      </c>
      <c r="J99" s="97"/>
      <c r="K99" s="97">
        <f t="array" ref="K99">INDEX(J84:J88,IF(MATCH(K95,$A$84:$A$88,1)&lt;$C$91,MATCH(K95,$A$84:$A$88,1)+1,MATCH(K95,$A$84:$A$88,1)),MATCH(K94,J83,1))</f>
        <v>119</v>
      </c>
      <c r="L99" s="2"/>
      <c r="M99" s="97">
        <f t="array" ref="M99">INDEX(L84:L88,IF(MATCH(M95,$A$84:$A$88,1)&lt;$C$91,MATCH(M95,$A$84:$A$88,1)+1,MATCH(M95,$A$84:$A$88,1)),MATCH(M94,L83,1))</f>
        <v>119</v>
      </c>
    </row>
    <row r="100" spans="1:13" ht="15.75" customHeight="1">
      <c r="D100" s="98" t="s">
        <v>85</v>
      </c>
      <c r="E100" s="97">
        <f>IFERROR(E98+(E95-E96)*(E99-E98)/(E97-E96),E98)</f>
        <v>90</v>
      </c>
      <c r="F100" s="97"/>
      <c r="H100" s="98"/>
      <c r="I100" s="97">
        <f>IFERROR(I98+(I95-I96)*(I99-I98)/(I97-I96),I98)</f>
        <v>90</v>
      </c>
      <c r="J100" s="97"/>
      <c r="K100" s="97">
        <f>IFERROR(K98+(K95-K96)*(K99-K98)/(K97-K96),K98)</f>
        <v>113</v>
      </c>
      <c r="L100" s="2"/>
      <c r="M100" s="97">
        <f>IFERROR(M98+(M95-M96)*(M99-M98)/(M97-M96),M98)</f>
        <v>113</v>
      </c>
    </row>
    <row r="101" spans="1:13" ht="15.75" customHeight="1">
      <c r="K101" s="2"/>
      <c r="L101" s="2"/>
      <c r="M101" s="2"/>
    </row>
    <row r="102" spans="1:13" ht="15.75" customHeight="1">
      <c r="A102" s="12"/>
      <c r="B102" s="12"/>
      <c r="C102" s="12"/>
      <c r="D102" s="12"/>
      <c r="E102" s="12"/>
      <c r="F102" s="12"/>
      <c r="L102" s="78"/>
    </row>
    <row r="103" spans="1:13" ht="15.75" customHeight="1"/>
    <row r="104" spans="1:13" ht="15.75" customHeight="1"/>
    <row r="105" spans="1:13" ht="15.75" customHeight="1"/>
    <row r="106" spans="1:13" ht="15.75" customHeight="1"/>
    <row r="107" spans="1:13" ht="15.75" customHeight="1"/>
    <row r="108" spans="1:13" ht="15.75" customHeight="1">
      <c r="B108" s="2" t="s">
        <v>86</v>
      </c>
      <c r="C108" s="2"/>
      <c r="D108" s="2"/>
    </row>
    <row r="109" spans="1:13" ht="15.75" customHeight="1">
      <c r="B109" s="92"/>
      <c r="C109" s="92"/>
      <c r="D109" s="154"/>
    </row>
    <row r="110" spans="1:13" ht="15.75" customHeight="1">
      <c r="B110" s="246" t="s">
        <v>87</v>
      </c>
      <c r="C110" s="246" t="s">
        <v>88</v>
      </c>
      <c r="D110" s="246" t="s">
        <v>89</v>
      </c>
    </row>
    <row r="111" spans="1:13" ht="15.75" customHeight="1">
      <c r="B111" s="247">
        <f>IF(ABS(Landing!C17-Landing!C6)&gt;270,360-ABS(Landing!C17-Landing!C6),Landing!C17-Landing!C6)</f>
        <v>75</v>
      </c>
      <c r="C111" s="248">
        <f>IF(ABS(B111)&gt;90,ABS(COS(B111*PI()/180))*(-1),ABS(COS(B111*PI()/180)))</f>
        <v>0.25881904510252074</v>
      </c>
      <c r="D111" s="247">
        <f>IF( ISBLANK(Landing!C6), Landing!C7*-1,    Landing!C7*C111)</f>
        <v>0</v>
      </c>
    </row>
    <row r="112" spans="1:13" ht="15.75" customHeight="1">
      <c r="B112" s="95"/>
      <c r="C112" s="2"/>
      <c r="D112" s="2"/>
    </row>
    <row r="113" spans="1:13" ht="15.75" customHeight="1">
      <c r="B113" s="156"/>
      <c r="C113" s="92"/>
      <c r="D113" s="92"/>
    </row>
    <row r="114" spans="1:13" ht="15.75" customHeight="1">
      <c r="B114" s="95"/>
      <c r="C114" s="165"/>
      <c r="D114" s="95"/>
    </row>
    <row r="115" spans="1:13" ht="15.75" customHeight="1">
      <c r="B115" s="95"/>
      <c r="C115" s="95"/>
      <c r="D115" s="95"/>
    </row>
    <row r="116" spans="1:13" ht="15.75" customHeight="1">
      <c r="B116" s="95" t="s">
        <v>90</v>
      </c>
      <c r="C116" s="165">
        <f>IF(ABS(B111)&gt;90,ABS(SIN(B111*PI()/180))*(-1),ABS(SIN(B111*PI()/180)))</f>
        <v>0.96592582628906831</v>
      </c>
      <c r="D116" s="95"/>
    </row>
    <row r="117" spans="1:13" ht="15.75" customHeight="1">
      <c r="A117" s="166"/>
      <c r="B117" s="12"/>
      <c r="C117" s="12"/>
      <c r="D117" s="12"/>
      <c r="E117" s="12"/>
      <c r="F117" s="12"/>
      <c r="G117" s="12"/>
    </row>
    <row r="118" spans="1:13" ht="15.75" customHeight="1"/>
    <row r="119" spans="1:13" ht="15.75" customHeight="1">
      <c r="B119" s="12"/>
      <c r="C119" s="12"/>
      <c r="D119" s="12"/>
    </row>
    <row r="120" spans="1:13" ht="15.75" customHeight="1">
      <c r="A120" s="12"/>
      <c r="B120" s="12"/>
      <c r="C120" s="12"/>
      <c r="D120" s="12"/>
    </row>
    <row r="121" spans="1:13" ht="15.75" customHeight="1">
      <c r="A121" s="12"/>
      <c r="B121" s="12"/>
      <c r="C121" s="12"/>
      <c r="D121" s="12"/>
    </row>
    <row r="122" spans="1:13" ht="15.75" customHeight="1">
      <c r="A122" s="12"/>
      <c r="B122" s="12"/>
      <c r="C122" s="12"/>
      <c r="D122" s="12"/>
    </row>
    <row r="123" spans="1:13" ht="15.75" customHeight="1">
      <c r="A123" s="12"/>
      <c r="B123" s="12"/>
      <c r="C123" s="12"/>
      <c r="D123" s="12"/>
    </row>
    <row r="124" spans="1:13" ht="15.75" customHeight="1">
      <c r="A124" s="12"/>
      <c r="B124" s="12"/>
      <c r="C124" s="12"/>
      <c r="D124" s="12"/>
    </row>
    <row r="125" spans="1:13" ht="15.75" customHeight="1">
      <c r="A125" s="12"/>
      <c r="B125" s="12"/>
      <c r="C125" s="12"/>
      <c r="D125" s="12"/>
    </row>
    <row r="126" spans="1:13" ht="15.75" customHeight="1">
      <c r="A126" s="12"/>
      <c r="B126" s="12"/>
      <c r="C126" s="12"/>
      <c r="D126" s="12"/>
    </row>
    <row r="127" spans="1:13" ht="15.75" customHeight="1">
      <c r="A127" s="249" t="s">
        <v>62</v>
      </c>
      <c r="B127" s="249"/>
      <c r="C127" s="249"/>
      <c r="D127" s="249"/>
      <c r="E127" s="249"/>
      <c r="F127" s="249"/>
      <c r="G127" s="249"/>
      <c r="H127" s="249"/>
      <c r="I127" s="249"/>
      <c r="J127" s="249"/>
      <c r="K127" s="250"/>
      <c r="L127" s="250"/>
      <c r="M127" s="250"/>
    </row>
    <row r="128" spans="1:13" ht="15.75" customHeight="1">
      <c r="A128" s="12"/>
      <c r="E128" s="12"/>
      <c r="F128" s="12"/>
      <c r="G128" s="12"/>
      <c r="I128" s="167"/>
      <c r="J128" s="168"/>
      <c r="K128" s="168"/>
      <c r="L128" s="168"/>
      <c r="M128" s="168"/>
    </row>
    <row r="129" spans="1:13" ht="15.75" customHeight="1">
      <c r="A129" s="166"/>
      <c r="E129" s="12"/>
      <c r="F129" s="12"/>
      <c r="G129" s="12"/>
      <c r="I129" s="12"/>
      <c r="J129" s="12"/>
      <c r="K129" s="12"/>
      <c r="L129" s="12"/>
      <c r="M129" s="12"/>
    </row>
    <row r="130" spans="1:13" ht="15.75" customHeight="1">
      <c r="A130" s="166"/>
      <c r="E130" s="12"/>
      <c r="F130" s="12"/>
      <c r="G130" s="12"/>
      <c r="I130" s="12"/>
      <c r="J130" s="12"/>
      <c r="K130" s="12"/>
      <c r="L130" s="12"/>
      <c r="M130" s="12"/>
    </row>
    <row r="131" spans="1:13" ht="15.75" customHeight="1">
      <c r="A131" s="166"/>
      <c r="E131" s="12"/>
      <c r="F131" s="12"/>
      <c r="G131" s="12"/>
      <c r="I131" s="12"/>
      <c r="J131" s="12"/>
      <c r="K131" s="12"/>
      <c r="L131" s="12"/>
      <c r="M131" s="12"/>
    </row>
    <row r="132" spans="1:13" ht="15.75" customHeight="1">
      <c r="A132" s="166"/>
      <c r="B132" s="95" t="s">
        <v>91</v>
      </c>
      <c r="C132" s="2" t="s">
        <v>92</v>
      </c>
      <c r="D132" s="2"/>
      <c r="E132" s="12"/>
      <c r="F132" s="12"/>
      <c r="G132" s="12"/>
      <c r="I132" s="99"/>
      <c r="J132" s="12"/>
      <c r="K132" s="12"/>
      <c r="L132" s="12"/>
      <c r="M132" s="12"/>
    </row>
    <row r="133" spans="1:13" ht="15.75" customHeight="1">
      <c r="A133" s="166"/>
      <c r="B133" s="156">
        <f>'Take-off'!K351</f>
        <v>562.4939024390244</v>
      </c>
      <c r="C133" s="92">
        <f>B133*C134</f>
        <v>939.36481707317068</v>
      </c>
      <c r="D133" s="92"/>
      <c r="E133" s="12"/>
      <c r="F133" s="12"/>
      <c r="G133" s="12"/>
      <c r="I133" s="99"/>
      <c r="J133" s="12"/>
      <c r="K133" s="12"/>
      <c r="L133" s="12"/>
      <c r="M133" s="12"/>
    </row>
    <row r="134" spans="1:13" ht="15.75" customHeight="1">
      <c r="A134" s="166"/>
      <c r="B134" s="95" t="s">
        <v>93</v>
      </c>
      <c r="C134" s="165">
        <f>IF( ISBLANK('Take-off'!C10),MIN('Dropdown lists'!C4:C10), VLOOKUP('Take-off'!C10,'Dropdown lists'!B4:C10,2))</f>
        <v>1.67</v>
      </c>
      <c r="D134" s="95"/>
      <c r="E134" s="12"/>
      <c r="F134" s="12"/>
      <c r="G134" s="12"/>
      <c r="I134" s="99"/>
      <c r="J134" s="12"/>
      <c r="K134" s="12"/>
      <c r="L134" s="12"/>
      <c r="M134" s="12"/>
    </row>
    <row r="135" spans="1:13" ht="15.75" customHeight="1">
      <c r="A135" s="166"/>
      <c r="B135" s="95"/>
      <c r="C135" s="95"/>
      <c r="D135" s="95"/>
      <c r="E135" s="12"/>
      <c r="F135" s="12"/>
      <c r="G135" s="12"/>
      <c r="I135" s="170"/>
      <c r="J135" s="72"/>
      <c r="K135" s="72"/>
      <c r="L135" s="72"/>
      <c r="M135" s="72"/>
    </row>
    <row r="136" spans="1:13" ht="15.75" customHeight="1">
      <c r="A136" s="166"/>
      <c r="B136" s="95"/>
      <c r="C136" s="165"/>
      <c r="D136" s="95"/>
      <c r="E136" s="12"/>
      <c r="F136" s="12"/>
      <c r="G136" s="12"/>
      <c r="I136" s="170"/>
      <c r="J136" s="72"/>
      <c r="K136" s="72"/>
      <c r="L136" s="72"/>
      <c r="M136" s="72"/>
    </row>
    <row r="137" spans="1:13" ht="15.75" customHeight="1">
      <c r="B137" s="12"/>
      <c r="C137" s="99"/>
      <c r="I137" s="170"/>
      <c r="J137" s="72"/>
      <c r="K137" s="72"/>
      <c r="L137" s="72"/>
      <c r="M137" s="72"/>
    </row>
    <row r="138" spans="1:13" ht="15.75" customHeight="1">
      <c r="B138" s="12"/>
      <c r="C138" s="99"/>
      <c r="I138" s="170"/>
      <c r="J138" s="72"/>
      <c r="K138" s="72"/>
      <c r="L138" s="72"/>
      <c r="M138" s="72"/>
    </row>
    <row r="139" spans="1:13" ht="15.75" customHeight="1">
      <c r="B139" s="12"/>
      <c r="C139" s="99"/>
      <c r="I139" s="170"/>
      <c r="J139" s="72"/>
      <c r="K139" s="72"/>
      <c r="L139" s="72"/>
      <c r="M139" s="72"/>
    </row>
    <row r="140" spans="1:13" ht="15.75" customHeight="1">
      <c r="B140" s="12"/>
      <c r="C140" s="99"/>
      <c r="I140" s="170"/>
      <c r="J140" s="72"/>
      <c r="K140" s="72"/>
      <c r="L140" s="72"/>
      <c r="M140" s="72"/>
    </row>
    <row r="141" spans="1:13" ht="15.75" customHeight="1">
      <c r="B141" s="12"/>
      <c r="C141" s="99"/>
      <c r="I141" s="170"/>
      <c r="J141" s="72"/>
      <c r="K141" s="72"/>
      <c r="L141" s="72"/>
      <c r="M141" s="72"/>
    </row>
    <row r="142" spans="1:13" ht="15.75" customHeight="1"/>
    <row r="143" spans="1:13" ht="15.75" customHeight="1"/>
    <row r="144" spans="1:13" ht="15.75" customHeight="1"/>
    <row r="145" spans="1:7" ht="15.75" customHeight="1">
      <c r="A145" s="261" t="s">
        <v>94</v>
      </c>
      <c r="B145" s="304"/>
      <c r="C145" s="304"/>
      <c r="D145" s="304"/>
      <c r="E145" s="304"/>
    </row>
    <row r="146" spans="1:7" ht="15.75" customHeight="1"/>
    <row r="147" spans="1:7" ht="15.75" customHeight="1">
      <c r="A147" s="272" t="s">
        <v>95</v>
      </c>
      <c r="B147" s="269" t="s">
        <v>96</v>
      </c>
      <c r="C147" s="320"/>
      <c r="D147" s="269" t="s">
        <v>70</v>
      </c>
      <c r="E147" s="320"/>
    </row>
    <row r="148" spans="1:7" ht="15.75" customHeight="1">
      <c r="A148" s="321"/>
      <c r="B148" s="270" t="s">
        <v>46</v>
      </c>
      <c r="C148" s="320"/>
      <c r="D148" s="270" t="s">
        <v>70</v>
      </c>
      <c r="E148" s="320"/>
    </row>
    <row r="149" spans="1:7" ht="15.75" customHeight="1">
      <c r="A149" s="87">
        <v>500</v>
      </c>
      <c r="B149" s="89">
        <v>850</v>
      </c>
      <c r="C149" s="86"/>
      <c r="D149" s="86"/>
      <c r="E149" s="86"/>
    </row>
    <row r="150" spans="1:7" ht="15.75" customHeight="1">
      <c r="A150" s="85">
        <v>1000</v>
      </c>
      <c r="B150" s="86">
        <v>1700</v>
      </c>
      <c r="C150" s="89"/>
      <c r="D150" s="89"/>
      <c r="E150" s="89"/>
    </row>
    <row r="151" spans="1:7" ht="15.75" customHeight="1">
      <c r="A151" s="87">
        <v>1500</v>
      </c>
      <c r="B151" s="89">
        <v>2550</v>
      </c>
      <c r="C151" s="86"/>
      <c r="D151" s="86"/>
      <c r="E151" s="86"/>
    </row>
    <row r="152" spans="1:7" ht="15.75" customHeight="1">
      <c r="A152" s="87">
        <v>2000</v>
      </c>
      <c r="B152" s="89">
        <v>3400</v>
      </c>
      <c r="C152" s="89"/>
      <c r="D152" s="89"/>
      <c r="E152" s="89"/>
    </row>
    <row r="153" spans="1:7" ht="15.75" customHeight="1">
      <c r="A153" s="87">
        <v>2500</v>
      </c>
      <c r="B153" s="89">
        <v>4250</v>
      </c>
      <c r="C153" s="89"/>
      <c r="D153" s="89"/>
      <c r="E153" s="89"/>
    </row>
    <row r="154" spans="1:7" ht="15.75" customHeight="1">
      <c r="A154" s="87">
        <v>2900</v>
      </c>
      <c r="B154" s="89">
        <v>5000</v>
      </c>
      <c r="C154" s="89"/>
      <c r="D154" s="89"/>
      <c r="E154" s="89"/>
      <c r="G154" s="8" t="s">
        <v>97</v>
      </c>
    </row>
    <row r="155" spans="1:7" ht="15.75" customHeight="1">
      <c r="A155" s="85">
        <v>3500</v>
      </c>
      <c r="B155" s="86">
        <v>99999</v>
      </c>
      <c r="C155" s="86"/>
      <c r="D155" s="86"/>
      <c r="E155" s="86"/>
    </row>
    <row r="156" spans="1:7" ht="15.75" customHeight="1">
      <c r="A156" s="91"/>
      <c r="B156" s="92"/>
      <c r="C156" s="92"/>
      <c r="D156" s="92"/>
    </row>
    <row r="157" spans="1:7" ht="15.75" customHeight="1">
      <c r="A157" s="260" t="s">
        <v>76</v>
      </c>
      <c r="B157" s="304"/>
      <c r="C157" s="304"/>
      <c r="D157" s="12"/>
      <c r="E157" s="12"/>
    </row>
    <row r="158" spans="1:7" ht="15.75" customHeight="1">
      <c r="A158" s="2"/>
      <c r="B158" s="73" t="s">
        <v>77</v>
      </c>
      <c r="C158" s="88">
        <f>MATCH(MAX(A149:A155),A149:A155,0)</f>
        <v>7</v>
      </c>
      <c r="D158" s="73"/>
    </row>
    <row r="159" spans="1:7" ht="15.75" customHeight="1">
      <c r="A159" s="2"/>
      <c r="B159" s="73" t="s">
        <v>78</v>
      </c>
      <c r="C159" s="88">
        <f>MATCH(MAX(B149),B149,0)</f>
        <v>1</v>
      </c>
      <c r="D159" s="73"/>
    </row>
    <row r="160" spans="1:7" ht="15.75" customHeight="1">
      <c r="A160" s="2"/>
      <c r="B160" s="2"/>
      <c r="C160" s="2"/>
      <c r="D160" s="2"/>
    </row>
    <row r="161" spans="1:17" ht="15.75" customHeight="1">
      <c r="A161" s="95" t="s">
        <v>79</v>
      </c>
      <c r="B161" s="26" t="str">
        <f>B148</f>
        <v>UP</v>
      </c>
      <c r="C161" s="26"/>
      <c r="D161" s="26" t="str">
        <f>D148</f>
        <v>EMG RETURN</v>
      </c>
    </row>
    <row r="162" spans="1:17" ht="15.75" customHeight="1">
      <c r="A162" s="96" t="s">
        <v>80</v>
      </c>
      <c r="B162" s="97">
        <f>'Take-off'!C351*3.28</f>
        <v>1834.1559999999997</v>
      </c>
      <c r="C162" s="97"/>
      <c r="D162" s="97">
        <f>'Take-off'!K351*3.28</f>
        <v>1844.98</v>
      </c>
    </row>
    <row r="163" spans="1:17" ht="15.75" customHeight="1">
      <c r="A163" s="73" t="s">
        <v>81</v>
      </c>
      <c r="B163" s="100">
        <f t="array" ref="B163">INDEX(A149:A155,MATCH(B162,A149:A155,1))</f>
        <v>1500</v>
      </c>
      <c r="C163" s="100"/>
      <c r="D163" s="100">
        <f t="array" ref="D163">INDEX($A$149:$A$155,MATCH(D162,$A$149:$A$155,1))</f>
        <v>1500</v>
      </c>
    </row>
    <row r="164" spans="1:17" ht="15.75" customHeight="1">
      <c r="A164" s="73" t="s">
        <v>82</v>
      </c>
      <c r="B164" s="100">
        <f t="array" ref="B164">INDEX(A149:A155,IF(MATCH(B162,A149:A155,1)&lt;C158,MATCH(B162,A149:A155,1)+1,MATCH(B162,A149:A155,1)))</f>
        <v>2000</v>
      </c>
      <c r="C164" s="100"/>
      <c r="D164" s="100">
        <f t="array" ref="D164">INDEX($A$149:$A$155,IF(MATCH(D162,$A$149:$A$155,1)&lt;$C$158,MATCH(D162,$A$149:$A$155,1)+1,MATCH(D162,$A$149:$A$155,1)))</f>
        <v>2000</v>
      </c>
    </row>
    <row r="165" spans="1:17" ht="15.75" customHeight="1">
      <c r="A165" s="98" t="s">
        <v>83</v>
      </c>
      <c r="B165" s="97">
        <f t="array" ref="B165">INDEX(B149:B155,MATCH(B162,A149:A155,1),MATCH(B161,B148,1))</f>
        <v>2550</v>
      </c>
      <c r="C165" s="97"/>
      <c r="D165" s="97">
        <f t="array" ref="D165">INDEX(B149:B155,MATCH(D162,$A$149:$A$155,1),MATCH(D161,D148,1))</f>
        <v>2550</v>
      </c>
    </row>
    <row r="166" spans="1:17" ht="15.75" customHeight="1">
      <c r="A166" s="98" t="s">
        <v>84</v>
      </c>
      <c r="B166" s="97">
        <f t="array" ref="B166">INDEX(B149:B155,IF(MATCH(B162,A149:A155,1)&lt;C158,MATCH(B162,A149:A155,1)+1,MATCH(B162,A149:A155,1)),MATCH(B161,B148,1))</f>
        <v>3400</v>
      </c>
      <c r="C166" s="97"/>
      <c r="D166" s="97">
        <f t="array" ref="D166">INDEX(B149:B155,IF(MATCH(D162,$A$149:$A$155,1)&lt;$C$158,MATCH(D162,$A$149:$A$155,1)+1,MATCH(D162,$A$149:$A$155,1)),MATCH(D161,D148,1))</f>
        <v>3400</v>
      </c>
    </row>
    <row r="167" spans="1:17" ht="15.75" customHeight="1">
      <c r="A167" s="98" t="s">
        <v>98</v>
      </c>
      <c r="B167" s="97">
        <f>IFERROR(B165+(B162-B163)*(B166-B165)/(B164-B163),B165)</f>
        <v>3118.0651999999995</v>
      </c>
      <c r="C167" s="97"/>
      <c r="D167" s="97">
        <f>IFERROR(D165+(D162-D163)*(D166-D165)/(D164-D163),D165)</f>
        <v>3136.4659999999999</v>
      </c>
    </row>
    <row r="168" spans="1:17" ht="15.75" customHeight="1"/>
    <row r="169" spans="1:17" ht="15.75" customHeight="1"/>
    <row r="170" spans="1:17" ht="15.75" customHeight="1">
      <c r="A170" s="261" t="s">
        <v>99</v>
      </c>
      <c r="B170" s="304"/>
      <c r="C170" s="304"/>
      <c r="D170" s="304"/>
      <c r="E170" s="304"/>
      <c r="F170" s="78"/>
      <c r="G170" s="78"/>
      <c r="I170" s="12"/>
      <c r="J170" s="12"/>
      <c r="K170" s="12"/>
      <c r="L170" s="12"/>
      <c r="M170" s="12"/>
      <c r="N170" s="12"/>
      <c r="O170" s="12"/>
      <c r="P170" s="12"/>
      <c r="Q170" s="12"/>
    </row>
    <row r="171" spans="1:17" ht="15.75" customHeight="1">
      <c r="A171" s="12" t="s">
        <v>46</v>
      </c>
      <c r="O171" s="12"/>
      <c r="P171" s="12"/>
      <c r="Q171" s="12"/>
    </row>
    <row r="172" spans="1:17" ht="15.75" customHeight="1">
      <c r="A172" s="266" t="s">
        <v>73</v>
      </c>
      <c r="B172" s="105"/>
      <c r="C172" s="107"/>
      <c r="D172" s="105" t="s">
        <v>74</v>
      </c>
      <c r="E172" s="107"/>
      <c r="F172" s="108"/>
      <c r="G172" s="109"/>
      <c r="H172" s="108" t="s">
        <v>74</v>
      </c>
      <c r="I172" s="107"/>
      <c r="J172" s="267"/>
      <c r="K172" s="322"/>
      <c r="L172" s="12"/>
      <c r="M172" s="12"/>
      <c r="O172" s="12"/>
      <c r="P172" s="12"/>
      <c r="Q172" s="12"/>
    </row>
    <row r="173" spans="1:17" ht="15.75" customHeight="1">
      <c r="A173" s="323"/>
      <c r="B173" s="111"/>
      <c r="C173" s="112"/>
      <c r="D173" s="111" t="s">
        <v>100</v>
      </c>
      <c r="E173" s="112"/>
      <c r="F173" s="111"/>
      <c r="G173" s="113"/>
      <c r="H173" s="114" t="s">
        <v>101</v>
      </c>
      <c r="I173" s="112"/>
      <c r="J173" s="114"/>
      <c r="K173" s="112"/>
      <c r="M173" s="12"/>
      <c r="O173" s="12"/>
      <c r="P173" s="12"/>
      <c r="Q173" s="12"/>
    </row>
    <row r="174" spans="1:17" ht="15.75" customHeight="1">
      <c r="A174" s="115">
        <v>9000</v>
      </c>
      <c r="B174" s="116"/>
      <c r="C174" s="117"/>
      <c r="D174" s="116">
        <v>94</v>
      </c>
      <c r="E174" s="117"/>
      <c r="F174" s="116"/>
      <c r="G174" s="118"/>
      <c r="H174" s="119">
        <v>103</v>
      </c>
      <c r="I174" s="117"/>
      <c r="J174" s="120"/>
      <c r="K174" s="121"/>
      <c r="M174" s="99"/>
      <c r="O174" s="12"/>
      <c r="P174" s="12"/>
      <c r="Q174" s="12"/>
    </row>
    <row r="175" spans="1:17" ht="15.75" customHeight="1">
      <c r="A175" s="115">
        <v>10000</v>
      </c>
      <c r="B175" s="122"/>
      <c r="C175" s="124"/>
      <c r="D175" s="122">
        <v>94</v>
      </c>
      <c r="E175" s="124"/>
      <c r="F175" s="122"/>
      <c r="G175" s="125"/>
      <c r="H175" s="122">
        <v>103</v>
      </c>
      <c r="I175" s="124"/>
      <c r="J175" s="126"/>
      <c r="K175" s="127"/>
      <c r="M175" s="99"/>
      <c r="O175" s="12"/>
      <c r="P175" s="12"/>
      <c r="Q175" s="12"/>
    </row>
    <row r="176" spans="1:17" ht="15.75" customHeight="1">
      <c r="A176" s="115">
        <v>11000</v>
      </c>
      <c r="B176" s="122"/>
      <c r="C176" s="124"/>
      <c r="D176" s="122">
        <v>94</v>
      </c>
      <c r="E176" s="124"/>
      <c r="F176" s="122"/>
      <c r="G176" s="125"/>
      <c r="H176" s="130">
        <v>103</v>
      </c>
      <c r="I176" s="124"/>
      <c r="J176" s="126"/>
      <c r="K176" s="127"/>
      <c r="M176" s="99"/>
      <c r="O176" s="12"/>
      <c r="P176" s="12"/>
      <c r="Q176" s="12"/>
    </row>
    <row r="177" spans="1:17" ht="15.75" customHeight="1">
      <c r="A177" s="132">
        <v>11500</v>
      </c>
      <c r="B177" s="122"/>
      <c r="C177" s="124"/>
      <c r="D177" s="122">
        <v>94</v>
      </c>
      <c r="E177" s="124"/>
      <c r="F177" s="122"/>
      <c r="G177" s="125"/>
      <c r="H177" s="122">
        <v>103</v>
      </c>
      <c r="I177" s="124"/>
      <c r="J177" s="126"/>
      <c r="K177" s="127"/>
      <c r="M177" s="99"/>
      <c r="O177" s="12"/>
      <c r="P177" s="12"/>
      <c r="Q177" s="12"/>
    </row>
    <row r="178" spans="1:17" ht="15.75" customHeight="1">
      <c r="A178" s="132">
        <v>12000</v>
      </c>
      <c r="B178" s="122"/>
      <c r="C178" s="124"/>
      <c r="D178" s="122">
        <v>94</v>
      </c>
      <c r="E178" s="124"/>
      <c r="F178" s="122"/>
      <c r="G178" s="125"/>
      <c r="H178" s="130">
        <v>103</v>
      </c>
      <c r="I178" s="124"/>
      <c r="J178" s="126"/>
      <c r="K178" s="127"/>
      <c r="M178" s="99"/>
      <c r="O178" s="12"/>
      <c r="P178" s="12"/>
      <c r="Q178" s="12"/>
    </row>
    <row r="179" spans="1:17" ht="15.75" customHeight="1">
      <c r="A179" s="133">
        <v>12500</v>
      </c>
      <c r="B179" s="134"/>
      <c r="C179" s="136"/>
      <c r="D179" s="134">
        <v>94</v>
      </c>
      <c r="E179" s="136"/>
      <c r="F179" s="134"/>
      <c r="G179" s="138"/>
      <c r="H179" s="139">
        <v>103</v>
      </c>
      <c r="I179" s="136"/>
      <c r="J179" s="140"/>
      <c r="K179" s="141"/>
      <c r="M179" s="99"/>
      <c r="O179" s="12"/>
      <c r="P179" s="12"/>
      <c r="Q179" s="12"/>
    </row>
    <row r="180" spans="1:17" ht="15.75" customHeight="1">
      <c r="A180" s="91"/>
      <c r="B180" s="92"/>
      <c r="C180" s="92"/>
      <c r="D180" s="92"/>
      <c r="F180" s="12"/>
      <c r="H180" s="12"/>
      <c r="I180" s="99"/>
      <c r="J180" s="12"/>
      <c r="K180" s="99"/>
      <c r="O180" s="12"/>
      <c r="P180" s="12"/>
      <c r="Q180" s="12"/>
    </row>
    <row r="181" spans="1:17" ht="15.75" customHeight="1">
      <c r="A181" s="93"/>
      <c r="B181" s="260"/>
      <c r="C181" s="304"/>
      <c r="D181" s="260" t="s">
        <v>102</v>
      </c>
      <c r="E181" s="304"/>
      <c r="H181" s="260" t="s">
        <v>101</v>
      </c>
      <c r="I181" s="304"/>
      <c r="J181" s="93"/>
      <c r="K181" s="93"/>
      <c r="M181" s="12"/>
      <c r="N181" s="12"/>
      <c r="O181" s="12"/>
      <c r="P181" s="12"/>
      <c r="Q181" s="12"/>
    </row>
    <row r="182" spans="1:17" ht="15.75" customHeight="1">
      <c r="B182" s="73"/>
      <c r="C182" s="88"/>
      <c r="D182" s="73" t="s">
        <v>77</v>
      </c>
      <c r="E182" s="88">
        <f>MATCH(MAX($A174:$A179),$A174:$A179,0)</f>
        <v>6</v>
      </c>
      <c r="G182" s="88"/>
      <c r="I182" s="88">
        <f>MATCH(MAX($A174:$A179),$A174:$A179,0)</f>
        <v>6</v>
      </c>
      <c r="J182" s="88"/>
      <c r="K182" s="88"/>
      <c r="M182" s="12"/>
      <c r="N182" s="12"/>
    </row>
    <row r="183" spans="1:17" ht="15.75" customHeight="1">
      <c r="B183" s="73"/>
      <c r="C183" s="88"/>
      <c r="D183" s="73" t="s">
        <v>78</v>
      </c>
      <c r="E183" s="88">
        <f>MATCH(MAX(D174),D174,0)</f>
        <v>1</v>
      </c>
      <c r="G183" s="88"/>
      <c r="I183" s="88">
        <f>MATCH(MAX(H174),H174,0)</f>
        <v>1</v>
      </c>
      <c r="J183" s="88"/>
      <c r="K183" s="88"/>
      <c r="M183" s="12"/>
      <c r="N183" s="12"/>
    </row>
    <row r="184" spans="1:17" ht="15.75" customHeight="1">
      <c r="A184" s="2"/>
      <c r="B184" s="2"/>
      <c r="C184" s="2"/>
      <c r="D184" s="2"/>
      <c r="E184" s="2"/>
      <c r="F184" s="2"/>
      <c r="G184" s="2"/>
      <c r="H184" s="12"/>
      <c r="I184" s="12"/>
      <c r="J184" s="12"/>
      <c r="K184" s="12"/>
      <c r="M184" s="12"/>
      <c r="N184" s="12"/>
    </row>
    <row r="185" spans="1:17" ht="15.75" customHeight="1">
      <c r="B185" s="95"/>
      <c r="C185" s="26"/>
      <c r="D185" s="95" t="s">
        <v>79</v>
      </c>
      <c r="E185" s="26" t="str">
        <f>D173</f>
        <v>V1/R</v>
      </c>
      <c r="F185" s="95"/>
      <c r="G185" s="26"/>
      <c r="H185" s="12"/>
      <c r="I185" s="26" t="str">
        <f>H173</f>
        <v>V2</v>
      </c>
      <c r="J185" s="26"/>
      <c r="K185" s="26"/>
      <c r="M185" s="12"/>
      <c r="N185" s="12"/>
    </row>
    <row r="186" spans="1:17" ht="15.75" customHeight="1">
      <c r="B186" s="98"/>
      <c r="C186" s="97"/>
      <c r="D186" s="96" t="s">
        <v>80</v>
      </c>
      <c r="E186" s="97">
        <f>'Take-off'!$C$14</f>
        <v>11000</v>
      </c>
      <c r="F186" s="98"/>
      <c r="G186" s="97"/>
      <c r="H186" s="12"/>
      <c r="I186" s="97">
        <f>'Take-off'!$C$14</f>
        <v>11000</v>
      </c>
      <c r="J186" s="97"/>
      <c r="K186" s="97"/>
      <c r="M186" s="99"/>
      <c r="N186" s="99"/>
    </row>
    <row r="187" spans="1:17" ht="15.75" customHeight="1">
      <c r="B187" s="73"/>
      <c r="C187" s="100"/>
      <c r="D187" s="73" t="s">
        <v>81</v>
      </c>
      <c r="E187" s="100">
        <f t="array" ref="E187">INDEX($A174:$A179,MATCH(E186,$A174:$A179,1))</f>
        <v>11000</v>
      </c>
      <c r="F187" s="73"/>
      <c r="G187" s="100"/>
      <c r="H187" s="12"/>
      <c r="I187" s="100">
        <f t="array" ref="I187">INDEX($A174:$A179,MATCH(I186,$A174:$A179,1))</f>
        <v>11000</v>
      </c>
      <c r="J187" s="100"/>
      <c r="K187" s="100"/>
      <c r="M187" s="99"/>
      <c r="N187" s="99"/>
    </row>
    <row r="188" spans="1:17" ht="15.75" customHeight="1">
      <c r="B188" s="73"/>
      <c r="C188" s="100"/>
      <c r="D188" s="73" t="s">
        <v>82</v>
      </c>
      <c r="E188" s="100">
        <f t="array" ref="E188">INDEX($A174:$A179,IF(MATCH(E186,$A174:$A179,1)&lt;E182,MATCH(E186,$A174:$A179,1)+1,MATCH(E186,$A174:$A179,1)))</f>
        <v>11500</v>
      </c>
      <c r="F188" s="73"/>
      <c r="G188" s="100"/>
      <c r="H188" s="12"/>
      <c r="I188" s="100">
        <f t="array" ref="I188">INDEX($A174:$A179,IF(MATCH(I186,$A174:$A179,1)&lt;I182,MATCH(I186,$A174:$A179,1)+1,MATCH(I186,$A174:$A179,1)))</f>
        <v>11500</v>
      </c>
      <c r="J188" s="100"/>
      <c r="K188" s="100"/>
      <c r="M188" s="99"/>
      <c r="N188" s="99"/>
    </row>
    <row r="189" spans="1:17" ht="15.75" customHeight="1">
      <c r="B189" s="98"/>
      <c r="C189" s="97"/>
      <c r="D189" s="98" t="s">
        <v>83</v>
      </c>
      <c r="E189" s="97">
        <f t="array" ref="E189">INDEX(D174:D179,MATCH(E186,$A174:$A179,1),MATCH(E185,D173,1))</f>
        <v>94</v>
      </c>
      <c r="F189" s="98"/>
      <c r="G189" s="97"/>
      <c r="H189" s="12"/>
      <c r="I189" s="97">
        <f t="array" ref="I189">INDEX(H174:H179,MATCH(I186,$A174:$A179,1),MATCH(I185,H173,1))</f>
        <v>103</v>
      </c>
      <c r="J189" s="155"/>
      <c r="K189" s="155"/>
      <c r="M189" s="99"/>
      <c r="N189" s="99"/>
      <c r="O189" s="12"/>
      <c r="P189" s="12"/>
      <c r="Q189" s="12"/>
    </row>
    <row r="190" spans="1:17" ht="15.75" customHeight="1">
      <c r="B190" s="98"/>
      <c r="C190" s="97"/>
      <c r="D190" s="98" t="s">
        <v>84</v>
      </c>
      <c r="E190" s="97">
        <f t="array" ref="E190">INDEX(D174:D179,IF(MATCH(E186,$A174:$A179,1)&lt;E182,MATCH(E186,$A174:$A179,1)+1,MATCH(E186,$A174:$A179,1)),MATCH(E185,D173,1))</f>
        <v>94</v>
      </c>
      <c r="F190" s="98"/>
      <c r="G190" s="97"/>
      <c r="H190" s="12"/>
      <c r="I190" s="97">
        <f t="array" ref="I190">INDEX(H174:H179,IF(MATCH(I186,$A174:$A179,1)&lt;I182,MATCH(I186,$A174:$A179,1)+1,MATCH(I186,$A174:$A179,1)),MATCH(I185,H173,1))</f>
        <v>103</v>
      </c>
      <c r="J190" s="155"/>
      <c r="K190" s="155"/>
      <c r="M190" s="99"/>
      <c r="N190" s="99"/>
      <c r="O190" s="12"/>
      <c r="P190" s="12"/>
      <c r="Q190" s="12"/>
    </row>
    <row r="191" spans="1:17" ht="15.75" customHeight="1">
      <c r="B191" s="98"/>
      <c r="C191" s="97"/>
      <c r="D191" s="98" t="s">
        <v>85</v>
      </c>
      <c r="E191" s="97">
        <f>IFERROR(E189+(E186-E187)*(E190-E189)/(E188-E187),E189)</f>
        <v>94</v>
      </c>
      <c r="F191" s="98"/>
      <c r="G191" s="97"/>
      <c r="H191" s="12"/>
      <c r="I191" s="97">
        <f>IFERROR(I189+(I186-I187)*(I190-I189)/(I188-I187),I189)</f>
        <v>103</v>
      </c>
      <c r="J191" s="155"/>
      <c r="K191" s="155"/>
      <c r="M191" s="99"/>
      <c r="N191" s="99"/>
      <c r="O191" s="12"/>
      <c r="P191" s="12"/>
      <c r="Q191" s="12"/>
    </row>
    <row r="192" spans="1:17" ht="15.75" customHeight="1">
      <c r="A192" s="12"/>
      <c r="C192" s="99"/>
      <c r="G192" s="99"/>
      <c r="I192" s="73"/>
      <c r="J192" s="155"/>
      <c r="K192" s="155"/>
      <c r="M192" s="2"/>
      <c r="N192" s="2"/>
      <c r="O192" s="2"/>
      <c r="P192" s="2"/>
      <c r="Q192" s="2"/>
    </row>
    <row r="193" spans="1:17" ht="15.75" customHeight="1">
      <c r="A193" s="12"/>
      <c r="B193" s="12"/>
      <c r="C193" s="12"/>
      <c r="D193" s="12"/>
      <c r="E193" s="12"/>
      <c r="F193" s="12"/>
      <c r="L193" s="77"/>
      <c r="M193" s="77"/>
      <c r="N193" s="77"/>
      <c r="O193" s="77"/>
      <c r="P193" s="77"/>
      <c r="Q193" s="77"/>
    </row>
    <row r="194" spans="1:17" ht="15.75" customHeight="1">
      <c r="A194" s="223" t="s">
        <v>103</v>
      </c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2"/>
      <c r="M194" s="252"/>
      <c r="N194" s="252"/>
      <c r="O194" s="252"/>
      <c r="P194" s="252"/>
      <c r="Q194" s="252"/>
    </row>
    <row r="195" spans="1:17" ht="15.75" customHeight="1">
      <c r="A195" s="12"/>
      <c r="B195" s="12"/>
      <c r="C195" s="12"/>
      <c r="D195" s="12"/>
      <c r="E195" s="12"/>
      <c r="F195" s="12"/>
      <c r="G195" s="12"/>
      <c r="L195" s="12"/>
      <c r="M195" s="12"/>
      <c r="N195" s="12"/>
      <c r="O195" s="12"/>
      <c r="P195" s="12"/>
      <c r="Q195" s="12"/>
    </row>
    <row r="196" spans="1:17" ht="15.75" customHeight="1">
      <c r="A196" s="79"/>
      <c r="B196" s="81" t="s">
        <v>104</v>
      </c>
      <c r="C196" s="169" t="s">
        <v>105</v>
      </c>
      <c r="D196" s="79" t="s">
        <v>106</v>
      </c>
      <c r="E196" s="79" t="s">
        <v>107</v>
      </c>
      <c r="F196" s="81" t="s">
        <v>108</v>
      </c>
      <c r="G196" s="79" t="s">
        <v>109</v>
      </c>
      <c r="H196" s="79"/>
      <c r="I196" s="79" t="s">
        <v>110</v>
      </c>
      <c r="J196" s="79" t="s">
        <v>19</v>
      </c>
      <c r="K196" s="79" t="s">
        <v>111</v>
      </c>
      <c r="L196" s="79" t="s">
        <v>112</v>
      </c>
      <c r="M196" s="79" t="s">
        <v>106</v>
      </c>
      <c r="N196" s="79" t="s">
        <v>107</v>
      </c>
      <c r="O196" s="79" t="s">
        <v>113</v>
      </c>
      <c r="P196" s="79" t="s">
        <v>114</v>
      </c>
      <c r="Q196" s="79" t="s">
        <v>115</v>
      </c>
    </row>
    <row r="197" spans="1:17" ht="15.75" customHeight="1">
      <c r="A197" s="166" t="s">
        <v>116</v>
      </c>
      <c r="B197" s="156">
        <f>'Take-off'!C693/3.28</f>
        <v>451.92682926829269</v>
      </c>
      <c r="C197" s="171">
        <v>0</v>
      </c>
      <c r="D197" s="12" t="s">
        <v>117</v>
      </c>
      <c r="E197" s="12" t="s">
        <v>117</v>
      </c>
      <c r="F197" s="156">
        <f>IF('Take-off'!$C$17&gt;0, ((+'Take-off'!$C$17*5)%*SUM(B197:E197)),0 )</f>
        <v>0</v>
      </c>
      <c r="G197" s="156">
        <f>SUM(B197:F197)</f>
        <v>451.92682926829269</v>
      </c>
      <c r="I197" s="172">
        <f>VLOOKUP('Take-off'!$C$11, 'Dropdown lists'!$B$34:$D$40, 3, FALSE)</f>
        <v>0</v>
      </c>
      <c r="J197" s="8">
        <f>'Take-off'!$C$12</f>
        <v>0</v>
      </c>
      <c r="K197" s="99">
        <f>SUM(B197:F197)</f>
        <v>451.92682926829269</v>
      </c>
      <c r="L197" s="99">
        <f>K197*(I197*J197)</f>
        <v>0</v>
      </c>
      <c r="M197" s="8">
        <f>IF('Take-off'!$C$10&lt;5, 30%*K197, 0)</f>
        <v>0</v>
      </c>
      <c r="N197" s="8">
        <f>IF('Take-off'!$C$10&lt;3, 20%*K197, 0)</f>
        <v>0</v>
      </c>
      <c r="O197" s="99">
        <v>0</v>
      </c>
      <c r="P197" s="99"/>
      <c r="Q197" s="99">
        <f>SUM(K197:O197)</f>
        <v>451.92682926829269</v>
      </c>
    </row>
    <row r="198" spans="1:17" ht="15.75" customHeight="1">
      <c r="A198" s="166" t="s">
        <v>118</v>
      </c>
      <c r="B198" s="156">
        <f>'Take-off'!C712/3.28</f>
        <v>571.72195121951222</v>
      </c>
      <c r="C198" s="171">
        <v>0</v>
      </c>
      <c r="D198" s="12" t="s">
        <v>117</v>
      </c>
      <c r="E198" s="12" t="s">
        <v>117</v>
      </c>
      <c r="F198" s="156">
        <f>IF('Take-off'!$C$17&gt;0, ((+'Take-off'!$C$17*5)%*SUM(B198:E198)),0 )</f>
        <v>0</v>
      </c>
      <c r="G198" s="156">
        <f>SUM(B198:F198)*115%</f>
        <v>657.48024390243904</v>
      </c>
      <c r="I198" s="172">
        <f>VLOOKUP('Take-off'!$C$11, 'Dropdown lists'!$B$34:$D$40, 3, FALSE)</f>
        <v>0</v>
      </c>
      <c r="J198" s="8">
        <f>'Take-off'!$C$12</f>
        <v>0</v>
      </c>
      <c r="K198" s="99">
        <f>SUM(B198:F198)</f>
        <v>571.72195121951222</v>
      </c>
      <c r="L198" s="99">
        <f>K198*(I198*J198)</f>
        <v>0</v>
      </c>
      <c r="M198" s="8">
        <f>IF('Take-off'!$C$10&lt;5, 30%*K198, 0)</f>
        <v>0</v>
      </c>
      <c r="N198" s="8">
        <f>IF('Take-off'!$C$10&lt;3, 20%*K198, 0)</f>
        <v>0</v>
      </c>
      <c r="O198" s="99">
        <f>15%*SUM(K198:N198)</f>
        <v>85.758292682926836</v>
      </c>
      <c r="P198" s="99"/>
      <c r="Q198" s="99">
        <f>SUM(K198:O198)</f>
        <v>657.48024390243904</v>
      </c>
    </row>
    <row r="199" spans="1:17" ht="15.75" customHeight="1">
      <c r="A199" s="166" t="s">
        <v>119</v>
      </c>
      <c r="B199" s="99">
        <f>'Take-off'!C428/3.28</f>
        <v>757.92682926829275</v>
      </c>
      <c r="C199" s="171">
        <v>0</v>
      </c>
      <c r="D199" s="12" t="s">
        <v>117</v>
      </c>
      <c r="E199" s="12" t="s">
        <v>117</v>
      </c>
      <c r="F199" s="156">
        <f>IF('Take-off'!$C$17&gt;0, ((+'Take-off'!$C$17*5)%*SUM(B199:E199)),0 )</f>
        <v>0</v>
      </c>
      <c r="G199" s="156">
        <f>SUM(B199:F199)</f>
        <v>757.92682926829275</v>
      </c>
      <c r="I199" s="172">
        <f>VLOOKUP('Take-off'!$C$11, 'Dropdown lists'!$B$34:$D$40, 3, FALSE)</f>
        <v>0</v>
      </c>
      <c r="J199" s="8">
        <f>'Take-off'!$C$12</f>
        <v>0</v>
      </c>
      <c r="K199" s="99">
        <f>SUM(B199:F199)</f>
        <v>757.92682926829275</v>
      </c>
      <c r="L199" s="99"/>
      <c r="Q199" s="99">
        <f>G199</f>
        <v>757.92682926829275</v>
      </c>
    </row>
    <row r="200" spans="1:17" ht="15.75" customHeight="1">
      <c r="A200" s="166" t="s">
        <v>120</v>
      </c>
      <c r="B200" s="99">
        <f>B199</f>
        <v>757.92682926829275</v>
      </c>
      <c r="C200" s="171">
        <v>0</v>
      </c>
      <c r="D200" s="12" t="s">
        <v>117</v>
      </c>
      <c r="E200" s="12" t="s">
        <v>117</v>
      </c>
      <c r="F200" s="156">
        <f>IF('Take-off'!$C$17&gt;0, ((+'Take-off'!$C$17*5)%*SUM(B200:E200)),0 )</f>
        <v>0</v>
      </c>
      <c r="G200" s="156">
        <f>SUM(B200:F200)</f>
        <v>757.92682926829275</v>
      </c>
      <c r="H200" s="12" t="s">
        <v>121</v>
      </c>
      <c r="I200" s="172">
        <f>VLOOKUP('Take-off'!$C$11, 'Dropdown lists'!$B$34:$D$40, 3, FALSE)</f>
        <v>0</v>
      </c>
      <c r="J200" s="8">
        <f>'Take-off'!$C$12</f>
        <v>0</v>
      </c>
      <c r="K200" s="99">
        <f>SUM(B200:F200)</f>
        <v>757.92682926829275</v>
      </c>
      <c r="L200" s="99">
        <f>K200*(I200*J200)</f>
        <v>0</v>
      </c>
      <c r="M200" s="8">
        <f>IF('Take-off'!$C$10&lt;5, 30%*K200, 0)</f>
        <v>0</v>
      </c>
      <c r="N200" s="8">
        <f>IF('Take-off'!$C$10&lt;3, 20%*K200, 0)</f>
        <v>0</v>
      </c>
      <c r="O200" s="8">
        <v>0</v>
      </c>
      <c r="P200" s="8">
        <f>-20/('Take-off'!C42/100)/3.28</f>
        <v>-75.335869530448264</v>
      </c>
      <c r="Q200" s="99">
        <f>SUM(K200:P200)</f>
        <v>682.59095973784451</v>
      </c>
    </row>
    <row r="201" spans="1:17" ht="15.75" customHeight="1">
      <c r="A201" s="166" t="s">
        <v>122</v>
      </c>
      <c r="B201" s="171">
        <f>'Take-off'!C503/3.28</f>
        <v>788.41463414634154</v>
      </c>
      <c r="C201" s="171">
        <v>0</v>
      </c>
      <c r="D201" s="12" t="s">
        <v>117</v>
      </c>
      <c r="E201" s="12" t="s">
        <v>117</v>
      </c>
      <c r="F201" s="156">
        <f>IF('Take-off'!$C$17&gt;0, ((+'Take-off'!$C$17*5)%*SUM(B201:E201)),0 )</f>
        <v>0</v>
      </c>
      <c r="G201" s="156">
        <f>SUM(B201:F201)</f>
        <v>788.41463414634154</v>
      </c>
      <c r="I201" s="172">
        <f>VLOOKUP('Take-off'!$C$11, 'Dropdown lists'!$B$34:$D$40, 3, FALSE)</f>
        <v>0</v>
      </c>
      <c r="J201" s="8">
        <f>'Take-off'!$C$12</f>
        <v>0</v>
      </c>
      <c r="K201" s="99">
        <f>SUM(B201:F201)</f>
        <v>788.41463414634154</v>
      </c>
      <c r="L201" s="99">
        <f>K201*(I201*J201)</f>
        <v>0</v>
      </c>
      <c r="M201" s="8">
        <f>IF('Take-off'!$C$10&lt;5, 30%*K201, 0)</f>
        <v>0</v>
      </c>
      <c r="N201" s="8">
        <f>IF('Take-off'!$C$10&lt;3, 20%*K201, 0)</f>
        <v>0</v>
      </c>
      <c r="O201" s="8">
        <v>0</v>
      </c>
      <c r="Q201" s="99">
        <f>SUM(K201:O201)</f>
        <v>788.41463414634154</v>
      </c>
    </row>
    <row r="202" spans="1:17" ht="15.75" customHeight="1">
      <c r="A202" s="166"/>
      <c r="B202" s="246" t="s">
        <v>87</v>
      </c>
      <c r="C202" s="246" t="s">
        <v>88</v>
      </c>
      <c r="D202" s="246" t="s">
        <v>89</v>
      </c>
      <c r="E202" s="12"/>
      <c r="F202" s="166"/>
      <c r="G202" s="12"/>
      <c r="H202" s="12"/>
      <c r="I202" s="12"/>
    </row>
    <row r="203" spans="1:17" ht="15.75" customHeight="1">
      <c r="A203" s="166"/>
      <c r="B203" s="247">
        <f>IF(ABS('Take-off'!C18-'Take-off'!C6)&gt;270,360-ABS('Take-off'!C18-'Take-off'!C6),'Take-off'!C18-'Take-off'!C6)</f>
        <v>85</v>
      </c>
      <c r="C203" s="248">
        <f>IF(ABS(B203)&gt;90,ABS(COS(B203*PI()/180))*(-1),ABS(COS(B203*PI()/180)))</f>
        <v>8.7155742747658138E-2</v>
      </c>
      <c r="D203" s="247">
        <f>IF( ISBLANK('Take-off'!C6), 'Take-off'!C7*-1,    'Take-off'!C7*C203)</f>
        <v>0</v>
      </c>
      <c r="E203" s="12"/>
      <c r="F203" s="12"/>
      <c r="G203" s="176"/>
      <c r="H203" s="99"/>
    </row>
    <row r="204" spans="1:17" ht="15.75" customHeight="1">
      <c r="A204" s="166" t="s">
        <v>123</v>
      </c>
      <c r="B204" s="95" t="s">
        <v>91</v>
      </c>
      <c r="C204" s="2" t="s">
        <v>92</v>
      </c>
      <c r="D204" s="2"/>
      <c r="E204" s="12"/>
      <c r="F204" s="12"/>
      <c r="G204" s="176"/>
      <c r="H204" s="99"/>
    </row>
    <row r="205" spans="1:17" ht="15.75" customHeight="1">
      <c r="A205" s="166"/>
      <c r="C205" s="92"/>
      <c r="D205" s="92"/>
      <c r="E205" s="12"/>
      <c r="F205" s="12"/>
    </row>
    <row r="206" spans="1:17" ht="15.75" customHeight="1">
      <c r="A206" s="166"/>
      <c r="B206" s="95"/>
      <c r="C206" s="165"/>
      <c r="D206" s="95"/>
      <c r="E206" s="12"/>
      <c r="F206" s="12"/>
    </row>
    <row r="207" spans="1:17" ht="15.75" customHeight="1">
      <c r="A207" s="166"/>
      <c r="B207" s="95"/>
      <c r="C207" s="95"/>
      <c r="D207" s="95"/>
      <c r="E207" s="12"/>
      <c r="F207" s="12"/>
    </row>
    <row r="208" spans="1:17" ht="15.75" customHeight="1">
      <c r="A208" s="166"/>
      <c r="B208" s="95" t="s">
        <v>90</v>
      </c>
      <c r="C208" s="165">
        <f>IF(ABS(B203)&gt;90,ABS(SIN(B203*PI()/180))*(-1),ABS(SIN(B203*PI()/180)))</f>
        <v>0.99619469809174555</v>
      </c>
      <c r="D208" s="95"/>
      <c r="E208" s="12"/>
      <c r="F208" s="12"/>
    </row>
    <row r="209" spans="1:12" ht="15.75" customHeight="1"/>
    <row r="210" spans="1:12" ht="15.75" customHeight="1">
      <c r="A210" s="261" t="s">
        <v>124</v>
      </c>
      <c r="B210" s="304"/>
      <c r="C210" s="304"/>
      <c r="D210" s="304"/>
      <c r="E210" s="304"/>
      <c r="F210" s="78"/>
      <c r="G210" s="2"/>
      <c r="I210" s="12"/>
      <c r="J210" s="2"/>
      <c r="K210" s="2"/>
      <c r="L210" s="2"/>
    </row>
    <row r="211" spans="1:12" ht="15.75" customHeight="1">
      <c r="A211" s="12" t="s">
        <v>47</v>
      </c>
      <c r="G211" s="2"/>
      <c r="J211" s="2"/>
      <c r="K211" s="2"/>
      <c r="L211" s="2"/>
    </row>
    <row r="212" spans="1:12" ht="15.75" customHeight="1">
      <c r="A212" s="266" t="s">
        <v>125</v>
      </c>
      <c r="D212" s="265" t="s">
        <v>74</v>
      </c>
      <c r="E212" s="322"/>
      <c r="H212" s="265" t="s">
        <v>74</v>
      </c>
      <c r="I212" s="322"/>
      <c r="J212" s="265"/>
      <c r="K212" s="322"/>
      <c r="L212" s="2"/>
    </row>
    <row r="213" spans="1:12" ht="15.75" customHeight="1">
      <c r="A213" s="323"/>
      <c r="D213" s="111" t="s">
        <v>100</v>
      </c>
      <c r="E213" s="112"/>
      <c r="H213" s="114" t="s">
        <v>101</v>
      </c>
      <c r="I213" s="112"/>
      <c r="J213" s="114"/>
      <c r="K213" s="112"/>
    </row>
    <row r="214" spans="1:12" ht="15.75" customHeight="1">
      <c r="A214" s="179">
        <v>9000</v>
      </c>
      <c r="D214" s="116">
        <v>1</v>
      </c>
      <c r="E214" s="117"/>
      <c r="H214" s="119">
        <v>2</v>
      </c>
      <c r="I214" s="117"/>
      <c r="J214" s="120"/>
      <c r="K214" s="121"/>
    </row>
    <row r="215" spans="1:12" ht="15.75" customHeight="1">
      <c r="A215" s="115">
        <v>10000</v>
      </c>
      <c r="D215" s="122">
        <v>1</v>
      </c>
      <c r="E215" s="124"/>
      <c r="H215" s="122">
        <v>2</v>
      </c>
      <c r="I215" s="124"/>
      <c r="J215" s="126"/>
      <c r="K215" s="127"/>
    </row>
    <row r="216" spans="1:12" ht="15.75" customHeight="1">
      <c r="A216" s="115">
        <v>11000</v>
      </c>
      <c r="D216" s="122">
        <v>1</v>
      </c>
      <c r="E216" s="124"/>
      <c r="H216" s="130">
        <v>2</v>
      </c>
      <c r="I216" s="124"/>
      <c r="J216" s="126"/>
      <c r="K216" s="127"/>
    </row>
    <row r="217" spans="1:12" ht="15.75" customHeight="1">
      <c r="A217" s="132">
        <v>11500</v>
      </c>
      <c r="D217" s="122">
        <v>1</v>
      </c>
      <c r="E217" s="124"/>
      <c r="H217" s="122">
        <v>2</v>
      </c>
      <c r="I217" s="124"/>
      <c r="J217" s="126"/>
      <c r="K217" s="127"/>
    </row>
    <row r="218" spans="1:12" ht="15.75" customHeight="1">
      <c r="A218" s="132">
        <v>12000</v>
      </c>
      <c r="D218" s="122">
        <v>1</v>
      </c>
      <c r="E218" s="124"/>
      <c r="H218" s="130">
        <v>2</v>
      </c>
      <c r="I218" s="124"/>
      <c r="J218" s="126"/>
      <c r="K218" s="127"/>
    </row>
    <row r="219" spans="1:12" ht="15.75" customHeight="1">
      <c r="A219" s="133">
        <v>12500</v>
      </c>
      <c r="D219" s="134">
        <v>1</v>
      </c>
      <c r="E219" s="136"/>
      <c r="H219" s="139">
        <v>2</v>
      </c>
      <c r="I219" s="136"/>
      <c r="J219" s="140"/>
      <c r="K219" s="141"/>
    </row>
    <row r="220" spans="1:12" ht="15.75" customHeight="1">
      <c r="A220" s="91"/>
      <c r="D220" s="92"/>
      <c r="H220" s="12"/>
      <c r="I220" s="99"/>
      <c r="J220" s="12"/>
      <c r="K220" s="99"/>
    </row>
    <row r="221" spans="1:12" ht="15.75" customHeight="1">
      <c r="A221" s="93"/>
      <c r="D221" s="260" t="s">
        <v>102</v>
      </c>
      <c r="E221" s="304"/>
      <c r="H221" s="260" t="s">
        <v>101</v>
      </c>
      <c r="I221" s="304"/>
      <c r="J221" s="93"/>
      <c r="K221" s="93"/>
    </row>
    <row r="222" spans="1:12" ht="15.75" customHeight="1">
      <c r="D222" s="73" t="s">
        <v>77</v>
      </c>
      <c r="E222" s="88">
        <f>MATCH(MAX($A214:$A219),$A214:$A219,0)</f>
        <v>6</v>
      </c>
      <c r="I222" s="88">
        <f>MATCH(MAX($A214:$A219),$A214:$A219,0)</f>
        <v>6</v>
      </c>
      <c r="J222" s="88"/>
      <c r="K222" s="88"/>
    </row>
    <row r="223" spans="1:12" ht="15.75" customHeight="1">
      <c r="D223" s="73" t="s">
        <v>78</v>
      </c>
      <c r="E223" s="88">
        <f>MATCH(MAX(D214),D214,0)</f>
        <v>1</v>
      </c>
      <c r="I223" s="88">
        <f>MATCH(MAX(H214),H214,0)</f>
        <v>1</v>
      </c>
      <c r="J223" s="88"/>
      <c r="K223" s="88"/>
    </row>
    <row r="224" spans="1:12" ht="15.75" customHeight="1">
      <c r="A224" s="2"/>
      <c r="D224" s="2"/>
      <c r="E224" s="2"/>
      <c r="H224" s="12"/>
      <c r="I224" s="12"/>
      <c r="J224" s="12"/>
      <c r="K224" s="12"/>
    </row>
    <row r="225" spans="1:17" ht="15.75" customHeight="1">
      <c r="D225" s="95" t="s">
        <v>79</v>
      </c>
      <c r="E225" s="26" t="str">
        <f>D213</f>
        <v>V1/R</v>
      </c>
      <c r="H225" s="12"/>
      <c r="I225" s="26" t="str">
        <f>H213</f>
        <v>V2</v>
      </c>
      <c r="J225" s="26"/>
      <c r="K225" s="26"/>
    </row>
    <row r="226" spans="1:17" ht="15.75" customHeight="1">
      <c r="D226" s="96" t="s">
        <v>80</v>
      </c>
      <c r="E226" s="97">
        <f>'Take-off'!$C$14</f>
        <v>11000</v>
      </c>
      <c r="H226" s="12"/>
      <c r="I226" s="97">
        <f>'Take-off'!$C$14</f>
        <v>11000</v>
      </c>
      <c r="J226" s="97"/>
      <c r="K226" s="97"/>
    </row>
    <row r="227" spans="1:17" ht="15.75" customHeight="1">
      <c r="D227" s="73" t="s">
        <v>81</v>
      </c>
      <c r="E227" s="100">
        <f t="array" ref="E227">INDEX($A214:$A219,MATCH(E226,$A214:$A219,1))</f>
        <v>11000</v>
      </c>
      <c r="H227" s="12"/>
      <c r="I227" s="100">
        <f t="array" ref="I227">INDEX($A214:$A219,MATCH(I226,$A214:$A219,1))</f>
        <v>11000</v>
      </c>
      <c r="J227" s="100"/>
      <c r="K227" s="100"/>
    </row>
    <row r="228" spans="1:17" ht="15.75" customHeight="1">
      <c r="D228" s="73" t="s">
        <v>82</v>
      </c>
      <c r="E228" s="100">
        <f t="array" ref="E228">INDEX($A214:$A219,IF(MATCH(E226,$A214:$A219,1)&lt;E222,MATCH(E226,$A214:$A219,1)+1,MATCH(E226,$A214:$A219,1)))</f>
        <v>11500</v>
      </c>
      <c r="H228" s="12"/>
      <c r="I228" s="100">
        <f t="array" ref="I228">INDEX($A214:$A219,IF(MATCH(I226,$A214:$A219,1)&lt;I222,MATCH(I226,$A214:$A219,1)+1,MATCH(I226,$A214:$A219,1)))</f>
        <v>11500</v>
      </c>
      <c r="J228" s="100"/>
      <c r="K228" s="100"/>
    </row>
    <row r="229" spans="1:17" ht="15.75" customHeight="1">
      <c r="D229" s="98" t="s">
        <v>83</v>
      </c>
      <c r="E229" s="97">
        <f t="array" ref="E229">INDEX(D214:D219,MATCH(E226,$A214:$A219,1),MATCH(E225,D213,1))</f>
        <v>1</v>
      </c>
      <c r="H229" s="12"/>
      <c r="I229" s="97">
        <f t="array" ref="I229">INDEX(H214:H219,MATCH(I226,$A214:$A219,1),MATCH(I225,H213,1))</f>
        <v>2</v>
      </c>
      <c r="J229" s="155"/>
      <c r="K229" s="155"/>
    </row>
    <row r="230" spans="1:17" ht="15.75" customHeight="1">
      <c r="D230" s="98" t="s">
        <v>84</v>
      </c>
      <c r="E230" s="97">
        <f t="array" ref="E230">INDEX(D214:D219,IF(MATCH(E226,$A214:$A219,1)&lt;E222,MATCH(E226,$A214:$A219,1)+1,MATCH(E226,$A214:$A219,1)),MATCH(E225,D213,1))</f>
        <v>1</v>
      </c>
      <c r="H230" s="12"/>
      <c r="I230" s="97">
        <f t="array" ref="I230">INDEX(H214:H219,IF(MATCH(I226,$A214:$A219,1)&lt;I222,MATCH(I226,$A214:$A219,1)+1,MATCH(I226,$A214:$A219,1)),MATCH(I225,H213,1))</f>
        <v>2</v>
      </c>
      <c r="J230" s="155"/>
      <c r="K230" s="155"/>
    </row>
    <row r="231" spans="1:17" ht="15.75" customHeight="1">
      <c r="D231" s="98" t="s">
        <v>85</v>
      </c>
      <c r="E231" s="97">
        <f>IFERROR(E229+(E226-E227)*(E230-E229)/(E228-E227),E229)</f>
        <v>1</v>
      </c>
      <c r="H231" s="12"/>
      <c r="I231" s="97">
        <f>IFERROR(I229+(I226-I227)*(I230-I229)/(I228-I227),I229)</f>
        <v>2</v>
      </c>
      <c r="J231" s="155"/>
      <c r="K231" s="155"/>
    </row>
    <row r="232" spans="1:17" ht="15.75" customHeight="1">
      <c r="A232" s="12" t="s">
        <v>126</v>
      </c>
      <c r="C232" s="99"/>
      <c r="I232" s="73"/>
      <c r="J232" s="155"/>
      <c r="K232" s="155"/>
    </row>
    <row r="233" spans="1:17" ht="15.75" customHeight="1">
      <c r="A233" s="12"/>
      <c r="L233" s="77"/>
    </row>
    <row r="234" spans="1:17" ht="15.75" customHeight="1">
      <c r="A234" s="251" t="s">
        <v>103</v>
      </c>
      <c r="B234" s="251"/>
      <c r="C234" s="251"/>
      <c r="D234" s="251"/>
      <c r="E234" s="251"/>
      <c r="F234" s="251"/>
      <c r="G234" s="251"/>
      <c r="H234" s="251"/>
      <c r="I234" s="251"/>
      <c r="J234" s="251"/>
      <c r="K234" s="251"/>
      <c r="L234" s="252"/>
    </row>
    <row r="235" spans="1:17" ht="15.75" customHeight="1">
      <c r="A235" s="12"/>
      <c r="B235" s="12"/>
      <c r="C235" s="12"/>
      <c r="D235" s="12"/>
      <c r="E235" s="12"/>
      <c r="F235" s="12"/>
      <c r="G235" s="12"/>
      <c r="L235" s="12"/>
    </row>
    <row r="236" spans="1:17" ht="15.75" customHeight="1">
      <c r="A236" s="12"/>
      <c r="B236" s="2" t="s">
        <v>104</v>
      </c>
      <c r="C236" s="12" t="s">
        <v>127</v>
      </c>
      <c r="D236" s="79" t="s">
        <v>106</v>
      </c>
      <c r="E236" s="79" t="s">
        <v>107</v>
      </c>
      <c r="F236" s="2" t="s">
        <v>108</v>
      </c>
      <c r="G236" s="12" t="s">
        <v>109</v>
      </c>
      <c r="I236" s="79" t="s">
        <v>110</v>
      </c>
      <c r="J236" s="79" t="s">
        <v>19</v>
      </c>
      <c r="K236" s="79" t="s">
        <v>111</v>
      </c>
      <c r="L236" s="79" t="s">
        <v>112</v>
      </c>
      <c r="M236" s="79" t="s">
        <v>106</v>
      </c>
      <c r="N236" s="79" t="s">
        <v>107</v>
      </c>
      <c r="O236" s="79" t="s">
        <v>113</v>
      </c>
      <c r="P236" s="79" t="s">
        <v>114</v>
      </c>
      <c r="Q236" s="79" t="s">
        <v>115</v>
      </c>
    </row>
    <row r="237" spans="1:17" ht="15.75" customHeight="1">
      <c r="A237" s="166" t="s">
        <v>118</v>
      </c>
      <c r="B237" s="156" t="e">
        <f>'Take-off'!AC712/3.28</f>
        <v>#N/A</v>
      </c>
      <c r="C237" s="171" t="e">
        <f>IF('Take-off'!#REF!='Dropdown lists'!$B$48, 500/3.28, 0)</f>
        <v>#REF!</v>
      </c>
      <c r="D237" s="12" t="s">
        <v>117</v>
      </c>
      <c r="E237" s="12" t="s">
        <v>117</v>
      </c>
      <c r="F237" s="156">
        <f>IF('Take-off'!$C$17&gt;0, ((+'Take-off'!$C$17*5)%*SUM(B237:E237)),0 )</f>
        <v>0</v>
      </c>
      <c r="G237" s="156" t="e">
        <f>SUM(B237:F237)*115%</f>
        <v>#N/A</v>
      </c>
      <c r="I237" s="172">
        <f>VLOOKUP('Take-off'!$C$11, 'Dropdown lists'!$B$34:$D$40, 3, FALSE)</f>
        <v>0</v>
      </c>
      <c r="J237" s="8">
        <f>'Take-off'!$C$12</f>
        <v>0</v>
      </c>
      <c r="K237" s="99" t="e">
        <f>SUM(B237:F237)</f>
        <v>#N/A</v>
      </c>
      <c r="L237" s="99" t="e">
        <f>K237*(I237*J237)</f>
        <v>#N/A</v>
      </c>
      <c r="M237" s="8">
        <f>IF('Take-off'!$C$10&lt;5, 30%*K237, 0)</f>
        <v>0</v>
      </c>
      <c r="N237" s="8">
        <f>IF('Take-off'!$C$10&lt;3, 20%*K237, 0)</f>
        <v>0</v>
      </c>
      <c r="O237" s="99" t="e">
        <f>15%*SUM(K237:N237)</f>
        <v>#N/A</v>
      </c>
      <c r="P237" s="99"/>
      <c r="Q237" s="99" t="e">
        <f>SUM(K237:O237)</f>
        <v>#N/A</v>
      </c>
    </row>
    <row r="238" spans="1:17" ht="15.75" customHeight="1">
      <c r="A238" s="166" t="s">
        <v>128</v>
      </c>
      <c r="B238" s="171" t="e">
        <f>'Take-off'!AC503/3.28</f>
        <v>#N/A</v>
      </c>
      <c r="C238" s="171" t="e">
        <f>IF('Take-off'!#REF!='Dropdown lists'!$B$48, 500/3.28, 0)</f>
        <v>#REF!</v>
      </c>
      <c r="D238" s="12" t="s">
        <v>117</v>
      </c>
      <c r="E238" s="12" t="s">
        <v>117</v>
      </c>
      <c r="F238" s="156">
        <f>IF('Take-off'!$C$17&gt;0, ((+'Take-off'!$C$17*5)%*SUM(B238:E238)),0 )</f>
        <v>0</v>
      </c>
      <c r="G238" s="156" t="e">
        <f>SUM(B238:F238)</f>
        <v>#N/A</v>
      </c>
      <c r="I238" s="172">
        <f>VLOOKUP('Take-off'!$C$11, 'Dropdown lists'!$B$34:$D$40, 3, FALSE)</f>
        <v>0</v>
      </c>
      <c r="J238" s="8">
        <f>'Take-off'!$C$12</f>
        <v>0</v>
      </c>
      <c r="K238" s="99" t="e">
        <f>SUM(B238:F238)</f>
        <v>#N/A</v>
      </c>
      <c r="L238" s="99" t="e">
        <f>K238*(I238*J238)</f>
        <v>#N/A</v>
      </c>
      <c r="M238" s="8">
        <f>IF('Take-off'!$C$10&lt;5, 30%*K238, 0)</f>
        <v>0</v>
      </c>
      <c r="N238" s="8">
        <f>IF('Take-off'!$C$10&lt;3, 20%*K238, 0)</f>
        <v>0</v>
      </c>
      <c r="O238" s="8">
        <v>0</v>
      </c>
      <c r="Q238" s="99" t="e">
        <f>SUM(K238:O238)</f>
        <v>#N/A</v>
      </c>
    </row>
    <row r="239" spans="1:17" ht="15.75" customHeight="1">
      <c r="A239" s="166" t="s">
        <v>119</v>
      </c>
      <c r="B239" s="99" t="e">
        <f>'Take-off'!AD428/3.28</f>
        <v>#N/A</v>
      </c>
      <c r="C239" s="171" t="e">
        <f>IF('Take-off'!#REF!='Dropdown lists'!$B$48, 500/3.28, 0)</f>
        <v>#REF!</v>
      </c>
      <c r="D239" s="12" t="s">
        <v>117</v>
      </c>
      <c r="E239" s="12" t="s">
        <v>117</v>
      </c>
      <c r="F239" s="156">
        <f>IF('Take-off'!$C$17&gt;0, ((+'Take-off'!$C$17*5)%*SUM(B239:E239)),0 )</f>
        <v>0</v>
      </c>
      <c r="G239" s="156" t="e">
        <f>SUM(B239:F239)</f>
        <v>#N/A</v>
      </c>
      <c r="I239" s="172">
        <f>VLOOKUP('Take-off'!$C$11, 'Dropdown lists'!$B$34:$D$40, 3, FALSE)</f>
        <v>0</v>
      </c>
      <c r="J239" s="8">
        <f>'Take-off'!$C$12</f>
        <v>0</v>
      </c>
      <c r="K239" s="99" t="e">
        <f>SUM(B239:F239)</f>
        <v>#N/A</v>
      </c>
      <c r="L239" s="99" t="e">
        <f>K239*(I239*J239)</f>
        <v>#N/A</v>
      </c>
      <c r="M239" s="8">
        <f>IF('Take-off'!$C$10&lt;5, 30%*K239, 0)</f>
        <v>0</v>
      </c>
      <c r="N239" s="8">
        <f>IF('Take-off'!$C$10&lt;3, 20%*K239, 0)</f>
        <v>0</v>
      </c>
      <c r="O239" s="8">
        <v>0</v>
      </c>
      <c r="Q239" s="99" t="e">
        <f>G239</f>
        <v>#N/A</v>
      </c>
    </row>
    <row r="240" spans="1:17" ht="15.75" customHeight="1">
      <c r="A240" s="166" t="s">
        <v>120</v>
      </c>
      <c r="B240" s="99" t="e">
        <f>B239</f>
        <v>#N/A</v>
      </c>
      <c r="C240" s="171" t="e">
        <f>IF('Take-off'!#REF!='Dropdown lists'!$B$48, 500/3.28, 0)</f>
        <v>#REF!</v>
      </c>
      <c r="D240" s="12" t="s">
        <v>117</v>
      </c>
      <c r="E240" s="12" t="s">
        <v>117</v>
      </c>
      <c r="F240" s="156">
        <f>IF('Take-off'!$C$17&gt;0, ((+'Take-off'!$C$17*5)%*SUM(B240:E240)),0 )</f>
        <v>0</v>
      </c>
      <c r="G240" s="156" t="e">
        <f>SUM(B240:F240)</f>
        <v>#N/A</v>
      </c>
      <c r="H240" s="12" t="s">
        <v>121</v>
      </c>
      <c r="I240" s="172">
        <f>VLOOKUP('Take-off'!$C$11, 'Dropdown lists'!$B$34:$D$40, 3, FALSE)</f>
        <v>0</v>
      </c>
      <c r="J240" s="8">
        <f>'Take-off'!$C$12</f>
        <v>0</v>
      </c>
      <c r="K240" s="99" t="e">
        <f>SUM(B240:F240)</f>
        <v>#N/A</v>
      </c>
      <c r="L240" s="99" t="e">
        <f>K240*(I240*J240)</f>
        <v>#N/A</v>
      </c>
      <c r="M240" s="8">
        <f>IF('Take-off'!$C$10&lt;5, 30%*K240, 0)</f>
        <v>0</v>
      </c>
      <c r="N240" s="8">
        <f>IF('Take-off'!$C$10&lt;3, 20%*K240, 0)</f>
        <v>0</v>
      </c>
      <c r="O240" s="8">
        <v>0</v>
      </c>
      <c r="P240" s="8" t="e">
        <f>-20/('Take-off'!E42/100)/3.28</f>
        <v>#DIV/0!</v>
      </c>
      <c r="Q240" s="99" t="e">
        <f>SUM(K240:P240)</f>
        <v>#N/A</v>
      </c>
    </row>
    <row r="241" spans="1:17" ht="15.75" customHeight="1">
      <c r="I241" s="99"/>
      <c r="J241" s="12"/>
    </row>
    <row r="242" spans="1:17" ht="15.75" customHeight="1">
      <c r="A242" s="166"/>
      <c r="B242" s="246" t="s">
        <v>87</v>
      </c>
      <c r="C242" s="246" t="s">
        <v>88</v>
      </c>
      <c r="D242" s="246" t="s">
        <v>89</v>
      </c>
      <c r="E242" s="12"/>
      <c r="F242" s="166"/>
      <c r="G242" s="12"/>
      <c r="H242" s="12"/>
      <c r="I242" s="12"/>
      <c r="M242" s="2"/>
      <c r="N242" s="12"/>
      <c r="O242" s="12"/>
      <c r="P242" s="12"/>
      <c r="Q242" s="12"/>
    </row>
    <row r="243" spans="1:17" ht="15.75" customHeight="1">
      <c r="A243" s="166"/>
      <c r="B243" s="247">
        <f>IF(ABS('Take-off'!C18-'Take-off'!C6)&gt;270,360-ABS('Take-off'!C18-'Take-off'!C6),'Take-off'!C18-'Take-off'!C6)</f>
        <v>85</v>
      </c>
      <c r="C243" s="248">
        <f>IF(ABS(B243)&gt;90,ABS(COS(B243*PI()/180))*(-1),ABS(COS(B243*PI()/180)))</f>
        <v>8.7155742747658138E-2</v>
      </c>
      <c r="D243" s="247">
        <f>IF( ISBLANK('Take-off'!C6), 'Take-off'!C7*-1,    'Take-off'!C7*C243)</f>
        <v>0</v>
      </c>
      <c r="E243" s="12"/>
      <c r="F243" s="12"/>
      <c r="G243" s="176"/>
      <c r="H243" s="99"/>
      <c r="M243" s="2"/>
      <c r="N243" s="12"/>
      <c r="O243" s="12"/>
      <c r="P243" s="12"/>
      <c r="Q243" s="12"/>
    </row>
    <row r="244" spans="1:17" ht="15.75" customHeight="1">
      <c r="A244" s="166"/>
      <c r="B244" s="95"/>
      <c r="C244" s="2"/>
      <c r="D244" s="2"/>
      <c r="E244" s="12"/>
      <c r="F244" s="12"/>
      <c r="G244" s="176"/>
      <c r="H244" s="99"/>
      <c r="M244" s="2"/>
      <c r="N244" s="12"/>
      <c r="O244" s="12"/>
      <c r="P244" s="12"/>
      <c r="Q244" s="12"/>
    </row>
    <row r="245" spans="1:17" ht="15.75" customHeight="1">
      <c r="A245" s="166"/>
      <c r="C245" s="92"/>
      <c r="D245" s="92"/>
      <c r="E245" s="12"/>
      <c r="F245" s="12"/>
      <c r="M245" s="2"/>
      <c r="N245" s="12"/>
    </row>
    <row r="246" spans="1:17" ht="15.75" customHeight="1">
      <c r="A246" s="166"/>
      <c r="B246" s="95"/>
      <c r="C246" s="165"/>
      <c r="D246" s="95"/>
      <c r="E246" s="12"/>
      <c r="F246" s="12"/>
      <c r="M246" s="2"/>
    </row>
    <row r="247" spans="1:17" ht="15.75" customHeight="1">
      <c r="A247" s="166"/>
      <c r="B247" s="95"/>
      <c r="C247" s="95"/>
      <c r="D247" s="95"/>
      <c r="E247" s="12"/>
      <c r="F247" s="12"/>
      <c r="M247" s="2"/>
      <c r="P247" s="73"/>
    </row>
    <row r="248" spans="1:17" ht="15.75" customHeight="1">
      <c r="A248" s="166"/>
      <c r="B248" s="95" t="s">
        <v>90</v>
      </c>
      <c r="C248" s="165">
        <f>IF(ABS(B243)&gt;90,ABS(SIN(B243*PI()/180))*(-1),ABS(SIN(B243*PI()/180)))</f>
        <v>0.99619469809174555</v>
      </c>
      <c r="D248" s="95"/>
      <c r="E248" s="12"/>
      <c r="F248" s="12"/>
      <c r="M248" s="2"/>
      <c r="P248" s="73"/>
      <c r="Q248" s="177"/>
    </row>
    <row r="249" spans="1:17" ht="15.75" customHeight="1">
      <c r="A249" s="251" t="s">
        <v>129</v>
      </c>
      <c r="B249" s="251"/>
      <c r="C249" s="251"/>
      <c r="D249" s="251"/>
      <c r="E249" s="251"/>
      <c r="F249" s="251"/>
      <c r="G249" s="251"/>
      <c r="H249" s="251"/>
      <c r="I249" s="251"/>
      <c r="J249" s="251"/>
      <c r="K249" s="251"/>
      <c r="L249" s="252"/>
      <c r="M249" s="252"/>
      <c r="N249" s="252"/>
      <c r="O249" s="252"/>
      <c r="P249" s="252"/>
      <c r="Q249" s="252"/>
    </row>
    <row r="250" spans="1:17" ht="15.75" customHeight="1">
      <c r="A250" s="77"/>
      <c r="B250" s="73" t="s">
        <v>130</v>
      </c>
      <c r="C250" s="98" t="s">
        <v>79</v>
      </c>
      <c r="D250" s="180">
        <f>IF(Landing!$C$9="",Landing!$C$15,MAX(0,Landing!$C$15+30*(1013-Landing!$C$9)))</f>
        <v>0</v>
      </c>
      <c r="E250" s="253"/>
      <c r="F250" s="253" t="s">
        <v>131</v>
      </c>
      <c r="G250" s="77">
        <f>IF('Take-off'!$C$9="",'Take-off'!$C$16,MAX(0,'Take-off'!$C$16+30*(1013-'Take-off'!$C$9)))</f>
        <v>0</v>
      </c>
      <c r="H250" s="77"/>
      <c r="I250" s="77"/>
      <c r="J250" s="77"/>
      <c r="K250" s="77"/>
      <c r="L250" s="77"/>
      <c r="M250" s="77"/>
      <c r="N250" s="77"/>
      <c r="O250" s="77"/>
    </row>
    <row r="251" spans="1:17" ht="15.75" customHeight="1">
      <c r="A251" s="77"/>
      <c r="B251" s="73" t="s">
        <v>132</v>
      </c>
      <c r="C251" s="96" t="s">
        <v>80</v>
      </c>
      <c r="D251" s="180">
        <f>Landing!C8</f>
        <v>-2</v>
      </c>
      <c r="E251" s="181"/>
      <c r="F251" s="77"/>
      <c r="G251" s="77">
        <f>MAX(  IF('Take-off'!C13='Dropdown lists'!B30, 'Take-off'!$C$8+5, 'Take-off'!$C$8),0)</f>
        <v>0</v>
      </c>
      <c r="H251" s="77"/>
      <c r="I251" s="77"/>
      <c r="J251" s="77"/>
      <c r="K251" s="77"/>
      <c r="L251" s="77"/>
      <c r="M251" s="77"/>
      <c r="N251" s="77"/>
      <c r="O251" s="77"/>
    </row>
    <row r="252" spans="1:17" ht="15.75" customHeight="1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</row>
    <row r="253" spans="1:17" ht="15.75" customHeight="1">
      <c r="H253" s="77"/>
    </row>
    <row r="254" spans="1:17" ht="15.75" customHeight="1">
      <c r="H254" s="77"/>
      <c r="I254" s="263" t="s">
        <v>70</v>
      </c>
      <c r="J254" s="304"/>
      <c r="K254" s="304"/>
      <c r="L254" s="304"/>
      <c r="M254" s="304"/>
      <c r="N254" s="304"/>
      <c r="O254" s="304"/>
    </row>
    <row r="255" spans="1:17" ht="15.75" customHeight="1">
      <c r="A255" s="2"/>
      <c r="B255" s="2"/>
      <c r="C255" s="95" t="s">
        <v>133</v>
      </c>
      <c r="D255" s="26"/>
      <c r="E255" s="2"/>
      <c r="F255" s="2"/>
      <c r="G255" s="2"/>
      <c r="H255" s="2"/>
      <c r="I255" s="2"/>
      <c r="J255" s="2"/>
      <c r="K255" s="95"/>
      <c r="L255" s="26"/>
      <c r="M255" s="2"/>
      <c r="N255" s="2"/>
      <c r="O255" s="2"/>
    </row>
    <row r="256" spans="1:17" ht="15.75" customHeight="1">
      <c r="B256" s="98"/>
      <c r="C256" s="97"/>
      <c r="G256" s="2"/>
      <c r="H256" s="2"/>
      <c r="I256" s="2"/>
      <c r="J256" s="98"/>
      <c r="K256" s="97"/>
      <c r="O256" s="2"/>
    </row>
    <row r="257" spans="1:15" ht="15.75" customHeight="1">
      <c r="A257" s="264" t="s">
        <v>134</v>
      </c>
      <c r="B257" s="311"/>
      <c r="C257" s="311"/>
      <c r="D257" s="311"/>
      <c r="E257" s="311"/>
      <c r="F257" s="311"/>
      <c r="G257" s="2"/>
      <c r="H257" s="2"/>
      <c r="I257" s="2"/>
      <c r="J257" s="98"/>
      <c r="K257" s="97"/>
      <c r="O257" s="2"/>
    </row>
    <row r="258" spans="1:15" ht="15.75" customHeight="1">
      <c r="B258" s="98"/>
      <c r="C258" s="97"/>
      <c r="G258" s="2"/>
      <c r="H258" s="2"/>
      <c r="I258" s="2"/>
      <c r="J258" s="98"/>
      <c r="K258" s="97"/>
      <c r="L258" s="12"/>
      <c r="M258" s="12"/>
      <c r="O258" s="2"/>
    </row>
    <row r="259" spans="1:15" ht="15.75" customHeight="1">
      <c r="A259" s="12"/>
      <c r="B259" s="262" t="s">
        <v>135</v>
      </c>
      <c r="C259" s="303"/>
      <c r="D259" s="303"/>
      <c r="E259" s="303"/>
      <c r="F259" s="303"/>
      <c r="G259" s="82"/>
      <c r="H259" s="82"/>
      <c r="I259" s="82"/>
      <c r="J259" s="82"/>
      <c r="K259" s="82"/>
      <c r="L259" s="82"/>
      <c r="M259" s="82"/>
      <c r="N259" s="12"/>
      <c r="O259" s="2"/>
    </row>
    <row r="260" spans="1:15" ht="15.75" customHeight="1">
      <c r="A260" s="12"/>
      <c r="B260" s="182">
        <v>0</v>
      </c>
      <c r="C260" s="183">
        <v>1000</v>
      </c>
      <c r="D260" s="184">
        <v>2000</v>
      </c>
      <c r="E260" s="184">
        <v>3000</v>
      </c>
      <c r="F260" s="185">
        <v>3500</v>
      </c>
      <c r="G260" s="98"/>
      <c r="H260" s="97"/>
      <c r="I260" s="12"/>
      <c r="J260" s="98"/>
      <c r="K260" s="97"/>
      <c r="L260" s="12"/>
      <c r="M260" s="12"/>
      <c r="N260" s="12"/>
      <c r="O260" s="2"/>
    </row>
    <row r="261" spans="1:15" ht="15.75" customHeight="1">
      <c r="A261" s="12">
        <v>-30</v>
      </c>
      <c r="B261" s="186">
        <v>800</v>
      </c>
      <c r="C261" s="184">
        <v>830</v>
      </c>
      <c r="D261" s="184">
        <v>860</v>
      </c>
      <c r="E261" s="184">
        <v>900</v>
      </c>
      <c r="F261" s="185">
        <v>99999</v>
      </c>
      <c r="G261" s="98"/>
      <c r="H261" s="97"/>
      <c r="I261" s="12"/>
      <c r="J261" s="98"/>
      <c r="K261" s="97"/>
      <c r="L261" s="12"/>
      <c r="M261" s="12"/>
      <c r="N261" s="12"/>
      <c r="O261" s="2"/>
    </row>
    <row r="262" spans="1:15" ht="15.75" customHeight="1">
      <c r="A262" s="12">
        <v>-20</v>
      </c>
      <c r="B262" s="254">
        <v>800</v>
      </c>
      <c r="C262" s="99">
        <v>830</v>
      </c>
      <c r="D262" s="12">
        <v>860</v>
      </c>
      <c r="E262" s="12">
        <v>900</v>
      </c>
      <c r="F262" s="185">
        <v>99999</v>
      </c>
      <c r="G262" s="98"/>
      <c r="H262" s="97"/>
      <c r="I262" s="12"/>
      <c r="J262" s="98"/>
      <c r="K262" s="97"/>
      <c r="L262" s="12"/>
      <c r="M262" s="12"/>
      <c r="N262" s="12"/>
      <c r="O262" s="2"/>
    </row>
    <row r="263" spans="1:15" ht="15.75" customHeight="1">
      <c r="A263" s="12">
        <v>-10</v>
      </c>
      <c r="B263" s="254">
        <v>810</v>
      </c>
      <c r="C263" s="99">
        <v>850</v>
      </c>
      <c r="D263" s="12">
        <v>900</v>
      </c>
      <c r="E263" s="12">
        <v>950</v>
      </c>
      <c r="F263" s="255">
        <v>99999</v>
      </c>
      <c r="G263" s="98"/>
      <c r="H263" s="97"/>
      <c r="J263" s="98"/>
      <c r="K263" s="97"/>
      <c r="O263" s="2"/>
    </row>
    <row r="264" spans="1:15" ht="15.75" customHeight="1">
      <c r="A264" s="12">
        <v>0</v>
      </c>
      <c r="B264" s="254">
        <v>830</v>
      </c>
      <c r="C264" s="99">
        <v>880</v>
      </c>
      <c r="D264" s="12">
        <v>915</v>
      </c>
      <c r="E264" s="12">
        <v>975</v>
      </c>
      <c r="F264" s="255">
        <v>99999</v>
      </c>
      <c r="G264" s="98"/>
      <c r="H264" s="97"/>
      <c r="J264" s="98"/>
      <c r="K264" s="97"/>
      <c r="O264" s="2"/>
    </row>
    <row r="265" spans="1:15" ht="15.75" customHeight="1">
      <c r="A265" s="12">
        <v>10</v>
      </c>
      <c r="B265" s="254">
        <v>850</v>
      </c>
      <c r="C265" s="99">
        <v>900</v>
      </c>
      <c r="D265" s="12">
        <v>930</v>
      </c>
      <c r="E265" s="12">
        <v>1000</v>
      </c>
      <c r="F265" s="255">
        <v>99999</v>
      </c>
      <c r="G265" s="98"/>
      <c r="H265" s="97"/>
      <c r="J265" s="98"/>
      <c r="K265" s="97"/>
    </row>
    <row r="266" spans="1:15" ht="15.75" customHeight="1">
      <c r="A266" s="12">
        <v>20</v>
      </c>
      <c r="B266" s="187">
        <v>900</v>
      </c>
      <c r="C266" s="188">
        <v>950</v>
      </c>
      <c r="D266" s="162">
        <v>990</v>
      </c>
      <c r="E266" s="162">
        <v>1050</v>
      </c>
      <c r="F266" s="255">
        <v>99999</v>
      </c>
      <c r="G266" s="98"/>
      <c r="H266" s="97"/>
      <c r="J266" s="98"/>
      <c r="K266" s="97"/>
    </row>
    <row r="267" spans="1:15" ht="15.75" customHeight="1">
      <c r="A267" s="12">
        <v>30</v>
      </c>
      <c r="B267" s="187">
        <v>910</v>
      </c>
      <c r="C267" s="188">
        <v>975</v>
      </c>
      <c r="D267" s="162">
        <v>1020</v>
      </c>
      <c r="E267" s="162">
        <v>1075</v>
      </c>
      <c r="F267" s="255">
        <v>99999</v>
      </c>
      <c r="G267" s="98"/>
      <c r="H267" s="97"/>
      <c r="J267" s="98"/>
      <c r="K267" s="97"/>
    </row>
    <row r="268" spans="1:15" ht="15.75" customHeight="1">
      <c r="A268" s="12">
        <v>35</v>
      </c>
      <c r="B268" s="189">
        <v>99999</v>
      </c>
      <c r="C268" s="190">
        <v>99999</v>
      </c>
      <c r="D268" s="190">
        <v>99999</v>
      </c>
      <c r="E268" s="190">
        <v>99999</v>
      </c>
      <c r="F268" s="255">
        <v>99999</v>
      </c>
      <c r="G268" s="98"/>
      <c r="H268" s="97"/>
      <c r="J268" s="98"/>
      <c r="K268" s="97"/>
      <c r="O268" s="2"/>
    </row>
    <row r="269" spans="1:15" ht="15.75" customHeight="1">
      <c r="B269" s="98"/>
      <c r="C269" s="97"/>
      <c r="D269" s="12"/>
      <c r="E269" s="12"/>
      <c r="F269" s="12"/>
      <c r="G269" s="2"/>
      <c r="H269" s="2"/>
      <c r="I269" s="2"/>
      <c r="J269" s="98"/>
      <c r="K269" s="97"/>
      <c r="O269" s="2"/>
    </row>
    <row r="270" spans="1:15" ht="15.75" customHeight="1">
      <c r="B270" s="98" t="s">
        <v>79</v>
      </c>
      <c r="C270" s="97">
        <f>D250</f>
        <v>0</v>
      </c>
      <c r="D270" s="260" t="s">
        <v>136</v>
      </c>
      <c r="E270" s="304"/>
      <c r="G270" s="2"/>
      <c r="H270" s="2"/>
      <c r="I270" s="2"/>
      <c r="J270" s="98" t="s">
        <v>79</v>
      </c>
      <c r="K270" s="97">
        <f>G250</f>
        <v>0</v>
      </c>
      <c r="L270" s="260" t="s">
        <v>136</v>
      </c>
      <c r="M270" s="304"/>
      <c r="O270" s="2"/>
    </row>
    <row r="271" spans="1:15" ht="15.75" customHeight="1">
      <c r="B271" s="73" t="s">
        <v>137</v>
      </c>
      <c r="C271" s="100">
        <f t="array" ref="C271">INDEX($B260:$F260,MATCH(C270,$B260:$F260,1))</f>
        <v>0</v>
      </c>
      <c r="D271" s="73" t="s">
        <v>77</v>
      </c>
      <c r="E271" s="88">
        <f>MATCH(MAX($A261:$A268),$A261:$A268,1)</f>
        <v>8</v>
      </c>
      <c r="G271" s="2"/>
      <c r="H271" s="2"/>
      <c r="I271" s="2"/>
      <c r="J271" s="73" t="s">
        <v>137</v>
      </c>
      <c r="K271" s="100">
        <f t="array" ref="K271">INDEX($B260:$F260,MATCH(K270,$B260:$F260,1))</f>
        <v>0</v>
      </c>
      <c r="L271" s="73" t="s">
        <v>77</v>
      </c>
      <c r="M271" s="88">
        <f>MATCH(MAX($A261:$A268),$A261:$A268,1)</f>
        <v>8</v>
      </c>
      <c r="O271" s="2"/>
    </row>
    <row r="272" spans="1:15" ht="15.75" customHeight="1">
      <c r="B272" s="73" t="s">
        <v>138</v>
      </c>
      <c r="C272" s="100">
        <f t="array" ref="C272">INDEX($B260:$F260,IF(MATCH(C270,$B260:$F260,1)&lt;E272,MATCH(C270,$B260:$F260,1)+1,MATCH(C270,$B260:$F260,1)))</f>
        <v>1000</v>
      </c>
      <c r="D272" s="73" t="s">
        <v>78</v>
      </c>
      <c r="E272" s="88">
        <f>MATCH(MAX($B260:$F260),$B260:$F260,0)</f>
        <v>5</v>
      </c>
      <c r="G272" s="2"/>
      <c r="H272" s="2"/>
      <c r="I272" s="2"/>
      <c r="J272" s="73" t="s">
        <v>138</v>
      </c>
      <c r="K272" s="100">
        <f t="array" ref="K272">INDEX($B260:$F260,IF(MATCH(K270,$B260:$F260,1)&lt;M272,MATCH(K270,$B260:$F260,1)+1,MATCH(K270,$B260:$F260,1)))</f>
        <v>1000</v>
      </c>
      <c r="L272" s="73" t="s">
        <v>78</v>
      </c>
      <c r="M272" s="88">
        <f>MATCH(MAX($B260:$F260),$B260:$F260,0)</f>
        <v>5</v>
      </c>
      <c r="O272" s="2"/>
    </row>
    <row r="273" spans="1:15" ht="15.75" customHeight="1">
      <c r="B273" s="96" t="s">
        <v>80</v>
      </c>
      <c r="C273" s="155">
        <f>D251</f>
        <v>-2</v>
      </c>
      <c r="D273" s="2"/>
      <c r="E273" s="2"/>
      <c r="G273" s="2"/>
      <c r="H273" s="2"/>
      <c r="I273" s="2"/>
      <c r="J273" s="96" t="s">
        <v>80</v>
      </c>
      <c r="K273" s="155">
        <f>G251</f>
        <v>0</v>
      </c>
      <c r="L273" s="2"/>
      <c r="M273" s="2"/>
      <c r="O273" s="2"/>
    </row>
    <row r="274" spans="1:15" ht="15.75" customHeight="1">
      <c r="B274" s="73" t="s">
        <v>81</v>
      </c>
      <c r="C274" s="100">
        <f t="array" ref="C274">INDEX($A261:$A268,MATCH(C273,$A261:$A268,1))</f>
        <v>-10</v>
      </c>
      <c r="D274" s="2"/>
      <c r="E274" s="92"/>
      <c r="G274" s="2"/>
      <c r="H274" s="2"/>
      <c r="I274" s="2"/>
      <c r="J274" s="73" t="s">
        <v>81</v>
      </c>
      <c r="K274" s="100">
        <f t="array" ref="K274">INDEX($A261:$A268,MATCH(K273,$A261:$A268,1))</f>
        <v>0</v>
      </c>
      <c r="L274" s="2"/>
      <c r="M274" s="92"/>
      <c r="O274" s="2"/>
    </row>
    <row r="275" spans="1:15" ht="15.75" customHeight="1">
      <c r="B275" s="73" t="s">
        <v>82</v>
      </c>
      <c r="C275" s="100">
        <f t="array" ref="C275">INDEX($A261:$A268,IF(MATCH(C273,$A261:$A268,1)&lt;E271,MATCH(C273,$A261:$A268,1)+1,MATCH(C273,$A261:$A268,1)))</f>
        <v>0</v>
      </c>
      <c r="D275" s="2"/>
      <c r="E275" s="92"/>
      <c r="G275" s="2"/>
      <c r="H275" s="2"/>
      <c r="I275" s="2"/>
      <c r="J275" s="73" t="s">
        <v>82</v>
      </c>
      <c r="K275" s="100">
        <f t="array" ref="K275">INDEX($A261:$A268,IF(MATCH(K273,$A261:$A268,1)&lt;M271,MATCH(K273,$A261:$A268,1)+1,MATCH(K273,$A261:$A268,1)))</f>
        <v>10</v>
      </c>
      <c r="L275" s="2"/>
      <c r="M275" s="92"/>
      <c r="O275" s="2"/>
    </row>
    <row r="276" spans="1:15" ht="15.75" customHeight="1">
      <c r="B276" s="98" t="s">
        <v>83</v>
      </c>
      <c r="C276" s="97">
        <f t="array" ref="C276">INDEX($B261:$F268,MATCH(C273,$A261:$A268,1),MATCH(C270,$B260:$F260,1))</f>
        <v>810</v>
      </c>
      <c r="D276" s="2"/>
      <c r="E276" s="92"/>
      <c r="G276" s="2"/>
      <c r="H276" s="2"/>
      <c r="I276" s="2"/>
      <c r="J276" s="98" t="s">
        <v>83</v>
      </c>
      <c r="K276" s="97">
        <f t="array" ref="K276">INDEX($B261:$F268,MATCH(K273,$A261:$A268,1),MATCH(K270,$B260:$F260,1))</f>
        <v>830</v>
      </c>
      <c r="L276" s="2"/>
      <c r="M276" s="92"/>
      <c r="O276" s="2"/>
    </row>
    <row r="277" spans="1:15" ht="15.75" customHeight="1">
      <c r="B277" s="98" t="s">
        <v>139</v>
      </c>
      <c r="C277" s="97">
        <f t="array" ref="C277">INDEX($B261:$F268,MATCH(C273,$A261:$A268,1),IF(MATCH(C270,$B260:$F260,1)&lt;E272,MATCH(C270,$B260:$F260,1)+1,MATCH(C273,$A261:$A268,1)))</f>
        <v>850</v>
      </c>
      <c r="E277" s="92"/>
      <c r="G277" s="2"/>
      <c r="H277" s="2"/>
      <c r="I277" s="2"/>
      <c r="J277" s="98" t="s">
        <v>139</v>
      </c>
      <c r="K277" s="97">
        <f t="array" ref="K277">INDEX($B261:$F268,MATCH(K273,$A261:$A268,1),IF(MATCH(K270,$B260:$F260,1)&lt;M272,MATCH(K270,$B260:$F260,1)+1,MATCH(K273,$A261:$A268,1)))</f>
        <v>880</v>
      </c>
      <c r="M277" s="92"/>
      <c r="O277" s="2"/>
    </row>
    <row r="278" spans="1:15" ht="15.75" customHeight="1">
      <c r="B278" s="98" t="s">
        <v>84</v>
      </c>
      <c r="C278" s="97">
        <f t="array" ref="C278">INDEX($B261:$F268,IF(MATCH(C273,$A261:$A268,1)&lt;E271,MATCH(C273,$A261:$A268,1)+1,MATCH(C273,$A261:$A268,1)),MATCH(C270,$B260:$F260,1))</f>
        <v>830</v>
      </c>
      <c r="E278" s="92"/>
      <c r="G278" s="2"/>
      <c r="H278" s="2"/>
      <c r="I278" s="2"/>
      <c r="J278" s="98" t="s">
        <v>84</v>
      </c>
      <c r="K278" s="97">
        <f t="array" ref="K278">INDEX($B261:$F268,IF(MATCH(K273,$A261:$A268,1)&lt;M271,MATCH(K273,$A261:$A268,1)+1,MATCH(K273,$A261:$A268,1)),MATCH(K270,$B260:$F260,1))</f>
        <v>850</v>
      </c>
      <c r="M278" s="92"/>
      <c r="O278" s="2"/>
    </row>
    <row r="279" spans="1:15" ht="15.75" customHeight="1">
      <c r="B279" s="98" t="s">
        <v>140</v>
      </c>
      <c r="C279" s="97">
        <f t="array" ref="C279">INDEX($B261:$F268,IF(MATCH(C273,$A261:$A268,1)&lt;E271,MATCH(C273,$A261:$A268,1)+1,MATCH(C273,$A261:$A268,1)),IF(MATCH(C270,$B260:$F260,1)&lt;E272,MATCH(C270,$B260:$F260,1)+1,MATCH(C270,$B260:$F260,1)))</f>
        <v>880</v>
      </c>
      <c r="G279" s="2"/>
      <c r="H279" s="2"/>
      <c r="I279" s="2"/>
      <c r="J279" s="98" t="s">
        <v>140</v>
      </c>
      <c r="K279" s="97">
        <f t="array" ref="K279">INDEX($B261:$F268,IF(MATCH(K273,$A261:$A268,1)&lt;M271,MATCH(K273,$A261:$A268,1)+1,MATCH(K273,$A261:$A268,1)),IF(MATCH(K270,$B260:$F260,1)&lt;M272,MATCH(K270,$B260:$F260,1)+1,MATCH(K270,$B260:$F260,1)))</f>
        <v>900</v>
      </c>
      <c r="O279" s="2"/>
    </row>
    <row r="280" spans="1:15" ht="15.75" customHeight="1">
      <c r="B280" s="73" t="s">
        <v>141</v>
      </c>
      <c r="C280" s="100">
        <f>IFERROR(C276+(C270-C271)*(C277-C276)/(C272-C271),C276)</f>
        <v>810</v>
      </c>
      <c r="G280" s="2"/>
      <c r="H280" s="2"/>
      <c r="I280" s="2"/>
      <c r="J280" s="73" t="s">
        <v>141</v>
      </c>
      <c r="K280" s="100">
        <f>IFERROR(K276+(K270-K271)*(K277-K276)/(K272-K271),K276)</f>
        <v>830</v>
      </c>
      <c r="O280" s="2"/>
    </row>
    <row r="281" spans="1:15" ht="15.75" customHeight="1">
      <c r="B281" s="73" t="s">
        <v>142</v>
      </c>
      <c r="C281" s="100">
        <f>IFERROR(C278+(C270-C271)*(C279-C278)/(C272-C271),C278)</f>
        <v>830</v>
      </c>
      <c r="G281" s="2"/>
      <c r="H281" s="2"/>
      <c r="I281" s="2"/>
      <c r="J281" s="73" t="s">
        <v>142</v>
      </c>
      <c r="K281" s="100">
        <f>IFERROR(K278+(K270-K271)*(K279-K278)/(K272-K271),K278)</f>
        <v>850</v>
      </c>
      <c r="O281" s="2"/>
    </row>
    <row r="282" spans="1:15" ht="15.75" customHeight="1">
      <c r="B282" s="98" t="s">
        <v>143</v>
      </c>
      <c r="C282" s="97">
        <f>IFERROR(C280+(C273-C274)*(C281-C280)/(C275-C274),C280)</f>
        <v>826</v>
      </c>
      <c r="G282" s="2"/>
      <c r="H282" s="2"/>
      <c r="I282" s="2"/>
      <c r="J282" s="98" t="s">
        <v>143</v>
      </c>
      <c r="K282" s="97">
        <f>IFERROR(K280+(K273-K274)*(K281-K280)/(K275-K274),K280)</f>
        <v>830</v>
      </c>
      <c r="O282" s="2"/>
    </row>
    <row r="283" spans="1:15" ht="15.75" customHeight="1">
      <c r="B283" s="98"/>
      <c r="C283" s="97"/>
      <c r="F283" s="12"/>
      <c r="G283" s="2"/>
      <c r="H283" s="2"/>
      <c r="I283" s="2"/>
      <c r="J283" s="98"/>
      <c r="K283" s="97"/>
      <c r="L283" s="12"/>
      <c r="M283" s="12"/>
      <c r="N283" s="12"/>
      <c r="O283" s="2"/>
    </row>
    <row r="284" spans="1:15" ht="15.75" customHeight="1">
      <c r="A284" s="12"/>
      <c r="B284" s="262" t="s">
        <v>144</v>
      </c>
      <c r="C284" s="303"/>
      <c r="D284" s="303"/>
      <c r="E284" s="303"/>
      <c r="F284" s="82"/>
      <c r="G284" s="82"/>
      <c r="H284" s="82"/>
      <c r="I284" s="82"/>
      <c r="J284" s="82"/>
      <c r="K284" s="82"/>
      <c r="L284" s="82"/>
      <c r="M284" s="82"/>
      <c r="N284" s="82"/>
      <c r="O284" s="82"/>
    </row>
    <row r="285" spans="1:15" ht="15.75" customHeight="1">
      <c r="A285" s="12"/>
      <c r="B285" s="182">
        <v>500</v>
      </c>
      <c r="C285" s="192">
        <v>1000</v>
      </c>
      <c r="D285" s="192">
        <v>1500</v>
      </c>
      <c r="E285" s="185">
        <v>2000</v>
      </c>
      <c r="F285" s="193"/>
      <c r="G285" s="97"/>
      <c r="H285" s="12"/>
      <c r="I285" s="98"/>
      <c r="J285" s="97"/>
      <c r="K285" s="12"/>
      <c r="L285" s="12"/>
      <c r="M285" s="12"/>
      <c r="N285" s="2"/>
      <c r="O285" s="2"/>
    </row>
    <row r="286" spans="1:15" ht="15.75" customHeight="1">
      <c r="A286" s="12">
        <v>9000</v>
      </c>
      <c r="B286" s="182">
        <v>375</v>
      </c>
      <c r="C286" s="192">
        <v>690</v>
      </c>
      <c r="D286" s="192">
        <v>1090</v>
      </c>
      <c r="E286" s="194">
        <v>99999</v>
      </c>
      <c r="F286" s="193"/>
      <c r="G286" s="97"/>
      <c r="H286" s="97"/>
      <c r="I286" s="97"/>
      <c r="J286" s="97"/>
      <c r="K286" s="97"/>
      <c r="L286" s="97"/>
      <c r="M286" s="97"/>
      <c r="N286" s="97"/>
      <c r="O286" s="97"/>
    </row>
    <row r="287" spans="1:15" ht="15.75" customHeight="1">
      <c r="A287" s="12">
        <v>9500</v>
      </c>
      <c r="B287" s="256">
        <v>390</v>
      </c>
      <c r="C287" s="82">
        <v>750</v>
      </c>
      <c r="D287" s="82">
        <v>1150</v>
      </c>
      <c r="E287" s="194">
        <v>99999</v>
      </c>
      <c r="F287" s="193"/>
      <c r="G287" s="97"/>
      <c r="H287" s="12"/>
      <c r="I287" s="98"/>
      <c r="J287" s="97"/>
      <c r="K287" s="12"/>
      <c r="L287" s="12"/>
      <c r="M287" s="12"/>
      <c r="N287" s="2"/>
      <c r="O287" s="2"/>
    </row>
    <row r="288" spans="1:15" ht="15.75" customHeight="1">
      <c r="A288" s="12">
        <v>10000</v>
      </c>
      <c r="B288" s="256">
        <v>400</v>
      </c>
      <c r="C288" s="82">
        <v>780</v>
      </c>
      <c r="D288" s="82">
        <v>1200</v>
      </c>
      <c r="E288" s="194">
        <v>99999</v>
      </c>
      <c r="F288" s="193"/>
      <c r="G288" s="97"/>
      <c r="H288" s="12"/>
      <c r="I288" s="98"/>
      <c r="J288" s="97"/>
      <c r="K288" s="12"/>
      <c r="L288" s="12"/>
      <c r="M288" s="12"/>
      <c r="N288" s="2"/>
      <c r="O288" s="2"/>
    </row>
    <row r="289" spans="1:15" ht="15.75" customHeight="1">
      <c r="A289" s="12">
        <v>10500</v>
      </c>
      <c r="B289" s="256">
        <v>410</v>
      </c>
      <c r="C289" s="82">
        <v>810</v>
      </c>
      <c r="D289" s="82">
        <v>1250</v>
      </c>
      <c r="E289" s="194">
        <v>99999</v>
      </c>
      <c r="F289" s="193"/>
      <c r="G289" s="97"/>
      <c r="H289" s="12"/>
      <c r="I289" s="98"/>
      <c r="J289" s="97"/>
      <c r="K289" s="12"/>
      <c r="L289" s="12"/>
      <c r="M289" s="12"/>
      <c r="N289" s="2"/>
      <c r="O289" s="2"/>
    </row>
    <row r="290" spans="1:15" ht="15.75" customHeight="1">
      <c r="A290" s="12">
        <v>11000</v>
      </c>
      <c r="B290" s="256">
        <v>440</v>
      </c>
      <c r="C290" s="82">
        <v>850</v>
      </c>
      <c r="D290" s="82">
        <v>1320</v>
      </c>
      <c r="E290" s="194">
        <v>99999</v>
      </c>
      <c r="F290" s="193"/>
      <c r="G290" s="97"/>
      <c r="H290" s="12"/>
      <c r="I290" s="98"/>
      <c r="J290" s="97"/>
      <c r="K290" s="12"/>
      <c r="L290" s="12"/>
      <c r="M290" s="12"/>
      <c r="N290" s="2"/>
      <c r="O290" s="2"/>
    </row>
    <row r="291" spans="1:15" ht="15.75" customHeight="1">
      <c r="A291" s="12">
        <v>11500</v>
      </c>
      <c r="B291" s="256">
        <v>475</v>
      </c>
      <c r="C291" s="82">
        <v>900</v>
      </c>
      <c r="D291" s="82">
        <v>1390</v>
      </c>
      <c r="E291" s="194">
        <v>99999</v>
      </c>
      <c r="F291" s="193"/>
      <c r="G291" s="97"/>
      <c r="H291" s="12"/>
      <c r="I291" s="98"/>
      <c r="J291" s="97"/>
      <c r="K291" s="12"/>
      <c r="L291" s="12"/>
      <c r="M291" s="12"/>
      <c r="N291" s="2"/>
      <c r="O291" s="2"/>
    </row>
    <row r="292" spans="1:15" ht="15.75" customHeight="1">
      <c r="A292" s="12">
        <v>12000</v>
      </c>
      <c r="B292" s="256">
        <v>490</v>
      </c>
      <c r="C292" s="82">
        <v>950</v>
      </c>
      <c r="D292" s="82">
        <v>1450</v>
      </c>
      <c r="E292" s="194">
        <v>99999</v>
      </c>
      <c r="F292" s="193"/>
      <c r="G292" s="97"/>
      <c r="I292" s="98"/>
      <c r="J292" s="97"/>
      <c r="N292" s="2"/>
      <c r="O292" s="2"/>
    </row>
    <row r="293" spans="1:15" ht="15.75" customHeight="1">
      <c r="A293" s="12">
        <v>12500</v>
      </c>
      <c r="B293" s="189">
        <v>500</v>
      </c>
      <c r="C293" s="195">
        <v>1000</v>
      </c>
      <c r="D293" s="195">
        <v>1500</v>
      </c>
      <c r="E293" s="194">
        <v>99999</v>
      </c>
      <c r="F293" s="193"/>
      <c r="G293" s="97"/>
      <c r="I293" s="98"/>
      <c r="J293" s="97"/>
      <c r="N293" s="2"/>
      <c r="O293" s="2"/>
    </row>
    <row r="294" spans="1:15" ht="15.75" customHeight="1">
      <c r="B294" s="98"/>
      <c r="C294" s="97"/>
      <c r="D294" s="12"/>
      <c r="E294" s="12"/>
      <c r="F294" s="12"/>
      <c r="G294" s="2"/>
      <c r="H294" s="2"/>
      <c r="I294" s="2"/>
      <c r="J294" s="98"/>
      <c r="K294" s="97"/>
      <c r="O294" s="26"/>
    </row>
    <row r="295" spans="1:15" ht="15.75" customHeight="1">
      <c r="B295" s="98" t="s">
        <v>79</v>
      </c>
      <c r="C295" s="97">
        <f>C282</f>
        <v>826</v>
      </c>
      <c r="D295" s="260" t="s">
        <v>136</v>
      </c>
      <c r="E295" s="304"/>
      <c r="G295" s="2"/>
      <c r="H295" s="2"/>
      <c r="I295" s="2"/>
      <c r="J295" s="98" t="s">
        <v>79</v>
      </c>
      <c r="K295" s="97">
        <f>K282</f>
        <v>830</v>
      </c>
      <c r="L295" s="260" t="s">
        <v>136</v>
      </c>
      <c r="M295" s="304"/>
      <c r="O295" s="26"/>
    </row>
    <row r="296" spans="1:15" ht="15.75" customHeight="1">
      <c r="B296" s="73" t="s">
        <v>137</v>
      </c>
      <c r="C296" s="100">
        <f t="array" ref="C296">INDEX($B285:$E285,MATCH(C295,$B285:$E285,1))</f>
        <v>500</v>
      </c>
      <c r="D296" s="73" t="s">
        <v>77</v>
      </c>
      <c r="E296" s="88">
        <f>MATCH(MAX($A286:$A293),$A286:$A293,1)</f>
        <v>8</v>
      </c>
      <c r="G296" s="2"/>
      <c r="H296" s="2"/>
      <c r="I296" s="2"/>
      <c r="J296" s="73" t="s">
        <v>137</v>
      </c>
      <c r="K296" s="100">
        <f t="array" ref="K296">INDEX($B285:$E285,MATCH(K295,$B285:$E285,1))</f>
        <v>500</v>
      </c>
      <c r="L296" s="73" t="s">
        <v>77</v>
      </c>
      <c r="M296" s="88">
        <f>MATCH(MAX($A286:$A293),$A286:$A293,1)</f>
        <v>8</v>
      </c>
      <c r="O296" s="26"/>
    </row>
    <row r="297" spans="1:15" ht="15.75" customHeight="1">
      <c r="B297" s="73" t="s">
        <v>138</v>
      </c>
      <c r="C297" s="100">
        <f t="array" ref="C297">INDEX($B285:$E285,IF(MATCH(C295,$B285:$E285,1)&lt;E297,MATCH(C295,$B285:$E285,1)+1,MATCH(C295,$B285:$E285,1)))</f>
        <v>1000</v>
      </c>
      <c r="D297" s="73" t="s">
        <v>78</v>
      </c>
      <c r="E297" s="88">
        <f>MATCH(MAX($B285:$E285),$B285:$E285,0)</f>
        <v>4</v>
      </c>
      <c r="G297" s="2"/>
      <c r="H297" s="2"/>
      <c r="I297" s="2"/>
      <c r="J297" s="73" t="s">
        <v>138</v>
      </c>
      <c r="K297" s="100">
        <f t="array" ref="K297">INDEX($B285:$E285,IF(MATCH(K295,$B285:$E285,1)&lt;M297,MATCH(K295,$B285:$E285,1)+1,MATCH(K295,$B285:$E285,1)))</f>
        <v>1000</v>
      </c>
      <c r="L297" s="73" t="s">
        <v>78</v>
      </c>
      <c r="M297" s="88">
        <f>MATCH(MAX($B285:$E285),$B285:$E285,0)</f>
        <v>4</v>
      </c>
      <c r="O297" s="26"/>
    </row>
    <row r="298" spans="1:15" ht="15.75" customHeight="1">
      <c r="B298" s="96" t="s">
        <v>80</v>
      </c>
      <c r="C298" s="155">
        <f>Landing!C11</f>
        <v>11000</v>
      </c>
      <c r="D298" s="2"/>
      <c r="E298" s="2"/>
      <c r="G298" s="2"/>
      <c r="H298" s="2"/>
      <c r="I298" s="2"/>
      <c r="J298" s="96" t="s">
        <v>80</v>
      </c>
      <c r="K298" s="155">
        <f>'Take-off'!C14</f>
        <v>11000</v>
      </c>
      <c r="L298" s="2"/>
      <c r="M298" s="2"/>
      <c r="O298" s="26"/>
    </row>
    <row r="299" spans="1:15" ht="15.75" customHeight="1">
      <c r="B299" s="73" t="s">
        <v>81</v>
      </c>
      <c r="C299" s="100">
        <f t="array" ref="C299">INDEX($A286:$A293,MATCH(C298,$A286:$A293,1))</f>
        <v>11000</v>
      </c>
      <c r="D299" s="2"/>
      <c r="E299" s="92"/>
      <c r="G299" s="2"/>
      <c r="H299" s="2"/>
      <c r="I299" s="2"/>
      <c r="J299" s="73" t="s">
        <v>81</v>
      </c>
      <c r="K299" s="100">
        <f t="array" ref="K299">INDEX($A286:$A293,MATCH(K298,$A286:$A293,1))</f>
        <v>11000</v>
      </c>
      <c r="L299" s="2"/>
      <c r="M299" s="92"/>
      <c r="O299" s="26"/>
    </row>
    <row r="300" spans="1:15" ht="15.75" customHeight="1">
      <c r="B300" s="73" t="s">
        <v>82</v>
      </c>
      <c r="C300" s="100">
        <f t="array" ref="C300">INDEX($A286:$A293,IF(MATCH(C298,$A286:$A293,1)&lt;E296,MATCH(C298,$A286:$A293,1)+1,MATCH(C298,$A286:$A293,1)))</f>
        <v>11500</v>
      </c>
      <c r="D300" s="2"/>
      <c r="E300" s="92"/>
      <c r="G300" s="2"/>
      <c r="H300" s="2"/>
      <c r="I300" s="2"/>
      <c r="J300" s="73" t="s">
        <v>82</v>
      </c>
      <c r="K300" s="100">
        <f t="array" ref="K300">INDEX($A286:$A293,IF(MATCH(K298,$A286:$A293,1)&lt;M296,MATCH(K298,$A286:$A293,1)+1,MATCH(K298,$A286:$A293,1)))</f>
        <v>11500</v>
      </c>
      <c r="L300" s="2"/>
      <c r="M300" s="92"/>
      <c r="O300" s="26"/>
    </row>
    <row r="301" spans="1:15" ht="15.75" customHeight="1">
      <c r="B301" s="98" t="s">
        <v>83</v>
      </c>
      <c r="C301" s="97">
        <f t="array" ref="C301">INDEX($B286:$E293,MATCH(C298,$A286:$A293,1),MATCH(C295,$B285:$E285,1))</f>
        <v>440</v>
      </c>
      <c r="D301" s="2"/>
      <c r="E301" s="92"/>
      <c r="G301" s="2"/>
      <c r="H301" s="2"/>
      <c r="I301" s="2"/>
      <c r="J301" s="98" t="s">
        <v>83</v>
      </c>
      <c r="K301" s="97">
        <f t="array" ref="K301">INDEX($B286:$E293,MATCH(K298,$A286:$A293,1),MATCH(K295,$B285:$E285,1))</f>
        <v>440</v>
      </c>
      <c r="L301" s="2"/>
      <c r="M301" s="92"/>
      <c r="O301" s="26"/>
    </row>
    <row r="302" spans="1:15" ht="15.75" customHeight="1">
      <c r="B302" s="98" t="s">
        <v>139</v>
      </c>
      <c r="C302" s="97">
        <f t="array" ref="C302">INDEX($B286:$E293,MATCH(C298,$A286:$A293,1),IF(MATCH(C295,$B285:$E285,1)&lt;E297,MATCH(C295,$B285:$E285,1)+1,MATCH(C298,$A286:$A293,1)))</f>
        <v>850</v>
      </c>
      <c r="E302" s="92"/>
      <c r="G302" s="2"/>
      <c r="H302" s="2"/>
      <c r="I302" s="2"/>
      <c r="J302" s="98" t="s">
        <v>139</v>
      </c>
      <c r="K302" s="97">
        <f t="array" ref="K302">INDEX($B286:$E293,MATCH(K298,$A286:$A293,1),IF(MATCH(K295,$B285:$E285,1)&lt;M297,MATCH(K295,$B285:$E285,1)+1,MATCH(K298,$A286:$A293,1)))</f>
        <v>850</v>
      </c>
      <c r="M302" s="92"/>
      <c r="O302" s="83"/>
    </row>
    <row r="303" spans="1:15" ht="15.75" customHeight="1">
      <c r="B303" s="98" t="s">
        <v>84</v>
      </c>
      <c r="C303" s="97">
        <f t="array" ref="C303">INDEX($B286:$E293,IF(MATCH(C298,$A286:$A293,1)&lt;E296,MATCH(C298,$A286:$A293,1)+1,MATCH(C298,$A286:$A293,1)),MATCH(C295,$B285:$E285,1))</f>
        <v>475</v>
      </c>
      <c r="E303" s="92"/>
      <c r="G303" s="2"/>
      <c r="H303" s="2"/>
      <c r="I303" s="2"/>
      <c r="J303" s="98" t="s">
        <v>84</v>
      </c>
      <c r="K303" s="97">
        <f t="array" ref="K303">INDEX($B286:$E293,IF(MATCH(K298,$A286:$A293,1)&lt;M296,MATCH(K298,$A286:$A293,1)+1,MATCH(K298,$A286:$A293,1)),MATCH(K295,$B285:$E285,1))</f>
        <v>475</v>
      </c>
      <c r="M303" s="92"/>
      <c r="O303" s="83"/>
    </row>
    <row r="304" spans="1:15" ht="15.75" customHeight="1">
      <c r="B304" s="98" t="s">
        <v>140</v>
      </c>
      <c r="C304" s="97">
        <f t="array" ref="C304">INDEX($B286:$E293,IF(MATCH(C298,$A286:$A293,1)&lt;E296,MATCH(C298,$A286:$A293,1)+1,MATCH(C298,$A286:$A293,1)),IF(MATCH(C295,$B285:$E285,1)&lt;E297,MATCH(C295,$B285:$E285,1)+1,MATCH(C295,$B285:$E285,1)))</f>
        <v>900</v>
      </c>
      <c r="G304" s="2"/>
      <c r="H304" s="2"/>
      <c r="I304" s="2"/>
      <c r="J304" s="98" t="s">
        <v>140</v>
      </c>
      <c r="K304" s="97">
        <f t="array" ref="K304">INDEX($B286:$E293,IF(MATCH(K298,$A286:$A293,1)&lt;M296,MATCH(K298,$A286:$A293,1)+1,MATCH(K298,$A286:$A293,1)),IF(MATCH(K295,$B285:$E285,1)&lt;M297,MATCH(K295,$B285:$E285,1)+1,MATCH(K295,$B285:$E285,1)))</f>
        <v>900</v>
      </c>
      <c r="O304" s="83"/>
    </row>
    <row r="305" spans="1:15" ht="15.75" customHeight="1">
      <c r="B305" s="73" t="s">
        <v>141</v>
      </c>
      <c r="C305" s="100">
        <f>IFERROR(C301+(C295-C296)*(C302-C301)/(C297-C296),C301)</f>
        <v>707.31999999999994</v>
      </c>
      <c r="G305" s="2"/>
      <c r="H305" s="2"/>
      <c r="I305" s="2"/>
      <c r="J305" s="73" t="s">
        <v>141</v>
      </c>
      <c r="K305" s="100">
        <f>IFERROR(K301+(K295-K296)*(K302-K301)/(K297-K296),K301)</f>
        <v>710.6</v>
      </c>
      <c r="O305" s="83"/>
    </row>
    <row r="306" spans="1:15" ht="15.75" customHeight="1">
      <c r="B306" s="73" t="s">
        <v>142</v>
      </c>
      <c r="C306" s="100">
        <f>IFERROR(C303+(C295-C296)*(C304-C303)/(C297-C296),C303)</f>
        <v>752.1</v>
      </c>
      <c r="G306" s="2"/>
      <c r="H306" s="2"/>
      <c r="I306" s="2"/>
      <c r="J306" s="73" t="s">
        <v>142</v>
      </c>
      <c r="K306" s="100">
        <f>IFERROR(K303+(K295-K296)*(K304-K303)/(K297-K296),K303)</f>
        <v>755.5</v>
      </c>
      <c r="O306" s="83"/>
    </row>
    <row r="307" spans="1:15" ht="15.75" customHeight="1">
      <c r="B307" s="98" t="s">
        <v>143</v>
      </c>
      <c r="C307" s="97">
        <f>IFERROR(C305+(C298-C299)*(C306-C305)/(C300-C299),C305)</f>
        <v>707.31999999999994</v>
      </c>
      <c r="G307" s="2"/>
      <c r="H307" s="2"/>
      <c r="I307" s="2"/>
      <c r="J307" s="98" t="s">
        <v>143</v>
      </c>
      <c r="K307" s="97">
        <f>IFERROR(K305+(K298-K299)*(K306-K305)/(K300-K299),K305)</f>
        <v>710.6</v>
      </c>
      <c r="O307" s="83"/>
    </row>
    <row r="308" spans="1:15" ht="15.75" customHeight="1">
      <c r="B308" s="98"/>
      <c r="C308" s="97"/>
      <c r="G308" s="2"/>
      <c r="H308" s="2"/>
      <c r="I308" s="2"/>
      <c r="J308" s="98"/>
      <c r="K308" s="97"/>
      <c r="O308" s="83"/>
    </row>
    <row r="309" spans="1:15" ht="15.75" customHeight="1">
      <c r="B309" s="98"/>
      <c r="C309" s="97"/>
      <c r="G309" s="2"/>
      <c r="H309" s="2"/>
      <c r="I309" s="2"/>
      <c r="J309" s="98"/>
      <c r="K309" s="97"/>
      <c r="L309" s="12"/>
      <c r="M309" s="12"/>
      <c r="N309" s="12"/>
      <c r="O309" s="2"/>
    </row>
    <row r="310" spans="1:15" ht="15.75" customHeight="1">
      <c r="A310" s="12"/>
      <c r="B310" s="262" t="s">
        <v>145</v>
      </c>
      <c r="C310" s="303"/>
      <c r="D310" s="303"/>
      <c r="E310" s="303"/>
      <c r="F310" s="303"/>
      <c r="G310" s="82"/>
      <c r="H310" s="82"/>
      <c r="I310" s="82"/>
      <c r="J310" s="82"/>
      <c r="K310" s="82"/>
      <c r="L310" s="82"/>
      <c r="M310" s="82"/>
      <c r="N310" s="82"/>
      <c r="O310" s="82"/>
    </row>
    <row r="311" spans="1:15" ht="15.75" customHeight="1">
      <c r="A311" s="12" t="s">
        <v>42</v>
      </c>
      <c r="B311" s="182">
        <v>500</v>
      </c>
      <c r="C311" s="192">
        <v>1000</v>
      </c>
      <c r="D311" s="192">
        <v>1500</v>
      </c>
      <c r="E311" s="185">
        <v>2000</v>
      </c>
      <c r="F311" s="193"/>
      <c r="G311" s="97"/>
      <c r="H311" s="12"/>
      <c r="I311" s="98"/>
      <c r="J311" s="97"/>
      <c r="K311" s="12"/>
      <c r="L311" s="12"/>
      <c r="M311" s="12"/>
      <c r="N311" s="2"/>
      <c r="O311" s="2"/>
    </row>
    <row r="312" spans="1:15" ht="15.75" customHeight="1">
      <c r="A312" s="12">
        <v>-10</v>
      </c>
      <c r="B312" s="182">
        <v>800</v>
      </c>
      <c r="C312" s="192">
        <v>1230</v>
      </c>
      <c r="D312" s="192">
        <v>1910</v>
      </c>
      <c r="E312" s="194">
        <v>99999</v>
      </c>
      <c r="F312" s="193"/>
      <c r="G312" s="97"/>
      <c r="H312" s="97"/>
      <c r="I312" s="97"/>
      <c r="J312" s="97"/>
      <c r="K312" s="97"/>
      <c r="L312" s="97"/>
      <c r="M312" s="97"/>
      <c r="N312" s="97"/>
      <c r="O312" s="97"/>
    </row>
    <row r="313" spans="1:15" ht="15.75" customHeight="1">
      <c r="A313" s="12">
        <v>0</v>
      </c>
      <c r="B313" s="256">
        <v>500</v>
      </c>
      <c r="C313" s="82">
        <v>1000</v>
      </c>
      <c r="D313" s="82">
        <v>1500</v>
      </c>
      <c r="E313" s="194">
        <v>99999</v>
      </c>
      <c r="F313" s="193"/>
      <c r="G313" s="97"/>
      <c r="H313" s="12"/>
      <c r="I313" s="98"/>
      <c r="J313" s="97"/>
      <c r="K313" s="12"/>
      <c r="L313" s="12"/>
      <c r="M313" s="12"/>
      <c r="N313" s="2"/>
      <c r="O313" s="2"/>
    </row>
    <row r="314" spans="1:15" ht="15.75" customHeight="1">
      <c r="A314" s="12">
        <v>30</v>
      </c>
      <c r="B314" s="189">
        <v>390</v>
      </c>
      <c r="C314" s="195">
        <v>800</v>
      </c>
      <c r="D314" s="195">
        <v>1250</v>
      </c>
      <c r="E314" s="194">
        <v>99999</v>
      </c>
      <c r="F314" s="193"/>
      <c r="G314" s="97"/>
      <c r="I314" s="98"/>
      <c r="J314" s="97"/>
      <c r="N314" s="2"/>
      <c r="O314" s="2"/>
    </row>
    <row r="315" spans="1:15" ht="15.75" customHeight="1">
      <c r="B315" s="98"/>
      <c r="C315" s="97"/>
      <c r="D315" s="12"/>
      <c r="E315" s="12"/>
      <c r="F315" s="12"/>
      <c r="G315" s="2"/>
      <c r="H315" s="2"/>
      <c r="I315" s="2"/>
      <c r="J315" s="98"/>
      <c r="K315" s="97"/>
      <c r="O315" s="26"/>
    </row>
    <row r="316" spans="1:15" ht="15.75" customHeight="1">
      <c r="B316" s="98" t="s">
        <v>79</v>
      </c>
      <c r="C316" s="97">
        <f>C307</f>
        <v>707.31999999999994</v>
      </c>
      <c r="D316" s="260" t="s">
        <v>136</v>
      </c>
      <c r="E316" s="304"/>
      <c r="G316" s="2"/>
      <c r="H316" s="2"/>
      <c r="I316" s="2"/>
      <c r="J316" s="98" t="s">
        <v>79</v>
      </c>
      <c r="K316" s="97">
        <f>K307</f>
        <v>710.6</v>
      </c>
      <c r="L316" s="260" t="s">
        <v>136</v>
      </c>
      <c r="M316" s="304"/>
      <c r="O316" s="26"/>
    </row>
    <row r="317" spans="1:15" ht="15.75" customHeight="1">
      <c r="B317" s="73" t="s">
        <v>137</v>
      </c>
      <c r="C317" s="100">
        <f t="array" ref="C317">INDEX($B311:$E311,MATCH(C316,$B311:$E311,1))</f>
        <v>500</v>
      </c>
      <c r="D317" s="73" t="s">
        <v>77</v>
      </c>
      <c r="E317" s="88">
        <f>MATCH(MAX($A312:$A314),$A312:$A314,1)</f>
        <v>3</v>
      </c>
      <c r="G317" s="2"/>
      <c r="H317" s="2"/>
      <c r="I317" s="2"/>
      <c r="J317" s="73" t="s">
        <v>137</v>
      </c>
      <c r="K317" s="100">
        <f t="array" ref="K317">INDEX($B311:$E311,MATCH(K316,$B311:$E311,1))</f>
        <v>500</v>
      </c>
      <c r="L317" s="73" t="s">
        <v>77</v>
      </c>
      <c r="M317" s="88">
        <f>MATCH(MAX($A312:$A314),$A312:$A314,1)</f>
        <v>3</v>
      </c>
      <c r="O317" s="26"/>
    </row>
    <row r="318" spans="1:15" ht="15.75" customHeight="1">
      <c r="B318" s="73" t="s">
        <v>138</v>
      </c>
      <c r="C318" s="100">
        <f t="array" ref="C318">INDEX($B311:$E311,IF(MATCH(C316,$B311:$E311,1)&lt;E318,MATCH(C316,$B311:$E311,1)+1,MATCH(C316,$B311:$E311,1)))</f>
        <v>1000</v>
      </c>
      <c r="D318" s="73" t="s">
        <v>78</v>
      </c>
      <c r="E318" s="88">
        <f>MATCH(MAX($B311:$E311),$B311:$E311,0)</f>
        <v>4</v>
      </c>
      <c r="G318" s="2"/>
      <c r="H318" s="2"/>
      <c r="I318" s="2"/>
      <c r="J318" s="73" t="s">
        <v>138</v>
      </c>
      <c r="K318" s="100">
        <f t="array" ref="K318">INDEX($B311:$E311,IF(MATCH(K316,$B311:$E311,1)&lt;M318,MATCH(K316,$B311:$E311,1)+1,MATCH(K316,$B311:$E311,1)))</f>
        <v>1000</v>
      </c>
      <c r="L318" s="73" t="s">
        <v>78</v>
      </c>
      <c r="M318" s="88">
        <f>MATCH(MAX($B311:$E311),$B311:$E311,0)</f>
        <v>4</v>
      </c>
      <c r="O318" s="26"/>
    </row>
    <row r="319" spans="1:15" ht="15.75" customHeight="1">
      <c r="B319" s="96" t="s">
        <v>80</v>
      </c>
      <c r="C319" s="155">
        <f>Landing!C21</f>
        <v>0</v>
      </c>
      <c r="D319" s="2"/>
      <c r="E319" s="2"/>
      <c r="G319" s="2"/>
      <c r="H319" s="2"/>
      <c r="I319" s="2"/>
      <c r="J319" s="96" t="s">
        <v>80</v>
      </c>
      <c r="K319" s="155">
        <f>'Take-off'!$C$24</f>
        <v>0</v>
      </c>
      <c r="L319" s="2"/>
      <c r="M319" s="2"/>
      <c r="O319" s="26"/>
    </row>
    <row r="320" spans="1:15" ht="15.75" customHeight="1">
      <c r="B320" s="73" t="s">
        <v>81</v>
      </c>
      <c r="C320" s="100">
        <f t="array" ref="C320">INDEX($A312:$A314,MATCH(C319,$A312:$A314,1))</f>
        <v>0</v>
      </c>
      <c r="D320" s="2"/>
      <c r="E320" s="92"/>
      <c r="G320" s="2"/>
      <c r="H320" s="2"/>
      <c r="I320" s="2"/>
      <c r="J320" s="73" t="s">
        <v>81</v>
      </c>
      <c r="K320" s="100">
        <f t="array" ref="K320">INDEX($A312:$A314,MATCH(K319,$A312:$A314,1))</f>
        <v>0</v>
      </c>
      <c r="L320" s="2"/>
      <c r="M320" s="92"/>
      <c r="O320" s="26"/>
    </row>
    <row r="321" spans="1:15" ht="15.75" customHeight="1">
      <c r="B321" s="73" t="s">
        <v>82</v>
      </c>
      <c r="C321" s="100">
        <f t="array" ref="C321">INDEX($A312:$A314,IF(MATCH(C319,$A312:$A314,1)&lt;E317,MATCH(C319,$A312:$A314,1)+1,MATCH(C319,$A312:$A314,1)))</f>
        <v>30</v>
      </c>
      <c r="D321" s="2"/>
      <c r="E321" s="92"/>
      <c r="G321" s="2"/>
      <c r="H321" s="2"/>
      <c r="I321" s="2"/>
      <c r="J321" s="73" t="s">
        <v>82</v>
      </c>
      <c r="K321" s="100">
        <f t="array" ref="K321">INDEX($A312:$A314,IF(MATCH(K319,$A312:$A314,1)&lt;M317,MATCH(K319,$A312:$A314,1)+1,MATCH(K319,$A312:$A314,1)))</f>
        <v>30</v>
      </c>
      <c r="L321" s="2"/>
      <c r="M321" s="92"/>
      <c r="O321" s="26"/>
    </row>
    <row r="322" spans="1:15" ht="15.75" customHeight="1">
      <c r="B322" s="98" t="s">
        <v>83</v>
      </c>
      <c r="C322" s="97">
        <f t="array" ref="C322">INDEX($B312:$E314,MATCH(C319,$A312:$A314,1),MATCH(C316,$B311:$E311,1))</f>
        <v>500</v>
      </c>
      <c r="D322" s="2"/>
      <c r="E322" s="92"/>
      <c r="G322" s="2"/>
      <c r="H322" s="2"/>
      <c r="I322" s="2"/>
      <c r="J322" s="98" t="s">
        <v>83</v>
      </c>
      <c r="K322" s="97">
        <f t="array" ref="K322">INDEX($B312:$E314,MATCH(K319,$A312:$A314,1),MATCH(K316,$B311:$E311,1))</f>
        <v>500</v>
      </c>
      <c r="L322" s="2"/>
      <c r="M322" s="92"/>
      <c r="O322" s="26"/>
    </row>
    <row r="323" spans="1:15" ht="15.75" customHeight="1">
      <c r="B323" s="98" t="s">
        <v>139</v>
      </c>
      <c r="C323" s="97">
        <f t="array" ref="C323">INDEX($B312:$E314,MATCH(C319,$A312:$A314,1),IF(MATCH(C316,$B311:$E311,1)&lt;E318,MATCH(C316,$B311:$E311,1)+1,MATCH(C319,$A312:$A314,1)))</f>
        <v>1000</v>
      </c>
      <c r="E323" s="92"/>
      <c r="G323" s="2"/>
      <c r="H323" s="2"/>
      <c r="I323" s="2"/>
      <c r="J323" s="98" t="s">
        <v>139</v>
      </c>
      <c r="K323" s="97">
        <f t="array" ref="K323">INDEX($B312:$E314,MATCH(K319,$A312:$A314,1),IF(MATCH(K316,$B311:$E311,1)&lt;M318,MATCH(K316,$B311:$E311,1)+1,MATCH(K319,$A312:$A314,1)))</f>
        <v>1000</v>
      </c>
      <c r="M323" s="92"/>
      <c r="O323" s="83"/>
    </row>
    <row r="324" spans="1:15" ht="15.75" customHeight="1">
      <c r="B324" s="98" t="s">
        <v>84</v>
      </c>
      <c r="C324" s="97">
        <f t="array" ref="C324">INDEX($B312:$E314,IF(MATCH(C319,$A312:$A314,1)&lt;E317,MATCH(C319,$A312:$A314,1)+1,MATCH(C319,$A312:$A314,1)),MATCH(C316,$B311:$E311,1))</f>
        <v>390</v>
      </c>
      <c r="E324" s="92"/>
      <c r="G324" s="2"/>
      <c r="H324" s="2"/>
      <c r="I324" s="2"/>
      <c r="J324" s="98" t="s">
        <v>84</v>
      </c>
      <c r="K324" s="97">
        <f t="array" ref="K324">INDEX($B312:$E314,IF(MATCH(K319,$A312:$A314,1)&lt;M317,MATCH(K319,$A312:$A314,1)+1,MATCH(K319,$A312:$A314,1)),MATCH(K316,$B311:$E311,1))</f>
        <v>390</v>
      </c>
      <c r="M324" s="92"/>
      <c r="O324" s="83"/>
    </row>
    <row r="325" spans="1:15" ht="15.75" customHeight="1">
      <c r="B325" s="98" t="s">
        <v>140</v>
      </c>
      <c r="C325" s="97">
        <f t="array" ref="C325">INDEX($B312:$E314,IF(MATCH(C319,$A312:$A314,1)&lt;E317,MATCH(C319,$A312:$A314,1)+1,MATCH(C319,$A312:$A314,1)),IF(MATCH(C316,$B311:$E311,1)&lt;E318,MATCH(C316,$B311:$E311,1)+1,MATCH(C316,$B311:$E311,1)))</f>
        <v>800</v>
      </c>
      <c r="G325" s="2"/>
      <c r="H325" s="2"/>
      <c r="I325" s="2"/>
      <c r="J325" s="98" t="s">
        <v>140</v>
      </c>
      <c r="K325" s="97">
        <f t="array" ref="K325">INDEX($B312:$E314,IF(MATCH(K319,$A312:$A314,1)&lt;M317,MATCH(K319,$A312:$A314,1)+1,MATCH(K319,$A312:$A314,1)),IF(MATCH(K316,$B311:$E311,1)&lt;M318,MATCH(K316,$B311:$E311,1)+1,MATCH(K316,$B311:$E311,1)))</f>
        <v>800</v>
      </c>
      <c r="O325" s="83"/>
    </row>
    <row r="326" spans="1:15" ht="15.75" customHeight="1">
      <c r="B326" s="73" t="s">
        <v>141</v>
      </c>
      <c r="C326" s="100">
        <f>IFERROR(C322+(C316-C317)*(C323-C322)/(C318-C317),C322)</f>
        <v>707.31999999999994</v>
      </c>
      <c r="G326" s="2"/>
      <c r="H326" s="2"/>
      <c r="I326" s="2"/>
      <c r="J326" s="73" t="s">
        <v>141</v>
      </c>
      <c r="K326" s="100">
        <f>IFERROR(K322+(K316-K317)*(K323-K322)/(K318-K317),K322)</f>
        <v>710.6</v>
      </c>
      <c r="O326" s="83"/>
    </row>
    <row r="327" spans="1:15" ht="15.75" customHeight="1">
      <c r="B327" s="73" t="s">
        <v>142</v>
      </c>
      <c r="C327" s="100">
        <f>IFERROR(C324+(C316-C317)*(C325-C324)/(C318-C317),C324)</f>
        <v>560.00239999999997</v>
      </c>
      <c r="G327" s="2"/>
      <c r="H327" s="2"/>
      <c r="I327" s="2"/>
      <c r="J327" s="73" t="s">
        <v>142</v>
      </c>
      <c r="K327" s="100">
        <f>IFERROR(K324+(K316-K317)*(K325-K324)/(K318-K317),K324)</f>
        <v>562.69200000000001</v>
      </c>
      <c r="O327" s="83"/>
    </row>
    <row r="328" spans="1:15" ht="15.75" customHeight="1">
      <c r="B328" s="98" t="s">
        <v>143</v>
      </c>
      <c r="C328" s="97">
        <f>IFERROR(C326+(C319-C320)*(C327-C326)/(C321-C320),C326)</f>
        <v>707.31999999999994</v>
      </c>
      <c r="G328" s="2"/>
      <c r="H328" s="2"/>
      <c r="I328" s="2"/>
      <c r="J328" s="98" t="s">
        <v>143</v>
      </c>
      <c r="K328" s="97">
        <f>IFERROR(K326+(K319-K320)*(K327-K326)/(K321-K320),K326)</f>
        <v>710.6</v>
      </c>
      <c r="O328" s="83"/>
    </row>
    <row r="329" spans="1:15" ht="15.75" customHeight="1">
      <c r="B329" s="98"/>
      <c r="C329" s="97"/>
      <c r="G329" s="2"/>
      <c r="H329" s="2"/>
      <c r="I329" s="2"/>
      <c r="J329" s="98"/>
      <c r="K329" s="97"/>
      <c r="L329" s="12"/>
      <c r="M329" s="12"/>
      <c r="N329" s="12"/>
      <c r="O329" s="83"/>
    </row>
    <row r="330" spans="1:15" ht="15.75" customHeight="1">
      <c r="A330" s="12"/>
      <c r="B330" s="262" t="s">
        <v>146</v>
      </c>
      <c r="C330" s="303"/>
      <c r="D330" s="303"/>
      <c r="E330" s="303"/>
      <c r="F330" s="303"/>
      <c r="G330" s="303"/>
      <c r="H330" s="303"/>
      <c r="I330" s="82"/>
      <c r="J330" s="82"/>
      <c r="K330" s="82"/>
      <c r="L330" s="82"/>
      <c r="M330" s="82"/>
      <c r="N330" s="82"/>
      <c r="O330" s="82"/>
    </row>
    <row r="331" spans="1:15" ht="15.75" customHeight="1">
      <c r="A331" s="12"/>
      <c r="B331" s="182">
        <v>500</v>
      </c>
      <c r="C331" s="182">
        <v>1000</v>
      </c>
      <c r="D331" s="192">
        <v>1500</v>
      </c>
      <c r="E331" s="192">
        <v>2000</v>
      </c>
      <c r="F331" s="185">
        <v>2100</v>
      </c>
      <c r="G331" s="193"/>
      <c r="H331" s="97"/>
      <c r="I331" s="12"/>
      <c r="J331" s="98"/>
      <c r="K331" s="97"/>
      <c r="L331" s="12"/>
      <c r="M331" s="12"/>
      <c r="N331" s="12"/>
      <c r="O331" s="2"/>
    </row>
    <row r="332" spans="1:15" ht="15.75" customHeight="1">
      <c r="A332" s="12">
        <v>0</v>
      </c>
      <c r="B332" s="182">
        <v>500</v>
      </c>
      <c r="C332" s="192">
        <v>1000</v>
      </c>
      <c r="D332" s="192">
        <v>1500</v>
      </c>
      <c r="E332" s="192">
        <v>2000</v>
      </c>
      <c r="F332" s="194">
        <v>99999</v>
      </c>
      <c r="G332" s="193"/>
      <c r="H332" s="97"/>
      <c r="I332" s="97"/>
      <c r="J332" s="97"/>
      <c r="K332" s="97"/>
      <c r="L332" s="97"/>
      <c r="M332" s="97"/>
      <c r="N332" s="97"/>
      <c r="O332" s="97"/>
    </row>
    <row r="333" spans="1:15" ht="15.75" customHeight="1">
      <c r="A333" s="12">
        <v>50</v>
      </c>
      <c r="B333" s="189">
        <v>1150</v>
      </c>
      <c r="C333" s="195">
        <v>2800</v>
      </c>
      <c r="D333" s="195">
        <v>1950</v>
      </c>
      <c r="E333" s="195">
        <v>3100</v>
      </c>
      <c r="F333" s="208">
        <v>99999</v>
      </c>
      <c r="G333" s="193"/>
      <c r="H333" s="97"/>
      <c r="J333" s="98"/>
      <c r="K333" s="97"/>
      <c r="O333" s="2"/>
    </row>
    <row r="334" spans="1:15" ht="15.75" customHeight="1">
      <c r="B334" s="98"/>
      <c r="C334" s="97"/>
      <c r="D334" s="12"/>
      <c r="E334" s="12"/>
      <c r="F334" s="12"/>
      <c r="G334" s="2"/>
      <c r="H334" s="2"/>
      <c r="I334" s="2"/>
      <c r="J334" s="98"/>
      <c r="K334" s="97"/>
      <c r="L334" s="12"/>
      <c r="M334" s="12"/>
      <c r="N334" s="12"/>
      <c r="O334" s="26"/>
    </row>
    <row r="335" spans="1:15" ht="15.75" customHeight="1">
      <c r="B335" s="98" t="s">
        <v>79</v>
      </c>
      <c r="C335" s="97">
        <f>C328</f>
        <v>707.31999999999994</v>
      </c>
      <c r="D335" s="260" t="s">
        <v>136</v>
      </c>
      <c r="E335" s="304"/>
      <c r="G335" s="2"/>
      <c r="H335" s="2"/>
      <c r="I335" s="2"/>
      <c r="J335" s="98" t="s">
        <v>79</v>
      </c>
      <c r="K335" s="97">
        <f>K328</f>
        <v>710.6</v>
      </c>
      <c r="L335" s="260" t="s">
        <v>136</v>
      </c>
      <c r="M335" s="304"/>
      <c r="O335" s="26"/>
    </row>
    <row r="336" spans="1:15" ht="15.75" customHeight="1">
      <c r="B336" s="73" t="s">
        <v>137</v>
      </c>
      <c r="C336" s="100">
        <f t="array" ref="C336">INDEX($B331:$F331,MATCH(C335,$B331:$F331,1))</f>
        <v>500</v>
      </c>
      <c r="D336" s="73" t="s">
        <v>77</v>
      </c>
      <c r="E336" s="88">
        <f>MATCH(MAX($A332:$A333),$A332:$A333,1)</f>
        <v>2</v>
      </c>
      <c r="G336" s="2"/>
      <c r="H336" s="2"/>
      <c r="I336" s="2"/>
      <c r="J336" s="73" t="s">
        <v>137</v>
      </c>
      <c r="K336" s="100">
        <f t="array" ref="K336">INDEX($B331:$F331,MATCH(K335,$B331:$F331,1))</f>
        <v>500</v>
      </c>
      <c r="L336" s="73" t="s">
        <v>77</v>
      </c>
      <c r="M336" s="88">
        <f>MATCH(MAX($A332:$A333),$A332:$A333,1)</f>
        <v>2</v>
      </c>
      <c r="O336" s="26"/>
    </row>
    <row r="337" spans="1:15" ht="15.75" customHeight="1">
      <c r="B337" s="73" t="s">
        <v>138</v>
      </c>
      <c r="C337" s="100">
        <f t="array" ref="C337">INDEX($B331:$F331,IF(MATCH(C335,$B331:$F331,1)&lt;E337,MATCH(C335,$B331:$F331,1)+1,MATCH(C335,$B331:$F331,1)))</f>
        <v>1000</v>
      </c>
      <c r="D337" s="73" t="s">
        <v>78</v>
      </c>
      <c r="E337" s="88">
        <f>MATCH(MAX($B331:$F331),$B331:$F331,0)</f>
        <v>5</v>
      </c>
      <c r="G337" s="2"/>
      <c r="H337" s="2"/>
      <c r="I337" s="2"/>
      <c r="J337" s="73" t="s">
        <v>138</v>
      </c>
      <c r="K337" s="100">
        <f t="array" ref="K337">INDEX($B331:$F331,IF(MATCH(K335,$B331:$F331,1)&lt;M337,MATCH(K335,$B331:$F331,1)+1,MATCH(K335,$B331:$F331,1)))</f>
        <v>1000</v>
      </c>
      <c r="L337" s="73" t="s">
        <v>78</v>
      </c>
      <c r="M337" s="88">
        <f>MATCH(MAX($B331:$F331),$B331:$F331,0)</f>
        <v>5</v>
      </c>
      <c r="O337" s="26"/>
    </row>
    <row r="338" spans="1:15" ht="15.75" customHeight="1">
      <c r="B338" s="96" t="s">
        <v>80</v>
      </c>
      <c r="C338" s="155">
        <v>50</v>
      </c>
      <c r="D338" s="2"/>
      <c r="E338" s="2"/>
      <c r="G338" s="2"/>
      <c r="H338" s="2"/>
      <c r="I338" s="2"/>
      <c r="J338" s="96" t="s">
        <v>80</v>
      </c>
      <c r="K338" s="155">
        <v>50</v>
      </c>
      <c r="L338" s="2"/>
      <c r="M338" s="2"/>
      <c r="O338" s="26"/>
    </row>
    <row r="339" spans="1:15" ht="15.75" customHeight="1">
      <c r="B339" s="73" t="s">
        <v>81</v>
      </c>
      <c r="C339" s="100">
        <f t="array" ref="C339">INDEX($A332:$A333,MATCH(C338,$A332:$A333,1))</f>
        <v>50</v>
      </c>
      <c r="D339" s="2"/>
      <c r="E339" s="92"/>
      <c r="G339" s="2"/>
      <c r="H339" s="2"/>
      <c r="I339" s="2"/>
      <c r="J339" s="73" t="s">
        <v>81</v>
      </c>
      <c r="K339" s="100">
        <f t="array" ref="K339">INDEX($A332:$A333,MATCH(K338,$A332:$A333,1))</f>
        <v>50</v>
      </c>
      <c r="L339" s="2"/>
      <c r="M339" s="92"/>
      <c r="O339" s="26"/>
    </row>
    <row r="340" spans="1:15" ht="15.75" customHeight="1">
      <c r="B340" s="73" t="s">
        <v>82</v>
      </c>
      <c r="C340" s="100">
        <f t="array" ref="C340">INDEX($A332:$A333,IF(MATCH(C338,$A332:$A333,1)&lt;E336,MATCH(C338,$A332:$A333,1)+1,MATCH(C338,$A332:$A333,1)))</f>
        <v>50</v>
      </c>
      <c r="D340" s="2"/>
      <c r="E340" s="92"/>
      <c r="G340" s="2"/>
      <c r="H340" s="2"/>
      <c r="I340" s="2"/>
      <c r="J340" s="73" t="s">
        <v>82</v>
      </c>
      <c r="K340" s="100">
        <f t="array" ref="K340">INDEX($A332:$A333,IF(MATCH(K338,$A332:$A333,1)&lt;M336,MATCH(K338,$A332:$A333,1)+1,MATCH(K338,$A332:$A333,1)))</f>
        <v>50</v>
      </c>
      <c r="L340" s="2"/>
      <c r="M340" s="92"/>
      <c r="O340" s="26"/>
    </row>
    <row r="341" spans="1:15" ht="15.75" customHeight="1">
      <c r="B341" s="98" t="s">
        <v>83</v>
      </c>
      <c r="C341" s="97">
        <f t="array" ref="C341">INDEX($B332:$F333,MATCH(C338,$A332:$A333,1),MATCH(C335,$B331:$F331,1))</f>
        <v>1150</v>
      </c>
      <c r="D341" s="2"/>
      <c r="E341" s="92"/>
      <c r="G341" s="2"/>
      <c r="H341" s="2"/>
      <c r="I341" s="2"/>
      <c r="J341" s="98" t="s">
        <v>83</v>
      </c>
      <c r="K341" s="97">
        <f t="array" ref="K341">INDEX($B332:$F333,MATCH(K338,$A332:$A333,1),MATCH(K335,$B331:$F331,1))</f>
        <v>1150</v>
      </c>
      <c r="L341" s="2"/>
      <c r="M341" s="92"/>
      <c r="O341" s="26"/>
    </row>
    <row r="342" spans="1:15" ht="15.75" customHeight="1">
      <c r="B342" s="98" t="s">
        <v>139</v>
      </c>
      <c r="C342" s="97">
        <f t="array" ref="C342">INDEX($B332:$F333,MATCH(C338,$A332:$A333,1),IF(MATCH(C335,$B331:$F331,1)&lt;E337,MATCH(C335,$B331:$F331,1)+1,MATCH(C338,$A332:$A333,1)))</f>
        <v>2800</v>
      </c>
      <c r="E342" s="92"/>
      <c r="G342" s="2"/>
      <c r="H342" s="2"/>
      <c r="I342" s="2"/>
      <c r="J342" s="98" t="s">
        <v>139</v>
      </c>
      <c r="K342" s="97">
        <f t="array" ref="K342">INDEX($B332:$F333,MATCH(K338,$A332:$A333,1),IF(MATCH(K335,$B331:$F331,1)&lt;M337,MATCH(K335,$B331:$F331,1)+1,MATCH(K338,$A332:$A333,1)))</f>
        <v>2800</v>
      </c>
      <c r="M342" s="92"/>
      <c r="O342" s="83"/>
    </row>
    <row r="343" spans="1:15" ht="15.75" customHeight="1">
      <c r="B343" s="98" t="s">
        <v>84</v>
      </c>
      <c r="C343" s="97">
        <f t="array" ref="C343">INDEX($B332:$F333,IF(MATCH(C338,$A332:$A333,1)&lt;E336,MATCH(C338,$A332:$A333,1)+1,MATCH(C338,$A332:$A333,1)),MATCH(C335,$B331:$F331,1))</f>
        <v>1150</v>
      </c>
      <c r="E343" s="92"/>
      <c r="G343" s="2"/>
      <c r="H343" s="2"/>
      <c r="I343" s="2"/>
      <c r="J343" s="98" t="s">
        <v>84</v>
      </c>
      <c r="K343" s="97">
        <f t="array" ref="K343">INDEX($B332:$F333,IF(MATCH(K338,$A332:$A333,1)&lt;M336,MATCH(K338,$A332:$A333,1)+1,MATCH(K338,$A332:$A333,1)),MATCH(K335,$B331:$F331,1))</f>
        <v>1150</v>
      </c>
      <c r="M343" s="92"/>
      <c r="O343" s="83"/>
    </row>
    <row r="344" spans="1:15" ht="15.75" customHeight="1">
      <c r="B344" s="98" t="s">
        <v>140</v>
      </c>
      <c r="C344" s="97">
        <f t="array" ref="C344">INDEX($B332:$F333,IF(MATCH(C338,$A332:$A333,1)&lt;E336,MATCH(C338,$A332:$A333,1)+1,MATCH(C338,$A332:$A333,1)),IF(MATCH(C335,$B331:$F331,1)&lt;E337,MATCH(C335,$B331:$F331,1)+1,MATCH(C335,$B331:$F331,1)))</f>
        <v>2800</v>
      </c>
      <c r="G344" s="2"/>
      <c r="H344" s="2"/>
      <c r="I344" s="2"/>
      <c r="J344" s="98" t="s">
        <v>140</v>
      </c>
      <c r="K344" s="97">
        <f t="array" ref="K344">INDEX($B332:$F333,IF(MATCH(K338,$A332:$A333,1)&lt;M336,MATCH(K338,$A332:$A333,1)+1,MATCH(K338,$A332:$A333,1)),IF(MATCH(K335,$B331:$F331,1)&lt;M337,MATCH(K335,$B331:$F331,1)+1,MATCH(K335,$B331:$F331,1)))</f>
        <v>2800</v>
      </c>
      <c r="O344" s="83"/>
    </row>
    <row r="345" spans="1:15" ht="15.75" customHeight="1">
      <c r="B345" s="73" t="s">
        <v>141</v>
      </c>
      <c r="C345" s="100">
        <f>IFERROR(C341+(C335-C336)*(C342-C341)/(C337-C336),C341)</f>
        <v>1834.1559999999997</v>
      </c>
      <c r="G345" s="2"/>
      <c r="H345" s="2"/>
      <c r="I345" s="2"/>
      <c r="J345" s="73" t="s">
        <v>141</v>
      </c>
      <c r="K345" s="100">
        <f>IFERROR(K341+(K335-K336)*(K342-K341)/(K337-K336),K341)</f>
        <v>1844.98</v>
      </c>
      <c r="O345" s="83"/>
    </row>
    <row r="346" spans="1:15" ht="15.75" customHeight="1">
      <c r="B346" s="73" t="s">
        <v>142</v>
      </c>
      <c r="C346" s="100">
        <f>IFERROR(C343+(C335-C336)*(C344-C343)/(C337-C336),C343)</f>
        <v>1834.1559999999997</v>
      </c>
      <c r="G346" s="2"/>
      <c r="H346" s="2"/>
      <c r="I346" s="2"/>
      <c r="J346" s="73" t="s">
        <v>142</v>
      </c>
      <c r="K346" s="100">
        <f>IFERROR(K343+(K335-K336)*(K344-K343)/(K337-K336),K343)</f>
        <v>1844.98</v>
      </c>
      <c r="O346" s="83"/>
    </row>
    <row r="347" spans="1:15" ht="15.75" customHeight="1">
      <c r="B347" s="98" t="s">
        <v>143</v>
      </c>
      <c r="C347" s="97">
        <f>IFERROR(C345+(C338-C339)*(C346-C345)/(C340-C339),C345)</f>
        <v>1834.1559999999997</v>
      </c>
      <c r="G347" s="2"/>
      <c r="H347" s="2"/>
      <c r="I347" s="2"/>
      <c r="J347" s="98" t="s">
        <v>143</v>
      </c>
      <c r="K347" s="97">
        <f>IFERROR(K345+(K338-K339)*(K346-K345)/(K340-K339),K345)</f>
        <v>1844.98</v>
      </c>
      <c r="O347" s="83"/>
    </row>
    <row r="348" spans="1:15" ht="15.75" customHeight="1"/>
    <row r="349" spans="1:15" ht="15.75" customHeight="1">
      <c r="A349" s="8" t="s">
        <v>147</v>
      </c>
      <c r="C349" s="8">
        <f>C347/3.28</f>
        <v>559.19390243902433</v>
      </c>
      <c r="K349" s="8">
        <f>K347/3.28</f>
        <v>562.4939024390244</v>
      </c>
    </row>
    <row r="350" spans="1:15" ht="15.75" customHeight="1">
      <c r="B350" s="8" t="s">
        <v>108</v>
      </c>
      <c r="C350" s="92">
        <f>IF(Landing!$C$16&lt;0, ((-Landing!$C$16*5)%*C349),0 )</f>
        <v>0</v>
      </c>
      <c r="K350" s="92">
        <f>IF('Take-off'!$C$17&lt;0, ((-'Take-off'!$C$17*5)%*K349),0 )</f>
        <v>0</v>
      </c>
    </row>
    <row r="351" spans="1:15" ht="15.75" customHeight="1">
      <c r="B351" s="8" t="s">
        <v>109</v>
      </c>
      <c r="C351" s="8">
        <f>SUM(C349:C350)</f>
        <v>559.19390243902433</v>
      </c>
      <c r="K351" s="8">
        <f>SUM(K349:K350)</f>
        <v>562.4939024390244</v>
      </c>
    </row>
    <row r="352" spans="1:15" ht="15.75" customHeight="1"/>
    <row r="353" spans="1:38" ht="15.75" customHeight="1"/>
    <row r="354" spans="1:38" ht="15.75" customHeight="1"/>
    <row r="355" spans="1:38" ht="15.75" customHeight="1">
      <c r="A355" s="77"/>
      <c r="B355" s="73" t="s">
        <v>130</v>
      </c>
      <c r="C355" s="98" t="s">
        <v>79</v>
      </c>
      <c r="D355" s="180">
        <f>IF('Take-off'!$C$9="",'Take-off'!$C$16,MAX(0,'Take-off'!$C$16+30*(1013-'Take-off'!$C$9)))</f>
        <v>0</v>
      </c>
      <c r="E355" s="253"/>
      <c r="F355" s="253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</row>
    <row r="356" spans="1:38" ht="15.75" customHeight="1">
      <c r="A356" s="77"/>
      <c r="B356" s="73" t="s">
        <v>132</v>
      </c>
      <c r="C356" s="96" t="s">
        <v>80</v>
      </c>
      <c r="D356" s="180">
        <f>IF('Take-off'!C13='Dropdown lists'!B30, 'Take-off'!$C$8+6, 'Take-off'!$C$8)</f>
        <v>-2</v>
      </c>
      <c r="E356" s="181" t="s">
        <v>148</v>
      </c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</row>
    <row r="357" spans="1:38" ht="15.75" customHeight="1">
      <c r="A357" s="77"/>
      <c r="B357" s="261" t="s">
        <v>71</v>
      </c>
      <c r="C357" s="304"/>
      <c r="D357" s="304"/>
      <c r="E357" s="304"/>
      <c r="F357" s="304"/>
      <c r="G357" s="304"/>
      <c r="H357" s="304"/>
      <c r="I357" s="304"/>
      <c r="J357" s="304"/>
      <c r="K357" s="304"/>
      <c r="L357" s="304"/>
      <c r="M357" s="77"/>
      <c r="N357" s="77"/>
      <c r="O357" s="261" t="s">
        <v>149</v>
      </c>
      <c r="P357" s="304"/>
      <c r="Q357" s="304"/>
      <c r="R357" s="304"/>
      <c r="S357" s="304"/>
      <c r="T357" s="304"/>
      <c r="U357" s="304"/>
      <c r="V357" s="304"/>
      <c r="W357" s="304"/>
      <c r="X357" s="304"/>
      <c r="Y357" s="304"/>
      <c r="Z357" s="77"/>
      <c r="AA357" s="77"/>
      <c r="AB357" s="261" t="s">
        <v>150</v>
      </c>
      <c r="AC357" s="304"/>
      <c r="AD357" s="304"/>
      <c r="AE357" s="304"/>
      <c r="AF357" s="304"/>
      <c r="AG357" s="304"/>
      <c r="AH357" s="304"/>
      <c r="AI357" s="304"/>
      <c r="AJ357" s="304"/>
      <c r="AK357" s="304"/>
      <c r="AL357" s="304"/>
    </row>
    <row r="358" spans="1:38" ht="15.75" customHeight="1">
      <c r="A358" s="12"/>
      <c r="B358" s="262" t="s">
        <v>151</v>
      </c>
      <c r="C358" s="303"/>
      <c r="D358" s="303"/>
      <c r="E358" s="303"/>
      <c r="F358" s="303"/>
      <c r="G358" s="82"/>
      <c r="H358" s="82"/>
      <c r="I358" s="82"/>
      <c r="J358" s="82"/>
      <c r="K358" s="82"/>
      <c r="L358" s="82"/>
      <c r="M358" s="82"/>
      <c r="N358" s="12"/>
      <c r="O358" s="262" t="s">
        <v>151</v>
      </c>
      <c r="P358" s="303"/>
      <c r="Q358" s="303"/>
      <c r="R358" s="303"/>
      <c r="S358" s="303"/>
      <c r="T358" s="82"/>
      <c r="U358" s="82"/>
      <c r="V358" s="82"/>
      <c r="W358" s="82"/>
      <c r="X358" s="82"/>
      <c r="Y358" s="82"/>
      <c r="Z358" s="98"/>
      <c r="AA358" s="12"/>
      <c r="AB358" s="262" t="s">
        <v>151</v>
      </c>
      <c r="AC358" s="303"/>
      <c r="AD358" s="303"/>
      <c r="AE358" s="303"/>
      <c r="AF358" s="303"/>
      <c r="AG358" s="82"/>
      <c r="AH358" s="82"/>
      <c r="AI358" s="82"/>
      <c r="AJ358" s="82"/>
      <c r="AK358" s="82"/>
      <c r="AL358" s="82"/>
    </row>
    <row r="359" spans="1:38" ht="15.75" customHeight="1">
      <c r="A359" s="12" t="s">
        <v>152</v>
      </c>
      <c r="B359" s="182">
        <v>0</v>
      </c>
      <c r="C359" s="183">
        <v>1000</v>
      </c>
      <c r="D359" s="184">
        <v>2000</v>
      </c>
      <c r="E359" s="184">
        <v>3000</v>
      </c>
      <c r="F359" s="185">
        <v>4000</v>
      </c>
      <c r="G359" s="98"/>
      <c r="H359" s="97"/>
      <c r="I359" s="12"/>
      <c r="J359" s="98"/>
      <c r="K359" s="97"/>
      <c r="L359" s="12"/>
      <c r="M359" s="12"/>
      <c r="N359" s="12" t="s">
        <v>152</v>
      </c>
      <c r="O359" s="182">
        <v>0</v>
      </c>
      <c r="P359" s="183">
        <v>1000</v>
      </c>
      <c r="Q359" s="184">
        <v>2000</v>
      </c>
      <c r="R359" s="184">
        <v>3000</v>
      </c>
      <c r="S359" s="185">
        <v>4000</v>
      </c>
      <c r="T359" s="98"/>
      <c r="U359" s="97"/>
      <c r="V359" s="12"/>
      <c r="W359" s="98"/>
      <c r="X359" s="97"/>
      <c r="Y359" s="12"/>
      <c r="AA359" s="12" t="s">
        <v>152</v>
      </c>
      <c r="AB359" s="182">
        <v>0</v>
      </c>
      <c r="AC359" s="183">
        <v>1000</v>
      </c>
      <c r="AD359" s="184">
        <v>2000</v>
      </c>
      <c r="AE359" s="184">
        <v>3000</v>
      </c>
      <c r="AF359" s="185">
        <v>4000</v>
      </c>
      <c r="AG359" s="98"/>
      <c r="AH359" s="97"/>
      <c r="AI359" s="12"/>
      <c r="AJ359" s="98"/>
      <c r="AK359" s="97"/>
      <c r="AL359" s="12"/>
    </row>
    <row r="360" spans="1:38" ht="15.75" customHeight="1">
      <c r="A360" s="12">
        <v>-30</v>
      </c>
      <c r="B360" s="182">
        <v>2700</v>
      </c>
      <c r="C360" s="183">
        <v>2800</v>
      </c>
      <c r="D360" s="184">
        <v>2900</v>
      </c>
      <c r="E360" s="184">
        <v>3200</v>
      </c>
      <c r="F360" s="185">
        <v>99999</v>
      </c>
      <c r="G360" s="98"/>
      <c r="H360" s="97"/>
      <c r="I360" s="12"/>
      <c r="J360" s="98"/>
      <c r="K360" s="97"/>
      <c r="L360" s="12"/>
      <c r="M360" s="12"/>
      <c r="N360" s="12">
        <v>-30</v>
      </c>
      <c r="O360" s="182"/>
      <c r="P360" s="183"/>
      <c r="Q360" s="184"/>
      <c r="R360" s="184"/>
      <c r="S360" s="185">
        <v>99999</v>
      </c>
      <c r="T360" s="98"/>
      <c r="U360" s="97"/>
      <c r="V360" s="12"/>
      <c r="W360" s="98"/>
      <c r="X360" s="97"/>
      <c r="Y360" s="12"/>
      <c r="AA360" s="12">
        <v>-30</v>
      </c>
      <c r="AB360" s="182"/>
      <c r="AC360" s="183"/>
      <c r="AD360" s="184"/>
      <c r="AE360" s="184"/>
      <c r="AF360" s="185">
        <v>99999</v>
      </c>
      <c r="AG360" s="98"/>
      <c r="AH360" s="97"/>
      <c r="AI360" s="12"/>
      <c r="AJ360" s="98"/>
      <c r="AK360" s="97"/>
      <c r="AL360" s="12"/>
    </row>
    <row r="361" spans="1:38" ht="15.75" customHeight="1">
      <c r="A361" s="12">
        <v>-20</v>
      </c>
      <c r="B361" s="256">
        <v>2800</v>
      </c>
      <c r="C361" s="178">
        <v>2980</v>
      </c>
      <c r="D361" s="12">
        <v>3100</v>
      </c>
      <c r="E361" s="12">
        <v>3400</v>
      </c>
      <c r="F361" s="255">
        <v>99999</v>
      </c>
      <c r="G361" s="98"/>
      <c r="H361" s="97"/>
      <c r="J361" s="98"/>
      <c r="K361" s="97"/>
      <c r="N361" s="12">
        <v>-20</v>
      </c>
      <c r="O361" s="256"/>
      <c r="P361" s="178"/>
      <c r="Q361" s="12"/>
      <c r="R361" s="12"/>
      <c r="S361" s="255">
        <v>99999</v>
      </c>
      <c r="T361" s="98"/>
      <c r="U361" s="97"/>
      <c r="W361" s="98"/>
      <c r="X361" s="97"/>
      <c r="AA361" s="12">
        <v>-20</v>
      </c>
      <c r="AB361" s="256"/>
      <c r="AC361" s="178"/>
      <c r="AD361" s="12"/>
      <c r="AE361" s="12"/>
      <c r="AF361" s="255">
        <v>99999</v>
      </c>
      <c r="AG361" s="98"/>
      <c r="AH361" s="97"/>
      <c r="AJ361" s="98"/>
      <c r="AK361" s="97"/>
    </row>
    <row r="362" spans="1:38" ht="15.75" customHeight="1">
      <c r="A362" s="12">
        <v>-10</v>
      </c>
      <c r="B362" s="256">
        <v>3000</v>
      </c>
      <c r="C362" s="178">
        <v>3200</v>
      </c>
      <c r="D362" s="12">
        <v>3400</v>
      </c>
      <c r="E362" s="12">
        <v>3600</v>
      </c>
      <c r="F362" s="255">
        <v>99999</v>
      </c>
      <c r="G362" s="98"/>
      <c r="H362" s="97"/>
      <c r="J362" s="98"/>
      <c r="K362" s="97"/>
      <c r="N362" s="12">
        <v>-10</v>
      </c>
      <c r="O362" s="256"/>
      <c r="P362" s="178"/>
      <c r="Q362" s="12"/>
      <c r="R362" s="12"/>
      <c r="S362" s="255">
        <v>99999</v>
      </c>
      <c r="T362" s="98"/>
      <c r="U362" s="97"/>
      <c r="W362" s="98"/>
      <c r="X362" s="97"/>
      <c r="AA362" s="12">
        <v>-10</v>
      </c>
      <c r="AB362" s="256"/>
      <c r="AC362" s="178"/>
      <c r="AD362" s="12"/>
      <c r="AE362" s="12"/>
      <c r="AF362" s="255">
        <v>99999</v>
      </c>
      <c r="AG362" s="98"/>
      <c r="AH362" s="97"/>
      <c r="AJ362" s="98"/>
      <c r="AK362" s="97"/>
    </row>
    <row r="363" spans="1:38" ht="15.75" customHeight="1">
      <c r="A363" s="12">
        <v>0</v>
      </c>
      <c r="B363" s="256">
        <v>3200</v>
      </c>
      <c r="C363" s="178">
        <v>3400</v>
      </c>
      <c r="D363" s="12">
        <v>3600</v>
      </c>
      <c r="E363" s="12">
        <v>3900</v>
      </c>
      <c r="F363" s="255">
        <v>99999</v>
      </c>
      <c r="G363" s="98"/>
      <c r="H363" s="97"/>
      <c r="J363" s="98"/>
      <c r="K363" s="97"/>
      <c r="N363" s="12">
        <v>0</v>
      </c>
      <c r="O363" s="256"/>
      <c r="P363" s="178"/>
      <c r="Q363" s="12"/>
      <c r="R363" s="12"/>
      <c r="S363" s="255">
        <v>99999</v>
      </c>
      <c r="T363" s="98"/>
      <c r="U363" s="97"/>
      <c r="W363" s="98"/>
      <c r="X363" s="97"/>
      <c r="AA363" s="12">
        <v>0</v>
      </c>
      <c r="AB363" s="256"/>
      <c r="AC363" s="178"/>
      <c r="AD363" s="12"/>
      <c r="AE363" s="12"/>
      <c r="AF363" s="255">
        <v>99999</v>
      </c>
      <c r="AG363" s="98"/>
      <c r="AH363" s="97"/>
      <c r="AJ363" s="98"/>
      <c r="AK363" s="97"/>
    </row>
    <row r="364" spans="1:38" ht="15.75" customHeight="1">
      <c r="A364" s="12">
        <v>10</v>
      </c>
      <c r="B364" s="256">
        <v>3370</v>
      </c>
      <c r="C364" s="178">
        <v>3600</v>
      </c>
      <c r="D364" s="12">
        <v>3800</v>
      </c>
      <c r="E364" s="12">
        <v>4200</v>
      </c>
      <c r="F364" s="255">
        <v>99999</v>
      </c>
      <c r="G364" s="98"/>
      <c r="H364" s="97"/>
      <c r="J364" s="98"/>
      <c r="K364" s="97"/>
      <c r="N364" s="12">
        <v>10</v>
      </c>
      <c r="O364" s="256"/>
      <c r="P364" s="178"/>
      <c r="Q364" s="12"/>
      <c r="R364" s="12"/>
      <c r="S364" s="255">
        <v>99999</v>
      </c>
      <c r="T364" s="98"/>
      <c r="U364" s="97"/>
      <c r="W364" s="98"/>
      <c r="X364" s="97"/>
      <c r="AA364" s="12">
        <v>10</v>
      </c>
      <c r="AB364" s="256"/>
      <c r="AC364" s="178"/>
      <c r="AD364" s="12"/>
      <c r="AE364" s="12"/>
      <c r="AF364" s="255">
        <v>99999</v>
      </c>
      <c r="AG364" s="98"/>
      <c r="AH364" s="97"/>
      <c r="AJ364" s="98"/>
      <c r="AK364" s="97"/>
    </row>
    <row r="365" spans="1:38" ht="15.75" customHeight="1">
      <c r="A365" s="12">
        <v>20</v>
      </c>
      <c r="B365" s="256">
        <v>3570</v>
      </c>
      <c r="C365" s="178">
        <v>3800</v>
      </c>
      <c r="D365" s="12">
        <v>4150</v>
      </c>
      <c r="E365" s="12">
        <v>4700</v>
      </c>
      <c r="F365" s="255">
        <v>99999</v>
      </c>
      <c r="G365" s="98"/>
      <c r="H365" s="97"/>
      <c r="J365" s="98"/>
      <c r="K365" s="97"/>
      <c r="N365" s="12">
        <v>20</v>
      </c>
      <c r="O365" s="256"/>
      <c r="P365" s="178"/>
      <c r="Q365" s="12"/>
      <c r="R365" s="12"/>
      <c r="S365" s="255">
        <v>99999</v>
      </c>
      <c r="T365" s="98"/>
      <c r="U365" s="97"/>
      <c r="W365" s="98"/>
      <c r="X365" s="97"/>
      <c r="AA365" s="12">
        <v>20</v>
      </c>
      <c r="AB365" s="256"/>
      <c r="AC365" s="178"/>
      <c r="AD365" s="12"/>
      <c r="AE365" s="12"/>
      <c r="AF365" s="255">
        <v>99999</v>
      </c>
      <c r="AG365" s="98"/>
      <c r="AH365" s="97"/>
      <c r="AJ365" s="98"/>
      <c r="AK365" s="97"/>
    </row>
    <row r="366" spans="1:38" ht="15.75" customHeight="1">
      <c r="A366" s="12">
        <v>30</v>
      </c>
      <c r="B366" s="256">
        <v>3800</v>
      </c>
      <c r="C366" s="178">
        <v>4200</v>
      </c>
      <c r="D366" s="12">
        <v>4600</v>
      </c>
      <c r="E366" s="12">
        <v>5300</v>
      </c>
      <c r="F366" s="255">
        <v>99999</v>
      </c>
      <c r="G366" s="98"/>
      <c r="H366" s="97"/>
      <c r="J366" s="98"/>
      <c r="K366" s="97"/>
      <c r="N366" s="12"/>
      <c r="O366" s="256"/>
      <c r="P366" s="178"/>
      <c r="Q366" s="12"/>
      <c r="R366" s="12"/>
      <c r="S366" s="255"/>
      <c r="T366" s="98"/>
      <c r="U366" s="97"/>
      <c r="W366" s="98"/>
      <c r="X366" s="97"/>
      <c r="AA366" s="12">
        <v>30</v>
      </c>
      <c r="AB366" s="256"/>
      <c r="AC366" s="178"/>
      <c r="AD366" s="12"/>
      <c r="AE366" s="12"/>
      <c r="AF366" s="255">
        <v>99999</v>
      </c>
      <c r="AG366" s="98"/>
      <c r="AH366" s="97"/>
      <c r="AJ366" s="98"/>
      <c r="AK366" s="97"/>
    </row>
    <row r="367" spans="1:38" ht="15.75" customHeight="1">
      <c r="A367" s="12">
        <v>40</v>
      </c>
      <c r="B367" s="256">
        <v>4400</v>
      </c>
      <c r="C367" s="178">
        <v>5000</v>
      </c>
      <c r="D367" s="12">
        <v>5600</v>
      </c>
      <c r="E367" s="12">
        <v>6800</v>
      </c>
      <c r="F367" s="255">
        <v>99999</v>
      </c>
      <c r="G367" s="98"/>
      <c r="H367" s="97"/>
      <c r="J367" s="98"/>
      <c r="K367" s="97"/>
      <c r="N367" s="12">
        <v>30</v>
      </c>
      <c r="O367" s="256"/>
      <c r="P367" s="178"/>
      <c r="Q367" s="12"/>
      <c r="R367" s="12"/>
      <c r="S367" s="255">
        <v>99999</v>
      </c>
      <c r="T367" s="98"/>
      <c r="U367" s="97"/>
      <c r="W367" s="98"/>
      <c r="X367" s="97"/>
      <c r="AA367" s="12">
        <v>40</v>
      </c>
      <c r="AB367" s="256"/>
      <c r="AC367" s="178"/>
      <c r="AD367" s="12"/>
      <c r="AE367" s="12"/>
      <c r="AF367" s="255">
        <v>99999</v>
      </c>
      <c r="AG367" s="98"/>
      <c r="AH367" s="97"/>
      <c r="AJ367" s="98"/>
      <c r="AK367" s="97"/>
    </row>
    <row r="368" spans="1:38" ht="15.75" customHeight="1">
      <c r="A368" s="12">
        <v>35</v>
      </c>
      <c r="B368" s="189">
        <v>99999</v>
      </c>
      <c r="C368" s="190">
        <v>99999</v>
      </c>
      <c r="D368" s="190">
        <v>99999</v>
      </c>
      <c r="E368" s="190">
        <v>99999</v>
      </c>
      <c r="F368" s="191">
        <v>99999</v>
      </c>
      <c r="G368" s="98"/>
      <c r="H368" s="97"/>
      <c r="J368" s="98"/>
      <c r="K368" s="97"/>
      <c r="N368" s="12">
        <v>35</v>
      </c>
      <c r="O368" s="189">
        <v>99999</v>
      </c>
      <c r="P368" s="190">
        <v>99999</v>
      </c>
      <c r="Q368" s="190">
        <v>99999</v>
      </c>
      <c r="R368" s="190">
        <v>99999</v>
      </c>
      <c r="S368" s="191">
        <v>99999</v>
      </c>
      <c r="T368" s="98"/>
      <c r="U368" s="97"/>
      <c r="W368" s="98"/>
      <c r="X368" s="97"/>
      <c r="AA368" s="12">
        <v>45</v>
      </c>
      <c r="AB368" s="189">
        <v>99999</v>
      </c>
      <c r="AC368" s="190">
        <v>99999</v>
      </c>
      <c r="AD368" s="190">
        <v>99999</v>
      </c>
      <c r="AE368" s="190">
        <v>99999</v>
      </c>
      <c r="AF368" s="191">
        <v>99999</v>
      </c>
      <c r="AG368" s="98"/>
      <c r="AH368" s="97"/>
      <c r="AJ368" s="98"/>
      <c r="AK368" s="97"/>
    </row>
    <row r="369" spans="1:38" ht="15.75" customHeight="1">
      <c r="B369" s="98"/>
      <c r="C369" s="97"/>
      <c r="D369" s="12"/>
      <c r="E369" s="12"/>
      <c r="F369" s="12"/>
      <c r="G369" s="2"/>
      <c r="H369" s="2"/>
      <c r="I369" s="2"/>
      <c r="J369" s="98"/>
      <c r="K369" s="97"/>
      <c r="O369" s="98"/>
      <c r="P369" s="97"/>
      <c r="Q369" s="12"/>
      <c r="R369" s="12"/>
      <c r="S369" s="12"/>
      <c r="T369" s="2"/>
      <c r="U369" s="2"/>
      <c r="V369" s="2"/>
      <c r="W369" s="98"/>
      <c r="X369" s="97"/>
      <c r="Z369" s="98"/>
      <c r="AB369" s="98"/>
      <c r="AC369" s="97"/>
      <c r="AD369" s="12"/>
      <c r="AE369" s="12"/>
      <c r="AF369" s="12"/>
      <c r="AG369" s="2"/>
      <c r="AH369" s="2"/>
      <c r="AI369" s="2"/>
      <c r="AJ369" s="98"/>
      <c r="AK369" s="97"/>
    </row>
    <row r="370" spans="1:38" ht="15.75" customHeight="1">
      <c r="B370" s="98" t="s">
        <v>79</v>
      </c>
      <c r="C370" s="97">
        <f>D355</f>
        <v>0</v>
      </c>
      <c r="D370" s="260" t="s">
        <v>136</v>
      </c>
      <c r="E370" s="304"/>
      <c r="G370" s="2"/>
      <c r="H370" s="2"/>
      <c r="I370" s="2"/>
      <c r="J370" s="98"/>
      <c r="K370" s="97"/>
      <c r="L370" s="82"/>
      <c r="O370" s="98" t="s">
        <v>79</v>
      </c>
      <c r="P370" s="97">
        <f>D355</f>
        <v>0</v>
      </c>
      <c r="Q370" s="260" t="s">
        <v>136</v>
      </c>
      <c r="R370" s="304"/>
      <c r="T370" s="2"/>
      <c r="U370" s="2"/>
      <c r="V370" s="2"/>
      <c r="W370" s="98"/>
      <c r="X370" s="97"/>
      <c r="Y370" s="82"/>
      <c r="Z370" s="98"/>
      <c r="AB370" s="98" t="s">
        <v>79</v>
      </c>
      <c r="AC370" s="97">
        <f>D355</f>
        <v>0</v>
      </c>
      <c r="AD370" s="260" t="s">
        <v>136</v>
      </c>
      <c r="AE370" s="304"/>
      <c r="AG370" s="2"/>
      <c r="AH370" s="2"/>
      <c r="AI370" s="2"/>
      <c r="AJ370" s="98"/>
      <c r="AK370" s="97"/>
      <c r="AL370" s="82"/>
    </row>
    <row r="371" spans="1:38" ht="15.75" customHeight="1">
      <c r="B371" s="73" t="s">
        <v>137</v>
      </c>
      <c r="C371" s="100">
        <f t="array" ref="C371">INDEX(B359:F359,MATCH(C370,B359:F359,1))</f>
        <v>0</v>
      </c>
      <c r="D371" s="73" t="s">
        <v>77</v>
      </c>
      <c r="E371" s="88">
        <f>MATCH(MAX(A360:A368),A360:A368,1)</f>
        <v>8</v>
      </c>
      <c r="G371" s="2"/>
      <c r="H371" s="2"/>
      <c r="I371" s="2"/>
      <c r="J371" s="73"/>
      <c r="K371" s="100"/>
      <c r="L371" s="73"/>
      <c r="M371" s="88"/>
      <c r="O371" s="73" t="s">
        <v>137</v>
      </c>
      <c r="P371" s="100">
        <f t="array" ref="P371">INDEX(O359:S359,MATCH(P370,O359:S359,1))</f>
        <v>0</v>
      </c>
      <c r="Q371" s="73" t="s">
        <v>77</v>
      </c>
      <c r="R371" s="88">
        <f>MATCH(MAX(N360:N368),N360:N368,1)</f>
        <v>9</v>
      </c>
      <c r="T371" s="2"/>
      <c r="U371" s="2"/>
      <c r="V371" s="2"/>
      <c r="W371" s="73"/>
      <c r="X371" s="100"/>
      <c r="Y371" s="73"/>
      <c r="Z371" s="73"/>
      <c r="AB371" s="73" t="s">
        <v>137</v>
      </c>
      <c r="AC371" s="100">
        <f t="array" ref="AC371">INDEX(AB359:AF359,MATCH(AC370,AB359:AF359,1))</f>
        <v>0</v>
      </c>
      <c r="AD371" s="73" t="s">
        <v>77</v>
      </c>
      <c r="AE371" s="88">
        <f>MATCH(MAX(AA360:AA368),AA360:AA368,1)</f>
        <v>9</v>
      </c>
      <c r="AG371" s="2"/>
      <c r="AH371" s="2"/>
      <c r="AI371" s="2"/>
      <c r="AJ371" s="73"/>
      <c r="AK371" s="100"/>
      <c r="AL371" s="73"/>
    </row>
    <row r="372" spans="1:38" ht="15.75" customHeight="1">
      <c r="B372" s="73" t="s">
        <v>138</v>
      </c>
      <c r="C372" s="100">
        <f t="array" ref="C372">INDEX(B359:F359,IF(MATCH(C370,B359:F359,1)&lt;E372,MATCH(C370,B359:F359,1)+1,MATCH(C370,B359:F359,1)))</f>
        <v>1000</v>
      </c>
      <c r="D372" s="73" t="s">
        <v>78</v>
      </c>
      <c r="E372" s="88">
        <f>MATCH(MAX(B359:F359),B359:F359,0)</f>
        <v>5</v>
      </c>
      <c r="G372" s="2"/>
      <c r="H372" s="2"/>
      <c r="I372" s="2"/>
      <c r="J372" s="73"/>
      <c r="K372" s="100"/>
      <c r="L372" s="73"/>
      <c r="M372" s="88"/>
      <c r="O372" s="73" t="s">
        <v>138</v>
      </c>
      <c r="P372" s="100">
        <f t="array" ref="P372">INDEX(O359:S359,IF(MATCH(P370,O359:S359,1)&lt;R372,MATCH(P370,O359:S359,1)+1,MATCH(P370,O359:S359,1)))</f>
        <v>1000</v>
      </c>
      <c r="Q372" s="73" t="s">
        <v>78</v>
      </c>
      <c r="R372" s="88">
        <f>MATCH(MAX(O359:S359),O359:S359,0)</f>
        <v>5</v>
      </c>
      <c r="T372" s="2"/>
      <c r="U372" s="2"/>
      <c r="V372" s="2"/>
      <c r="W372" s="73"/>
      <c r="X372" s="100"/>
      <c r="Y372" s="73"/>
      <c r="Z372" s="73"/>
      <c r="AB372" s="73" t="s">
        <v>138</v>
      </c>
      <c r="AC372" s="100">
        <f t="array" ref="AC372">INDEX(AB359:AF359,IF(MATCH(AC370,AB359:AF359,1)&lt;AE372,MATCH(AC370,AB359:AF359,1)+1,MATCH(AC370,AB359:AF359,1)))</f>
        <v>1000</v>
      </c>
      <c r="AD372" s="73" t="s">
        <v>78</v>
      </c>
      <c r="AE372" s="88">
        <f>MATCH(MAX(AB359:AF359),AB359:AF359,0)</f>
        <v>5</v>
      </c>
      <c r="AG372" s="2"/>
      <c r="AH372" s="2"/>
      <c r="AI372" s="2"/>
      <c r="AJ372" s="73"/>
      <c r="AK372" s="100"/>
      <c r="AL372" s="73"/>
    </row>
    <row r="373" spans="1:38" ht="15.75" customHeight="1">
      <c r="B373" s="96" t="s">
        <v>80</v>
      </c>
      <c r="C373" s="155">
        <f>D356</f>
        <v>-2</v>
      </c>
      <c r="D373" s="2"/>
      <c r="E373" s="2"/>
      <c r="G373" s="2"/>
      <c r="H373" s="2"/>
      <c r="I373" s="2"/>
      <c r="J373" s="98"/>
      <c r="K373" s="155"/>
      <c r="L373" s="2"/>
      <c r="M373" s="2"/>
      <c r="O373" s="96" t="s">
        <v>80</v>
      </c>
      <c r="P373" s="155">
        <f>D356</f>
        <v>-2</v>
      </c>
      <c r="Q373" s="2"/>
      <c r="R373" s="2"/>
      <c r="T373" s="2"/>
      <c r="U373" s="2"/>
      <c r="V373" s="2"/>
      <c r="W373" s="98"/>
      <c r="X373" s="155"/>
      <c r="Y373" s="2"/>
      <c r="Z373" s="98"/>
      <c r="AB373" s="96" t="s">
        <v>80</v>
      </c>
      <c r="AC373" s="155">
        <f>D356</f>
        <v>-2</v>
      </c>
      <c r="AD373" s="2"/>
      <c r="AE373" s="2"/>
      <c r="AG373" s="2"/>
      <c r="AH373" s="2"/>
      <c r="AI373" s="2"/>
      <c r="AJ373" s="98"/>
      <c r="AK373" s="155"/>
      <c r="AL373" s="2"/>
    </row>
    <row r="374" spans="1:38" ht="15.75" customHeight="1">
      <c r="B374" s="73" t="s">
        <v>81</v>
      </c>
      <c r="C374" s="100">
        <f t="array" ref="C374">INDEX(A360:A368,MATCH(C373,A360:A368,1))</f>
        <v>-10</v>
      </c>
      <c r="D374" s="2"/>
      <c r="E374" s="92"/>
      <c r="G374" s="2"/>
      <c r="H374" s="2"/>
      <c r="I374" s="2"/>
      <c r="J374" s="73"/>
      <c r="K374" s="100"/>
      <c r="L374" s="2"/>
      <c r="M374" s="92"/>
      <c r="O374" s="73" t="s">
        <v>81</v>
      </c>
      <c r="P374" s="100">
        <f t="array" ref="P374">INDEX(N360:N368,MATCH(P373,N360:N368,1))</f>
        <v>-10</v>
      </c>
      <c r="Q374" s="2"/>
      <c r="R374" s="92"/>
      <c r="T374" s="2"/>
      <c r="U374" s="2"/>
      <c r="V374" s="2"/>
      <c r="W374" s="73"/>
      <c r="X374" s="100"/>
      <c r="Y374" s="2"/>
      <c r="Z374" s="73"/>
      <c r="AB374" s="73" t="s">
        <v>81</v>
      </c>
      <c r="AC374" s="100">
        <f t="array" ref="AC374">INDEX(AA360:AA368,MATCH(AC373,AA360:AA368,1))</f>
        <v>-10</v>
      </c>
      <c r="AD374" s="2"/>
      <c r="AE374" s="92"/>
      <c r="AG374" s="2"/>
      <c r="AH374" s="2"/>
      <c r="AI374" s="2"/>
      <c r="AJ374" s="73"/>
      <c r="AK374" s="100"/>
      <c r="AL374" s="2"/>
    </row>
    <row r="375" spans="1:38" ht="15.75" customHeight="1">
      <c r="B375" s="73" t="s">
        <v>82</v>
      </c>
      <c r="C375" s="100">
        <f t="array" ref="C375">INDEX(A360:A368,IF(MATCH(C373,A360:A368,1)&lt;E371,MATCH(C373,A360:A368,1)+1,MATCH(C373,A360:A368,1)))</f>
        <v>0</v>
      </c>
      <c r="D375" s="2"/>
      <c r="E375" s="92"/>
      <c r="G375" s="2"/>
      <c r="H375" s="2"/>
      <c r="I375" s="2"/>
      <c r="J375" s="73"/>
      <c r="K375" s="100"/>
      <c r="L375" s="2"/>
      <c r="M375" s="92"/>
      <c r="O375" s="73" t="s">
        <v>82</v>
      </c>
      <c r="P375" s="100">
        <f t="array" ref="P375">INDEX(N360:N368,IF(MATCH(P373,N360:N368,1)&lt;R371,MATCH(P373,N360:N368,1)+1,MATCH(P373,N360:N368,1)))</f>
        <v>0</v>
      </c>
      <c r="Q375" s="2"/>
      <c r="R375" s="92"/>
      <c r="T375" s="2"/>
      <c r="U375" s="2"/>
      <c r="V375" s="2"/>
      <c r="W375" s="73"/>
      <c r="X375" s="100"/>
      <c r="Y375" s="2"/>
      <c r="Z375" s="73"/>
      <c r="AB375" s="73" t="s">
        <v>82</v>
      </c>
      <c r="AC375" s="100">
        <f t="array" ref="AC375">INDEX(AA360:AA368,IF(MATCH(AC373,AA360:AA368,1)&lt;AE371,MATCH(AC373,AA360:AA368,1)+1,MATCH(AC373,AA360:AA368,1)))</f>
        <v>0</v>
      </c>
      <c r="AD375" s="2"/>
      <c r="AE375" s="92"/>
      <c r="AG375" s="2"/>
      <c r="AH375" s="2"/>
      <c r="AI375" s="2"/>
      <c r="AJ375" s="73"/>
      <c r="AK375" s="100"/>
      <c r="AL375" s="2"/>
    </row>
    <row r="376" spans="1:38" ht="15.75" customHeight="1">
      <c r="B376" s="98" t="s">
        <v>83</v>
      </c>
      <c r="C376" s="97">
        <f t="array" ref="C376">INDEX(B360:F368,MATCH(C373,A360:A368,1),MATCH(C370,B359:F359,1))</f>
        <v>3000</v>
      </c>
      <c r="D376" s="2"/>
      <c r="E376" s="92"/>
      <c r="G376" s="2"/>
      <c r="H376" s="2"/>
      <c r="I376" s="2"/>
      <c r="J376" s="98"/>
      <c r="K376" s="97"/>
      <c r="L376" s="2"/>
      <c r="M376" s="92"/>
      <c r="O376" s="98" t="s">
        <v>83</v>
      </c>
      <c r="P376" s="97">
        <f t="array" ref="P376">INDEX(O360:S368,MATCH(P373,N360:N368,1),MATCH(P370,O359:S359,1))</f>
        <v>0</v>
      </c>
      <c r="Q376" s="2"/>
      <c r="R376" s="92"/>
      <c r="T376" s="2"/>
      <c r="U376" s="2"/>
      <c r="V376" s="2"/>
      <c r="W376" s="98"/>
      <c r="X376" s="97"/>
      <c r="Y376" s="2"/>
      <c r="Z376" s="98"/>
      <c r="AB376" s="98" t="s">
        <v>83</v>
      </c>
      <c r="AC376" s="97">
        <f t="array" ref="AC376">INDEX(AB360:AF368,MATCH(AC373,AA360:AA368,1),MATCH(AC370,AB359:AF359,1))</f>
        <v>0</v>
      </c>
      <c r="AD376" s="2"/>
      <c r="AE376" s="92"/>
      <c r="AG376" s="2"/>
      <c r="AH376" s="2"/>
      <c r="AI376" s="2"/>
      <c r="AJ376" s="98"/>
      <c r="AK376" s="97"/>
      <c r="AL376" s="2"/>
    </row>
    <row r="377" spans="1:38" ht="15.75" customHeight="1">
      <c r="B377" s="98" t="s">
        <v>139</v>
      </c>
      <c r="C377" s="97">
        <f t="array" ref="C377">INDEX(B360:F368,MATCH(C373,A360:A368,1),IF(MATCH(C370,B359:F359,1)&lt;E372,MATCH(C370,B359:F359,1)+1,MATCH(C373,A360:A368,1)))</f>
        <v>3200</v>
      </c>
      <c r="E377" s="92"/>
      <c r="G377" s="2"/>
      <c r="H377" s="2"/>
      <c r="I377" s="2"/>
      <c r="J377" s="98"/>
      <c r="K377" s="97"/>
      <c r="M377" s="92"/>
      <c r="O377" s="98" t="s">
        <v>139</v>
      </c>
      <c r="P377" s="97">
        <f t="array" ref="P377">INDEX(O360:S368,MATCH(P373,N360:N368,1),IF(MATCH(P370,O359:S359,1)&lt;R372,MATCH(P370,O359:S359,1)+1,MATCH(P373,N360:N368,1)))</f>
        <v>0</v>
      </c>
      <c r="R377" s="92"/>
      <c r="T377" s="2"/>
      <c r="U377" s="2"/>
      <c r="V377" s="2"/>
      <c r="W377" s="98"/>
      <c r="X377" s="97"/>
      <c r="Z377" s="98"/>
      <c r="AB377" s="98" t="s">
        <v>139</v>
      </c>
      <c r="AC377" s="97">
        <f t="array" ref="AC377">INDEX(AB360:AF368,MATCH(AC373,AA360:AA368,1),IF(MATCH(AC370,AB359:AF359,1)&lt;AE372,MATCH(AC370,AB359:AF359,1)+1,MATCH(AC373,AA360:AA368,1)))</f>
        <v>0</v>
      </c>
      <c r="AE377" s="92"/>
      <c r="AG377" s="2"/>
      <c r="AH377" s="2"/>
      <c r="AI377" s="2"/>
      <c r="AJ377" s="98"/>
      <c r="AK377" s="97"/>
    </row>
    <row r="378" spans="1:38" ht="15.75" customHeight="1">
      <c r="B378" s="98" t="s">
        <v>84</v>
      </c>
      <c r="C378" s="97">
        <f t="array" ref="C378">INDEX(B360:F368,IF(MATCH(C373,A360:A368,1)&lt;E371,MATCH(C373,A360:A368,1)+1,MATCH(C373,A360:A368,1)),MATCH(C370,B359:F359,1))</f>
        <v>3200</v>
      </c>
      <c r="E378" s="92"/>
      <c r="G378" s="2"/>
      <c r="H378" s="2"/>
      <c r="I378" s="2"/>
      <c r="J378" s="98"/>
      <c r="K378" s="97"/>
      <c r="M378" s="92"/>
      <c r="O378" s="98" t="s">
        <v>84</v>
      </c>
      <c r="P378" s="97">
        <f t="array" ref="P378">INDEX(O360:S368,IF(MATCH(P373,N360:N368,1)&lt;R371,MATCH(P373,N360:N368,1)+1,MATCH(P373,N360:N368,1)),MATCH(P370,O359:S359,1))</f>
        <v>0</v>
      </c>
      <c r="R378" s="92"/>
      <c r="T378" s="2"/>
      <c r="U378" s="2"/>
      <c r="V378" s="2"/>
      <c r="W378" s="98"/>
      <c r="X378" s="97"/>
      <c r="Z378" s="98"/>
      <c r="AB378" s="98" t="s">
        <v>84</v>
      </c>
      <c r="AC378" s="97">
        <f t="array" ref="AC378">INDEX(AB360:AF368,IF(MATCH(AC373,AA360:AA368,1)&lt;AE371,MATCH(AC373,AA360:AA368,1)+1,MATCH(AC373,AA360:AA368,1)),MATCH(AC370,AB359:AF359,1))</f>
        <v>0</v>
      </c>
      <c r="AE378" s="92"/>
      <c r="AG378" s="2"/>
      <c r="AH378" s="2"/>
      <c r="AI378" s="2"/>
      <c r="AJ378" s="98"/>
      <c r="AK378" s="97"/>
    </row>
    <row r="379" spans="1:38" ht="15.75" customHeight="1">
      <c r="B379" s="98" t="s">
        <v>140</v>
      </c>
      <c r="C379" s="97">
        <f t="array" ref="C379">INDEX(B360:F368,IF(MATCH(C373,A360:A368,1)&lt;E371,MATCH(C373,A360:A368,1)+1,MATCH(C373,A360:A368,1)),IF(MATCH(C370,B359:F359,1)&lt;E372,MATCH(C370,B359:F359,1)+1,MATCH(C370,B359:F359,1)))</f>
        <v>3400</v>
      </c>
      <c r="G379" s="2"/>
      <c r="H379" s="2"/>
      <c r="I379" s="2"/>
      <c r="J379" s="98"/>
      <c r="K379" s="97"/>
      <c r="O379" s="98" t="s">
        <v>140</v>
      </c>
      <c r="P379" s="97">
        <f t="array" ref="P379">INDEX(O360:S368,IF(MATCH(P373,N360:N368,1)&lt;R371,MATCH(P373,N360:N368,1)+1,MATCH(P373,N360:N368,1)),IF(MATCH(P370,O359:S359,1)&lt;R372,MATCH(P370,O359:S359,1)+1,MATCH(P370,O359:S359,1)))</f>
        <v>0</v>
      </c>
      <c r="T379" s="2"/>
      <c r="U379" s="2"/>
      <c r="V379" s="2"/>
      <c r="W379" s="98"/>
      <c r="X379" s="97"/>
      <c r="Z379" s="98"/>
      <c r="AB379" s="98" t="s">
        <v>140</v>
      </c>
      <c r="AC379" s="97">
        <f t="array" ref="AC379">INDEX(AB360:AF368,IF(MATCH(AC373,AA360:AA368,1)&lt;AE371,MATCH(AC373,AA360:AA368,1)+1,MATCH(AC373,AA360:AA368,1)),IF(MATCH(AC370,AB359:AF359,1)&lt;AE372,MATCH(AC370,AB359:AF359,1)+1,MATCH(AC370,AB359:AF359,1)))</f>
        <v>0</v>
      </c>
      <c r="AG379" s="2"/>
      <c r="AH379" s="2"/>
      <c r="AI379" s="2"/>
      <c r="AJ379" s="98"/>
      <c r="AK379" s="97"/>
    </row>
    <row r="380" spans="1:38" ht="15.75" customHeight="1">
      <c r="B380" s="73" t="s">
        <v>141</v>
      </c>
      <c r="C380" s="100">
        <f>IFERROR(C376+(C370-C371)*(C377-C376)/(C372-C371),C376)</f>
        <v>3000</v>
      </c>
      <c r="G380" s="2"/>
      <c r="H380" s="2"/>
      <c r="I380" s="2"/>
      <c r="J380" s="73"/>
      <c r="K380" s="100"/>
      <c r="O380" s="73" t="s">
        <v>141</v>
      </c>
      <c r="P380" s="100">
        <f>IFERROR(P376+(P370-P371)*(P377-P376)/(P372-P371),P376)</f>
        <v>0</v>
      </c>
      <c r="T380" s="2"/>
      <c r="U380" s="2"/>
      <c r="V380" s="2"/>
      <c r="W380" s="73"/>
      <c r="X380" s="100"/>
      <c r="Z380" s="73"/>
      <c r="AB380" s="73" t="s">
        <v>141</v>
      </c>
      <c r="AC380" s="100">
        <f>IFERROR(AC376+(AC370-AC371)*(AC377-AC376)/(AC372-AC371),AC376)</f>
        <v>0</v>
      </c>
      <c r="AG380" s="2"/>
      <c r="AH380" s="2"/>
      <c r="AI380" s="2"/>
      <c r="AJ380" s="73"/>
      <c r="AK380" s="100"/>
    </row>
    <row r="381" spans="1:38" ht="15.75" customHeight="1">
      <c r="B381" s="73" t="s">
        <v>142</v>
      </c>
      <c r="C381" s="100">
        <f>IFERROR(C378+(C370-C371)*(C379-C378)/(C372-C371),C378)</f>
        <v>3200</v>
      </c>
      <c r="G381" s="2"/>
      <c r="H381" s="2"/>
      <c r="I381" s="2"/>
      <c r="J381" s="73"/>
      <c r="K381" s="100"/>
      <c r="O381" s="73" t="s">
        <v>142</v>
      </c>
      <c r="P381" s="100">
        <f>IFERROR(P378+(P370-P371)*(P379-P378)/(P372-P371),P378)</f>
        <v>0</v>
      </c>
      <c r="T381" s="2"/>
      <c r="U381" s="2"/>
      <c r="V381" s="2"/>
      <c r="W381" s="73"/>
      <c r="X381" s="100"/>
      <c r="Z381" s="73"/>
      <c r="AB381" s="73" t="s">
        <v>142</v>
      </c>
      <c r="AC381" s="100">
        <f>IFERROR(AC378+(AC370-AC371)*(AC379-AC378)/(AC372-AC371),AC378)</f>
        <v>0</v>
      </c>
      <c r="AG381" s="2"/>
      <c r="AH381" s="2"/>
      <c r="AI381" s="2"/>
      <c r="AJ381" s="73"/>
      <c r="AK381" s="100"/>
    </row>
    <row r="382" spans="1:38" ht="15.75" customHeight="1">
      <c r="B382" s="98" t="s">
        <v>143</v>
      </c>
      <c r="C382" s="97">
        <f>IFERROR(C380+(C373-C374)*(C381-C380)/(C375-C374),C380)</f>
        <v>3160</v>
      </c>
      <c r="G382" s="2"/>
      <c r="H382" s="2"/>
      <c r="I382" s="2"/>
      <c r="J382" s="98"/>
      <c r="K382" s="97"/>
      <c r="O382" s="98" t="s">
        <v>143</v>
      </c>
      <c r="P382" s="97">
        <f>IFERROR(P380+(P373-P374)*(P381-P380)/(P375-P374),P380)</f>
        <v>0</v>
      </c>
      <c r="T382" s="2"/>
      <c r="U382" s="2"/>
      <c r="V382" s="2"/>
      <c r="W382" s="98"/>
      <c r="X382" s="97"/>
      <c r="Z382" s="98"/>
      <c r="AB382" s="98" t="s">
        <v>143</v>
      </c>
      <c r="AC382" s="97">
        <f>IFERROR(AC380+(AC373-AC374)*(AC381-AC380)/(AC375-AC374),AC380)</f>
        <v>0</v>
      </c>
      <c r="AG382" s="2"/>
      <c r="AH382" s="2"/>
      <c r="AI382" s="2"/>
      <c r="AJ382" s="98"/>
      <c r="AK382" s="97"/>
    </row>
    <row r="383" spans="1:38" ht="15.75" customHeight="1"/>
    <row r="384" spans="1:38" ht="15.75" customHeight="1">
      <c r="A384" s="12"/>
      <c r="B384" s="260" t="s">
        <v>144</v>
      </c>
      <c r="C384" s="304"/>
      <c r="D384" s="304"/>
      <c r="E384" s="304"/>
      <c r="F384" s="304"/>
      <c r="G384" s="304"/>
      <c r="H384" s="82"/>
      <c r="I384" s="82"/>
      <c r="J384" s="82"/>
      <c r="K384" s="82"/>
      <c r="L384" s="82"/>
      <c r="M384" s="82"/>
      <c r="N384" s="12"/>
      <c r="O384" s="260" t="s">
        <v>144</v>
      </c>
      <c r="P384" s="304"/>
      <c r="Q384" s="304"/>
      <c r="R384" s="304"/>
      <c r="S384" s="304"/>
      <c r="T384" s="304"/>
      <c r="U384" s="82"/>
      <c r="V384" s="82"/>
      <c r="W384" s="82"/>
      <c r="X384" s="82"/>
      <c r="Y384" s="82"/>
      <c r="AA384" s="12"/>
      <c r="AB384" s="260" t="s">
        <v>144</v>
      </c>
      <c r="AC384" s="304"/>
      <c r="AD384" s="304"/>
      <c r="AE384" s="304"/>
      <c r="AF384" s="304"/>
      <c r="AG384" s="304"/>
      <c r="AH384" s="82"/>
      <c r="AI384" s="82"/>
      <c r="AJ384" s="82"/>
      <c r="AK384" s="82"/>
      <c r="AL384" s="82"/>
    </row>
    <row r="385" spans="1:38" ht="15.75" customHeight="1">
      <c r="A385" s="12" t="s">
        <v>30</v>
      </c>
      <c r="B385" s="196">
        <v>2000</v>
      </c>
      <c r="C385" s="198">
        <v>3000</v>
      </c>
      <c r="D385" s="198">
        <v>4000</v>
      </c>
      <c r="E385" s="198">
        <v>5000</v>
      </c>
      <c r="F385" s="200">
        <v>6000</v>
      </c>
      <c r="G385" s="202">
        <v>7000</v>
      </c>
      <c r="H385" s="185">
        <v>8000</v>
      </c>
      <c r="I385" s="12"/>
      <c r="J385" s="12"/>
      <c r="K385" s="12"/>
      <c r="L385" s="12"/>
      <c r="M385" s="12"/>
      <c r="P385" s="12" t="s">
        <v>30</v>
      </c>
      <c r="Q385" s="196">
        <v>2000</v>
      </c>
      <c r="R385" s="200">
        <v>3000</v>
      </c>
      <c r="S385" s="202">
        <v>4000</v>
      </c>
      <c r="T385" s="185">
        <v>4500</v>
      </c>
      <c r="V385" s="12"/>
      <c r="W385" s="12"/>
      <c r="AD385" s="12" t="s">
        <v>30</v>
      </c>
      <c r="AE385" s="196">
        <v>4000</v>
      </c>
      <c r="AF385" s="198">
        <v>5000</v>
      </c>
      <c r="AG385" s="198">
        <v>6100</v>
      </c>
      <c r="AH385" s="198">
        <v>7200</v>
      </c>
      <c r="AI385" s="200">
        <v>8300</v>
      </c>
      <c r="AJ385" s="202">
        <v>9400</v>
      </c>
      <c r="AK385" s="185">
        <v>10000</v>
      </c>
      <c r="AL385" s="12"/>
    </row>
    <row r="386" spans="1:38" ht="15.75" customHeight="1">
      <c r="A386" s="12">
        <v>9000</v>
      </c>
      <c r="B386" s="182">
        <v>1200</v>
      </c>
      <c r="C386" s="192">
        <v>1760</v>
      </c>
      <c r="D386" s="192">
        <v>2200</v>
      </c>
      <c r="E386" s="192">
        <v>2600</v>
      </c>
      <c r="F386" s="183">
        <v>3000</v>
      </c>
      <c r="G386" s="184">
        <v>3400</v>
      </c>
      <c r="H386" s="185">
        <v>99999</v>
      </c>
      <c r="I386" s="12"/>
      <c r="J386" s="12"/>
      <c r="K386" s="12"/>
      <c r="L386" s="12"/>
      <c r="M386" s="12"/>
      <c r="P386" s="12">
        <v>10000</v>
      </c>
      <c r="Q386" s="182"/>
      <c r="R386" s="183"/>
      <c r="S386" s="184"/>
      <c r="T386" s="185">
        <v>99999</v>
      </c>
      <c r="V386" s="12"/>
      <c r="W386" s="12"/>
      <c r="AD386" s="12">
        <v>9000</v>
      </c>
      <c r="AE386" s="182"/>
      <c r="AF386" s="192"/>
      <c r="AG386" s="192"/>
      <c r="AH386" s="192"/>
      <c r="AI386" s="183"/>
      <c r="AJ386" s="184"/>
      <c r="AK386" s="185">
        <v>99999</v>
      </c>
      <c r="AL386" s="12"/>
    </row>
    <row r="387" spans="1:38" ht="15.75" customHeight="1">
      <c r="A387" s="12">
        <v>9500</v>
      </c>
      <c r="B387" s="256">
        <v>1250</v>
      </c>
      <c r="C387" s="82">
        <v>1800</v>
      </c>
      <c r="D387" s="82">
        <v>2400</v>
      </c>
      <c r="E387" s="82">
        <v>2800</v>
      </c>
      <c r="F387" s="178">
        <v>3200</v>
      </c>
      <c r="G387" s="12">
        <v>3600</v>
      </c>
      <c r="H387" s="255">
        <v>99999</v>
      </c>
      <c r="I387" s="12"/>
      <c r="J387" s="12"/>
      <c r="K387" s="12"/>
      <c r="L387" s="12"/>
      <c r="M387" s="12"/>
      <c r="P387" s="12">
        <v>11000</v>
      </c>
      <c r="Q387" s="256"/>
      <c r="R387" s="178"/>
      <c r="S387" s="12"/>
      <c r="T387" s="255">
        <v>99999</v>
      </c>
      <c r="V387" s="12"/>
      <c r="W387" s="12"/>
      <c r="AD387" s="12">
        <v>9500</v>
      </c>
      <c r="AE387" s="256"/>
      <c r="AF387" s="82"/>
      <c r="AG387" s="82"/>
      <c r="AH387" s="82"/>
      <c r="AI387" s="178"/>
      <c r="AJ387" s="12"/>
      <c r="AK387" s="255">
        <v>99999</v>
      </c>
      <c r="AL387" s="12"/>
    </row>
    <row r="388" spans="1:38" ht="15.75" customHeight="1">
      <c r="A388" s="12">
        <v>10000</v>
      </c>
      <c r="B388" s="256">
        <v>1300</v>
      </c>
      <c r="C388" s="82">
        <v>2000</v>
      </c>
      <c r="D388" s="82">
        <v>2600</v>
      </c>
      <c r="E388" s="82">
        <v>3100</v>
      </c>
      <c r="F388" s="178">
        <v>3600</v>
      </c>
      <c r="G388" s="12">
        <v>4000</v>
      </c>
      <c r="H388" s="255">
        <v>99999</v>
      </c>
      <c r="I388" s="12"/>
      <c r="J388" s="12"/>
      <c r="K388" s="12"/>
      <c r="L388" s="12"/>
      <c r="M388" s="12"/>
      <c r="P388" s="12">
        <v>12000</v>
      </c>
      <c r="Q388" s="256"/>
      <c r="R388" s="178"/>
      <c r="S388" s="12"/>
      <c r="T388" s="255">
        <v>99999</v>
      </c>
      <c r="V388" s="12"/>
      <c r="W388" s="12"/>
      <c r="AD388" s="12">
        <v>10000</v>
      </c>
      <c r="AE388" s="256"/>
      <c r="AF388" s="82"/>
      <c r="AG388" s="82"/>
      <c r="AH388" s="82"/>
      <c r="AI388" s="178"/>
      <c r="AJ388" s="12"/>
      <c r="AK388" s="255">
        <v>99999</v>
      </c>
      <c r="AL388" s="12"/>
    </row>
    <row r="389" spans="1:38" ht="15.75" customHeight="1">
      <c r="A389" s="12">
        <v>10500</v>
      </c>
      <c r="B389" s="256">
        <v>1400</v>
      </c>
      <c r="C389" s="82">
        <v>2200</v>
      </c>
      <c r="D389" s="82">
        <v>2820</v>
      </c>
      <c r="E389" s="82">
        <v>3400</v>
      </c>
      <c r="F389" s="178">
        <v>3900</v>
      </c>
      <c r="G389" s="12">
        <v>4400</v>
      </c>
      <c r="H389" s="255">
        <v>99999</v>
      </c>
      <c r="I389" s="12"/>
      <c r="J389" s="12"/>
      <c r="K389" s="12"/>
      <c r="L389" s="12"/>
      <c r="M389" s="12"/>
      <c r="P389" s="12">
        <v>13000</v>
      </c>
      <c r="Q389" s="256"/>
      <c r="R389" s="178"/>
      <c r="S389" s="12"/>
      <c r="T389" s="255">
        <v>99999</v>
      </c>
      <c r="V389" s="12"/>
      <c r="W389" s="12"/>
      <c r="AD389" s="12">
        <v>10500</v>
      </c>
      <c r="AE389" s="256"/>
      <c r="AF389" s="82"/>
      <c r="AG389" s="82"/>
      <c r="AH389" s="82"/>
      <c r="AI389" s="178"/>
      <c r="AJ389" s="12"/>
      <c r="AK389" s="255">
        <v>99999</v>
      </c>
      <c r="AL389" s="12"/>
    </row>
    <row r="390" spans="1:38" ht="15.75" customHeight="1">
      <c r="A390" s="12">
        <v>11000</v>
      </c>
      <c r="B390" s="256">
        <v>1600</v>
      </c>
      <c r="C390" s="82">
        <v>2350</v>
      </c>
      <c r="D390" s="82">
        <v>3200</v>
      </c>
      <c r="E390" s="82">
        <v>3700</v>
      </c>
      <c r="F390" s="178">
        <v>4400</v>
      </c>
      <c r="G390" s="12">
        <v>4900</v>
      </c>
      <c r="H390" s="255">
        <v>99999</v>
      </c>
      <c r="I390" s="12"/>
      <c r="J390" s="12"/>
      <c r="K390" s="12"/>
      <c r="L390" s="12"/>
      <c r="M390" s="12"/>
      <c r="P390" s="12">
        <v>14000</v>
      </c>
      <c r="Q390" s="256"/>
      <c r="R390" s="178"/>
      <c r="S390" s="12"/>
      <c r="T390" s="255">
        <v>99999</v>
      </c>
      <c r="V390" s="12"/>
      <c r="W390" s="12"/>
      <c r="AD390" s="12">
        <v>11000</v>
      </c>
      <c r="AE390" s="256"/>
      <c r="AF390" s="82"/>
      <c r="AG390" s="82"/>
      <c r="AH390" s="82"/>
      <c r="AI390" s="178"/>
      <c r="AJ390" s="12"/>
      <c r="AK390" s="255">
        <v>99999</v>
      </c>
      <c r="AL390" s="12"/>
    </row>
    <row r="391" spans="1:38" ht="15.75" customHeight="1">
      <c r="A391" s="12">
        <v>11500</v>
      </c>
      <c r="B391" s="256">
        <v>1700</v>
      </c>
      <c r="C391" s="82">
        <v>2600</v>
      </c>
      <c r="D391" s="82">
        <v>3400</v>
      </c>
      <c r="E391" s="82">
        <v>4100</v>
      </c>
      <c r="F391" s="178">
        <v>4800</v>
      </c>
      <c r="G391" s="12">
        <v>5450</v>
      </c>
      <c r="H391" s="255">
        <v>99999</v>
      </c>
      <c r="I391" s="12"/>
      <c r="J391" s="12"/>
      <c r="K391" s="12"/>
      <c r="L391" s="12"/>
      <c r="M391" s="12"/>
      <c r="P391" s="12">
        <v>15000</v>
      </c>
      <c r="Q391" s="256"/>
      <c r="R391" s="178"/>
      <c r="S391" s="12"/>
      <c r="T391" s="255">
        <v>99999</v>
      </c>
      <c r="V391" s="12"/>
      <c r="W391" s="12"/>
      <c r="AD391" s="12">
        <v>11500</v>
      </c>
      <c r="AE391" s="256"/>
      <c r="AF391" s="82"/>
      <c r="AG391" s="82"/>
      <c r="AH391" s="82"/>
      <c r="AI391" s="178"/>
      <c r="AJ391" s="12"/>
      <c r="AK391" s="255">
        <v>99999</v>
      </c>
      <c r="AL391" s="12"/>
    </row>
    <row r="392" spans="1:38" ht="15.75" customHeight="1">
      <c r="A392" s="12">
        <v>12000</v>
      </c>
      <c r="B392" s="256">
        <v>1810</v>
      </c>
      <c r="C392" s="82">
        <v>2780</v>
      </c>
      <c r="D392" s="82">
        <v>3700</v>
      </c>
      <c r="E392" s="82">
        <v>4500</v>
      </c>
      <c r="F392" s="178">
        <v>5400</v>
      </c>
      <c r="G392" s="12">
        <v>6200</v>
      </c>
      <c r="H392" s="255">
        <v>99999</v>
      </c>
      <c r="I392" s="12"/>
      <c r="J392" s="12"/>
      <c r="K392" s="12"/>
      <c r="L392" s="12"/>
      <c r="M392" s="12"/>
      <c r="P392" s="12">
        <v>16000</v>
      </c>
      <c r="Q392" s="256"/>
      <c r="R392" s="178"/>
      <c r="S392" s="12"/>
      <c r="T392" s="255">
        <v>99999</v>
      </c>
      <c r="V392" s="12"/>
      <c r="W392" s="12"/>
      <c r="AD392" s="12">
        <v>12000</v>
      </c>
      <c r="AE392" s="256"/>
      <c r="AF392" s="82"/>
      <c r="AG392" s="82"/>
      <c r="AH392" s="82"/>
      <c r="AI392" s="178"/>
      <c r="AJ392" s="12"/>
      <c r="AK392" s="255">
        <v>99999</v>
      </c>
      <c r="AL392" s="12"/>
    </row>
    <row r="393" spans="1:38" ht="15.75" customHeight="1">
      <c r="A393" s="12">
        <v>12500</v>
      </c>
      <c r="B393" s="189">
        <v>2000</v>
      </c>
      <c r="C393" s="195">
        <v>3000</v>
      </c>
      <c r="D393" s="195">
        <v>4000</v>
      </c>
      <c r="E393" s="195">
        <v>5000</v>
      </c>
      <c r="F393" s="190">
        <v>6000</v>
      </c>
      <c r="G393" s="162">
        <v>7000</v>
      </c>
      <c r="H393" s="255">
        <v>99999</v>
      </c>
      <c r="I393" s="12"/>
      <c r="J393" s="12"/>
      <c r="K393" s="12"/>
      <c r="L393" s="12"/>
      <c r="M393" s="12"/>
      <c r="P393" s="12">
        <v>16600</v>
      </c>
      <c r="Q393" s="189"/>
      <c r="R393" s="190"/>
      <c r="S393" s="162"/>
      <c r="T393" s="255">
        <v>99999</v>
      </c>
      <c r="V393" s="12"/>
      <c r="W393" s="12"/>
      <c r="AD393" s="12">
        <v>12500</v>
      </c>
      <c r="AE393" s="189"/>
      <c r="AF393" s="195"/>
      <c r="AG393" s="195"/>
      <c r="AH393" s="195"/>
      <c r="AI393" s="190"/>
      <c r="AJ393" s="162"/>
      <c r="AK393" s="255">
        <v>99999</v>
      </c>
      <c r="AL393" s="12"/>
    </row>
    <row r="394" spans="1:38" ht="15.75" customHeight="1">
      <c r="A394" s="12">
        <v>12600</v>
      </c>
      <c r="B394" s="189">
        <v>99999</v>
      </c>
      <c r="C394" s="195">
        <v>99999</v>
      </c>
      <c r="D394" s="195">
        <v>99999</v>
      </c>
      <c r="E394" s="195">
        <v>99999</v>
      </c>
      <c r="F394" s="190">
        <v>99999</v>
      </c>
      <c r="G394" s="190">
        <v>99999</v>
      </c>
      <c r="H394" s="204">
        <v>99999</v>
      </c>
      <c r="I394" s="178"/>
      <c r="J394" s="178"/>
      <c r="K394" s="178"/>
      <c r="L394" s="178"/>
      <c r="M394" s="83"/>
      <c r="P394" s="12">
        <v>16700</v>
      </c>
      <c r="Q394" s="189">
        <v>99999</v>
      </c>
      <c r="R394" s="190">
        <v>99999</v>
      </c>
      <c r="S394" s="190">
        <v>99999</v>
      </c>
      <c r="T394" s="204">
        <v>99999</v>
      </c>
      <c r="V394" s="178"/>
      <c r="W394" s="178"/>
      <c r="AD394" s="12">
        <v>12600</v>
      </c>
      <c r="AE394" s="189">
        <v>99999</v>
      </c>
      <c r="AF394" s="195">
        <v>99999</v>
      </c>
      <c r="AG394" s="195">
        <v>99999</v>
      </c>
      <c r="AH394" s="195">
        <v>99999</v>
      </c>
      <c r="AI394" s="190">
        <v>99999</v>
      </c>
      <c r="AJ394" s="190">
        <v>99999</v>
      </c>
      <c r="AK394" s="204">
        <v>99999</v>
      </c>
      <c r="AL394" s="178"/>
    </row>
    <row r="395" spans="1:38" ht="15.75" customHeight="1">
      <c r="B395" s="98"/>
      <c r="C395" s="97"/>
      <c r="D395" s="12"/>
      <c r="E395" s="12"/>
      <c r="F395" s="12"/>
      <c r="G395" s="2"/>
      <c r="H395" s="2"/>
      <c r="I395" s="2"/>
      <c r="J395" s="98"/>
      <c r="K395" s="97"/>
      <c r="L395" s="12"/>
      <c r="M395" s="12"/>
      <c r="O395" s="98"/>
      <c r="P395" s="97"/>
      <c r="Q395" s="12"/>
      <c r="R395" s="12"/>
      <c r="S395" s="12"/>
      <c r="T395" s="2"/>
      <c r="U395" s="2"/>
      <c r="V395" s="2"/>
      <c r="W395" s="98"/>
      <c r="X395" s="97"/>
      <c r="Y395" s="12"/>
      <c r="AB395" s="98"/>
      <c r="AC395" s="97"/>
      <c r="AD395" s="12"/>
      <c r="AE395" s="12"/>
      <c r="AF395" s="12"/>
      <c r="AG395" s="2"/>
      <c r="AH395" s="2"/>
      <c r="AI395" s="2"/>
      <c r="AJ395" s="98"/>
      <c r="AK395" s="97"/>
      <c r="AL395" s="12"/>
    </row>
    <row r="396" spans="1:38" ht="15.75" customHeight="1">
      <c r="B396" s="98" t="s">
        <v>79</v>
      </c>
      <c r="C396" s="97">
        <f>C382</f>
        <v>3160</v>
      </c>
      <c r="D396" s="260" t="s">
        <v>136</v>
      </c>
      <c r="E396" s="304"/>
      <c r="G396" s="2"/>
      <c r="H396" s="2"/>
      <c r="I396" s="2"/>
      <c r="J396" s="98"/>
      <c r="K396" s="97"/>
      <c r="L396" s="82"/>
      <c r="O396" s="98" t="s">
        <v>79</v>
      </c>
      <c r="P396" s="97">
        <f>P382</f>
        <v>0</v>
      </c>
      <c r="Q396" s="260" t="s">
        <v>136</v>
      </c>
      <c r="R396" s="304"/>
      <c r="T396" s="2"/>
      <c r="U396" s="2"/>
      <c r="V396" s="2"/>
      <c r="W396" s="98"/>
      <c r="X396" s="97"/>
      <c r="Y396" s="82"/>
      <c r="AB396" s="98" t="s">
        <v>79</v>
      </c>
      <c r="AC396" s="97">
        <f>AC382</f>
        <v>0</v>
      </c>
      <c r="AD396" s="260" t="s">
        <v>136</v>
      </c>
      <c r="AE396" s="304"/>
      <c r="AG396" s="2"/>
      <c r="AH396" s="2"/>
      <c r="AI396" s="2"/>
      <c r="AJ396" s="98"/>
      <c r="AK396" s="97"/>
      <c r="AL396" s="82"/>
    </row>
    <row r="397" spans="1:38" ht="15.75" customHeight="1">
      <c r="B397" s="73" t="s">
        <v>137</v>
      </c>
      <c r="C397" s="100">
        <f t="array" ref="C397">INDEX(B385:H385,MATCH(C396,B385:H385,1))</f>
        <v>3000</v>
      </c>
      <c r="D397" s="73" t="s">
        <v>77</v>
      </c>
      <c r="E397" s="88">
        <f>MATCH(MAX(A386:A394),A386:A394,1)</f>
        <v>9</v>
      </c>
      <c r="G397" s="2"/>
      <c r="H397" s="2"/>
      <c r="I397" s="2"/>
      <c r="J397" s="73"/>
      <c r="K397" s="100"/>
      <c r="L397" s="73"/>
      <c r="M397" s="88"/>
      <c r="O397" s="73" t="s">
        <v>137</v>
      </c>
      <c r="P397" s="100" t="e">
        <f t="array" ref="P397">INDEX(Q385:T385,MATCH(P396,Q385:T385,1))</f>
        <v>#N/A</v>
      </c>
      <c r="Q397" s="73" t="s">
        <v>77</v>
      </c>
      <c r="R397" s="88">
        <f>MATCH(MAX(P386:P394),P386:P394,1)</f>
        <v>9</v>
      </c>
      <c r="T397" s="2"/>
      <c r="U397" s="2"/>
      <c r="V397" s="2"/>
      <c r="W397" s="73"/>
      <c r="X397" s="100"/>
      <c r="Y397" s="73"/>
      <c r="AB397" s="73" t="s">
        <v>137</v>
      </c>
      <c r="AC397" s="100" t="e">
        <f t="array" ref="AC397">INDEX(AE385:AK385,MATCH(AC396,AE385:AK385,1))</f>
        <v>#N/A</v>
      </c>
      <c r="AD397" s="73" t="s">
        <v>77</v>
      </c>
      <c r="AE397" s="88">
        <f>MATCH(MAX(AD386:AD394),AD386:AD394,1)</f>
        <v>9</v>
      </c>
      <c r="AG397" s="2"/>
      <c r="AH397" s="2"/>
      <c r="AI397" s="2"/>
      <c r="AJ397" s="73"/>
      <c r="AK397" s="100"/>
      <c r="AL397" s="73"/>
    </row>
    <row r="398" spans="1:38" ht="15.75" customHeight="1">
      <c r="B398" s="73" t="s">
        <v>138</v>
      </c>
      <c r="C398" s="100">
        <f t="array" ref="C398">INDEX(B385:H385,IF(MATCH(C396,B385:H385,1)&lt;E398,MATCH(C396,B385:H385,1)+1,MATCH(C396,B385:H385,1)))</f>
        <v>4000</v>
      </c>
      <c r="D398" s="73" t="s">
        <v>78</v>
      </c>
      <c r="E398" s="88">
        <f>MATCH(MAX(B385:H385),B385:H385,0)</f>
        <v>7</v>
      </c>
      <c r="G398" s="2"/>
      <c r="H398" s="2"/>
      <c r="I398" s="2"/>
      <c r="J398" s="73"/>
      <c r="K398" s="100"/>
      <c r="L398" s="73"/>
      <c r="M398" s="88"/>
      <c r="O398" s="73" t="s">
        <v>138</v>
      </c>
      <c r="P398" s="100" t="e">
        <f t="array" ref="P398">INDEX(Q385:T385,IF(MATCH(P396,Q385:T385,1)&lt;R398,MATCH(P396,Q385:T385,1)+1,MATCH(P396,Q385:T385,1)))</f>
        <v>#N/A</v>
      </c>
      <c r="Q398" s="73" t="s">
        <v>78</v>
      </c>
      <c r="R398" s="88">
        <f>MATCH(MAX(Q385:T385),Q385:T385,0)</f>
        <v>4</v>
      </c>
      <c r="T398" s="2"/>
      <c r="U398" s="2"/>
      <c r="V398" s="2"/>
      <c r="W398" s="73"/>
      <c r="X398" s="100"/>
      <c r="Y398" s="73"/>
      <c r="AB398" s="73" t="s">
        <v>138</v>
      </c>
      <c r="AC398" s="100" t="e">
        <f t="array" ref="AC398">INDEX(AE385:AK385,IF(MATCH(AC396,AE385:AK385,1)&lt;AE398,MATCH(AC396,AE385:AK385,1)+1,MATCH(AC396,AE385:AK385,1)))</f>
        <v>#N/A</v>
      </c>
      <c r="AD398" s="73" t="s">
        <v>78</v>
      </c>
      <c r="AE398" s="88">
        <f>MATCH(MAX(AE385:AK385),AE385:AK385,0)</f>
        <v>7</v>
      </c>
      <c r="AG398" s="2"/>
      <c r="AH398" s="2"/>
      <c r="AI398" s="2"/>
      <c r="AJ398" s="73"/>
      <c r="AK398" s="100"/>
      <c r="AL398" s="73"/>
    </row>
    <row r="399" spans="1:38" ht="15.75" customHeight="1">
      <c r="B399" s="96" t="s">
        <v>80</v>
      </c>
      <c r="C399" s="155">
        <f>'Take-off'!$C$14</f>
        <v>11000</v>
      </c>
      <c r="D399" s="2"/>
      <c r="E399" s="2"/>
      <c r="G399" s="2"/>
      <c r="H399" s="2"/>
      <c r="I399" s="2"/>
      <c r="J399" s="98"/>
      <c r="K399" s="155"/>
      <c r="L399" s="2"/>
      <c r="M399" s="2"/>
      <c r="O399" s="96" t="s">
        <v>80</v>
      </c>
      <c r="P399" s="155">
        <f>'Take-off'!$C$14</f>
        <v>11000</v>
      </c>
      <c r="Q399" s="2"/>
      <c r="R399" s="2"/>
      <c r="T399" s="2"/>
      <c r="U399" s="2"/>
      <c r="V399" s="2"/>
      <c r="W399" s="98"/>
      <c r="X399" s="155"/>
      <c r="Y399" s="2"/>
      <c r="AB399" s="96" t="s">
        <v>80</v>
      </c>
      <c r="AC399" s="155">
        <f>'Take-off'!$C$14</f>
        <v>11000</v>
      </c>
      <c r="AD399" s="2"/>
      <c r="AE399" s="2"/>
      <c r="AG399" s="2"/>
      <c r="AH399" s="2"/>
      <c r="AI399" s="2"/>
      <c r="AJ399" s="98"/>
      <c r="AK399" s="155"/>
      <c r="AL399" s="2"/>
    </row>
    <row r="400" spans="1:38" ht="15.75" customHeight="1">
      <c r="B400" s="73" t="s">
        <v>81</v>
      </c>
      <c r="C400" s="100">
        <f t="array" ref="C400">INDEX(A386:A394,MATCH(C399,A386:A394,1))</f>
        <v>11000</v>
      </c>
      <c r="D400" s="2"/>
      <c r="E400" s="92"/>
      <c r="G400" s="2"/>
      <c r="H400" s="2"/>
      <c r="I400" s="2"/>
      <c r="J400" s="73"/>
      <c r="K400" s="100"/>
      <c r="L400" s="2"/>
      <c r="M400" s="92"/>
      <c r="O400" s="73" t="s">
        <v>81</v>
      </c>
      <c r="P400" s="100">
        <f t="array" ref="P400">INDEX(P386:P394,MATCH(P399,P386:P394,1))</f>
        <v>11000</v>
      </c>
      <c r="Q400" s="2"/>
      <c r="R400" s="92"/>
      <c r="T400" s="2"/>
      <c r="U400" s="2"/>
      <c r="V400" s="2"/>
      <c r="W400" s="73"/>
      <c r="X400" s="100"/>
      <c r="Y400" s="2"/>
      <c r="AB400" s="73" t="s">
        <v>81</v>
      </c>
      <c r="AC400" s="100">
        <f t="array" ref="AC400">INDEX(AD386:AD394,MATCH(AC399,AD386:AD394,1))</f>
        <v>11000</v>
      </c>
      <c r="AD400" s="2"/>
      <c r="AE400" s="92"/>
      <c r="AG400" s="2"/>
      <c r="AH400" s="2"/>
      <c r="AI400" s="2"/>
      <c r="AJ400" s="73"/>
      <c r="AK400" s="100"/>
      <c r="AL400" s="2"/>
    </row>
    <row r="401" spans="1:38" ht="15.75" customHeight="1">
      <c r="B401" s="73" t="s">
        <v>82</v>
      </c>
      <c r="C401" s="100">
        <f t="array" ref="C401">INDEX(A386:A394,IF(MATCH(C399,A386:A394,1)&lt;E397,MATCH(C399,A386:A394,1)+1,MATCH(C399,A386:A394,1)))</f>
        <v>11500</v>
      </c>
      <c r="D401" s="2"/>
      <c r="E401" s="92"/>
      <c r="G401" s="2"/>
      <c r="H401" s="2"/>
      <c r="I401" s="2"/>
      <c r="J401" s="73"/>
      <c r="K401" s="100"/>
      <c r="L401" s="2"/>
      <c r="M401" s="92"/>
      <c r="O401" s="73" t="s">
        <v>82</v>
      </c>
      <c r="P401" s="100">
        <f t="array" ref="P401">INDEX(P386:P394,IF(MATCH(P399,P386:P394,1)&lt;R397,MATCH(P399,P386:P394,1)+1,MATCH(P399,P386:P394,1)))</f>
        <v>12000</v>
      </c>
      <c r="Q401" s="2"/>
      <c r="R401" s="92"/>
      <c r="T401" s="2"/>
      <c r="U401" s="2"/>
      <c r="V401" s="2"/>
      <c r="W401" s="73"/>
      <c r="X401" s="100"/>
      <c r="Y401" s="2"/>
      <c r="AB401" s="73" t="s">
        <v>82</v>
      </c>
      <c r="AC401" s="100">
        <f t="array" ref="AC401">INDEX(AD386:AD394,IF(MATCH(AC399,AD386:AD394,1)&lt;AE397,MATCH(AC399,AD386:AD394,1)+1,MATCH(AC399,AD386:AD394,1)))</f>
        <v>11500</v>
      </c>
      <c r="AD401" s="2"/>
      <c r="AE401" s="92"/>
      <c r="AG401" s="2"/>
      <c r="AH401" s="2"/>
      <c r="AI401" s="2"/>
      <c r="AJ401" s="73"/>
      <c r="AK401" s="100"/>
      <c r="AL401" s="2"/>
    </row>
    <row r="402" spans="1:38" ht="15.75" customHeight="1">
      <c r="B402" s="98" t="s">
        <v>83</v>
      </c>
      <c r="C402" s="97">
        <f t="array" ref="C402">INDEX(B386:H394,MATCH(C399,A386:A394,1),MATCH(C396,B385:H385,1))</f>
        <v>2350</v>
      </c>
      <c r="D402" s="2"/>
      <c r="E402" s="92"/>
      <c r="G402" s="2"/>
      <c r="H402" s="2"/>
      <c r="I402" s="2"/>
      <c r="J402" s="98"/>
      <c r="K402" s="97"/>
      <c r="L402" s="2"/>
      <c r="M402" s="92"/>
      <c r="O402" s="98" t="s">
        <v>83</v>
      </c>
      <c r="P402" s="97" t="e">
        <f t="array" ref="P402">INDEX(Q386:T394,MATCH(P399,P386:P394,1),MATCH(P396,Q385:T385,1))</f>
        <v>#N/A</v>
      </c>
      <c r="Q402" s="2"/>
      <c r="R402" s="92"/>
      <c r="T402" s="2"/>
      <c r="U402" s="2"/>
      <c r="V402" s="2"/>
      <c r="W402" s="98"/>
      <c r="X402" s="97"/>
      <c r="Y402" s="2"/>
      <c r="AB402" s="98" t="s">
        <v>83</v>
      </c>
      <c r="AC402" s="97" t="e">
        <f t="array" ref="AC402">INDEX(AE386:AK394,MATCH(AC399,AD386:AD394,1),MATCH(AC396,AE385:AK385,1))</f>
        <v>#N/A</v>
      </c>
      <c r="AD402" s="2"/>
      <c r="AE402" s="92"/>
      <c r="AG402" s="2"/>
      <c r="AH402" s="2"/>
      <c r="AI402" s="2"/>
      <c r="AJ402" s="98"/>
      <c r="AK402" s="97"/>
      <c r="AL402" s="2"/>
    </row>
    <row r="403" spans="1:38" ht="15.75" customHeight="1">
      <c r="B403" s="98" t="s">
        <v>139</v>
      </c>
      <c r="C403" s="97">
        <f t="array" ref="C403">INDEX(B386:H394,MATCH(C399,A386:A394,1),IF(MATCH(C396,B385:H385,1)&lt;E398,MATCH(C396,B385:H385,1)+1,MATCH(C399,A386:A394,1)))</f>
        <v>3200</v>
      </c>
      <c r="E403" s="92"/>
      <c r="G403" s="2"/>
      <c r="H403" s="2"/>
      <c r="I403" s="2"/>
      <c r="J403" s="98"/>
      <c r="K403" s="97"/>
      <c r="M403" s="92"/>
      <c r="O403" s="98" t="s">
        <v>139</v>
      </c>
      <c r="P403" s="97" t="e">
        <f t="array" ref="P403">INDEX(Q386:T394,MATCH(P399,P386:P394,1),IF(MATCH(P396,Q385:T385,1)&lt;R398,MATCH(P396,Q385:T385,1)+1,MATCH(P399,P386:P394,1)))</f>
        <v>#N/A</v>
      </c>
      <c r="R403" s="92"/>
      <c r="T403" s="2"/>
      <c r="U403" s="2"/>
      <c r="V403" s="2"/>
      <c r="W403" s="98"/>
      <c r="X403" s="97"/>
      <c r="AB403" s="98" t="s">
        <v>139</v>
      </c>
      <c r="AC403" s="97" t="e">
        <f t="array" ref="AC403">INDEX(AE386:AK394,MATCH(AC399,AD386:AD394,1),IF(MATCH(AC396,AE385:AK385,1)&lt;AE398,MATCH(AC396,AE385:AK385,1)+1,MATCH(AC399,AD386:AD394,1)))</f>
        <v>#N/A</v>
      </c>
      <c r="AE403" s="92"/>
      <c r="AG403" s="2"/>
      <c r="AH403" s="2"/>
      <c r="AI403" s="2"/>
      <c r="AJ403" s="98"/>
      <c r="AK403" s="97"/>
    </row>
    <row r="404" spans="1:38" ht="15.75" customHeight="1">
      <c r="B404" s="98" t="s">
        <v>84</v>
      </c>
      <c r="C404" s="97">
        <f t="array" ref="C404">INDEX(B386:H394,IF(MATCH(C399,A386:A394,1)&lt;E397,MATCH(C399,A386:A394,1)+1,MATCH(C399,A386:A394,1)),MATCH(C396,B385:H385,1))</f>
        <v>2600</v>
      </c>
      <c r="E404" s="92"/>
      <c r="G404" s="2"/>
      <c r="H404" s="2"/>
      <c r="I404" s="2"/>
      <c r="J404" s="98"/>
      <c r="K404" s="97"/>
      <c r="M404" s="92"/>
      <c r="O404" s="98" t="s">
        <v>84</v>
      </c>
      <c r="P404" s="97" t="e">
        <f t="array" ref="P404">INDEX(Q386:T394,IF(MATCH(P399,P386:P394,1)&lt;R397,MATCH(P399,P386:P394,1)+1,MATCH(P399,P386:P394,1)),MATCH(P396,Q385:T385,1))</f>
        <v>#N/A</v>
      </c>
      <c r="R404" s="92"/>
      <c r="T404" s="2"/>
      <c r="U404" s="2"/>
      <c r="V404" s="2"/>
      <c r="W404" s="98"/>
      <c r="X404" s="97"/>
      <c r="AB404" s="98" t="s">
        <v>84</v>
      </c>
      <c r="AC404" s="97" t="e">
        <f t="array" ref="AC404">INDEX(AE386:AK394,IF(MATCH(AC399,AD386:AD394,1)&lt;AE397,MATCH(AC399,AD386:AD394,1)+1,MATCH(AC399,AD386:AD394,1)),MATCH(AC396,AE385:AK385,1))</f>
        <v>#N/A</v>
      </c>
      <c r="AE404" s="92"/>
      <c r="AG404" s="2"/>
      <c r="AH404" s="2"/>
      <c r="AI404" s="2"/>
      <c r="AJ404" s="98"/>
      <c r="AK404" s="97"/>
    </row>
    <row r="405" spans="1:38" ht="15.75" customHeight="1">
      <c r="B405" s="98" t="s">
        <v>140</v>
      </c>
      <c r="C405" s="97">
        <f t="array" ref="C405">INDEX(B386:H394,IF(MATCH(C399,A386:A394,1)&lt;E397,MATCH(C399,A386:A394,1)+1,MATCH(C399,A386:A394,1)),IF(MATCH(C396,B385:H385,1)&lt;E398,MATCH(C396,B385:H385,1)+1,MATCH(C396,B385:H385,1)))</f>
        <v>3400</v>
      </c>
      <c r="G405" s="2"/>
      <c r="H405" s="2"/>
      <c r="I405" s="2"/>
      <c r="J405" s="98"/>
      <c r="K405" s="97"/>
      <c r="O405" s="98" t="s">
        <v>140</v>
      </c>
      <c r="P405" s="97" t="e">
        <f t="array" ref="P405">INDEX(Q386:T394,IF(MATCH(P399,P386:P394,1)&lt;R397,MATCH(P399,P386:P394,1)+1,MATCH(P399,P386:P394,1)),IF(MATCH(P396,Q385:T385,1)&lt;R398,MATCH(P396,Q385:T385,1)+1,MATCH(P396,Q385:T385,1)))</f>
        <v>#N/A</v>
      </c>
      <c r="T405" s="2"/>
      <c r="U405" s="2"/>
      <c r="V405" s="2"/>
      <c r="W405" s="98"/>
      <c r="X405" s="97"/>
      <c r="AB405" s="98" t="s">
        <v>140</v>
      </c>
      <c r="AC405" s="97" t="e">
        <f t="array" ref="AC405">INDEX(AE386:AK394,IF(MATCH(AC399,AD386:AD394,1)&lt;AE397,MATCH(AC399,AD386:AD394,1)+1,MATCH(AC399,AD386:AD394,1)),IF(MATCH(AC396,AE385:AK385,1)&lt;AE398,MATCH(AC396,AE385:AK385,1)+1,MATCH(AC396,AE385:AK385,1)))</f>
        <v>#N/A</v>
      </c>
      <c r="AG405" s="2"/>
      <c r="AH405" s="2"/>
      <c r="AI405" s="2"/>
      <c r="AJ405" s="98"/>
      <c r="AK405" s="97"/>
    </row>
    <row r="406" spans="1:38" ht="15.75" customHeight="1">
      <c r="B406" s="73" t="s">
        <v>141</v>
      </c>
      <c r="C406" s="100">
        <f>IFERROR(C402+(C396-C397)*(C403-C402)/(C398-C397),C402)</f>
        <v>2486</v>
      </c>
      <c r="G406" s="2"/>
      <c r="H406" s="2"/>
      <c r="I406" s="2"/>
      <c r="J406" s="73"/>
      <c r="K406" s="100"/>
      <c r="O406" s="73" t="s">
        <v>141</v>
      </c>
      <c r="P406" s="100" t="e">
        <f>IFERROR(P402+(P396-P397)*(P403-P402)/(P398-P397),P402)</f>
        <v>#N/A</v>
      </c>
      <c r="T406" s="2"/>
      <c r="U406" s="2"/>
      <c r="V406" s="2"/>
      <c r="W406" s="73"/>
      <c r="X406" s="100"/>
      <c r="AB406" s="73" t="s">
        <v>141</v>
      </c>
      <c r="AC406" s="100" t="e">
        <f>IFERROR(AC402+(AC396-AC397)*(AC403-AC402)/(AC398-AC397),AC402)</f>
        <v>#N/A</v>
      </c>
      <c r="AG406" s="2"/>
      <c r="AH406" s="2"/>
      <c r="AI406" s="2"/>
      <c r="AJ406" s="73"/>
      <c r="AK406" s="100"/>
    </row>
    <row r="407" spans="1:38" ht="15.75" customHeight="1">
      <c r="B407" s="73" t="s">
        <v>142</v>
      </c>
      <c r="C407" s="100">
        <f>IFERROR(C404+(C396-C397)*(C405-C404)/(C398-C397),C404)</f>
        <v>2728</v>
      </c>
      <c r="G407" s="2"/>
      <c r="H407" s="2"/>
      <c r="I407" s="2"/>
      <c r="J407" s="73"/>
      <c r="K407" s="100"/>
      <c r="O407" s="73" t="s">
        <v>142</v>
      </c>
      <c r="P407" s="100" t="e">
        <f>IFERROR(P404+(P396-P397)*(P405-P404)/(P398-P397),P404)</f>
        <v>#N/A</v>
      </c>
      <c r="T407" s="2"/>
      <c r="U407" s="2"/>
      <c r="V407" s="2"/>
      <c r="W407" s="73"/>
      <c r="X407" s="100"/>
      <c r="AB407" s="73" t="s">
        <v>142</v>
      </c>
      <c r="AC407" s="100" t="e">
        <f>IFERROR(AC404+(AC396-AC397)*(AC405-AC404)/(AC398-AC397),AC404)</f>
        <v>#N/A</v>
      </c>
      <c r="AG407" s="2"/>
      <c r="AH407" s="2"/>
      <c r="AI407" s="2"/>
      <c r="AJ407" s="73"/>
      <c r="AK407" s="100"/>
    </row>
    <row r="408" spans="1:38" ht="15.75" customHeight="1">
      <c r="B408" s="98" t="s">
        <v>143</v>
      </c>
      <c r="C408" s="97">
        <f>IFERROR(C406+(C399-C400)*(C407-C406)/(C401-C400),C406)</f>
        <v>2486</v>
      </c>
      <c r="G408" s="2"/>
      <c r="H408" s="2"/>
      <c r="I408" s="2"/>
      <c r="J408" s="98"/>
      <c r="K408" s="97"/>
      <c r="O408" s="98" t="s">
        <v>143</v>
      </c>
      <c r="P408" s="97" t="e">
        <f>IFERROR(P406+(P399-P400)*(P407-P406)/(P401-P400),P406)</f>
        <v>#N/A</v>
      </c>
      <c r="T408" s="2"/>
      <c r="U408" s="2"/>
      <c r="V408" s="2"/>
      <c r="W408" s="98"/>
      <c r="X408" s="97"/>
      <c r="AB408" s="98" t="s">
        <v>143</v>
      </c>
      <c r="AC408" s="97" t="e">
        <f>IFERROR(AC406+(AC399-AC400)*(AC407-AC406)/(AC401-AC400),AC406)</f>
        <v>#N/A</v>
      </c>
      <c r="AG408" s="2"/>
      <c r="AH408" s="2"/>
      <c r="AI408" s="2"/>
      <c r="AJ408" s="98"/>
      <c r="AK408" s="97"/>
    </row>
    <row r="409" spans="1:38" ht="15.75" customHeight="1">
      <c r="J409" s="12"/>
      <c r="K409" s="12"/>
      <c r="L409" s="12"/>
      <c r="M409" s="12"/>
      <c r="W409" s="12"/>
      <c r="X409" s="12"/>
      <c r="Y409" s="12"/>
      <c r="AJ409" s="12"/>
      <c r="AK409" s="12"/>
      <c r="AL409" s="12"/>
    </row>
    <row r="410" spans="1:38" ht="15.75" customHeight="1">
      <c r="A410" s="12"/>
      <c r="B410" s="260" t="s">
        <v>145</v>
      </c>
      <c r="C410" s="304"/>
      <c r="D410" s="304"/>
      <c r="E410" s="304"/>
      <c r="F410" s="304"/>
      <c r="G410" s="304"/>
      <c r="H410" s="304"/>
      <c r="I410" s="304"/>
      <c r="J410" s="82"/>
      <c r="K410" s="82"/>
      <c r="L410" s="82"/>
      <c r="M410" s="82"/>
      <c r="N410" s="12"/>
      <c r="O410" s="260" t="s">
        <v>145</v>
      </c>
      <c r="P410" s="304"/>
      <c r="Q410" s="304"/>
      <c r="R410" s="304"/>
      <c r="S410" s="304"/>
      <c r="T410" s="304"/>
      <c r="U410" s="304"/>
      <c r="V410" s="304"/>
      <c r="W410" s="82"/>
      <c r="X410" s="82"/>
      <c r="Y410" s="82"/>
      <c r="AA410" s="12"/>
      <c r="AB410" s="260" t="s">
        <v>145</v>
      </c>
      <c r="AC410" s="304"/>
      <c r="AD410" s="304"/>
      <c r="AE410" s="304"/>
      <c r="AF410" s="304"/>
      <c r="AG410" s="304"/>
      <c r="AH410" s="304"/>
      <c r="AI410" s="304"/>
      <c r="AJ410" s="82"/>
      <c r="AK410" s="82"/>
      <c r="AL410" s="82"/>
    </row>
    <row r="411" spans="1:38" ht="15.75" customHeight="1">
      <c r="A411" s="12" t="s">
        <v>42</v>
      </c>
      <c r="B411" s="192">
        <v>2000</v>
      </c>
      <c r="C411" s="192">
        <v>3000</v>
      </c>
      <c r="D411" s="192">
        <v>4000</v>
      </c>
      <c r="E411" s="192">
        <v>5000</v>
      </c>
      <c r="F411" s="183">
        <v>6000</v>
      </c>
      <c r="G411" s="183">
        <v>7000</v>
      </c>
      <c r="H411" s="183">
        <v>8000</v>
      </c>
      <c r="I411" s="185">
        <v>9000</v>
      </c>
      <c r="J411" s="83"/>
      <c r="K411" s="83"/>
      <c r="L411" s="83"/>
      <c r="M411" s="12"/>
      <c r="N411" s="12" t="s">
        <v>42</v>
      </c>
      <c r="O411" s="182">
        <v>2000</v>
      </c>
      <c r="P411" s="192">
        <v>3000</v>
      </c>
      <c r="Q411" s="192">
        <v>4000</v>
      </c>
      <c r="R411" s="192">
        <v>5000</v>
      </c>
      <c r="S411" s="192">
        <v>6000</v>
      </c>
      <c r="T411" s="192">
        <v>7000</v>
      </c>
      <c r="U411" s="192">
        <v>8000</v>
      </c>
      <c r="V411" s="192">
        <v>9000</v>
      </c>
      <c r="W411" s="185">
        <v>10000</v>
      </c>
      <c r="AA411" s="12"/>
      <c r="AB411" s="12" t="s">
        <v>42</v>
      </c>
      <c r="AC411" s="182">
        <v>2000</v>
      </c>
      <c r="AD411" s="192">
        <v>3200</v>
      </c>
      <c r="AE411" s="192">
        <v>4300</v>
      </c>
      <c r="AF411" s="192">
        <v>5400</v>
      </c>
      <c r="AG411" s="192">
        <v>6400</v>
      </c>
      <c r="AH411" s="192">
        <v>7600</v>
      </c>
      <c r="AI411" s="192">
        <v>8600</v>
      </c>
      <c r="AJ411" s="192">
        <v>9700</v>
      </c>
      <c r="AK411" s="194">
        <v>10000</v>
      </c>
    </row>
    <row r="412" spans="1:38" ht="15.75" customHeight="1">
      <c r="A412" s="12">
        <v>-10</v>
      </c>
      <c r="B412" s="182">
        <v>2200</v>
      </c>
      <c r="C412" s="192">
        <v>3200</v>
      </c>
      <c r="D412" s="192">
        <v>4350</v>
      </c>
      <c r="E412" s="192">
        <v>5400</v>
      </c>
      <c r="F412" s="192">
        <v>6450</v>
      </c>
      <c r="G412" s="192">
        <v>7500</v>
      </c>
      <c r="H412" s="192">
        <v>8500</v>
      </c>
      <c r="I412" s="194">
        <v>99999</v>
      </c>
      <c r="J412" s="82"/>
      <c r="K412" s="82"/>
      <c r="L412" s="82"/>
      <c r="M412" s="12"/>
      <c r="N412" s="12">
        <v>-10</v>
      </c>
      <c r="O412" s="182"/>
      <c r="P412" s="192"/>
      <c r="Q412" s="192"/>
      <c r="R412" s="192"/>
      <c r="S412" s="192"/>
      <c r="T412" s="192"/>
      <c r="U412" s="192"/>
      <c r="V412" s="192"/>
      <c r="W412" s="194">
        <v>99999</v>
      </c>
      <c r="AA412" s="12"/>
      <c r="AB412" s="12">
        <v>-10</v>
      </c>
      <c r="AC412" s="182"/>
      <c r="AD412" s="192"/>
      <c r="AE412" s="192"/>
      <c r="AF412" s="192"/>
      <c r="AG412" s="192"/>
      <c r="AH412" s="192"/>
      <c r="AI412" s="192"/>
      <c r="AJ412" s="192"/>
      <c r="AK412" s="194">
        <v>99999</v>
      </c>
    </row>
    <row r="413" spans="1:38" ht="15.75" customHeight="1">
      <c r="A413" s="12">
        <v>0</v>
      </c>
      <c r="B413" s="256">
        <v>2000</v>
      </c>
      <c r="C413" s="82">
        <v>3000</v>
      </c>
      <c r="D413" s="82">
        <v>4000</v>
      </c>
      <c r="E413" s="82">
        <v>5000</v>
      </c>
      <c r="F413" s="82">
        <v>6000</v>
      </c>
      <c r="G413" s="82">
        <v>7000</v>
      </c>
      <c r="H413" s="82">
        <v>8000</v>
      </c>
      <c r="I413" s="194">
        <v>99999</v>
      </c>
      <c r="J413" s="82"/>
      <c r="K413" s="82"/>
      <c r="L413" s="82"/>
      <c r="M413" s="12"/>
      <c r="N413" s="12">
        <v>0</v>
      </c>
      <c r="O413" s="256"/>
      <c r="P413" s="82"/>
      <c r="Q413" s="82"/>
      <c r="R413" s="82"/>
      <c r="S413" s="82"/>
      <c r="T413" s="82"/>
      <c r="U413" s="82"/>
      <c r="V413" s="82"/>
      <c r="W413" s="194">
        <v>99999</v>
      </c>
      <c r="AA413" s="12"/>
      <c r="AB413" s="12">
        <v>0</v>
      </c>
      <c r="AC413" s="256"/>
      <c r="AD413" s="82"/>
      <c r="AE413" s="82"/>
      <c r="AF413" s="82"/>
      <c r="AG413" s="82"/>
      <c r="AH413" s="82"/>
      <c r="AI413" s="82"/>
      <c r="AJ413" s="82"/>
      <c r="AK413" s="257">
        <v>99999</v>
      </c>
    </row>
    <row r="414" spans="1:38" ht="15.75" customHeight="1">
      <c r="A414" s="12">
        <v>30</v>
      </c>
      <c r="B414" s="189">
        <v>1800</v>
      </c>
      <c r="C414" s="195">
        <v>2800</v>
      </c>
      <c r="D414" s="195">
        <v>3700</v>
      </c>
      <c r="E414" s="195">
        <v>4700</v>
      </c>
      <c r="F414" s="195">
        <v>5600</v>
      </c>
      <c r="G414" s="195">
        <v>6600</v>
      </c>
      <c r="H414" s="195">
        <v>7400</v>
      </c>
      <c r="I414" s="211">
        <v>99999</v>
      </c>
      <c r="J414" s="82"/>
      <c r="K414" s="82"/>
      <c r="L414" s="82"/>
      <c r="M414" s="12"/>
      <c r="N414" s="12">
        <v>30</v>
      </c>
      <c r="O414" s="189"/>
      <c r="P414" s="195"/>
      <c r="Q414" s="195"/>
      <c r="R414" s="195"/>
      <c r="S414" s="195"/>
      <c r="T414" s="195"/>
      <c r="U414" s="195"/>
      <c r="V414" s="195"/>
      <c r="W414" s="211">
        <v>99999</v>
      </c>
      <c r="AA414" s="12"/>
      <c r="AB414" s="12">
        <v>30</v>
      </c>
      <c r="AC414" s="189"/>
      <c r="AD414" s="195"/>
      <c r="AE414" s="195"/>
      <c r="AF414" s="195"/>
      <c r="AG414" s="195"/>
      <c r="AH414" s="195"/>
      <c r="AI414" s="195"/>
      <c r="AJ414" s="195"/>
      <c r="AK414" s="208">
        <v>99999</v>
      </c>
    </row>
    <row r="415" spans="1:38" ht="15.75" customHeight="1">
      <c r="B415" s="98"/>
      <c r="C415" s="97"/>
      <c r="D415" s="12"/>
      <c r="E415" s="12"/>
      <c r="F415" s="12"/>
      <c r="G415" s="2"/>
      <c r="H415" s="2"/>
      <c r="I415" s="2"/>
      <c r="J415" s="2"/>
      <c r="K415" s="2"/>
      <c r="L415" s="98"/>
      <c r="M415" s="97"/>
      <c r="Q415" s="98"/>
      <c r="R415" s="97"/>
      <c r="S415" s="12"/>
      <c r="T415" s="12"/>
      <c r="U415" s="12"/>
      <c r="V415" s="2"/>
      <c r="W415" s="2"/>
      <c r="X415" s="2"/>
      <c r="Y415" s="98"/>
      <c r="Z415" s="97"/>
      <c r="AD415" s="98"/>
      <c r="AE415" s="97"/>
      <c r="AF415" s="12"/>
      <c r="AG415" s="12"/>
      <c r="AH415" s="12"/>
      <c r="AI415" s="2"/>
      <c r="AJ415" s="2"/>
      <c r="AK415" s="2"/>
      <c r="AL415" s="98"/>
    </row>
    <row r="416" spans="1:38" ht="15.75" customHeight="1">
      <c r="B416" s="98" t="s">
        <v>79</v>
      </c>
      <c r="C416" s="97">
        <f>C408</f>
        <v>2486</v>
      </c>
      <c r="D416" s="260" t="s">
        <v>136</v>
      </c>
      <c r="E416" s="304"/>
      <c r="G416" s="2"/>
      <c r="H416" s="2"/>
      <c r="I416" s="2"/>
      <c r="J416" s="2"/>
      <c r="K416" s="2"/>
      <c r="L416" s="98"/>
      <c r="M416" s="97"/>
      <c r="N416" s="82"/>
      <c r="O416" s="98" t="s">
        <v>79</v>
      </c>
      <c r="P416" s="97" t="e">
        <f>P408</f>
        <v>#N/A</v>
      </c>
      <c r="Q416" s="260" t="s">
        <v>136</v>
      </c>
      <c r="R416" s="304"/>
      <c r="V416" s="2"/>
      <c r="W416" s="2"/>
      <c r="X416" s="2"/>
      <c r="Y416" s="98"/>
      <c r="Z416" s="97"/>
      <c r="AA416" s="82"/>
      <c r="AC416" s="98" t="s">
        <v>79</v>
      </c>
      <c r="AD416" s="97" t="e">
        <f>AC408</f>
        <v>#N/A</v>
      </c>
      <c r="AE416" s="93" t="s">
        <v>136</v>
      </c>
      <c r="AI416" s="2"/>
      <c r="AJ416" s="2"/>
      <c r="AK416" s="2"/>
      <c r="AL416" s="98"/>
    </row>
    <row r="417" spans="1:38" ht="15.75" customHeight="1">
      <c r="B417" s="73" t="s">
        <v>137</v>
      </c>
      <c r="C417" s="100">
        <f t="array" ref="C417">INDEX(B411:I411,MATCH(C416,B411:I411,1))</f>
        <v>2000</v>
      </c>
      <c r="D417" s="73" t="s">
        <v>77</v>
      </c>
      <c r="E417" s="88">
        <f>MATCH(MAX(A412:A414),A412:A414,1)</f>
        <v>3</v>
      </c>
      <c r="G417" s="2"/>
      <c r="H417" s="2"/>
      <c r="I417" s="2"/>
      <c r="J417" s="2"/>
      <c r="K417" s="2"/>
      <c r="L417" s="73"/>
      <c r="M417" s="100"/>
      <c r="N417" s="73"/>
      <c r="O417" s="73" t="s">
        <v>137</v>
      </c>
      <c r="P417" s="100" t="e">
        <f t="array" ref="P417">INDEX(O411:W411,MATCH(P416,O411:W411,1))</f>
        <v>#N/A</v>
      </c>
      <c r="Q417" s="73" t="s">
        <v>77</v>
      </c>
      <c r="R417" s="88">
        <f>MATCH(MAX(N412:N414),N412:N414,1)</f>
        <v>3</v>
      </c>
      <c r="V417" s="2"/>
      <c r="W417" s="2"/>
      <c r="X417" s="2"/>
      <c r="Y417" s="73"/>
      <c r="Z417" s="100"/>
      <c r="AA417" s="73"/>
      <c r="AC417" s="73" t="s">
        <v>137</v>
      </c>
      <c r="AD417" s="100" t="e">
        <f t="array" ref="AD417">INDEX(AC411:AK411,MATCH(AD416,AC411:AK411,1))</f>
        <v>#N/A</v>
      </c>
      <c r="AE417" s="73" t="s">
        <v>77</v>
      </c>
      <c r="AF417" s="88">
        <f>MATCH(MAX(AB412:AB414),AB412:AB414,1)</f>
        <v>3</v>
      </c>
      <c r="AI417" s="2"/>
      <c r="AJ417" s="2"/>
      <c r="AK417" s="2"/>
      <c r="AL417" s="73"/>
    </row>
    <row r="418" spans="1:38" ht="15.75" customHeight="1">
      <c r="B418" s="73" t="s">
        <v>138</v>
      </c>
      <c r="C418" s="100">
        <f t="array" ref="C418">INDEX(B411:I411,IF(MATCH(C416,B411:I411,1)&lt;E418,MATCH(C416,B411:I411,1)+1,MATCH(C416,B411:I411,1)))</f>
        <v>3000</v>
      </c>
      <c r="D418" s="73" t="s">
        <v>78</v>
      </c>
      <c r="E418" s="88">
        <f>MATCH(MAX(B411:I411),B411:I411,0)</f>
        <v>8</v>
      </c>
      <c r="G418" s="2"/>
      <c r="H418" s="2"/>
      <c r="I418" s="2"/>
      <c r="J418" s="2"/>
      <c r="K418" s="2"/>
      <c r="L418" s="73"/>
      <c r="M418" s="100"/>
      <c r="N418" s="73"/>
      <c r="O418" s="73" t="s">
        <v>138</v>
      </c>
      <c r="P418" s="100" t="e">
        <f t="array" ref="P418">INDEX(O411:W411,IF(MATCH(P416,O411:W411,1)&lt;R418,MATCH(P416,O411:W411,1)+1,MATCH(P416,O411:W411,1)))</f>
        <v>#N/A</v>
      </c>
      <c r="Q418" s="73" t="s">
        <v>78</v>
      </c>
      <c r="R418" s="88">
        <f>MATCH(MAX(O411:W411),O411:W411,0)</f>
        <v>9</v>
      </c>
      <c r="V418" s="2"/>
      <c r="W418" s="2"/>
      <c r="X418" s="2"/>
      <c r="Y418" s="73"/>
      <c r="Z418" s="100"/>
      <c r="AA418" s="73"/>
      <c r="AC418" s="73" t="s">
        <v>138</v>
      </c>
      <c r="AD418" s="100" t="e">
        <f t="array" ref="AD418">INDEX(AC411:AK411,IF(MATCH(AD416,AC411:AK411,1)&lt;AF418,MATCH(AD416,AC411:AK411,1)+1,MATCH(AD416,AC411:AK411,1)))</f>
        <v>#N/A</v>
      </c>
      <c r="AE418" s="73" t="s">
        <v>78</v>
      </c>
      <c r="AF418" s="88">
        <f>MATCH(MAX(AC411:AK411),AC411:AK411,0)</f>
        <v>9</v>
      </c>
      <c r="AI418" s="2"/>
      <c r="AJ418" s="2"/>
      <c r="AK418" s="2"/>
      <c r="AL418" s="73"/>
    </row>
    <row r="419" spans="1:38" ht="15.75" customHeight="1">
      <c r="B419" s="96" t="s">
        <v>80</v>
      </c>
      <c r="C419" s="155">
        <f>'Take-off'!$C$24</f>
        <v>0</v>
      </c>
      <c r="D419" s="2"/>
      <c r="E419" s="2"/>
      <c r="G419" s="2"/>
      <c r="H419" s="2"/>
      <c r="I419" s="2"/>
      <c r="J419" s="2"/>
      <c r="K419" s="2"/>
      <c r="L419" s="98"/>
      <c r="M419" s="155"/>
      <c r="N419" s="2"/>
      <c r="O419" s="96" t="s">
        <v>80</v>
      </c>
      <c r="P419" s="155">
        <f>'Take-off'!$C$24</f>
        <v>0</v>
      </c>
      <c r="Q419" s="2"/>
      <c r="R419" s="2"/>
      <c r="V419" s="2"/>
      <c r="W419" s="2"/>
      <c r="X419" s="2"/>
      <c r="Y419" s="98"/>
      <c r="Z419" s="155"/>
      <c r="AA419" s="2"/>
      <c r="AC419" s="96" t="s">
        <v>80</v>
      </c>
      <c r="AD419" s="155">
        <f>'Take-off'!$C$24</f>
        <v>0</v>
      </c>
      <c r="AE419" s="2"/>
      <c r="AF419" s="2"/>
      <c r="AI419" s="2"/>
      <c r="AJ419" s="2"/>
      <c r="AK419" s="2"/>
      <c r="AL419" s="98"/>
    </row>
    <row r="420" spans="1:38" ht="15.75" customHeight="1">
      <c r="B420" s="73" t="s">
        <v>81</v>
      </c>
      <c r="C420" s="100">
        <f t="array" ref="C420">INDEX(A412:A414,MATCH(C419,A412:A414,1))</f>
        <v>0</v>
      </c>
      <c r="D420" s="2"/>
      <c r="E420" s="92"/>
      <c r="G420" s="2"/>
      <c r="H420" s="2"/>
      <c r="I420" s="2"/>
      <c r="J420" s="2"/>
      <c r="K420" s="2"/>
      <c r="L420" s="73"/>
      <c r="M420" s="100"/>
      <c r="N420" s="2"/>
      <c r="O420" s="73" t="s">
        <v>81</v>
      </c>
      <c r="P420" s="100">
        <f t="array" ref="P420">INDEX(N412:N414,MATCH(P419,N412:N414,1))</f>
        <v>0</v>
      </c>
      <c r="Q420" s="2"/>
      <c r="R420" s="92"/>
      <c r="V420" s="2"/>
      <c r="W420" s="2"/>
      <c r="X420" s="2"/>
      <c r="Y420" s="73"/>
      <c r="Z420" s="100"/>
      <c r="AA420" s="2"/>
      <c r="AC420" s="73" t="s">
        <v>81</v>
      </c>
      <c r="AD420" s="100">
        <f t="array" ref="AD420">INDEX(AB412:AB414,MATCH(AD419,AB412:AB414,1))</f>
        <v>0</v>
      </c>
      <c r="AE420" s="2"/>
      <c r="AF420" s="92"/>
      <c r="AI420" s="2"/>
      <c r="AJ420" s="2"/>
      <c r="AK420" s="2"/>
      <c r="AL420" s="73"/>
    </row>
    <row r="421" spans="1:38" ht="15.75" customHeight="1">
      <c r="B421" s="73" t="s">
        <v>82</v>
      </c>
      <c r="C421" s="100">
        <f t="array" ref="C421">INDEX(A412:A414,IF(MATCH(C419,A412:A414,1)&lt;E417,MATCH(C419,A412:A414,1)+1,MATCH(C419,A412:A414,1)))</f>
        <v>30</v>
      </c>
      <c r="D421" s="2"/>
      <c r="E421" s="92"/>
      <c r="G421" s="2"/>
      <c r="H421" s="2"/>
      <c r="I421" s="2"/>
      <c r="J421" s="2"/>
      <c r="K421" s="2"/>
      <c r="L421" s="73"/>
      <c r="M421" s="100"/>
      <c r="N421" s="2"/>
      <c r="O421" s="73" t="s">
        <v>82</v>
      </c>
      <c r="P421" s="100">
        <f t="array" ref="P421">INDEX(N412:N414,IF(MATCH(P419,N412:N414,1)&lt;R417,MATCH(P419,N412:N414,1)+1,MATCH(P419,N412:N414,1)))</f>
        <v>30</v>
      </c>
      <c r="Q421" s="2"/>
      <c r="R421" s="92"/>
      <c r="V421" s="2"/>
      <c r="W421" s="2"/>
      <c r="X421" s="2"/>
      <c r="Y421" s="73"/>
      <c r="Z421" s="100"/>
      <c r="AA421" s="2"/>
      <c r="AC421" s="73" t="s">
        <v>82</v>
      </c>
      <c r="AD421" s="100">
        <f t="array" ref="AD421">INDEX(AB412:AB414,IF(MATCH(AD419,AB412:AB414,1)&lt;AF417,MATCH(AD419,AB412:AB414,1)+1,MATCH(AD419,AB412:AB414,1)))</f>
        <v>30</v>
      </c>
      <c r="AE421" s="2"/>
      <c r="AF421" s="92"/>
      <c r="AI421" s="2"/>
      <c r="AJ421" s="2"/>
      <c r="AK421" s="2"/>
      <c r="AL421" s="73"/>
    </row>
    <row r="422" spans="1:38" ht="15.75" customHeight="1">
      <c r="B422" s="98" t="s">
        <v>83</v>
      </c>
      <c r="C422" s="97">
        <f t="array" ref="C422">INDEX(B412:I414,MATCH(C419,A412:A414,1),MATCH(C416,B411:I411,1))</f>
        <v>2000</v>
      </c>
      <c r="D422" s="2"/>
      <c r="E422" s="92"/>
      <c r="G422" s="2"/>
      <c r="H422" s="2"/>
      <c r="I422" s="2"/>
      <c r="J422" s="2"/>
      <c r="K422" s="2"/>
      <c r="L422" s="98"/>
      <c r="M422" s="97"/>
      <c r="N422" s="2"/>
      <c r="O422" s="98" t="s">
        <v>83</v>
      </c>
      <c r="P422" s="97" t="e">
        <f t="array" ref="P422">INDEX(O412:W414,MATCH(P419,N412:N414,1),MATCH(P416,O411:W411,1))</f>
        <v>#N/A</v>
      </c>
      <c r="Q422" s="2"/>
      <c r="R422" s="92"/>
      <c r="V422" s="2"/>
      <c r="W422" s="2"/>
      <c r="X422" s="2"/>
      <c r="Y422" s="98"/>
      <c r="Z422" s="97"/>
      <c r="AA422" s="2"/>
      <c r="AC422" s="98" t="s">
        <v>83</v>
      </c>
      <c r="AD422" s="97" t="e">
        <f t="array" ref="AD422">INDEX(AC412:AK414,MATCH(AD419,AB412:AB414,1),MATCH(AD416,AC411:AK411,1))</f>
        <v>#N/A</v>
      </c>
      <c r="AE422" s="2"/>
      <c r="AF422" s="92"/>
      <c r="AI422" s="2"/>
      <c r="AJ422" s="2"/>
      <c r="AK422" s="2"/>
      <c r="AL422" s="98"/>
    </row>
    <row r="423" spans="1:38" ht="15.75" customHeight="1">
      <c r="B423" s="98" t="s">
        <v>139</v>
      </c>
      <c r="C423" s="97">
        <f t="array" ref="C423">INDEX(B412:I414,MATCH(C419,A412:A414,1),IF(MATCH(C416,B411:I411,1)&lt;E418,MATCH(C416,B411:I411,1)+1,MATCH(C419,A412:A414,1)))</f>
        <v>3000</v>
      </c>
      <c r="E423" s="92"/>
      <c r="G423" s="2"/>
      <c r="H423" s="2"/>
      <c r="I423" s="2"/>
      <c r="J423" s="2"/>
      <c r="K423" s="2"/>
      <c r="L423" s="98"/>
      <c r="M423" s="97"/>
      <c r="O423" s="98" t="s">
        <v>139</v>
      </c>
      <c r="P423" s="97" t="e">
        <f t="array" ref="P423">INDEX(O412:W414,MATCH(P419,N412:N414,1),IF(MATCH(P416,O411:W411,1)&lt;R418,MATCH(P416,O411:W411,1)+1,MATCH(P419,N412:N414,1)))</f>
        <v>#N/A</v>
      </c>
      <c r="R423" s="92"/>
      <c r="V423" s="2"/>
      <c r="W423" s="2"/>
      <c r="X423" s="2"/>
      <c r="Y423" s="98"/>
      <c r="Z423" s="97"/>
      <c r="AC423" s="98" t="s">
        <v>139</v>
      </c>
      <c r="AD423" s="97" t="e">
        <f t="array" ref="AD423">INDEX(AC412:AK414,MATCH(AD419,AB412:AB414,1),IF(MATCH(AD416,AC411:AK411,1)&lt;AF418,MATCH(AD416,AC411:AK411,1)+1,MATCH(AD419,AB412:AB414,1)))</f>
        <v>#N/A</v>
      </c>
      <c r="AF423" s="92"/>
      <c r="AI423" s="2"/>
      <c r="AJ423" s="2"/>
      <c r="AK423" s="2"/>
      <c r="AL423" s="98"/>
    </row>
    <row r="424" spans="1:38" ht="15.75" customHeight="1">
      <c r="B424" s="98" t="s">
        <v>84</v>
      </c>
      <c r="C424" s="97">
        <f t="array" ref="C424">INDEX(B412:I414,IF(MATCH(C419,A412:A414,1)&lt;E417,MATCH(C419,A412:A414,1)+1,MATCH(C419,A412:A414,1)),MATCH(C416,B411:I411,1))</f>
        <v>1800</v>
      </c>
      <c r="E424" s="92"/>
      <c r="G424" s="2"/>
      <c r="H424" s="2"/>
      <c r="I424" s="2"/>
      <c r="J424" s="2"/>
      <c r="K424" s="2"/>
      <c r="L424" s="98"/>
      <c r="M424" s="97"/>
      <c r="O424" s="98" t="s">
        <v>84</v>
      </c>
      <c r="P424" s="97" t="e">
        <f t="array" ref="P424">INDEX(O412:W414,IF(MATCH(P419,N412:N414,1)&lt;R417,MATCH(P419,N412:N414,1)+1,MATCH(P419,N412:N414,1)),MATCH(P416,O411:W411,1))</f>
        <v>#N/A</v>
      </c>
      <c r="R424" s="92"/>
      <c r="V424" s="2"/>
      <c r="W424" s="2"/>
      <c r="X424" s="2"/>
      <c r="Y424" s="98"/>
      <c r="Z424" s="97"/>
      <c r="AC424" s="98" t="s">
        <v>84</v>
      </c>
      <c r="AD424" s="97" t="e">
        <f t="array" ref="AD424">INDEX(AC412:AK414,IF(MATCH(AD419,AB412:AB414,1)&lt;AF417,MATCH(AD419,AB412:AB414,1)+1,MATCH(AD419,AB412:AB414,1)),MATCH(AD416,AC411:AK411,1))</f>
        <v>#N/A</v>
      </c>
      <c r="AF424" s="92"/>
      <c r="AI424" s="2"/>
      <c r="AJ424" s="2"/>
      <c r="AK424" s="2"/>
      <c r="AL424" s="98"/>
    </row>
    <row r="425" spans="1:38" ht="15.75" customHeight="1">
      <c r="B425" s="98" t="s">
        <v>140</v>
      </c>
      <c r="C425" s="97">
        <f t="array" ref="C425">INDEX(B412:I414,IF(MATCH(C419,A412:A414,1)&lt;E417,MATCH(C419,A412:A414,1)+1,MATCH(C419,A412:A414,1)),IF(MATCH(C416,B411:I411,1)&lt;E418,MATCH(C416,B411:I411,1)+1,MATCH(C416,B411:I411,1)))</f>
        <v>2800</v>
      </c>
      <c r="G425" s="2"/>
      <c r="H425" s="2"/>
      <c r="I425" s="2"/>
      <c r="J425" s="2"/>
      <c r="K425" s="2"/>
      <c r="L425" s="98"/>
      <c r="M425" s="97"/>
      <c r="O425" s="98" t="s">
        <v>140</v>
      </c>
      <c r="P425" s="97" t="e">
        <f t="array" ref="P425">INDEX(O412:W414,IF(MATCH(P419,N412:N414,1)&lt;R417,MATCH(P419,N412:N414,1)+1,MATCH(P419,N412:N414,1)),IF(MATCH(P416,O411:W411,1)&lt;R418,MATCH(P416,O411:W411,1)+1,MATCH(P416,O411:W411,1)))</f>
        <v>#N/A</v>
      </c>
      <c r="V425" s="2"/>
      <c r="W425" s="2"/>
      <c r="X425" s="2"/>
      <c r="Y425" s="98"/>
      <c r="Z425" s="97"/>
      <c r="AC425" s="98" t="s">
        <v>140</v>
      </c>
      <c r="AD425" s="97" t="e">
        <f t="array" ref="AD425">INDEX(AC412:AK414,IF(MATCH(AD419,AB412:AB414,1)&lt;AF417,MATCH(AD419,AB412:AB414,1)+1,MATCH(AD419,AB412:AB414,1)),IF(MATCH(AD416,AC411:AK411,1)&lt;AF418,MATCH(AD416,AC411:AK411,1)+1,MATCH(AD416,AC411:AK411,1)))</f>
        <v>#N/A</v>
      </c>
      <c r="AI425" s="2"/>
      <c r="AJ425" s="2"/>
      <c r="AK425" s="2"/>
      <c r="AL425" s="98"/>
    </row>
    <row r="426" spans="1:38" ht="15.75" customHeight="1">
      <c r="B426" s="73" t="s">
        <v>141</v>
      </c>
      <c r="C426" s="100">
        <f>IFERROR(C422+(C416-C417)*(C423-C422)/(C418-C417),C422)</f>
        <v>2486</v>
      </c>
      <c r="G426" s="2"/>
      <c r="H426" s="2"/>
      <c r="I426" s="2"/>
      <c r="J426" s="2"/>
      <c r="K426" s="2"/>
      <c r="L426" s="73"/>
      <c r="M426" s="100"/>
      <c r="O426" s="73" t="s">
        <v>141</v>
      </c>
      <c r="P426" s="100" t="e">
        <f>IFERROR(P422+(P416-P417)*(P423-P422)/(P418-P417),P422)</f>
        <v>#N/A</v>
      </c>
      <c r="V426" s="2"/>
      <c r="W426" s="2"/>
      <c r="X426" s="2"/>
      <c r="Y426" s="73"/>
      <c r="Z426" s="100"/>
      <c r="AC426" s="73" t="s">
        <v>141</v>
      </c>
      <c r="AD426" s="100" t="e">
        <f>IFERROR(AD422+(AD416-AD417)*(AD423-AD422)/(AD418-AD417),AD422)</f>
        <v>#N/A</v>
      </c>
      <c r="AI426" s="2"/>
      <c r="AJ426" s="2"/>
      <c r="AK426" s="2"/>
      <c r="AL426" s="73"/>
    </row>
    <row r="427" spans="1:38" ht="15.75" customHeight="1">
      <c r="B427" s="73" t="s">
        <v>142</v>
      </c>
      <c r="C427" s="100">
        <f>IFERROR(C424+(C416-C417)*(C425-C424)/(C418-C417),C424)</f>
        <v>2286</v>
      </c>
      <c r="G427" s="2"/>
      <c r="H427" s="2"/>
      <c r="I427" s="2"/>
      <c r="J427" s="2"/>
      <c r="K427" s="2"/>
      <c r="L427" s="73"/>
      <c r="M427" s="100"/>
      <c r="O427" s="73" t="s">
        <v>142</v>
      </c>
      <c r="P427" s="100" t="e">
        <f>IFERROR(P424+(P416-P417)*(P425-P424)/(P418-P417),P424)</f>
        <v>#N/A</v>
      </c>
      <c r="V427" s="2"/>
      <c r="W427" s="2"/>
      <c r="X427" s="2"/>
      <c r="Y427" s="73"/>
      <c r="Z427" s="100"/>
      <c r="AC427" s="73" t="s">
        <v>142</v>
      </c>
      <c r="AD427" s="100" t="e">
        <f>IFERROR(AD424+(AD416-AD417)*(AD425-AD424)/(AD418-AD417),AD424)</f>
        <v>#N/A</v>
      </c>
      <c r="AI427" s="2"/>
      <c r="AJ427" s="2"/>
      <c r="AK427" s="2"/>
      <c r="AL427" s="73"/>
    </row>
    <row r="428" spans="1:38" ht="15.75" customHeight="1">
      <c r="B428" s="98" t="s">
        <v>143</v>
      </c>
      <c r="C428" s="97">
        <f>IFERROR(C426+(C419-C420)*(C427-C426)/(C421-C420),C426)</f>
        <v>2486</v>
      </c>
      <c r="G428" s="2"/>
      <c r="H428" s="2"/>
      <c r="I428" s="2"/>
      <c r="J428" s="2"/>
      <c r="K428" s="2"/>
      <c r="L428" s="98"/>
      <c r="M428" s="97"/>
      <c r="O428" s="98" t="s">
        <v>143</v>
      </c>
      <c r="P428" s="97" t="e">
        <f>IFERROR(P426+(P419-P420)*(P427-P426)/(P421-P420),P426)</f>
        <v>#N/A</v>
      </c>
      <c r="V428" s="2"/>
      <c r="W428" s="2"/>
      <c r="X428" s="2"/>
      <c r="Y428" s="98"/>
      <c r="Z428" s="97"/>
      <c r="AC428" s="98" t="s">
        <v>143</v>
      </c>
      <c r="AD428" s="97" t="e">
        <f>IFERROR(AD426+(AD419-AD420)*(AD427-AD426)/(AD421-AD420),AD426)</f>
        <v>#N/A</v>
      </c>
      <c r="AI428" s="2"/>
      <c r="AJ428" s="2"/>
      <c r="AK428" s="2"/>
      <c r="AL428" s="98"/>
    </row>
    <row r="429" spans="1:38" ht="15.75" customHeight="1"/>
    <row r="430" spans="1:38" ht="15.75" customHeight="1">
      <c r="A430" s="77"/>
      <c r="B430" s="73" t="s">
        <v>130</v>
      </c>
      <c r="C430" s="98" t="s">
        <v>79</v>
      </c>
      <c r="D430" s="180">
        <f>IF('Take-off'!$C$9="",'Take-off'!$C$16,MAX(0,'Take-off'!$C$16+30*(1013-'Take-off'!$C$9)))</f>
        <v>0</v>
      </c>
      <c r="E430" s="253"/>
      <c r="F430" s="253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</row>
    <row r="431" spans="1:38" ht="15.75" customHeight="1">
      <c r="A431" s="77"/>
      <c r="B431" s="73" t="s">
        <v>132</v>
      </c>
      <c r="C431" s="96" t="s">
        <v>80</v>
      </c>
      <c r="D431" s="180">
        <f>IF('Take-off'!C13='Dropdown lists'!B30, 'Take-off'!$C$8, 'Take-off'!$C$8)</f>
        <v>-2</v>
      </c>
      <c r="E431" s="181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</row>
    <row r="432" spans="1:38" ht="15.75" customHeight="1">
      <c r="A432" s="77"/>
      <c r="B432" s="261" t="s">
        <v>71</v>
      </c>
      <c r="C432" s="304"/>
      <c r="D432" s="304"/>
      <c r="E432" s="304"/>
      <c r="F432" s="304"/>
      <c r="G432" s="304"/>
      <c r="H432" s="304"/>
      <c r="I432" s="304"/>
      <c r="J432" s="304"/>
      <c r="K432" s="304"/>
      <c r="L432" s="304"/>
      <c r="M432" s="77"/>
      <c r="N432" s="77"/>
      <c r="O432" s="261" t="s">
        <v>149</v>
      </c>
      <c r="P432" s="304"/>
      <c r="Q432" s="304"/>
      <c r="R432" s="304"/>
      <c r="S432" s="304"/>
      <c r="T432" s="304"/>
      <c r="U432" s="304"/>
      <c r="V432" s="304"/>
      <c r="W432" s="304"/>
      <c r="X432" s="304"/>
      <c r="Y432" s="304"/>
      <c r="Z432" s="77"/>
      <c r="AA432" s="77"/>
      <c r="AB432" s="261" t="s">
        <v>150</v>
      </c>
      <c r="AC432" s="304"/>
      <c r="AD432" s="304"/>
      <c r="AE432" s="304"/>
      <c r="AF432" s="304"/>
      <c r="AG432" s="304"/>
      <c r="AH432" s="304"/>
      <c r="AI432" s="304"/>
      <c r="AJ432" s="304"/>
      <c r="AK432" s="304"/>
      <c r="AL432" s="304"/>
    </row>
    <row r="433" spans="1:38" ht="15.75" customHeight="1">
      <c r="A433" s="12"/>
      <c r="B433" s="262" t="s">
        <v>151</v>
      </c>
      <c r="C433" s="303"/>
      <c r="D433" s="303"/>
      <c r="E433" s="303"/>
      <c r="F433" s="303"/>
      <c r="G433" s="82"/>
      <c r="H433" s="82"/>
      <c r="I433" s="82"/>
      <c r="J433" s="82"/>
      <c r="K433" s="82"/>
      <c r="L433" s="82"/>
      <c r="M433" s="82"/>
      <c r="N433" s="12"/>
      <c r="O433" s="262" t="s">
        <v>151</v>
      </c>
      <c r="P433" s="303"/>
      <c r="Q433" s="303"/>
      <c r="R433" s="303"/>
      <c r="S433" s="303"/>
      <c r="T433" s="82"/>
      <c r="U433" s="82"/>
      <c r="V433" s="82"/>
      <c r="W433" s="82"/>
      <c r="X433" s="82"/>
      <c r="Y433" s="82"/>
      <c r="Z433" s="98"/>
      <c r="AA433" s="12"/>
      <c r="AB433" s="262" t="s">
        <v>151</v>
      </c>
      <c r="AC433" s="303"/>
      <c r="AD433" s="303"/>
      <c r="AE433" s="303"/>
      <c r="AF433" s="303"/>
      <c r="AG433" s="82"/>
      <c r="AH433" s="82"/>
      <c r="AI433" s="82"/>
      <c r="AJ433" s="82"/>
      <c r="AK433" s="82"/>
      <c r="AL433" s="82"/>
    </row>
    <row r="434" spans="1:38" ht="15.75" customHeight="1">
      <c r="A434" s="12" t="s">
        <v>152</v>
      </c>
      <c r="B434" s="182">
        <v>0</v>
      </c>
      <c r="C434" s="183">
        <v>1000</v>
      </c>
      <c r="D434" s="184">
        <v>2000</v>
      </c>
      <c r="E434" s="184">
        <v>3000</v>
      </c>
      <c r="F434" s="185">
        <v>4000</v>
      </c>
      <c r="G434" s="98"/>
      <c r="H434" s="97"/>
      <c r="I434" s="12"/>
      <c r="J434" s="98"/>
      <c r="K434" s="97"/>
      <c r="L434" s="12"/>
      <c r="M434" s="12"/>
      <c r="N434" s="12" t="s">
        <v>152</v>
      </c>
      <c r="O434" s="182">
        <v>0</v>
      </c>
      <c r="P434" s="183">
        <v>1000</v>
      </c>
      <c r="Q434" s="184">
        <v>2000</v>
      </c>
      <c r="R434" s="184">
        <v>3000</v>
      </c>
      <c r="S434" s="185">
        <v>4000</v>
      </c>
      <c r="T434" s="98"/>
      <c r="U434" s="97"/>
      <c r="V434" s="12"/>
      <c r="W434" s="98"/>
      <c r="X434" s="97"/>
      <c r="Y434" s="12"/>
      <c r="AA434" s="12" t="s">
        <v>152</v>
      </c>
      <c r="AB434" s="182">
        <v>0</v>
      </c>
      <c r="AC434" s="183">
        <v>1000</v>
      </c>
      <c r="AD434" s="184">
        <v>2000</v>
      </c>
      <c r="AE434" s="184">
        <v>3000</v>
      </c>
      <c r="AF434" s="185">
        <v>4000</v>
      </c>
      <c r="AG434" s="98"/>
      <c r="AH434" s="97"/>
      <c r="AI434" s="12"/>
      <c r="AJ434" s="98"/>
      <c r="AK434" s="97"/>
      <c r="AL434" s="12"/>
    </row>
    <row r="435" spans="1:38" ht="15.75" customHeight="1">
      <c r="A435" s="12">
        <v>-30</v>
      </c>
      <c r="B435" s="182">
        <v>2800</v>
      </c>
      <c r="C435" s="183">
        <v>2900</v>
      </c>
      <c r="D435" s="184">
        <v>3000</v>
      </c>
      <c r="E435" s="184">
        <v>3120</v>
      </c>
      <c r="F435" s="185">
        <v>99999</v>
      </c>
      <c r="G435" s="98"/>
      <c r="H435" s="97"/>
      <c r="I435" s="12"/>
      <c r="J435" s="98"/>
      <c r="K435" s="97"/>
      <c r="L435" s="12"/>
      <c r="M435" s="12"/>
      <c r="N435" s="12">
        <v>-30</v>
      </c>
      <c r="O435" s="182"/>
      <c r="P435" s="183"/>
      <c r="Q435" s="184"/>
      <c r="R435" s="184"/>
      <c r="S435" s="185">
        <v>99999</v>
      </c>
      <c r="T435" s="98"/>
      <c r="U435" s="97"/>
      <c r="V435" s="12"/>
      <c r="W435" s="98"/>
      <c r="X435" s="97"/>
      <c r="Y435" s="12"/>
      <c r="AA435" s="12">
        <v>-30</v>
      </c>
      <c r="AB435" s="182"/>
      <c r="AC435" s="183"/>
      <c r="AD435" s="184"/>
      <c r="AE435" s="184"/>
      <c r="AF435" s="185">
        <v>99999</v>
      </c>
      <c r="AG435" s="98"/>
      <c r="AH435" s="97"/>
      <c r="AI435" s="12"/>
      <c r="AJ435" s="98"/>
      <c r="AK435" s="97"/>
      <c r="AL435" s="12"/>
    </row>
    <row r="436" spans="1:38" ht="15.75" customHeight="1">
      <c r="A436" s="12">
        <v>-20</v>
      </c>
      <c r="B436" s="256">
        <v>2800</v>
      </c>
      <c r="C436" s="178">
        <v>2900</v>
      </c>
      <c r="D436" s="12">
        <v>3050</v>
      </c>
      <c r="E436" s="12">
        <v>3200</v>
      </c>
      <c r="F436" s="255">
        <v>99999</v>
      </c>
      <c r="G436" s="98"/>
      <c r="H436" s="97"/>
      <c r="J436" s="98"/>
      <c r="K436" s="97"/>
      <c r="N436" s="12">
        <v>-20</v>
      </c>
      <c r="O436" s="256"/>
      <c r="P436" s="178"/>
      <c r="Q436" s="12"/>
      <c r="R436" s="12"/>
      <c r="S436" s="255">
        <v>99999</v>
      </c>
      <c r="T436" s="98"/>
      <c r="U436" s="97"/>
      <c r="W436" s="98"/>
      <c r="X436" s="97"/>
      <c r="AA436" s="12">
        <v>-20</v>
      </c>
      <c r="AB436" s="256"/>
      <c r="AC436" s="178"/>
      <c r="AD436" s="12"/>
      <c r="AE436" s="12"/>
      <c r="AF436" s="255">
        <v>99999</v>
      </c>
      <c r="AG436" s="98"/>
      <c r="AH436" s="97"/>
      <c r="AJ436" s="98"/>
      <c r="AK436" s="97"/>
    </row>
    <row r="437" spans="1:38" ht="15.75" customHeight="1">
      <c r="A437" s="12">
        <v>-10</v>
      </c>
      <c r="B437" s="256">
        <v>2900</v>
      </c>
      <c r="C437" s="178">
        <v>3100</v>
      </c>
      <c r="D437" s="12">
        <v>3200</v>
      </c>
      <c r="E437" s="12">
        <v>3310</v>
      </c>
      <c r="F437" s="255">
        <v>99999</v>
      </c>
      <c r="G437" s="98"/>
      <c r="H437" s="97"/>
      <c r="J437" s="98"/>
      <c r="K437" s="97"/>
      <c r="N437" s="12">
        <v>-10</v>
      </c>
      <c r="O437" s="256"/>
      <c r="P437" s="178"/>
      <c r="Q437" s="12"/>
      <c r="R437" s="12"/>
      <c r="S437" s="255">
        <v>99999</v>
      </c>
      <c r="T437" s="98"/>
      <c r="U437" s="97"/>
      <c r="W437" s="98"/>
      <c r="X437" s="97"/>
      <c r="AA437" s="12">
        <v>-10</v>
      </c>
      <c r="AB437" s="256"/>
      <c r="AC437" s="178"/>
      <c r="AD437" s="12"/>
      <c r="AE437" s="12"/>
      <c r="AF437" s="255">
        <v>99999</v>
      </c>
      <c r="AG437" s="98"/>
      <c r="AH437" s="97"/>
      <c r="AJ437" s="98"/>
      <c r="AK437" s="97"/>
    </row>
    <row r="438" spans="1:38" ht="15.75" customHeight="1">
      <c r="A438" s="12">
        <v>0</v>
      </c>
      <c r="B438" s="256">
        <v>3075</v>
      </c>
      <c r="C438" s="178">
        <v>3200</v>
      </c>
      <c r="D438" s="12">
        <v>3300</v>
      </c>
      <c r="E438" s="12">
        <v>3490</v>
      </c>
      <c r="F438" s="255">
        <v>99999</v>
      </c>
      <c r="G438" s="98"/>
      <c r="H438" s="97"/>
      <c r="J438" s="98"/>
      <c r="K438" s="97"/>
      <c r="N438" s="12">
        <v>0</v>
      </c>
      <c r="O438" s="256"/>
      <c r="P438" s="178"/>
      <c r="Q438" s="12"/>
      <c r="R438" s="12"/>
      <c r="S438" s="255">
        <v>99999</v>
      </c>
      <c r="T438" s="98"/>
      <c r="U438" s="97"/>
      <c r="W438" s="98"/>
      <c r="X438" s="97"/>
      <c r="AA438" s="12">
        <v>0</v>
      </c>
      <c r="AB438" s="256"/>
      <c r="AC438" s="178"/>
      <c r="AD438" s="12"/>
      <c r="AE438" s="12"/>
      <c r="AF438" s="255">
        <v>99999</v>
      </c>
      <c r="AG438" s="98"/>
      <c r="AH438" s="97"/>
      <c r="AJ438" s="98"/>
      <c r="AK438" s="97"/>
    </row>
    <row r="439" spans="1:38" ht="15.75" customHeight="1">
      <c r="A439" s="12">
        <v>10</v>
      </c>
      <c r="B439" s="256">
        <v>3200</v>
      </c>
      <c r="C439" s="178">
        <v>3350</v>
      </c>
      <c r="D439" s="12">
        <v>3450</v>
      </c>
      <c r="E439" s="12">
        <v>3650</v>
      </c>
      <c r="F439" s="255">
        <v>99999</v>
      </c>
      <c r="G439" s="98"/>
      <c r="H439" s="97"/>
      <c r="J439" s="98"/>
      <c r="K439" s="97"/>
      <c r="N439" s="12">
        <v>10</v>
      </c>
      <c r="O439" s="256"/>
      <c r="P439" s="178"/>
      <c r="Q439" s="12"/>
      <c r="R439" s="12"/>
      <c r="S439" s="255">
        <v>99999</v>
      </c>
      <c r="T439" s="98"/>
      <c r="U439" s="97"/>
      <c r="W439" s="98"/>
      <c r="X439" s="97"/>
      <c r="AA439" s="12">
        <v>10</v>
      </c>
      <c r="AB439" s="256"/>
      <c r="AC439" s="178"/>
      <c r="AD439" s="12"/>
      <c r="AE439" s="12"/>
      <c r="AF439" s="255">
        <v>99999</v>
      </c>
      <c r="AG439" s="98"/>
      <c r="AH439" s="97"/>
      <c r="AJ439" s="98"/>
      <c r="AK439" s="97"/>
    </row>
    <row r="440" spans="1:38" ht="15.75" customHeight="1">
      <c r="A440" s="12">
        <v>20</v>
      </c>
      <c r="B440" s="256">
        <v>3300</v>
      </c>
      <c r="C440" s="178">
        <v>3480</v>
      </c>
      <c r="D440" s="12">
        <v>3600</v>
      </c>
      <c r="E440" s="12">
        <v>3800</v>
      </c>
      <c r="F440" s="255">
        <v>99999</v>
      </c>
      <c r="G440" s="98"/>
      <c r="H440" s="97"/>
      <c r="J440" s="98"/>
      <c r="K440" s="97"/>
      <c r="N440" s="12">
        <v>20</v>
      </c>
      <c r="O440" s="256"/>
      <c r="P440" s="178"/>
      <c r="Q440" s="12"/>
      <c r="R440" s="12"/>
      <c r="S440" s="255">
        <v>99999</v>
      </c>
      <c r="T440" s="98"/>
      <c r="U440" s="97"/>
      <c r="W440" s="98"/>
      <c r="X440" s="97"/>
      <c r="AA440" s="12">
        <v>20</v>
      </c>
      <c r="AB440" s="256"/>
      <c r="AC440" s="178"/>
      <c r="AD440" s="12"/>
      <c r="AE440" s="12"/>
      <c r="AF440" s="255">
        <v>99999</v>
      </c>
      <c r="AG440" s="98"/>
      <c r="AH440" s="97"/>
      <c r="AJ440" s="98"/>
      <c r="AK440" s="97"/>
    </row>
    <row r="441" spans="1:38" ht="15.75" customHeight="1">
      <c r="A441" s="12">
        <v>30</v>
      </c>
      <c r="B441" s="256">
        <v>3450</v>
      </c>
      <c r="C441" s="178">
        <v>3650</v>
      </c>
      <c r="D441" s="12">
        <v>3800</v>
      </c>
      <c r="E441" s="12">
        <v>4050</v>
      </c>
      <c r="F441" s="255">
        <v>99999</v>
      </c>
      <c r="G441" s="98"/>
      <c r="H441" s="97"/>
      <c r="J441" s="98"/>
      <c r="K441" s="97"/>
      <c r="N441" s="12"/>
      <c r="O441" s="256"/>
      <c r="P441" s="178"/>
      <c r="Q441" s="12"/>
      <c r="R441" s="12"/>
      <c r="S441" s="255"/>
      <c r="T441" s="98"/>
      <c r="U441" s="97"/>
      <c r="W441" s="98"/>
      <c r="X441" s="97"/>
      <c r="AA441" s="12">
        <v>30</v>
      </c>
      <c r="AB441" s="256"/>
      <c r="AC441" s="178"/>
      <c r="AD441" s="12"/>
      <c r="AE441" s="12"/>
      <c r="AF441" s="255">
        <v>99999</v>
      </c>
      <c r="AG441" s="98"/>
      <c r="AH441" s="97"/>
      <c r="AJ441" s="98"/>
      <c r="AK441" s="97"/>
    </row>
    <row r="442" spans="1:38" ht="15.75" customHeight="1">
      <c r="A442" s="12">
        <v>40</v>
      </c>
      <c r="B442" s="256">
        <v>3650</v>
      </c>
      <c r="C442" s="178">
        <v>3850</v>
      </c>
      <c r="D442" s="12">
        <v>4100</v>
      </c>
      <c r="E442" s="12">
        <v>4350</v>
      </c>
      <c r="F442" s="255">
        <v>99999</v>
      </c>
      <c r="G442" s="98"/>
      <c r="H442" s="97"/>
      <c r="J442" s="98"/>
      <c r="K442" s="97"/>
      <c r="N442" s="12">
        <v>30</v>
      </c>
      <c r="O442" s="256"/>
      <c r="P442" s="178"/>
      <c r="Q442" s="12"/>
      <c r="R442" s="12"/>
      <c r="S442" s="255">
        <v>99999</v>
      </c>
      <c r="T442" s="98"/>
      <c r="U442" s="97"/>
      <c r="W442" s="98"/>
      <c r="X442" s="97"/>
      <c r="AA442" s="12">
        <v>40</v>
      </c>
      <c r="AB442" s="256"/>
      <c r="AC442" s="178"/>
      <c r="AD442" s="12"/>
      <c r="AE442" s="12"/>
      <c r="AF442" s="255">
        <v>99999</v>
      </c>
      <c r="AG442" s="98"/>
      <c r="AH442" s="97"/>
      <c r="AJ442" s="98"/>
      <c r="AK442" s="97"/>
    </row>
    <row r="443" spans="1:38" ht="15.75" customHeight="1">
      <c r="A443" s="12">
        <v>45</v>
      </c>
      <c r="B443" s="189">
        <v>99999</v>
      </c>
      <c r="C443" s="190">
        <v>99999</v>
      </c>
      <c r="D443" s="190">
        <v>99999</v>
      </c>
      <c r="E443" s="190">
        <v>99999</v>
      </c>
      <c r="F443" s="191">
        <v>99999</v>
      </c>
      <c r="G443" s="98"/>
      <c r="H443" s="97"/>
      <c r="J443" s="98"/>
      <c r="K443" s="97"/>
      <c r="N443" s="12">
        <v>35</v>
      </c>
      <c r="O443" s="189">
        <v>99999</v>
      </c>
      <c r="P443" s="190">
        <v>99999</v>
      </c>
      <c r="Q443" s="190">
        <v>99999</v>
      </c>
      <c r="R443" s="190">
        <v>99999</v>
      </c>
      <c r="S443" s="191">
        <v>99999</v>
      </c>
      <c r="T443" s="98"/>
      <c r="U443" s="97"/>
      <c r="W443" s="98"/>
      <c r="X443" s="97"/>
      <c r="AA443" s="12">
        <v>45</v>
      </c>
      <c r="AB443" s="189">
        <v>99999</v>
      </c>
      <c r="AC443" s="190">
        <v>99999</v>
      </c>
      <c r="AD443" s="190">
        <v>99999</v>
      </c>
      <c r="AE443" s="190">
        <v>99999</v>
      </c>
      <c r="AF443" s="191">
        <v>99999</v>
      </c>
      <c r="AG443" s="98"/>
      <c r="AH443" s="97"/>
      <c r="AJ443" s="98"/>
      <c r="AK443" s="97"/>
    </row>
    <row r="444" spans="1:38" ht="15.75" customHeight="1">
      <c r="B444" s="98"/>
      <c r="C444" s="97"/>
      <c r="D444" s="12"/>
      <c r="E444" s="12"/>
      <c r="F444" s="12"/>
      <c r="G444" s="2"/>
      <c r="H444" s="2"/>
      <c r="I444" s="2"/>
      <c r="J444" s="98"/>
      <c r="K444" s="97"/>
      <c r="O444" s="98"/>
      <c r="P444" s="97"/>
      <c r="Q444" s="12"/>
      <c r="R444" s="12"/>
      <c r="S444" s="12"/>
      <c r="T444" s="2"/>
      <c r="U444" s="2"/>
      <c r="V444" s="2"/>
      <c r="W444" s="98"/>
      <c r="X444" s="97"/>
      <c r="Z444" s="98"/>
      <c r="AB444" s="98"/>
      <c r="AC444" s="97"/>
      <c r="AD444" s="12"/>
      <c r="AE444" s="12"/>
      <c r="AF444" s="12"/>
      <c r="AG444" s="2"/>
      <c r="AH444" s="2"/>
      <c r="AI444" s="2"/>
      <c r="AJ444" s="98"/>
      <c r="AK444" s="97"/>
    </row>
    <row r="445" spans="1:38" ht="15.75" customHeight="1">
      <c r="B445" s="98" t="s">
        <v>79</v>
      </c>
      <c r="C445" s="97">
        <f>D430</f>
        <v>0</v>
      </c>
      <c r="D445" s="260" t="s">
        <v>136</v>
      </c>
      <c r="E445" s="304"/>
      <c r="G445" s="2"/>
      <c r="H445" s="2"/>
      <c r="I445" s="2"/>
      <c r="J445" s="98"/>
      <c r="K445" s="97"/>
      <c r="L445" s="82"/>
      <c r="O445" s="98" t="s">
        <v>79</v>
      </c>
      <c r="P445" s="97">
        <f>D430</f>
        <v>0</v>
      </c>
      <c r="Q445" s="260" t="s">
        <v>136</v>
      </c>
      <c r="R445" s="304"/>
      <c r="T445" s="2"/>
      <c r="U445" s="2"/>
      <c r="V445" s="2"/>
      <c r="W445" s="98"/>
      <c r="X445" s="97"/>
      <c r="Y445" s="82"/>
      <c r="Z445" s="98"/>
      <c r="AB445" s="98" t="s">
        <v>79</v>
      </c>
      <c r="AC445" s="97">
        <f>D430</f>
        <v>0</v>
      </c>
      <c r="AD445" s="260" t="s">
        <v>136</v>
      </c>
      <c r="AE445" s="304"/>
      <c r="AG445" s="2"/>
      <c r="AH445" s="2"/>
      <c r="AI445" s="2"/>
      <c r="AJ445" s="98"/>
      <c r="AK445" s="97"/>
      <c r="AL445" s="82"/>
    </row>
    <row r="446" spans="1:38" ht="15.75" customHeight="1">
      <c r="B446" s="73" t="s">
        <v>137</v>
      </c>
      <c r="C446" s="100">
        <f t="array" ref="C446">INDEX(B434:F434,MATCH(C445,B434:F434,1))</f>
        <v>0</v>
      </c>
      <c r="D446" s="73" t="s">
        <v>77</v>
      </c>
      <c r="E446" s="88">
        <f>MATCH(MAX(A435:A443),A435:A443,1)</f>
        <v>9</v>
      </c>
      <c r="G446" s="2"/>
      <c r="H446" s="2"/>
      <c r="I446" s="2"/>
      <c r="J446" s="73"/>
      <c r="K446" s="100"/>
      <c r="L446" s="73"/>
      <c r="M446" s="88"/>
      <c r="O446" s="73" t="s">
        <v>137</v>
      </c>
      <c r="P446" s="100">
        <f t="array" ref="P446">INDEX(O434:S434,MATCH(P445,O434:S434,1))</f>
        <v>0</v>
      </c>
      <c r="Q446" s="73" t="s">
        <v>77</v>
      </c>
      <c r="R446" s="88">
        <f>MATCH(MAX(N435:N443),N435:N443,1)</f>
        <v>9</v>
      </c>
      <c r="T446" s="2"/>
      <c r="U446" s="2"/>
      <c r="V446" s="2"/>
      <c r="W446" s="73"/>
      <c r="X446" s="100"/>
      <c r="Y446" s="73"/>
      <c r="Z446" s="73"/>
      <c r="AB446" s="73" t="s">
        <v>137</v>
      </c>
      <c r="AC446" s="100">
        <f t="array" ref="AC446">INDEX(AB434:AF434,MATCH(AC445,AB434:AF434,1))</f>
        <v>0</v>
      </c>
      <c r="AD446" s="73" t="s">
        <v>77</v>
      </c>
      <c r="AE446" s="88">
        <f>MATCH(MAX(AA435:AA443),AA435:AA443,1)</f>
        <v>9</v>
      </c>
      <c r="AG446" s="2"/>
      <c r="AH446" s="2"/>
      <c r="AI446" s="2"/>
      <c r="AJ446" s="73"/>
      <c r="AK446" s="100"/>
      <c r="AL446" s="73"/>
    </row>
    <row r="447" spans="1:38" ht="15.75" customHeight="1">
      <c r="B447" s="73" t="s">
        <v>138</v>
      </c>
      <c r="C447" s="100">
        <f t="array" ref="C447">INDEX(B434:F434,IF(MATCH(C445,B434:F434,1)&lt;E447,MATCH(C445,B434:F434,1)+1,MATCH(C445,B434:F434,1)))</f>
        <v>1000</v>
      </c>
      <c r="D447" s="73" t="s">
        <v>78</v>
      </c>
      <c r="E447" s="88">
        <f>MATCH(MAX(B434:F434),B434:F434,0)</f>
        <v>5</v>
      </c>
      <c r="G447" s="2"/>
      <c r="H447" s="2"/>
      <c r="I447" s="2"/>
      <c r="J447" s="73"/>
      <c r="K447" s="100"/>
      <c r="L447" s="73"/>
      <c r="M447" s="88"/>
      <c r="O447" s="73" t="s">
        <v>138</v>
      </c>
      <c r="P447" s="100">
        <f t="array" ref="P447">INDEX(O434:S434,IF(MATCH(P445,O434:S434,1)&lt;R447,MATCH(P445,O434:S434,1)+1,MATCH(P445,O434:S434,1)))</f>
        <v>1000</v>
      </c>
      <c r="Q447" s="73" t="s">
        <v>78</v>
      </c>
      <c r="R447" s="88">
        <f>MATCH(MAX(O434:S434),O434:S434,0)</f>
        <v>5</v>
      </c>
      <c r="T447" s="2"/>
      <c r="U447" s="2"/>
      <c r="V447" s="2"/>
      <c r="W447" s="73"/>
      <c r="X447" s="100"/>
      <c r="Y447" s="73"/>
      <c r="Z447" s="73"/>
      <c r="AB447" s="73" t="s">
        <v>138</v>
      </c>
      <c r="AC447" s="100">
        <f t="array" ref="AC447">INDEX(AB434:AF434,IF(MATCH(AC445,AB434:AF434,1)&lt;AE447,MATCH(AC445,AB434:AF434,1)+1,MATCH(AC445,AB434:AF434,1)))</f>
        <v>1000</v>
      </c>
      <c r="AD447" s="73" t="s">
        <v>78</v>
      </c>
      <c r="AE447" s="88">
        <f>MATCH(MAX(AB434:AF434),AB434:AF434,0)</f>
        <v>5</v>
      </c>
      <c r="AG447" s="2"/>
      <c r="AH447" s="2"/>
      <c r="AI447" s="2"/>
      <c r="AJ447" s="73"/>
      <c r="AK447" s="100"/>
      <c r="AL447" s="73"/>
    </row>
    <row r="448" spans="1:38" ht="15.75" customHeight="1">
      <c r="B448" s="96" t="s">
        <v>80</v>
      </c>
      <c r="C448" s="155">
        <f>D431</f>
        <v>-2</v>
      </c>
      <c r="D448" s="2"/>
      <c r="E448" s="2"/>
      <c r="G448" s="2"/>
      <c r="H448" s="2"/>
      <c r="I448" s="2"/>
      <c r="J448" s="98"/>
      <c r="K448" s="155"/>
      <c r="L448" s="2"/>
      <c r="M448" s="2"/>
      <c r="O448" s="96" t="s">
        <v>80</v>
      </c>
      <c r="P448" s="155">
        <f>D431</f>
        <v>-2</v>
      </c>
      <c r="Q448" s="2"/>
      <c r="R448" s="2"/>
      <c r="T448" s="2"/>
      <c r="U448" s="2"/>
      <c r="V448" s="2"/>
      <c r="W448" s="98"/>
      <c r="X448" s="155"/>
      <c r="Y448" s="2"/>
      <c r="Z448" s="98"/>
      <c r="AB448" s="96" t="s">
        <v>80</v>
      </c>
      <c r="AC448" s="155">
        <f>D431</f>
        <v>-2</v>
      </c>
      <c r="AD448" s="2"/>
      <c r="AE448" s="2"/>
      <c r="AG448" s="2"/>
      <c r="AH448" s="2"/>
      <c r="AI448" s="2"/>
      <c r="AJ448" s="98"/>
      <c r="AK448" s="155"/>
      <c r="AL448" s="2"/>
    </row>
    <row r="449" spans="1:38" ht="15.75" customHeight="1">
      <c r="B449" s="73" t="s">
        <v>81</v>
      </c>
      <c r="C449" s="100">
        <f t="array" ref="C449">INDEX(A435:A443,MATCH(C448,A435:A443,1))</f>
        <v>-10</v>
      </c>
      <c r="D449" s="2"/>
      <c r="E449" s="92"/>
      <c r="G449" s="2"/>
      <c r="H449" s="2"/>
      <c r="I449" s="2"/>
      <c r="J449" s="73"/>
      <c r="K449" s="100"/>
      <c r="L449" s="2"/>
      <c r="M449" s="92"/>
      <c r="O449" s="73" t="s">
        <v>81</v>
      </c>
      <c r="P449" s="100">
        <f t="array" ref="P449">INDEX(N435:N443,MATCH(P448,N435:N443,1))</f>
        <v>-10</v>
      </c>
      <c r="Q449" s="2"/>
      <c r="R449" s="92"/>
      <c r="T449" s="2"/>
      <c r="U449" s="2"/>
      <c r="V449" s="2"/>
      <c r="W449" s="73"/>
      <c r="X449" s="100"/>
      <c r="Y449" s="2"/>
      <c r="Z449" s="73"/>
      <c r="AB449" s="73" t="s">
        <v>81</v>
      </c>
      <c r="AC449" s="100">
        <f t="array" ref="AC449">INDEX(AA435:AA443,MATCH(AC448,AA435:AA443,1))</f>
        <v>-10</v>
      </c>
      <c r="AD449" s="2"/>
      <c r="AE449" s="92"/>
      <c r="AG449" s="2"/>
      <c r="AH449" s="2"/>
      <c r="AI449" s="2"/>
      <c r="AJ449" s="73"/>
      <c r="AK449" s="100"/>
      <c r="AL449" s="2"/>
    </row>
    <row r="450" spans="1:38" ht="15.75" customHeight="1">
      <c r="B450" s="73" t="s">
        <v>82</v>
      </c>
      <c r="C450" s="100">
        <f t="array" ref="C450">INDEX(A435:A443,IF(MATCH(C448,A435:A443,1)&lt;E446,MATCH(C448,A435:A443,1)+1,MATCH(C448,A435:A443,1)))</f>
        <v>0</v>
      </c>
      <c r="D450" s="2"/>
      <c r="E450" s="92"/>
      <c r="G450" s="2"/>
      <c r="H450" s="2"/>
      <c r="I450" s="2"/>
      <c r="J450" s="73"/>
      <c r="K450" s="100"/>
      <c r="L450" s="2"/>
      <c r="M450" s="92"/>
      <c r="O450" s="73" t="s">
        <v>82</v>
      </c>
      <c r="P450" s="100">
        <f t="array" ref="P450">INDEX(N435:N443,IF(MATCH(P448,N435:N443,1)&lt;R446,MATCH(P448,N435:N443,1)+1,MATCH(P448,N435:N443,1)))</f>
        <v>0</v>
      </c>
      <c r="Q450" s="2"/>
      <c r="R450" s="92"/>
      <c r="T450" s="2"/>
      <c r="U450" s="2"/>
      <c r="V450" s="2"/>
      <c r="W450" s="73"/>
      <c r="X450" s="100"/>
      <c r="Y450" s="2"/>
      <c r="Z450" s="73"/>
      <c r="AB450" s="73" t="s">
        <v>82</v>
      </c>
      <c r="AC450" s="100">
        <f t="array" ref="AC450">INDEX(AA435:AA443,IF(MATCH(AC448,AA435:AA443,1)&lt;AE446,MATCH(AC448,AA435:AA443,1)+1,MATCH(AC448,AA435:AA443,1)))</f>
        <v>0</v>
      </c>
      <c r="AD450" s="2"/>
      <c r="AE450" s="92"/>
      <c r="AG450" s="2"/>
      <c r="AH450" s="2"/>
      <c r="AI450" s="2"/>
      <c r="AJ450" s="73"/>
      <c r="AK450" s="100"/>
      <c r="AL450" s="2"/>
    </row>
    <row r="451" spans="1:38" ht="15.75" customHeight="1">
      <c r="B451" s="98" t="s">
        <v>83</v>
      </c>
      <c r="C451" s="97">
        <f t="array" ref="C451">INDEX(B435:F443,MATCH(C448,A435:A443,1),MATCH(C445,B434:F434,1))</f>
        <v>2900</v>
      </c>
      <c r="D451" s="2"/>
      <c r="E451" s="92"/>
      <c r="G451" s="2"/>
      <c r="H451" s="2"/>
      <c r="I451" s="2"/>
      <c r="J451" s="98"/>
      <c r="K451" s="97"/>
      <c r="L451" s="2"/>
      <c r="M451" s="92"/>
      <c r="O451" s="98" t="s">
        <v>83</v>
      </c>
      <c r="P451" s="97">
        <f t="array" ref="P451">INDEX(O435:S443,MATCH(P448,N435:N443,1),MATCH(P445,O434:S434,1))</f>
        <v>0</v>
      </c>
      <c r="Q451" s="2"/>
      <c r="R451" s="92"/>
      <c r="T451" s="2"/>
      <c r="U451" s="2"/>
      <c r="V451" s="2"/>
      <c r="W451" s="98"/>
      <c r="X451" s="97"/>
      <c r="Y451" s="2"/>
      <c r="Z451" s="98"/>
      <c r="AB451" s="98" t="s">
        <v>83</v>
      </c>
      <c r="AC451" s="97">
        <f t="array" ref="AC451">INDEX(AB435:AF443,MATCH(AC448,AA435:AA443,1),MATCH(AC445,AB434:AF434,1))</f>
        <v>0</v>
      </c>
      <c r="AD451" s="2"/>
      <c r="AE451" s="92"/>
      <c r="AG451" s="2"/>
      <c r="AH451" s="2"/>
      <c r="AI451" s="2"/>
      <c r="AJ451" s="98"/>
      <c r="AK451" s="97"/>
      <c r="AL451" s="2"/>
    </row>
    <row r="452" spans="1:38" ht="15.75" customHeight="1">
      <c r="B452" s="98" t="s">
        <v>139</v>
      </c>
      <c r="C452" s="97">
        <f t="array" ref="C452">INDEX(B435:F443,MATCH(C448,A435:A443,1),IF(MATCH(C445,B434:F434,1)&lt;E447,MATCH(C445,B434:F434,1)+1,MATCH(C448,A435:A443,1)))</f>
        <v>3100</v>
      </c>
      <c r="E452" s="92"/>
      <c r="G452" s="2"/>
      <c r="H452" s="2"/>
      <c r="I452" s="2"/>
      <c r="J452" s="98"/>
      <c r="K452" s="97"/>
      <c r="M452" s="92"/>
      <c r="O452" s="98" t="s">
        <v>139</v>
      </c>
      <c r="P452" s="97">
        <f t="array" ref="P452">INDEX(O435:S443,MATCH(P448,N435:N443,1),IF(MATCH(P445,O434:S434,1)&lt;R447,MATCH(P445,O434:S434,1)+1,MATCH(P448,N435:N443,1)))</f>
        <v>0</v>
      </c>
      <c r="R452" s="92"/>
      <c r="T452" s="2"/>
      <c r="U452" s="2"/>
      <c r="V452" s="2"/>
      <c r="W452" s="98"/>
      <c r="X452" s="97"/>
      <c r="Z452" s="98"/>
      <c r="AB452" s="98" t="s">
        <v>139</v>
      </c>
      <c r="AC452" s="97">
        <f t="array" ref="AC452">INDEX(AB435:AF443,MATCH(AC448,AA435:AA443,1),IF(MATCH(AC445,AB434:AF434,1)&lt;AE447,MATCH(AC445,AB434:AF434,1)+1,MATCH(AC448,AA435:AA443,1)))</f>
        <v>0</v>
      </c>
      <c r="AE452" s="92"/>
      <c r="AG452" s="2"/>
      <c r="AH452" s="2"/>
      <c r="AI452" s="2"/>
      <c r="AJ452" s="98"/>
      <c r="AK452" s="97"/>
    </row>
    <row r="453" spans="1:38" ht="15.75" customHeight="1">
      <c r="B453" s="98" t="s">
        <v>84</v>
      </c>
      <c r="C453" s="97">
        <f t="array" ref="C453">INDEX(B435:F443,IF(MATCH(C448,A435:A443,1)&lt;E446,MATCH(C448,A435:A443,1)+1,MATCH(C448,A435:A443,1)),MATCH(C445,B434:F434,1))</f>
        <v>3075</v>
      </c>
      <c r="E453" s="92"/>
      <c r="G453" s="2"/>
      <c r="H453" s="2"/>
      <c r="I453" s="2"/>
      <c r="J453" s="98"/>
      <c r="K453" s="97"/>
      <c r="M453" s="92"/>
      <c r="O453" s="98" t="s">
        <v>84</v>
      </c>
      <c r="P453" s="97">
        <f t="array" ref="P453">INDEX(O435:S443,IF(MATCH(P448,N435:N443,1)&lt;R446,MATCH(P448,N435:N443,1)+1,MATCH(P448,N435:N443,1)),MATCH(P445,O434:S434,1))</f>
        <v>0</v>
      </c>
      <c r="R453" s="92"/>
      <c r="T453" s="2"/>
      <c r="U453" s="2"/>
      <c r="V453" s="2"/>
      <c r="W453" s="98"/>
      <c r="X453" s="97"/>
      <c r="Z453" s="98"/>
      <c r="AB453" s="98" t="s">
        <v>84</v>
      </c>
      <c r="AC453" s="97">
        <f t="array" ref="AC453">INDEX(AB435:AF443,IF(MATCH(AC448,AA435:AA443,1)&lt;AE446,MATCH(AC448,AA435:AA443,1)+1,MATCH(AC448,AA435:AA443,1)),MATCH(AC445,AB434:AF434,1))</f>
        <v>0</v>
      </c>
      <c r="AE453" s="92"/>
      <c r="AG453" s="2"/>
      <c r="AH453" s="2"/>
      <c r="AI453" s="2"/>
      <c r="AJ453" s="98"/>
      <c r="AK453" s="97"/>
    </row>
    <row r="454" spans="1:38" ht="15.75" customHeight="1">
      <c r="B454" s="98" t="s">
        <v>140</v>
      </c>
      <c r="C454" s="97">
        <f t="array" ref="C454">INDEX(B435:F443,IF(MATCH(C448,A435:A443,1)&lt;E446,MATCH(C448,A435:A443,1)+1,MATCH(C448,A435:A443,1)),IF(MATCH(C445,B434:F434,1)&lt;E447,MATCH(C445,B434:F434,1)+1,MATCH(C445,B434:F434,1)))</f>
        <v>3200</v>
      </c>
      <c r="G454" s="2"/>
      <c r="H454" s="2"/>
      <c r="I454" s="2"/>
      <c r="J454" s="98"/>
      <c r="K454" s="97"/>
      <c r="O454" s="98" t="s">
        <v>140</v>
      </c>
      <c r="P454" s="97">
        <f t="array" ref="P454">INDEX(O435:S443,IF(MATCH(P448,N435:N443,1)&lt;R446,MATCH(P448,N435:N443,1)+1,MATCH(P448,N435:N443,1)),IF(MATCH(P445,O434:S434,1)&lt;R447,MATCH(P445,O434:S434,1)+1,MATCH(P445,O434:S434,1)))</f>
        <v>0</v>
      </c>
      <c r="T454" s="2"/>
      <c r="U454" s="2"/>
      <c r="V454" s="2"/>
      <c r="W454" s="98"/>
      <c r="X454" s="97"/>
      <c r="Z454" s="98"/>
      <c r="AB454" s="98" t="s">
        <v>140</v>
      </c>
      <c r="AC454" s="97">
        <f t="array" ref="AC454">INDEX(AB435:AF443,IF(MATCH(AC448,AA435:AA443,1)&lt;AE446,MATCH(AC448,AA435:AA443,1)+1,MATCH(AC448,AA435:AA443,1)),IF(MATCH(AC445,AB434:AF434,1)&lt;AE447,MATCH(AC445,AB434:AF434,1)+1,MATCH(AC445,AB434:AF434,1)))</f>
        <v>0</v>
      </c>
      <c r="AG454" s="2"/>
      <c r="AH454" s="2"/>
      <c r="AI454" s="2"/>
      <c r="AJ454" s="98"/>
      <c r="AK454" s="97"/>
    </row>
    <row r="455" spans="1:38" ht="15.75" customHeight="1">
      <c r="B455" s="73" t="s">
        <v>141</v>
      </c>
      <c r="C455" s="100">
        <f>IFERROR(C451+(C445-C446)*(C452-C451)/(C447-C446),C451)</f>
        <v>2900</v>
      </c>
      <c r="G455" s="2"/>
      <c r="H455" s="2"/>
      <c r="I455" s="2"/>
      <c r="J455" s="73"/>
      <c r="K455" s="100"/>
      <c r="O455" s="73" t="s">
        <v>141</v>
      </c>
      <c r="P455" s="100">
        <f>IFERROR(P451+(P445-P446)*(P452-P451)/(P447-P446),P451)</f>
        <v>0</v>
      </c>
      <c r="T455" s="2"/>
      <c r="U455" s="2"/>
      <c r="V455" s="2"/>
      <c r="W455" s="73"/>
      <c r="X455" s="100"/>
      <c r="Z455" s="73"/>
      <c r="AB455" s="73" t="s">
        <v>141</v>
      </c>
      <c r="AC455" s="100">
        <f>IFERROR(AC451+(AC445-AC446)*(AC452-AC451)/(AC447-AC446),AC451)</f>
        <v>0</v>
      </c>
      <c r="AG455" s="2"/>
      <c r="AH455" s="2"/>
      <c r="AI455" s="2"/>
      <c r="AJ455" s="73"/>
      <c r="AK455" s="100"/>
    </row>
    <row r="456" spans="1:38" ht="15.75" customHeight="1">
      <c r="B456" s="73" t="s">
        <v>142</v>
      </c>
      <c r="C456" s="100">
        <f>IFERROR(C453+(C445-C446)*(C454-C453)/(C447-C446),C453)</f>
        <v>3075</v>
      </c>
      <c r="G456" s="2"/>
      <c r="H456" s="2"/>
      <c r="I456" s="2"/>
      <c r="J456" s="73"/>
      <c r="K456" s="100"/>
      <c r="O456" s="73" t="s">
        <v>142</v>
      </c>
      <c r="P456" s="100">
        <f>IFERROR(P453+(P445-P446)*(P454-P453)/(P447-P446),P453)</f>
        <v>0</v>
      </c>
      <c r="T456" s="2"/>
      <c r="U456" s="2"/>
      <c r="V456" s="2"/>
      <c r="W456" s="73"/>
      <c r="X456" s="100"/>
      <c r="Z456" s="73"/>
      <c r="AB456" s="73" t="s">
        <v>142</v>
      </c>
      <c r="AC456" s="100">
        <f>IFERROR(AC453+(AC445-AC446)*(AC454-AC453)/(AC447-AC446),AC453)</f>
        <v>0</v>
      </c>
      <c r="AG456" s="2"/>
      <c r="AH456" s="2"/>
      <c r="AI456" s="2"/>
      <c r="AJ456" s="73"/>
      <c r="AK456" s="100"/>
    </row>
    <row r="457" spans="1:38" ht="15.75" customHeight="1">
      <c r="B457" s="98" t="s">
        <v>143</v>
      </c>
      <c r="C457" s="97">
        <f>IFERROR(C455+(C448-C449)*(C456-C455)/(C450-C449),C455)</f>
        <v>3040</v>
      </c>
      <c r="G457" s="2"/>
      <c r="H457" s="2"/>
      <c r="I457" s="2"/>
      <c r="J457" s="98"/>
      <c r="K457" s="97"/>
      <c r="O457" s="98" t="s">
        <v>143</v>
      </c>
      <c r="P457" s="97">
        <f>IFERROR(P455+(P448-P449)*(P456-P455)/(P450-P449),P455)</f>
        <v>0</v>
      </c>
      <c r="T457" s="2"/>
      <c r="U457" s="2"/>
      <c r="V457" s="2"/>
      <c r="W457" s="98"/>
      <c r="X457" s="97"/>
      <c r="Z457" s="98"/>
      <c r="AB457" s="98" t="s">
        <v>143</v>
      </c>
      <c r="AC457" s="97">
        <f>IFERROR(AC455+(AC448-AC449)*(AC456-AC455)/(AC450-AC449),AC455)</f>
        <v>0</v>
      </c>
      <c r="AG457" s="2"/>
      <c r="AH457" s="2"/>
      <c r="AI457" s="2"/>
      <c r="AJ457" s="98"/>
      <c r="AK457" s="97"/>
    </row>
    <row r="458" spans="1:38" ht="15.75" customHeight="1"/>
    <row r="459" spans="1:38" ht="15.75" customHeight="1">
      <c r="A459" s="12"/>
      <c r="B459" s="260" t="s">
        <v>144</v>
      </c>
      <c r="C459" s="304"/>
      <c r="D459" s="304"/>
      <c r="E459" s="304"/>
      <c r="F459" s="304"/>
      <c r="G459" s="304"/>
      <c r="H459" s="82"/>
      <c r="I459" s="82"/>
      <c r="J459" s="82"/>
      <c r="K459" s="82"/>
      <c r="L459" s="82"/>
      <c r="M459" s="82"/>
      <c r="N459" s="12"/>
      <c r="O459" s="260" t="s">
        <v>144</v>
      </c>
      <c r="P459" s="304"/>
      <c r="Q459" s="304"/>
      <c r="R459" s="304"/>
      <c r="S459" s="304"/>
      <c r="T459" s="304"/>
      <c r="U459" s="82"/>
      <c r="V459" s="82"/>
      <c r="W459" s="82"/>
      <c r="X459" s="82"/>
      <c r="Y459" s="82"/>
      <c r="AA459" s="12"/>
      <c r="AB459" s="260" t="s">
        <v>144</v>
      </c>
      <c r="AC459" s="304"/>
      <c r="AD459" s="304"/>
      <c r="AE459" s="304"/>
      <c r="AF459" s="304"/>
      <c r="AG459" s="304"/>
      <c r="AH459" s="82"/>
      <c r="AI459" s="82"/>
      <c r="AJ459" s="82"/>
      <c r="AK459" s="82"/>
      <c r="AL459" s="82"/>
    </row>
    <row r="460" spans="1:38" ht="15.75" customHeight="1">
      <c r="A460" s="12" t="s">
        <v>30</v>
      </c>
      <c r="B460" s="196">
        <v>2500</v>
      </c>
      <c r="C460" s="200">
        <v>3000</v>
      </c>
      <c r="D460" s="202">
        <v>3500</v>
      </c>
      <c r="E460" s="202">
        <v>4000</v>
      </c>
      <c r="F460" s="202">
        <v>4500</v>
      </c>
      <c r="G460" s="185">
        <v>5000</v>
      </c>
      <c r="H460" s="12"/>
      <c r="I460" s="12"/>
      <c r="J460" s="12"/>
      <c r="K460" s="12"/>
      <c r="L460" s="12"/>
      <c r="M460" s="12"/>
      <c r="N460" s="12" t="s">
        <v>30</v>
      </c>
      <c r="O460" s="196">
        <v>3600</v>
      </c>
      <c r="P460" s="200">
        <v>4300</v>
      </c>
      <c r="Q460" s="202">
        <v>5000</v>
      </c>
      <c r="R460" s="202">
        <v>5700</v>
      </c>
      <c r="S460" s="185">
        <v>6000</v>
      </c>
      <c r="T460" s="12"/>
      <c r="U460" s="12"/>
      <c r="V460" s="12"/>
      <c r="W460" s="12"/>
      <c r="X460" s="12"/>
      <c r="AA460" s="12" t="s">
        <v>30</v>
      </c>
      <c r="AB460" s="196">
        <v>3000</v>
      </c>
      <c r="AC460" s="200">
        <v>3450</v>
      </c>
      <c r="AD460" s="202">
        <v>3900</v>
      </c>
      <c r="AE460" s="202">
        <v>4350</v>
      </c>
      <c r="AF460" s="202">
        <v>4800</v>
      </c>
      <c r="AG460" s="185">
        <v>5000</v>
      </c>
      <c r="AH460" s="12"/>
      <c r="AI460" s="12"/>
      <c r="AJ460" s="12"/>
      <c r="AK460" s="12"/>
      <c r="AL460" s="12"/>
    </row>
    <row r="461" spans="1:38" ht="15.75" customHeight="1">
      <c r="A461" s="12">
        <v>9000</v>
      </c>
      <c r="B461" s="182">
        <v>2200</v>
      </c>
      <c r="C461" s="183">
        <v>2700</v>
      </c>
      <c r="D461" s="184">
        <v>3050</v>
      </c>
      <c r="E461" s="184">
        <v>3400</v>
      </c>
      <c r="F461" s="184">
        <v>3900</v>
      </c>
      <c r="G461" s="185">
        <v>99999</v>
      </c>
      <c r="H461" s="12"/>
      <c r="I461" s="12"/>
      <c r="J461" s="12"/>
      <c r="K461" s="12"/>
      <c r="L461" s="12"/>
      <c r="M461" s="12"/>
      <c r="N461" s="12">
        <v>10000</v>
      </c>
      <c r="O461" s="182"/>
      <c r="P461" s="183"/>
      <c r="Q461" s="184"/>
      <c r="R461" s="184"/>
      <c r="S461" s="185">
        <v>99999</v>
      </c>
      <c r="T461" s="12"/>
      <c r="U461" s="12"/>
      <c r="V461" s="12"/>
      <c r="W461" s="12"/>
      <c r="X461" s="12"/>
      <c r="AA461" s="12">
        <v>9000</v>
      </c>
      <c r="AB461" s="182"/>
      <c r="AC461" s="183"/>
      <c r="AD461" s="184"/>
      <c r="AE461" s="184"/>
      <c r="AF461" s="184"/>
      <c r="AG461" s="185">
        <v>99999</v>
      </c>
      <c r="AH461" s="12"/>
      <c r="AI461" s="12"/>
      <c r="AJ461" s="12"/>
      <c r="AK461" s="12"/>
      <c r="AL461" s="12"/>
    </row>
    <row r="462" spans="1:38" ht="15.75" customHeight="1">
      <c r="A462" s="12">
        <v>9500</v>
      </c>
      <c r="B462" s="256">
        <v>2250</v>
      </c>
      <c r="C462" s="178">
        <v>2750</v>
      </c>
      <c r="D462" s="12">
        <v>3110</v>
      </c>
      <c r="E462" s="12">
        <v>3500</v>
      </c>
      <c r="F462" s="12">
        <v>3950</v>
      </c>
      <c r="G462" s="255">
        <v>99999</v>
      </c>
      <c r="H462" s="12"/>
      <c r="I462" s="12"/>
      <c r="J462" s="12"/>
      <c r="K462" s="12"/>
      <c r="L462" s="12"/>
      <c r="M462" s="12"/>
      <c r="N462" s="12">
        <v>11000</v>
      </c>
      <c r="O462" s="256"/>
      <c r="P462" s="178"/>
      <c r="Q462" s="12"/>
      <c r="R462" s="12"/>
      <c r="S462" s="255">
        <v>99999</v>
      </c>
      <c r="T462" s="12"/>
      <c r="U462" s="12"/>
      <c r="V462" s="12"/>
      <c r="W462" s="12"/>
      <c r="X462" s="12"/>
      <c r="AA462" s="12">
        <v>9500</v>
      </c>
      <c r="AB462" s="256"/>
      <c r="AC462" s="178"/>
      <c r="AD462" s="12"/>
      <c r="AE462" s="12"/>
      <c r="AF462" s="12"/>
      <c r="AG462" s="255">
        <v>99999</v>
      </c>
      <c r="AH462" s="12"/>
      <c r="AI462" s="12"/>
      <c r="AJ462" s="12"/>
      <c r="AK462" s="12"/>
      <c r="AL462" s="12"/>
    </row>
    <row r="463" spans="1:38" ht="15.75" customHeight="1">
      <c r="A463" s="12">
        <v>10000</v>
      </c>
      <c r="B463" s="256">
        <v>2290</v>
      </c>
      <c r="C463" s="178">
        <v>2780</v>
      </c>
      <c r="D463" s="12">
        <v>3190</v>
      </c>
      <c r="E463" s="12">
        <v>3600</v>
      </c>
      <c r="F463" s="12">
        <v>4000</v>
      </c>
      <c r="G463" s="255">
        <v>99999</v>
      </c>
      <c r="H463" s="12"/>
      <c r="I463" s="12"/>
      <c r="J463" s="12"/>
      <c r="K463" s="12"/>
      <c r="L463" s="12"/>
      <c r="M463" s="12"/>
      <c r="N463" s="12">
        <v>12000</v>
      </c>
      <c r="O463" s="256"/>
      <c r="P463" s="178"/>
      <c r="Q463" s="12"/>
      <c r="R463" s="12"/>
      <c r="S463" s="255">
        <v>99999</v>
      </c>
      <c r="T463" s="12"/>
      <c r="U463" s="12"/>
      <c r="V463" s="12"/>
      <c r="W463" s="12"/>
      <c r="X463" s="12"/>
      <c r="AA463" s="12">
        <v>10000</v>
      </c>
      <c r="AB463" s="256"/>
      <c r="AC463" s="178"/>
      <c r="AD463" s="12"/>
      <c r="AE463" s="12"/>
      <c r="AF463" s="12"/>
      <c r="AG463" s="255">
        <v>99999</v>
      </c>
      <c r="AH463" s="12"/>
      <c r="AI463" s="12"/>
      <c r="AJ463" s="12"/>
      <c r="AK463" s="12"/>
      <c r="AL463" s="12"/>
    </row>
    <row r="464" spans="1:38" ht="15.75" customHeight="1">
      <c r="A464" s="12">
        <v>10500</v>
      </c>
      <c r="B464" s="256">
        <v>2310</v>
      </c>
      <c r="C464" s="178">
        <v>2800</v>
      </c>
      <c r="D464" s="12">
        <v>3250</v>
      </c>
      <c r="E464" s="12">
        <v>3675</v>
      </c>
      <c r="F464" s="12">
        <v>4100</v>
      </c>
      <c r="G464" s="255">
        <v>99999</v>
      </c>
      <c r="H464" s="12"/>
      <c r="I464" s="12"/>
      <c r="J464" s="12"/>
      <c r="K464" s="12"/>
      <c r="L464" s="12"/>
      <c r="M464" s="12"/>
      <c r="N464" s="12">
        <v>13000</v>
      </c>
      <c r="O464" s="256"/>
      <c r="P464" s="178"/>
      <c r="Q464" s="12"/>
      <c r="R464" s="12"/>
      <c r="S464" s="255">
        <v>99999</v>
      </c>
      <c r="T464" s="12"/>
      <c r="U464" s="12"/>
      <c r="V464" s="12"/>
      <c r="W464" s="12"/>
      <c r="X464" s="12"/>
      <c r="AA464" s="12">
        <v>10500</v>
      </c>
      <c r="AB464" s="256"/>
      <c r="AC464" s="178"/>
      <c r="AD464" s="12"/>
      <c r="AE464" s="12"/>
      <c r="AF464" s="12"/>
      <c r="AG464" s="255">
        <v>99999</v>
      </c>
      <c r="AH464" s="12"/>
      <c r="AI464" s="12"/>
      <c r="AJ464" s="12"/>
      <c r="AK464" s="12"/>
      <c r="AL464" s="12"/>
    </row>
    <row r="465" spans="1:38" ht="15.75" customHeight="1">
      <c r="A465" s="12">
        <v>11000</v>
      </c>
      <c r="B465" s="256">
        <v>2375</v>
      </c>
      <c r="C465" s="178">
        <v>2850</v>
      </c>
      <c r="D465" s="12">
        <v>3300</v>
      </c>
      <c r="E465" s="12">
        <v>3750</v>
      </c>
      <c r="F465" s="12">
        <v>4200</v>
      </c>
      <c r="G465" s="255">
        <v>99999</v>
      </c>
      <c r="H465" s="12"/>
      <c r="I465" s="12"/>
      <c r="J465" s="12"/>
      <c r="K465" s="12"/>
      <c r="L465" s="12"/>
      <c r="M465" s="12"/>
      <c r="N465" s="12">
        <v>14000</v>
      </c>
      <c r="O465" s="256"/>
      <c r="P465" s="178"/>
      <c r="Q465" s="12"/>
      <c r="R465" s="12"/>
      <c r="S465" s="255">
        <v>99999</v>
      </c>
      <c r="T465" s="12"/>
      <c r="U465" s="12"/>
      <c r="V465" s="12"/>
      <c r="W465" s="12"/>
      <c r="X465" s="12"/>
      <c r="AA465" s="12">
        <v>11000</v>
      </c>
      <c r="AB465" s="256"/>
      <c r="AC465" s="178"/>
      <c r="AD465" s="12"/>
      <c r="AE465" s="12"/>
      <c r="AF465" s="12"/>
      <c r="AG465" s="255">
        <v>99999</v>
      </c>
      <c r="AH465" s="12"/>
      <c r="AI465" s="12"/>
      <c r="AJ465" s="12"/>
      <c r="AK465" s="12"/>
      <c r="AL465" s="12"/>
    </row>
    <row r="466" spans="1:38" ht="15.75" customHeight="1">
      <c r="A466" s="12">
        <v>11500</v>
      </c>
      <c r="B466" s="256">
        <v>2400</v>
      </c>
      <c r="C466" s="178">
        <v>2900</v>
      </c>
      <c r="D466" s="12">
        <v>3380</v>
      </c>
      <c r="E466" s="12">
        <v>3820</v>
      </c>
      <c r="F466" s="12">
        <v>4300</v>
      </c>
      <c r="G466" s="255">
        <v>99999</v>
      </c>
      <c r="H466" s="12"/>
      <c r="I466" s="12"/>
      <c r="J466" s="12"/>
      <c r="K466" s="12"/>
      <c r="L466" s="12"/>
      <c r="M466" s="12"/>
      <c r="N466" s="12">
        <v>15000</v>
      </c>
      <c r="O466" s="256"/>
      <c r="P466" s="178"/>
      <c r="Q466" s="12"/>
      <c r="R466" s="12"/>
      <c r="S466" s="255">
        <v>99999</v>
      </c>
      <c r="T466" s="12"/>
      <c r="U466" s="12"/>
      <c r="V466" s="12"/>
      <c r="W466" s="12"/>
      <c r="X466" s="12"/>
      <c r="AA466" s="12">
        <v>11500</v>
      </c>
      <c r="AB466" s="256"/>
      <c r="AC466" s="178"/>
      <c r="AD466" s="12"/>
      <c r="AE466" s="12"/>
      <c r="AF466" s="12"/>
      <c r="AG466" s="255">
        <v>99999</v>
      </c>
      <c r="AH466" s="12"/>
      <c r="AI466" s="12"/>
      <c r="AJ466" s="12"/>
      <c r="AK466" s="12"/>
      <c r="AL466" s="12"/>
    </row>
    <row r="467" spans="1:38" ht="15.75" customHeight="1">
      <c r="A467" s="12">
        <v>12000</v>
      </c>
      <c r="B467" s="256">
        <v>2450</v>
      </c>
      <c r="C467" s="178">
        <v>2950</v>
      </c>
      <c r="D467" s="12">
        <v>3450</v>
      </c>
      <c r="E467" s="12">
        <v>3910</v>
      </c>
      <c r="F467" s="12">
        <v>4400</v>
      </c>
      <c r="G467" s="255">
        <v>99999</v>
      </c>
      <c r="H467" s="12"/>
      <c r="I467" s="12"/>
      <c r="J467" s="12"/>
      <c r="K467" s="12"/>
      <c r="L467" s="12"/>
      <c r="M467" s="12"/>
      <c r="N467" s="12">
        <v>16000</v>
      </c>
      <c r="O467" s="256"/>
      <c r="P467" s="178"/>
      <c r="Q467" s="12"/>
      <c r="R467" s="12"/>
      <c r="S467" s="255">
        <v>99999</v>
      </c>
      <c r="T467" s="12"/>
      <c r="U467" s="12"/>
      <c r="V467" s="12"/>
      <c r="W467" s="12"/>
      <c r="X467" s="12"/>
      <c r="AA467" s="12">
        <v>12000</v>
      </c>
      <c r="AB467" s="256"/>
      <c r="AC467" s="178"/>
      <c r="AD467" s="12"/>
      <c r="AE467" s="12"/>
      <c r="AF467" s="12"/>
      <c r="AG467" s="255">
        <v>99999</v>
      </c>
      <c r="AH467" s="12"/>
      <c r="AI467" s="12"/>
      <c r="AJ467" s="12"/>
      <c r="AK467" s="12"/>
      <c r="AL467" s="12"/>
    </row>
    <row r="468" spans="1:38" ht="15.75" customHeight="1">
      <c r="A468" s="12">
        <v>12500</v>
      </c>
      <c r="B468" s="189">
        <v>2500</v>
      </c>
      <c r="C468" s="190">
        <v>3000</v>
      </c>
      <c r="D468" s="162">
        <v>3500</v>
      </c>
      <c r="E468" s="162">
        <v>4000</v>
      </c>
      <c r="F468" s="162">
        <v>4500</v>
      </c>
      <c r="G468" s="255">
        <v>99999</v>
      </c>
      <c r="H468" s="12"/>
      <c r="I468" s="12"/>
      <c r="J468" s="12"/>
      <c r="K468" s="12"/>
      <c r="L468" s="12"/>
      <c r="M468" s="12"/>
      <c r="N468" s="12">
        <v>16600</v>
      </c>
      <c r="O468" s="189"/>
      <c r="P468" s="190"/>
      <c r="Q468" s="162"/>
      <c r="R468" s="162"/>
      <c r="S468" s="255">
        <v>99999</v>
      </c>
      <c r="T468" s="12"/>
      <c r="U468" s="12"/>
      <c r="V468" s="12"/>
      <c r="W468" s="12"/>
      <c r="X468" s="12"/>
      <c r="AA468" s="12">
        <v>12500</v>
      </c>
      <c r="AB468" s="189"/>
      <c r="AC468" s="190"/>
      <c r="AD468" s="162"/>
      <c r="AE468" s="162"/>
      <c r="AF468" s="162"/>
      <c r="AG468" s="255">
        <v>99999</v>
      </c>
      <c r="AH468" s="12"/>
      <c r="AI468" s="12"/>
      <c r="AJ468" s="12"/>
      <c r="AK468" s="12"/>
      <c r="AL468" s="12"/>
    </row>
    <row r="469" spans="1:38" ht="15.75" customHeight="1">
      <c r="A469" s="12">
        <v>12600</v>
      </c>
      <c r="B469" s="189">
        <v>99999</v>
      </c>
      <c r="C469" s="190">
        <v>99999</v>
      </c>
      <c r="D469" s="190">
        <v>99999</v>
      </c>
      <c r="E469" s="190">
        <v>99999</v>
      </c>
      <c r="F469" s="190">
        <v>99999</v>
      </c>
      <c r="G469" s="204">
        <v>99999</v>
      </c>
      <c r="H469" s="178"/>
      <c r="I469" s="178"/>
      <c r="J469" s="178"/>
      <c r="K469" s="178"/>
      <c r="L469" s="178"/>
      <c r="M469" s="83"/>
      <c r="N469" s="12">
        <v>16700</v>
      </c>
      <c r="O469" s="189">
        <v>99999</v>
      </c>
      <c r="P469" s="190">
        <v>99999</v>
      </c>
      <c r="Q469" s="190">
        <v>99999</v>
      </c>
      <c r="R469" s="190">
        <v>99999</v>
      </c>
      <c r="S469" s="204">
        <v>99999</v>
      </c>
      <c r="T469" s="178"/>
      <c r="U469" s="178"/>
      <c r="V469" s="178"/>
      <c r="W469" s="178"/>
      <c r="X469" s="178"/>
      <c r="AA469" s="12">
        <v>12600</v>
      </c>
      <c r="AB469" s="189">
        <v>99999</v>
      </c>
      <c r="AC469" s="190">
        <v>99999</v>
      </c>
      <c r="AD469" s="190">
        <v>99999</v>
      </c>
      <c r="AE469" s="190">
        <v>99999</v>
      </c>
      <c r="AF469" s="190">
        <v>99999</v>
      </c>
      <c r="AG469" s="204">
        <v>99999</v>
      </c>
      <c r="AH469" s="178"/>
      <c r="AI469" s="178"/>
      <c r="AJ469" s="178"/>
      <c r="AK469" s="178"/>
      <c r="AL469" s="178"/>
    </row>
    <row r="470" spans="1:38" ht="15.75" customHeight="1">
      <c r="B470" s="98"/>
      <c r="C470" s="97"/>
      <c r="D470" s="12"/>
      <c r="E470" s="12"/>
      <c r="F470" s="12"/>
      <c r="G470" s="2"/>
      <c r="H470" s="2"/>
      <c r="I470" s="2"/>
      <c r="J470" s="98"/>
      <c r="K470" s="97"/>
      <c r="L470" s="12"/>
      <c r="M470" s="12"/>
      <c r="O470" s="98"/>
      <c r="P470" s="97"/>
      <c r="Q470" s="12"/>
      <c r="R470" s="12"/>
      <c r="S470" s="12"/>
      <c r="T470" s="2"/>
      <c r="U470" s="2"/>
      <c r="V470" s="2"/>
      <c r="W470" s="98"/>
      <c r="X470" s="97"/>
      <c r="Y470" s="12"/>
      <c r="AB470" s="98"/>
      <c r="AC470" s="97"/>
      <c r="AD470" s="12"/>
      <c r="AE470" s="12"/>
      <c r="AF470" s="12"/>
      <c r="AG470" s="2"/>
      <c r="AH470" s="2"/>
      <c r="AI470" s="2"/>
      <c r="AJ470" s="98"/>
      <c r="AK470" s="97"/>
      <c r="AL470" s="12"/>
    </row>
    <row r="471" spans="1:38" ht="15.75" customHeight="1">
      <c r="B471" s="98" t="s">
        <v>79</v>
      </c>
      <c r="C471" s="97">
        <f>C457</f>
        <v>3040</v>
      </c>
      <c r="D471" s="260" t="s">
        <v>136</v>
      </c>
      <c r="E471" s="304"/>
      <c r="G471" s="2"/>
      <c r="H471" s="2"/>
      <c r="I471" s="2"/>
      <c r="J471" s="98"/>
      <c r="K471" s="97"/>
      <c r="L471" s="82"/>
      <c r="O471" s="98" t="s">
        <v>79</v>
      </c>
      <c r="P471" s="97">
        <f>P457</f>
        <v>0</v>
      </c>
      <c r="Q471" s="260" t="s">
        <v>136</v>
      </c>
      <c r="R471" s="304"/>
      <c r="T471" s="2"/>
      <c r="U471" s="2"/>
      <c r="V471" s="2"/>
      <c r="W471" s="98"/>
      <c r="X471" s="97"/>
      <c r="Y471" s="82"/>
      <c r="AB471" s="98" t="s">
        <v>79</v>
      </c>
      <c r="AC471" s="97">
        <f>AC457</f>
        <v>0</v>
      </c>
      <c r="AD471" s="260" t="s">
        <v>136</v>
      </c>
      <c r="AE471" s="304"/>
      <c r="AG471" s="2"/>
      <c r="AH471" s="2"/>
      <c r="AI471" s="2"/>
      <c r="AJ471" s="98"/>
      <c r="AK471" s="97"/>
      <c r="AL471" s="82"/>
    </row>
    <row r="472" spans="1:38" ht="15.75" customHeight="1">
      <c r="B472" s="73" t="s">
        <v>137</v>
      </c>
      <c r="C472" s="100">
        <f t="array" ref="C472">INDEX(B460:G460,MATCH(C471,B460:G460,1))</f>
        <v>3000</v>
      </c>
      <c r="D472" s="73" t="s">
        <v>77</v>
      </c>
      <c r="E472" s="88">
        <f>MATCH(MAX(A461:A469),A461:A469,1)</f>
        <v>9</v>
      </c>
      <c r="G472" s="2"/>
      <c r="H472" s="2"/>
      <c r="I472" s="2"/>
      <c r="J472" s="73"/>
      <c r="K472" s="100"/>
      <c r="L472" s="73"/>
      <c r="M472" s="88"/>
      <c r="O472" s="73" t="s">
        <v>137</v>
      </c>
      <c r="P472" s="100" t="e">
        <f t="array" ref="P472">INDEX(O460:S460,MATCH(P471,O460:S460,1))</f>
        <v>#N/A</v>
      </c>
      <c r="Q472" s="73" t="s">
        <v>77</v>
      </c>
      <c r="R472" s="88">
        <f>MATCH(MAX(N461:N469),N461:N469,1)</f>
        <v>9</v>
      </c>
      <c r="T472" s="2"/>
      <c r="U472" s="2"/>
      <c r="V472" s="2"/>
      <c r="W472" s="73"/>
      <c r="X472" s="100"/>
      <c r="Y472" s="73"/>
      <c r="AB472" s="73" t="s">
        <v>137</v>
      </c>
      <c r="AC472" s="100" t="e">
        <f t="array" ref="AC472">INDEX(AB460:AG460,MATCH(AC471,AB460:AG460,1))</f>
        <v>#N/A</v>
      </c>
      <c r="AD472" s="73" t="s">
        <v>77</v>
      </c>
      <c r="AE472" s="88">
        <f>MATCH(MAX(AA461:AA469),AA461:AA469,1)</f>
        <v>9</v>
      </c>
      <c r="AG472" s="2"/>
      <c r="AH472" s="2"/>
      <c r="AI472" s="2"/>
      <c r="AJ472" s="73"/>
      <c r="AK472" s="100"/>
      <c r="AL472" s="73"/>
    </row>
    <row r="473" spans="1:38" ht="15.75" customHeight="1">
      <c r="B473" s="73" t="s">
        <v>138</v>
      </c>
      <c r="C473" s="100">
        <f t="array" ref="C473">INDEX(B460:G460,IF(MATCH(C471,B460:G460,1)&lt;E473,MATCH(C471,B460:G460,1)+1,MATCH(C471,B460:G460,1)))</f>
        <v>3500</v>
      </c>
      <c r="D473" s="73" t="s">
        <v>78</v>
      </c>
      <c r="E473" s="88">
        <f>MATCH(MAX(B460:G460),B460:G460,0)</f>
        <v>6</v>
      </c>
      <c r="G473" s="2"/>
      <c r="H473" s="2"/>
      <c r="I473" s="2"/>
      <c r="J473" s="73"/>
      <c r="K473" s="100"/>
      <c r="L473" s="73"/>
      <c r="M473" s="88"/>
      <c r="O473" s="73" t="s">
        <v>138</v>
      </c>
      <c r="P473" s="100" t="e">
        <f t="array" ref="P473">INDEX(O460:S460,IF(MATCH(P471,O460:S460,1)&lt;R473,MATCH(P471,O460:S460,1)+1,MATCH(P471,O460:S460,1)))</f>
        <v>#N/A</v>
      </c>
      <c r="Q473" s="73" t="s">
        <v>78</v>
      </c>
      <c r="R473" s="88">
        <f>MATCH(MAX(O460:S460),O460:S460,0)</f>
        <v>5</v>
      </c>
      <c r="T473" s="2"/>
      <c r="U473" s="2"/>
      <c r="V473" s="2"/>
      <c r="W473" s="73"/>
      <c r="X473" s="100"/>
      <c r="Y473" s="73"/>
      <c r="AB473" s="73" t="s">
        <v>138</v>
      </c>
      <c r="AC473" s="100" t="e">
        <f t="array" ref="AC473">INDEX(AB460:AG460,IF(MATCH(AC471,AB460:AG460,1)&lt;AE473,MATCH(AC471,AB460:AG460,1)+1,MATCH(AC471,AB460:AG460,1)))</f>
        <v>#N/A</v>
      </c>
      <c r="AD473" s="73" t="s">
        <v>78</v>
      </c>
      <c r="AE473" s="88">
        <f>MATCH(MAX(AB460:AG460),AB460:AG460,0)</f>
        <v>6</v>
      </c>
      <c r="AG473" s="2"/>
      <c r="AH473" s="2"/>
      <c r="AI473" s="2"/>
      <c r="AJ473" s="73"/>
      <c r="AK473" s="100"/>
      <c r="AL473" s="73"/>
    </row>
    <row r="474" spans="1:38" ht="15.75" customHeight="1">
      <c r="B474" s="96" t="s">
        <v>80</v>
      </c>
      <c r="C474" s="155">
        <f>'Take-off'!$C$14</f>
        <v>11000</v>
      </c>
      <c r="D474" s="2"/>
      <c r="E474" s="2"/>
      <c r="G474" s="2"/>
      <c r="H474" s="2"/>
      <c r="I474" s="2"/>
      <c r="J474" s="98"/>
      <c r="K474" s="155"/>
      <c r="L474" s="2"/>
      <c r="M474" s="2"/>
      <c r="O474" s="96" t="s">
        <v>80</v>
      </c>
      <c r="P474" s="155">
        <f>'Take-off'!$C$14</f>
        <v>11000</v>
      </c>
      <c r="Q474" s="2"/>
      <c r="R474" s="2"/>
      <c r="T474" s="2"/>
      <c r="U474" s="2"/>
      <c r="V474" s="2"/>
      <c r="W474" s="98"/>
      <c r="X474" s="155"/>
      <c r="Y474" s="2"/>
      <c r="AB474" s="96" t="s">
        <v>80</v>
      </c>
      <c r="AC474" s="155">
        <f>'Take-off'!$C$14</f>
        <v>11000</v>
      </c>
      <c r="AD474" s="2"/>
      <c r="AE474" s="2"/>
      <c r="AG474" s="2"/>
      <c r="AH474" s="2"/>
      <c r="AI474" s="2"/>
      <c r="AJ474" s="98"/>
      <c r="AK474" s="155"/>
      <c r="AL474" s="2"/>
    </row>
    <row r="475" spans="1:38" ht="15.75" customHeight="1">
      <c r="B475" s="73" t="s">
        <v>81</v>
      </c>
      <c r="C475" s="100">
        <f t="array" ref="C475">INDEX(A461:A469,MATCH(C474,A461:A469,1))</f>
        <v>11000</v>
      </c>
      <c r="D475" s="2"/>
      <c r="E475" s="92"/>
      <c r="G475" s="2"/>
      <c r="H475" s="2"/>
      <c r="I475" s="2"/>
      <c r="J475" s="73"/>
      <c r="K475" s="100"/>
      <c r="L475" s="2"/>
      <c r="M475" s="92"/>
      <c r="O475" s="73" t="s">
        <v>81</v>
      </c>
      <c r="P475" s="100">
        <f t="array" ref="P475">INDEX(N461:N469,MATCH(P474,N461:N469,1))</f>
        <v>11000</v>
      </c>
      <c r="Q475" s="2"/>
      <c r="R475" s="92"/>
      <c r="T475" s="2"/>
      <c r="U475" s="2"/>
      <c r="V475" s="2"/>
      <c r="W475" s="73"/>
      <c r="X475" s="100"/>
      <c r="Y475" s="2"/>
      <c r="AB475" s="73" t="s">
        <v>81</v>
      </c>
      <c r="AC475" s="100">
        <f t="array" ref="AC475">INDEX(AA461:AA469,MATCH(AC474,AA461:AA469,1))</f>
        <v>11000</v>
      </c>
      <c r="AD475" s="2"/>
      <c r="AE475" s="92"/>
      <c r="AG475" s="2"/>
      <c r="AH475" s="2"/>
      <c r="AI475" s="2"/>
      <c r="AJ475" s="73"/>
      <c r="AK475" s="100"/>
      <c r="AL475" s="2"/>
    </row>
    <row r="476" spans="1:38" ht="15.75" customHeight="1">
      <c r="B476" s="73" t="s">
        <v>82</v>
      </c>
      <c r="C476" s="100">
        <f t="array" ref="C476">INDEX(A461:A469,IF(MATCH(C474,A461:A469,1)&lt;E472,MATCH(C474,A461:A469,1)+1,MATCH(C474,A461:A469,1)))</f>
        <v>11500</v>
      </c>
      <c r="D476" s="2"/>
      <c r="E476" s="92"/>
      <c r="G476" s="2"/>
      <c r="H476" s="2"/>
      <c r="I476" s="2"/>
      <c r="J476" s="73"/>
      <c r="K476" s="100"/>
      <c r="L476" s="2"/>
      <c r="M476" s="92"/>
      <c r="O476" s="73" t="s">
        <v>82</v>
      </c>
      <c r="P476" s="100">
        <f t="array" ref="P476">INDEX(N461:N469,IF(MATCH(P474,N461:N469,1)&lt;R472,MATCH(P474,N461:N469,1)+1,MATCH(P474,N461:N469,1)))</f>
        <v>12000</v>
      </c>
      <c r="Q476" s="2"/>
      <c r="R476" s="92"/>
      <c r="T476" s="2"/>
      <c r="U476" s="2"/>
      <c r="V476" s="2"/>
      <c r="W476" s="73"/>
      <c r="X476" s="100"/>
      <c r="Y476" s="2"/>
      <c r="AB476" s="73" t="s">
        <v>82</v>
      </c>
      <c r="AC476" s="100">
        <f t="array" ref="AC476">INDEX(AA461:AA469,IF(MATCH(AC474,AA461:AA469,1)&lt;AE472,MATCH(AC474,AA461:AA469,1)+1,MATCH(AC474,AA461:AA469,1)))</f>
        <v>11500</v>
      </c>
      <c r="AD476" s="2"/>
      <c r="AE476" s="92"/>
      <c r="AG476" s="2"/>
      <c r="AH476" s="2"/>
      <c r="AI476" s="2"/>
      <c r="AJ476" s="73"/>
      <c r="AK476" s="100"/>
      <c r="AL476" s="2"/>
    </row>
    <row r="477" spans="1:38" ht="15.75" customHeight="1">
      <c r="B477" s="98" t="s">
        <v>83</v>
      </c>
      <c r="C477" s="97">
        <f t="array" ref="C477">INDEX(B461:G469,MATCH(C474,A461:A469,1),MATCH(C471,B460:G460,1))</f>
        <v>2850</v>
      </c>
      <c r="D477" s="2"/>
      <c r="E477" s="92"/>
      <c r="G477" s="2"/>
      <c r="H477" s="2"/>
      <c r="I477" s="2"/>
      <c r="J477" s="98"/>
      <c r="K477" s="97"/>
      <c r="L477" s="2"/>
      <c r="M477" s="92"/>
      <c r="O477" s="98" t="s">
        <v>83</v>
      </c>
      <c r="P477" s="97" t="e">
        <f t="array" ref="P477">INDEX(O461:S469,MATCH(P474,N461:N469,1),MATCH(P471,O460:S460,1))</f>
        <v>#N/A</v>
      </c>
      <c r="Q477" s="2"/>
      <c r="R477" s="92"/>
      <c r="T477" s="2"/>
      <c r="U477" s="2"/>
      <c r="V477" s="2"/>
      <c r="W477" s="98"/>
      <c r="X477" s="97"/>
      <c r="Y477" s="2"/>
      <c r="AB477" s="98" t="s">
        <v>83</v>
      </c>
      <c r="AC477" s="97" t="e">
        <f t="array" ref="AC477">INDEX(AB461:AG469,MATCH(AC474,AA461:AA469,1),MATCH(AC471,AB460:AG460,1))</f>
        <v>#N/A</v>
      </c>
      <c r="AD477" s="2"/>
      <c r="AE477" s="92"/>
      <c r="AG477" s="2"/>
      <c r="AH477" s="2"/>
      <c r="AI477" s="2"/>
      <c r="AJ477" s="98"/>
      <c r="AK477" s="97"/>
      <c r="AL477" s="2"/>
    </row>
    <row r="478" spans="1:38" ht="15.75" customHeight="1">
      <c r="B478" s="98" t="s">
        <v>139</v>
      </c>
      <c r="C478" s="97">
        <f t="array" ref="C478">INDEX(B461:G469,MATCH(C474,A461:A469,1),IF(MATCH(C471,B460:G460,1)&lt;E473,MATCH(C471,B460:G460,1)+1,MATCH(C474,A461:A469,1)))</f>
        <v>3300</v>
      </c>
      <c r="E478" s="92"/>
      <c r="G478" s="2"/>
      <c r="H478" s="2"/>
      <c r="I478" s="2"/>
      <c r="J478" s="98"/>
      <c r="K478" s="97"/>
      <c r="M478" s="92"/>
      <c r="O478" s="98" t="s">
        <v>139</v>
      </c>
      <c r="P478" s="97" t="e">
        <f t="array" ref="P478">INDEX(O461:S469,MATCH(P474,N461:N469,1),IF(MATCH(P471,O460:S460,1)&lt;R473,MATCH(P471,O460:S460,1)+1,MATCH(P474,N461:N469,1)))</f>
        <v>#N/A</v>
      </c>
      <c r="R478" s="92"/>
      <c r="T478" s="2"/>
      <c r="U478" s="2"/>
      <c r="V478" s="2"/>
      <c r="W478" s="98"/>
      <c r="X478" s="97"/>
      <c r="AB478" s="98" t="s">
        <v>139</v>
      </c>
      <c r="AC478" s="97" t="e">
        <f t="array" ref="AC478">INDEX(AB461:AG469,MATCH(AC474,AA461:AA469,1),IF(MATCH(AC471,AB460:AG460,1)&lt;AE473,MATCH(AC471,AB460:AG460,1)+1,MATCH(AC474,AA461:AA469,1)))</f>
        <v>#N/A</v>
      </c>
      <c r="AE478" s="92"/>
      <c r="AG478" s="2"/>
      <c r="AH478" s="2"/>
      <c r="AI478" s="2"/>
      <c r="AJ478" s="98"/>
      <c r="AK478" s="97"/>
    </row>
    <row r="479" spans="1:38" ht="15.75" customHeight="1">
      <c r="B479" s="98" t="s">
        <v>84</v>
      </c>
      <c r="C479" s="97">
        <f t="array" ref="C479">INDEX(B461:G469,IF(MATCH(C474,A461:A469,1)&lt;E472,MATCH(C474,A461:A469,1)+1,MATCH(C474,A461:A469,1)),MATCH(C471,B460:G460,1))</f>
        <v>2900</v>
      </c>
      <c r="E479" s="92"/>
      <c r="G479" s="2"/>
      <c r="H479" s="2"/>
      <c r="I479" s="2"/>
      <c r="J479" s="98"/>
      <c r="K479" s="97"/>
      <c r="M479" s="92"/>
      <c r="O479" s="98" t="s">
        <v>84</v>
      </c>
      <c r="P479" s="97" t="e">
        <f t="array" ref="P479">INDEX(O461:S469,IF(MATCH(P474,N461:N469,1)&lt;R472,MATCH(P474,N461:N469,1)+1,MATCH(P474,N461:N469,1)),MATCH(P471,O460:S460,1))</f>
        <v>#N/A</v>
      </c>
      <c r="R479" s="92"/>
      <c r="T479" s="2"/>
      <c r="U479" s="2"/>
      <c r="V479" s="2"/>
      <c r="W479" s="98"/>
      <c r="X479" s="97"/>
      <c r="AB479" s="98" t="s">
        <v>84</v>
      </c>
      <c r="AC479" s="97" t="e">
        <f t="array" ref="AC479">INDEX(AB461:AG469,IF(MATCH(AC474,AA461:AA469,1)&lt;AE472,MATCH(AC474,AA461:AA469,1)+1,MATCH(AC474,AA461:AA469,1)),MATCH(AC471,AB460:AG460,1))</f>
        <v>#N/A</v>
      </c>
      <c r="AE479" s="92"/>
      <c r="AG479" s="2"/>
      <c r="AH479" s="2"/>
      <c r="AI479" s="2"/>
      <c r="AJ479" s="98"/>
      <c r="AK479" s="97"/>
    </row>
    <row r="480" spans="1:38" ht="15.75" customHeight="1">
      <c r="B480" s="98" t="s">
        <v>140</v>
      </c>
      <c r="C480" s="97">
        <f t="array" ref="C480">INDEX(B461:G469,IF(MATCH(C474,A461:A469,1)&lt;E472,MATCH(C474,A461:A469,1)+1,MATCH(C474,A461:A469,1)),IF(MATCH(C471,B460:G460,1)&lt;E473,MATCH(C471,B460:G460,1)+1,MATCH(C471,B460:G460,1)))</f>
        <v>3380</v>
      </c>
      <c r="G480" s="2"/>
      <c r="H480" s="2"/>
      <c r="I480" s="2"/>
      <c r="J480" s="98"/>
      <c r="K480" s="97"/>
      <c r="O480" s="98" t="s">
        <v>140</v>
      </c>
      <c r="P480" s="97" t="e">
        <f t="array" ref="P480">INDEX(O461:S469,IF(MATCH(P474,N461:N469,1)&lt;R472,MATCH(P474,N461:N469,1)+1,MATCH(P474,N461:N469,1)),IF(MATCH(P471,O460:S460,1)&lt;R473,MATCH(P471,O460:S460,1)+1,MATCH(P471,O460:S460,1)))</f>
        <v>#N/A</v>
      </c>
      <c r="T480" s="2"/>
      <c r="U480" s="2"/>
      <c r="V480" s="2"/>
      <c r="W480" s="98"/>
      <c r="X480" s="97"/>
      <c r="AB480" s="98" t="s">
        <v>140</v>
      </c>
      <c r="AC480" s="97" t="e">
        <f t="array" ref="AC480">INDEX(AB461:AG469,IF(MATCH(AC474,AA461:AA469,1)&lt;AE472,MATCH(AC474,AA461:AA469,1)+1,MATCH(AC474,AA461:AA469,1)),IF(MATCH(AC471,AB460:AG460,1)&lt;AE473,MATCH(AC471,AB460:AG460,1)+1,MATCH(AC471,AB460:AG460,1)))</f>
        <v>#N/A</v>
      </c>
      <c r="AG480" s="2"/>
      <c r="AH480" s="2"/>
      <c r="AI480" s="2"/>
      <c r="AJ480" s="98"/>
      <c r="AK480" s="97"/>
    </row>
    <row r="481" spans="1:38" ht="15.75" customHeight="1">
      <c r="B481" s="73" t="s">
        <v>141</v>
      </c>
      <c r="C481" s="100">
        <f>IFERROR(C477+(C471-C472)*(C478-C477)/(C473-C472),C477)</f>
        <v>2886</v>
      </c>
      <c r="G481" s="2"/>
      <c r="H481" s="2"/>
      <c r="I481" s="2"/>
      <c r="J481" s="73"/>
      <c r="K481" s="100"/>
      <c r="O481" s="73" t="s">
        <v>141</v>
      </c>
      <c r="P481" s="100" t="e">
        <f>IFERROR(P477+(P471-P472)*(P478-P477)/(P473-P472),P477)</f>
        <v>#N/A</v>
      </c>
      <c r="T481" s="2"/>
      <c r="U481" s="2"/>
      <c r="V481" s="2"/>
      <c r="W481" s="73"/>
      <c r="X481" s="100"/>
      <c r="AB481" s="73" t="s">
        <v>141</v>
      </c>
      <c r="AC481" s="100" t="e">
        <f>IFERROR(AC477+(AC471-AC472)*(AC478-AC477)/(AC473-AC472),AC477)</f>
        <v>#N/A</v>
      </c>
      <c r="AG481" s="2"/>
      <c r="AH481" s="2"/>
      <c r="AI481" s="2"/>
      <c r="AJ481" s="73"/>
      <c r="AK481" s="100"/>
    </row>
    <row r="482" spans="1:38" ht="15.75" customHeight="1">
      <c r="B482" s="73" t="s">
        <v>142</v>
      </c>
      <c r="C482" s="100">
        <f>IFERROR(C479+(C471-C472)*(C480-C479)/(C473-C472),C479)</f>
        <v>2938.4</v>
      </c>
      <c r="G482" s="2"/>
      <c r="H482" s="2"/>
      <c r="I482" s="2"/>
      <c r="J482" s="73"/>
      <c r="K482" s="100"/>
      <c r="O482" s="73" t="s">
        <v>142</v>
      </c>
      <c r="P482" s="100" t="e">
        <f>IFERROR(P479+(P471-P472)*(P480-P479)/(P473-P472),P479)</f>
        <v>#N/A</v>
      </c>
      <c r="T482" s="2"/>
      <c r="U482" s="2"/>
      <c r="V482" s="2"/>
      <c r="W482" s="73"/>
      <c r="X482" s="100"/>
      <c r="AB482" s="73" t="s">
        <v>142</v>
      </c>
      <c r="AC482" s="100" t="e">
        <f>IFERROR(AC479+(AC471-AC472)*(AC480-AC479)/(AC473-AC472),AC479)</f>
        <v>#N/A</v>
      </c>
      <c r="AG482" s="2"/>
      <c r="AH482" s="2"/>
      <c r="AI482" s="2"/>
      <c r="AJ482" s="73"/>
      <c r="AK482" s="100"/>
    </row>
    <row r="483" spans="1:38" ht="15.75" customHeight="1">
      <c r="B483" s="98" t="s">
        <v>143</v>
      </c>
      <c r="C483" s="97">
        <f>IFERROR(C481+(C474-C475)*(C482-C481)/(C476-C475),C481)</f>
        <v>2886</v>
      </c>
      <c r="G483" s="2"/>
      <c r="H483" s="2"/>
      <c r="I483" s="2"/>
      <c r="J483" s="98"/>
      <c r="K483" s="97"/>
      <c r="O483" s="98" t="s">
        <v>143</v>
      </c>
      <c r="P483" s="97" t="e">
        <f>IFERROR(P481+(P474-P475)*(P482-P481)/(P476-P475),P481)</f>
        <v>#N/A</v>
      </c>
      <c r="T483" s="2"/>
      <c r="U483" s="2"/>
      <c r="V483" s="2"/>
      <c r="W483" s="98"/>
      <c r="X483" s="97"/>
      <c r="AB483" s="98" t="s">
        <v>143</v>
      </c>
      <c r="AC483" s="97" t="e">
        <f>IFERROR(AC481+(AC474-AC475)*(AC482-AC481)/(AC476-AC475),AC481)</f>
        <v>#N/A</v>
      </c>
      <c r="AG483" s="2"/>
      <c r="AH483" s="2"/>
      <c r="AI483" s="2"/>
      <c r="AJ483" s="98"/>
      <c r="AK483" s="97"/>
    </row>
    <row r="484" spans="1:38" ht="15.75" customHeight="1">
      <c r="J484" s="12"/>
      <c r="K484" s="12"/>
      <c r="L484" s="12"/>
      <c r="M484" s="12"/>
      <c r="W484" s="12"/>
      <c r="X484" s="12"/>
      <c r="Y484" s="12"/>
      <c r="AJ484" s="12"/>
      <c r="AK484" s="12"/>
      <c r="AL484" s="12"/>
    </row>
    <row r="485" spans="1:38" ht="15.75" customHeight="1">
      <c r="A485" s="12"/>
      <c r="B485" s="260" t="s">
        <v>145</v>
      </c>
      <c r="C485" s="304"/>
      <c r="D485" s="304"/>
      <c r="E485" s="304"/>
      <c r="F485" s="304"/>
      <c r="G485" s="304"/>
      <c r="H485" s="304"/>
      <c r="I485" s="304"/>
      <c r="J485" s="82"/>
      <c r="K485" s="82"/>
      <c r="L485" s="82"/>
      <c r="M485" s="82"/>
      <c r="N485" s="12"/>
      <c r="O485" s="260" t="s">
        <v>145</v>
      </c>
      <c r="P485" s="304"/>
      <c r="Q485" s="304"/>
      <c r="R485" s="304"/>
      <c r="S485" s="304"/>
      <c r="T485" s="304"/>
      <c r="U485" s="304"/>
      <c r="V485" s="304"/>
      <c r="W485" s="82"/>
      <c r="X485" s="82"/>
      <c r="Y485" s="82"/>
      <c r="AA485" s="12"/>
      <c r="AB485" s="260" t="s">
        <v>145</v>
      </c>
      <c r="AC485" s="304"/>
      <c r="AD485" s="304"/>
      <c r="AE485" s="304"/>
      <c r="AF485" s="304"/>
      <c r="AG485" s="304"/>
      <c r="AH485" s="304"/>
      <c r="AI485" s="304"/>
      <c r="AJ485" s="82"/>
      <c r="AK485" s="82"/>
      <c r="AL485" s="82"/>
    </row>
    <row r="486" spans="1:38" ht="15.75" customHeight="1">
      <c r="A486" s="12" t="s">
        <v>42</v>
      </c>
      <c r="B486" s="192">
        <v>2000</v>
      </c>
      <c r="C486" s="192">
        <v>2500</v>
      </c>
      <c r="D486" s="192">
        <v>3000</v>
      </c>
      <c r="E486" s="192">
        <v>3500</v>
      </c>
      <c r="F486" s="183">
        <v>4000</v>
      </c>
      <c r="G486" s="183">
        <v>4500</v>
      </c>
      <c r="H486" s="185">
        <v>5000</v>
      </c>
      <c r="I486" s="12"/>
      <c r="J486" s="12"/>
      <c r="K486" s="12"/>
      <c r="L486" s="12"/>
      <c r="M486" s="12"/>
      <c r="N486" s="12" t="s">
        <v>42</v>
      </c>
      <c r="O486" s="182">
        <v>2400</v>
      </c>
      <c r="P486" s="192">
        <v>2800</v>
      </c>
      <c r="Q486" s="192">
        <v>3500</v>
      </c>
      <c r="R486" s="192">
        <v>4350</v>
      </c>
      <c r="S486" s="192">
        <v>5100</v>
      </c>
      <c r="T486" s="192">
        <v>5900</v>
      </c>
      <c r="U486" s="185">
        <v>6000</v>
      </c>
      <c r="W486" s="12"/>
      <c r="X486" s="12"/>
      <c r="Y486" s="12"/>
      <c r="AA486" s="12" t="s">
        <v>42</v>
      </c>
      <c r="AB486" s="182">
        <v>2600</v>
      </c>
      <c r="AC486" s="192">
        <v>3100</v>
      </c>
      <c r="AD486" s="192">
        <v>3550</v>
      </c>
      <c r="AE486" s="192">
        <v>4000</v>
      </c>
      <c r="AF486" s="192">
        <v>4450</v>
      </c>
      <c r="AG486" s="192">
        <v>4900</v>
      </c>
      <c r="AH486" s="194">
        <v>5500</v>
      </c>
      <c r="AI486" s="83"/>
      <c r="AJ486" s="12"/>
      <c r="AL486" s="12"/>
    </row>
    <row r="487" spans="1:38" ht="15.75" customHeight="1">
      <c r="A487" s="12">
        <v>-10</v>
      </c>
      <c r="B487" s="182">
        <v>2200</v>
      </c>
      <c r="C487" s="192">
        <v>2750</v>
      </c>
      <c r="D487" s="192">
        <v>3350</v>
      </c>
      <c r="E487" s="192">
        <v>3950</v>
      </c>
      <c r="F487" s="192">
        <v>4500</v>
      </c>
      <c r="G487" s="192">
        <v>5100</v>
      </c>
      <c r="H487" s="194">
        <v>99999</v>
      </c>
      <c r="I487" s="12"/>
      <c r="J487" s="12"/>
      <c r="K487" s="12"/>
      <c r="N487" s="12">
        <v>-10</v>
      </c>
      <c r="O487" s="182"/>
      <c r="P487" s="192"/>
      <c r="Q487" s="192"/>
      <c r="R487" s="192"/>
      <c r="S487" s="192"/>
      <c r="T487" s="192"/>
      <c r="U487" s="194">
        <v>99999</v>
      </c>
      <c r="W487" s="12"/>
      <c r="AA487" s="12">
        <v>-10</v>
      </c>
      <c r="AB487" s="182"/>
      <c r="AC487" s="192"/>
      <c r="AD487" s="192"/>
      <c r="AE487" s="192"/>
      <c r="AF487" s="192"/>
      <c r="AG487" s="192"/>
      <c r="AH487" s="194">
        <v>99999</v>
      </c>
      <c r="AI487" s="82"/>
      <c r="AJ487" s="12"/>
      <c r="AL487" s="12"/>
    </row>
    <row r="488" spans="1:38" ht="15.75" customHeight="1">
      <c r="A488" s="12">
        <v>0</v>
      </c>
      <c r="B488" s="256">
        <v>2000</v>
      </c>
      <c r="C488" s="82">
        <v>2500</v>
      </c>
      <c r="D488" s="82">
        <v>3000</v>
      </c>
      <c r="E488" s="82">
        <v>3500</v>
      </c>
      <c r="F488" s="82">
        <v>4000</v>
      </c>
      <c r="G488" s="82">
        <v>4500</v>
      </c>
      <c r="H488" s="194">
        <v>99999</v>
      </c>
      <c r="I488" s="12"/>
      <c r="J488" s="12"/>
      <c r="K488" s="12"/>
      <c r="N488" s="12">
        <v>0</v>
      </c>
      <c r="O488" s="256"/>
      <c r="P488" s="82"/>
      <c r="Q488" s="82"/>
      <c r="R488" s="82"/>
      <c r="S488" s="82"/>
      <c r="T488" s="82"/>
      <c r="U488" s="194">
        <v>99999</v>
      </c>
      <c r="W488" s="12"/>
      <c r="AA488" s="12">
        <v>0</v>
      </c>
      <c r="AB488" s="256"/>
      <c r="AC488" s="82"/>
      <c r="AD488" s="82"/>
      <c r="AE488" s="82"/>
      <c r="AF488" s="82"/>
      <c r="AG488" s="82"/>
      <c r="AH488" s="257">
        <v>99999</v>
      </c>
      <c r="AI488" s="82"/>
      <c r="AJ488" s="12"/>
      <c r="AL488" s="12"/>
    </row>
    <row r="489" spans="1:38" ht="15.75" customHeight="1">
      <c r="A489" s="12">
        <v>30</v>
      </c>
      <c r="B489" s="189">
        <v>1800</v>
      </c>
      <c r="C489" s="195">
        <v>2200</v>
      </c>
      <c r="D489" s="195">
        <v>2700</v>
      </c>
      <c r="E489" s="195">
        <v>3100</v>
      </c>
      <c r="F489" s="195">
        <v>3600</v>
      </c>
      <c r="G489" s="195">
        <v>4050</v>
      </c>
      <c r="H489" s="211">
        <v>99999</v>
      </c>
      <c r="I489" s="12"/>
      <c r="J489" s="12"/>
      <c r="K489" s="12"/>
      <c r="N489" s="12">
        <v>30</v>
      </c>
      <c r="O489" s="189"/>
      <c r="P489" s="195"/>
      <c r="Q489" s="195"/>
      <c r="R489" s="195"/>
      <c r="S489" s="195"/>
      <c r="T489" s="195"/>
      <c r="U489" s="211">
        <v>99999</v>
      </c>
      <c r="W489" s="12"/>
      <c r="AA489" s="12">
        <v>30</v>
      </c>
      <c r="AB489" s="189"/>
      <c r="AC489" s="195"/>
      <c r="AD489" s="195"/>
      <c r="AE489" s="195"/>
      <c r="AF489" s="195"/>
      <c r="AG489" s="195"/>
      <c r="AH489" s="208">
        <v>99999</v>
      </c>
      <c r="AI489" s="82"/>
      <c r="AJ489" s="12"/>
      <c r="AL489" s="12"/>
    </row>
    <row r="490" spans="1:38" ht="15.75" customHeight="1">
      <c r="B490" s="98"/>
      <c r="C490" s="97"/>
      <c r="D490" s="12"/>
      <c r="E490" s="12"/>
      <c r="F490" s="12"/>
      <c r="G490" s="2"/>
      <c r="H490" s="2"/>
      <c r="I490" s="2"/>
      <c r="J490" s="98"/>
      <c r="K490" s="97"/>
      <c r="O490" s="98"/>
      <c r="P490" s="97"/>
      <c r="Q490" s="12"/>
      <c r="R490" s="12"/>
      <c r="S490" s="12"/>
      <c r="T490" s="2"/>
      <c r="U490" s="2"/>
      <c r="V490" s="2"/>
      <c r="W490" s="98"/>
      <c r="X490" s="97"/>
      <c r="AB490" s="98"/>
      <c r="AC490" s="97"/>
      <c r="AD490" s="12"/>
      <c r="AE490" s="12"/>
      <c r="AF490" s="12"/>
      <c r="AG490" s="2"/>
      <c r="AH490" s="2"/>
      <c r="AI490" s="2"/>
      <c r="AJ490" s="98"/>
      <c r="AK490" s="97"/>
    </row>
    <row r="491" spans="1:38" ht="15.75" customHeight="1">
      <c r="B491" s="98" t="s">
        <v>79</v>
      </c>
      <c r="C491" s="97">
        <f>C483</f>
        <v>2886</v>
      </c>
      <c r="D491" s="260" t="s">
        <v>136</v>
      </c>
      <c r="E491" s="304"/>
      <c r="G491" s="2"/>
      <c r="H491" s="2"/>
      <c r="I491" s="2"/>
      <c r="J491" s="98"/>
      <c r="K491" s="97"/>
      <c r="L491" s="82"/>
      <c r="O491" s="98" t="s">
        <v>79</v>
      </c>
      <c r="P491" s="97" t="e">
        <f>P483</f>
        <v>#N/A</v>
      </c>
      <c r="Q491" s="260" t="s">
        <v>136</v>
      </c>
      <c r="R491" s="304"/>
      <c r="T491" s="2"/>
      <c r="U491" s="2"/>
      <c r="V491" s="2"/>
      <c r="W491" s="98"/>
      <c r="X491" s="97"/>
      <c r="Y491" s="82"/>
      <c r="AB491" s="98" t="s">
        <v>79</v>
      </c>
      <c r="AC491" s="97" t="e">
        <f>AC483</f>
        <v>#N/A</v>
      </c>
      <c r="AD491" s="260" t="s">
        <v>136</v>
      </c>
      <c r="AE491" s="304"/>
      <c r="AG491" s="2"/>
      <c r="AH491" s="2"/>
      <c r="AI491" s="2"/>
      <c r="AJ491" s="98"/>
      <c r="AK491" s="97"/>
      <c r="AL491" s="82"/>
    </row>
    <row r="492" spans="1:38" ht="15.75" customHeight="1">
      <c r="B492" s="73" t="s">
        <v>137</v>
      </c>
      <c r="C492" s="100">
        <f t="array" ref="C492">INDEX(B486:H486,MATCH(C491,B486:H486,1))</f>
        <v>2500</v>
      </c>
      <c r="D492" s="73" t="s">
        <v>77</v>
      </c>
      <c r="E492" s="88">
        <f>MATCH(MAX(A487:A489),A487:A489,1)</f>
        <v>3</v>
      </c>
      <c r="G492" s="2"/>
      <c r="H492" s="2"/>
      <c r="I492" s="2"/>
      <c r="J492" s="73"/>
      <c r="K492" s="100"/>
      <c r="L492" s="73"/>
      <c r="M492" s="88"/>
      <c r="O492" s="73" t="s">
        <v>137</v>
      </c>
      <c r="P492" s="100" t="e">
        <f t="array" ref="P492">INDEX(O486:U486,MATCH(P491,O486:U486,1))</f>
        <v>#N/A</v>
      </c>
      <c r="Q492" s="73" t="s">
        <v>77</v>
      </c>
      <c r="R492" s="88">
        <f>MATCH(MAX(N487:N489),N487:N489,1)</f>
        <v>3</v>
      </c>
      <c r="T492" s="2"/>
      <c r="U492" s="2"/>
      <c r="V492" s="2"/>
      <c r="W492" s="73"/>
      <c r="X492" s="100"/>
      <c r="Y492" s="73"/>
      <c r="AB492" s="73" t="s">
        <v>137</v>
      </c>
      <c r="AC492" s="100" t="e">
        <f t="array" ref="AC492">INDEX(AB486:AH486,MATCH(AC491,AB486:AH486,1))</f>
        <v>#N/A</v>
      </c>
      <c r="AD492" s="73" t="s">
        <v>77</v>
      </c>
      <c r="AE492" s="88">
        <f>MATCH(MAX(AA487:AA489),AA487:AA489,1)</f>
        <v>3</v>
      </c>
      <c r="AG492" s="2"/>
      <c r="AH492" s="2"/>
      <c r="AI492" s="2"/>
      <c r="AJ492" s="73"/>
      <c r="AK492" s="100"/>
      <c r="AL492" s="73"/>
    </row>
    <row r="493" spans="1:38" ht="15.75" customHeight="1">
      <c r="B493" s="73" t="s">
        <v>138</v>
      </c>
      <c r="C493" s="100">
        <f t="array" ref="C493">INDEX(B486:H486,IF(MATCH(C491,B486:H486,1)&lt;E493,MATCH(C491,B486:H486,1)+1,MATCH(C491,B486:H486,1)))</f>
        <v>3000</v>
      </c>
      <c r="D493" s="73" t="s">
        <v>78</v>
      </c>
      <c r="E493" s="88">
        <f>MATCH(MAX(B486:H486),B486:H486,0)</f>
        <v>7</v>
      </c>
      <c r="G493" s="2"/>
      <c r="H493" s="2"/>
      <c r="I493" s="2"/>
      <c r="J493" s="73"/>
      <c r="K493" s="100"/>
      <c r="L493" s="73"/>
      <c r="M493" s="88"/>
      <c r="O493" s="73" t="s">
        <v>138</v>
      </c>
      <c r="P493" s="100" t="e">
        <f t="array" ref="P493">INDEX(O486:U486,IF(MATCH(P491,O486:U486,1)&lt;R493,MATCH(P491,O486:U486,1)+1,MATCH(P491,O486:U486,1)))</f>
        <v>#N/A</v>
      </c>
      <c r="Q493" s="73" t="s">
        <v>78</v>
      </c>
      <c r="R493" s="88">
        <f>MATCH(MAX(O486:U486),O486:U486,0)</f>
        <v>7</v>
      </c>
      <c r="T493" s="2"/>
      <c r="U493" s="2"/>
      <c r="V493" s="2"/>
      <c r="W493" s="73"/>
      <c r="X493" s="100"/>
      <c r="Y493" s="73"/>
      <c r="AB493" s="73" t="s">
        <v>138</v>
      </c>
      <c r="AC493" s="100" t="e">
        <f t="array" ref="AC493">INDEX(AB486:AH486,IF(MATCH(AC491,AB486:AH486,1)&lt;AE493,MATCH(AC491,AB486:AH486,1)+1,MATCH(AC491,AB486:AH486,1)))</f>
        <v>#N/A</v>
      </c>
      <c r="AD493" s="73" t="s">
        <v>78</v>
      </c>
      <c r="AE493" s="88">
        <f>MATCH(MAX(AB486:AH486),AB486:AH486,0)</f>
        <v>7</v>
      </c>
      <c r="AG493" s="2"/>
      <c r="AH493" s="2"/>
      <c r="AI493" s="2"/>
      <c r="AJ493" s="73"/>
      <c r="AK493" s="100"/>
      <c r="AL493" s="73"/>
    </row>
    <row r="494" spans="1:38" ht="15.75" customHeight="1">
      <c r="B494" s="96" t="s">
        <v>80</v>
      </c>
      <c r="C494" s="155">
        <f>C14</f>
        <v>11000</v>
      </c>
      <c r="D494" s="2"/>
      <c r="E494" s="2"/>
      <c r="G494" s="2"/>
      <c r="H494" s="2"/>
      <c r="I494" s="2"/>
      <c r="J494" s="98"/>
      <c r="K494" s="155"/>
      <c r="L494" s="2"/>
      <c r="M494" s="2"/>
      <c r="O494" s="96" t="s">
        <v>80</v>
      </c>
      <c r="P494" s="155">
        <f>'Take-off'!$C$24</f>
        <v>0</v>
      </c>
      <c r="Q494" s="2"/>
      <c r="R494" s="2"/>
      <c r="T494" s="2"/>
      <c r="U494" s="2"/>
      <c r="V494" s="2"/>
      <c r="W494" s="98"/>
      <c r="X494" s="155"/>
      <c r="Y494" s="2"/>
      <c r="AB494" s="96" t="s">
        <v>80</v>
      </c>
      <c r="AC494" s="155">
        <f>'Take-off'!$C$24</f>
        <v>0</v>
      </c>
      <c r="AD494" s="2"/>
      <c r="AE494" s="2"/>
      <c r="AG494" s="2"/>
      <c r="AH494" s="2"/>
      <c r="AI494" s="2"/>
      <c r="AJ494" s="98"/>
      <c r="AK494" s="155"/>
      <c r="AL494" s="2"/>
    </row>
    <row r="495" spans="1:38" ht="15.75" customHeight="1">
      <c r="B495" s="73" t="s">
        <v>81</v>
      </c>
      <c r="C495" s="100">
        <f>INDEX(A487:A489,MATCH(C494,A487:A489,1))</f>
        <v>30</v>
      </c>
      <c r="D495" s="2"/>
      <c r="E495" s="92"/>
      <c r="G495" s="2"/>
      <c r="H495" s="2"/>
      <c r="I495" s="2"/>
      <c r="J495" s="73"/>
      <c r="K495" s="100"/>
      <c r="L495" s="2"/>
      <c r="M495" s="92"/>
      <c r="O495" s="73" t="s">
        <v>81</v>
      </c>
      <c r="P495" s="100">
        <f t="array" ref="P495">INDEX(N487:N489,MATCH(P494,N487:N489,1))</f>
        <v>0</v>
      </c>
      <c r="Q495" s="2"/>
      <c r="R495" s="92"/>
      <c r="T495" s="2"/>
      <c r="U495" s="2"/>
      <c r="V495" s="2"/>
      <c r="W495" s="73"/>
      <c r="X495" s="100"/>
      <c r="Y495" s="2"/>
      <c r="AB495" s="73" t="s">
        <v>81</v>
      </c>
      <c r="AC495" s="100">
        <f t="array" ref="AC495">INDEX(AA487:AA489,MATCH(AC494,AA487:AA489,1))</f>
        <v>0</v>
      </c>
      <c r="AD495" s="2"/>
      <c r="AE495" s="92"/>
      <c r="AG495" s="2"/>
      <c r="AH495" s="2"/>
      <c r="AI495" s="2"/>
      <c r="AJ495" s="73"/>
      <c r="AK495" s="100"/>
      <c r="AL495" s="2"/>
    </row>
    <row r="496" spans="1:38" ht="15.75" customHeight="1">
      <c r="B496" s="73" t="s">
        <v>82</v>
      </c>
      <c r="C496" s="100" cm="1">
        <f t="array" ref="C496">INDEX(A487:A489,IF(MATCH(C494,A487:A489,1)&lt;E492,MATCH(C494,A487:A489,1)+1,MATCH(C494,A487:A489,1)))</f>
        <v>30</v>
      </c>
      <c r="D496" s="2"/>
      <c r="E496" s="92"/>
      <c r="G496" s="2"/>
      <c r="H496" s="2"/>
      <c r="I496" s="2"/>
      <c r="J496" s="73"/>
      <c r="K496" s="100"/>
      <c r="L496" s="2"/>
      <c r="M496" s="92"/>
      <c r="O496" s="73" t="s">
        <v>82</v>
      </c>
      <c r="P496" s="100">
        <f t="array" ref="P496">INDEX(N487:N489,IF(MATCH(P494,N487:N489,1)&lt;R492,MATCH(P494,N487:N489,1)+1,MATCH(P494,N487:N489,1)))</f>
        <v>30</v>
      </c>
      <c r="Q496" s="2"/>
      <c r="R496" s="92"/>
      <c r="T496" s="2"/>
      <c r="U496" s="2"/>
      <c r="V496" s="2"/>
      <c r="W496" s="73"/>
      <c r="X496" s="100"/>
      <c r="Y496" s="2"/>
      <c r="AB496" s="73" t="s">
        <v>82</v>
      </c>
      <c r="AC496" s="100">
        <f t="array" ref="AC496">INDEX(AA487:AA489,IF(MATCH(AC494,AA487:AA489,1)&lt;AE492,MATCH(AC494,AA487:AA489,1)+1,MATCH(AC494,AA487:AA489,1)))</f>
        <v>30</v>
      </c>
      <c r="AD496" s="2"/>
      <c r="AE496" s="92"/>
      <c r="AG496" s="2"/>
      <c r="AH496" s="2"/>
      <c r="AI496" s="2"/>
      <c r="AJ496" s="73"/>
      <c r="AK496" s="100"/>
      <c r="AL496" s="2"/>
    </row>
    <row r="497" spans="1:38" ht="15.75" customHeight="1">
      <c r="B497" s="98" t="s">
        <v>83</v>
      </c>
      <c r="C497" s="97">
        <f t="array" ref="C497">INDEX(B487:H489,MATCH(C494,A487:A489,1),MATCH(C491,B486:H486,1))</f>
        <v>2200</v>
      </c>
      <c r="D497" s="2"/>
      <c r="E497" s="92"/>
      <c r="G497" s="2"/>
      <c r="H497" s="2"/>
      <c r="I497" s="2"/>
      <c r="J497" s="98"/>
      <c r="K497" s="97"/>
      <c r="L497" s="2"/>
      <c r="M497" s="92"/>
      <c r="O497" s="98" t="s">
        <v>83</v>
      </c>
      <c r="P497" s="97" t="e">
        <f t="array" ref="P497">INDEX(O487:U489,MATCH(P494,N487:N489,1),MATCH(P491,O486:U486,1))</f>
        <v>#N/A</v>
      </c>
      <c r="Q497" s="2"/>
      <c r="R497" s="92"/>
      <c r="T497" s="2"/>
      <c r="U497" s="2"/>
      <c r="V497" s="2"/>
      <c r="W497" s="98"/>
      <c r="X497" s="97"/>
      <c r="Y497" s="2"/>
      <c r="AB497" s="98" t="s">
        <v>83</v>
      </c>
      <c r="AC497" s="97" t="e">
        <f t="array" ref="AC497">INDEX(AB487:AH489,MATCH(AC494,AA487:AA489,1),MATCH(AC491,AB486:AH486,1))</f>
        <v>#N/A</v>
      </c>
      <c r="AD497" s="2"/>
      <c r="AE497" s="92"/>
      <c r="AG497" s="2"/>
      <c r="AH497" s="2"/>
      <c r="AI497" s="2"/>
      <c r="AJ497" s="98"/>
      <c r="AK497" s="97"/>
      <c r="AL497" s="2"/>
    </row>
    <row r="498" spans="1:38" ht="15.75" customHeight="1">
      <c r="B498" s="98" t="s">
        <v>139</v>
      </c>
      <c r="C498" s="97">
        <f t="array" ref="C498">INDEX(B487:H489,MATCH(C494,A487:A489,1),IF(MATCH(C491,B486:H486,1)&lt;E493,MATCH(C491,B486:H486,1)+1,MATCH(C494,A487:A489,1)))</f>
        <v>2700</v>
      </c>
      <c r="E498" s="92"/>
      <c r="G498" s="2"/>
      <c r="H498" s="2"/>
      <c r="I498" s="2"/>
      <c r="J498" s="98"/>
      <c r="K498" s="97"/>
      <c r="M498" s="92"/>
      <c r="O498" s="98" t="s">
        <v>139</v>
      </c>
      <c r="P498" s="97" t="e">
        <f t="array" ref="P498">INDEX(O487:U489,MATCH(P494,N487:N489,1),IF(MATCH(P491,O486:U486,1)&lt;R493,MATCH(P491,O486:U486,1)+1,MATCH(P494,N487:N489,1)))</f>
        <v>#N/A</v>
      </c>
      <c r="R498" s="92"/>
      <c r="T498" s="2"/>
      <c r="U498" s="2"/>
      <c r="V498" s="2"/>
      <c r="W498" s="98"/>
      <c r="X498" s="97"/>
      <c r="AB498" s="98" t="s">
        <v>139</v>
      </c>
      <c r="AC498" s="97" t="e">
        <f t="array" ref="AC498">INDEX(AB487:AH489,MATCH(AC494,AA487:AA489,1),IF(MATCH(AC491,AB486:AH486,1)&lt;AE493,MATCH(AC491,AB486:AH486,1)+1,MATCH(AC494,AA487:AA489,1)))</f>
        <v>#N/A</v>
      </c>
      <c r="AE498" s="92"/>
      <c r="AG498" s="2"/>
      <c r="AH498" s="2"/>
      <c r="AI498" s="2"/>
      <c r="AJ498" s="98"/>
      <c r="AK498" s="97"/>
    </row>
    <row r="499" spans="1:38" ht="15.75" customHeight="1">
      <c r="B499" s="98" t="s">
        <v>84</v>
      </c>
      <c r="C499" s="97">
        <f t="array" ref="C499">INDEX(B487:H489,IF(MATCH(C494,A487:A489,1)&lt;E492,MATCH(C494,A487:A489,1)+1,MATCH(C494,A487:A489,1)),MATCH(C491,B486:H486,1))</f>
        <v>2200</v>
      </c>
      <c r="E499" s="92"/>
      <c r="G499" s="2"/>
      <c r="H499" s="2"/>
      <c r="I499" s="2"/>
      <c r="J499" s="98"/>
      <c r="K499" s="97"/>
      <c r="M499" s="92"/>
      <c r="O499" s="98" t="s">
        <v>84</v>
      </c>
      <c r="P499" s="97" t="e">
        <f t="array" ref="P499">INDEX(O487:U489,IF(MATCH(P494,N487:N489,1)&lt;R492,MATCH(P494,N487:N489,1)+1,MATCH(P494,N487:N489,1)),MATCH(P491,O486:U486,1))</f>
        <v>#N/A</v>
      </c>
      <c r="R499" s="92"/>
      <c r="T499" s="2"/>
      <c r="U499" s="2"/>
      <c r="V499" s="2"/>
      <c r="W499" s="98"/>
      <c r="X499" s="97"/>
      <c r="AB499" s="98" t="s">
        <v>84</v>
      </c>
      <c r="AC499" s="97" t="e">
        <f t="array" ref="AC499">INDEX(AB487:AH489,IF(MATCH(AC494,AA487:AA489,1)&lt;AE492,MATCH(AC494,AA487:AA489,1)+1,MATCH(AC494,AA487:AA489,1)),MATCH(AC491,AB486:AH486,1))</f>
        <v>#N/A</v>
      </c>
      <c r="AE499" s="92"/>
      <c r="AG499" s="2"/>
      <c r="AH499" s="2"/>
      <c r="AI499" s="2"/>
      <c r="AJ499" s="98"/>
      <c r="AK499" s="97"/>
    </row>
    <row r="500" spans="1:38" ht="15.75" customHeight="1">
      <c r="B500" s="98" t="s">
        <v>140</v>
      </c>
      <c r="C500" s="97">
        <f t="array" ref="C500">INDEX(B487:H489,IF(MATCH(C494,A487:A489,1)&lt;E492,MATCH(C494,A487:A489,1)+1,MATCH(C494,A487:A489,1)),IF(MATCH(C491,B486:H486,1)&lt;E493,MATCH(C491,B486:H486,1)+1,MATCH(C491,B486:H486,1)))</f>
        <v>2700</v>
      </c>
      <c r="G500" s="2"/>
      <c r="H500" s="2"/>
      <c r="I500" s="2"/>
      <c r="J500" s="98"/>
      <c r="K500" s="97"/>
      <c r="O500" s="98" t="s">
        <v>140</v>
      </c>
      <c r="P500" s="97" t="e">
        <f t="array" ref="P500">INDEX(O487:U489,IF(MATCH(P494,N487:N489,1)&lt;R492,MATCH(P494,N487:N489,1)+1,MATCH(P494,N487:N489,1)),IF(MATCH(P491,O486:U486,1)&lt;R493,MATCH(P491,O486:U486,1)+1,MATCH(P491,O486:U486,1)))</f>
        <v>#N/A</v>
      </c>
      <c r="T500" s="2"/>
      <c r="U500" s="2"/>
      <c r="V500" s="2"/>
      <c r="W500" s="98"/>
      <c r="X500" s="97"/>
      <c r="AB500" s="98" t="s">
        <v>140</v>
      </c>
      <c r="AC500" s="97" t="e">
        <f t="array" ref="AC500">INDEX(AB487:AH489,IF(MATCH(AC494,AA487:AA489,1)&lt;AE492,MATCH(AC494,AA487:AA489,1)+1,MATCH(AC494,AA487:AA489,1)),IF(MATCH(AC491,AB486:AH486,1)&lt;AE493,MATCH(AC491,AB486:AH486,1)+1,MATCH(AC491,AB486:AH486,1)))</f>
        <v>#N/A</v>
      </c>
      <c r="AG500" s="2"/>
      <c r="AH500" s="2"/>
      <c r="AI500" s="2"/>
      <c r="AJ500" s="98"/>
      <c r="AK500" s="97"/>
    </row>
    <row r="501" spans="1:38" ht="15.75" customHeight="1">
      <c r="B501" s="73" t="s">
        <v>141</v>
      </c>
      <c r="C501" s="100">
        <f>IFERROR(C497+(C491-C492)*(C498-C497)/(C493-C492),C497)</f>
        <v>2586</v>
      </c>
      <c r="G501" s="2"/>
      <c r="H501" s="2"/>
      <c r="I501" s="2"/>
      <c r="J501" s="73"/>
      <c r="K501" s="100"/>
      <c r="O501" s="73" t="s">
        <v>141</v>
      </c>
      <c r="P501" s="100" t="e">
        <f>IFERROR(P497+(P491-P492)*(P498-P497)/(P493-P492),P497)</f>
        <v>#N/A</v>
      </c>
      <c r="T501" s="2"/>
      <c r="U501" s="2"/>
      <c r="V501" s="2"/>
      <c r="W501" s="73"/>
      <c r="X501" s="100"/>
      <c r="AB501" s="73" t="s">
        <v>141</v>
      </c>
      <c r="AC501" s="100" t="e">
        <f>IFERROR(AC497+(AC491-AC492)*(AC498-AC497)/(AC493-AC492),AC497)</f>
        <v>#N/A</v>
      </c>
      <c r="AG501" s="2"/>
      <c r="AH501" s="2"/>
      <c r="AI501" s="2"/>
      <c r="AJ501" s="73"/>
      <c r="AK501" s="100"/>
    </row>
    <row r="502" spans="1:38" ht="15.75" customHeight="1">
      <c r="B502" s="73" t="s">
        <v>142</v>
      </c>
      <c r="C502" s="100">
        <f>IFERROR(C499+(C491-C492)*(C500-C499)/(C493-C492),C499)</f>
        <v>2586</v>
      </c>
      <c r="G502" s="2"/>
      <c r="H502" s="2"/>
      <c r="I502" s="2"/>
      <c r="J502" s="73"/>
      <c r="K502" s="100"/>
      <c r="O502" s="73" t="s">
        <v>142</v>
      </c>
      <c r="P502" s="100" t="e">
        <f>IFERROR(P499+(P491-P492)*(P500-P499)/(P493-P492),P499)</f>
        <v>#N/A</v>
      </c>
      <c r="T502" s="2"/>
      <c r="U502" s="2"/>
      <c r="V502" s="2"/>
      <c r="W502" s="73"/>
      <c r="X502" s="100"/>
      <c r="AB502" s="73" t="s">
        <v>142</v>
      </c>
      <c r="AC502" s="100" t="e">
        <f>IFERROR(AC499+(AC491-AC492)*(AC500-AC499)/(AC493-AC492),AC499)</f>
        <v>#N/A</v>
      </c>
      <c r="AG502" s="2"/>
      <c r="AH502" s="2"/>
      <c r="AI502" s="2"/>
      <c r="AJ502" s="73"/>
      <c r="AK502" s="100"/>
    </row>
    <row r="503" spans="1:38" ht="15.75" customHeight="1">
      <c r="B503" s="98" t="s">
        <v>143</v>
      </c>
      <c r="C503" s="97">
        <f>IFERROR(C501+(C494-C495)*(C502-C501)/(C496-C495),C501)</f>
        <v>2586</v>
      </c>
      <c r="G503" s="2"/>
      <c r="H503" s="2"/>
      <c r="I503" s="2"/>
      <c r="J503" s="98"/>
      <c r="K503" s="97"/>
      <c r="O503" s="98" t="s">
        <v>143</v>
      </c>
      <c r="P503" s="97" t="e">
        <f>IFERROR(P501+(P494-P495)*(P502-P501)/(P496-P495),P501)</f>
        <v>#N/A</v>
      </c>
      <c r="T503" s="2"/>
      <c r="U503" s="2"/>
      <c r="V503" s="2"/>
      <c r="W503" s="98"/>
      <c r="X503" s="97"/>
      <c r="AB503" s="98" t="s">
        <v>143</v>
      </c>
      <c r="AC503" s="97" t="e">
        <f>IFERROR(AC501+(AC494-AC495)*(AC502-AC501)/(AC496-AC495),AC501)</f>
        <v>#N/A</v>
      </c>
      <c r="AG503" s="2"/>
      <c r="AH503" s="2"/>
      <c r="AI503" s="2"/>
      <c r="AJ503" s="98"/>
      <c r="AK503" s="97"/>
    </row>
    <row r="504" spans="1:38" ht="15.75" customHeight="1"/>
    <row r="505" spans="1:38" ht="15.75" customHeight="1">
      <c r="A505" s="77"/>
      <c r="B505" s="73" t="s">
        <v>130</v>
      </c>
      <c r="C505" s="98" t="s">
        <v>79</v>
      </c>
      <c r="D505" s="180">
        <f>IF(Landing!$C$9="",Landing!$C$15,MAX(0,Landing!$C$15+30*(1013-Landing!$C$9)))</f>
        <v>0</v>
      </c>
      <c r="F505" s="253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38" ht="15.75" customHeight="1">
      <c r="A506" s="77"/>
      <c r="B506" s="73" t="s">
        <v>132</v>
      </c>
      <c r="C506" s="96" t="s">
        <v>80</v>
      </c>
      <c r="D506" s="180">
        <f>Landing!C8</f>
        <v>-2</v>
      </c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</row>
    <row r="507" spans="1:38" ht="15.75" customHeight="1">
      <c r="A507" s="77"/>
      <c r="B507" s="261" t="s">
        <v>153</v>
      </c>
      <c r="C507" s="304"/>
      <c r="D507" s="304"/>
      <c r="E507" s="304"/>
      <c r="F507" s="304"/>
      <c r="G507" s="304"/>
      <c r="H507" s="304"/>
      <c r="I507" s="304"/>
      <c r="J507" s="304"/>
      <c r="K507" s="304"/>
      <c r="L507" s="304"/>
      <c r="M507" s="77"/>
    </row>
    <row r="508" spans="1:38" ht="15.75" customHeight="1">
      <c r="A508" s="12"/>
      <c r="B508" s="262" t="s">
        <v>151</v>
      </c>
      <c r="C508" s="303"/>
      <c r="D508" s="303"/>
      <c r="E508" s="303"/>
      <c r="F508" s="303"/>
      <c r="G508" s="82"/>
      <c r="H508" s="82"/>
      <c r="I508" s="82"/>
      <c r="J508" s="82"/>
      <c r="K508" s="82"/>
      <c r="L508" s="82"/>
      <c r="M508" s="82"/>
    </row>
    <row r="509" spans="1:38" ht="15.75" customHeight="1">
      <c r="A509" s="12" t="s">
        <v>152</v>
      </c>
      <c r="B509" s="182">
        <v>0</v>
      </c>
      <c r="C509" s="183">
        <v>1000</v>
      </c>
      <c r="D509" s="184">
        <v>2000</v>
      </c>
      <c r="E509" s="184">
        <v>3000</v>
      </c>
      <c r="F509" s="185">
        <v>4000</v>
      </c>
      <c r="G509" s="98"/>
      <c r="H509" s="97"/>
      <c r="I509" s="12"/>
      <c r="J509" s="98"/>
      <c r="K509" s="97"/>
      <c r="L509" s="12"/>
      <c r="M509" s="12"/>
    </row>
    <row r="510" spans="1:38" ht="15.75" customHeight="1">
      <c r="A510" s="12">
        <v>-30</v>
      </c>
      <c r="B510" s="197">
        <v>790</v>
      </c>
      <c r="C510" s="199">
        <v>780</v>
      </c>
      <c r="D510" s="201">
        <v>760</v>
      </c>
      <c r="E510" s="201">
        <v>750</v>
      </c>
      <c r="F510" s="185">
        <v>0</v>
      </c>
      <c r="G510" s="98"/>
      <c r="H510" s="97"/>
      <c r="I510" s="12"/>
      <c r="J510" s="98"/>
      <c r="K510" s="97"/>
      <c r="L510" s="12"/>
      <c r="M510" s="12"/>
    </row>
    <row r="511" spans="1:38" ht="15.75" customHeight="1">
      <c r="A511" s="12">
        <v>-20</v>
      </c>
      <c r="B511" s="258">
        <v>770</v>
      </c>
      <c r="C511" s="203">
        <v>760</v>
      </c>
      <c r="D511" s="166">
        <v>740</v>
      </c>
      <c r="E511" s="166">
        <v>730</v>
      </c>
      <c r="F511" s="255">
        <v>0</v>
      </c>
      <c r="G511" s="98"/>
      <c r="H511" s="97"/>
      <c r="J511" s="98"/>
      <c r="K511" s="97"/>
    </row>
    <row r="512" spans="1:38" ht="15.75" customHeight="1">
      <c r="A512" s="12">
        <v>-10</v>
      </c>
      <c r="B512" s="258">
        <v>760</v>
      </c>
      <c r="C512" s="203">
        <v>740</v>
      </c>
      <c r="D512" s="166">
        <v>730</v>
      </c>
      <c r="E512" s="166">
        <v>710</v>
      </c>
      <c r="F512" s="255">
        <v>0</v>
      </c>
      <c r="G512" s="98"/>
      <c r="H512" s="97"/>
      <c r="J512" s="98"/>
      <c r="K512" s="97"/>
    </row>
    <row r="513" spans="1:28" ht="15.75" customHeight="1">
      <c r="A513" s="12">
        <v>0</v>
      </c>
      <c r="B513" s="258">
        <v>740</v>
      </c>
      <c r="C513" s="203">
        <v>725</v>
      </c>
      <c r="D513" s="166">
        <v>710</v>
      </c>
      <c r="E513" s="166">
        <v>690</v>
      </c>
      <c r="F513" s="255">
        <v>0</v>
      </c>
      <c r="G513" s="98"/>
      <c r="H513" s="97"/>
      <c r="J513" s="98"/>
      <c r="K513" s="97"/>
    </row>
    <row r="514" spans="1:28" ht="15.75" customHeight="1">
      <c r="A514" s="12">
        <v>10</v>
      </c>
      <c r="B514" s="258">
        <v>720</v>
      </c>
      <c r="C514" s="203">
        <v>710</v>
      </c>
      <c r="D514" s="166">
        <v>690</v>
      </c>
      <c r="E514" s="166">
        <v>670</v>
      </c>
      <c r="F514" s="255">
        <v>0</v>
      </c>
      <c r="G514" s="98"/>
      <c r="H514" s="97"/>
      <c r="J514" s="98"/>
      <c r="K514" s="97"/>
    </row>
    <row r="515" spans="1:28" ht="15.75" customHeight="1">
      <c r="A515" s="12">
        <v>20</v>
      </c>
      <c r="B515" s="258">
        <v>700</v>
      </c>
      <c r="C515" s="203">
        <v>690</v>
      </c>
      <c r="D515" s="166">
        <v>670</v>
      </c>
      <c r="E515" s="166">
        <v>650</v>
      </c>
      <c r="F515" s="255">
        <v>0</v>
      </c>
      <c r="G515" s="98"/>
      <c r="H515" s="97"/>
      <c r="J515" s="98"/>
      <c r="K515" s="97"/>
    </row>
    <row r="516" spans="1:28" ht="15.75" customHeight="1">
      <c r="A516" s="12">
        <v>30</v>
      </c>
      <c r="B516" s="258">
        <v>680</v>
      </c>
      <c r="C516" s="203">
        <v>670</v>
      </c>
      <c r="D516" s="166">
        <v>660</v>
      </c>
      <c r="E516" s="166">
        <v>620</v>
      </c>
      <c r="F516" s="255">
        <v>0</v>
      </c>
      <c r="G516" s="98"/>
      <c r="H516" s="97"/>
      <c r="J516" s="98"/>
      <c r="K516" s="97"/>
    </row>
    <row r="517" spans="1:28" ht="15.75" customHeight="1">
      <c r="A517" s="12">
        <v>40</v>
      </c>
      <c r="B517" s="258">
        <v>665</v>
      </c>
      <c r="C517" s="203">
        <v>620</v>
      </c>
      <c r="D517" s="166">
        <v>580</v>
      </c>
      <c r="E517" s="166">
        <v>530</v>
      </c>
      <c r="F517" s="255">
        <v>0</v>
      </c>
      <c r="G517" s="98"/>
      <c r="H517" s="97"/>
      <c r="J517" s="98"/>
      <c r="K517" s="97"/>
    </row>
    <row r="518" spans="1:28" ht="15.75" customHeight="1">
      <c r="A518" s="12">
        <v>45</v>
      </c>
      <c r="B518" s="189">
        <v>0</v>
      </c>
      <c r="C518" s="190">
        <v>0</v>
      </c>
      <c r="D518" s="190">
        <v>0</v>
      </c>
      <c r="E518" s="190">
        <v>0</v>
      </c>
      <c r="F518" s="191">
        <v>0</v>
      </c>
      <c r="G518" s="98"/>
      <c r="H518" s="97"/>
      <c r="J518" s="98"/>
      <c r="K518" s="97"/>
    </row>
    <row r="519" spans="1:28" ht="15.75" customHeight="1">
      <c r="B519" s="98"/>
      <c r="C519" s="97"/>
      <c r="D519" s="12"/>
      <c r="E519" s="12"/>
      <c r="F519" s="12"/>
      <c r="G519" s="2"/>
      <c r="H519" s="2"/>
      <c r="I519" s="2"/>
      <c r="J519" s="98"/>
      <c r="K519" s="97"/>
    </row>
    <row r="520" spans="1:28" ht="15.75" customHeight="1">
      <c r="B520" s="98" t="s">
        <v>79</v>
      </c>
      <c r="C520" s="97">
        <f>D505</f>
        <v>0</v>
      </c>
      <c r="D520" s="260" t="s">
        <v>136</v>
      </c>
      <c r="E520" s="304"/>
      <c r="G520" s="2"/>
      <c r="H520" s="2"/>
      <c r="I520" s="2"/>
      <c r="J520" s="98"/>
      <c r="K520" s="97"/>
      <c r="L520" s="82"/>
    </row>
    <row r="521" spans="1:28" ht="15.75" customHeight="1">
      <c r="B521" s="73" t="s">
        <v>137</v>
      </c>
      <c r="C521" s="100">
        <f t="array" ref="C521">INDEX(B509:F509,MATCH(C520,B509:F509,1))</f>
        <v>0</v>
      </c>
      <c r="D521" s="73" t="s">
        <v>77</v>
      </c>
      <c r="E521" s="88">
        <f>MATCH(MAX(A510:A518),A510:A518,1)</f>
        <v>9</v>
      </c>
      <c r="G521" s="2"/>
      <c r="H521" s="2"/>
      <c r="I521" s="2"/>
      <c r="J521" s="73"/>
      <c r="K521" s="100"/>
      <c r="L521" s="73"/>
      <c r="M521" s="88"/>
    </row>
    <row r="522" spans="1:28" ht="15.75" customHeight="1">
      <c r="B522" s="73" t="s">
        <v>138</v>
      </c>
      <c r="C522" s="100">
        <f t="array" ref="C522">INDEX(B509:F509,IF(MATCH(C520,B509:F509,1)&lt;E522,MATCH(C520,B509:F509,1)+1,MATCH(C520,B509:F509,1)))</f>
        <v>1000</v>
      </c>
      <c r="D522" s="73" t="s">
        <v>78</v>
      </c>
      <c r="E522" s="88">
        <f>MATCH(MAX(B509:F509),B509:F509,0)</f>
        <v>5</v>
      </c>
      <c r="G522" s="2"/>
      <c r="H522" s="2"/>
      <c r="I522" s="2"/>
      <c r="J522" s="73"/>
      <c r="K522" s="100"/>
      <c r="L522" s="73"/>
      <c r="M522" s="88"/>
    </row>
    <row r="523" spans="1:28" ht="15.75" customHeight="1">
      <c r="B523" s="96" t="s">
        <v>80</v>
      </c>
      <c r="C523" s="155">
        <f>D506</f>
        <v>-2</v>
      </c>
      <c r="D523" s="2"/>
      <c r="E523" s="2"/>
      <c r="G523" s="2"/>
      <c r="H523" s="2"/>
      <c r="I523" s="2"/>
      <c r="J523" s="98"/>
      <c r="K523" s="155"/>
      <c r="L523" s="2"/>
      <c r="M523" s="2"/>
      <c r="O523" s="12"/>
      <c r="W523" s="12"/>
      <c r="Z523" s="12"/>
      <c r="AB523" s="12"/>
    </row>
    <row r="524" spans="1:28" ht="15.75" customHeight="1">
      <c r="B524" s="73" t="s">
        <v>81</v>
      </c>
      <c r="C524" s="100">
        <f t="array" ref="C524">INDEX(A510:A518,MATCH(C523,A510:A518,1))</f>
        <v>-10</v>
      </c>
      <c r="D524" s="2"/>
      <c r="E524" s="92"/>
      <c r="G524" s="2"/>
      <c r="H524" s="2"/>
      <c r="I524" s="2"/>
      <c r="J524" s="73"/>
      <c r="K524" s="100"/>
      <c r="L524" s="2"/>
      <c r="M524" s="92"/>
    </row>
    <row r="525" spans="1:28" ht="15.75" customHeight="1">
      <c r="B525" s="73" t="s">
        <v>82</v>
      </c>
      <c r="C525" s="100">
        <f t="array" ref="C525">INDEX(A510:A518,IF(MATCH(C523,A510:A518,1)&lt;E521,MATCH(C523,A510:A518,1)+1,MATCH(C523,A510:A518,1)))</f>
        <v>0</v>
      </c>
      <c r="D525" s="2"/>
      <c r="E525" s="92"/>
      <c r="G525" s="2"/>
      <c r="H525" s="2"/>
      <c r="I525" s="2"/>
      <c r="J525" s="73"/>
      <c r="K525" s="100"/>
      <c r="L525" s="2"/>
      <c r="M525" s="92"/>
    </row>
    <row r="526" spans="1:28" ht="15.75" customHeight="1">
      <c r="B526" s="98" t="s">
        <v>83</v>
      </c>
      <c r="C526" s="97">
        <f t="array" ref="C526">INDEX(B510:F518,MATCH(C523,A510:A518,1),MATCH(C520,B509:F509,1))</f>
        <v>760</v>
      </c>
      <c r="D526" s="2"/>
      <c r="E526" s="92"/>
      <c r="G526" s="2"/>
      <c r="H526" s="2"/>
      <c r="I526" s="2"/>
      <c r="J526" s="98"/>
      <c r="K526" s="97"/>
      <c r="L526" s="2"/>
      <c r="M526" s="92"/>
    </row>
    <row r="527" spans="1:28" ht="15.75" customHeight="1">
      <c r="B527" s="98" t="s">
        <v>139</v>
      </c>
      <c r="C527" s="97">
        <f t="array" ref="C527">INDEX(B510:F518,MATCH(C523,A510:A518,1),IF(MATCH(C520,B509:F509,1)&lt;E522,MATCH(C520,B509:F509,1)+1,MATCH(C523,A510:A518,1)))</f>
        <v>740</v>
      </c>
      <c r="E527" s="92"/>
      <c r="G527" s="2"/>
      <c r="H527" s="2"/>
      <c r="I527" s="2"/>
      <c r="J527" s="98"/>
      <c r="K527" s="97"/>
      <c r="M527" s="92"/>
    </row>
    <row r="528" spans="1:28" ht="15.75" customHeight="1">
      <c r="B528" s="98" t="s">
        <v>84</v>
      </c>
      <c r="C528" s="97">
        <f t="array" ref="C528">INDEX(B510:F518,IF(MATCH(C523,A510:A518,1)&lt;E521,MATCH(C523,A510:A518,1)+1,MATCH(C523,A510:A518,1)),MATCH(C520,B509:F509,1))</f>
        <v>740</v>
      </c>
      <c r="E528" s="92"/>
      <c r="G528" s="2"/>
      <c r="H528" s="2"/>
      <c r="I528" s="2"/>
      <c r="J528" s="98"/>
      <c r="K528" s="97"/>
      <c r="M528" s="92"/>
    </row>
    <row r="529" spans="1:28" ht="15.75" customHeight="1">
      <c r="B529" s="98" t="s">
        <v>140</v>
      </c>
      <c r="C529" s="97">
        <f t="array" ref="C529">INDEX(B510:F518,IF(MATCH(C523,A510:A518,1)&lt;E521,MATCH(C523,A510:A518,1)+1,MATCH(C523,A510:A518,1)),IF(MATCH(C520,B509:F509,1)&lt;E522,MATCH(C520,B509:F509,1)+1,MATCH(C520,B509:F509,1)))</f>
        <v>725</v>
      </c>
      <c r="G529" s="2"/>
      <c r="H529" s="2"/>
      <c r="I529" s="2"/>
      <c r="J529" s="98"/>
      <c r="K529" s="97"/>
    </row>
    <row r="530" spans="1:28" ht="15.75" customHeight="1">
      <c r="B530" s="73" t="s">
        <v>141</v>
      </c>
      <c r="C530" s="100">
        <f>IFERROR(C526+(C520-C521)*(C527-C526)/(C522-C521),C526)</f>
        <v>760</v>
      </c>
      <c r="G530" s="2"/>
      <c r="H530" s="2"/>
      <c r="I530" s="2"/>
      <c r="J530" s="73"/>
      <c r="K530" s="100"/>
    </row>
    <row r="531" spans="1:28" ht="15.75" customHeight="1">
      <c r="B531" s="73" t="s">
        <v>142</v>
      </c>
      <c r="C531" s="100">
        <f>IFERROR(C528+(C520-C521)*(C529-C528)/(C522-C521),C528)</f>
        <v>740</v>
      </c>
      <c r="G531" s="2"/>
      <c r="H531" s="2"/>
      <c r="I531" s="2"/>
      <c r="J531" s="73"/>
      <c r="K531" s="100"/>
    </row>
    <row r="532" spans="1:28" ht="15.75" customHeight="1">
      <c r="B532" s="98" t="s">
        <v>143</v>
      </c>
      <c r="C532" s="97">
        <f>IFERROR(C530+(C523-C524)*(C531-C530)/(C525-C524),C530)</f>
        <v>744</v>
      </c>
      <c r="G532" s="2"/>
      <c r="H532" s="2"/>
      <c r="I532" s="2"/>
      <c r="J532" s="98"/>
      <c r="K532" s="97"/>
    </row>
    <row r="533" spans="1:28" ht="15.75" customHeight="1"/>
    <row r="534" spans="1:28" ht="15.75" customHeight="1">
      <c r="A534" s="12"/>
      <c r="B534" s="260" t="s">
        <v>154</v>
      </c>
      <c r="C534" s="304"/>
      <c r="D534" s="304"/>
      <c r="E534" s="304"/>
      <c r="F534" s="304"/>
      <c r="G534" s="304"/>
      <c r="H534" s="82"/>
      <c r="I534" s="82"/>
      <c r="J534" s="82"/>
      <c r="K534" s="82"/>
      <c r="L534" s="82"/>
      <c r="M534" s="82"/>
      <c r="N534" s="12"/>
      <c r="O534" s="260" t="s">
        <v>155</v>
      </c>
      <c r="P534" s="304"/>
      <c r="Q534" s="304"/>
      <c r="R534" s="304"/>
      <c r="S534" s="304"/>
      <c r="T534" s="304"/>
      <c r="U534" s="82"/>
      <c r="V534" s="82"/>
      <c r="W534" s="82"/>
      <c r="X534" s="82"/>
      <c r="Y534" s="82"/>
      <c r="AA534" s="12"/>
    </row>
    <row r="535" spans="1:28" ht="15.75" customHeight="1">
      <c r="A535" s="12" t="s">
        <v>30</v>
      </c>
      <c r="B535" s="196">
        <v>500</v>
      </c>
      <c r="C535" s="200">
        <v>600</v>
      </c>
      <c r="D535" s="200">
        <v>700</v>
      </c>
      <c r="E535" s="200">
        <v>800</v>
      </c>
      <c r="F535" s="185">
        <v>900</v>
      </c>
      <c r="G535" s="12"/>
      <c r="H535" s="12"/>
      <c r="I535" s="12"/>
      <c r="J535" s="12"/>
      <c r="K535" s="12"/>
      <c r="L535" s="12"/>
      <c r="M535" s="12"/>
      <c r="N535" s="12"/>
      <c r="O535" s="12"/>
      <c r="Q535" s="12" t="s">
        <v>30</v>
      </c>
      <c r="R535" s="196">
        <v>440</v>
      </c>
      <c r="S535" s="198">
        <v>500</v>
      </c>
      <c r="T535" s="198">
        <v>550</v>
      </c>
      <c r="U535" s="198">
        <v>650</v>
      </c>
      <c r="V535" s="198">
        <v>760</v>
      </c>
      <c r="W535" s="198">
        <v>860</v>
      </c>
      <c r="X535" s="198">
        <v>960</v>
      </c>
      <c r="Y535" s="200">
        <v>1060</v>
      </c>
      <c r="Z535" s="202">
        <v>1160</v>
      </c>
      <c r="AA535" s="202">
        <v>1200</v>
      </c>
      <c r="AB535" s="185">
        <v>1200</v>
      </c>
    </row>
    <row r="536" spans="1:28" ht="15.75" customHeight="1">
      <c r="A536" s="12">
        <v>9000</v>
      </c>
      <c r="B536" s="197">
        <v>1050</v>
      </c>
      <c r="C536" s="199">
        <v>1150</v>
      </c>
      <c r="D536" s="199">
        <v>1200</v>
      </c>
      <c r="E536" s="199">
        <v>1200</v>
      </c>
      <c r="F536" s="185">
        <v>0</v>
      </c>
      <c r="G536" s="12"/>
      <c r="H536" s="12"/>
      <c r="I536" s="12"/>
      <c r="J536" s="12"/>
      <c r="K536" s="12"/>
      <c r="L536" s="12"/>
      <c r="M536" s="12"/>
      <c r="N536" s="12"/>
      <c r="O536" s="12"/>
      <c r="Q536" s="12">
        <v>1</v>
      </c>
      <c r="R536" s="205">
        <v>3</v>
      </c>
      <c r="S536" s="206">
        <v>3.5</v>
      </c>
      <c r="T536" s="206">
        <v>4</v>
      </c>
      <c r="U536" s="206">
        <v>5</v>
      </c>
      <c r="V536" s="206">
        <v>6</v>
      </c>
      <c r="W536" s="206">
        <v>7</v>
      </c>
      <c r="X536" s="206">
        <v>8</v>
      </c>
      <c r="Y536" s="206">
        <v>9</v>
      </c>
      <c r="Z536" s="207">
        <v>10</v>
      </c>
      <c r="AA536" s="207">
        <v>10.5</v>
      </c>
      <c r="AB536" s="185">
        <v>11</v>
      </c>
    </row>
    <row r="537" spans="1:28" ht="15.75" customHeight="1">
      <c r="A537" s="12">
        <v>9500</v>
      </c>
      <c r="B537" s="258">
        <v>940</v>
      </c>
      <c r="C537" s="203">
        <v>1050</v>
      </c>
      <c r="D537" s="203">
        <v>1180</v>
      </c>
      <c r="E537" s="203">
        <v>1200</v>
      </c>
      <c r="F537" s="255">
        <v>0</v>
      </c>
      <c r="G537" s="12"/>
      <c r="H537" s="12"/>
      <c r="I537" s="12"/>
      <c r="J537" s="12"/>
      <c r="K537" s="12"/>
      <c r="L537" s="12"/>
      <c r="M537" s="12"/>
      <c r="N537" s="12"/>
      <c r="P537" s="98"/>
      <c r="Q537" s="97"/>
      <c r="R537" s="12"/>
      <c r="S537" s="12"/>
      <c r="T537" s="12"/>
      <c r="U537" s="2"/>
      <c r="V537" s="2"/>
      <c r="W537" s="2"/>
      <c r="X537" s="98"/>
      <c r="Y537" s="97"/>
      <c r="Z537" s="12"/>
    </row>
    <row r="538" spans="1:28" ht="15.75" customHeight="1">
      <c r="A538" s="12">
        <v>10000</v>
      </c>
      <c r="B538" s="258">
        <v>860</v>
      </c>
      <c r="C538" s="203">
        <v>960</v>
      </c>
      <c r="D538" s="203">
        <v>1080</v>
      </c>
      <c r="E538" s="203">
        <v>1200</v>
      </c>
      <c r="F538" s="255">
        <v>0</v>
      </c>
      <c r="G538" s="12"/>
      <c r="H538" s="12"/>
      <c r="I538" s="12"/>
      <c r="J538" s="12"/>
      <c r="K538" s="12"/>
      <c r="L538" s="12"/>
      <c r="M538" s="12"/>
      <c r="N538" s="12"/>
      <c r="P538" s="98" t="s">
        <v>79</v>
      </c>
      <c r="Q538" s="97">
        <f>C558</f>
        <v>858.4</v>
      </c>
      <c r="R538" s="260" t="s">
        <v>136</v>
      </c>
      <c r="S538" s="304"/>
      <c r="U538" s="2"/>
      <c r="V538" s="2"/>
      <c r="W538" s="2"/>
      <c r="X538" s="98"/>
      <c r="Y538" s="97"/>
      <c r="Z538" s="82"/>
    </row>
    <row r="539" spans="1:28" ht="15.75" customHeight="1">
      <c r="A539" s="12">
        <v>10500</v>
      </c>
      <c r="B539" s="258">
        <v>775</v>
      </c>
      <c r="C539" s="203">
        <v>880</v>
      </c>
      <c r="D539" s="203">
        <v>950</v>
      </c>
      <c r="E539" s="203">
        <v>1100</v>
      </c>
      <c r="F539" s="255">
        <v>0</v>
      </c>
      <c r="G539" s="12"/>
      <c r="H539" s="12"/>
      <c r="I539" s="12"/>
      <c r="J539" s="12"/>
      <c r="K539" s="12"/>
      <c r="L539" s="12"/>
      <c r="M539" s="12"/>
      <c r="N539" s="12"/>
      <c r="P539" s="73" t="s">
        <v>137</v>
      </c>
      <c r="Q539" s="100">
        <f t="array" ref="Q539">INDEX(R535:AB535,MATCH(Q538,R535:AB535,1))</f>
        <v>760</v>
      </c>
      <c r="R539" s="73" t="s">
        <v>77</v>
      </c>
      <c r="S539" s="88">
        <f>MATCH(MAX(Q536),Q536,1)</f>
        <v>1</v>
      </c>
      <c r="U539" s="2"/>
      <c r="V539" s="2"/>
      <c r="W539" s="2"/>
      <c r="X539" s="73"/>
      <c r="Y539" s="100"/>
      <c r="Z539" s="73"/>
    </row>
    <row r="540" spans="1:28" ht="15.75" customHeight="1">
      <c r="A540" s="12">
        <v>11000</v>
      </c>
      <c r="B540" s="258">
        <v>700</v>
      </c>
      <c r="C540" s="203">
        <v>800</v>
      </c>
      <c r="D540" s="203">
        <v>910</v>
      </c>
      <c r="E540" s="203">
        <v>1020</v>
      </c>
      <c r="F540" s="255">
        <v>0</v>
      </c>
      <c r="G540" s="12"/>
      <c r="H540" s="12"/>
      <c r="I540" s="12"/>
      <c r="J540" s="12"/>
      <c r="K540" s="12"/>
      <c r="L540" s="12"/>
      <c r="M540" s="12"/>
      <c r="N540" s="12"/>
      <c r="P540" s="73" t="s">
        <v>138</v>
      </c>
      <c r="Q540" s="100">
        <f t="array" ref="Q540">INDEX(R535:AB535,IF(MATCH(Q538,R535:AB535,1)&lt;S540,MATCH(Q538,R535:AB535,1)+1,MATCH(Q538,R535:AB535,1)))</f>
        <v>860</v>
      </c>
      <c r="R540" s="73" t="s">
        <v>78</v>
      </c>
      <c r="S540" s="88">
        <f>MATCH(MAX(R535:AB535),R535:AB535,0)</f>
        <v>10</v>
      </c>
      <c r="U540" s="2"/>
      <c r="V540" s="2"/>
      <c r="W540" s="2"/>
      <c r="X540" s="73"/>
      <c r="Y540" s="100"/>
      <c r="Z540" s="73"/>
    </row>
    <row r="541" spans="1:28" ht="15.75" customHeight="1">
      <c r="A541" s="12">
        <v>11500</v>
      </c>
      <c r="B541" s="258">
        <v>630</v>
      </c>
      <c r="C541" s="203">
        <v>725</v>
      </c>
      <c r="D541" s="203">
        <v>830</v>
      </c>
      <c r="E541" s="203">
        <v>940</v>
      </c>
      <c r="F541" s="255">
        <v>0</v>
      </c>
      <c r="G541" s="12"/>
      <c r="H541" s="12"/>
      <c r="I541" s="12"/>
      <c r="J541" s="12"/>
      <c r="K541" s="12"/>
      <c r="L541" s="12"/>
      <c r="M541" s="12"/>
      <c r="N541" s="12"/>
      <c r="P541" s="96" t="s">
        <v>80</v>
      </c>
      <c r="Q541" s="155">
        <v>1</v>
      </c>
      <c r="R541" s="2"/>
      <c r="S541" s="2"/>
      <c r="U541" s="2"/>
      <c r="V541" s="2"/>
      <c r="W541" s="2"/>
      <c r="X541" s="98"/>
      <c r="Y541" s="155"/>
      <c r="Z541" s="2"/>
    </row>
    <row r="542" spans="1:28" ht="15.75" customHeight="1">
      <c r="A542" s="12">
        <v>12000</v>
      </c>
      <c r="B542" s="209">
        <v>560</v>
      </c>
      <c r="C542" s="210">
        <v>660</v>
      </c>
      <c r="D542" s="210">
        <v>760</v>
      </c>
      <c r="E542" s="210">
        <v>865</v>
      </c>
      <c r="F542" s="255">
        <v>0</v>
      </c>
      <c r="G542" s="12"/>
      <c r="H542" s="12"/>
      <c r="I542" s="12"/>
      <c r="J542" s="12"/>
      <c r="K542" s="12"/>
      <c r="L542" s="12"/>
      <c r="M542" s="12"/>
      <c r="N542" s="12"/>
      <c r="P542" s="73" t="s">
        <v>81</v>
      </c>
      <c r="Q542" s="100">
        <f t="array" ref="Q542">INDEX(Q536,MATCH(Q541,Q536,1))</f>
        <v>1</v>
      </c>
      <c r="R542" s="2"/>
      <c r="S542" s="92"/>
      <c r="U542" s="2"/>
      <c r="V542" s="2"/>
      <c r="W542" s="2"/>
      <c r="X542" s="73"/>
      <c r="Y542" s="100"/>
      <c r="Z542" s="2"/>
    </row>
    <row r="543" spans="1:28" ht="15.75" customHeight="1">
      <c r="A543" s="12">
        <v>12500</v>
      </c>
      <c r="B543" s="189">
        <v>500</v>
      </c>
      <c r="C543" s="190">
        <v>600</v>
      </c>
      <c r="D543" s="190">
        <v>700</v>
      </c>
      <c r="E543" s="190">
        <v>800</v>
      </c>
      <c r="F543" s="204">
        <v>0</v>
      </c>
      <c r="G543" s="178"/>
      <c r="H543" s="12"/>
      <c r="I543" s="12"/>
      <c r="J543" s="12"/>
      <c r="K543" s="12"/>
      <c r="L543" s="12"/>
      <c r="M543" s="12"/>
      <c r="N543" s="12"/>
      <c r="P543" s="73" t="s">
        <v>82</v>
      </c>
      <c r="Q543" s="100">
        <f t="array" ref="Q543">INDEX(Q536,IF(MATCH(Q541,Q536,1)&lt;S539,MATCH(Q541,Q536,1)+1,MATCH(Q541,Q536,1)))</f>
        <v>1</v>
      </c>
      <c r="R543" s="2"/>
      <c r="S543" s="92"/>
      <c r="U543" s="2"/>
      <c r="V543" s="2"/>
      <c r="W543" s="2"/>
      <c r="X543" s="73"/>
      <c r="Y543" s="100"/>
      <c r="Z543" s="2"/>
    </row>
    <row r="544" spans="1:28" ht="15.75" customHeight="1">
      <c r="B544" s="98"/>
      <c r="C544" s="97"/>
      <c r="D544" s="12"/>
      <c r="E544" s="12"/>
      <c r="F544" s="12"/>
      <c r="G544" s="2"/>
      <c r="H544" s="2"/>
      <c r="I544" s="2"/>
      <c r="J544" s="178"/>
      <c r="K544" s="178"/>
      <c r="L544" s="178"/>
      <c r="M544" s="178"/>
      <c r="O544" s="98" t="s">
        <v>83</v>
      </c>
      <c r="P544" s="97">
        <f t="array" ref="P544">INDEX(R536:AB536,MATCH(Q541,Q536,1),MATCH(Q538,R535:AB535,1))</f>
        <v>6</v>
      </c>
      <c r="Q544" s="2"/>
      <c r="R544" s="92"/>
      <c r="T544" s="2"/>
      <c r="U544" s="2"/>
      <c r="V544" s="2"/>
      <c r="W544" s="98"/>
      <c r="X544" s="97"/>
      <c r="Y544" s="2"/>
      <c r="AB544" s="178"/>
    </row>
    <row r="545" spans="1:38" ht="15.75" customHeight="1">
      <c r="B545" s="98" t="s">
        <v>79</v>
      </c>
      <c r="C545" s="97">
        <f>C532</f>
        <v>744</v>
      </c>
      <c r="D545" s="260" t="s">
        <v>136</v>
      </c>
      <c r="E545" s="304"/>
      <c r="G545" s="2"/>
      <c r="H545" s="2"/>
      <c r="I545" s="2"/>
      <c r="J545" s="98"/>
      <c r="K545" s="97"/>
      <c r="L545" s="12"/>
      <c r="M545" s="12"/>
      <c r="O545" s="98" t="s">
        <v>139</v>
      </c>
      <c r="P545" s="97">
        <f t="array" ref="P545">INDEX(R536:AB536,MATCH(Q541,Q536,1),IF(MATCH(Q538,R535:AB535,1)&lt;S540,MATCH(Q538,R535:AB535,1)+1,MATCH(Q541,Q536,1)))</f>
        <v>7</v>
      </c>
      <c r="R545" s="92"/>
      <c r="T545" s="2"/>
      <c r="U545" s="2"/>
      <c r="V545" s="2"/>
      <c r="W545" s="98"/>
      <c r="X545" s="97"/>
    </row>
    <row r="546" spans="1:38" ht="15.75" customHeight="1">
      <c r="B546" s="73" t="s">
        <v>137</v>
      </c>
      <c r="C546" s="100">
        <f t="array" ref="C546">INDEX(B535:F535,MATCH(C545,B535:F535,1))</f>
        <v>700</v>
      </c>
      <c r="D546" s="73" t="s">
        <v>77</v>
      </c>
      <c r="E546" s="88">
        <f>MATCH(MAX(A536:A543),A536:A543,1)</f>
        <v>8</v>
      </c>
      <c r="G546" s="2"/>
      <c r="H546" s="2"/>
      <c r="I546" s="2"/>
      <c r="J546" s="98"/>
      <c r="K546" s="97"/>
      <c r="L546" s="82"/>
      <c r="O546" s="98" t="s">
        <v>84</v>
      </c>
      <c r="P546" s="97">
        <f t="array" ref="P546">INDEX(R536:AB536,IF(MATCH(Q541,Q536,1)&lt;S539,MATCH(Q541,Q536,1)+1,MATCH(Q541,Q536,1)),MATCH(Q538,R535:AB535,1))</f>
        <v>6</v>
      </c>
      <c r="R546" s="92"/>
      <c r="T546" s="2"/>
      <c r="U546" s="2"/>
      <c r="V546" s="2"/>
      <c r="W546" s="98"/>
      <c r="X546" s="97"/>
    </row>
    <row r="547" spans="1:38" ht="15.75" customHeight="1">
      <c r="B547" s="73" t="s">
        <v>138</v>
      </c>
      <c r="C547" s="100">
        <f t="array" ref="C547">INDEX(B535:F535,IF(MATCH(C545,B535:F535,1)&lt;E547,MATCH(C545,B535:F535,1)+1,MATCH(C545,B535:F535,1)))</f>
        <v>800</v>
      </c>
      <c r="D547" s="73" t="s">
        <v>78</v>
      </c>
      <c r="E547" s="88">
        <f>MATCH(MAX(B535:F535),B535:F535,0)</f>
        <v>5</v>
      </c>
      <c r="G547" s="2"/>
      <c r="H547" s="2"/>
      <c r="I547" s="2"/>
      <c r="J547" s="73"/>
      <c r="K547" s="100"/>
      <c r="L547" s="73"/>
      <c r="M547" s="88"/>
      <c r="O547" s="98" t="s">
        <v>140</v>
      </c>
      <c r="P547" s="97">
        <f t="array" ref="P547">INDEX(R536:AB536,IF(MATCH(Q541,Q536,1)&lt;S539,MATCH(Q541,Q536,1)+1,MATCH(Q541,Q536,1)),IF(MATCH(Q538,R535:AB535,1)&lt;S540,MATCH(Q538,R535:AB535,1)+1,MATCH(Q538,R535:AB535,1)))</f>
        <v>7</v>
      </c>
      <c r="T547" s="2"/>
      <c r="U547" s="2"/>
      <c r="V547" s="2"/>
      <c r="W547" s="98"/>
      <c r="X547" s="97"/>
    </row>
    <row r="548" spans="1:38" ht="15.75" customHeight="1">
      <c r="B548" s="96" t="s">
        <v>80</v>
      </c>
      <c r="C548" s="155">
        <f>Landing!C11</f>
        <v>11000</v>
      </c>
      <c r="D548" s="2"/>
      <c r="E548" s="2"/>
      <c r="G548" s="2"/>
      <c r="H548" s="2"/>
      <c r="I548" s="2"/>
      <c r="J548" s="73"/>
      <c r="K548" s="100"/>
      <c r="L548" s="73"/>
      <c r="M548" s="88"/>
      <c r="O548" s="73" t="s">
        <v>141</v>
      </c>
      <c r="P548" s="100">
        <f>IFERROR(P544+(Q538-Q539)*(P545-P544)/(Q540-Q539),P544)</f>
        <v>6.984</v>
      </c>
      <c r="T548" s="2"/>
      <c r="U548" s="2"/>
      <c r="V548" s="2"/>
      <c r="W548" s="73"/>
      <c r="X548" s="100"/>
    </row>
    <row r="549" spans="1:38" ht="15.75" customHeight="1">
      <c r="B549" s="73" t="s">
        <v>81</v>
      </c>
      <c r="C549" s="100">
        <f t="array" ref="C549">INDEX(A536:A543,MATCH(C548,A536:A543,1))</f>
        <v>11000</v>
      </c>
      <c r="D549" s="2"/>
      <c r="E549" s="92"/>
      <c r="G549" s="2"/>
      <c r="H549" s="2"/>
      <c r="I549" s="2"/>
      <c r="J549" s="98"/>
      <c r="K549" s="155"/>
      <c r="L549" s="2"/>
      <c r="M549" s="2"/>
      <c r="O549" s="73" t="s">
        <v>142</v>
      </c>
      <c r="P549" s="100">
        <f>IFERROR(P546+(Q538-Q539)*(P547-P546)/(Q540-Q539),P546)</f>
        <v>6.984</v>
      </c>
      <c r="T549" s="2"/>
      <c r="U549" s="2"/>
      <c r="V549" s="2"/>
      <c r="W549" s="73"/>
      <c r="X549" s="100"/>
      <c r="AB549" s="12"/>
    </row>
    <row r="550" spans="1:38" ht="15.75" customHeight="1">
      <c r="B550" s="73" t="s">
        <v>82</v>
      </c>
      <c r="C550" s="100">
        <f t="array" ref="C550">INDEX(A536:A543,IF(MATCH(C548,A536:A543,1)&lt;E546,MATCH(C548,A536:A543,1)+1,MATCH(C548,A536:A543,1)))</f>
        <v>11500</v>
      </c>
      <c r="D550" s="2"/>
      <c r="E550" s="92"/>
      <c r="G550" s="2"/>
      <c r="H550" s="2"/>
      <c r="I550" s="2"/>
      <c r="J550" s="73"/>
      <c r="K550" s="100"/>
      <c r="L550" s="2"/>
      <c r="M550" s="92"/>
      <c r="O550" s="98" t="s">
        <v>143</v>
      </c>
      <c r="P550" s="155">
        <f>IFERROR(P548+(Q541-Q542)*(P549-P548)/(Q543-Q542),P548)</f>
        <v>6.984</v>
      </c>
      <c r="T550" s="2"/>
      <c r="U550" s="2"/>
      <c r="V550" s="2"/>
      <c r="W550" s="98"/>
      <c r="X550" s="97"/>
    </row>
    <row r="551" spans="1:38" ht="15.75" customHeight="1">
      <c r="B551" s="98" t="s">
        <v>83</v>
      </c>
      <c r="C551" s="97">
        <f t="array" ref="C551">INDEX(B536:F543,MATCH(C548,A536:A543,1),MATCH(C545,B535:F535,1))</f>
        <v>910</v>
      </c>
      <c r="D551" s="2"/>
      <c r="E551" s="92"/>
      <c r="G551" s="2"/>
      <c r="H551" s="2"/>
      <c r="I551" s="2"/>
      <c r="J551" s="73"/>
      <c r="K551" s="100"/>
      <c r="L551" s="2"/>
      <c r="M551" s="92"/>
      <c r="W551" s="12"/>
      <c r="X551" s="12"/>
      <c r="Y551" s="12"/>
    </row>
    <row r="552" spans="1:38" ht="15.75" customHeight="1">
      <c r="B552" s="98" t="s">
        <v>139</v>
      </c>
      <c r="C552" s="97">
        <f t="array" ref="C552">INDEX(B536:F543,MATCH(C548,A536:A543,1),IF(MATCH(C545,B535:F535,1)&lt;E547,MATCH(C545,B535:F535,1)+1,MATCH(C548,A536:A543,1)))</f>
        <v>1020</v>
      </c>
      <c r="E552" s="92"/>
      <c r="G552" s="2"/>
      <c r="H552" s="2"/>
      <c r="I552" s="2"/>
      <c r="J552" s="98"/>
      <c r="K552" s="97"/>
      <c r="L552" s="2"/>
      <c r="M552" s="92"/>
    </row>
    <row r="553" spans="1:38" ht="15.75" customHeight="1">
      <c r="B553" s="98" t="s">
        <v>84</v>
      </c>
      <c r="C553" s="97">
        <f t="array" ref="C553">INDEX(B536:F543,IF(MATCH(C548,A536:A543,1)&lt;E546,MATCH(C548,A536:A543,1)+1,MATCH(C548,A536:A543,1)),MATCH(C545,B535:F535,1))</f>
        <v>830</v>
      </c>
      <c r="E553" s="92"/>
      <c r="G553" s="2"/>
      <c r="H553" s="2"/>
      <c r="I553" s="2"/>
      <c r="J553" s="98"/>
      <c r="K553" s="97"/>
      <c r="M553" s="92"/>
    </row>
    <row r="554" spans="1:38" ht="15.75" customHeight="1">
      <c r="B554" s="98" t="s">
        <v>140</v>
      </c>
      <c r="C554" s="97">
        <f t="array" ref="C554">INDEX(B536:F543,IF(MATCH(C548,A536:A543,1)&lt;E546,MATCH(C548,A536:A543,1)+1,MATCH(C548,A536:A543,1)),IF(MATCH(C545,B535:F535,1)&lt;E547,MATCH(C545,B535:F535,1)+1,MATCH(C545,B535:F535,1)))</f>
        <v>940</v>
      </c>
      <c r="G554" s="2"/>
      <c r="H554" s="2"/>
      <c r="I554" s="2"/>
      <c r="J554" s="98"/>
      <c r="K554" s="97"/>
      <c r="M554" s="92"/>
    </row>
    <row r="555" spans="1:38" ht="15.75" customHeight="1">
      <c r="B555" s="73" t="s">
        <v>141</v>
      </c>
      <c r="C555" s="100">
        <f>IFERROR(C551+(C545-C546)*(C552-C551)/(C547-C546),C551)</f>
        <v>958.4</v>
      </c>
      <c r="G555" s="2"/>
      <c r="H555" s="2"/>
      <c r="I555" s="2"/>
      <c r="J555" s="98"/>
      <c r="K555" s="97"/>
    </row>
    <row r="556" spans="1:38" ht="15.75" customHeight="1">
      <c r="B556" s="73" t="s">
        <v>142</v>
      </c>
      <c r="C556" s="100">
        <f>IFERROR(C553+(C545-C546)*(C554-C553)/(C547-C546),C553)</f>
        <v>878.4</v>
      </c>
      <c r="G556" s="2"/>
      <c r="H556" s="2"/>
      <c r="I556" s="2"/>
      <c r="J556" s="73"/>
      <c r="K556" s="100"/>
    </row>
    <row r="557" spans="1:38" ht="15.75" customHeight="1">
      <c r="B557" s="98" t="s">
        <v>143</v>
      </c>
      <c r="C557" s="212">
        <f>IFERROR(C555+(C548-C549)*(C556-C555)/(C550-C549),C555)</f>
        <v>958.4</v>
      </c>
      <c r="G557" s="2"/>
      <c r="H557" s="2"/>
      <c r="I557" s="2"/>
      <c r="J557" s="73"/>
      <c r="K557" s="100"/>
    </row>
    <row r="558" spans="1:38" ht="15.75" customHeight="1">
      <c r="B558" s="8" t="s">
        <v>156</v>
      </c>
      <c r="C558" s="101">
        <f>C557-100</f>
        <v>858.4</v>
      </c>
      <c r="J558" s="98"/>
      <c r="K558" s="97"/>
    </row>
    <row r="559" spans="1:38" ht="15.75" customHeight="1"/>
    <row r="560" spans="1:38" ht="15.75" customHeight="1">
      <c r="A560" s="77"/>
      <c r="B560" s="73" t="s">
        <v>130</v>
      </c>
      <c r="C560" s="98" t="s">
        <v>79</v>
      </c>
      <c r="D560" s="180">
        <f>IF('Take-off'!$C$9="",'Take-off'!$C$16,MAX(0,'Take-off'!$C$16+30*(1013-'Take-off'!$C$9)))+35</f>
        <v>35</v>
      </c>
      <c r="F560" s="253" t="s">
        <v>157</v>
      </c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</row>
    <row r="561" spans="1:38" ht="15.75" customHeight="1">
      <c r="A561" s="77"/>
      <c r="B561" s="73" t="s">
        <v>132</v>
      </c>
      <c r="C561" s="96" t="s">
        <v>80</v>
      </c>
      <c r="D561" s="180">
        <f>IF('Take-off'!$C$13='Dropdown lists'!$B$30, 'Take-off'!$C$8+10, 'Take-off'!$C$8)</f>
        <v>-2</v>
      </c>
      <c r="E561" s="181" t="s">
        <v>148</v>
      </c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</row>
    <row r="562" spans="1:38" ht="15.75" customHeight="1">
      <c r="A562" s="77"/>
      <c r="B562" s="261" t="s">
        <v>153</v>
      </c>
      <c r="C562" s="304"/>
      <c r="D562" s="304"/>
      <c r="E562" s="304"/>
      <c r="F562" s="304"/>
      <c r="G562" s="304"/>
      <c r="H562" s="304"/>
      <c r="I562" s="304"/>
      <c r="J562" s="304"/>
      <c r="K562" s="304"/>
      <c r="L562" s="304"/>
      <c r="M562" s="77"/>
      <c r="N562" s="77"/>
      <c r="O562" s="261" t="s">
        <v>158</v>
      </c>
      <c r="P562" s="304"/>
      <c r="Q562" s="304"/>
      <c r="R562" s="304"/>
      <c r="S562" s="304"/>
      <c r="T562" s="304"/>
      <c r="U562" s="304"/>
      <c r="V562" s="304"/>
      <c r="W562" s="304"/>
      <c r="X562" s="304"/>
      <c r="Y562" s="304"/>
      <c r="Z562" s="77"/>
      <c r="AA562" s="77"/>
      <c r="AB562" s="261" t="s">
        <v>159</v>
      </c>
      <c r="AC562" s="304"/>
      <c r="AD562" s="304"/>
      <c r="AE562" s="304"/>
      <c r="AF562" s="304"/>
      <c r="AG562" s="304"/>
      <c r="AH562" s="304"/>
      <c r="AI562" s="304"/>
      <c r="AJ562" s="304"/>
      <c r="AK562" s="304"/>
      <c r="AL562" s="304"/>
    </row>
    <row r="563" spans="1:38" ht="15.75" customHeight="1">
      <c r="A563" s="12"/>
      <c r="B563" s="262" t="s">
        <v>151</v>
      </c>
      <c r="C563" s="303"/>
      <c r="D563" s="303"/>
      <c r="E563" s="303"/>
      <c r="F563" s="303"/>
      <c r="G563" s="82"/>
      <c r="H563" s="82"/>
      <c r="I563" s="82"/>
      <c r="J563" s="82"/>
      <c r="K563" s="82"/>
      <c r="L563" s="82"/>
      <c r="M563" s="82"/>
      <c r="N563" s="12"/>
      <c r="O563" s="262" t="s">
        <v>151</v>
      </c>
      <c r="P563" s="303"/>
      <c r="Q563" s="303"/>
      <c r="R563" s="303"/>
      <c r="S563" s="303"/>
      <c r="T563" s="82"/>
      <c r="U563" s="82"/>
      <c r="V563" s="82"/>
      <c r="W563" s="82"/>
      <c r="X563" s="82"/>
      <c r="Y563" s="82"/>
      <c r="Z563" s="98"/>
      <c r="AA563" s="12"/>
      <c r="AB563" s="262" t="s">
        <v>151</v>
      </c>
      <c r="AC563" s="303"/>
      <c r="AD563" s="303"/>
      <c r="AE563" s="303"/>
      <c r="AF563" s="303"/>
      <c r="AG563" s="82"/>
      <c r="AH563" s="82"/>
      <c r="AI563" s="82"/>
      <c r="AJ563" s="82"/>
      <c r="AK563" s="82"/>
      <c r="AL563" s="82"/>
    </row>
    <row r="564" spans="1:38" ht="15.75" customHeight="1">
      <c r="A564" s="12" t="s">
        <v>152</v>
      </c>
      <c r="B564" s="182">
        <v>0</v>
      </c>
      <c r="C564" s="183">
        <v>1000</v>
      </c>
      <c r="D564" s="184">
        <v>2000</v>
      </c>
      <c r="E564" s="184">
        <v>3000</v>
      </c>
      <c r="F564" s="185">
        <v>4000</v>
      </c>
      <c r="G564" s="98"/>
      <c r="H564" s="97"/>
      <c r="I564" s="12"/>
      <c r="J564" s="98"/>
      <c r="K564" s="97"/>
      <c r="L564" s="12"/>
      <c r="M564" s="12"/>
      <c r="N564" s="12" t="s">
        <v>152</v>
      </c>
      <c r="O564" s="182">
        <v>0</v>
      </c>
      <c r="P564" s="183">
        <v>1000</v>
      </c>
      <c r="Q564" s="184">
        <v>2000</v>
      </c>
      <c r="R564" s="184">
        <v>3000</v>
      </c>
      <c r="S564" s="185">
        <v>4000</v>
      </c>
      <c r="T564" s="98"/>
      <c r="U564" s="97"/>
      <c r="V564" s="12"/>
      <c r="W564" s="98"/>
      <c r="X564" s="97"/>
      <c r="Y564" s="12"/>
      <c r="AA564" s="12" t="s">
        <v>152</v>
      </c>
      <c r="AB564" s="182">
        <v>0</v>
      </c>
      <c r="AC564" s="183">
        <v>1000</v>
      </c>
      <c r="AD564" s="184">
        <v>2000</v>
      </c>
      <c r="AE564" s="184">
        <v>3000</v>
      </c>
      <c r="AF564" s="185">
        <v>4000</v>
      </c>
      <c r="AG564" s="98"/>
      <c r="AH564" s="97"/>
      <c r="AI564" s="12"/>
      <c r="AJ564" s="98"/>
      <c r="AK564" s="97"/>
      <c r="AL564" s="12"/>
    </row>
    <row r="565" spans="1:38" ht="15.75" customHeight="1">
      <c r="A565" s="12">
        <v>-30</v>
      </c>
      <c r="B565" s="197">
        <v>6</v>
      </c>
      <c r="C565" s="199">
        <v>5.8</v>
      </c>
      <c r="D565" s="201">
        <v>5.6</v>
      </c>
      <c r="E565" s="201">
        <v>5.4</v>
      </c>
      <c r="F565" s="185">
        <v>0</v>
      </c>
      <c r="G565" s="98"/>
      <c r="H565" s="97"/>
      <c r="I565" s="12"/>
      <c r="J565" s="98"/>
      <c r="K565" s="97"/>
      <c r="L565" s="12"/>
      <c r="M565" s="12"/>
      <c r="N565" s="12">
        <v>-30</v>
      </c>
      <c r="O565" s="205"/>
      <c r="P565" s="206"/>
      <c r="Q565" s="207"/>
      <c r="R565" s="207"/>
      <c r="S565" s="185">
        <v>99999</v>
      </c>
      <c r="T565" s="98"/>
      <c r="U565" s="97"/>
      <c r="V565" s="12"/>
      <c r="W565" s="98"/>
      <c r="X565" s="97"/>
      <c r="Y565" s="12"/>
      <c r="AA565" s="12">
        <v>-30</v>
      </c>
      <c r="AB565" s="205"/>
      <c r="AC565" s="206"/>
      <c r="AD565" s="207"/>
      <c r="AE565" s="207"/>
      <c r="AF565" s="185">
        <v>99999</v>
      </c>
      <c r="AG565" s="98"/>
      <c r="AH565" s="97"/>
      <c r="AI565" s="12"/>
      <c r="AJ565" s="98"/>
      <c r="AK565" s="97"/>
      <c r="AL565" s="12"/>
    </row>
    <row r="566" spans="1:38" ht="15.75" customHeight="1">
      <c r="A566" s="12">
        <v>-20</v>
      </c>
      <c r="B566" s="258">
        <v>6</v>
      </c>
      <c r="C566" s="203">
        <v>5.8</v>
      </c>
      <c r="D566" s="166">
        <v>5.45</v>
      </c>
      <c r="E566" s="166">
        <v>5.2</v>
      </c>
      <c r="F566" s="255">
        <v>0</v>
      </c>
      <c r="G566" s="98"/>
      <c r="H566" s="97"/>
      <c r="J566" s="98"/>
      <c r="K566" s="97"/>
      <c r="N566" s="12">
        <v>-20</v>
      </c>
      <c r="O566" s="259"/>
      <c r="P566" s="213"/>
      <c r="Q566" s="101"/>
      <c r="R566" s="101"/>
      <c r="S566" s="255">
        <v>99999</v>
      </c>
      <c r="T566" s="98"/>
      <c r="U566" s="97"/>
      <c r="W566" s="98"/>
      <c r="X566" s="97"/>
      <c r="AA566" s="12">
        <v>-20</v>
      </c>
      <c r="AB566" s="259"/>
      <c r="AC566" s="213"/>
      <c r="AD566" s="101"/>
      <c r="AE566" s="101"/>
      <c r="AF566" s="255">
        <v>99999</v>
      </c>
      <c r="AG566" s="98"/>
      <c r="AH566" s="97"/>
      <c r="AJ566" s="98"/>
      <c r="AK566" s="97"/>
    </row>
    <row r="567" spans="1:38" ht="15.75" customHeight="1">
      <c r="A567" s="12">
        <v>-10</v>
      </c>
      <c r="B567" s="258">
        <v>5.75</v>
      </c>
      <c r="C567" s="203">
        <v>5.5</v>
      </c>
      <c r="D567" s="166">
        <v>5.2</v>
      </c>
      <c r="E567" s="166">
        <v>4.9000000000000004</v>
      </c>
      <c r="F567" s="255">
        <v>0</v>
      </c>
      <c r="G567" s="98"/>
      <c r="H567" s="97"/>
      <c r="J567" s="98"/>
      <c r="K567" s="97"/>
      <c r="N567" s="12">
        <v>-10</v>
      </c>
      <c r="O567" s="259"/>
      <c r="P567" s="213"/>
      <c r="Q567" s="101"/>
      <c r="R567" s="101"/>
      <c r="S567" s="255">
        <v>99999</v>
      </c>
      <c r="T567" s="98"/>
      <c r="U567" s="97"/>
      <c r="W567" s="98"/>
      <c r="X567" s="97"/>
      <c r="AA567" s="12">
        <v>-10</v>
      </c>
      <c r="AB567" s="259"/>
      <c r="AC567" s="213"/>
      <c r="AD567" s="101"/>
      <c r="AE567" s="101"/>
      <c r="AF567" s="255">
        <v>99999</v>
      </c>
      <c r="AG567" s="98"/>
      <c r="AH567" s="97"/>
      <c r="AJ567" s="98"/>
      <c r="AK567" s="97"/>
    </row>
    <row r="568" spans="1:38" ht="15.75" customHeight="1">
      <c r="A568" s="12">
        <v>0</v>
      </c>
      <c r="B568" s="258">
        <v>5.5</v>
      </c>
      <c r="C568" s="203">
        <v>5.2</v>
      </c>
      <c r="D568" s="166">
        <v>4.9000000000000004</v>
      </c>
      <c r="E568" s="166">
        <v>4.5999999999999996</v>
      </c>
      <c r="F568" s="255">
        <v>0</v>
      </c>
      <c r="G568" s="98"/>
      <c r="H568" s="97"/>
      <c r="J568" s="98"/>
      <c r="K568" s="97"/>
      <c r="N568" s="12">
        <v>0</v>
      </c>
      <c r="O568" s="259"/>
      <c r="P568" s="213"/>
      <c r="Q568" s="101"/>
      <c r="R568" s="101"/>
      <c r="S568" s="255">
        <v>99999</v>
      </c>
      <c r="T568" s="98"/>
      <c r="U568" s="97"/>
      <c r="W568" s="98"/>
      <c r="X568" s="97"/>
      <c r="AA568" s="12">
        <v>0</v>
      </c>
      <c r="AB568" s="259"/>
      <c r="AC568" s="213"/>
      <c r="AD568" s="101"/>
      <c r="AE568" s="101"/>
      <c r="AF568" s="255">
        <v>99999</v>
      </c>
      <c r="AG568" s="98"/>
      <c r="AH568" s="97"/>
      <c r="AJ568" s="98"/>
      <c r="AK568" s="97"/>
    </row>
    <row r="569" spans="1:38" ht="15.75" customHeight="1">
      <c r="A569" s="12">
        <v>10</v>
      </c>
      <c r="B569" s="258">
        <v>5.2</v>
      </c>
      <c r="C569" s="203">
        <v>4.9000000000000004</v>
      </c>
      <c r="D569" s="166">
        <v>4.5999999999999996</v>
      </c>
      <c r="E569" s="166">
        <v>4.4000000000000004</v>
      </c>
      <c r="F569" s="255">
        <v>0</v>
      </c>
      <c r="G569" s="98"/>
      <c r="H569" s="97"/>
      <c r="J569" s="98"/>
      <c r="K569" s="97"/>
      <c r="N569" s="12">
        <v>10</v>
      </c>
      <c r="O569" s="259"/>
      <c r="P569" s="213"/>
      <c r="Q569" s="101"/>
      <c r="R569" s="101"/>
      <c r="S569" s="255">
        <v>99999</v>
      </c>
      <c r="T569" s="98"/>
      <c r="U569" s="97"/>
      <c r="W569" s="98"/>
      <c r="X569" s="97"/>
      <c r="AA569" s="12">
        <v>10</v>
      </c>
      <c r="AB569" s="259"/>
      <c r="AC569" s="213"/>
      <c r="AD569" s="101"/>
      <c r="AE569" s="101"/>
      <c r="AF569" s="255">
        <v>99999</v>
      </c>
      <c r="AG569" s="98"/>
      <c r="AH569" s="97"/>
      <c r="AJ569" s="98"/>
      <c r="AK569" s="97"/>
    </row>
    <row r="570" spans="1:38" ht="15.75" customHeight="1">
      <c r="A570" s="12">
        <v>20</v>
      </c>
      <c r="B570" s="258">
        <v>4.95</v>
      </c>
      <c r="C570" s="203">
        <v>4.6500000000000004</v>
      </c>
      <c r="D570" s="166">
        <v>4.4000000000000004</v>
      </c>
      <c r="E570" s="166">
        <v>4</v>
      </c>
      <c r="F570" s="255">
        <v>0</v>
      </c>
      <c r="G570" s="98"/>
      <c r="H570" s="97"/>
      <c r="J570" s="98"/>
      <c r="K570" s="97"/>
      <c r="N570" s="12">
        <v>20</v>
      </c>
      <c r="O570" s="259"/>
      <c r="P570" s="213"/>
      <c r="Q570" s="101"/>
      <c r="R570" s="101"/>
      <c r="S570" s="255">
        <v>99999</v>
      </c>
      <c r="T570" s="98"/>
      <c r="U570" s="97"/>
      <c r="W570" s="98"/>
      <c r="X570" s="97"/>
      <c r="AA570" s="12">
        <v>20</v>
      </c>
      <c r="AB570" s="259"/>
      <c r="AC570" s="213"/>
      <c r="AD570" s="101"/>
      <c r="AE570" s="101"/>
      <c r="AF570" s="255">
        <v>99999</v>
      </c>
      <c r="AG570" s="98"/>
      <c r="AH570" s="97"/>
      <c r="AJ570" s="98"/>
      <c r="AK570" s="97"/>
    </row>
    <row r="571" spans="1:38" ht="15.75" customHeight="1">
      <c r="A571" s="12">
        <v>30</v>
      </c>
      <c r="B571" s="258">
        <v>4.7</v>
      </c>
      <c r="C571" s="203">
        <v>4.25</v>
      </c>
      <c r="D571" s="166">
        <v>3.9</v>
      </c>
      <c r="E571" s="166">
        <v>3.4</v>
      </c>
      <c r="F571" s="255">
        <v>0</v>
      </c>
      <c r="G571" s="98"/>
      <c r="H571" s="97"/>
      <c r="J571" s="98"/>
      <c r="K571" s="97"/>
      <c r="N571" s="12"/>
      <c r="O571" s="259"/>
      <c r="P571" s="213"/>
      <c r="Q571" s="101"/>
      <c r="R571" s="101"/>
      <c r="S571" s="255"/>
      <c r="T571" s="98"/>
      <c r="U571" s="97"/>
      <c r="W571" s="98"/>
      <c r="X571" s="97"/>
      <c r="AA571" s="12">
        <v>30</v>
      </c>
      <c r="AB571" s="259"/>
      <c r="AC571" s="213"/>
      <c r="AD571" s="101"/>
      <c r="AE571" s="101"/>
      <c r="AF571" s="255">
        <v>99999</v>
      </c>
      <c r="AG571" s="98"/>
      <c r="AH571" s="97"/>
      <c r="AJ571" s="98"/>
      <c r="AK571" s="97"/>
    </row>
    <row r="572" spans="1:38" ht="15.75" customHeight="1">
      <c r="A572" s="12">
        <v>40</v>
      </c>
      <c r="B572" s="258">
        <v>4</v>
      </c>
      <c r="C572" s="203">
        <v>3.4</v>
      </c>
      <c r="D572" s="166">
        <v>3</v>
      </c>
      <c r="E572" s="166">
        <v>2.5</v>
      </c>
      <c r="F572" s="255">
        <v>0</v>
      </c>
      <c r="G572" s="98"/>
      <c r="H572" s="97"/>
      <c r="J572" s="98"/>
      <c r="K572" s="97"/>
      <c r="N572" s="12">
        <v>30</v>
      </c>
      <c r="O572" s="259"/>
      <c r="P572" s="213"/>
      <c r="Q572" s="101"/>
      <c r="R572" s="101"/>
      <c r="S572" s="255">
        <v>99999</v>
      </c>
      <c r="T572" s="98"/>
      <c r="U572" s="97"/>
      <c r="W572" s="98"/>
      <c r="X572" s="97"/>
      <c r="AA572" s="12">
        <v>40</v>
      </c>
      <c r="AB572" s="259"/>
      <c r="AC572" s="213"/>
      <c r="AD572" s="101"/>
      <c r="AE572" s="101"/>
      <c r="AF572" s="255">
        <v>99999</v>
      </c>
      <c r="AG572" s="98"/>
      <c r="AH572" s="97"/>
      <c r="AJ572" s="98"/>
      <c r="AK572" s="97"/>
    </row>
    <row r="573" spans="1:38" ht="15.75" customHeight="1">
      <c r="A573" s="12">
        <v>45</v>
      </c>
      <c r="B573" s="189">
        <v>0</v>
      </c>
      <c r="C573" s="190">
        <v>0</v>
      </c>
      <c r="D573" s="190">
        <v>0</v>
      </c>
      <c r="E573" s="190">
        <v>0</v>
      </c>
      <c r="F573" s="191">
        <v>0</v>
      </c>
      <c r="G573" s="98"/>
      <c r="H573" s="97"/>
      <c r="J573" s="98"/>
      <c r="K573" s="97"/>
      <c r="N573" s="12">
        <v>35</v>
      </c>
      <c r="O573" s="189">
        <v>99999</v>
      </c>
      <c r="P573" s="190">
        <v>99999</v>
      </c>
      <c r="Q573" s="190">
        <v>99999</v>
      </c>
      <c r="R573" s="190">
        <v>99999</v>
      </c>
      <c r="S573" s="191">
        <v>99999</v>
      </c>
      <c r="T573" s="98"/>
      <c r="U573" s="97"/>
      <c r="W573" s="98"/>
      <c r="X573" s="97"/>
      <c r="AA573" s="12">
        <v>45</v>
      </c>
      <c r="AB573" s="189">
        <v>99999</v>
      </c>
      <c r="AC573" s="190">
        <v>99999</v>
      </c>
      <c r="AD573" s="190">
        <v>99999</v>
      </c>
      <c r="AE573" s="190">
        <v>99999</v>
      </c>
      <c r="AF573" s="191">
        <v>99999</v>
      </c>
      <c r="AG573" s="98"/>
      <c r="AH573" s="97"/>
      <c r="AJ573" s="98"/>
      <c r="AK573" s="97"/>
    </row>
    <row r="574" spans="1:38" ht="15.75" customHeight="1">
      <c r="B574" s="98"/>
      <c r="C574" s="97"/>
      <c r="D574" s="12"/>
      <c r="E574" s="12"/>
      <c r="F574" s="12"/>
      <c r="G574" s="2"/>
      <c r="H574" s="2"/>
      <c r="I574" s="2"/>
      <c r="J574" s="98"/>
      <c r="K574" s="97"/>
      <c r="O574" s="98"/>
      <c r="P574" s="97"/>
      <c r="Q574" s="12"/>
      <c r="R574" s="12"/>
      <c r="S574" s="12"/>
      <c r="T574" s="2"/>
      <c r="U574" s="2"/>
      <c r="V574" s="2"/>
      <c r="W574" s="98"/>
      <c r="X574" s="97"/>
      <c r="Z574" s="98"/>
      <c r="AB574" s="98"/>
      <c r="AC574" s="97"/>
      <c r="AD574" s="12"/>
      <c r="AE574" s="12"/>
      <c r="AF574" s="12"/>
      <c r="AG574" s="2"/>
      <c r="AH574" s="2"/>
      <c r="AI574" s="2"/>
      <c r="AJ574" s="98"/>
      <c r="AK574" s="97"/>
    </row>
    <row r="575" spans="1:38" ht="15.75" customHeight="1">
      <c r="B575" s="98" t="s">
        <v>79</v>
      </c>
      <c r="C575" s="97">
        <f>D560</f>
        <v>35</v>
      </c>
      <c r="D575" s="260" t="s">
        <v>136</v>
      </c>
      <c r="E575" s="304"/>
      <c r="G575" s="2"/>
      <c r="H575" s="2"/>
      <c r="I575" s="2"/>
      <c r="J575" s="98"/>
      <c r="K575" s="97"/>
      <c r="L575" s="82"/>
      <c r="O575" s="98" t="s">
        <v>79</v>
      </c>
      <c r="P575" s="97">
        <f>D560</f>
        <v>35</v>
      </c>
      <c r="Q575" s="260" t="s">
        <v>136</v>
      </c>
      <c r="R575" s="304"/>
      <c r="T575" s="2"/>
      <c r="U575" s="2"/>
      <c r="V575" s="2"/>
      <c r="W575" s="98"/>
      <c r="X575" s="97"/>
      <c r="Y575" s="82"/>
      <c r="Z575" s="98"/>
      <c r="AB575" s="98" t="s">
        <v>79</v>
      </c>
      <c r="AC575" s="97">
        <f>D560</f>
        <v>35</v>
      </c>
      <c r="AD575" s="260" t="s">
        <v>136</v>
      </c>
      <c r="AE575" s="304"/>
      <c r="AG575" s="2"/>
      <c r="AH575" s="2"/>
      <c r="AI575" s="2"/>
      <c r="AJ575" s="98"/>
      <c r="AK575" s="97"/>
      <c r="AL575" s="82"/>
    </row>
    <row r="576" spans="1:38" ht="15.75" customHeight="1">
      <c r="B576" s="73" t="s">
        <v>137</v>
      </c>
      <c r="C576" s="100">
        <f t="array" ref="C576">INDEX(B564:F564,MATCH(C575,B564:F564,1))</f>
        <v>0</v>
      </c>
      <c r="D576" s="73" t="s">
        <v>77</v>
      </c>
      <c r="E576" s="88">
        <f>MATCH(MAX(A565:A573),A565:A573,1)</f>
        <v>9</v>
      </c>
      <c r="G576" s="2"/>
      <c r="H576" s="2"/>
      <c r="I576" s="2"/>
      <c r="J576" s="73"/>
      <c r="K576" s="100"/>
      <c r="L576" s="73"/>
      <c r="M576" s="88"/>
      <c r="O576" s="73" t="s">
        <v>137</v>
      </c>
      <c r="P576" s="100">
        <f t="array" ref="P576">INDEX(O564:S564,MATCH(P575,O564:S564,1))</f>
        <v>0</v>
      </c>
      <c r="Q576" s="73" t="s">
        <v>77</v>
      </c>
      <c r="R576" s="88">
        <f>MATCH(MAX(N565:N573),N565:N573,1)</f>
        <v>9</v>
      </c>
      <c r="T576" s="2"/>
      <c r="U576" s="2"/>
      <c r="V576" s="2"/>
      <c r="W576" s="73"/>
      <c r="X576" s="100"/>
      <c r="Y576" s="73"/>
      <c r="Z576" s="73"/>
      <c r="AB576" s="73" t="s">
        <v>137</v>
      </c>
      <c r="AC576" s="100">
        <f t="array" ref="AC576">INDEX(AB564:AF564,MATCH(AC575,AB564:AF564,1))</f>
        <v>0</v>
      </c>
      <c r="AD576" s="73" t="s">
        <v>77</v>
      </c>
      <c r="AE576" s="88">
        <f>MATCH(MAX(AA565:AA573),AA565:AA573,1)</f>
        <v>9</v>
      </c>
      <c r="AG576" s="2"/>
      <c r="AH576" s="2"/>
      <c r="AI576" s="2"/>
      <c r="AJ576" s="73"/>
      <c r="AK576" s="100"/>
      <c r="AL576" s="73"/>
    </row>
    <row r="577" spans="1:38" ht="15.75" customHeight="1">
      <c r="B577" s="73" t="s">
        <v>138</v>
      </c>
      <c r="C577" s="100">
        <f t="array" ref="C577">INDEX(B564:F564,IF(MATCH(C575,B564:F564,1)&lt;E577,MATCH(C575,B564:F564,1)+1,MATCH(C575,B564:F564,1)))</f>
        <v>1000</v>
      </c>
      <c r="D577" s="73" t="s">
        <v>78</v>
      </c>
      <c r="E577" s="88">
        <f>MATCH(MAX(B564:F564),B564:F564,0)</f>
        <v>5</v>
      </c>
      <c r="G577" s="2"/>
      <c r="H577" s="2"/>
      <c r="I577" s="2"/>
      <c r="J577" s="73"/>
      <c r="K577" s="100"/>
      <c r="L577" s="73"/>
      <c r="M577" s="88"/>
      <c r="O577" s="73" t="s">
        <v>138</v>
      </c>
      <c r="P577" s="100">
        <f t="array" ref="P577">INDEX(O564:S564,IF(MATCH(P575,O564:S564,1)&lt;R577,MATCH(P575,O564:S564,1)+1,MATCH(P575,O564:S564,1)))</f>
        <v>1000</v>
      </c>
      <c r="Q577" s="73" t="s">
        <v>78</v>
      </c>
      <c r="R577" s="88">
        <f>MATCH(MAX(O564:S564),O564:S564,0)</f>
        <v>5</v>
      </c>
      <c r="T577" s="2"/>
      <c r="U577" s="2"/>
      <c r="V577" s="2"/>
      <c r="W577" s="73"/>
      <c r="X577" s="100"/>
      <c r="Y577" s="73"/>
      <c r="Z577" s="73"/>
      <c r="AB577" s="73" t="s">
        <v>138</v>
      </c>
      <c r="AC577" s="100">
        <f t="array" ref="AC577">INDEX(AB564:AF564,IF(MATCH(AC575,AB564:AF564,1)&lt;AE577,MATCH(AC575,AB564:AF564,1)+1,MATCH(AC575,AB564:AF564,1)))</f>
        <v>1000</v>
      </c>
      <c r="AD577" s="73" t="s">
        <v>78</v>
      </c>
      <c r="AE577" s="88">
        <f>MATCH(MAX(AB564:AF564),AB564:AF564,0)</f>
        <v>5</v>
      </c>
      <c r="AG577" s="2"/>
      <c r="AH577" s="2"/>
      <c r="AI577" s="2"/>
      <c r="AJ577" s="73"/>
      <c r="AK577" s="100"/>
      <c r="AL577" s="73"/>
    </row>
    <row r="578" spans="1:38" ht="15.75" customHeight="1">
      <c r="B578" s="96" t="s">
        <v>80</v>
      </c>
      <c r="C578" s="155">
        <f>D561</f>
        <v>-2</v>
      </c>
      <c r="D578" s="2"/>
      <c r="E578" s="2"/>
      <c r="G578" s="2"/>
      <c r="H578" s="2"/>
      <c r="I578" s="2"/>
      <c r="J578" s="98"/>
      <c r="K578" s="155"/>
      <c r="L578" s="2"/>
      <c r="M578" s="2"/>
      <c r="O578" s="96" t="s">
        <v>80</v>
      </c>
      <c r="P578" s="155">
        <f>D561</f>
        <v>-2</v>
      </c>
      <c r="Q578" s="2"/>
      <c r="R578" s="2"/>
      <c r="T578" s="2"/>
      <c r="U578" s="2"/>
      <c r="V578" s="2"/>
      <c r="W578" s="98"/>
      <c r="X578" s="155"/>
      <c r="Y578" s="2"/>
      <c r="Z578" s="98"/>
      <c r="AB578" s="96" t="s">
        <v>80</v>
      </c>
      <c r="AC578" s="155">
        <f>D561</f>
        <v>-2</v>
      </c>
      <c r="AD578" s="2"/>
      <c r="AE578" s="2"/>
      <c r="AG578" s="2"/>
      <c r="AH578" s="2"/>
      <c r="AI578" s="2"/>
      <c r="AJ578" s="98"/>
      <c r="AK578" s="155"/>
      <c r="AL578" s="2"/>
    </row>
    <row r="579" spans="1:38" ht="15.75" customHeight="1">
      <c r="B579" s="73" t="s">
        <v>81</v>
      </c>
      <c r="C579" s="100">
        <f t="array" ref="C579">INDEX(A565:A573,MATCH(C578,A565:A573,1))</f>
        <v>-10</v>
      </c>
      <c r="D579" s="2"/>
      <c r="E579" s="92"/>
      <c r="G579" s="2"/>
      <c r="H579" s="2"/>
      <c r="I579" s="2"/>
      <c r="J579" s="73"/>
      <c r="K579" s="100"/>
      <c r="L579" s="2"/>
      <c r="M579" s="92"/>
      <c r="O579" s="73" t="s">
        <v>81</v>
      </c>
      <c r="P579" s="100">
        <f t="array" ref="P579">INDEX(N565:N573,MATCH(P578,N565:N573,1))</f>
        <v>-10</v>
      </c>
      <c r="Q579" s="2"/>
      <c r="R579" s="92"/>
      <c r="T579" s="2"/>
      <c r="U579" s="2"/>
      <c r="V579" s="2"/>
      <c r="W579" s="73"/>
      <c r="X579" s="100"/>
      <c r="Y579" s="2"/>
      <c r="Z579" s="73"/>
      <c r="AB579" s="73" t="s">
        <v>81</v>
      </c>
      <c r="AC579" s="100">
        <f t="array" ref="AC579">INDEX(AA565:AA573,MATCH(AC578,AA565:AA573,1))</f>
        <v>-10</v>
      </c>
      <c r="AD579" s="2"/>
      <c r="AE579" s="92"/>
      <c r="AG579" s="2"/>
      <c r="AH579" s="2"/>
      <c r="AI579" s="2"/>
      <c r="AJ579" s="73"/>
      <c r="AK579" s="100"/>
      <c r="AL579" s="2"/>
    </row>
    <row r="580" spans="1:38" ht="15.75" customHeight="1">
      <c r="B580" s="73" t="s">
        <v>82</v>
      </c>
      <c r="C580" s="100">
        <f t="array" ref="C580">INDEX(A565:A573,IF(MATCH(C578,A565:A573,1)&lt;E576,MATCH(C578,A565:A573,1)+1,MATCH(C578,A565:A573,1)))</f>
        <v>0</v>
      </c>
      <c r="D580" s="2"/>
      <c r="E580" s="92"/>
      <c r="G580" s="2"/>
      <c r="H580" s="2"/>
      <c r="I580" s="2"/>
      <c r="J580" s="73"/>
      <c r="K580" s="100"/>
      <c r="L580" s="2"/>
      <c r="M580" s="92"/>
      <c r="O580" s="73" t="s">
        <v>82</v>
      </c>
      <c r="P580" s="100">
        <f t="array" ref="P580">INDEX(N565:N573,IF(MATCH(P578,N565:N573,1)&lt;R576,MATCH(P578,N565:N573,1)+1,MATCH(P578,N565:N573,1)))</f>
        <v>0</v>
      </c>
      <c r="Q580" s="2"/>
      <c r="R580" s="92"/>
      <c r="T580" s="2"/>
      <c r="U580" s="2"/>
      <c r="V580" s="2"/>
      <c r="W580" s="73"/>
      <c r="X580" s="100"/>
      <c r="Y580" s="2"/>
      <c r="Z580" s="73"/>
      <c r="AB580" s="73" t="s">
        <v>82</v>
      </c>
      <c r="AC580" s="100">
        <f t="array" ref="AC580">INDEX(AA565:AA573,IF(MATCH(AC578,AA565:AA573,1)&lt;AE576,MATCH(AC578,AA565:AA573,1)+1,MATCH(AC578,AA565:AA573,1)))</f>
        <v>0</v>
      </c>
      <c r="AD580" s="2"/>
      <c r="AE580" s="92"/>
      <c r="AG580" s="2"/>
      <c r="AH580" s="2"/>
      <c r="AI580" s="2"/>
      <c r="AJ580" s="73"/>
      <c r="AK580" s="100"/>
      <c r="AL580" s="2"/>
    </row>
    <row r="581" spans="1:38" ht="15.75" customHeight="1">
      <c r="B581" s="98" t="s">
        <v>83</v>
      </c>
      <c r="C581" s="97">
        <f t="array" ref="C581">INDEX(B565:F573,MATCH(C578,A565:A573,1),MATCH(C575,B564:F564,1))</f>
        <v>5.75</v>
      </c>
      <c r="D581" s="2"/>
      <c r="E581" s="92"/>
      <c r="G581" s="2"/>
      <c r="H581" s="2"/>
      <c r="I581" s="2"/>
      <c r="J581" s="98"/>
      <c r="K581" s="97"/>
      <c r="L581" s="2"/>
      <c r="M581" s="92"/>
      <c r="O581" s="98" t="s">
        <v>83</v>
      </c>
      <c r="P581" s="97">
        <f t="array" ref="P581">INDEX(O565:S573,MATCH(P578,N565:N573,1),MATCH(P575,O564:S564,1))</f>
        <v>0</v>
      </c>
      <c r="Q581" s="2"/>
      <c r="R581" s="92"/>
      <c r="T581" s="2"/>
      <c r="U581" s="2"/>
      <c r="V581" s="2"/>
      <c r="W581" s="98"/>
      <c r="X581" s="97"/>
      <c r="Y581" s="2"/>
      <c r="Z581" s="98"/>
      <c r="AB581" s="98" t="s">
        <v>83</v>
      </c>
      <c r="AC581" s="97">
        <f t="array" ref="AC581">INDEX(AB565:AF573,MATCH(AC578,AA565:AA573,1),MATCH(AC575,AB564:AF564,1))</f>
        <v>0</v>
      </c>
      <c r="AD581" s="2"/>
      <c r="AE581" s="92"/>
      <c r="AG581" s="2"/>
      <c r="AH581" s="2"/>
      <c r="AI581" s="2"/>
      <c r="AJ581" s="98"/>
      <c r="AK581" s="97"/>
      <c r="AL581" s="2"/>
    </row>
    <row r="582" spans="1:38" ht="15.75" customHeight="1">
      <c r="B582" s="98" t="s">
        <v>139</v>
      </c>
      <c r="C582" s="97">
        <f t="array" ref="C582">INDEX(B565:F573,MATCH(C578,A565:A573,1),IF(MATCH(C575,B564:F564,1)&lt;E577,MATCH(C575,B564:F564,1)+1,MATCH(C578,A565:A573,1)))</f>
        <v>5.5</v>
      </c>
      <c r="E582" s="92"/>
      <c r="G582" s="2"/>
      <c r="H582" s="2"/>
      <c r="I582" s="2"/>
      <c r="J582" s="98"/>
      <c r="K582" s="97"/>
      <c r="M582" s="92"/>
      <c r="O582" s="98" t="s">
        <v>139</v>
      </c>
      <c r="P582" s="97">
        <f t="array" ref="P582">INDEX(O565:S573,MATCH(P578,N565:N573,1),IF(MATCH(P575,O564:S564,1)&lt;R577,MATCH(P575,O564:S564,1)+1,MATCH(P578,N565:N573,1)))</f>
        <v>0</v>
      </c>
      <c r="R582" s="92"/>
      <c r="T582" s="2"/>
      <c r="U582" s="2"/>
      <c r="V582" s="2"/>
      <c r="W582" s="98"/>
      <c r="X582" s="97"/>
      <c r="Z582" s="98"/>
      <c r="AB582" s="98" t="s">
        <v>139</v>
      </c>
      <c r="AC582" s="97">
        <f t="array" ref="AC582">INDEX(AB565:AF573,MATCH(AC578,AA565:AA573,1),IF(MATCH(AC575,AB564:AF564,1)&lt;AE577,MATCH(AC575,AB564:AF564,1)+1,MATCH(AC578,AA565:AA573,1)))</f>
        <v>0</v>
      </c>
      <c r="AE582" s="92"/>
      <c r="AG582" s="2"/>
      <c r="AH582" s="2"/>
      <c r="AI582" s="2"/>
      <c r="AJ582" s="98"/>
      <c r="AK582" s="97"/>
    </row>
    <row r="583" spans="1:38" ht="15.75" customHeight="1">
      <c r="B583" s="98" t="s">
        <v>84</v>
      </c>
      <c r="C583" s="97">
        <f t="array" ref="C583">INDEX(B565:F573,IF(MATCH(C578,A565:A573,1)&lt;E576,MATCH(C578,A565:A573,1)+1,MATCH(C578,A565:A573,1)),MATCH(C575,B564:F564,1))</f>
        <v>5.5</v>
      </c>
      <c r="E583" s="92"/>
      <c r="G583" s="2"/>
      <c r="H583" s="2"/>
      <c r="I583" s="2"/>
      <c r="J583" s="98"/>
      <c r="K583" s="97"/>
      <c r="M583" s="92"/>
      <c r="O583" s="98" t="s">
        <v>84</v>
      </c>
      <c r="P583" s="97">
        <f t="array" ref="P583">INDEX(O565:S573,IF(MATCH(P578,N565:N573,1)&lt;R576,MATCH(P578,N565:N573,1)+1,MATCH(P578,N565:N573,1)),MATCH(P575,O564:S564,1))</f>
        <v>0</v>
      </c>
      <c r="R583" s="92"/>
      <c r="T583" s="2"/>
      <c r="U583" s="2"/>
      <c r="V583" s="2"/>
      <c r="W583" s="98"/>
      <c r="X583" s="97"/>
      <c r="Z583" s="98"/>
      <c r="AB583" s="98" t="s">
        <v>84</v>
      </c>
      <c r="AC583" s="97">
        <f t="array" ref="AC583">INDEX(AB565:AF573,IF(MATCH(AC578,AA565:AA573,1)&lt;AE576,MATCH(AC578,AA565:AA573,1)+1,MATCH(AC578,AA565:AA573,1)),MATCH(AC575,AB564:AF564,1))</f>
        <v>0</v>
      </c>
      <c r="AE583" s="92"/>
      <c r="AG583" s="2"/>
      <c r="AH583" s="2"/>
      <c r="AI583" s="2"/>
      <c r="AJ583" s="98"/>
      <c r="AK583" s="97"/>
    </row>
    <row r="584" spans="1:38" ht="15.75" customHeight="1">
      <c r="B584" s="98" t="s">
        <v>140</v>
      </c>
      <c r="C584" s="97">
        <f t="array" ref="C584">INDEX(B565:F573,IF(MATCH(C578,A565:A573,1)&lt;E576,MATCH(C578,A565:A573,1)+1,MATCH(C578,A565:A573,1)),IF(MATCH(C575,B564:F564,1)&lt;E577,MATCH(C575,B564:F564,1)+1,MATCH(C575,B564:F564,1)))</f>
        <v>5.2</v>
      </c>
      <c r="G584" s="2"/>
      <c r="H584" s="2"/>
      <c r="I584" s="2"/>
      <c r="J584" s="98"/>
      <c r="K584" s="97"/>
      <c r="O584" s="98" t="s">
        <v>140</v>
      </c>
      <c r="P584" s="97">
        <f t="array" ref="P584">INDEX(O565:S573,IF(MATCH(P578,N565:N573,1)&lt;R576,MATCH(P578,N565:N573,1)+1,MATCH(P578,N565:N573,1)),IF(MATCH(P575,O564:S564,1)&lt;R577,MATCH(P575,O564:S564,1)+1,MATCH(P575,O564:S564,1)))</f>
        <v>0</v>
      </c>
      <c r="T584" s="2"/>
      <c r="U584" s="2"/>
      <c r="V584" s="2"/>
      <c r="W584" s="98"/>
      <c r="X584" s="97"/>
      <c r="Z584" s="98"/>
      <c r="AB584" s="98" t="s">
        <v>140</v>
      </c>
      <c r="AC584" s="97">
        <f t="array" ref="AC584">INDEX(AB565:AF573,IF(MATCH(AC578,AA565:AA573,1)&lt;AE576,MATCH(AC578,AA565:AA573,1)+1,MATCH(AC578,AA565:AA573,1)),IF(MATCH(AC575,AB564:AF564,1)&lt;AE577,MATCH(AC575,AB564:AF564,1)+1,MATCH(AC575,AB564:AF564,1)))</f>
        <v>0</v>
      </c>
      <c r="AG584" s="2"/>
      <c r="AH584" s="2"/>
      <c r="AI584" s="2"/>
      <c r="AJ584" s="98"/>
      <c r="AK584" s="97"/>
    </row>
    <row r="585" spans="1:38" ht="15.75" customHeight="1">
      <c r="B585" s="73" t="s">
        <v>141</v>
      </c>
      <c r="C585" s="100">
        <f>IFERROR(C581+(C575-C576)*(C582-C581)/(C577-C576),C581)</f>
        <v>5.74125</v>
      </c>
      <c r="G585" s="2"/>
      <c r="H585" s="2"/>
      <c r="I585" s="2"/>
      <c r="J585" s="73"/>
      <c r="K585" s="100"/>
      <c r="O585" s="73" t="s">
        <v>141</v>
      </c>
      <c r="P585" s="100">
        <f>IFERROR(P581+(P575-P576)*(P582-P581)/(P577-P576),P581)</f>
        <v>0</v>
      </c>
      <c r="T585" s="2"/>
      <c r="U585" s="2"/>
      <c r="V585" s="2"/>
      <c r="W585" s="73"/>
      <c r="X585" s="100"/>
      <c r="Z585" s="73"/>
      <c r="AB585" s="73" t="s">
        <v>141</v>
      </c>
      <c r="AC585" s="100">
        <f>IFERROR(AC581+(AC575-AC576)*(AC582-AC581)/(AC577-AC576),AC581)</f>
        <v>0</v>
      </c>
      <c r="AG585" s="2"/>
      <c r="AH585" s="2"/>
      <c r="AI585" s="2"/>
      <c r="AJ585" s="73"/>
      <c r="AK585" s="100"/>
    </row>
    <row r="586" spans="1:38" ht="15.75" customHeight="1">
      <c r="B586" s="73" t="s">
        <v>142</v>
      </c>
      <c r="C586" s="100">
        <f>IFERROR(C583+(C575-C576)*(C584-C583)/(C577-C576),C583)</f>
        <v>5.4894999999999996</v>
      </c>
      <c r="G586" s="2"/>
      <c r="H586" s="2"/>
      <c r="I586" s="2"/>
      <c r="J586" s="73"/>
      <c r="K586" s="100"/>
      <c r="O586" s="73" t="s">
        <v>142</v>
      </c>
      <c r="P586" s="100">
        <f>IFERROR(P583+(P575-P576)*(P584-P583)/(P577-P576),P583)</f>
        <v>0</v>
      </c>
      <c r="T586" s="2"/>
      <c r="U586" s="2"/>
      <c r="V586" s="2"/>
      <c r="W586" s="73"/>
      <c r="X586" s="100"/>
      <c r="Z586" s="73"/>
      <c r="AB586" s="73" t="s">
        <v>142</v>
      </c>
      <c r="AC586" s="100">
        <f>IFERROR(AC583+(AC575-AC576)*(AC584-AC583)/(AC577-AC576),AC583)</f>
        <v>0</v>
      </c>
      <c r="AG586" s="2"/>
      <c r="AH586" s="2"/>
      <c r="AI586" s="2"/>
      <c r="AJ586" s="73"/>
      <c r="AK586" s="100"/>
    </row>
    <row r="587" spans="1:38" ht="15.75" customHeight="1">
      <c r="B587" s="98" t="s">
        <v>143</v>
      </c>
      <c r="C587" s="97">
        <f>IFERROR(C585+(C578-C579)*(C586-C585)/(C580-C579),C585)</f>
        <v>5.5398499999999995</v>
      </c>
      <c r="G587" s="2"/>
      <c r="H587" s="2"/>
      <c r="I587" s="2"/>
      <c r="J587" s="98"/>
      <c r="K587" s="97"/>
      <c r="O587" s="98" t="s">
        <v>143</v>
      </c>
      <c r="P587" s="97">
        <f>IFERROR(P585+(P578-P579)*(P586-P585)/(P580-P579),P585)</f>
        <v>0</v>
      </c>
      <c r="T587" s="2"/>
      <c r="U587" s="2"/>
      <c r="V587" s="2"/>
      <c r="W587" s="98"/>
      <c r="X587" s="97"/>
      <c r="Z587" s="98"/>
      <c r="AB587" s="98" t="s">
        <v>143</v>
      </c>
      <c r="AC587" s="97">
        <f>IFERROR(AC585+(AC578-AC579)*(AC586-AC585)/(AC580-AC579),AC585)</f>
        <v>0</v>
      </c>
      <c r="AG587" s="2"/>
      <c r="AH587" s="2"/>
      <c r="AI587" s="2"/>
      <c r="AJ587" s="98"/>
      <c r="AK587" s="97"/>
    </row>
    <row r="588" spans="1:38" ht="15.75" customHeight="1"/>
    <row r="589" spans="1:38" ht="15.75" customHeight="1">
      <c r="A589" s="12"/>
      <c r="B589" s="260" t="s">
        <v>160</v>
      </c>
      <c r="C589" s="304"/>
      <c r="D589" s="304"/>
      <c r="E589" s="304"/>
      <c r="F589" s="304"/>
      <c r="G589" s="304"/>
      <c r="H589" s="82"/>
      <c r="I589" s="82"/>
      <c r="J589" s="82"/>
      <c r="K589" s="82"/>
      <c r="L589" s="82"/>
      <c r="M589" s="82"/>
      <c r="N589" s="12"/>
      <c r="O589" s="260" t="s">
        <v>144</v>
      </c>
      <c r="P589" s="304"/>
      <c r="Q589" s="304"/>
      <c r="R589" s="304"/>
      <c r="S589" s="304"/>
      <c r="T589" s="304"/>
      <c r="U589" s="82"/>
      <c r="V589" s="82"/>
      <c r="W589" s="82"/>
      <c r="X589" s="82"/>
      <c r="Y589" s="82"/>
      <c r="AA589" s="12"/>
      <c r="AB589" s="260" t="s">
        <v>144</v>
      </c>
      <c r="AC589" s="304"/>
      <c r="AD589" s="304"/>
      <c r="AE589" s="304"/>
      <c r="AF589" s="304"/>
      <c r="AG589" s="304"/>
      <c r="AH589" s="82"/>
      <c r="AI589" s="82"/>
      <c r="AJ589" s="82"/>
      <c r="AK589" s="82"/>
      <c r="AL589" s="82"/>
    </row>
    <row r="590" spans="1:38" ht="15.75" customHeight="1">
      <c r="A590" s="12" t="s">
        <v>30</v>
      </c>
      <c r="B590" s="196">
        <v>2</v>
      </c>
      <c r="C590" s="214">
        <v>3</v>
      </c>
      <c r="D590" s="202">
        <v>4</v>
      </c>
      <c r="E590" s="202">
        <v>5</v>
      </c>
      <c r="F590" s="202">
        <v>6</v>
      </c>
      <c r="G590" s="185">
        <v>7</v>
      </c>
      <c r="H590" s="12"/>
      <c r="I590" s="12"/>
      <c r="J590" s="12"/>
      <c r="K590" s="12"/>
      <c r="L590" s="12"/>
      <c r="M590" s="12"/>
      <c r="O590" s="12" t="s">
        <v>30</v>
      </c>
      <c r="P590" s="196">
        <v>1</v>
      </c>
      <c r="Q590" s="200">
        <v>2</v>
      </c>
      <c r="R590" s="202">
        <v>3</v>
      </c>
      <c r="S590" s="202">
        <v>4</v>
      </c>
      <c r="T590" s="185">
        <v>5</v>
      </c>
      <c r="U590" s="12"/>
      <c r="V590" s="12"/>
      <c r="W590" s="12"/>
      <c r="X590" s="12"/>
      <c r="AA590" s="12" t="s">
        <v>30</v>
      </c>
      <c r="AB590" s="196">
        <v>0.9</v>
      </c>
      <c r="AC590" s="200">
        <v>2</v>
      </c>
      <c r="AD590" s="202">
        <v>3.1</v>
      </c>
      <c r="AE590" s="202">
        <v>4.5</v>
      </c>
      <c r="AF590" s="185">
        <v>5</v>
      </c>
      <c r="AG590" s="12"/>
      <c r="AH590" s="12"/>
      <c r="AI590" s="12"/>
      <c r="AJ590" s="12"/>
      <c r="AK590" s="12"/>
    </row>
    <row r="591" spans="1:38" ht="15.75" customHeight="1">
      <c r="A591" s="12">
        <v>9000</v>
      </c>
      <c r="B591" s="197">
        <v>7.2</v>
      </c>
      <c r="C591" s="199">
        <v>8.6</v>
      </c>
      <c r="D591" s="201">
        <v>10</v>
      </c>
      <c r="E591" s="201">
        <v>10.199999999999999</v>
      </c>
      <c r="F591" s="201">
        <v>10.199999999999999</v>
      </c>
      <c r="G591" s="185">
        <v>0</v>
      </c>
      <c r="H591" s="12"/>
      <c r="I591" s="12"/>
      <c r="J591" s="12"/>
      <c r="K591" s="12"/>
      <c r="L591" s="12"/>
      <c r="M591" s="12"/>
      <c r="O591" s="12">
        <v>10000</v>
      </c>
      <c r="P591" s="205"/>
      <c r="Q591" s="206"/>
      <c r="R591" s="207"/>
      <c r="S591" s="207"/>
      <c r="T591" s="185">
        <v>99999</v>
      </c>
      <c r="U591" s="12"/>
      <c r="V591" s="12"/>
      <c r="W591" s="12"/>
      <c r="X591" s="12"/>
      <c r="AA591" s="12">
        <v>9000</v>
      </c>
      <c r="AB591" s="205"/>
      <c r="AC591" s="206"/>
      <c r="AD591" s="207"/>
      <c r="AE591" s="207"/>
      <c r="AF591" s="185">
        <v>99999</v>
      </c>
      <c r="AG591" s="12"/>
      <c r="AH591" s="12"/>
      <c r="AI591" s="12"/>
      <c r="AJ591" s="12"/>
      <c r="AK591" s="12"/>
    </row>
    <row r="592" spans="1:38" ht="15.75" customHeight="1">
      <c r="A592" s="12">
        <v>9500</v>
      </c>
      <c r="B592" s="258">
        <v>6.4</v>
      </c>
      <c r="C592" s="203">
        <v>7.8</v>
      </c>
      <c r="D592" s="166">
        <v>9</v>
      </c>
      <c r="E592" s="166">
        <v>10.199999999999999</v>
      </c>
      <c r="F592" s="166">
        <v>10.199999999999999</v>
      </c>
      <c r="G592" s="255">
        <v>0</v>
      </c>
      <c r="H592" s="12"/>
      <c r="I592" s="12"/>
      <c r="J592" s="12"/>
      <c r="K592" s="12"/>
      <c r="L592" s="12"/>
      <c r="M592" s="12"/>
      <c r="O592" s="12">
        <v>11000</v>
      </c>
      <c r="P592" s="259"/>
      <c r="Q592" s="213"/>
      <c r="R592" s="101"/>
      <c r="S592" s="101"/>
      <c r="T592" s="255">
        <v>99999</v>
      </c>
      <c r="U592" s="12"/>
      <c r="V592" s="12"/>
      <c r="W592" s="12"/>
      <c r="X592" s="12"/>
      <c r="AA592" s="12">
        <v>9500</v>
      </c>
      <c r="AB592" s="259"/>
      <c r="AC592" s="213"/>
      <c r="AD592" s="101"/>
      <c r="AE592" s="101"/>
      <c r="AF592" s="255">
        <v>99999</v>
      </c>
      <c r="AG592" s="12"/>
      <c r="AH592" s="12"/>
      <c r="AI592" s="12"/>
      <c r="AJ592" s="12"/>
      <c r="AK592" s="12"/>
    </row>
    <row r="593" spans="1:38" ht="15.75" customHeight="1">
      <c r="A593" s="12">
        <v>10000</v>
      </c>
      <c r="B593" s="258">
        <v>5.7</v>
      </c>
      <c r="C593" s="203">
        <v>6.9</v>
      </c>
      <c r="D593" s="166">
        <v>8.1</v>
      </c>
      <c r="E593" s="166">
        <v>9.4</v>
      </c>
      <c r="F593" s="166">
        <v>10.199999999999999</v>
      </c>
      <c r="G593" s="255">
        <v>0</v>
      </c>
      <c r="H593" s="12"/>
      <c r="I593" s="12"/>
      <c r="J593" s="12"/>
      <c r="K593" s="12"/>
      <c r="L593" s="12"/>
      <c r="M593" s="12"/>
      <c r="O593" s="12">
        <v>12000</v>
      </c>
      <c r="P593" s="259"/>
      <c r="Q593" s="213"/>
      <c r="R593" s="101"/>
      <c r="S593" s="101"/>
      <c r="T593" s="255">
        <v>99999</v>
      </c>
      <c r="U593" s="12"/>
      <c r="V593" s="12"/>
      <c r="W593" s="12"/>
      <c r="X593" s="12"/>
      <c r="AA593" s="12">
        <v>10000</v>
      </c>
      <c r="AB593" s="259"/>
      <c r="AC593" s="213"/>
      <c r="AD593" s="101"/>
      <c r="AE593" s="101"/>
      <c r="AF593" s="255">
        <v>99999</v>
      </c>
      <c r="AG593" s="12"/>
      <c r="AH593" s="12"/>
      <c r="AI593" s="12"/>
      <c r="AJ593" s="12"/>
      <c r="AK593" s="12"/>
    </row>
    <row r="594" spans="1:38" ht="15.75" customHeight="1">
      <c r="A594" s="12">
        <v>10500</v>
      </c>
      <c r="B594" s="258">
        <v>4.9000000000000004</v>
      </c>
      <c r="C594" s="203">
        <v>6.1</v>
      </c>
      <c r="D594" s="166">
        <v>7.2</v>
      </c>
      <c r="E594" s="166">
        <v>8.4</v>
      </c>
      <c r="F594" s="166">
        <v>9.6</v>
      </c>
      <c r="G594" s="255">
        <v>0</v>
      </c>
      <c r="H594" s="12"/>
      <c r="I594" s="12"/>
      <c r="J594" s="12"/>
      <c r="K594" s="12"/>
      <c r="L594" s="12"/>
      <c r="M594" s="12"/>
      <c r="O594" s="12">
        <v>13000</v>
      </c>
      <c r="P594" s="259"/>
      <c r="Q594" s="213"/>
      <c r="R594" s="101"/>
      <c r="S594" s="101"/>
      <c r="T594" s="255">
        <v>99999</v>
      </c>
      <c r="U594" s="12"/>
      <c r="V594" s="12"/>
      <c r="W594" s="12"/>
      <c r="X594" s="12"/>
      <c r="AA594" s="12">
        <v>10500</v>
      </c>
      <c r="AB594" s="259"/>
      <c r="AC594" s="213"/>
      <c r="AD594" s="101"/>
      <c r="AE594" s="101"/>
      <c r="AF594" s="255">
        <v>99999</v>
      </c>
      <c r="AG594" s="12"/>
      <c r="AH594" s="12"/>
      <c r="AI594" s="12"/>
      <c r="AJ594" s="12"/>
      <c r="AK594" s="12"/>
    </row>
    <row r="595" spans="1:38" ht="15.75" customHeight="1">
      <c r="A595" s="12">
        <v>11000</v>
      </c>
      <c r="B595" s="258">
        <v>4.2</v>
      </c>
      <c r="C595" s="203">
        <v>5.3</v>
      </c>
      <c r="D595" s="166">
        <v>6.4</v>
      </c>
      <c r="E595" s="166">
        <v>7.5</v>
      </c>
      <c r="F595" s="166">
        <v>8.6</v>
      </c>
      <c r="G595" s="255">
        <v>0</v>
      </c>
      <c r="H595" s="12"/>
      <c r="I595" s="12"/>
      <c r="J595" s="12"/>
      <c r="K595" s="12"/>
      <c r="L595" s="12"/>
      <c r="M595" s="12"/>
      <c r="O595" s="12">
        <v>14000</v>
      </c>
      <c r="P595" s="259"/>
      <c r="Q595" s="213"/>
      <c r="R595" s="101"/>
      <c r="S595" s="101"/>
      <c r="T595" s="255">
        <v>99999</v>
      </c>
      <c r="U595" s="12"/>
      <c r="V595" s="12"/>
      <c r="W595" s="12"/>
      <c r="X595" s="12"/>
      <c r="AA595" s="12">
        <v>11000</v>
      </c>
      <c r="AB595" s="259"/>
      <c r="AC595" s="213"/>
      <c r="AD595" s="101"/>
      <c r="AE595" s="101"/>
      <c r="AF595" s="255">
        <v>99999</v>
      </c>
      <c r="AG595" s="12"/>
      <c r="AH595" s="12"/>
      <c r="AI595" s="12"/>
      <c r="AJ595" s="12"/>
      <c r="AK595" s="12"/>
    </row>
    <row r="596" spans="1:38" ht="15.75" customHeight="1">
      <c r="A596" s="12">
        <v>11500</v>
      </c>
      <c r="B596" s="258">
        <v>3.4</v>
      </c>
      <c r="C596" s="203">
        <v>4.5</v>
      </c>
      <c r="D596" s="166">
        <v>5.6</v>
      </c>
      <c r="E596" s="166">
        <v>6.6</v>
      </c>
      <c r="F596" s="166">
        <v>7.7</v>
      </c>
      <c r="G596" s="255">
        <v>0</v>
      </c>
      <c r="H596" s="12"/>
      <c r="I596" s="12"/>
      <c r="J596" s="12"/>
      <c r="K596" s="12"/>
      <c r="L596" s="12"/>
      <c r="M596" s="12"/>
      <c r="O596" s="12">
        <v>15000</v>
      </c>
      <c r="P596" s="259"/>
      <c r="Q596" s="213"/>
      <c r="R596" s="101"/>
      <c r="S596" s="101"/>
      <c r="T596" s="255">
        <v>99999</v>
      </c>
      <c r="U596" s="12"/>
      <c r="V596" s="12"/>
      <c r="W596" s="12"/>
      <c r="X596" s="12"/>
      <c r="AA596" s="12">
        <v>11500</v>
      </c>
      <c r="AB596" s="259"/>
      <c r="AC596" s="213"/>
      <c r="AD596" s="101"/>
      <c r="AE596" s="101"/>
      <c r="AF596" s="255">
        <v>99999</v>
      </c>
      <c r="AG596" s="12"/>
      <c r="AH596" s="12"/>
      <c r="AI596" s="12"/>
      <c r="AJ596" s="12"/>
      <c r="AK596" s="12"/>
    </row>
    <row r="597" spans="1:38" ht="15.75" customHeight="1">
      <c r="A597" s="12">
        <v>12000</v>
      </c>
      <c r="B597" s="258">
        <v>2.8</v>
      </c>
      <c r="C597" s="203">
        <v>3.75</v>
      </c>
      <c r="D597" s="166">
        <v>4.8</v>
      </c>
      <c r="E597" s="166">
        <v>5.8</v>
      </c>
      <c r="F597" s="166">
        <v>6.8</v>
      </c>
      <c r="G597" s="255">
        <v>0</v>
      </c>
      <c r="H597" s="12"/>
      <c r="I597" s="12"/>
      <c r="J597" s="12"/>
      <c r="K597" s="12"/>
      <c r="L597" s="12"/>
      <c r="M597" s="12"/>
      <c r="O597" s="12">
        <v>16000</v>
      </c>
      <c r="P597" s="259"/>
      <c r="Q597" s="213"/>
      <c r="R597" s="101"/>
      <c r="S597" s="101"/>
      <c r="T597" s="255">
        <v>99999</v>
      </c>
      <c r="U597" s="12"/>
      <c r="V597" s="12"/>
      <c r="W597" s="12"/>
      <c r="X597" s="12"/>
      <c r="AA597" s="12">
        <v>12000</v>
      </c>
      <c r="AB597" s="259"/>
      <c r="AC597" s="213"/>
      <c r="AD597" s="101"/>
      <c r="AE597" s="101"/>
      <c r="AF597" s="255">
        <v>99999</v>
      </c>
      <c r="AG597" s="12"/>
      <c r="AH597" s="12"/>
      <c r="AI597" s="12"/>
      <c r="AJ597" s="12"/>
      <c r="AK597" s="12"/>
    </row>
    <row r="598" spans="1:38" ht="15.75" customHeight="1">
      <c r="A598" s="12">
        <v>12500</v>
      </c>
      <c r="B598" s="209">
        <v>2</v>
      </c>
      <c r="C598" s="210">
        <v>3</v>
      </c>
      <c r="D598" s="215">
        <v>4</v>
      </c>
      <c r="E598" s="215">
        <v>5</v>
      </c>
      <c r="F598" s="215">
        <v>6</v>
      </c>
      <c r="G598" s="255">
        <v>0</v>
      </c>
      <c r="H598" s="12"/>
      <c r="I598" s="12"/>
      <c r="J598" s="12"/>
      <c r="K598" s="12"/>
      <c r="L598" s="12"/>
      <c r="M598" s="12"/>
      <c r="O598" s="12">
        <v>16600</v>
      </c>
      <c r="P598" s="216"/>
      <c r="Q598" s="217"/>
      <c r="R598" s="218"/>
      <c r="S598" s="218"/>
      <c r="T598" s="255">
        <v>99999</v>
      </c>
      <c r="U598" s="12"/>
      <c r="V598" s="12"/>
      <c r="W598" s="12"/>
      <c r="X598" s="12"/>
      <c r="AA598" s="12">
        <v>12500</v>
      </c>
      <c r="AB598" s="216"/>
      <c r="AC598" s="217"/>
      <c r="AD598" s="218"/>
      <c r="AE598" s="218"/>
      <c r="AF598" s="255">
        <v>99999</v>
      </c>
      <c r="AG598" s="12"/>
      <c r="AH598" s="12"/>
      <c r="AI598" s="12"/>
      <c r="AJ598" s="12"/>
      <c r="AK598" s="12"/>
    </row>
    <row r="599" spans="1:38" ht="15.75" customHeight="1">
      <c r="A599" s="12">
        <v>12600</v>
      </c>
      <c r="B599" s="189">
        <v>0</v>
      </c>
      <c r="C599" s="190">
        <v>0</v>
      </c>
      <c r="D599" s="190">
        <v>0</v>
      </c>
      <c r="E599" s="190">
        <v>0</v>
      </c>
      <c r="F599" s="190">
        <v>0</v>
      </c>
      <c r="G599" s="204">
        <v>0</v>
      </c>
      <c r="H599" s="178"/>
      <c r="I599" s="178"/>
      <c r="J599" s="178"/>
      <c r="K599" s="178"/>
      <c r="L599" s="178"/>
      <c r="M599" s="83"/>
      <c r="O599" s="12">
        <v>16700</v>
      </c>
      <c r="P599" s="189">
        <v>99999</v>
      </c>
      <c r="Q599" s="190">
        <v>99999</v>
      </c>
      <c r="R599" s="190">
        <v>99999</v>
      </c>
      <c r="S599" s="190">
        <v>99999</v>
      </c>
      <c r="T599" s="204">
        <v>99999</v>
      </c>
      <c r="U599" s="178"/>
      <c r="V599" s="178"/>
      <c r="W599" s="178"/>
      <c r="X599" s="178"/>
      <c r="AA599" s="12">
        <v>12600</v>
      </c>
      <c r="AB599" s="189">
        <v>99999</v>
      </c>
      <c r="AC599" s="190">
        <v>99999</v>
      </c>
      <c r="AD599" s="190">
        <v>99999</v>
      </c>
      <c r="AE599" s="190">
        <v>99999</v>
      </c>
      <c r="AF599" s="204">
        <v>99999</v>
      </c>
      <c r="AG599" s="178"/>
      <c r="AH599" s="178"/>
      <c r="AI599" s="178"/>
      <c r="AJ599" s="178"/>
      <c r="AK599" s="178"/>
    </row>
    <row r="600" spans="1:38" ht="15.75" customHeight="1">
      <c r="B600" s="98"/>
      <c r="C600" s="97"/>
      <c r="D600" s="12"/>
      <c r="E600" s="12"/>
      <c r="F600" s="12"/>
      <c r="G600" s="2"/>
      <c r="H600" s="2"/>
      <c r="I600" s="2"/>
      <c r="J600" s="98"/>
      <c r="K600" s="97"/>
      <c r="L600" s="12"/>
      <c r="M600" s="12"/>
      <c r="O600" s="98"/>
      <c r="P600" s="97"/>
      <c r="Q600" s="12"/>
      <c r="R600" s="12"/>
      <c r="S600" s="12"/>
      <c r="T600" s="2"/>
      <c r="U600" s="2"/>
      <c r="V600" s="2"/>
      <c r="W600" s="98"/>
      <c r="X600" s="97"/>
      <c r="Y600" s="12"/>
      <c r="AB600" s="98"/>
      <c r="AC600" s="97"/>
      <c r="AD600" s="12"/>
      <c r="AE600" s="12"/>
      <c r="AF600" s="12"/>
      <c r="AG600" s="2"/>
      <c r="AH600" s="2"/>
      <c r="AI600" s="2"/>
      <c r="AJ600" s="98"/>
      <c r="AK600" s="97"/>
      <c r="AL600" s="12"/>
    </row>
    <row r="601" spans="1:38" ht="15.75" customHeight="1">
      <c r="B601" s="98" t="s">
        <v>79</v>
      </c>
      <c r="C601" s="97">
        <f>C587</f>
        <v>5.5398499999999995</v>
      </c>
      <c r="D601" s="260" t="s">
        <v>136</v>
      </c>
      <c r="E601" s="304"/>
      <c r="G601" s="2"/>
      <c r="H601" s="2"/>
      <c r="I601" s="2"/>
      <c r="J601" s="98"/>
      <c r="K601" s="97"/>
      <c r="L601" s="82"/>
      <c r="O601" s="98" t="s">
        <v>79</v>
      </c>
      <c r="P601" s="97">
        <f>P587</f>
        <v>0</v>
      </c>
      <c r="Q601" s="260" t="s">
        <v>136</v>
      </c>
      <c r="R601" s="304"/>
      <c r="T601" s="2"/>
      <c r="U601" s="2"/>
      <c r="V601" s="2"/>
      <c r="W601" s="98"/>
      <c r="X601" s="97"/>
      <c r="Y601" s="82"/>
      <c r="AB601" s="98" t="s">
        <v>79</v>
      </c>
      <c r="AC601" s="97">
        <f>AC587</f>
        <v>0</v>
      </c>
      <c r="AD601" s="260" t="s">
        <v>136</v>
      </c>
      <c r="AE601" s="304"/>
      <c r="AG601" s="2"/>
      <c r="AH601" s="2"/>
      <c r="AI601" s="2"/>
      <c r="AJ601" s="98"/>
      <c r="AK601" s="97"/>
      <c r="AL601" s="82"/>
    </row>
    <row r="602" spans="1:38" ht="15.75" customHeight="1">
      <c r="B602" s="73" t="s">
        <v>137</v>
      </c>
      <c r="C602" s="100">
        <f t="array" ref="C602">INDEX(B590:G590,MATCH(C601,B590:G590,1))</f>
        <v>5</v>
      </c>
      <c r="D602" s="73" t="s">
        <v>77</v>
      </c>
      <c r="E602" s="88">
        <f>MATCH(MAX(A591:A599),A591:A599,1)</f>
        <v>9</v>
      </c>
      <c r="G602" s="2"/>
      <c r="H602" s="2"/>
      <c r="I602" s="2"/>
      <c r="J602" s="73"/>
      <c r="K602" s="100"/>
      <c r="L602" s="73"/>
      <c r="M602" s="88"/>
      <c r="O602" s="73" t="s">
        <v>137</v>
      </c>
      <c r="P602" s="100" t="e">
        <f t="array" ref="P602">INDEX(P590:T590,MATCH(P601,P590:T590,1))</f>
        <v>#N/A</v>
      </c>
      <c r="Q602" s="73" t="s">
        <v>77</v>
      </c>
      <c r="R602" s="88">
        <f>MATCH(MAX(O591:O599),O591:O599,1)</f>
        <v>9</v>
      </c>
      <c r="T602" s="2"/>
      <c r="U602" s="2"/>
      <c r="V602" s="2"/>
      <c r="W602" s="73"/>
      <c r="X602" s="100"/>
      <c r="Y602" s="73"/>
      <c r="AB602" s="73" t="s">
        <v>137</v>
      </c>
      <c r="AC602" s="100" t="e">
        <f t="array" ref="AC602">INDEX(AB590:AF590,MATCH(AC601,AB590:AF590,1))</f>
        <v>#N/A</v>
      </c>
      <c r="AD602" s="73" t="s">
        <v>77</v>
      </c>
      <c r="AE602" s="88">
        <f>MATCH(MAX(AA591:AA599),AA591:AA599,1)</f>
        <v>9</v>
      </c>
      <c r="AG602" s="2"/>
      <c r="AH602" s="2"/>
      <c r="AI602" s="2"/>
      <c r="AJ602" s="73"/>
      <c r="AK602" s="100"/>
      <c r="AL602" s="73"/>
    </row>
    <row r="603" spans="1:38" ht="15.75" customHeight="1">
      <c r="B603" s="73" t="s">
        <v>138</v>
      </c>
      <c r="C603" s="100">
        <f t="array" ref="C603">INDEX(B590:G590,IF(MATCH(C601,B590:G590,1)&lt;E603,MATCH(C601,B590:G590,1)+1,MATCH(C601,B590:G590,1)))</f>
        <v>6</v>
      </c>
      <c r="D603" s="73" t="s">
        <v>78</v>
      </c>
      <c r="E603" s="88">
        <f>MATCH(MAX(B590:G590),B590:G590,0)</f>
        <v>6</v>
      </c>
      <c r="G603" s="2"/>
      <c r="H603" s="2"/>
      <c r="I603" s="2"/>
      <c r="J603" s="73"/>
      <c r="K603" s="100"/>
      <c r="L603" s="73"/>
      <c r="M603" s="88"/>
      <c r="O603" s="73" t="s">
        <v>138</v>
      </c>
      <c r="P603" s="100" t="e">
        <f t="array" ref="P603">INDEX(P590:T590,IF(MATCH(P601,P590:T590,1)&lt;R603,MATCH(P601,P590:T590,1)+1,MATCH(P601,P590:T590,1)))</f>
        <v>#N/A</v>
      </c>
      <c r="Q603" s="73" t="s">
        <v>78</v>
      </c>
      <c r="R603" s="88">
        <f>MATCH(MAX(P590:T590),P590:T590,0)</f>
        <v>5</v>
      </c>
      <c r="T603" s="2"/>
      <c r="U603" s="2"/>
      <c r="V603" s="2"/>
      <c r="W603" s="73"/>
      <c r="X603" s="100"/>
      <c r="Y603" s="73"/>
      <c r="AB603" s="73" t="s">
        <v>138</v>
      </c>
      <c r="AC603" s="100" t="e">
        <f t="array" ref="AC603">INDEX(AB590:AF590,IF(MATCH(AC601,AB590:AF590,1)&lt;AE603,MATCH(AC601,AB590:AF590,1)+1,MATCH(AC601,AB590:AF590,1)))</f>
        <v>#N/A</v>
      </c>
      <c r="AD603" s="73" t="s">
        <v>78</v>
      </c>
      <c r="AE603" s="88">
        <f>MATCH(MAX(AB590:AF590),AB590:AF590,0)</f>
        <v>5</v>
      </c>
      <c r="AG603" s="2"/>
      <c r="AH603" s="2"/>
      <c r="AI603" s="2"/>
      <c r="AJ603" s="73"/>
      <c r="AK603" s="100"/>
      <c r="AL603" s="73"/>
    </row>
    <row r="604" spans="1:38" ht="15.75" customHeight="1">
      <c r="B604" s="96" t="s">
        <v>80</v>
      </c>
      <c r="C604" s="155">
        <f>'Take-off'!$C$14</f>
        <v>11000</v>
      </c>
      <c r="D604" s="2"/>
      <c r="E604" s="2"/>
      <c r="G604" s="2"/>
      <c r="H604" s="2"/>
      <c r="I604" s="2"/>
      <c r="J604" s="98"/>
      <c r="K604" s="155"/>
      <c r="L604" s="2"/>
      <c r="M604" s="2"/>
      <c r="O604" s="96" t="s">
        <v>80</v>
      </c>
      <c r="P604" s="155">
        <f>'Take-off'!$C$14</f>
        <v>11000</v>
      </c>
      <c r="Q604" s="2"/>
      <c r="R604" s="2"/>
      <c r="T604" s="2"/>
      <c r="U604" s="2"/>
      <c r="V604" s="2"/>
      <c r="W604" s="98"/>
      <c r="X604" s="155"/>
      <c r="Y604" s="2"/>
      <c r="AB604" s="96" t="s">
        <v>80</v>
      </c>
      <c r="AC604" s="155">
        <f>'Take-off'!$C$14</f>
        <v>11000</v>
      </c>
      <c r="AD604" s="2"/>
      <c r="AE604" s="2"/>
      <c r="AG604" s="2"/>
      <c r="AH604" s="2"/>
      <c r="AI604" s="2"/>
      <c r="AJ604" s="98"/>
      <c r="AK604" s="155"/>
      <c r="AL604" s="2"/>
    </row>
    <row r="605" spans="1:38" ht="15.75" customHeight="1">
      <c r="B605" s="73" t="s">
        <v>81</v>
      </c>
      <c r="C605" s="100">
        <f t="array" ref="C605">INDEX(A591:A599,MATCH(C604,A591:A599,1))</f>
        <v>11000</v>
      </c>
      <c r="D605" s="2"/>
      <c r="E605" s="92"/>
      <c r="G605" s="2"/>
      <c r="H605" s="2"/>
      <c r="I605" s="2"/>
      <c r="J605" s="73"/>
      <c r="K605" s="100"/>
      <c r="L605" s="2"/>
      <c r="M605" s="92"/>
      <c r="O605" s="73" t="s">
        <v>81</v>
      </c>
      <c r="P605" s="100">
        <f t="array" ref="P605">INDEX(O591:O599,MATCH(P604,O591:O599,1))</f>
        <v>11000</v>
      </c>
      <c r="Q605" s="2"/>
      <c r="R605" s="92"/>
      <c r="T605" s="2"/>
      <c r="U605" s="2"/>
      <c r="V605" s="2"/>
      <c r="W605" s="73"/>
      <c r="X605" s="100"/>
      <c r="Y605" s="2"/>
      <c r="AB605" s="73" t="s">
        <v>81</v>
      </c>
      <c r="AC605" s="100">
        <f t="array" ref="AC605">INDEX(AA591:AA599,MATCH(AC604,AA591:AA599,1))</f>
        <v>11000</v>
      </c>
      <c r="AD605" s="2"/>
      <c r="AE605" s="92"/>
      <c r="AG605" s="2"/>
      <c r="AH605" s="2"/>
      <c r="AI605" s="2"/>
      <c r="AJ605" s="73"/>
      <c r="AK605" s="100"/>
      <c r="AL605" s="2"/>
    </row>
    <row r="606" spans="1:38" ht="15.75" customHeight="1">
      <c r="B606" s="73" t="s">
        <v>82</v>
      </c>
      <c r="C606" s="100">
        <f t="array" ref="C606">INDEX(A591:A599,IF(MATCH(C604,A591:A599,1)&lt;E602,MATCH(C604,A591:A599,1)+1,MATCH(C604,A591:A599,1)))</f>
        <v>11500</v>
      </c>
      <c r="D606" s="2"/>
      <c r="E606" s="92"/>
      <c r="G606" s="2"/>
      <c r="H606" s="2"/>
      <c r="I606" s="2"/>
      <c r="J606" s="73"/>
      <c r="K606" s="100"/>
      <c r="L606" s="2"/>
      <c r="M606" s="92"/>
      <c r="O606" s="73" t="s">
        <v>82</v>
      </c>
      <c r="P606" s="100">
        <f t="array" ref="P606">INDEX(O591:O599,IF(MATCH(P604,O591:O599,1)&lt;R602,MATCH(P604,O591:O599,1)+1,MATCH(P604,O591:O599,1)))</f>
        <v>12000</v>
      </c>
      <c r="Q606" s="2"/>
      <c r="R606" s="92"/>
      <c r="T606" s="2"/>
      <c r="U606" s="2"/>
      <c r="V606" s="2"/>
      <c r="W606" s="73"/>
      <c r="X606" s="100"/>
      <c r="Y606" s="2"/>
      <c r="AB606" s="73" t="s">
        <v>82</v>
      </c>
      <c r="AC606" s="100">
        <f t="array" ref="AC606">INDEX(AA591:AA599,IF(MATCH(AC604,AA591:AA599,1)&lt;AE602,MATCH(AC604,AA591:AA599,1)+1,MATCH(AC604,AA591:AA599,1)))</f>
        <v>11500</v>
      </c>
      <c r="AD606" s="2"/>
      <c r="AE606" s="92"/>
      <c r="AG606" s="2"/>
      <c r="AH606" s="2"/>
      <c r="AI606" s="2"/>
      <c r="AJ606" s="73"/>
      <c r="AK606" s="100"/>
      <c r="AL606" s="2"/>
    </row>
    <row r="607" spans="1:38" ht="15.75" customHeight="1">
      <c r="B607" s="98" t="s">
        <v>83</v>
      </c>
      <c r="C607" s="97">
        <f t="array" ref="C607">INDEX(B591:G599,MATCH(C604,A591:A599,1),MATCH(C601,B590:G590,1))</f>
        <v>7.5</v>
      </c>
      <c r="D607" s="2"/>
      <c r="E607" s="92"/>
      <c r="G607" s="2"/>
      <c r="H607" s="2"/>
      <c r="I607" s="2"/>
      <c r="J607" s="98"/>
      <c r="K607" s="97"/>
      <c r="L607" s="2"/>
      <c r="M607" s="92"/>
      <c r="O607" s="98" t="s">
        <v>83</v>
      </c>
      <c r="P607" s="97" t="e">
        <f t="array" ref="P607">INDEX(P591:T599,MATCH(P604,O591:O599,1),MATCH(P601,P590:T590,1))</f>
        <v>#N/A</v>
      </c>
      <c r="Q607" s="2"/>
      <c r="R607" s="92"/>
      <c r="T607" s="2"/>
      <c r="U607" s="2"/>
      <c r="V607" s="2"/>
      <c r="W607" s="98"/>
      <c r="X607" s="97"/>
      <c r="Y607" s="2"/>
      <c r="AB607" s="98" t="s">
        <v>83</v>
      </c>
      <c r="AC607" s="97" t="e">
        <f t="array" ref="AC607">INDEX(AB591:AF599,MATCH(AC604,AA591:AA599,1),MATCH(AC601,AB590:AF590,1))</f>
        <v>#N/A</v>
      </c>
      <c r="AD607" s="2"/>
      <c r="AE607" s="92"/>
      <c r="AG607" s="2"/>
      <c r="AH607" s="2"/>
      <c r="AI607" s="2"/>
      <c r="AJ607" s="98"/>
      <c r="AK607" s="97"/>
      <c r="AL607" s="2"/>
    </row>
    <row r="608" spans="1:38" ht="15.75" customHeight="1">
      <c r="B608" s="98" t="s">
        <v>139</v>
      </c>
      <c r="C608" s="97">
        <f t="array" ref="C608">INDEX(B591:G599,MATCH(C604,A591:A599,1),IF(MATCH(C601,B590:G590,1)&lt;E603,MATCH(C601,B590:G590,1)+1,MATCH(C604,A591:A599,1)))</f>
        <v>8.6</v>
      </c>
      <c r="E608" s="92"/>
      <c r="G608" s="2"/>
      <c r="H608" s="2"/>
      <c r="I608" s="2"/>
      <c r="J608" s="98"/>
      <c r="K608" s="97"/>
      <c r="M608" s="92"/>
      <c r="O608" s="98" t="s">
        <v>139</v>
      </c>
      <c r="P608" s="97" t="e">
        <f t="array" ref="P608">INDEX(P591:T599,MATCH(P604,O591:O599,1),IF(MATCH(P601,P590:T590,1)&lt;R603,MATCH(P601,P590:T590,1)+1,MATCH(P604,O591:O599,1)))</f>
        <v>#N/A</v>
      </c>
      <c r="R608" s="92"/>
      <c r="T608" s="2"/>
      <c r="U608" s="2"/>
      <c r="V608" s="2"/>
      <c r="W608" s="98"/>
      <c r="X608" s="97"/>
      <c r="AB608" s="98" t="s">
        <v>139</v>
      </c>
      <c r="AC608" s="97" t="e">
        <f t="array" ref="AC608">INDEX(AB591:AF599,MATCH(AC604,AA591:AA599,1),IF(MATCH(AC601,AB590:AF590,1)&lt;AE603,MATCH(AC601,AB590:AF590,1)+1,MATCH(AC604,AA591:AA599,1)))</f>
        <v>#N/A</v>
      </c>
      <c r="AE608" s="92"/>
      <c r="AG608" s="2"/>
      <c r="AH608" s="2"/>
      <c r="AI608" s="2"/>
      <c r="AJ608" s="98"/>
      <c r="AK608" s="97"/>
    </row>
    <row r="609" spans="1:41" ht="15.75" customHeight="1">
      <c r="B609" s="98" t="s">
        <v>84</v>
      </c>
      <c r="C609" s="97">
        <f t="array" ref="C609">INDEX(B591:G599,IF(MATCH(C604,A591:A599,1)&lt;E602,MATCH(C604,A591:A599,1)+1,MATCH(C604,A591:A599,1)),MATCH(C601,B590:G590,1))</f>
        <v>6.6</v>
      </c>
      <c r="E609" s="92"/>
      <c r="G609" s="2"/>
      <c r="H609" s="2"/>
      <c r="I609" s="2"/>
      <c r="J609" s="98"/>
      <c r="K609" s="97"/>
      <c r="M609" s="92"/>
      <c r="O609" s="98" t="s">
        <v>84</v>
      </c>
      <c r="P609" s="97" t="e">
        <f t="array" ref="P609">INDEX(P591:T599,IF(MATCH(P604,O591:O599,1)&lt;R602,MATCH(P604,O591:O599,1)+1,MATCH(P604,O591:O599,1)),MATCH(P601,P590:T590,1))</f>
        <v>#N/A</v>
      </c>
      <c r="R609" s="92"/>
      <c r="T609" s="2"/>
      <c r="U609" s="2"/>
      <c r="V609" s="2"/>
      <c r="W609" s="98"/>
      <c r="X609" s="97"/>
      <c r="AB609" s="98" t="s">
        <v>84</v>
      </c>
      <c r="AC609" s="97" t="e">
        <f t="array" ref="AC609">INDEX(AB591:AF599,IF(MATCH(AC604,AA591:AA599,1)&lt;AE602,MATCH(AC604,AA591:AA599,1)+1,MATCH(AC604,AA591:AA599,1)),MATCH(AC601,AB590:AF590,1))</f>
        <v>#N/A</v>
      </c>
      <c r="AE609" s="92"/>
      <c r="AG609" s="2"/>
      <c r="AH609" s="2"/>
      <c r="AI609" s="2"/>
      <c r="AJ609" s="98"/>
      <c r="AK609" s="97"/>
    </row>
    <row r="610" spans="1:41" ht="15.75" customHeight="1">
      <c r="B610" s="98" t="s">
        <v>140</v>
      </c>
      <c r="C610" s="97">
        <f t="array" ref="C610">INDEX(B591:G599,IF(MATCH(C604,A591:A599,1)&lt;E602,MATCH(C604,A591:A599,1)+1,MATCH(C604,A591:A599,1)),IF(MATCH(C601,B590:G590,1)&lt;E603,MATCH(C601,B590:G590,1)+1,MATCH(C601,B590:G590,1)))</f>
        <v>7.7</v>
      </c>
      <c r="G610" s="2"/>
      <c r="H610" s="2"/>
      <c r="I610" s="2"/>
      <c r="J610" s="98"/>
      <c r="K610" s="97"/>
      <c r="O610" s="98" t="s">
        <v>140</v>
      </c>
      <c r="P610" s="97" t="e">
        <f t="array" ref="P610">INDEX(P591:T599,IF(MATCH(P604,O591:O599,1)&lt;R602,MATCH(P604,O591:O599,1)+1,MATCH(P604,O591:O599,1)),IF(MATCH(P601,P590:T590,1)&lt;R603,MATCH(P601,P590:T590,1)+1,MATCH(P601,P590:T590,1)))</f>
        <v>#N/A</v>
      </c>
      <c r="T610" s="2"/>
      <c r="U610" s="2"/>
      <c r="V610" s="2"/>
      <c r="W610" s="98"/>
      <c r="X610" s="97"/>
      <c r="AB610" s="98" t="s">
        <v>140</v>
      </c>
      <c r="AC610" s="97" t="e">
        <f t="array" ref="AC610">INDEX(AB591:AF599,IF(MATCH(AC604,AA591:AA599,1)&lt;AE602,MATCH(AC604,AA591:AA599,1)+1,MATCH(AC604,AA591:AA599,1)),IF(MATCH(AC601,AB590:AF590,1)&lt;AE603,MATCH(AC601,AB590:AF590,1)+1,MATCH(AC601,AB590:AF590,1)))</f>
        <v>#N/A</v>
      </c>
      <c r="AG610" s="2"/>
      <c r="AH610" s="2"/>
      <c r="AI610" s="2"/>
      <c r="AJ610" s="98"/>
      <c r="AK610" s="97"/>
    </row>
    <row r="611" spans="1:41" ht="15.75" customHeight="1">
      <c r="B611" s="73" t="s">
        <v>141</v>
      </c>
      <c r="C611" s="100">
        <f>IFERROR(C607+(C601-C602)*(C608-C607)/(C603-C602),C607)</f>
        <v>8.0938349999999986</v>
      </c>
      <c r="G611" s="2"/>
      <c r="H611" s="2"/>
      <c r="I611" s="2"/>
      <c r="J611" s="73"/>
      <c r="K611" s="100"/>
      <c r="O611" s="73" t="s">
        <v>141</v>
      </c>
      <c r="P611" s="100" t="e">
        <f>IFERROR(P607+(P601-P602)*(P608-P607)/(P603-P602),P607)</f>
        <v>#N/A</v>
      </c>
      <c r="T611" s="2"/>
      <c r="U611" s="2"/>
      <c r="V611" s="2"/>
      <c r="W611" s="73"/>
      <c r="X611" s="100"/>
      <c r="AB611" s="73" t="s">
        <v>141</v>
      </c>
      <c r="AC611" s="100" t="e">
        <f>IFERROR(AC607+(AC601-AC602)*(AC608-AC607)/(AC603-AC602),AC607)</f>
        <v>#N/A</v>
      </c>
      <c r="AG611" s="2"/>
      <c r="AH611" s="2"/>
      <c r="AI611" s="2"/>
      <c r="AJ611" s="73"/>
      <c r="AK611" s="100"/>
    </row>
    <row r="612" spans="1:41" ht="15.75" customHeight="1">
      <c r="B612" s="73" t="s">
        <v>142</v>
      </c>
      <c r="C612" s="100">
        <f>IFERROR(C609+(C601-C602)*(C610-C609)/(C603-C602),C609)</f>
        <v>7.1938349999999991</v>
      </c>
      <c r="G612" s="2"/>
      <c r="H612" s="2"/>
      <c r="I612" s="2"/>
      <c r="J612" s="73"/>
      <c r="K612" s="100"/>
      <c r="O612" s="73" t="s">
        <v>142</v>
      </c>
      <c r="P612" s="100" t="e">
        <f>IFERROR(P609+(P601-P602)*(P610-P609)/(P603-P602),P609)</f>
        <v>#N/A</v>
      </c>
      <c r="T612" s="2"/>
      <c r="U612" s="2"/>
      <c r="V612" s="2"/>
      <c r="W612" s="73"/>
      <c r="X612" s="100"/>
      <c r="AB612" s="73" t="s">
        <v>142</v>
      </c>
      <c r="AC612" s="100" t="e">
        <f>IFERROR(AC609+(AC601-AC602)*(AC610-AC609)/(AC603-AC602),AC609)</f>
        <v>#N/A</v>
      </c>
      <c r="AG612" s="2"/>
      <c r="AH612" s="2"/>
      <c r="AI612" s="2"/>
      <c r="AJ612" s="73"/>
      <c r="AK612" s="100"/>
    </row>
    <row r="613" spans="1:41" ht="15.75" customHeight="1">
      <c r="B613" s="98" t="s">
        <v>143</v>
      </c>
      <c r="C613" s="212">
        <f>IFERROR(C611+(C604-C605)*(C612-C611)/(C606-C605),C611)</f>
        <v>8.0938349999999986</v>
      </c>
      <c r="G613" s="2"/>
      <c r="H613" s="2"/>
      <c r="I613" s="2"/>
      <c r="J613" s="98"/>
      <c r="K613" s="97"/>
      <c r="O613" s="98" t="s">
        <v>143</v>
      </c>
      <c r="P613" s="97" t="e">
        <f>IFERROR(P611+(P604-P605)*(P612-P611)/(P606-P605),P611)</f>
        <v>#N/A</v>
      </c>
      <c r="T613" s="2"/>
      <c r="U613" s="2"/>
      <c r="V613" s="2"/>
      <c r="W613" s="98"/>
      <c r="X613" s="97"/>
      <c r="AB613" s="98" t="s">
        <v>143</v>
      </c>
      <c r="AC613" s="97" t="e">
        <f>IFERROR(AC611+(AC604-AC605)*(AC612-AC611)/(AC606-AC605),AC611)</f>
        <v>#N/A</v>
      </c>
      <c r="AG613" s="2"/>
      <c r="AH613" s="2"/>
      <c r="AI613" s="2"/>
      <c r="AJ613" s="98"/>
      <c r="AK613" s="97"/>
    </row>
    <row r="614" spans="1:41" ht="15.75" customHeight="1">
      <c r="B614" s="8" t="s">
        <v>156</v>
      </c>
      <c r="C614" s="219">
        <f>IF('Take-off'!$C$13='Dropdown lists'!$B$30,C613 -0.8, C613)</f>
        <v>8.0938349999999986</v>
      </c>
      <c r="J614" s="12"/>
      <c r="K614" s="12"/>
      <c r="L614" s="12"/>
      <c r="M614" s="12"/>
      <c r="O614" s="8" t="s">
        <v>156</v>
      </c>
      <c r="P614" s="106" t="e">
        <f>IF('Take-off'!$C$13='Dropdown lists'!$B$30,P613 -0.8, P613)</f>
        <v>#N/A</v>
      </c>
      <c r="W614" s="12"/>
      <c r="X614" s="12"/>
      <c r="Y614" s="12"/>
      <c r="AJ614" s="12"/>
      <c r="AK614" s="12"/>
      <c r="AL614" s="12"/>
    </row>
    <row r="615" spans="1:41" ht="15.75" customHeight="1"/>
    <row r="616" spans="1:41" ht="15.75" customHeight="1"/>
    <row r="617" spans="1:41" ht="15.75" customHeight="1"/>
    <row r="618" spans="1:41" ht="15.75" customHeight="1"/>
    <row r="619" spans="1:41" ht="15.75" customHeight="1"/>
    <row r="620" spans="1:41" ht="15.75" customHeight="1">
      <c r="A620" s="77"/>
      <c r="B620" s="73" t="s">
        <v>130</v>
      </c>
      <c r="C620" s="98" t="s">
        <v>79</v>
      </c>
      <c r="D620" s="180">
        <f>IF('Take-off'!$C$9="",'Take-off'!$C$16,MAX(0,'Take-off'!$C$16+30*(1013-'Take-off'!$C$9)))</f>
        <v>0</v>
      </c>
      <c r="E620" s="253"/>
      <c r="F620" s="253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</row>
    <row r="621" spans="1:41" ht="15.75" customHeight="1">
      <c r="A621" s="77"/>
      <c r="B621" s="73" t="s">
        <v>132</v>
      </c>
      <c r="C621" s="96" t="s">
        <v>80</v>
      </c>
      <c r="D621" s="180">
        <f>IF('Take-off'!$C$13='Dropdown lists'!$B$30, 'Take-off'!$C$8+10, 'Take-off'!$C$8)</f>
        <v>-2</v>
      </c>
      <c r="E621" s="181" t="s">
        <v>148</v>
      </c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</row>
    <row r="622" spans="1:41" ht="15.75" customHeight="1">
      <c r="A622" s="77"/>
      <c r="B622" s="261" t="s">
        <v>161</v>
      </c>
      <c r="C622" s="304"/>
      <c r="D622" s="304"/>
      <c r="E622" s="304"/>
      <c r="F622" s="304"/>
      <c r="G622" s="304"/>
      <c r="H622" s="304"/>
      <c r="I622" s="304"/>
      <c r="J622" s="304"/>
      <c r="K622" s="304"/>
      <c r="L622" s="304"/>
      <c r="M622" s="77"/>
      <c r="N622" s="77"/>
      <c r="O622" s="261" t="s">
        <v>162</v>
      </c>
      <c r="P622" s="304"/>
      <c r="Q622" s="304"/>
      <c r="R622" s="304"/>
      <c r="S622" s="304"/>
      <c r="T622" s="304"/>
      <c r="U622" s="304"/>
      <c r="V622" s="304"/>
      <c r="W622" s="304"/>
      <c r="X622" s="304"/>
      <c r="Y622" s="304"/>
      <c r="Z622" s="77"/>
      <c r="AA622" s="77"/>
      <c r="AB622" s="261" t="s">
        <v>163</v>
      </c>
      <c r="AC622" s="304"/>
      <c r="AD622" s="304"/>
      <c r="AE622" s="304"/>
      <c r="AF622" s="304"/>
      <c r="AG622" s="304"/>
      <c r="AH622" s="304"/>
      <c r="AI622" s="304"/>
      <c r="AJ622" s="304"/>
      <c r="AK622" s="304"/>
      <c r="AL622" s="304"/>
      <c r="AM622" s="77"/>
      <c r="AN622" s="77"/>
      <c r="AO622" s="77"/>
    </row>
    <row r="623" spans="1:41" ht="15.75" customHeight="1">
      <c r="A623" s="12"/>
      <c r="B623" s="262" t="s">
        <v>151</v>
      </c>
      <c r="C623" s="303"/>
      <c r="D623" s="303"/>
      <c r="E623" s="303"/>
      <c r="F623" s="303"/>
      <c r="G623" s="82"/>
      <c r="H623" s="82"/>
      <c r="I623" s="82"/>
      <c r="J623" s="82"/>
      <c r="K623" s="82"/>
      <c r="L623" s="82"/>
      <c r="M623" s="82"/>
      <c r="N623" s="12"/>
      <c r="O623" s="262" t="s">
        <v>151</v>
      </c>
      <c r="P623" s="303"/>
      <c r="Q623" s="303"/>
      <c r="R623" s="303"/>
      <c r="S623" s="303"/>
      <c r="T623" s="82"/>
      <c r="U623" s="82"/>
      <c r="V623" s="82"/>
      <c r="W623" s="82"/>
      <c r="X623" s="82"/>
      <c r="Y623" s="82"/>
      <c r="Z623" s="98"/>
      <c r="AA623" s="12"/>
      <c r="AB623" s="262" t="s">
        <v>151</v>
      </c>
      <c r="AC623" s="303"/>
      <c r="AD623" s="303"/>
      <c r="AE623" s="303"/>
      <c r="AF623" s="303"/>
      <c r="AG623" s="82"/>
      <c r="AH623" s="82"/>
      <c r="AI623" s="82"/>
      <c r="AJ623" s="82"/>
      <c r="AK623" s="82"/>
      <c r="AL623" s="82"/>
      <c r="AM623" s="2"/>
      <c r="AN623" s="2"/>
      <c r="AO623" s="2"/>
    </row>
    <row r="624" spans="1:41" ht="15.75" customHeight="1">
      <c r="A624" s="12" t="s">
        <v>152</v>
      </c>
      <c r="B624" s="182">
        <v>0</v>
      </c>
      <c r="C624" s="183">
        <v>1000</v>
      </c>
      <c r="D624" s="184">
        <v>2000</v>
      </c>
      <c r="E624" s="184">
        <v>3000</v>
      </c>
      <c r="F624" s="185">
        <v>4000</v>
      </c>
      <c r="G624" s="98"/>
      <c r="H624" s="97"/>
      <c r="I624" s="12"/>
      <c r="J624" s="98"/>
      <c r="K624" s="97"/>
      <c r="L624" s="12"/>
      <c r="M624" s="12"/>
      <c r="N624" s="12" t="s">
        <v>152</v>
      </c>
      <c r="O624" s="182">
        <v>0</v>
      </c>
      <c r="P624" s="183">
        <v>1000</v>
      </c>
      <c r="Q624" s="184">
        <v>2000</v>
      </c>
      <c r="R624" s="184">
        <v>3000</v>
      </c>
      <c r="S624" s="185">
        <v>4000</v>
      </c>
      <c r="T624" s="98"/>
      <c r="U624" s="97"/>
      <c r="V624" s="12"/>
      <c r="W624" s="98"/>
      <c r="X624" s="97"/>
      <c r="Y624" s="12"/>
      <c r="AA624" s="12" t="s">
        <v>152</v>
      </c>
      <c r="AB624" s="182">
        <v>0</v>
      </c>
      <c r="AC624" s="183">
        <v>1000</v>
      </c>
      <c r="AD624" s="184">
        <v>2000</v>
      </c>
      <c r="AE624" s="184">
        <v>3000</v>
      </c>
      <c r="AF624" s="185">
        <v>4000</v>
      </c>
      <c r="AG624" s="98"/>
      <c r="AH624" s="97"/>
      <c r="AI624" s="12"/>
      <c r="AJ624" s="98"/>
      <c r="AK624" s="97"/>
      <c r="AL624" s="12"/>
      <c r="AM624" s="98"/>
      <c r="AN624" s="97"/>
    </row>
    <row r="625" spans="1:41" ht="15.75" customHeight="1">
      <c r="A625" s="12">
        <v>-30</v>
      </c>
      <c r="B625" s="182">
        <v>1400</v>
      </c>
      <c r="C625" s="183">
        <v>1490</v>
      </c>
      <c r="D625" s="184">
        <v>1550</v>
      </c>
      <c r="E625" s="184">
        <v>1600</v>
      </c>
      <c r="F625" s="185">
        <v>99999</v>
      </c>
      <c r="G625" s="98"/>
      <c r="H625" s="97"/>
      <c r="I625" s="12"/>
      <c r="J625" s="98"/>
      <c r="K625" s="97"/>
      <c r="L625" s="12"/>
      <c r="M625" s="12"/>
      <c r="N625" s="12">
        <v>-30</v>
      </c>
      <c r="O625" s="182"/>
      <c r="P625" s="183"/>
      <c r="Q625" s="184"/>
      <c r="R625" s="184"/>
      <c r="S625" s="185">
        <v>99999</v>
      </c>
      <c r="T625" s="98"/>
      <c r="U625" s="97"/>
      <c r="V625" s="12"/>
      <c r="W625" s="98"/>
      <c r="X625" s="97"/>
      <c r="Y625" s="12"/>
      <c r="AA625" s="12">
        <v>-30</v>
      </c>
      <c r="AB625" s="182"/>
      <c r="AC625" s="183"/>
      <c r="AD625" s="184"/>
      <c r="AE625" s="184"/>
      <c r="AF625" s="185">
        <v>99999</v>
      </c>
      <c r="AG625" s="98"/>
      <c r="AH625" s="97"/>
      <c r="AI625" s="12"/>
      <c r="AJ625" s="98"/>
      <c r="AK625" s="97"/>
      <c r="AL625" s="12"/>
      <c r="AM625" s="98"/>
      <c r="AN625" s="97"/>
    </row>
    <row r="626" spans="1:41" ht="15.75" customHeight="1">
      <c r="A626" s="12">
        <v>-20</v>
      </c>
      <c r="B626" s="256">
        <v>1450</v>
      </c>
      <c r="C626" s="178">
        <v>1550</v>
      </c>
      <c r="D626" s="12">
        <v>1600</v>
      </c>
      <c r="E626" s="12">
        <v>1700</v>
      </c>
      <c r="F626" s="255">
        <v>99999</v>
      </c>
      <c r="G626" s="98"/>
      <c r="H626" s="97"/>
      <c r="J626" s="98"/>
      <c r="K626" s="97"/>
      <c r="N626" s="12">
        <v>-20</v>
      </c>
      <c r="O626" s="256"/>
      <c r="P626" s="178"/>
      <c r="Q626" s="12"/>
      <c r="R626" s="12"/>
      <c r="S626" s="255">
        <v>99999</v>
      </c>
      <c r="T626" s="98"/>
      <c r="U626" s="97"/>
      <c r="W626" s="98"/>
      <c r="X626" s="97"/>
      <c r="AA626" s="12">
        <v>-20</v>
      </c>
      <c r="AB626" s="256"/>
      <c r="AC626" s="178"/>
      <c r="AD626" s="12"/>
      <c r="AE626" s="12"/>
      <c r="AF626" s="255">
        <v>99999</v>
      </c>
      <c r="AG626" s="98"/>
      <c r="AH626" s="97"/>
      <c r="AJ626" s="98"/>
      <c r="AK626" s="97"/>
      <c r="AM626" s="98"/>
      <c r="AN626" s="97"/>
    </row>
    <row r="627" spans="1:41" ht="15.75" customHeight="1">
      <c r="A627" s="12">
        <v>-10</v>
      </c>
      <c r="B627" s="256">
        <v>1550</v>
      </c>
      <c r="C627" s="178">
        <v>1600</v>
      </c>
      <c r="D627" s="12">
        <v>1700</v>
      </c>
      <c r="E627" s="12">
        <v>1800</v>
      </c>
      <c r="F627" s="255">
        <v>99999</v>
      </c>
      <c r="G627" s="98"/>
      <c r="H627" s="97"/>
      <c r="J627" s="98"/>
      <c r="K627" s="97"/>
      <c r="N627" s="12">
        <v>-10</v>
      </c>
      <c r="O627" s="256"/>
      <c r="P627" s="178"/>
      <c r="Q627" s="12"/>
      <c r="R627" s="12"/>
      <c r="S627" s="255">
        <v>99999</v>
      </c>
      <c r="T627" s="98"/>
      <c r="U627" s="97"/>
      <c r="W627" s="98"/>
      <c r="X627" s="97"/>
      <c r="AA627" s="12">
        <v>-10</v>
      </c>
      <c r="AB627" s="256"/>
      <c r="AC627" s="178"/>
      <c r="AD627" s="12"/>
      <c r="AE627" s="12"/>
      <c r="AF627" s="255">
        <v>99999</v>
      </c>
      <c r="AG627" s="98"/>
      <c r="AH627" s="97"/>
      <c r="AJ627" s="98"/>
      <c r="AK627" s="97"/>
      <c r="AM627" s="98"/>
      <c r="AN627" s="97"/>
    </row>
    <row r="628" spans="1:41" ht="15.75" customHeight="1">
      <c r="A628" s="12">
        <v>0</v>
      </c>
      <c r="B628" s="256">
        <v>1610</v>
      </c>
      <c r="C628" s="178">
        <v>1700</v>
      </c>
      <c r="D628" s="12">
        <v>1800</v>
      </c>
      <c r="E628" s="12">
        <v>1900</v>
      </c>
      <c r="F628" s="255">
        <v>99999</v>
      </c>
      <c r="G628" s="98"/>
      <c r="H628" s="97"/>
      <c r="J628" s="98"/>
      <c r="K628" s="97"/>
      <c r="N628" s="12">
        <v>0</v>
      </c>
      <c r="O628" s="256"/>
      <c r="P628" s="178"/>
      <c r="Q628" s="12"/>
      <c r="R628" s="12"/>
      <c r="S628" s="255">
        <v>99999</v>
      </c>
      <c r="T628" s="98"/>
      <c r="U628" s="97"/>
      <c r="W628" s="98"/>
      <c r="X628" s="97"/>
      <c r="AA628" s="12">
        <v>0</v>
      </c>
      <c r="AB628" s="256"/>
      <c r="AC628" s="178"/>
      <c r="AD628" s="12"/>
      <c r="AE628" s="12"/>
      <c r="AF628" s="255">
        <v>99999</v>
      </c>
      <c r="AG628" s="98"/>
      <c r="AH628" s="97"/>
      <c r="AJ628" s="98"/>
      <c r="AK628" s="97"/>
      <c r="AM628" s="98"/>
      <c r="AN628" s="97"/>
    </row>
    <row r="629" spans="1:41" ht="15.75" customHeight="1">
      <c r="A629" s="12">
        <v>10</v>
      </c>
      <c r="B629" s="256">
        <v>1700</v>
      </c>
      <c r="C629" s="178">
        <v>1800</v>
      </c>
      <c r="D629" s="12">
        <v>1900</v>
      </c>
      <c r="E629" s="12">
        <v>2015</v>
      </c>
      <c r="F629" s="255">
        <v>99999</v>
      </c>
      <c r="G629" s="98"/>
      <c r="H629" s="97"/>
      <c r="J629" s="98"/>
      <c r="K629" s="97"/>
      <c r="N629" s="12">
        <v>10</v>
      </c>
      <c r="O629" s="256"/>
      <c r="P629" s="178"/>
      <c r="Q629" s="12"/>
      <c r="R629" s="12"/>
      <c r="S629" s="255">
        <v>99999</v>
      </c>
      <c r="T629" s="98"/>
      <c r="U629" s="97"/>
      <c r="W629" s="98"/>
      <c r="X629" s="97"/>
      <c r="AA629" s="12">
        <v>10</v>
      </c>
      <c r="AB629" s="256"/>
      <c r="AC629" s="178"/>
      <c r="AD629" s="12"/>
      <c r="AE629" s="12"/>
      <c r="AF629" s="255">
        <v>99999</v>
      </c>
      <c r="AG629" s="98"/>
      <c r="AH629" s="97"/>
      <c r="AJ629" s="98"/>
      <c r="AK629" s="97"/>
      <c r="AM629" s="98"/>
      <c r="AN629" s="97"/>
    </row>
    <row r="630" spans="1:41" ht="15.75" customHeight="1">
      <c r="A630" s="12">
        <v>20</v>
      </c>
      <c r="B630" s="256">
        <v>1780</v>
      </c>
      <c r="C630" s="178">
        <v>1900</v>
      </c>
      <c r="D630" s="12">
        <v>2000</v>
      </c>
      <c r="E630" s="12">
        <v>2150</v>
      </c>
      <c r="F630" s="255">
        <v>99999</v>
      </c>
      <c r="G630" s="98"/>
      <c r="H630" s="97"/>
      <c r="J630" s="98"/>
      <c r="K630" s="97"/>
      <c r="N630" s="12">
        <v>20</v>
      </c>
      <c r="O630" s="256"/>
      <c r="P630" s="178"/>
      <c r="Q630" s="12"/>
      <c r="R630" s="12"/>
      <c r="S630" s="255">
        <v>99999</v>
      </c>
      <c r="T630" s="98"/>
      <c r="U630" s="97"/>
      <c r="W630" s="98"/>
      <c r="X630" s="97"/>
      <c r="AA630" s="12">
        <v>20</v>
      </c>
      <c r="AB630" s="256"/>
      <c r="AC630" s="178"/>
      <c r="AD630" s="12"/>
      <c r="AE630" s="12"/>
      <c r="AF630" s="255">
        <v>99999</v>
      </c>
      <c r="AG630" s="98"/>
      <c r="AH630" s="97"/>
      <c r="AJ630" s="98"/>
      <c r="AK630" s="97"/>
      <c r="AM630" s="98"/>
      <c r="AN630" s="97"/>
    </row>
    <row r="631" spans="1:41" ht="15.75" customHeight="1">
      <c r="A631" s="12">
        <v>30</v>
      </c>
      <c r="B631" s="256">
        <v>1880</v>
      </c>
      <c r="C631" s="178">
        <v>2000</v>
      </c>
      <c r="D631" s="12">
        <v>2130</v>
      </c>
      <c r="E631" s="12">
        <v>2320</v>
      </c>
      <c r="F631" s="255">
        <v>99999</v>
      </c>
      <c r="G631" s="98"/>
      <c r="H631" s="97"/>
      <c r="J631" s="98"/>
      <c r="K631" s="97"/>
      <c r="N631" s="12"/>
      <c r="O631" s="256"/>
      <c r="P631" s="178"/>
      <c r="Q631" s="12"/>
      <c r="R631" s="12"/>
      <c r="S631" s="255"/>
      <c r="T631" s="98"/>
      <c r="U631" s="97"/>
      <c r="W631" s="98"/>
      <c r="X631" s="97"/>
      <c r="AA631" s="12">
        <v>30</v>
      </c>
      <c r="AB631" s="256"/>
      <c r="AC631" s="178"/>
      <c r="AD631" s="12"/>
      <c r="AE631" s="12"/>
      <c r="AF631" s="255">
        <v>99999</v>
      </c>
      <c r="AG631" s="98"/>
      <c r="AH631" s="97"/>
      <c r="AJ631" s="98"/>
      <c r="AK631" s="97"/>
      <c r="AM631" s="98"/>
      <c r="AN631" s="97"/>
    </row>
    <row r="632" spans="1:41" ht="15.75" customHeight="1">
      <c r="A632" s="12">
        <v>40</v>
      </c>
      <c r="B632" s="256">
        <v>2075</v>
      </c>
      <c r="C632" s="178">
        <v>2200</v>
      </c>
      <c r="D632" s="12">
        <v>2380</v>
      </c>
      <c r="E632" s="12">
        <v>2600</v>
      </c>
      <c r="F632" s="255">
        <v>99999</v>
      </c>
      <c r="G632" s="98"/>
      <c r="H632" s="97"/>
      <c r="J632" s="98"/>
      <c r="K632" s="97"/>
      <c r="N632" s="12">
        <v>30</v>
      </c>
      <c r="O632" s="256"/>
      <c r="P632" s="178"/>
      <c r="Q632" s="12"/>
      <c r="R632" s="12"/>
      <c r="S632" s="255">
        <v>99999</v>
      </c>
      <c r="T632" s="98"/>
      <c r="U632" s="97"/>
      <c r="W632" s="98"/>
      <c r="X632" s="97"/>
      <c r="AA632" s="12">
        <v>40</v>
      </c>
      <c r="AB632" s="256"/>
      <c r="AC632" s="178"/>
      <c r="AD632" s="12"/>
      <c r="AE632" s="12"/>
      <c r="AF632" s="255">
        <v>99999</v>
      </c>
      <c r="AG632" s="98"/>
      <c r="AH632" s="97"/>
      <c r="AJ632" s="98"/>
      <c r="AK632" s="97"/>
      <c r="AM632" s="98"/>
      <c r="AN632" s="97"/>
    </row>
    <row r="633" spans="1:41" ht="15.75" customHeight="1">
      <c r="A633" s="12">
        <v>45</v>
      </c>
      <c r="B633" s="189">
        <v>99999</v>
      </c>
      <c r="C633" s="190">
        <v>99999</v>
      </c>
      <c r="D633" s="190">
        <v>99999</v>
      </c>
      <c r="E633" s="190">
        <v>99999</v>
      </c>
      <c r="F633" s="191">
        <v>99999</v>
      </c>
      <c r="G633" s="98"/>
      <c r="H633" s="97"/>
      <c r="J633" s="98"/>
      <c r="K633" s="97"/>
      <c r="N633" s="12">
        <v>35</v>
      </c>
      <c r="O633" s="189">
        <v>99999</v>
      </c>
      <c r="P633" s="190">
        <v>99999</v>
      </c>
      <c r="Q633" s="190">
        <v>99999</v>
      </c>
      <c r="R633" s="190">
        <v>99999</v>
      </c>
      <c r="S633" s="191">
        <v>99999</v>
      </c>
      <c r="T633" s="98"/>
      <c r="U633" s="97"/>
      <c r="W633" s="98"/>
      <c r="X633" s="97"/>
      <c r="AA633" s="12">
        <v>45</v>
      </c>
      <c r="AB633" s="189">
        <v>99999</v>
      </c>
      <c r="AC633" s="190">
        <v>99999</v>
      </c>
      <c r="AD633" s="190">
        <v>99999</v>
      </c>
      <c r="AE633" s="190">
        <v>99999</v>
      </c>
      <c r="AF633" s="191">
        <v>99999</v>
      </c>
      <c r="AG633" s="98"/>
      <c r="AH633" s="97"/>
      <c r="AJ633" s="98"/>
      <c r="AK633" s="97"/>
      <c r="AM633" s="98"/>
      <c r="AN633" s="97"/>
    </row>
    <row r="634" spans="1:41" ht="15.75" customHeight="1">
      <c r="B634" s="98"/>
      <c r="C634" s="97"/>
      <c r="D634" s="12"/>
      <c r="E634" s="12"/>
      <c r="F634" s="12"/>
      <c r="G634" s="2"/>
      <c r="H634" s="2"/>
      <c r="I634" s="2"/>
      <c r="J634" s="98"/>
      <c r="K634" s="97"/>
      <c r="O634" s="98"/>
      <c r="P634" s="97"/>
      <c r="Q634" s="12"/>
      <c r="R634" s="12"/>
      <c r="S634" s="12"/>
      <c r="T634" s="2"/>
      <c r="U634" s="2"/>
      <c r="V634" s="2"/>
      <c r="W634" s="98"/>
      <c r="X634" s="97"/>
      <c r="Z634" s="98"/>
      <c r="AB634" s="98"/>
      <c r="AC634" s="97"/>
      <c r="AD634" s="12"/>
      <c r="AE634" s="12"/>
      <c r="AF634" s="12"/>
      <c r="AG634" s="2"/>
      <c r="AH634" s="2"/>
      <c r="AI634" s="2"/>
      <c r="AJ634" s="98"/>
      <c r="AK634" s="97"/>
      <c r="AM634" s="2"/>
      <c r="AN634" s="2"/>
      <c r="AO634" s="2"/>
    </row>
    <row r="635" spans="1:41" ht="15.75" customHeight="1">
      <c r="B635" s="98" t="s">
        <v>79</v>
      </c>
      <c r="C635" s="97">
        <f>D620</f>
        <v>0</v>
      </c>
      <c r="D635" s="260" t="s">
        <v>136</v>
      </c>
      <c r="E635" s="304"/>
      <c r="G635" s="2"/>
      <c r="H635" s="2"/>
      <c r="I635" s="2"/>
      <c r="J635" s="98"/>
      <c r="K635" s="97"/>
      <c r="L635" s="82"/>
      <c r="O635" s="98" t="s">
        <v>79</v>
      </c>
      <c r="P635" s="97">
        <f>D620</f>
        <v>0</v>
      </c>
      <c r="Q635" s="260" t="s">
        <v>136</v>
      </c>
      <c r="R635" s="304"/>
      <c r="T635" s="2"/>
      <c r="U635" s="2"/>
      <c r="V635" s="2"/>
      <c r="W635" s="98"/>
      <c r="X635" s="97"/>
      <c r="Y635" s="82"/>
      <c r="Z635" s="98"/>
      <c r="AB635" s="98" t="s">
        <v>79</v>
      </c>
      <c r="AC635" s="97">
        <f>D620</f>
        <v>0</v>
      </c>
      <c r="AD635" s="260" t="s">
        <v>136</v>
      </c>
      <c r="AE635" s="304"/>
      <c r="AG635" s="2"/>
      <c r="AH635" s="2"/>
      <c r="AI635" s="2"/>
      <c r="AJ635" s="98"/>
      <c r="AK635" s="97"/>
      <c r="AL635" s="82"/>
      <c r="AM635" s="2"/>
      <c r="AN635" s="2"/>
      <c r="AO635" s="2"/>
    </row>
    <row r="636" spans="1:41" ht="15.75" customHeight="1">
      <c r="B636" s="73" t="s">
        <v>137</v>
      </c>
      <c r="C636" s="100">
        <f t="array" ref="C636">INDEX(B624:F624,MATCH(C635,B624:F624,1))</f>
        <v>0</v>
      </c>
      <c r="D636" s="73" t="s">
        <v>77</v>
      </c>
      <c r="E636" s="88">
        <f>MATCH(MAX(A625:A633),A625:A633,1)</f>
        <v>9</v>
      </c>
      <c r="G636" s="2"/>
      <c r="H636" s="2"/>
      <c r="I636" s="2"/>
      <c r="J636" s="73"/>
      <c r="K636" s="100"/>
      <c r="L636" s="73"/>
      <c r="M636" s="88"/>
      <c r="O636" s="73" t="s">
        <v>137</v>
      </c>
      <c r="P636" s="100">
        <f t="array" ref="P636">INDEX(O624:S624,MATCH(P635,O624:S624,1))</f>
        <v>0</v>
      </c>
      <c r="Q636" s="73" t="s">
        <v>77</v>
      </c>
      <c r="R636" s="88">
        <f>MATCH(MAX(N625:N633),N625:N633,1)</f>
        <v>9</v>
      </c>
      <c r="T636" s="2"/>
      <c r="U636" s="2"/>
      <c r="V636" s="2"/>
      <c r="W636" s="73"/>
      <c r="X636" s="100"/>
      <c r="Y636" s="73"/>
      <c r="Z636" s="73"/>
      <c r="AB636" s="73" t="s">
        <v>137</v>
      </c>
      <c r="AC636" s="100">
        <f t="array" ref="AC636">INDEX(AB624:AF624,MATCH(AC635,AB624:AF624,1))</f>
        <v>0</v>
      </c>
      <c r="AD636" s="73" t="s">
        <v>77</v>
      </c>
      <c r="AE636" s="88">
        <f>MATCH(MAX(AA625:AA633),AA625:AA633,1)</f>
        <v>9</v>
      </c>
      <c r="AG636" s="2"/>
      <c r="AH636" s="2"/>
      <c r="AI636" s="2"/>
      <c r="AJ636" s="73"/>
      <c r="AK636" s="100"/>
      <c r="AL636" s="73"/>
      <c r="AM636" s="2"/>
      <c r="AN636" s="2"/>
      <c r="AO636" s="2"/>
    </row>
    <row r="637" spans="1:41" ht="15.75" customHeight="1">
      <c r="B637" s="73" t="s">
        <v>138</v>
      </c>
      <c r="C637" s="100">
        <f t="array" ref="C637">INDEX(B624:F624,IF(MATCH(C635,B624:F624,1)&lt;E637,MATCH(C635,B624:F624,1)+1,MATCH(C635,B624:F624,1)))</f>
        <v>1000</v>
      </c>
      <c r="D637" s="73" t="s">
        <v>78</v>
      </c>
      <c r="E637" s="88">
        <f>MATCH(MAX(B624:F624),B624:F624,0)</f>
        <v>5</v>
      </c>
      <c r="G637" s="2"/>
      <c r="H637" s="2"/>
      <c r="I637" s="2"/>
      <c r="J637" s="73"/>
      <c r="K637" s="100"/>
      <c r="L637" s="73"/>
      <c r="M637" s="88"/>
      <c r="O637" s="73" t="s">
        <v>138</v>
      </c>
      <c r="P637" s="100">
        <f t="array" ref="P637">INDEX(O624:S624,IF(MATCH(P635,O624:S624,1)&lt;R637,MATCH(P635,O624:S624,1)+1,MATCH(P635,O624:S624,1)))</f>
        <v>1000</v>
      </c>
      <c r="Q637" s="73" t="s">
        <v>78</v>
      </c>
      <c r="R637" s="88">
        <f>MATCH(MAX(O624:S624),O624:S624,0)</f>
        <v>5</v>
      </c>
      <c r="T637" s="2"/>
      <c r="U637" s="2"/>
      <c r="V637" s="2"/>
      <c r="W637" s="73"/>
      <c r="X637" s="100"/>
      <c r="Y637" s="73"/>
      <c r="Z637" s="73"/>
      <c r="AB637" s="73" t="s">
        <v>138</v>
      </c>
      <c r="AC637" s="100">
        <f t="array" ref="AC637">INDEX(AB624:AF624,IF(MATCH(AC635,AB624:AF624,1)&lt;AE637,MATCH(AC635,AB624:AF624,1)+1,MATCH(AC635,AB624:AF624,1)))</f>
        <v>1000</v>
      </c>
      <c r="AD637" s="73" t="s">
        <v>78</v>
      </c>
      <c r="AE637" s="88">
        <f>MATCH(MAX(AB624:AF624),AB624:AF624,0)</f>
        <v>5</v>
      </c>
      <c r="AG637" s="2"/>
      <c r="AH637" s="2"/>
      <c r="AI637" s="2"/>
      <c r="AJ637" s="73"/>
      <c r="AK637" s="100"/>
      <c r="AL637" s="73"/>
      <c r="AM637" s="2"/>
      <c r="AN637" s="2"/>
      <c r="AO637" s="2"/>
    </row>
    <row r="638" spans="1:41" ht="15.75" customHeight="1">
      <c r="B638" s="96" t="s">
        <v>80</v>
      </c>
      <c r="C638" s="155">
        <f>D621</f>
        <v>-2</v>
      </c>
      <c r="D638" s="2"/>
      <c r="E638" s="2"/>
      <c r="G638" s="2"/>
      <c r="H638" s="2"/>
      <c r="I638" s="2"/>
      <c r="J638" s="98"/>
      <c r="K638" s="155"/>
      <c r="L638" s="2"/>
      <c r="M638" s="2"/>
      <c r="O638" s="96" t="s">
        <v>80</v>
      </c>
      <c r="P638" s="155">
        <f>D621</f>
        <v>-2</v>
      </c>
      <c r="Q638" s="2"/>
      <c r="R638" s="2"/>
      <c r="T638" s="2"/>
      <c r="U638" s="2"/>
      <c r="V638" s="2"/>
      <c r="W638" s="98"/>
      <c r="X638" s="155"/>
      <c r="Y638" s="2"/>
      <c r="Z638" s="98"/>
      <c r="AB638" s="96" t="s">
        <v>80</v>
      </c>
      <c r="AC638" s="155">
        <f>D621</f>
        <v>-2</v>
      </c>
      <c r="AD638" s="2"/>
      <c r="AE638" s="2"/>
      <c r="AG638" s="2"/>
      <c r="AH638" s="2"/>
      <c r="AI638" s="2"/>
      <c r="AJ638" s="98"/>
      <c r="AK638" s="155"/>
      <c r="AL638" s="2"/>
      <c r="AM638" s="2"/>
      <c r="AN638" s="2"/>
      <c r="AO638" s="2"/>
    </row>
    <row r="639" spans="1:41" ht="15.75" customHeight="1">
      <c r="B639" s="73" t="s">
        <v>81</v>
      </c>
      <c r="C639" s="100">
        <f t="array" ref="C639">INDEX(A625:A633,MATCH(C638,A625:A633,1))</f>
        <v>-10</v>
      </c>
      <c r="D639" s="2"/>
      <c r="E639" s="92"/>
      <c r="G639" s="2"/>
      <c r="H639" s="2"/>
      <c r="I639" s="2"/>
      <c r="J639" s="73"/>
      <c r="K639" s="100"/>
      <c r="L639" s="2"/>
      <c r="M639" s="92"/>
      <c r="O639" s="73" t="s">
        <v>81</v>
      </c>
      <c r="P639" s="100">
        <f t="array" ref="P639">INDEX(N625:N633,MATCH(P638,N625:N633,1))</f>
        <v>-10</v>
      </c>
      <c r="Q639" s="2"/>
      <c r="R639" s="92"/>
      <c r="T639" s="2"/>
      <c r="U639" s="2"/>
      <c r="V639" s="2"/>
      <c r="W639" s="73"/>
      <c r="X639" s="100"/>
      <c r="Y639" s="2"/>
      <c r="Z639" s="73"/>
      <c r="AB639" s="73" t="s">
        <v>81</v>
      </c>
      <c r="AC639" s="100">
        <f t="array" ref="AC639">INDEX(AA625:AA633,MATCH(AC638,AA625:AA633,1))</f>
        <v>-10</v>
      </c>
      <c r="AD639" s="2"/>
      <c r="AE639" s="92"/>
      <c r="AG639" s="2"/>
      <c r="AH639" s="2"/>
      <c r="AI639" s="2"/>
      <c r="AJ639" s="73"/>
      <c r="AK639" s="100"/>
      <c r="AL639" s="2"/>
      <c r="AM639" s="2"/>
      <c r="AN639" s="2"/>
      <c r="AO639" s="2"/>
    </row>
    <row r="640" spans="1:41" ht="15.75" customHeight="1">
      <c r="B640" s="73" t="s">
        <v>82</v>
      </c>
      <c r="C640" s="100">
        <f t="array" ref="C640">INDEX(A625:A633,IF(MATCH(C638,A625:A633,1)&lt;E636,MATCH(C638,A625:A633,1)+1,MATCH(C638,A625:A633,1)))</f>
        <v>0</v>
      </c>
      <c r="D640" s="2"/>
      <c r="E640" s="92"/>
      <c r="G640" s="2"/>
      <c r="H640" s="2"/>
      <c r="I640" s="2"/>
      <c r="J640" s="73"/>
      <c r="K640" s="100"/>
      <c r="L640" s="2"/>
      <c r="M640" s="92"/>
      <c r="O640" s="73" t="s">
        <v>82</v>
      </c>
      <c r="P640" s="100">
        <f t="array" ref="P640">INDEX(N625:N633,IF(MATCH(P638,N625:N633,1)&lt;R636,MATCH(P638,N625:N633,1)+1,MATCH(P638,N625:N633,1)))</f>
        <v>0</v>
      </c>
      <c r="Q640" s="2"/>
      <c r="R640" s="92"/>
      <c r="T640" s="2"/>
      <c r="U640" s="2"/>
      <c r="V640" s="2"/>
      <c r="W640" s="73"/>
      <c r="X640" s="100"/>
      <c r="Y640" s="2"/>
      <c r="Z640" s="73"/>
      <c r="AB640" s="73" t="s">
        <v>82</v>
      </c>
      <c r="AC640" s="100">
        <f t="array" ref="AC640">INDEX(AA625:AA633,IF(MATCH(AC638,AA625:AA633,1)&lt;AE636,MATCH(AC638,AA625:AA633,1)+1,MATCH(AC638,AA625:AA633,1)))</f>
        <v>0</v>
      </c>
      <c r="AD640" s="2"/>
      <c r="AE640" s="92"/>
      <c r="AG640" s="2"/>
      <c r="AH640" s="2"/>
      <c r="AI640" s="2"/>
      <c r="AJ640" s="73"/>
      <c r="AK640" s="100"/>
      <c r="AL640" s="2"/>
      <c r="AM640" s="2"/>
      <c r="AN640" s="2"/>
      <c r="AO640" s="2"/>
    </row>
    <row r="641" spans="1:41" ht="15.75" customHeight="1">
      <c r="B641" s="98" t="s">
        <v>83</v>
      </c>
      <c r="C641" s="97">
        <f t="array" ref="C641">INDEX(B625:F633,MATCH(C638,A625:A633,1),MATCH(C635,B624:F624,1))</f>
        <v>1550</v>
      </c>
      <c r="D641" s="2"/>
      <c r="E641" s="92"/>
      <c r="G641" s="2"/>
      <c r="H641" s="2"/>
      <c r="I641" s="2"/>
      <c r="J641" s="98"/>
      <c r="K641" s="97"/>
      <c r="L641" s="2"/>
      <c r="M641" s="92"/>
      <c r="O641" s="98" t="s">
        <v>83</v>
      </c>
      <c r="P641" s="97">
        <f t="array" ref="P641">INDEX(O625:S633,MATCH(P638,N625:N633,1),MATCH(P635,O624:S624,1))</f>
        <v>0</v>
      </c>
      <c r="Q641" s="2"/>
      <c r="R641" s="92"/>
      <c r="T641" s="2"/>
      <c r="U641" s="2"/>
      <c r="V641" s="2"/>
      <c r="W641" s="98"/>
      <c r="X641" s="97"/>
      <c r="Y641" s="2"/>
      <c r="Z641" s="98"/>
      <c r="AB641" s="98" t="s">
        <v>83</v>
      </c>
      <c r="AC641" s="97">
        <f t="array" ref="AC641">INDEX(AB625:AF633,MATCH(AC638,AA625:AA633,1),MATCH(AC635,AB624:AF624,1))</f>
        <v>0</v>
      </c>
      <c r="AD641" s="2"/>
      <c r="AE641" s="92"/>
      <c r="AG641" s="2"/>
      <c r="AH641" s="2"/>
      <c r="AI641" s="2"/>
      <c r="AJ641" s="98"/>
      <c r="AK641" s="97"/>
      <c r="AL641" s="2"/>
      <c r="AM641" s="2"/>
      <c r="AN641" s="2"/>
      <c r="AO641" s="2"/>
    </row>
    <row r="642" spans="1:41" ht="15.75" customHeight="1">
      <c r="B642" s="98" t="s">
        <v>139</v>
      </c>
      <c r="C642" s="97">
        <f t="array" ref="C642">INDEX(B625:F633,MATCH(C638,A625:A633,1),IF(MATCH(C635,B624:F624,1)&lt;E637,MATCH(C635,B624:F624,1)+1,MATCH(C638,A625:A633,1)))</f>
        <v>1600</v>
      </c>
      <c r="E642" s="92"/>
      <c r="G642" s="2"/>
      <c r="H642" s="2"/>
      <c r="I642" s="2"/>
      <c r="J642" s="98"/>
      <c r="K642" s="97"/>
      <c r="M642" s="92"/>
      <c r="O642" s="98" t="s">
        <v>139</v>
      </c>
      <c r="P642" s="97">
        <f t="array" ref="P642">INDEX(O625:S633,MATCH(P638,N625:N633,1),IF(MATCH(P635,O624:S624,1)&lt;R637,MATCH(P635,O624:S624,1)+1,MATCH(P638,N625:N633,1)))</f>
        <v>0</v>
      </c>
      <c r="R642" s="92"/>
      <c r="T642" s="2"/>
      <c r="U642" s="2"/>
      <c r="V642" s="2"/>
      <c r="W642" s="98"/>
      <c r="X642" s="97"/>
      <c r="Z642" s="98"/>
      <c r="AB642" s="98" t="s">
        <v>139</v>
      </c>
      <c r="AC642" s="97">
        <f t="array" ref="AC642">INDEX(AB625:AF633,MATCH(AC638,AA625:AA633,1),IF(MATCH(AC635,AB624:AF624,1)&lt;AE637,MATCH(AC635,AB624:AF624,1)+1,MATCH(AC638,AA625:AA633,1)))</f>
        <v>0</v>
      </c>
      <c r="AE642" s="92"/>
      <c r="AG642" s="2"/>
      <c r="AH642" s="2"/>
      <c r="AI642" s="2"/>
      <c r="AJ642" s="98"/>
      <c r="AK642" s="97"/>
      <c r="AM642" s="2"/>
      <c r="AN642" s="2"/>
      <c r="AO642" s="2"/>
    </row>
    <row r="643" spans="1:41" ht="15.75" customHeight="1">
      <c r="B643" s="98" t="s">
        <v>84</v>
      </c>
      <c r="C643" s="97">
        <f t="array" ref="C643">INDEX(B625:F633,IF(MATCH(C638,A625:A633,1)&lt;E636,MATCH(C638,A625:A633,1)+1,MATCH(C638,A625:A633,1)),MATCH(C635,B624:F624,1))</f>
        <v>1610</v>
      </c>
      <c r="E643" s="92"/>
      <c r="G643" s="2"/>
      <c r="H643" s="2"/>
      <c r="I643" s="2"/>
      <c r="J643" s="98"/>
      <c r="K643" s="97"/>
      <c r="M643" s="92"/>
      <c r="O643" s="98" t="s">
        <v>84</v>
      </c>
      <c r="P643" s="97">
        <f t="array" ref="P643">INDEX(O625:S633,IF(MATCH(P638,N625:N633,1)&lt;R636,MATCH(P638,N625:N633,1)+1,MATCH(P638,N625:N633,1)),MATCH(P635,O624:S624,1))</f>
        <v>0</v>
      </c>
      <c r="R643" s="92"/>
      <c r="T643" s="2"/>
      <c r="U643" s="2"/>
      <c r="V643" s="2"/>
      <c r="W643" s="98"/>
      <c r="X643" s="97"/>
      <c r="Z643" s="98"/>
      <c r="AB643" s="98" t="s">
        <v>84</v>
      </c>
      <c r="AC643" s="97">
        <f t="array" ref="AC643">INDEX(AB625:AF633,IF(MATCH(AC638,AA625:AA633,1)&lt;AE636,MATCH(AC638,AA625:AA633,1)+1,MATCH(AC638,AA625:AA633,1)),MATCH(AC635,AB624:AF624,1))</f>
        <v>0</v>
      </c>
      <c r="AE643" s="92"/>
      <c r="AG643" s="2"/>
      <c r="AH643" s="2"/>
      <c r="AI643" s="2"/>
      <c r="AJ643" s="98"/>
      <c r="AK643" s="97"/>
      <c r="AM643" s="2"/>
      <c r="AN643" s="2"/>
      <c r="AO643" s="2"/>
    </row>
    <row r="644" spans="1:41" ht="15.75" customHeight="1">
      <c r="B644" s="98" t="s">
        <v>140</v>
      </c>
      <c r="C644" s="97">
        <f t="array" ref="C644">INDEX(B625:F633,IF(MATCH(C638,A625:A633,1)&lt;E636,MATCH(C638,A625:A633,1)+1,MATCH(C638,A625:A633,1)),IF(MATCH(C635,B624:F624,1)&lt;E637,MATCH(C635,B624:F624,1)+1,MATCH(C635,B624:F624,1)))</f>
        <v>1700</v>
      </c>
      <c r="G644" s="2"/>
      <c r="H644" s="2"/>
      <c r="I644" s="2"/>
      <c r="J644" s="98"/>
      <c r="K644" s="97"/>
      <c r="O644" s="98" t="s">
        <v>140</v>
      </c>
      <c r="P644" s="97">
        <f t="array" ref="P644">INDEX(O625:S633,IF(MATCH(P638,N625:N633,1)&lt;R636,MATCH(P638,N625:N633,1)+1,MATCH(P638,N625:N633,1)),IF(MATCH(P635,O624:S624,1)&lt;R637,MATCH(P635,O624:S624,1)+1,MATCH(P635,O624:S624,1)))</f>
        <v>0</v>
      </c>
      <c r="T644" s="2"/>
      <c r="U644" s="2"/>
      <c r="V644" s="2"/>
      <c r="W644" s="98"/>
      <c r="X644" s="97"/>
      <c r="Z644" s="98"/>
      <c r="AB644" s="98" t="s">
        <v>140</v>
      </c>
      <c r="AC644" s="97">
        <f t="array" ref="AC644">INDEX(AB625:AF633,IF(MATCH(AC638,AA625:AA633,1)&lt;AE636,MATCH(AC638,AA625:AA633,1)+1,MATCH(AC638,AA625:AA633,1)),IF(MATCH(AC635,AB624:AF624,1)&lt;AE637,MATCH(AC635,AB624:AF624,1)+1,MATCH(AC635,AB624:AF624,1)))</f>
        <v>0</v>
      </c>
      <c r="AG644" s="2"/>
      <c r="AH644" s="2"/>
      <c r="AI644" s="2"/>
      <c r="AJ644" s="98"/>
      <c r="AK644" s="97"/>
      <c r="AM644" s="2"/>
      <c r="AN644" s="2"/>
      <c r="AO644" s="2"/>
    </row>
    <row r="645" spans="1:41" ht="15.75" customHeight="1">
      <c r="B645" s="73" t="s">
        <v>141</v>
      </c>
      <c r="C645" s="100">
        <f>IFERROR(C641+(C635-C636)*(C642-C641)/(C637-C636),C641)</f>
        <v>1550</v>
      </c>
      <c r="G645" s="2"/>
      <c r="H645" s="2"/>
      <c r="I645" s="2"/>
      <c r="J645" s="73"/>
      <c r="K645" s="100"/>
      <c r="O645" s="73" t="s">
        <v>141</v>
      </c>
      <c r="P645" s="100">
        <f>IFERROR(P641+(P635-P636)*(P642-P641)/(P637-P636),P641)</f>
        <v>0</v>
      </c>
      <c r="T645" s="2"/>
      <c r="U645" s="2"/>
      <c r="V645" s="2"/>
      <c r="W645" s="73"/>
      <c r="X645" s="100"/>
      <c r="Z645" s="73"/>
      <c r="AB645" s="73" t="s">
        <v>141</v>
      </c>
      <c r="AC645" s="100">
        <f>IFERROR(AC641+(AC635-AC636)*(AC642-AC641)/(AC637-AC636),AC641)</f>
        <v>0</v>
      </c>
      <c r="AG645" s="2"/>
      <c r="AH645" s="2"/>
      <c r="AI645" s="2"/>
      <c r="AJ645" s="73"/>
      <c r="AK645" s="100"/>
      <c r="AM645" s="2"/>
      <c r="AN645" s="2"/>
      <c r="AO645" s="2"/>
    </row>
    <row r="646" spans="1:41" ht="15.75" customHeight="1">
      <c r="B646" s="73" t="s">
        <v>142</v>
      </c>
      <c r="C646" s="100">
        <f>IFERROR(C643+(C635-C636)*(C644-C643)/(C637-C636),C643)</f>
        <v>1610</v>
      </c>
      <c r="G646" s="2"/>
      <c r="H646" s="2"/>
      <c r="I646" s="2"/>
      <c r="J646" s="73"/>
      <c r="K646" s="100"/>
      <c r="O646" s="73" t="s">
        <v>142</v>
      </c>
      <c r="P646" s="100">
        <f>IFERROR(P643+(P635-P636)*(P644-P643)/(P637-P636),P643)</f>
        <v>0</v>
      </c>
      <c r="T646" s="2"/>
      <c r="U646" s="2"/>
      <c r="V646" s="2"/>
      <c r="W646" s="73"/>
      <c r="X646" s="100"/>
      <c r="Z646" s="73"/>
      <c r="AB646" s="73" t="s">
        <v>142</v>
      </c>
      <c r="AC646" s="100">
        <f>IFERROR(AC643+(AC635-AC636)*(AC644-AC643)/(AC637-AC636),AC643)</f>
        <v>0</v>
      </c>
      <c r="AG646" s="2"/>
      <c r="AH646" s="2"/>
      <c r="AI646" s="2"/>
      <c r="AJ646" s="73"/>
      <c r="AK646" s="100"/>
      <c r="AM646" s="2"/>
      <c r="AN646" s="2"/>
      <c r="AO646" s="2"/>
    </row>
    <row r="647" spans="1:41" ht="15.75" customHeight="1">
      <c r="B647" s="98" t="s">
        <v>143</v>
      </c>
      <c r="C647" s="97">
        <f>IFERROR(C645+(C638-C639)*(C646-C645)/(C640-C639),C645)</f>
        <v>1598</v>
      </c>
      <c r="G647" s="2"/>
      <c r="H647" s="2"/>
      <c r="I647" s="2"/>
      <c r="J647" s="98"/>
      <c r="K647" s="97"/>
      <c r="O647" s="98" t="s">
        <v>143</v>
      </c>
      <c r="P647" s="97">
        <f>IFERROR(P645+(P638-P639)*(P646-P645)/(P640-P639),P645)</f>
        <v>0</v>
      </c>
      <c r="T647" s="2"/>
      <c r="U647" s="2"/>
      <c r="V647" s="2"/>
      <c r="W647" s="98"/>
      <c r="X647" s="97"/>
      <c r="Z647" s="98"/>
      <c r="AB647" s="98" t="s">
        <v>143</v>
      </c>
      <c r="AC647" s="97">
        <f>IFERROR(AC645+(AC638-AC639)*(AC646-AC645)/(AC640-AC639),AC645)</f>
        <v>0</v>
      </c>
      <c r="AG647" s="2"/>
      <c r="AH647" s="2"/>
      <c r="AI647" s="2"/>
      <c r="AJ647" s="98"/>
      <c r="AK647" s="97"/>
      <c r="AM647" s="2"/>
      <c r="AN647" s="2"/>
      <c r="AO647" s="2"/>
    </row>
    <row r="648" spans="1:41" ht="15.75" customHeight="1"/>
    <row r="649" spans="1:41" ht="15.75" customHeight="1">
      <c r="A649" s="12"/>
      <c r="B649" s="260" t="s">
        <v>144</v>
      </c>
      <c r="C649" s="304"/>
      <c r="D649" s="304"/>
      <c r="E649" s="304"/>
      <c r="F649" s="304"/>
      <c r="G649" s="304"/>
      <c r="H649" s="82"/>
      <c r="I649" s="82"/>
      <c r="J649" s="82"/>
      <c r="K649" s="82"/>
      <c r="L649" s="82"/>
      <c r="M649" s="82"/>
      <c r="N649" s="12"/>
      <c r="O649" s="260" t="s">
        <v>144</v>
      </c>
      <c r="P649" s="304"/>
      <c r="Q649" s="304"/>
      <c r="R649" s="304"/>
      <c r="S649" s="304"/>
      <c r="T649" s="304"/>
      <c r="U649" s="82"/>
      <c r="V649" s="82"/>
      <c r="W649" s="82"/>
      <c r="X649" s="82"/>
      <c r="Y649" s="82"/>
      <c r="AA649" s="12"/>
      <c r="AB649" s="260" t="s">
        <v>144</v>
      </c>
      <c r="AC649" s="304"/>
      <c r="AD649" s="304"/>
      <c r="AE649" s="304"/>
      <c r="AF649" s="304"/>
      <c r="AG649" s="304"/>
      <c r="AH649" s="82"/>
      <c r="AI649" s="82"/>
      <c r="AJ649" s="82"/>
      <c r="AK649" s="82"/>
      <c r="AL649" s="82"/>
    </row>
    <row r="650" spans="1:41" ht="15.75" customHeight="1">
      <c r="A650" s="12" t="s">
        <v>30</v>
      </c>
      <c r="B650" s="196">
        <v>1000</v>
      </c>
      <c r="C650" s="200">
        <v>1500</v>
      </c>
      <c r="D650" s="200">
        <v>2000</v>
      </c>
      <c r="E650" s="202">
        <v>2500</v>
      </c>
      <c r="F650" s="202">
        <v>3000</v>
      </c>
      <c r="G650" s="185">
        <v>3500</v>
      </c>
      <c r="H650" s="12"/>
      <c r="I650" s="12"/>
      <c r="J650" s="12"/>
      <c r="K650" s="12"/>
      <c r="L650" s="12"/>
      <c r="M650" s="12"/>
      <c r="N650" s="12"/>
      <c r="O650" s="12" t="s">
        <v>30</v>
      </c>
      <c r="P650" s="196">
        <v>1900</v>
      </c>
      <c r="Q650" s="200">
        <v>2350</v>
      </c>
      <c r="R650" s="202">
        <v>2850</v>
      </c>
      <c r="S650" s="202">
        <v>3350</v>
      </c>
      <c r="T650" s="185">
        <v>4500</v>
      </c>
      <c r="U650" s="12"/>
      <c r="V650" s="12"/>
      <c r="W650" s="12"/>
      <c r="X650" s="12"/>
      <c r="Y650" s="12"/>
      <c r="AB650" s="12" t="s">
        <v>30</v>
      </c>
      <c r="AC650" s="196">
        <v>1550</v>
      </c>
      <c r="AD650" s="200">
        <v>2000</v>
      </c>
      <c r="AE650" s="202">
        <v>2500</v>
      </c>
      <c r="AF650" s="202">
        <v>3050</v>
      </c>
      <c r="AG650" s="185">
        <v>4500</v>
      </c>
      <c r="AH650" s="12"/>
      <c r="AI650" s="12"/>
      <c r="AJ650" s="12"/>
      <c r="AK650" s="12"/>
      <c r="AL650" s="12"/>
    </row>
    <row r="651" spans="1:41" ht="15.75" customHeight="1">
      <c r="A651" s="12">
        <v>9000</v>
      </c>
      <c r="B651" s="182">
        <v>875</v>
      </c>
      <c r="C651" s="183">
        <v>1250</v>
      </c>
      <c r="D651" s="183">
        <v>1600</v>
      </c>
      <c r="E651" s="184">
        <v>1890</v>
      </c>
      <c r="F651" s="184">
        <v>2150</v>
      </c>
      <c r="G651" s="185">
        <v>99999</v>
      </c>
      <c r="H651" s="12"/>
      <c r="I651" s="12"/>
      <c r="J651" s="12"/>
      <c r="K651" s="12"/>
      <c r="L651" s="12"/>
      <c r="M651" s="12"/>
      <c r="N651" s="12"/>
      <c r="O651" s="12">
        <v>10000</v>
      </c>
      <c r="P651" s="182"/>
      <c r="Q651" s="183"/>
      <c r="R651" s="184"/>
      <c r="S651" s="184"/>
      <c r="T651" s="185">
        <v>99999</v>
      </c>
      <c r="U651" s="12"/>
      <c r="V651" s="12"/>
      <c r="W651" s="12"/>
      <c r="X651" s="12"/>
      <c r="Y651" s="12"/>
      <c r="AB651" s="12">
        <v>9000</v>
      </c>
      <c r="AC651" s="182"/>
      <c r="AD651" s="183"/>
      <c r="AE651" s="184"/>
      <c r="AF651" s="184"/>
      <c r="AG651" s="185">
        <v>99999</v>
      </c>
      <c r="AH651" s="12"/>
      <c r="AI651" s="12"/>
      <c r="AJ651" s="12"/>
      <c r="AK651" s="12"/>
      <c r="AL651" s="12"/>
    </row>
    <row r="652" spans="1:41" ht="15.75" customHeight="1">
      <c r="A652" s="12">
        <v>9500</v>
      </c>
      <c r="B652" s="256">
        <v>890</v>
      </c>
      <c r="C652" s="178">
        <v>1300</v>
      </c>
      <c r="D652" s="178">
        <v>1650</v>
      </c>
      <c r="E652" s="12">
        <v>1950</v>
      </c>
      <c r="F652" s="12">
        <v>2250</v>
      </c>
      <c r="G652" s="255">
        <v>99999</v>
      </c>
      <c r="H652" s="12"/>
      <c r="I652" s="12"/>
      <c r="J652" s="12"/>
      <c r="K652" s="12"/>
      <c r="L652" s="12"/>
      <c r="M652" s="12"/>
      <c r="N652" s="12"/>
      <c r="O652" s="12">
        <v>11000</v>
      </c>
      <c r="P652" s="256"/>
      <c r="Q652" s="178"/>
      <c r="R652" s="12"/>
      <c r="S652" s="12"/>
      <c r="T652" s="255">
        <v>99999</v>
      </c>
      <c r="U652" s="12"/>
      <c r="V652" s="12"/>
      <c r="W652" s="12"/>
      <c r="X652" s="12"/>
      <c r="Y652" s="12"/>
      <c r="AB652" s="12">
        <v>9500</v>
      </c>
      <c r="AC652" s="256"/>
      <c r="AD652" s="178"/>
      <c r="AE652" s="12"/>
      <c r="AF652" s="12"/>
      <c r="AG652" s="255">
        <v>99999</v>
      </c>
      <c r="AH652" s="12"/>
      <c r="AI652" s="12"/>
      <c r="AJ652" s="12"/>
      <c r="AK652" s="12"/>
      <c r="AL652" s="12"/>
    </row>
    <row r="653" spans="1:41" ht="15.75" customHeight="1">
      <c r="A653" s="12">
        <v>10000</v>
      </c>
      <c r="B653" s="256">
        <v>900</v>
      </c>
      <c r="C653" s="178">
        <v>1330</v>
      </c>
      <c r="D653" s="178">
        <v>1700</v>
      </c>
      <c r="E653" s="12">
        <v>2050</v>
      </c>
      <c r="F653" s="12">
        <v>2350</v>
      </c>
      <c r="G653" s="255">
        <v>99999</v>
      </c>
      <c r="H653" s="12"/>
      <c r="I653" s="12"/>
      <c r="J653" s="12"/>
      <c r="K653" s="12"/>
      <c r="L653" s="12"/>
      <c r="M653" s="12"/>
      <c r="N653" s="12"/>
      <c r="O653" s="12">
        <v>12000</v>
      </c>
      <c r="P653" s="256"/>
      <c r="Q653" s="178"/>
      <c r="R653" s="12"/>
      <c r="S653" s="12"/>
      <c r="T653" s="255">
        <v>99999</v>
      </c>
      <c r="U653" s="12"/>
      <c r="V653" s="12"/>
      <c r="W653" s="12"/>
      <c r="X653" s="12"/>
      <c r="Y653" s="12"/>
      <c r="AB653" s="12">
        <v>10000</v>
      </c>
      <c r="AC653" s="256"/>
      <c r="AD653" s="178"/>
      <c r="AE653" s="12"/>
      <c r="AF653" s="12"/>
      <c r="AG653" s="255">
        <v>99999</v>
      </c>
      <c r="AH653" s="12"/>
      <c r="AI653" s="12"/>
      <c r="AJ653" s="12"/>
      <c r="AK653" s="12"/>
      <c r="AL653" s="12"/>
    </row>
    <row r="654" spans="1:41" ht="15.75" customHeight="1">
      <c r="A654" s="12">
        <v>10500</v>
      </c>
      <c r="B654" s="256">
        <v>910</v>
      </c>
      <c r="C654" s="178">
        <v>1360</v>
      </c>
      <c r="D654" s="178">
        <v>1775</v>
      </c>
      <c r="E654" s="12">
        <v>2150</v>
      </c>
      <c r="F654" s="12">
        <v>2450</v>
      </c>
      <c r="G654" s="255">
        <v>99999</v>
      </c>
      <c r="H654" s="12"/>
      <c r="I654" s="12"/>
      <c r="J654" s="12"/>
      <c r="K654" s="12"/>
      <c r="L654" s="12"/>
      <c r="M654" s="12"/>
      <c r="N654" s="12"/>
      <c r="O654" s="12">
        <v>13000</v>
      </c>
      <c r="P654" s="256"/>
      <c r="Q654" s="178"/>
      <c r="R654" s="12"/>
      <c r="S654" s="12"/>
      <c r="T654" s="255">
        <v>99999</v>
      </c>
      <c r="U654" s="12"/>
      <c r="V654" s="12"/>
      <c r="W654" s="12"/>
      <c r="X654" s="12"/>
      <c r="Y654" s="12"/>
      <c r="AB654" s="12">
        <v>10500</v>
      </c>
      <c r="AC654" s="256"/>
      <c r="AD654" s="178"/>
      <c r="AE654" s="12"/>
      <c r="AF654" s="12"/>
      <c r="AG654" s="255">
        <v>99999</v>
      </c>
      <c r="AH654" s="12"/>
      <c r="AI654" s="12"/>
      <c r="AJ654" s="12"/>
      <c r="AK654" s="12"/>
      <c r="AL654" s="12"/>
    </row>
    <row r="655" spans="1:41" ht="15.75" customHeight="1">
      <c r="A655" s="12">
        <v>11000</v>
      </c>
      <c r="B655" s="256">
        <v>940</v>
      </c>
      <c r="C655" s="178">
        <v>1400</v>
      </c>
      <c r="D655" s="178">
        <v>1820</v>
      </c>
      <c r="E655" s="12">
        <v>2250</v>
      </c>
      <c r="F655" s="12">
        <v>2600</v>
      </c>
      <c r="G655" s="255">
        <v>99999</v>
      </c>
      <c r="H655" s="12"/>
      <c r="I655" s="12"/>
      <c r="J655" s="12"/>
      <c r="K655" s="12"/>
      <c r="L655" s="12"/>
      <c r="M655" s="12"/>
      <c r="N655" s="12"/>
      <c r="O655" s="12">
        <v>14000</v>
      </c>
      <c r="P655" s="256"/>
      <c r="Q655" s="178"/>
      <c r="R655" s="12"/>
      <c r="S655" s="12"/>
      <c r="T655" s="255">
        <v>99999</v>
      </c>
      <c r="U655" s="12"/>
      <c r="V655" s="12"/>
      <c r="W655" s="12"/>
      <c r="X655" s="12"/>
      <c r="Y655" s="12"/>
      <c r="AB655" s="12">
        <v>11000</v>
      </c>
      <c r="AC655" s="256"/>
      <c r="AD655" s="178"/>
      <c r="AE655" s="12"/>
      <c r="AF655" s="12"/>
      <c r="AG655" s="255">
        <v>99999</v>
      </c>
      <c r="AH655" s="12"/>
      <c r="AI655" s="12"/>
      <c r="AJ655" s="12"/>
      <c r="AK655" s="12"/>
      <c r="AL655" s="12"/>
    </row>
    <row r="656" spans="1:41" ht="15.75" customHeight="1">
      <c r="A656" s="12">
        <v>11500</v>
      </c>
      <c r="B656" s="256">
        <v>960</v>
      </c>
      <c r="C656" s="178">
        <v>1440</v>
      </c>
      <c r="D656" s="178">
        <v>1900</v>
      </c>
      <c r="E656" s="12">
        <v>2320</v>
      </c>
      <c r="F656" s="12">
        <v>2700</v>
      </c>
      <c r="G656" s="255">
        <v>99999</v>
      </c>
      <c r="H656" s="12"/>
      <c r="I656" s="12"/>
      <c r="J656" s="12"/>
      <c r="K656" s="12"/>
      <c r="L656" s="12"/>
      <c r="M656" s="12"/>
      <c r="N656" s="12"/>
      <c r="O656" s="12">
        <v>15000</v>
      </c>
      <c r="P656" s="256"/>
      <c r="Q656" s="178"/>
      <c r="R656" s="12"/>
      <c r="S656" s="12"/>
      <c r="T656" s="255">
        <v>99999</v>
      </c>
      <c r="U656" s="12"/>
      <c r="V656" s="12"/>
      <c r="W656" s="12"/>
      <c r="X656" s="12"/>
      <c r="Y656" s="12"/>
      <c r="AB656" s="12">
        <v>11500</v>
      </c>
      <c r="AC656" s="256"/>
      <c r="AD656" s="178"/>
      <c r="AE656" s="12"/>
      <c r="AF656" s="12"/>
      <c r="AG656" s="255">
        <v>99999</v>
      </c>
      <c r="AH656" s="12"/>
      <c r="AI656" s="12"/>
      <c r="AJ656" s="12"/>
      <c r="AK656" s="12"/>
      <c r="AL656" s="12"/>
    </row>
    <row r="657" spans="1:38" ht="15.75" customHeight="1">
      <c r="A657" s="12">
        <v>12000</v>
      </c>
      <c r="B657" s="256">
        <v>990</v>
      </c>
      <c r="C657" s="178">
        <v>1460</v>
      </c>
      <c r="D657" s="178">
        <v>1950</v>
      </c>
      <c r="E657" s="12">
        <v>2400</v>
      </c>
      <c r="F657" s="12">
        <v>2850</v>
      </c>
      <c r="G657" s="255">
        <v>99999</v>
      </c>
      <c r="H657" s="12"/>
      <c r="I657" s="12"/>
      <c r="J657" s="12"/>
      <c r="K657" s="12"/>
      <c r="L657" s="12"/>
      <c r="M657" s="12"/>
      <c r="N657" s="12"/>
      <c r="O657" s="12">
        <v>16000</v>
      </c>
      <c r="P657" s="256"/>
      <c r="Q657" s="178"/>
      <c r="R657" s="12"/>
      <c r="S657" s="12"/>
      <c r="T657" s="255">
        <v>99999</v>
      </c>
      <c r="U657" s="12"/>
      <c r="V657" s="12"/>
      <c r="W657" s="12"/>
      <c r="X657" s="12"/>
      <c r="Y657" s="12"/>
      <c r="AB657" s="12">
        <v>12000</v>
      </c>
      <c r="AC657" s="256"/>
      <c r="AD657" s="178"/>
      <c r="AE657" s="12"/>
      <c r="AF657" s="12"/>
      <c r="AG657" s="255">
        <v>99999</v>
      </c>
      <c r="AH657" s="12"/>
      <c r="AI657" s="12"/>
      <c r="AJ657" s="12"/>
      <c r="AK657" s="12"/>
      <c r="AL657" s="12"/>
    </row>
    <row r="658" spans="1:38" ht="15.75" customHeight="1">
      <c r="A658" s="12">
        <v>12500</v>
      </c>
      <c r="B658" s="189">
        <v>1000</v>
      </c>
      <c r="C658" s="190">
        <v>1500</v>
      </c>
      <c r="D658" s="190">
        <v>2000</v>
      </c>
      <c r="E658" s="162">
        <v>2500</v>
      </c>
      <c r="F658" s="162">
        <v>3000</v>
      </c>
      <c r="G658" s="255">
        <v>99999</v>
      </c>
      <c r="H658" s="12"/>
      <c r="I658" s="12"/>
      <c r="J658" s="12"/>
      <c r="K658" s="12"/>
      <c r="L658" s="12"/>
      <c r="M658" s="12"/>
      <c r="N658" s="12"/>
      <c r="O658" s="12">
        <v>16600</v>
      </c>
      <c r="P658" s="189"/>
      <c r="Q658" s="190"/>
      <c r="R658" s="162"/>
      <c r="S658" s="162"/>
      <c r="T658" s="255">
        <v>99999</v>
      </c>
      <c r="U658" s="12"/>
      <c r="V658" s="12"/>
      <c r="W658" s="12"/>
      <c r="X658" s="12"/>
      <c r="Y658" s="12"/>
      <c r="AB658" s="12">
        <v>12500</v>
      </c>
      <c r="AC658" s="189"/>
      <c r="AD658" s="190"/>
      <c r="AE658" s="162"/>
      <c r="AF658" s="162"/>
      <c r="AG658" s="255">
        <v>99999</v>
      </c>
      <c r="AH658" s="12"/>
      <c r="AI658" s="12"/>
      <c r="AJ658" s="12"/>
      <c r="AK658" s="12"/>
      <c r="AL658" s="12"/>
    </row>
    <row r="659" spans="1:38" ht="15.75" customHeight="1">
      <c r="A659" s="12">
        <v>12600</v>
      </c>
      <c r="B659" s="189">
        <v>99999</v>
      </c>
      <c r="C659" s="190">
        <v>99999</v>
      </c>
      <c r="D659" s="190">
        <v>99999</v>
      </c>
      <c r="E659" s="190">
        <v>99999</v>
      </c>
      <c r="F659" s="190">
        <v>99999</v>
      </c>
      <c r="G659" s="204">
        <v>99999</v>
      </c>
      <c r="H659" s="178"/>
      <c r="I659" s="178"/>
      <c r="J659" s="178"/>
      <c r="K659" s="178"/>
      <c r="L659" s="178"/>
      <c r="M659" s="178"/>
      <c r="N659" s="83"/>
      <c r="O659" s="12">
        <v>16700</v>
      </c>
      <c r="P659" s="189">
        <v>99999</v>
      </c>
      <c r="Q659" s="190">
        <v>99999</v>
      </c>
      <c r="R659" s="190">
        <v>99999</v>
      </c>
      <c r="S659" s="190">
        <v>99999</v>
      </c>
      <c r="T659" s="204">
        <v>99999</v>
      </c>
      <c r="U659" s="178"/>
      <c r="V659" s="178"/>
      <c r="W659" s="178"/>
      <c r="X659" s="178"/>
      <c r="Y659" s="178"/>
      <c r="AB659" s="12">
        <v>12600</v>
      </c>
      <c r="AC659" s="189">
        <v>99999</v>
      </c>
      <c r="AD659" s="190">
        <v>99999</v>
      </c>
      <c r="AE659" s="190">
        <v>99999</v>
      </c>
      <c r="AF659" s="190">
        <v>99999</v>
      </c>
      <c r="AG659" s="204">
        <v>99999</v>
      </c>
      <c r="AH659" s="178"/>
      <c r="AI659" s="178"/>
      <c r="AJ659" s="178"/>
      <c r="AK659" s="178"/>
      <c r="AL659" s="178"/>
    </row>
    <row r="660" spans="1:38" ht="15.75" customHeight="1">
      <c r="B660" s="98"/>
      <c r="C660" s="97"/>
      <c r="D660" s="12"/>
      <c r="E660" s="12"/>
      <c r="F660" s="12"/>
      <c r="G660" s="2"/>
      <c r="H660" s="2"/>
      <c r="I660" s="2"/>
      <c r="J660" s="98"/>
      <c r="K660" s="97"/>
      <c r="L660" s="12"/>
      <c r="M660" s="12"/>
      <c r="O660" s="98"/>
      <c r="P660" s="97"/>
      <c r="Q660" s="12"/>
      <c r="R660" s="12"/>
      <c r="S660" s="12"/>
      <c r="T660" s="2"/>
      <c r="U660" s="2"/>
      <c r="V660" s="2"/>
      <c r="W660" s="98"/>
      <c r="X660" s="97"/>
      <c r="Y660" s="12"/>
      <c r="AB660" s="98"/>
      <c r="AC660" s="97"/>
      <c r="AD660" s="12"/>
      <c r="AE660" s="12"/>
      <c r="AF660" s="12"/>
      <c r="AG660" s="2"/>
      <c r="AH660" s="2"/>
      <c r="AI660" s="2"/>
      <c r="AJ660" s="98"/>
      <c r="AK660" s="97"/>
      <c r="AL660" s="12"/>
    </row>
    <row r="661" spans="1:38" ht="15.75" customHeight="1">
      <c r="B661" s="98" t="s">
        <v>79</v>
      </c>
      <c r="C661" s="97">
        <f>C647</f>
        <v>1598</v>
      </c>
      <c r="D661" s="260" t="s">
        <v>136</v>
      </c>
      <c r="E661" s="304"/>
      <c r="G661" s="2"/>
      <c r="H661" s="2"/>
      <c r="I661" s="2"/>
      <c r="J661" s="98"/>
      <c r="K661" s="97"/>
      <c r="L661" s="82"/>
      <c r="O661" s="98" t="s">
        <v>79</v>
      </c>
      <c r="P661" s="97">
        <f>P647</f>
        <v>0</v>
      </c>
      <c r="Q661" s="260" t="s">
        <v>136</v>
      </c>
      <c r="R661" s="304"/>
      <c r="T661" s="2"/>
      <c r="U661" s="2"/>
      <c r="V661" s="2"/>
      <c r="W661" s="98"/>
      <c r="X661" s="97"/>
      <c r="Y661" s="82"/>
      <c r="AB661" s="98" t="s">
        <v>79</v>
      </c>
      <c r="AC661" s="97">
        <f>AC647</f>
        <v>0</v>
      </c>
      <c r="AD661" s="260" t="s">
        <v>136</v>
      </c>
      <c r="AE661" s="304"/>
      <c r="AG661" s="2"/>
      <c r="AH661" s="2"/>
      <c r="AI661" s="2"/>
      <c r="AJ661" s="98"/>
      <c r="AK661" s="97"/>
      <c r="AL661" s="82"/>
    </row>
    <row r="662" spans="1:38" ht="15.75" customHeight="1">
      <c r="B662" s="73" t="s">
        <v>137</v>
      </c>
      <c r="C662" s="100">
        <f t="array" ref="C662">INDEX(B650:G650,MATCH(C661,B650:G650,1))</f>
        <v>1500</v>
      </c>
      <c r="D662" s="73" t="s">
        <v>77</v>
      </c>
      <c r="E662" s="88">
        <f>MATCH(MAX(A651:A659),A651:A659,1)</f>
        <v>9</v>
      </c>
      <c r="G662" s="2"/>
      <c r="H662" s="2"/>
      <c r="I662" s="2"/>
      <c r="J662" s="73"/>
      <c r="K662" s="100"/>
      <c r="L662" s="73"/>
      <c r="M662" s="88"/>
      <c r="O662" s="73" t="s">
        <v>137</v>
      </c>
      <c r="P662" s="100" t="e">
        <f t="array" ref="P662">INDEX(P650:T650,MATCH(P661,P650:T650,1))</f>
        <v>#N/A</v>
      </c>
      <c r="Q662" s="73" t="s">
        <v>77</v>
      </c>
      <c r="R662" s="88">
        <f>MATCH(MAX(O651:O659),O651:O659,1)</f>
        <v>9</v>
      </c>
      <c r="T662" s="2"/>
      <c r="U662" s="2"/>
      <c r="V662" s="2"/>
      <c r="W662" s="73"/>
      <c r="X662" s="100"/>
      <c r="Y662" s="73"/>
      <c r="AB662" s="73" t="s">
        <v>137</v>
      </c>
      <c r="AC662" s="100" t="e">
        <f t="array" ref="AC662">INDEX(AC650:AG650,MATCH(AC661,AC650:AG650,1))</f>
        <v>#N/A</v>
      </c>
      <c r="AD662" s="73" t="s">
        <v>77</v>
      </c>
      <c r="AE662" s="88">
        <f>MATCH(MAX(AB651:AB659),AB651:AB659,1)</f>
        <v>9</v>
      </c>
      <c r="AG662" s="2"/>
      <c r="AH662" s="2"/>
      <c r="AI662" s="2"/>
      <c r="AJ662" s="73"/>
      <c r="AK662" s="100"/>
      <c r="AL662" s="73"/>
    </row>
    <row r="663" spans="1:38" ht="15.75" customHeight="1">
      <c r="B663" s="73" t="s">
        <v>138</v>
      </c>
      <c r="C663" s="100">
        <f t="array" ref="C663">INDEX(B650:G650,IF(MATCH(C661,B650:G650,1)&lt;E663,MATCH(C661,B650:G650,1)+1,MATCH(C661,B650:G650,1)))</f>
        <v>2000</v>
      </c>
      <c r="D663" s="73" t="s">
        <v>78</v>
      </c>
      <c r="E663" s="88">
        <f>MATCH(MAX(B650:G650),B650:G650,0)</f>
        <v>6</v>
      </c>
      <c r="G663" s="2"/>
      <c r="H663" s="2"/>
      <c r="I663" s="2"/>
      <c r="J663" s="73"/>
      <c r="K663" s="100"/>
      <c r="L663" s="73"/>
      <c r="M663" s="88"/>
      <c r="O663" s="73" t="s">
        <v>138</v>
      </c>
      <c r="P663" s="100" t="e">
        <f t="array" ref="P663">INDEX(P650:T650,IF(MATCH(P661,P650:T650,1)&lt;R663,MATCH(P661,P650:T650,1)+1,MATCH(P661,P650:T650,1)))</f>
        <v>#N/A</v>
      </c>
      <c r="Q663" s="73" t="s">
        <v>78</v>
      </c>
      <c r="R663" s="88">
        <f>MATCH(MAX(P650:T650),P650:T650,0)</f>
        <v>5</v>
      </c>
      <c r="T663" s="2"/>
      <c r="U663" s="2"/>
      <c r="V663" s="2"/>
      <c r="W663" s="73"/>
      <c r="X663" s="100"/>
      <c r="Y663" s="73"/>
      <c r="AB663" s="73" t="s">
        <v>138</v>
      </c>
      <c r="AC663" s="100" t="e">
        <f t="array" ref="AC663">INDEX(AC650:AG650,IF(MATCH(AC661,AC650:AG650,1)&lt;AE663,MATCH(AC661,AC650:AG650,1)+1,MATCH(AC661,AC650:AG650,1)))</f>
        <v>#N/A</v>
      </c>
      <c r="AD663" s="73" t="s">
        <v>78</v>
      </c>
      <c r="AE663" s="88">
        <f>MATCH(MAX(AC650:AG650),AC650:AG650,0)</f>
        <v>5</v>
      </c>
      <c r="AG663" s="2"/>
      <c r="AH663" s="2"/>
      <c r="AI663" s="2"/>
      <c r="AJ663" s="73"/>
      <c r="AK663" s="100"/>
      <c r="AL663" s="73"/>
    </row>
    <row r="664" spans="1:38" ht="15.75" customHeight="1">
      <c r="B664" s="96" t="s">
        <v>80</v>
      </c>
      <c r="C664" s="155">
        <f>'Take-off'!$C$14</f>
        <v>11000</v>
      </c>
      <c r="D664" s="2"/>
      <c r="E664" s="2"/>
      <c r="G664" s="2"/>
      <c r="H664" s="2"/>
      <c r="I664" s="2"/>
      <c r="J664" s="98"/>
      <c r="K664" s="155"/>
      <c r="L664" s="2"/>
      <c r="M664" s="2"/>
      <c r="O664" s="96" t="s">
        <v>80</v>
      </c>
      <c r="P664" s="155">
        <f>'Take-off'!$C$14</f>
        <v>11000</v>
      </c>
      <c r="Q664" s="2"/>
      <c r="R664" s="2"/>
      <c r="T664" s="2"/>
      <c r="U664" s="2"/>
      <c r="V664" s="2"/>
      <c r="W664" s="98"/>
      <c r="X664" s="155"/>
      <c r="Y664" s="2"/>
      <c r="AB664" s="96" t="s">
        <v>80</v>
      </c>
      <c r="AC664" s="155">
        <f>'Take-off'!$C$14</f>
        <v>11000</v>
      </c>
      <c r="AD664" s="2"/>
      <c r="AE664" s="2"/>
      <c r="AG664" s="2"/>
      <c r="AH664" s="2"/>
      <c r="AI664" s="2"/>
      <c r="AJ664" s="98"/>
      <c r="AK664" s="155"/>
      <c r="AL664" s="2"/>
    </row>
    <row r="665" spans="1:38" ht="15.75" customHeight="1">
      <c r="B665" s="73" t="s">
        <v>81</v>
      </c>
      <c r="C665" s="100">
        <f t="array" ref="C665">INDEX(A651:A659,MATCH(C664,A651:A659,1))</f>
        <v>11000</v>
      </c>
      <c r="D665" s="2"/>
      <c r="E665" s="92"/>
      <c r="G665" s="2"/>
      <c r="H665" s="2"/>
      <c r="I665" s="2"/>
      <c r="J665" s="73"/>
      <c r="K665" s="100"/>
      <c r="L665" s="2"/>
      <c r="M665" s="92"/>
      <c r="O665" s="73" t="s">
        <v>81</v>
      </c>
      <c r="P665" s="100">
        <f t="array" ref="P665">INDEX(O651:O659,MATCH(P664,O651:O659,1))</f>
        <v>11000</v>
      </c>
      <c r="Q665" s="2"/>
      <c r="R665" s="92"/>
      <c r="T665" s="2"/>
      <c r="U665" s="2"/>
      <c r="V665" s="2"/>
      <c r="W665" s="73"/>
      <c r="X665" s="100"/>
      <c r="Y665" s="2"/>
      <c r="AB665" s="73" t="s">
        <v>81</v>
      </c>
      <c r="AC665" s="100">
        <f t="array" ref="AC665">INDEX(AB651:AB659,MATCH(AC664,AB651:AB659,1))</f>
        <v>11000</v>
      </c>
      <c r="AD665" s="2"/>
      <c r="AE665" s="92"/>
      <c r="AG665" s="2"/>
      <c r="AH665" s="2"/>
      <c r="AI665" s="2"/>
      <c r="AJ665" s="73"/>
      <c r="AK665" s="100"/>
      <c r="AL665" s="2"/>
    </row>
    <row r="666" spans="1:38" ht="15.75" customHeight="1">
      <c r="B666" s="73" t="s">
        <v>82</v>
      </c>
      <c r="C666" s="100">
        <f t="array" ref="C666">INDEX(A651:A659,IF(MATCH(C664,A651:A659,1)&lt;E662,MATCH(C664,A651:A659,1)+1,MATCH(C664,A651:A659,1)))</f>
        <v>11500</v>
      </c>
      <c r="D666" s="2"/>
      <c r="E666" s="92"/>
      <c r="G666" s="2"/>
      <c r="H666" s="2"/>
      <c r="I666" s="2"/>
      <c r="J666" s="73"/>
      <c r="K666" s="100"/>
      <c r="L666" s="2"/>
      <c r="M666" s="92"/>
      <c r="O666" s="73" t="s">
        <v>82</v>
      </c>
      <c r="P666" s="100">
        <f t="array" ref="P666">INDEX(O651:O659,IF(MATCH(P664,O651:O659,1)&lt;R662,MATCH(P664,O651:O659,1)+1,MATCH(P664,O651:O659,1)))</f>
        <v>12000</v>
      </c>
      <c r="Q666" s="2"/>
      <c r="R666" s="92"/>
      <c r="T666" s="2"/>
      <c r="U666" s="2"/>
      <c r="V666" s="2"/>
      <c r="W666" s="73"/>
      <c r="X666" s="100"/>
      <c r="Y666" s="2"/>
      <c r="AB666" s="73" t="s">
        <v>82</v>
      </c>
      <c r="AC666" s="100">
        <f t="array" ref="AC666">INDEX(AB651:AB659,IF(MATCH(AC664,AB651:AB659,1)&lt;AE662,MATCH(AC664,AB651:AB659,1)+1,MATCH(AC664,AB651:AB659,1)))</f>
        <v>11500</v>
      </c>
      <c r="AD666" s="2"/>
      <c r="AE666" s="92"/>
      <c r="AG666" s="2"/>
      <c r="AH666" s="2"/>
      <c r="AI666" s="2"/>
      <c r="AJ666" s="73"/>
      <c r="AK666" s="100"/>
      <c r="AL666" s="2"/>
    </row>
    <row r="667" spans="1:38" ht="15.75" customHeight="1">
      <c r="B667" s="98" t="s">
        <v>83</v>
      </c>
      <c r="C667" s="97">
        <f t="array" ref="C667">INDEX(B651:G659,MATCH(C664,A651:A659,1),MATCH(C661,B650:G650,1))</f>
        <v>1400</v>
      </c>
      <c r="D667" s="2"/>
      <c r="E667" s="92"/>
      <c r="G667" s="2"/>
      <c r="H667" s="2"/>
      <c r="I667" s="2"/>
      <c r="J667" s="98"/>
      <c r="K667" s="97"/>
      <c r="L667" s="2"/>
      <c r="M667" s="92"/>
      <c r="O667" s="98" t="s">
        <v>83</v>
      </c>
      <c r="P667" s="97" t="e">
        <f t="array" ref="P667">INDEX(P651:T659,MATCH(P664,O651:O659,1),MATCH(P661,P650:T650,1))</f>
        <v>#N/A</v>
      </c>
      <c r="Q667" s="2"/>
      <c r="R667" s="92"/>
      <c r="T667" s="2"/>
      <c r="U667" s="2"/>
      <c r="V667" s="2"/>
      <c r="W667" s="98"/>
      <c r="X667" s="97"/>
      <c r="Y667" s="2"/>
      <c r="AB667" s="98" t="s">
        <v>83</v>
      </c>
      <c r="AC667" s="97" t="e">
        <f t="array" ref="AC667">INDEX(AC651:AG659,MATCH(AC664,AB651:AB659,1),MATCH(AC661,AC650:AG650,1))</f>
        <v>#N/A</v>
      </c>
      <c r="AD667" s="2"/>
      <c r="AE667" s="92"/>
      <c r="AG667" s="2"/>
      <c r="AH667" s="2"/>
      <c r="AI667" s="2"/>
      <c r="AJ667" s="98"/>
      <c r="AK667" s="97"/>
      <c r="AL667" s="2"/>
    </row>
    <row r="668" spans="1:38" ht="15.75" customHeight="1">
      <c r="B668" s="98" t="s">
        <v>139</v>
      </c>
      <c r="C668" s="97">
        <f t="array" ref="C668">INDEX(B651:G659,MATCH(C664,A651:A659,1),IF(MATCH(C661,B650:G650,1)&lt;E663,MATCH(C661,B650:G650,1)+1,MATCH(C664,A651:A659,1)))</f>
        <v>1820</v>
      </c>
      <c r="E668" s="92"/>
      <c r="G668" s="2"/>
      <c r="H668" s="2"/>
      <c r="I668" s="2"/>
      <c r="J668" s="98"/>
      <c r="K668" s="97"/>
      <c r="M668" s="92"/>
      <c r="O668" s="98" t="s">
        <v>139</v>
      </c>
      <c r="P668" s="97" t="e">
        <f t="array" ref="P668">INDEX(P651:T659,MATCH(P664,O651:O659,1),IF(MATCH(P661,P650:T650,1)&lt;R663,MATCH(P661,P650:T650,1)+1,MATCH(P664,O651:O659,1)))</f>
        <v>#N/A</v>
      </c>
      <c r="R668" s="92"/>
      <c r="T668" s="2"/>
      <c r="U668" s="2"/>
      <c r="V668" s="2"/>
      <c r="W668" s="98"/>
      <c r="X668" s="97"/>
      <c r="AB668" s="98" t="s">
        <v>139</v>
      </c>
      <c r="AC668" s="97" t="e">
        <f t="array" ref="AC668">INDEX(AC651:AG659,MATCH(AC664,AB651:AB659,1),IF(MATCH(AC661,AC650:AG650,1)&lt;AE663,MATCH(AC661,AC650:AG650,1)+1,MATCH(AC664,AB651:AB659,1)))</f>
        <v>#N/A</v>
      </c>
      <c r="AE668" s="92"/>
      <c r="AG668" s="2"/>
      <c r="AH668" s="2"/>
      <c r="AI668" s="2"/>
      <c r="AJ668" s="98"/>
      <c r="AK668" s="97"/>
    </row>
    <row r="669" spans="1:38" ht="15.75" customHeight="1">
      <c r="B669" s="98" t="s">
        <v>84</v>
      </c>
      <c r="C669" s="97">
        <f t="array" ref="C669">INDEX(B651:G659,IF(MATCH(C664,A651:A659,1)&lt;E662,MATCH(C664,A651:A659,1)+1,MATCH(C664,A651:A659,1)),MATCH(C661,B650:G650,1))</f>
        <v>1440</v>
      </c>
      <c r="E669" s="92"/>
      <c r="G669" s="2"/>
      <c r="H669" s="2"/>
      <c r="I669" s="2"/>
      <c r="J669" s="98"/>
      <c r="K669" s="97"/>
      <c r="M669" s="92"/>
      <c r="O669" s="98" t="s">
        <v>84</v>
      </c>
      <c r="P669" s="97" t="e">
        <f t="array" ref="P669">INDEX(P651:T659,IF(MATCH(P664,O651:O659,1)&lt;R662,MATCH(P664,O651:O659,1)+1,MATCH(P664,O651:O659,1)),MATCH(P661,P650:T650,1))</f>
        <v>#N/A</v>
      </c>
      <c r="R669" s="92"/>
      <c r="T669" s="2"/>
      <c r="U669" s="2"/>
      <c r="V669" s="2"/>
      <c r="W669" s="98"/>
      <c r="X669" s="97"/>
      <c r="AB669" s="98" t="s">
        <v>84</v>
      </c>
      <c r="AC669" s="97" t="e">
        <f t="array" ref="AC669">INDEX(AC651:AG659,IF(MATCH(AC664,AB651:AB659,1)&lt;AE662,MATCH(AC664,AB651:AB659,1)+1,MATCH(AC664,AB651:AB659,1)),MATCH(AC661,AC650:AG650,1))</f>
        <v>#N/A</v>
      </c>
      <c r="AE669" s="92"/>
      <c r="AG669" s="2"/>
      <c r="AH669" s="2"/>
      <c r="AI669" s="2"/>
      <c r="AJ669" s="98"/>
      <c r="AK669" s="97"/>
    </row>
    <row r="670" spans="1:38" ht="15.75" customHeight="1">
      <c r="B670" s="98" t="s">
        <v>140</v>
      </c>
      <c r="C670" s="97">
        <f t="array" ref="C670">INDEX(B651:G659,IF(MATCH(C664,A651:A659,1)&lt;E662,MATCH(C664,A651:A659,1)+1,MATCH(C664,A651:A659,1)),IF(MATCH(C661,B650:G650,1)&lt;E663,MATCH(C661,B650:G650,1)+1,MATCH(C661,B650:G650,1)))</f>
        <v>1900</v>
      </c>
      <c r="G670" s="2"/>
      <c r="H670" s="2"/>
      <c r="I670" s="2"/>
      <c r="J670" s="98"/>
      <c r="K670" s="97"/>
      <c r="O670" s="98" t="s">
        <v>140</v>
      </c>
      <c r="P670" s="97" t="e">
        <f t="array" ref="P670">INDEX(P651:T659,IF(MATCH(P664,O651:O659,1)&lt;R662,MATCH(P664,O651:O659,1)+1,MATCH(P664,O651:O659,1)),IF(MATCH(P661,P650:T650,1)&lt;R663,MATCH(P661,P650:T650,1)+1,MATCH(P661,P650:T650,1)))</f>
        <v>#N/A</v>
      </c>
      <c r="T670" s="2"/>
      <c r="U670" s="2"/>
      <c r="V670" s="2"/>
      <c r="W670" s="98"/>
      <c r="X670" s="97"/>
      <c r="AB670" s="98" t="s">
        <v>140</v>
      </c>
      <c r="AC670" s="97" t="e">
        <f t="array" ref="AC670">INDEX(AC651:AG659,IF(MATCH(AC664,AB651:AB659,1)&lt;AE662,MATCH(AC664,AB651:AB659,1)+1,MATCH(AC664,AB651:AB659,1)),IF(MATCH(AC661,AC650:AG650,1)&lt;AE663,MATCH(AC661,AC650:AG650,1)+1,MATCH(AC661,AC650:AG650,1)))</f>
        <v>#N/A</v>
      </c>
      <c r="AG670" s="2"/>
      <c r="AH670" s="2"/>
      <c r="AI670" s="2"/>
      <c r="AJ670" s="98"/>
      <c r="AK670" s="97"/>
    </row>
    <row r="671" spans="1:38" ht="15.75" customHeight="1">
      <c r="B671" s="73" t="s">
        <v>141</v>
      </c>
      <c r="C671" s="100">
        <f>IFERROR(C667+(C661-C662)*(C668-C667)/(C663-C662),C667)</f>
        <v>1482.32</v>
      </c>
      <c r="G671" s="2"/>
      <c r="H671" s="2"/>
      <c r="I671" s="2"/>
      <c r="J671" s="73"/>
      <c r="K671" s="100"/>
      <c r="O671" s="73" t="s">
        <v>141</v>
      </c>
      <c r="P671" s="100" t="e">
        <f>IFERROR(P667+(P661-P662)*(P668-P667)/(P663-P662),P667)</f>
        <v>#N/A</v>
      </c>
      <c r="T671" s="2"/>
      <c r="U671" s="2"/>
      <c r="V671" s="2"/>
      <c r="W671" s="73"/>
      <c r="X671" s="100"/>
      <c r="AB671" s="73" t="s">
        <v>141</v>
      </c>
      <c r="AC671" s="100" t="e">
        <f>IFERROR(AC667+(AC661-AC662)*(AC668-AC667)/(AC663-AC662),AC667)</f>
        <v>#N/A</v>
      </c>
      <c r="AG671" s="2"/>
      <c r="AH671" s="2"/>
      <c r="AI671" s="2"/>
      <c r="AJ671" s="73"/>
      <c r="AK671" s="100"/>
    </row>
    <row r="672" spans="1:38" ht="15.75" customHeight="1">
      <c r="B672" s="73" t="s">
        <v>142</v>
      </c>
      <c r="C672" s="100">
        <f>IFERROR(C669+(C661-C662)*(C670-C669)/(C663-C662),C669)</f>
        <v>1530.16</v>
      </c>
      <c r="G672" s="2"/>
      <c r="H672" s="2"/>
      <c r="I672" s="2"/>
      <c r="J672" s="73"/>
      <c r="K672" s="100"/>
      <c r="O672" s="73" t="s">
        <v>142</v>
      </c>
      <c r="P672" s="100" t="e">
        <f>IFERROR(P669+(P661-P662)*(P670-P669)/(P663-P662),P669)</f>
        <v>#N/A</v>
      </c>
      <c r="T672" s="2"/>
      <c r="U672" s="2"/>
      <c r="V672" s="2"/>
      <c r="W672" s="73"/>
      <c r="X672" s="100"/>
      <c r="AB672" s="73" t="s">
        <v>142</v>
      </c>
      <c r="AC672" s="100" t="e">
        <f>IFERROR(AC669+(AC661-AC662)*(AC670-AC669)/(AC663-AC662),AC669)</f>
        <v>#N/A</v>
      </c>
      <c r="AG672" s="2"/>
      <c r="AH672" s="2"/>
      <c r="AI672" s="2"/>
      <c r="AJ672" s="73"/>
      <c r="AK672" s="100"/>
    </row>
    <row r="673" spans="1:41" ht="15.75" customHeight="1">
      <c r="B673" s="98" t="s">
        <v>143</v>
      </c>
      <c r="C673" s="97">
        <f>IFERROR(C671+(C664-C665)*(C672-C671)/(C666-C665),C671)</f>
        <v>1482.32</v>
      </c>
      <c r="G673" s="2"/>
      <c r="H673" s="2"/>
      <c r="I673" s="2"/>
      <c r="J673" s="98"/>
      <c r="K673" s="97"/>
      <c r="O673" s="98" t="s">
        <v>143</v>
      </c>
      <c r="P673" s="97" t="e">
        <f>IFERROR(P671+(P664-P665)*(P672-P671)/(P666-P665),P671)</f>
        <v>#N/A</v>
      </c>
      <c r="T673" s="2"/>
      <c r="U673" s="2"/>
      <c r="V673" s="2"/>
      <c r="W673" s="98"/>
      <c r="X673" s="97"/>
      <c r="AB673" s="98" t="s">
        <v>143</v>
      </c>
      <c r="AC673" s="97" t="e">
        <f>IFERROR(AC671+(AC664-AC665)*(AC672-AC671)/(AC666-AC665),AC671)</f>
        <v>#N/A</v>
      </c>
      <c r="AG673" s="2"/>
      <c r="AH673" s="2"/>
      <c r="AI673" s="2"/>
      <c r="AJ673" s="98"/>
      <c r="AK673" s="97"/>
    </row>
    <row r="674" spans="1:41" ht="15.75" customHeight="1">
      <c r="J674" s="12"/>
      <c r="K674" s="12"/>
      <c r="L674" s="12"/>
      <c r="M674" s="12"/>
      <c r="W674" s="12"/>
      <c r="X674" s="12"/>
      <c r="Y674" s="12"/>
      <c r="AJ674" s="12"/>
      <c r="AK674" s="12"/>
      <c r="AL674" s="12"/>
    </row>
    <row r="675" spans="1:41" ht="15.75" customHeight="1">
      <c r="A675" s="12"/>
      <c r="B675" s="260" t="s">
        <v>145</v>
      </c>
      <c r="C675" s="304"/>
      <c r="D675" s="304"/>
      <c r="E675" s="304"/>
      <c r="F675" s="304"/>
      <c r="G675" s="304"/>
      <c r="H675" s="304"/>
      <c r="I675" s="304"/>
      <c r="J675" s="82"/>
      <c r="K675" s="82"/>
      <c r="L675" s="82"/>
      <c r="M675" s="82"/>
      <c r="N675" s="12"/>
      <c r="O675" s="260" t="s">
        <v>145</v>
      </c>
      <c r="P675" s="304"/>
      <c r="Q675" s="304"/>
      <c r="R675" s="304"/>
      <c r="S675" s="304"/>
      <c r="T675" s="304"/>
      <c r="U675" s="304"/>
      <c r="V675" s="304"/>
      <c r="W675" s="82"/>
      <c r="X675" s="82"/>
      <c r="Y675" s="82"/>
      <c r="AA675" s="12"/>
      <c r="AB675" s="260" t="s">
        <v>145</v>
      </c>
      <c r="AC675" s="304"/>
      <c r="AD675" s="304"/>
      <c r="AE675" s="304"/>
      <c r="AF675" s="304"/>
      <c r="AG675" s="304"/>
      <c r="AH675" s="304"/>
      <c r="AI675" s="304"/>
      <c r="AJ675" s="82"/>
      <c r="AK675" s="82"/>
      <c r="AL675" s="82"/>
    </row>
    <row r="676" spans="1:41" ht="15.75" customHeight="1">
      <c r="A676" s="12" t="s">
        <v>42</v>
      </c>
      <c r="B676" s="182">
        <v>1000</v>
      </c>
      <c r="C676" s="192">
        <v>1500</v>
      </c>
      <c r="D676" s="182">
        <v>2000</v>
      </c>
      <c r="E676" s="192">
        <v>2500</v>
      </c>
      <c r="F676" s="192">
        <v>3000</v>
      </c>
      <c r="G676" s="192">
        <v>3500</v>
      </c>
      <c r="H676" s="185">
        <v>4000</v>
      </c>
      <c r="I676" s="83"/>
      <c r="J676" s="83"/>
      <c r="K676" s="83"/>
      <c r="L676" s="12"/>
      <c r="M676" s="12"/>
      <c r="N676" s="12" t="s">
        <v>42</v>
      </c>
      <c r="O676" s="182">
        <v>1000</v>
      </c>
      <c r="P676" s="192">
        <v>1200</v>
      </c>
      <c r="Q676" s="192">
        <v>1500</v>
      </c>
      <c r="R676" s="192">
        <v>2000</v>
      </c>
      <c r="S676" s="192">
        <v>2500</v>
      </c>
      <c r="T676" s="192">
        <v>3000</v>
      </c>
      <c r="U676" s="192">
        <v>3500</v>
      </c>
      <c r="V676" s="185">
        <v>5000</v>
      </c>
      <c r="Y676" s="12"/>
      <c r="Z676" s="12"/>
      <c r="AA676" s="12" t="s">
        <v>42</v>
      </c>
      <c r="AB676" s="182">
        <v>950</v>
      </c>
      <c r="AC676" s="192">
        <v>1400</v>
      </c>
      <c r="AD676" s="192">
        <v>1900</v>
      </c>
      <c r="AE676" s="192">
        <v>2400</v>
      </c>
      <c r="AF676" s="192">
        <v>2900</v>
      </c>
      <c r="AG676" s="192">
        <v>3300</v>
      </c>
      <c r="AH676" s="185">
        <v>3500</v>
      </c>
      <c r="AM676" s="12"/>
      <c r="AN676" s="12"/>
      <c r="AO676" s="12"/>
    </row>
    <row r="677" spans="1:41" ht="15.75" customHeight="1">
      <c r="A677" s="12">
        <v>-10</v>
      </c>
      <c r="B677" s="182">
        <v>1130</v>
      </c>
      <c r="C677" s="192">
        <v>1700</v>
      </c>
      <c r="D677" s="182">
        <v>2250</v>
      </c>
      <c r="E677" s="192">
        <v>2800</v>
      </c>
      <c r="F677" s="192">
        <v>3350</v>
      </c>
      <c r="G677" s="192">
        <v>3900</v>
      </c>
      <c r="H677" s="194">
        <v>99999</v>
      </c>
      <c r="I677" s="82"/>
      <c r="J677" s="82"/>
      <c r="K677" s="82"/>
      <c r="L677" s="12"/>
      <c r="N677" s="12">
        <v>-10</v>
      </c>
      <c r="O677" s="182"/>
      <c r="P677" s="192"/>
      <c r="Q677" s="192"/>
      <c r="R677" s="192"/>
      <c r="S677" s="192"/>
      <c r="T677" s="192"/>
      <c r="U677" s="192"/>
      <c r="V677" s="194">
        <v>99999</v>
      </c>
      <c r="Y677" s="12"/>
      <c r="AA677" s="12">
        <v>-10</v>
      </c>
      <c r="AB677" s="182"/>
      <c r="AC677" s="192"/>
      <c r="AD677" s="192"/>
      <c r="AE677" s="192"/>
      <c r="AF677" s="192"/>
      <c r="AG677" s="192"/>
      <c r="AH677" s="194">
        <v>99999</v>
      </c>
      <c r="AM677" s="12"/>
    </row>
    <row r="678" spans="1:41" ht="15.75" customHeight="1">
      <c r="A678" s="12">
        <v>0</v>
      </c>
      <c r="B678" s="256">
        <v>1000</v>
      </c>
      <c r="C678" s="82">
        <v>1500</v>
      </c>
      <c r="D678" s="256">
        <v>2000</v>
      </c>
      <c r="E678" s="82">
        <v>2500</v>
      </c>
      <c r="F678" s="82">
        <v>3000</v>
      </c>
      <c r="G678" s="82">
        <v>3500</v>
      </c>
      <c r="H678" s="194">
        <v>99999</v>
      </c>
      <c r="I678" s="82"/>
      <c r="J678" s="82"/>
      <c r="K678" s="82"/>
      <c r="L678" s="12"/>
      <c r="N678" s="12">
        <v>0</v>
      </c>
      <c r="O678" s="256"/>
      <c r="P678" s="82"/>
      <c r="Q678" s="82"/>
      <c r="R678" s="82"/>
      <c r="S678" s="82"/>
      <c r="T678" s="82"/>
      <c r="U678" s="82"/>
      <c r="V678" s="194">
        <v>99999</v>
      </c>
      <c r="Y678" s="12"/>
      <c r="AA678" s="12">
        <v>0</v>
      </c>
      <c r="AB678" s="256"/>
      <c r="AC678" s="82"/>
      <c r="AD678" s="82"/>
      <c r="AE678" s="82"/>
      <c r="AF678" s="82"/>
      <c r="AG678" s="82"/>
      <c r="AH678" s="194">
        <v>99999</v>
      </c>
      <c r="AM678" s="12"/>
    </row>
    <row r="679" spans="1:41" ht="15.75" customHeight="1">
      <c r="A679" s="12">
        <v>30</v>
      </c>
      <c r="B679" s="189">
        <v>1000</v>
      </c>
      <c r="C679" s="195">
        <v>1300</v>
      </c>
      <c r="D679" s="189">
        <v>1800</v>
      </c>
      <c r="E679" s="195">
        <v>2250</v>
      </c>
      <c r="F679" s="195">
        <v>2730</v>
      </c>
      <c r="G679" s="195">
        <v>3130</v>
      </c>
      <c r="H679" s="211">
        <v>99999</v>
      </c>
      <c r="I679" s="82"/>
      <c r="J679" s="82"/>
      <c r="K679" s="82"/>
      <c r="L679" s="12"/>
      <c r="N679" s="12">
        <v>30</v>
      </c>
      <c r="O679" s="189"/>
      <c r="P679" s="195"/>
      <c r="Q679" s="195"/>
      <c r="R679" s="195"/>
      <c r="S679" s="195"/>
      <c r="T679" s="195"/>
      <c r="U679" s="195"/>
      <c r="V679" s="211">
        <v>99999</v>
      </c>
      <c r="Y679" s="12"/>
      <c r="AA679" s="12">
        <v>30</v>
      </c>
      <c r="AB679" s="189"/>
      <c r="AC679" s="195"/>
      <c r="AD679" s="195"/>
      <c r="AE679" s="195"/>
      <c r="AF679" s="195"/>
      <c r="AG679" s="195"/>
      <c r="AH679" s="211">
        <v>99999</v>
      </c>
      <c r="AM679" s="12"/>
    </row>
    <row r="680" spans="1:41" ht="15.75" customHeight="1">
      <c r="B680" s="98"/>
      <c r="C680" s="97"/>
      <c r="D680" s="12"/>
      <c r="E680" s="12"/>
      <c r="F680" s="12"/>
      <c r="G680" s="2"/>
      <c r="H680" s="2"/>
      <c r="I680" s="2"/>
      <c r="J680" s="98"/>
      <c r="K680" s="97"/>
      <c r="O680" s="98"/>
      <c r="P680" s="97"/>
      <c r="Q680" s="12"/>
      <c r="R680" s="12"/>
      <c r="S680" s="12"/>
      <c r="T680" s="2"/>
      <c r="U680" s="2"/>
      <c r="V680" s="2"/>
      <c r="W680" s="98"/>
      <c r="X680" s="97"/>
      <c r="AB680" s="98"/>
      <c r="AC680" s="97"/>
      <c r="AD680" s="12"/>
      <c r="AE680" s="12"/>
      <c r="AF680" s="12"/>
      <c r="AG680" s="2"/>
      <c r="AH680" s="2"/>
      <c r="AI680" s="2"/>
      <c r="AJ680" s="98"/>
      <c r="AK680" s="97"/>
    </row>
    <row r="681" spans="1:41" ht="15.75" customHeight="1">
      <c r="B681" s="98" t="s">
        <v>79</v>
      </c>
      <c r="C681" s="97">
        <f>C673</f>
        <v>1482.32</v>
      </c>
      <c r="D681" s="260" t="s">
        <v>136</v>
      </c>
      <c r="E681" s="304"/>
      <c r="G681" s="2"/>
      <c r="H681" s="2"/>
      <c r="I681" s="2"/>
      <c r="J681" s="98"/>
      <c r="K681" s="97"/>
      <c r="L681" s="82"/>
      <c r="O681" s="98" t="s">
        <v>79</v>
      </c>
      <c r="P681" s="97" t="e">
        <f>P673</f>
        <v>#N/A</v>
      </c>
      <c r="Q681" s="260" t="s">
        <v>136</v>
      </c>
      <c r="R681" s="304"/>
      <c r="T681" s="2"/>
      <c r="U681" s="2"/>
      <c r="V681" s="2"/>
      <c r="W681" s="98"/>
      <c r="X681" s="97"/>
      <c r="Y681" s="82"/>
      <c r="AB681" s="98" t="s">
        <v>79</v>
      </c>
      <c r="AC681" s="97" t="e">
        <f>AC673</f>
        <v>#N/A</v>
      </c>
      <c r="AD681" s="260" t="s">
        <v>136</v>
      </c>
      <c r="AE681" s="304"/>
      <c r="AG681" s="2"/>
      <c r="AH681" s="2"/>
      <c r="AI681" s="2"/>
      <c r="AJ681" s="98"/>
      <c r="AK681" s="97"/>
      <c r="AL681" s="82"/>
    </row>
    <row r="682" spans="1:41" ht="15.75" customHeight="1">
      <c r="B682" s="73" t="s">
        <v>137</v>
      </c>
      <c r="C682" s="100">
        <f t="array" ref="C682">INDEX($B676:$H676,MATCH(C681,$B676:$H676,1))</f>
        <v>1000</v>
      </c>
      <c r="D682" s="73" t="s">
        <v>77</v>
      </c>
      <c r="E682" s="88">
        <f>MATCH(MAX($A677:$A679),$A677:$A679,1)</f>
        <v>3</v>
      </c>
      <c r="G682" s="2"/>
      <c r="H682" s="2"/>
      <c r="I682" s="2"/>
      <c r="J682" s="73"/>
      <c r="K682" s="100"/>
      <c r="L682" s="73"/>
      <c r="M682" s="88"/>
      <c r="O682" s="73" t="s">
        <v>137</v>
      </c>
      <c r="P682" s="100" t="e">
        <f t="array" ref="P682">INDEX($O676:$V676,MATCH(P681,$O676:$V676,1))</f>
        <v>#N/A</v>
      </c>
      <c r="Q682" s="73" t="s">
        <v>77</v>
      </c>
      <c r="R682" s="88">
        <f>MATCH(MAX($N677:$N679),$N677:$N679,1)</f>
        <v>3</v>
      </c>
      <c r="T682" s="2"/>
      <c r="U682" s="2"/>
      <c r="V682" s="2"/>
      <c r="W682" s="73"/>
      <c r="X682" s="100"/>
      <c r="Y682" s="73"/>
      <c r="AB682" s="73" t="s">
        <v>137</v>
      </c>
      <c r="AC682" s="100" t="e">
        <f t="array" ref="AC682">INDEX($AB676:$AH676,MATCH(AC681,$AB676:$AH676,1))</f>
        <v>#N/A</v>
      </c>
      <c r="AD682" s="73" t="s">
        <v>77</v>
      </c>
      <c r="AE682" s="88">
        <f>MATCH(MAX($AA677:$AA679),$AA677:$AA679,1)</f>
        <v>3</v>
      </c>
      <c r="AG682" s="2"/>
      <c r="AH682" s="2"/>
      <c r="AI682" s="2"/>
      <c r="AJ682" s="73"/>
      <c r="AK682" s="100"/>
      <c r="AL682" s="73"/>
    </row>
    <row r="683" spans="1:41" ht="15.75" customHeight="1">
      <c r="B683" s="73" t="s">
        <v>138</v>
      </c>
      <c r="C683" s="100">
        <f t="array" ref="C683">INDEX($B676:$H676,IF(MATCH(C681,$B676:$H676,1)&lt;E683,MATCH(C681,$B676:$H676,1)+1,MATCH(C681,$B676:$H676,1)))</f>
        <v>1500</v>
      </c>
      <c r="D683" s="73" t="s">
        <v>78</v>
      </c>
      <c r="E683" s="88">
        <f>MATCH(MAX($B676:$H676),$B676:$H676,0)</f>
        <v>7</v>
      </c>
      <c r="G683" s="2"/>
      <c r="H683" s="2"/>
      <c r="I683" s="2"/>
      <c r="J683" s="73"/>
      <c r="K683" s="100"/>
      <c r="L683" s="73"/>
      <c r="M683" s="88"/>
      <c r="O683" s="73" t="s">
        <v>138</v>
      </c>
      <c r="P683" s="100" t="e">
        <f t="array" ref="P683">INDEX($O676:$V676,IF(MATCH(P681,$O676:$V676,1)&lt;R683,MATCH(P681,$O676:$V676,1)+1,MATCH(P681,$O676:$V676,1)))</f>
        <v>#N/A</v>
      </c>
      <c r="Q683" s="73" t="s">
        <v>78</v>
      </c>
      <c r="R683" s="88">
        <f>MATCH(MAX($O676:$V676),$O676:$V676,0)</f>
        <v>8</v>
      </c>
      <c r="T683" s="2"/>
      <c r="U683" s="2"/>
      <c r="V683" s="2"/>
      <c r="W683" s="73"/>
      <c r="X683" s="100"/>
      <c r="Y683" s="73"/>
      <c r="AB683" s="73" t="s">
        <v>138</v>
      </c>
      <c r="AC683" s="100" t="e">
        <f t="array" ref="AC683">INDEX($AB676:$AH676,IF(MATCH(AC681,$AB676:$AH676,1)&lt;AE683,MATCH(AC681,$AB676:$AH676,1)+1,MATCH(AC681,$AB676:$AH676,1)))</f>
        <v>#N/A</v>
      </c>
      <c r="AD683" s="73" t="s">
        <v>78</v>
      </c>
      <c r="AE683" s="88">
        <f>MATCH(MAX($AB676:$AH676),$AB676:$AH676,0)</f>
        <v>7</v>
      </c>
      <c r="AG683" s="2"/>
      <c r="AH683" s="2"/>
      <c r="AI683" s="2"/>
      <c r="AJ683" s="73"/>
      <c r="AK683" s="100"/>
      <c r="AL683" s="73"/>
    </row>
    <row r="684" spans="1:41" ht="15.75" customHeight="1">
      <c r="B684" s="96" t="s">
        <v>80</v>
      </c>
      <c r="C684" s="155">
        <f>'Take-off'!$C$24</f>
        <v>0</v>
      </c>
      <c r="D684" s="2"/>
      <c r="E684" s="2"/>
      <c r="G684" s="2"/>
      <c r="H684" s="2"/>
      <c r="I684" s="2"/>
      <c r="J684" s="98"/>
      <c r="K684" s="155"/>
      <c r="L684" s="2"/>
      <c r="M684" s="2"/>
      <c r="O684" s="96" t="s">
        <v>80</v>
      </c>
      <c r="P684" s="155">
        <f>'Take-off'!$C$24</f>
        <v>0</v>
      </c>
      <c r="Q684" s="2"/>
      <c r="R684" s="2"/>
      <c r="T684" s="2"/>
      <c r="U684" s="2"/>
      <c r="V684" s="2"/>
      <c r="W684" s="98"/>
      <c r="X684" s="155"/>
      <c r="Y684" s="2"/>
      <c r="AB684" s="96" t="s">
        <v>80</v>
      </c>
      <c r="AC684" s="155">
        <f>'Take-off'!$C$24</f>
        <v>0</v>
      </c>
      <c r="AD684" s="2"/>
      <c r="AE684" s="2"/>
      <c r="AG684" s="2"/>
      <c r="AH684" s="2"/>
      <c r="AI684" s="2"/>
      <c r="AJ684" s="98"/>
      <c r="AK684" s="155"/>
      <c r="AL684" s="2"/>
    </row>
    <row r="685" spans="1:41" ht="15.75" customHeight="1">
      <c r="B685" s="73" t="s">
        <v>81</v>
      </c>
      <c r="C685" s="100">
        <f t="array" ref="C685">INDEX($A677:$A679,MATCH(C684,$A677:$A679,1))</f>
        <v>0</v>
      </c>
      <c r="D685" s="2"/>
      <c r="E685" s="92"/>
      <c r="G685" s="2"/>
      <c r="H685" s="2"/>
      <c r="I685" s="2"/>
      <c r="J685" s="73"/>
      <c r="K685" s="100"/>
      <c r="L685" s="2"/>
      <c r="M685" s="92"/>
      <c r="O685" s="73" t="s">
        <v>81</v>
      </c>
      <c r="P685" s="100">
        <f t="array" ref="P685">INDEX($N677:$N679,MATCH(P684,$N677:$N679,1))</f>
        <v>0</v>
      </c>
      <c r="Q685" s="2"/>
      <c r="R685" s="92"/>
      <c r="T685" s="2"/>
      <c r="U685" s="2"/>
      <c r="V685" s="2"/>
      <c r="W685" s="73"/>
      <c r="X685" s="100"/>
      <c r="Y685" s="2"/>
      <c r="AB685" s="73" t="s">
        <v>81</v>
      </c>
      <c r="AC685" s="100">
        <f t="array" ref="AC685">INDEX($AA677:$AA679,MATCH(AC684,$AA677:$AA679,1))</f>
        <v>0</v>
      </c>
      <c r="AD685" s="2"/>
      <c r="AE685" s="92"/>
      <c r="AG685" s="2"/>
      <c r="AH685" s="2"/>
      <c r="AI685" s="2"/>
      <c r="AJ685" s="73"/>
      <c r="AK685" s="100"/>
      <c r="AL685" s="2"/>
    </row>
    <row r="686" spans="1:41" ht="15.75" customHeight="1">
      <c r="B686" s="73" t="s">
        <v>82</v>
      </c>
      <c r="C686" s="100">
        <f t="array" ref="C686">INDEX($A677:$A679,IF(MATCH(C684,$A677:$A679,1)&lt;E682,MATCH(C684,$A677:$A679,1)+1,MATCH(C684,$A677:$A679,1)))</f>
        <v>30</v>
      </c>
      <c r="D686" s="2"/>
      <c r="E686" s="92"/>
      <c r="G686" s="2"/>
      <c r="H686" s="2"/>
      <c r="I686" s="2"/>
      <c r="J686" s="73"/>
      <c r="K686" s="100"/>
      <c r="L686" s="2"/>
      <c r="M686" s="92"/>
      <c r="O686" s="73" t="s">
        <v>82</v>
      </c>
      <c r="P686" s="100">
        <f t="array" ref="P686">INDEX($N677:$N679,IF(MATCH(P684,$N677:$N679,1)&lt;R682,MATCH(P684,$N677:$N679,1)+1,MATCH(P684,$N677:$N679,1)))</f>
        <v>30</v>
      </c>
      <c r="Q686" s="2"/>
      <c r="R686" s="92"/>
      <c r="T686" s="2"/>
      <c r="U686" s="2"/>
      <c r="V686" s="2"/>
      <c r="W686" s="73"/>
      <c r="X686" s="100"/>
      <c r="Y686" s="2"/>
      <c r="AB686" s="73" t="s">
        <v>82</v>
      </c>
      <c r="AC686" s="100">
        <f t="array" ref="AC686">INDEX($AA677:$AA679,IF(MATCH(AC684,$AA677:$AA679,1)&lt;AE682,MATCH(AC684,$AA677:$AA679,1)+1,MATCH(AC684,$AA677:$AA679,1)))</f>
        <v>30</v>
      </c>
      <c r="AD686" s="2"/>
      <c r="AE686" s="92"/>
      <c r="AG686" s="2"/>
      <c r="AH686" s="2"/>
      <c r="AI686" s="2"/>
      <c r="AJ686" s="73"/>
      <c r="AK686" s="100"/>
      <c r="AL686" s="2"/>
    </row>
    <row r="687" spans="1:41" ht="15.75" customHeight="1">
      <c r="B687" s="98" t="s">
        <v>83</v>
      </c>
      <c r="C687" s="97">
        <f t="array" ref="C687">INDEX($B677:$H679,MATCH(C684,$A677:$A679,1),MATCH(C681,$B676:$H676,1))</f>
        <v>1000</v>
      </c>
      <c r="D687" s="2"/>
      <c r="E687" s="92"/>
      <c r="G687" s="2"/>
      <c r="H687" s="2"/>
      <c r="I687" s="2"/>
      <c r="J687" s="98"/>
      <c r="K687" s="97"/>
      <c r="L687" s="2"/>
      <c r="M687" s="92"/>
      <c r="O687" s="98" t="s">
        <v>83</v>
      </c>
      <c r="P687" s="97" t="e">
        <f t="array" ref="P687">INDEX($O677:$V679,MATCH(P684,$N677:$N679,1),MATCH(P681,$O676:$V676,1))</f>
        <v>#N/A</v>
      </c>
      <c r="Q687" s="2"/>
      <c r="R687" s="92"/>
      <c r="T687" s="2"/>
      <c r="U687" s="2"/>
      <c r="V687" s="2"/>
      <c r="W687" s="98"/>
      <c r="X687" s="97"/>
      <c r="Y687" s="2"/>
      <c r="AB687" s="98" t="s">
        <v>83</v>
      </c>
      <c r="AC687" s="97" t="e">
        <f t="array" ref="AC687">INDEX($AB677:$AH679,MATCH(AC684,$AA677:$AA679,1),MATCH(AC681,$AB676:$AH676,1))</f>
        <v>#N/A</v>
      </c>
      <c r="AD687" s="2"/>
      <c r="AE687" s="92"/>
      <c r="AG687" s="2"/>
      <c r="AH687" s="2"/>
      <c r="AI687" s="2"/>
      <c r="AJ687" s="98"/>
      <c r="AK687" s="97"/>
      <c r="AL687" s="2"/>
    </row>
    <row r="688" spans="1:41" ht="15.75" customHeight="1">
      <c r="B688" s="98" t="s">
        <v>139</v>
      </c>
      <c r="C688" s="97">
        <f t="array" ref="C688">INDEX($B677:$H679,MATCH(C684,$A677:$A679,1),IF(MATCH(C681,$B676:$H676,1)&lt;E683,MATCH(C681,$B676:$H676,1)+1,MATCH(C684,$A677:$A679,1)))</f>
        <v>1500</v>
      </c>
      <c r="E688" s="92"/>
      <c r="G688" s="2"/>
      <c r="H688" s="2"/>
      <c r="I688" s="2"/>
      <c r="J688" s="98"/>
      <c r="K688" s="97"/>
      <c r="M688" s="92"/>
      <c r="O688" s="98" t="s">
        <v>139</v>
      </c>
      <c r="P688" s="97" t="e">
        <f t="array" ref="P688">INDEX($O677:$V679,MATCH(P684,$N677:$N679,1),IF(MATCH(P681,$O676:$V676,1)&lt;R683,MATCH(P681,$O676:$V676,1)+1,MATCH(P684,$N677:$N679,1)))</f>
        <v>#N/A</v>
      </c>
      <c r="R688" s="92"/>
      <c r="T688" s="2"/>
      <c r="U688" s="2"/>
      <c r="V688" s="2"/>
      <c r="W688" s="98"/>
      <c r="X688" s="97"/>
      <c r="AB688" s="98" t="s">
        <v>139</v>
      </c>
      <c r="AC688" s="97" t="e">
        <f t="array" ref="AC688">INDEX($AB677:$AH679,MATCH(AC684,$AA677:$AA679,1),IF(MATCH(AC681,$AB676:$AH676,1)&lt;AE683,MATCH(AC681,$AB676:$AH676,1)+1,MATCH(AC684,$AB677:$AH679,1)))</f>
        <v>#N/A</v>
      </c>
      <c r="AE688" s="92"/>
      <c r="AG688" s="2"/>
      <c r="AH688" s="2"/>
      <c r="AI688" s="2"/>
      <c r="AJ688" s="98"/>
      <c r="AK688" s="97"/>
    </row>
    <row r="689" spans="1:38" ht="15.75" customHeight="1">
      <c r="B689" s="98" t="s">
        <v>84</v>
      </c>
      <c r="C689" s="97">
        <f t="array" ref="C689">INDEX($B677:$H679,IF(MATCH(C684,$A677:$A679,1)&lt;E682,MATCH(C684,$A677:$A679,1)+1,MATCH(C684,$A677:$A679,1)),MATCH(C681,$B676:$H676,1))</f>
        <v>1000</v>
      </c>
      <c r="E689" s="92"/>
      <c r="G689" s="2"/>
      <c r="H689" s="2"/>
      <c r="I689" s="2"/>
      <c r="J689" s="98"/>
      <c r="K689" s="97"/>
      <c r="M689" s="92"/>
      <c r="O689" s="98" t="s">
        <v>84</v>
      </c>
      <c r="P689" s="97" t="e">
        <f t="array" ref="P689">INDEX($O677:$V679,IF(MATCH(P684,$N677:$N679,1)&lt;R682,MATCH(P684,$N677:$N679,1)+1,MATCH(P684,$N677:$N679,1)),MATCH(P681,$O676:$V676,1))</f>
        <v>#N/A</v>
      </c>
      <c r="R689" s="92"/>
      <c r="T689" s="2"/>
      <c r="U689" s="2"/>
      <c r="V689" s="2"/>
      <c r="W689" s="98"/>
      <c r="X689" s="97"/>
      <c r="AB689" s="98" t="s">
        <v>84</v>
      </c>
      <c r="AC689" s="97" t="e">
        <f t="array" ref="AC689">INDEX($AB677:$AH679,IF(MATCH(AC684,$AA677:$AA679,1)&lt;AE682,MATCH(AC684,$AA677:$AA679,1)+1,MATCH(AC684,$AA677:$AA679,1)),MATCH(AC681,$AB676:$AH676,1))</f>
        <v>#N/A</v>
      </c>
      <c r="AE689" s="92"/>
      <c r="AG689" s="2"/>
      <c r="AH689" s="2"/>
      <c r="AI689" s="2"/>
      <c r="AJ689" s="98"/>
      <c r="AK689" s="97"/>
    </row>
    <row r="690" spans="1:38" ht="15.75" customHeight="1">
      <c r="B690" s="98" t="s">
        <v>140</v>
      </c>
      <c r="C690" s="97">
        <f t="array" ref="C690">INDEX($B677:$H679,IF(MATCH(C684,$A677:$A679,1)&lt;E682,MATCH(C684,$A677:$A679,1)+1,MATCH(C684,$A677:$A679,1)),IF(MATCH(C681,$B676:$H676,1)&lt;E683,MATCH(C681,$B676:$H676,1)+1,MATCH(C681,$B676:$H676,1)))</f>
        <v>1300</v>
      </c>
      <c r="G690" s="2"/>
      <c r="H690" s="2"/>
      <c r="I690" s="2"/>
      <c r="J690" s="98"/>
      <c r="K690" s="97"/>
      <c r="O690" s="98" t="s">
        <v>140</v>
      </c>
      <c r="P690" s="97" t="e">
        <f t="array" ref="P690">INDEX($O677:$V679,IF(MATCH(P684,$N677:$N679,1)&lt;R682,MATCH(P684,$N677:$N679,1)+1,MATCH(P684,$N677:$N679,1)),IF(MATCH(P681,$O676:$V676,1)&lt;R683,MATCH(P681,$O676:$V676,1)+1,MATCH(P681,$O676:$V676,1)))</f>
        <v>#N/A</v>
      </c>
      <c r="T690" s="2"/>
      <c r="U690" s="2"/>
      <c r="V690" s="2"/>
      <c r="W690" s="98"/>
      <c r="X690" s="97"/>
      <c r="AB690" s="98" t="s">
        <v>140</v>
      </c>
      <c r="AC690" s="97" t="e">
        <f t="array" ref="AC690">INDEX($AB677:$AH679,IF(MATCH(AC684,$AA677:$AA679,1)&lt;AE682,MATCH(AC684,$AA677:$AA679,1)+1,MATCH(AC684,$AA677:$AA679,1)),IF(MATCH(AC681,$AB676:$AH676,1)&lt;AE683,MATCH(AC681,$AB676:$AH676,1)+1,MATCH(AC681,$AB676:$AH676,1)))</f>
        <v>#N/A</v>
      </c>
      <c r="AG690" s="2"/>
      <c r="AH690" s="2"/>
      <c r="AI690" s="2"/>
      <c r="AJ690" s="98"/>
      <c r="AK690" s="97"/>
    </row>
    <row r="691" spans="1:38" ht="15.75" customHeight="1">
      <c r="B691" s="73" t="s">
        <v>141</v>
      </c>
      <c r="C691" s="100">
        <f>IFERROR(C687+(C681-C682)*(C688-C687)/(C683-C682),C687)</f>
        <v>1482.32</v>
      </c>
      <c r="G691" s="2"/>
      <c r="H691" s="2"/>
      <c r="I691" s="2"/>
      <c r="J691" s="73"/>
      <c r="K691" s="100"/>
      <c r="O691" s="73" t="s">
        <v>141</v>
      </c>
      <c r="P691" s="100" t="e">
        <f>IFERROR(P687+(P681-P682)*(P688-P687)/(P683-P682),P687)</f>
        <v>#N/A</v>
      </c>
      <c r="T691" s="2"/>
      <c r="U691" s="2"/>
      <c r="V691" s="2"/>
      <c r="W691" s="73"/>
      <c r="X691" s="100"/>
      <c r="AB691" s="73" t="s">
        <v>141</v>
      </c>
      <c r="AC691" s="100" t="e">
        <f>IFERROR(AC687+(AC681-AC682)*(AC688-AC687)/(AC683-AC682),AC687)</f>
        <v>#N/A</v>
      </c>
      <c r="AG691" s="2"/>
      <c r="AH691" s="2"/>
      <c r="AI691" s="2"/>
      <c r="AJ691" s="73"/>
      <c r="AK691" s="100"/>
    </row>
    <row r="692" spans="1:38" ht="15.75" customHeight="1">
      <c r="B692" s="73" t="s">
        <v>142</v>
      </c>
      <c r="C692" s="100">
        <f>IFERROR(C689+(C681-C682)*(C690-C689)/(C683-C682),C689)</f>
        <v>1289.3919999999998</v>
      </c>
      <c r="G692" s="2"/>
      <c r="H692" s="2"/>
      <c r="I692" s="2"/>
      <c r="J692" s="73"/>
      <c r="K692" s="100"/>
      <c r="O692" s="73" t="s">
        <v>142</v>
      </c>
      <c r="P692" s="100" t="e">
        <f>IFERROR(P689+(P681-P682)*(P690-P689)/(P683-P682),P689)</f>
        <v>#N/A</v>
      </c>
      <c r="T692" s="2"/>
      <c r="U692" s="2"/>
      <c r="V692" s="2"/>
      <c r="W692" s="73"/>
      <c r="X692" s="100"/>
      <c r="AB692" s="73" t="s">
        <v>142</v>
      </c>
      <c r="AC692" s="100" t="e">
        <f>IFERROR(AC689+(AC681-AC682)*(AC690-AC689)/(AC683-AC682),AC689)</f>
        <v>#N/A</v>
      </c>
      <c r="AG692" s="2"/>
      <c r="AH692" s="2"/>
      <c r="AI692" s="2"/>
      <c r="AJ692" s="73"/>
      <c r="AK692" s="100"/>
    </row>
    <row r="693" spans="1:38" ht="15.75" customHeight="1">
      <c r="B693" s="98" t="s">
        <v>143</v>
      </c>
      <c r="C693" s="97">
        <f>IFERROR(C691+(C684-C685)*(C692-C691)/(C686-C685),C691)</f>
        <v>1482.32</v>
      </c>
      <c r="G693" s="2"/>
      <c r="H693" s="2"/>
      <c r="I693" s="2"/>
      <c r="J693" s="98"/>
      <c r="K693" s="97"/>
      <c r="O693" s="98" t="s">
        <v>143</v>
      </c>
      <c r="P693" s="97" t="e">
        <f>IFERROR(P691+(P684-P685)*(P692-P691)/(P686-P685),P691)</f>
        <v>#N/A</v>
      </c>
      <c r="T693" s="2"/>
      <c r="U693" s="2"/>
      <c r="V693" s="2"/>
      <c r="W693" s="98"/>
      <c r="X693" s="97"/>
      <c r="AB693" s="98" t="s">
        <v>143</v>
      </c>
      <c r="AC693" s="97" t="e">
        <f>IFERROR(AC691+(AC684-AC685)*(AC692-AC691)/(AC686-AC685),AC691)</f>
        <v>#N/A</v>
      </c>
      <c r="AG693" s="2"/>
      <c r="AH693" s="2"/>
      <c r="AI693" s="2"/>
      <c r="AJ693" s="98"/>
      <c r="AK693" s="97"/>
    </row>
    <row r="694" spans="1:38" ht="15.75" customHeight="1"/>
    <row r="695" spans="1:38" ht="15.75" customHeight="1">
      <c r="A695" s="12"/>
      <c r="B695" s="262" t="s">
        <v>146</v>
      </c>
      <c r="C695" s="303"/>
      <c r="D695" s="303"/>
      <c r="E695" s="303"/>
      <c r="F695" s="303"/>
      <c r="G695" s="303"/>
      <c r="H695" s="303"/>
      <c r="I695" s="303"/>
      <c r="N695" s="12"/>
      <c r="O695" s="262" t="s">
        <v>146</v>
      </c>
      <c r="P695" s="303"/>
      <c r="Q695" s="303"/>
      <c r="R695" s="303"/>
      <c r="S695" s="303"/>
      <c r="T695" s="303"/>
      <c r="U695" s="303"/>
      <c r="V695" s="303"/>
      <c r="AA695" s="12"/>
      <c r="AB695" s="262" t="s">
        <v>146</v>
      </c>
      <c r="AC695" s="303"/>
      <c r="AD695" s="303"/>
      <c r="AE695" s="303"/>
      <c r="AF695" s="303"/>
      <c r="AG695" s="303"/>
      <c r="AH695" s="303"/>
      <c r="AI695" s="303"/>
    </row>
    <row r="696" spans="1:38" ht="15.75" customHeight="1">
      <c r="A696" s="12" t="s">
        <v>28</v>
      </c>
      <c r="B696" s="182">
        <v>1000</v>
      </c>
      <c r="C696" s="192">
        <v>1500</v>
      </c>
      <c r="D696" s="192">
        <v>2000</v>
      </c>
      <c r="E696" s="192">
        <v>2500</v>
      </c>
      <c r="F696" s="192">
        <v>3000</v>
      </c>
      <c r="G696" s="192">
        <v>3500</v>
      </c>
      <c r="H696" s="185">
        <v>4000</v>
      </c>
      <c r="I696" s="83"/>
      <c r="J696" s="83"/>
      <c r="K696" s="83"/>
      <c r="L696" s="83"/>
      <c r="N696" s="12" t="s">
        <v>28</v>
      </c>
      <c r="O696" s="182">
        <v>1000</v>
      </c>
      <c r="P696" s="192">
        <v>1600</v>
      </c>
      <c r="Q696" s="192">
        <v>2200</v>
      </c>
      <c r="R696" s="192">
        <v>2800</v>
      </c>
      <c r="S696" s="192">
        <v>3400</v>
      </c>
      <c r="T696" s="192">
        <v>4000</v>
      </c>
      <c r="U696" s="192">
        <v>4600</v>
      </c>
      <c r="V696" s="185">
        <v>5000</v>
      </c>
      <c r="AA696" s="12" t="s">
        <v>28</v>
      </c>
      <c r="AB696" s="182">
        <v>750</v>
      </c>
      <c r="AC696" s="192">
        <v>1100</v>
      </c>
      <c r="AD696" s="192">
        <v>1500</v>
      </c>
      <c r="AE696" s="192">
        <v>1850</v>
      </c>
      <c r="AF696" s="192">
        <v>2200</v>
      </c>
      <c r="AG696" s="192">
        <v>2600</v>
      </c>
      <c r="AH696" s="192">
        <v>2950</v>
      </c>
      <c r="AI696" s="192">
        <v>3350</v>
      </c>
      <c r="AJ696" s="192">
        <v>3700</v>
      </c>
      <c r="AK696" s="192">
        <v>4100</v>
      </c>
      <c r="AL696" s="185">
        <v>4500</v>
      </c>
    </row>
    <row r="697" spans="1:38" ht="15.75" customHeight="1">
      <c r="A697" s="12">
        <v>0</v>
      </c>
      <c r="B697" s="182">
        <v>1000</v>
      </c>
      <c r="C697" s="192">
        <v>1500</v>
      </c>
      <c r="D697" s="192">
        <v>2000</v>
      </c>
      <c r="E697" s="192">
        <v>2500</v>
      </c>
      <c r="F697" s="192">
        <v>3000</v>
      </c>
      <c r="G697" s="192">
        <v>3500</v>
      </c>
      <c r="H697" s="194">
        <v>99999</v>
      </c>
      <c r="I697" s="82"/>
      <c r="J697" s="82"/>
      <c r="K697" s="82"/>
      <c r="L697" s="82"/>
      <c r="N697" s="12">
        <v>0</v>
      </c>
      <c r="O697" s="182"/>
      <c r="P697" s="192"/>
      <c r="Q697" s="192"/>
      <c r="R697" s="192"/>
      <c r="S697" s="192"/>
      <c r="T697" s="192"/>
      <c r="U697" s="192"/>
      <c r="V697" s="194">
        <v>99999</v>
      </c>
      <c r="AA697" s="12">
        <v>0</v>
      </c>
      <c r="AB697" s="18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4">
        <v>99999</v>
      </c>
    </row>
    <row r="698" spans="1:38" ht="15.75" customHeight="1">
      <c r="A698" s="12">
        <v>50</v>
      </c>
      <c r="B698" s="189">
        <v>1200</v>
      </c>
      <c r="C698" s="195">
        <v>1900</v>
      </c>
      <c r="D698" s="195">
        <v>2550</v>
      </c>
      <c r="E698" s="195">
        <v>3230</v>
      </c>
      <c r="F698" s="195">
        <v>3900</v>
      </c>
      <c r="G698" s="195">
        <v>4650</v>
      </c>
      <c r="H698" s="194">
        <v>99999</v>
      </c>
      <c r="I698" s="82"/>
      <c r="J698" s="82"/>
      <c r="K698" s="82"/>
      <c r="L698" s="82"/>
      <c r="N698" s="12">
        <v>50</v>
      </c>
      <c r="O698" s="189"/>
      <c r="P698" s="195"/>
      <c r="Q698" s="195"/>
      <c r="R698" s="195"/>
      <c r="S698" s="195"/>
      <c r="T698" s="195"/>
      <c r="U698" s="195"/>
      <c r="V698" s="194">
        <v>99999</v>
      </c>
      <c r="AA698" s="12">
        <v>50</v>
      </c>
      <c r="AB698" s="189"/>
      <c r="AC698" s="195"/>
      <c r="AD698" s="195"/>
      <c r="AE698" s="195"/>
      <c r="AF698" s="195"/>
      <c r="AG698" s="195"/>
      <c r="AH698" s="195"/>
      <c r="AI698" s="195"/>
      <c r="AJ698" s="195"/>
      <c r="AK698" s="195"/>
      <c r="AL698" s="194">
        <v>99999</v>
      </c>
    </row>
    <row r="699" spans="1:38" ht="15.75" customHeight="1">
      <c r="B699" s="98"/>
      <c r="C699" s="97"/>
      <c r="D699" s="12"/>
      <c r="E699" s="12"/>
      <c r="F699" s="12"/>
      <c r="G699" s="2"/>
      <c r="H699" s="2"/>
      <c r="I699" s="2"/>
      <c r="O699" s="98"/>
      <c r="P699" s="97"/>
      <c r="Q699" s="12"/>
      <c r="R699" s="12"/>
      <c r="S699" s="12"/>
      <c r="T699" s="2"/>
      <c r="U699" s="2"/>
      <c r="V699" s="2"/>
      <c r="AB699" s="98"/>
      <c r="AC699" s="97"/>
      <c r="AD699" s="12"/>
      <c r="AE699" s="12"/>
      <c r="AF699" s="12"/>
      <c r="AG699" s="2"/>
      <c r="AH699" s="2"/>
      <c r="AI699" s="2"/>
    </row>
    <row r="700" spans="1:38" ht="15.75" customHeight="1">
      <c r="B700" s="98" t="s">
        <v>79</v>
      </c>
      <c r="C700" s="97">
        <f>C693</f>
        <v>1482.32</v>
      </c>
      <c r="D700" s="260" t="s">
        <v>136</v>
      </c>
      <c r="E700" s="304"/>
      <c r="G700" s="2"/>
      <c r="H700" s="2"/>
      <c r="I700" s="2"/>
      <c r="O700" s="98" t="s">
        <v>79</v>
      </c>
      <c r="P700" s="97" t="e">
        <f>P693</f>
        <v>#N/A</v>
      </c>
      <c r="Q700" s="260" t="s">
        <v>136</v>
      </c>
      <c r="R700" s="304"/>
      <c r="T700" s="2"/>
      <c r="U700" s="2"/>
      <c r="V700" s="2"/>
      <c r="AB700" s="98" t="s">
        <v>79</v>
      </c>
      <c r="AC700" s="97" t="e">
        <f>AC693</f>
        <v>#N/A</v>
      </c>
      <c r="AD700" s="260" t="s">
        <v>136</v>
      </c>
      <c r="AE700" s="304"/>
      <c r="AG700" s="2"/>
      <c r="AH700" s="2"/>
      <c r="AI700" s="2"/>
    </row>
    <row r="701" spans="1:38" ht="15.75" customHeight="1">
      <c r="B701" s="73" t="s">
        <v>137</v>
      </c>
      <c r="C701" s="100">
        <f t="array" ref="C701">INDEX($B696:$H696,MATCH(C700,$B696:$H696,1))</f>
        <v>1000</v>
      </c>
      <c r="D701" s="73" t="s">
        <v>77</v>
      </c>
      <c r="E701" s="88">
        <f>MATCH(MAX($A697:$A698),$A697:$A698,1)</f>
        <v>2</v>
      </c>
      <c r="G701" s="2"/>
      <c r="H701" s="2"/>
      <c r="I701" s="2"/>
      <c r="O701" s="73" t="s">
        <v>137</v>
      </c>
      <c r="P701" s="100" t="e">
        <f t="array" ref="P701">INDEX($O696:$V696,MATCH(P700,$O696:$V696,1))</f>
        <v>#N/A</v>
      </c>
      <c r="Q701" s="73" t="s">
        <v>77</v>
      </c>
      <c r="R701" s="88">
        <f>MATCH(MAX($N697:$N698),$N697:$N698,1)</f>
        <v>2</v>
      </c>
      <c r="T701" s="2"/>
      <c r="U701" s="2"/>
      <c r="V701" s="2"/>
      <c r="AB701" s="73" t="s">
        <v>137</v>
      </c>
      <c r="AC701" s="100" t="e">
        <f t="array" ref="AC701">INDEX($AB696:$AL696,MATCH(AC700,$AB696:$AL696,1))</f>
        <v>#N/A</v>
      </c>
      <c r="AD701" s="73" t="s">
        <v>77</v>
      </c>
      <c r="AE701" s="88">
        <f>MATCH(MAX($AA697:$AA698),$AA697:$AA698,1)</f>
        <v>2</v>
      </c>
      <c r="AG701" s="2"/>
      <c r="AH701" s="2"/>
      <c r="AI701" s="2"/>
    </row>
    <row r="702" spans="1:38" ht="15.75" customHeight="1">
      <c r="B702" s="73" t="s">
        <v>138</v>
      </c>
      <c r="C702" s="100">
        <f t="array" ref="C702">INDEX($B696:$H696,IF(MATCH(C700,$B696:$H696,1)&lt;E702,MATCH(C700,$B696:$H696,1)+1,MATCH(C700,$B696:$H696,1)))</f>
        <v>1500</v>
      </c>
      <c r="D702" s="73" t="s">
        <v>78</v>
      </c>
      <c r="E702" s="88">
        <f>MATCH(MAX($B696:$H696),$B696:$H696,0)</f>
        <v>7</v>
      </c>
      <c r="G702" s="2"/>
      <c r="H702" s="2"/>
      <c r="I702" s="2"/>
      <c r="O702" s="73" t="s">
        <v>138</v>
      </c>
      <c r="P702" s="100" t="e">
        <f t="array" ref="P702">INDEX($O696:$V696,IF(MATCH(P700,$O696:$V696,1)&lt;R702,MATCH(P700,$O696:$V696,1)+1,MATCH(P700,$O696:$V696,1)))</f>
        <v>#N/A</v>
      </c>
      <c r="Q702" s="73" t="s">
        <v>78</v>
      </c>
      <c r="R702" s="88">
        <f>MATCH(MAX($O696:$V696),$O696:$V696,0)</f>
        <v>8</v>
      </c>
      <c r="T702" s="2"/>
      <c r="U702" s="2"/>
      <c r="V702" s="2"/>
      <c r="AB702" s="73" t="s">
        <v>138</v>
      </c>
      <c r="AC702" s="100" t="e">
        <f t="array" ref="AC702">INDEX($AB696:$AL696,IF(MATCH(AC700,$AB696:$AL696,1)&lt;AE702,MATCH(AC700,$AB696:$AL696,1)+1,MATCH(AC700,$AB696:$AL696,1)))</f>
        <v>#N/A</v>
      </c>
      <c r="AD702" s="73" t="s">
        <v>78</v>
      </c>
      <c r="AE702" s="88">
        <f>MATCH(MAX($AB696:$AL696),$AB696:$AL696,0)</f>
        <v>11</v>
      </c>
      <c r="AG702" s="2"/>
      <c r="AH702" s="2"/>
      <c r="AI702" s="2"/>
    </row>
    <row r="703" spans="1:38" ht="15.75" customHeight="1">
      <c r="B703" s="96" t="s">
        <v>80</v>
      </c>
      <c r="C703" s="155">
        <v>50</v>
      </c>
      <c r="D703" s="2"/>
      <c r="E703" s="2"/>
      <c r="G703" s="2"/>
      <c r="H703" s="2"/>
      <c r="I703" s="2"/>
      <c r="O703" s="96" t="s">
        <v>80</v>
      </c>
      <c r="P703" s="155">
        <v>50</v>
      </c>
      <c r="Q703" s="2"/>
      <c r="R703" s="2"/>
      <c r="T703" s="2"/>
      <c r="U703" s="2"/>
      <c r="V703" s="2"/>
      <c r="AB703" s="96" t="s">
        <v>80</v>
      </c>
      <c r="AC703" s="155">
        <v>50</v>
      </c>
      <c r="AD703" s="2"/>
      <c r="AE703" s="2"/>
      <c r="AG703" s="2"/>
      <c r="AH703" s="2"/>
      <c r="AI703" s="2"/>
    </row>
    <row r="704" spans="1:38" ht="15.75" customHeight="1">
      <c r="B704" s="73" t="s">
        <v>81</v>
      </c>
      <c r="C704" s="100">
        <f t="array" ref="C704">INDEX($A697:$A698,MATCH(C703,$A697:$A698,1))</f>
        <v>50</v>
      </c>
      <c r="D704" s="2"/>
      <c r="E704" s="92"/>
      <c r="G704" s="2"/>
      <c r="H704" s="2"/>
      <c r="I704" s="2"/>
      <c r="O704" s="73" t="s">
        <v>81</v>
      </c>
      <c r="P704" s="100">
        <f t="array" ref="P704">INDEX($N697:$N698,MATCH(P703,$N697:$N698,1))</f>
        <v>50</v>
      </c>
      <c r="Q704" s="2"/>
      <c r="R704" s="92"/>
      <c r="T704" s="2"/>
      <c r="U704" s="2"/>
      <c r="V704" s="2"/>
      <c r="AB704" s="73" t="s">
        <v>81</v>
      </c>
      <c r="AC704" s="100">
        <f t="array" ref="AC704">INDEX($AA697:$AA698,MATCH(AC703,$AA697:$AA698,1))</f>
        <v>50</v>
      </c>
      <c r="AD704" s="2"/>
      <c r="AE704" s="92"/>
      <c r="AG704" s="2"/>
      <c r="AH704" s="2"/>
      <c r="AI704" s="2"/>
    </row>
    <row r="705" spans="2:35" ht="15.75" customHeight="1">
      <c r="B705" s="73" t="s">
        <v>82</v>
      </c>
      <c r="C705" s="100">
        <f t="array" ref="C705">INDEX($A697:$A698,IF(MATCH(C703,$A697:$A698,1)&lt;E701,MATCH(C703,$A697:$A698,1)+1,MATCH(C703,$A697:$A698,1)))</f>
        <v>50</v>
      </c>
      <c r="D705" s="2"/>
      <c r="E705" s="92"/>
      <c r="G705" s="2"/>
      <c r="H705" s="2"/>
      <c r="I705" s="2"/>
      <c r="O705" s="73" t="s">
        <v>82</v>
      </c>
      <c r="P705" s="100">
        <f t="array" ref="P705">INDEX($N697:$N698,IF(MATCH(P703,$N697:$N698,1)&lt;R701,MATCH(P703,$N697:$N698,1)+1,MATCH(P703,$N697:$N698,1)))</f>
        <v>50</v>
      </c>
      <c r="Q705" s="2"/>
      <c r="R705" s="92"/>
      <c r="T705" s="2"/>
      <c r="U705" s="2"/>
      <c r="V705" s="2"/>
      <c r="AB705" s="73" t="s">
        <v>82</v>
      </c>
      <c r="AC705" s="100">
        <f t="array" ref="AC705">INDEX($AA697:$AA698,IF(MATCH(AC703,$AA697:$AA698,1)&lt;AE701,MATCH(AC703,$AA697:$AA698,1)+1,MATCH(AC703,$AA697:$AA698,1)))</f>
        <v>50</v>
      </c>
      <c r="AD705" s="2"/>
      <c r="AE705" s="92"/>
      <c r="AG705" s="2"/>
      <c r="AH705" s="2"/>
      <c r="AI705" s="2"/>
    </row>
    <row r="706" spans="2:35" ht="15.75" customHeight="1">
      <c r="B706" s="98" t="s">
        <v>83</v>
      </c>
      <c r="C706" s="97">
        <f t="array" ref="C706">INDEX($B697:$H698,MATCH(C703,$A697:$A698,1),MATCH(C700,$B696:$H696,1))</f>
        <v>1200</v>
      </c>
      <c r="D706" s="2"/>
      <c r="E706" s="92"/>
      <c r="G706" s="2"/>
      <c r="H706" s="2"/>
      <c r="I706" s="2"/>
      <c r="O706" s="98" t="s">
        <v>83</v>
      </c>
      <c r="P706" s="97" t="e">
        <f t="array" ref="P706">INDEX($O697:$V698,MATCH(P703,$N697:$N698,1),MATCH(P700,$O696:$V696,1))</f>
        <v>#N/A</v>
      </c>
      <c r="Q706" s="2"/>
      <c r="R706" s="92"/>
      <c r="T706" s="2"/>
      <c r="U706" s="2"/>
      <c r="V706" s="2"/>
      <c r="AB706" s="98" t="s">
        <v>83</v>
      </c>
      <c r="AC706" s="97" t="e">
        <f t="array" ref="AC706">INDEX($AB697:$AL698,MATCH(AC703,$AA697:$AA698,1),MATCH(AC700,$AB696:$AL696,1))</f>
        <v>#N/A</v>
      </c>
      <c r="AD706" s="2"/>
      <c r="AE706" s="92"/>
      <c r="AG706" s="2"/>
      <c r="AH706" s="2"/>
      <c r="AI706" s="2"/>
    </row>
    <row r="707" spans="2:35" ht="15.75" customHeight="1">
      <c r="B707" s="98" t="s">
        <v>139</v>
      </c>
      <c r="C707" s="97">
        <f t="array" ref="C707">INDEX($B697:$H698,MATCH(C703,$A697:$A698,1),IF(MATCH(C700,$B696:$H696,1)&lt;E702,MATCH(C700,$B696:$H696,1)+1,MATCH(C703,$A697:$A698,1)))</f>
        <v>1900</v>
      </c>
      <c r="E707" s="92"/>
      <c r="G707" s="2"/>
      <c r="H707" s="2"/>
      <c r="I707" s="2"/>
      <c r="O707" s="98" t="s">
        <v>139</v>
      </c>
      <c r="P707" s="97" t="e">
        <f t="array" ref="P707">INDEX($O697:$V698,MATCH(P703,$N697:$N698,1),IF(MATCH(P700,$O696:$V696,1)&lt;R702,MATCH(P700,$O696:$V696,1)+1,MATCH(P703,$N697:$N698,1)))</f>
        <v>#N/A</v>
      </c>
      <c r="R707" s="92"/>
      <c r="T707" s="2"/>
      <c r="U707" s="2"/>
      <c r="V707" s="2"/>
      <c r="AB707" s="98" t="s">
        <v>139</v>
      </c>
      <c r="AC707" s="97" t="e">
        <f t="array" ref="AC707">INDEX($AB697:$AL698,MATCH(AC703,$AA697:$AA698,1),IF(MATCH(AC700,$AB696:$AL696,1)&lt;AE702,MATCH(AC700,$AB696:$AL696,1)+1,MATCH(AC703,$AA697:$AA698,1)))</f>
        <v>#N/A</v>
      </c>
      <c r="AE707" s="92"/>
      <c r="AG707" s="2"/>
      <c r="AH707" s="2"/>
      <c r="AI707" s="2"/>
    </row>
    <row r="708" spans="2:35" ht="15.75" customHeight="1">
      <c r="B708" s="98" t="s">
        <v>84</v>
      </c>
      <c r="C708" s="97">
        <f t="array" ref="C708">INDEX($B697:$H698,IF(MATCH(C703,$A697:$A698,1)&lt;E701,MATCH(C703,$A697:$A698,1)+1,MATCH(C703,$A697:$A698,1)),MATCH(C700,$B696:$H696,1))</f>
        <v>1200</v>
      </c>
      <c r="E708" s="92"/>
      <c r="G708" s="2"/>
      <c r="H708" s="2"/>
      <c r="I708" s="2"/>
      <c r="O708" s="98" t="s">
        <v>84</v>
      </c>
      <c r="P708" s="97" t="e">
        <f t="array" ref="P708">INDEX($O697:$V698,IF(MATCH(P703,$N697:$N698,1)&lt;R701,MATCH(P703,$N697:$N698,1)+1,MATCH(P703,$N697:$N698,1)),MATCH(P700,$O696:$V696,1))</f>
        <v>#N/A</v>
      </c>
      <c r="R708" s="92"/>
      <c r="T708" s="2"/>
      <c r="U708" s="2"/>
      <c r="V708" s="2"/>
      <c r="AB708" s="98" t="s">
        <v>84</v>
      </c>
      <c r="AC708" s="97" t="e">
        <f t="array" ref="AC708">INDEX($AB697:$AL698,IF(MATCH(AC703,$AA697:$AA698,1)&lt;AE701,MATCH(AC703,$AA697:$AA698,1)+1,MATCH(AC703,$AA697:$AA698,1)),MATCH(AC700,$AB696:$AL696,1))</f>
        <v>#N/A</v>
      </c>
      <c r="AE708" s="92"/>
      <c r="AG708" s="2"/>
      <c r="AH708" s="2"/>
      <c r="AI708" s="2"/>
    </row>
    <row r="709" spans="2:35" ht="15.75" customHeight="1">
      <c r="B709" s="98" t="s">
        <v>140</v>
      </c>
      <c r="C709" s="97">
        <f t="array" ref="C709">INDEX($B697:$H698,IF(MATCH(C703,$A697:$A698,1)&lt;E701,MATCH(C703,$A697:$A698,1)+1,MATCH(C703,$A697:$A698,1)),IF(MATCH(C700,$B696:$H696,1)&lt;E702,MATCH(C700,$B696:$H696,1)+1,MATCH(C700,$B696:$H696,1)))</f>
        <v>1900</v>
      </c>
      <c r="G709" s="2"/>
      <c r="H709" s="2"/>
      <c r="I709" s="2"/>
      <c r="O709" s="98" t="s">
        <v>140</v>
      </c>
      <c r="P709" s="97" t="e">
        <f t="array" ref="P709">INDEX($O697:$V698,IF(MATCH(P703,$N697:$N698,1)&lt;R701,MATCH(P703,$N697:$N698,1)+1,MATCH(P703,$N697:$N698,1)),IF(MATCH(P700,$O696:$V696,1)&lt;R702,MATCH(P700,$O696:$V696,1)+1,MATCH(P700,$O696:$V696,1)))</f>
        <v>#N/A</v>
      </c>
      <c r="T709" s="2"/>
      <c r="U709" s="2"/>
      <c r="V709" s="2"/>
      <c r="AB709" s="98" t="s">
        <v>140</v>
      </c>
      <c r="AC709" s="97" t="e">
        <f t="array" ref="AC709">INDEX($AB697:$AL698,IF(MATCH(AC703,$AA697:$AA698,1)&lt;AE701,MATCH(AC703,$AA697:$AA698,1)+1,MATCH(AC703,$AA697:$AA698,1)),IF(MATCH(AC700,$AB696:$AL696,1)&lt;AE702,MATCH(AC700,$AB696:$AL696,1)+1,MATCH(AC700,$AB696:$AL696,1)))</f>
        <v>#N/A</v>
      </c>
      <c r="AG709" s="2"/>
      <c r="AH709" s="2"/>
      <c r="AI709" s="2"/>
    </row>
    <row r="710" spans="2:35" ht="15.75" customHeight="1">
      <c r="B710" s="73" t="s">
        <v>141</v>
      </c>
      <c r="C710" s="100">
        <f>IFERROR(C706+(C700-C701)*(C707-C706)/(C702-C701),C706)</f>
        <v>1875.248</v>
      </c>
      <c r="G710" s="2"/>
      <c r="H710" s="2"/>
      <c r="I710" s="2"/>
      <c r="O710" s="73" t="s">
        <v>141</v>
      </c>
      <c r="P710" s="100" t="e">
        <f>IFERROR(P706+(P700-P701)*(P707-P706)/(P702-P701),P706)</f>
        <v>#N/A</v>
      </c>
      <c r="T710" s="2"/>
      <c r="U710" s="2"/>
      <c r="V710" s="2"/>
      <c r="AB710" s="73" t="s">
        <v>141</v>
      </c>
      <c r="AC710" s="100" t="e">
        <f>IFERROR(AC706+(AC700-AC701)*(AC707-AC706)/(AC702-AC701),AC706)</f>
        <v>#N/A</v>
      </c>
      <c r="AG710" s="2"/>
      <c r="AH710" s="2"/>
      <c r="AI710" s="2"/>
    </row>
    <row r="711" spans="2:35" ht="15.75" customHeight="1">
      <c r="B711" s="73" t="s">
        <v>142</v>
      </c>
      <c r="C711" s="100">
        <f>IFERROR(C708+(C700-C701)*(C709-C708)/(C702-C701),C708)</f>
        <v>1875.248</v>
      </c>
      <c r="G711" s="2"/>
      <c r="H711" s="2"/>
      <c r="I711" s="2"/>
      <c r="O711" s="73" t="s">
        <v>142</v>
      </c>
      <c r="P711" s="100" t="e">
        <f>IFERROR(P708+(P700-P701)*(P709-P708)/(P702-P701),P708)</f>
        <v>#N/A</v>
      </c>
      <c r="T711" s="2"/>
      <c r="U711" s="2"/>
      <c r="V711" s="2"/>
      <c r="AB711" s="73" t="s">
        <v>142</v>
      </c>
      <c r="AC711" s="100" t="e">
        <f>IFERROR(AC708+(AC700-AC701)*(AC709-AC708)/(AC702-AC701),AC708)</f>
        <v>#N/A</v>
      </c>
      <c r="AG711" s="2"/>
      <c r="AH711" s="2"/>
      <c r="AI711" s="2"/>
    </row>
    <row r="712" spans="2:35" ht="15.75" customHeight="1">
      <c r="B712" s="98" t="s">
        <v>143</v>
      </c>
      <c r="C712" s="97">
        <f>IFERROR(C710+(C703-C704)*(C711-C710)/(C705-C704),C710)</f>
        <v>1875.248</v>
      </c>
      <c r="G712" s="2"/>
      <c r="H712" s="2"/>
      <c r="I712" s="2"/>
      <c r="O712" s="98" t="s">
        <v>143</v>
      </c>
      <c r="P712" s="97" t="e">
        <f>IFERROR(P710+(P703-P704)*(P711-P710)/(P705-P704),P710)</f>
        <v>#N/A</v>
      </c>
      <c r="T712" s="2"/>
      <c r="U712" s="2"/>
      <c r="V712" s="2"/>
      <c r="AB712" s="98" t="s">
        <v>143</v>
      </c>
      <c r="AC712" s="97" t="e">
        <f>IFERROR(AC710+(AC703-AC704)*(AC711-AC710)/(AC705-AC704),AC710)</f>
        <v>#N/A</v>
      </c>
      <c r="AG712" s="2"/>
      <c r="AH712" s="2"/>
      <c r="AI712" s="2"/>
    </row>
    <row r="713" spans="2:35" ht="15.75" customHeight="1">
      <c r="C713" s="176"/>
      <c r="P713" s="176"/>
      <c r="AC713" s="176"/>
    </row>
    <row r="714" spans="2:35" ht="15.75" customHeight="1">
      <c r="C714" s="99"/>
      <c r="P714" s="99"/>
      <c r="AC714" s="99"/>
    </row>
    <row r="715" spans="2:35" ht="15.75" customHeight="1"/>
    <row r="716" spans="2:35" ht="15.75" customHeight="1"/>
    <row r="717" spans="2:35" ht="15.75" customHeight="1"/>
    <row r="718" spans="2:35" ht="15.75" customHeight="1"/>
    <row r="719" spans="2:35" ht="15.75" customHeight="1"/>
    <row r="720" spans="2:35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58">
    <mergeCell ref="F8:F9"/>
    <mergeCell ref="G8:G9"/>
    <mergeCell ref="C23:G23"/>
    <mergeCell ref="B27:G27"/>
    <mergeCell ref="B34:G34"/>
    <mergeCell ref="E10:E11"/>
    <mergeCell ref="F10:F11"/>
    <mergeCell ref="G10:G11"/>
    <mergeCell ref="B1:G1"/>
    <mergeCell ref="B3:E3"/>
    <mergeCell ref="C4:F4"/>
    <mergeCell ref="C5:G5"/>
    <mergeCell ref="F6:G7"/>
    <mergeCell ref="I13:L14"/>
    <mergeCell ref="C15:G15"/>
    <mergeCell ref="E17:G17"/>
    <mergeCell ref="E19:F19"/>
    <mergeCell ref="B41:G41"/>
    <mergeCell ref="C43:E43"/>
    <mergeCell ref="B44:G44"/>
    <mergeCell ref="B68:G68"/>
    <mergeCell ref="C70:G72"/>
    <mergeCell ref="B148:C148"/>
    <mergeCell ref="D148:E148"/>
    <mergeCell ref="A157:C157"/>
    <mergeCell ref="H83:I83"/>
    <mergeCell ref="J83:K83"/>
    <mergeCell ref="A90:C90"/>
    <mergeCell ref="H90:J90"/>
    <mergeCell ref="A145:E145"/>
    <mergeCell ref="A147:A148"/>
    <mergeCell ref="A80:E80"/>
    <mergeCell ref="A82:A83"/>
    <mergeCell ref="D82:E82"/>
    <mergeCell ref="H82:I82"/>
    <mergeCell ref="J82:K82"/>
    <mergeCell ref="L82:M82"/>
    <mergeCell ref="D83:E83"/>
    <mergeCell ref="L83:M83"/>
    <mergeCell ref="B147:C147"/>
    <mergeCell ref="D147:E147"/>
    <mergeCell ref="J212:K212"/>
    <mergeCell ref="D221:E221"/>
    <mergeCell ref="H221:I221"/>
    <mergeCell ref="A210:E210"/>
    <mergeCell ref="A212:A213"/>
    <mergeCell ref="D212:E212"/>
    <mergeCell ref="H212:I212"/>
    <mergeCell ref="A170:E170"/>
    <mergeCell ref="A172:A173"/>
    <mergeCell ref="J172:K172"/>
    <mergeCell ref="B181:C181"/>
    <mergeCell ref="D181:E181"/>
    <mergeCell ref="H181:I181"/>
    <mergeCell ref="I254:O254"/>
    <mergeCell ref="A257:F257"/>
    <mergeCell ref="B259:F259"/>
    <mergeCell ref="D270:E270"/>
    <mergeCell ref="L270:M270"/>
    <mergeCell ref="D316:E316"/>
    <mergeCell ref="B330:H330"/>
    <mergeCell ref="D335:E335"/>
    <mergeCell ref="L335:M335"/>
    <mergeCell ref="B284:E284"/>
    <mergeCell ref="D295:E295"/>
    <mergeCell ref="L295:M295"/>
    <mergeCell ref="B310:F310"/>
    <mergeCell ref="L316:M316"/>
    <mergeCell ref="O410:V410"/>
    <mergeCell ref="AB410:AI410"/>
    <mergeCell ref="D416:E416"/>
    <mergeCell ref="Q416:R416"/>
    <mergeCell ref="B384:G384"/>
    <mergeCell ref="O384:T384"/>
    <mergeCell ref="AB384:AG384"/>
    <mergeCell ref="D396:E396"/>
    <mergeCell ref="Q396:R396"/>
    <mergeCell ref="AD396:AE396"/>
    <mergeCell ref="B410:I410"/>
    <mergeCell ref="Q370:R370"/>
    <mergeCell ref="AD370:AE370"/>
    <mergeCell ref="B357:L357"/>
    <mergeCell ref="O357:Y357"/>
    <mergeCell ref="AB357:AL357"/>
    <mergeCell ref="B358:F358"/>
    <mergeCell ref="O358:S358"/>
    <mergeCell ref="AB358:AF358"/>
    <mergeCell ref="D370:E370"/>
    <mergeCell ref="O485:V485"/>
    <mergeCell ref="AB485:AI485"/>
    <mergeCell ref="D491:E491"/>
    <mergeCell ref="Q491:R491"/>
    <mergeCell ref="AD491:AE491"/>
    <mergeCell ref="B485:I485"/>
    <mergeCell ref="B459:G459"/>
    <mergeCell ref="O459:T459"/>
    <mergeCell ref="AB459:AG459"/>
    <mergeCell ref="D471:E471"/>
    <mergeCell ref="Q471:R471"/>
    <mergeCell ref="AD471:AE471"/>
    <mergeCell ref="Q445:R445"/>
    <mergeCell ref="AD445:AE445"/>
    <mergeCell ref="B432:L432"/>
    <mergeCell ref="O432:Y432"/>
    <mergeCell ref="AB432:AL432"/>
    <mergeCell ref="B433:F433"/>
    <mergeCell ref="O433:S433"/>
    <mergeCell ref="AB433:AF433"/>
    <mergeCell ref="D445:E445"/>
    <mergeCell ref="R538:S538"/>
    <mergeCell ref="D545:E545"/>
    <mergeCell ref="B562:L562"/>
    <mergeCell ref="O562:Y562"/>
    <mergeCell ref="AB562:AL562"/>
    <mergeCell ref="B507:L507"/>
    <mergeCell ref="B508:F508"/>
    <mergeCell ref="D520:E520"/>
    <mergeCell ref="B534:G534"/>
    <mergeCell ref="O534:T534"/>
    <mergeCell ref="D601:E601"/>
    <mergeCell ref="Q601:R601"/>
    <mergeCell ref="AD601:AE601"/>
    <mergeCell ref="D575:E575"/>
    <mergeCell ref="Q575:R575"/>
    <mergeCell ref="AD575:AE575"/>
    <mergeCell ref="B563:F563"/>
    <mergeCell ref="O563:S563"/>
    <mergeCell ref="AB563:AF563"/>
    <mergeCell ref="B589:G589"/>
    <mergeCell ref="O589:T589"/>
    <mergeCell ref="AB589:AG589"/>
    <mergeCell ref="Q700:R700"/>
    <mergeCell ref="AD700:AE700"/>
    <mergeCell ref="D681:E681"/>
    <mergeCell ref="Q681:R681"/>
    <mergeCell ref="AD681:AE681"/>
    <mergeCell ref="B695:I695"/>
    <mergeCell ref="O695:V695"/>
    <mergeCell ref="AB695:AI695"/>
    <mergeCell ref="D700:E700"/>
    <mergeCell ref="O675:V675"/>
    <mergeCell ref="AB675:AI675"/>
    <mergeCell ref="B649:G649"/>
    <mergeCell ref="O649:T649"/>
    <mergeCell ref="AB649:AG649"/>
    <mergeCell ref="D661:E661"/>
    <mergeCell ref="Q661:R661"/>
    <mergeCell ref="AD661:AE661"/>
    <mergeCell ref="B675:I675"/>
    <mergeCell ref="Q635:R635"/>
    <mergeCell ref="AD635:AE635"/>
    <mergeCell ref="B622:L622"/>
    <mergeCell ref="O622:Y622"/>
    <mergeCell ref="AB622:AL622"/>
    <mergeCell ref="B623:F623"/>
    <mergeCell ref="O623:S623"/>
    <mergeCell ref="AB623:AF623"/>
    <mergeCell ref="D635:E635"/>
  </mergeCells>
  <conditionalFormatting sqref="C42">
    <cfRule type="cellIs" dxfId="46" priority="61" operator="lessThan">
      <formula>3.3</formula>
    </cfRule>
  </conditionalFormatting>
  <conditionalFormatting sqref="C42">
    <cfRule type="cellIs" dxfId="45" priority="62" operator="greaterThanOrEqual">
      <formula>$G$19</formula>
    </cfRule>
  </conditionalFormatting>
  <conditionalFormatting sqref="C43">
    <cfRule type="notContainsBlanks" dxfId="44" priority="63">
      <formula>LEN(TRIM(C43))&gt;0</formula>
    </cfRule>
  </conditionalFormatting>
  <conditionalFormatting sqref="F6:G6">
    <cfRule type="notContainsBlanks" dxfId="43" priority="64">
      <formula>LEN(TRIM(F6))&gt;0</formula>
    </cfRule>
  </conditionalFormatting>
  <conditionalFormatting sqref="C46 F46:G46">
    <cfRule type="cellIs" dxfId="42" priority="65" operator="greaterThan">
      <formula>$C$22</formula>
    </cfRule>
  </conditionalFormatting>
  <conditionalFormatting sqref="C46 F46:G46">
    <cfRule type="cellIs" dxfId="41" priority="66" operator="lessThan">
      <formula>$C$22</formula>
    </cfRule>
  </conditionalFormatting>
  <conditionalFormatting sqref="C6:C9">
    <cfRule type="expression" dxfId="40" priority="67">
      <formula>E6&lt;&gt;""</formula>
    </cfRule>
  </conditionalFormatting>
  <conditionalFormatting sqref="E6:E9">
    <cfRule type="notContainsBlanks" dxfId="39" priority="68">
      <formula>LEN(TRIM(E6))&gt;0</formula>
    </cfRule>
  </conditionalFormatting>
  <conditionalFormatting sqref="F8:F9">
    <cfRule type="expression" dxfId="38" priority="69">
      <formula>E6&lt;&gt;""</formula>
    </cfRule>
  </conditionalFormatting>
  <conditionalFormatting sqref="F8:F9">
    <cfRule type="expression" dxfId="37" priority="70">
      <formula>E7&lt;&gt;""</formula>
    </cfRule>
  </conditionalFormatting>
  <conditionalFormatting sqref="F8:F9">
    <cfRule type="expression" dxfId="36" priority="71">
      <formula>E8&lt;&gt;""</formula>
    </cfRule>
  </conditionalFormatting>
  <conditionalFormatting sqref="F8:F9">
    <cfRule type="expression" dxfId="35" priority="72">
      <formula>E9&lt;&gt;""</formula>
    </cfRule>
  </conditionalFormatting>
  <conditionalFormatting sqref="C25">
    <cfRule type="cellIs" dxfId="34" priority="73" operator="greaterThan">
      <formula>F25</formula>
    </cfRule>
  </conditionalFormatting>
  <conditionalFormatting sqref="C24">
    <cfRule type="cellIs" dxfId="33" priority="74" operator="lessThan">
      <formula>-10</formula>
    </cfRule>
  </conditionalFormatting>
  <conditionalFormatting sqref="C5">
    <cfRule type="expression" dxfId="32" priority="75">
      <formula>AND(LEN(C5)&gt;=4, LEFT(C5, 4) &lt;&gt; LEFT(C4, 4))</formula>
    </cfRule>
  </conditionalFormatting>
  <conditionalFormatting sqref="C28">
    <cfRule type="cellIs" dxfId="31" priority="76" operator="lessThanOrEqual">
      <formula>C20</formula>
    </cfRule>
  </conditionalFormatting>
  <conditionalFormatting sqref="C28">
    <cfRule type="cellIs" dxfId="30" priority="77" operator="greaterThan">
      <formula>C20</formula>
    </cfRule>
  </conditionalFormatting>
  <conditionalFormatting sqref="C29">
    <cfRule type="cellIs" dxfId="29" priority="78" operator="lessThanOrEqual">
      <formula>C21</formula>
    </cfRule>
  </conditionalFormatting>
  <conditionalFormatting sqref="C29">
    <cfRule type="cellIs" dxfId="28" priority="79" operator="greaterThan">
      <formula>"C21"</formula>
    </cfRule>
  </conditionalFormatting>
  <conditionalFormatting sqref="C30">
    <cfRule type="cellIs" dxfId="27" priority="80" operator="lessThanOrEqual">
      <formula>C19</formula>
    </cfRule>
  </conditionalFormatting>
  <conditionalFormatting sqref="C30">
    <cfRule type="cellIs" dxfId="26" priority="81" operator="greaterThan">
      <formula>C19</formula>
    </cfRule>
  </conditionalFormatting>
  <conditionalFormatting sqref="C35 I35">
    <cfRule type="cellIs" dxfId="25" priority="82" operator="lessThanOrEqual">
      <formula>C20</formula>
    </cfRule>
  </conditionalFormatting>
  <conditionalFormatting sqref="C35 I35">
    <cfRule type="cellIs" dxfId="24" priority="83" operator="greaterThan">
      <formula>C20</formula>
    </cfRule>
  </conditionalFormatting>
  <conditionalFormatting sqref="C36">
    <cfRule type="cellIs" dxfId="23" priority="84" operator="lessThanOrEqual">
      <formula>C21</formula>
    </cfRule>
  </conditionalFormatting>
  <conditionalFormatting sqref="C36">
    <cfRule type="cellIs" dxfId="22" priority="85" operator="greaterThan">
      <formula>C21</formula>
    </cfRule>
  </conditionalFormatting>
  <conditionalFormatting sqref="C37">
    <cfRule type="cellIs" dxfId="21" priority="86" operator="lessThanOrEqual">
      <formula>C19</formula>
    </cfRule>
  </conditionalFormatting>
  <conditionalFormatting sqref="C37">
    <cfRule type="cellIs" dxfId="20" priority="87" operator="greaterThan">
      <formula>C19</formula>
    </cfRule>
  </conditionalFormatting>
  <conditionalFormatting sqref="B286:D293">
    <cfRule type="colorScale" priority="53">
      <colorScale>
        <cfvo type="min"/>
        <cfvo type="max"/>
        <color rgb="FFFCFCFF"/>
        <color rgb="FFF8696B"/>
      </colorScale>
    </cfRule>
  </conditionalFormatting>
  <conditionalFormatting sqref="B312:D314">
    <cfRule type="colorScale" priority="54">
      <colorScale>
        <cfvo type="min"/>
        <cfvo type="max"/>
        <color rgb="FFFCFCFF"/>
        <color rgb="FFF8696B"/>
      </colorScale>
    </cfRule>
  </conditionalFormatting>
  <conditionalFormatting sqref="B261:E267">
    <cfRule type="colorScale" priority="55">
      <colorScale>
        <cfvo type="min"/>
        <cfvo type="max"/>
        <color rgb="FFFCFCFF"/>
        <color rgb="FFF8696B"/>
      </colorScale>
    </cfRule>
  </conditionalFormatting>
  <conditionalFormatting sqref="B332:E333">
    <cfRule type="colorScale" priority="56">
      <colorScale>
        <cfvo type="min"/>
        <cfvo type="max"/>
        <color rgb="FFFCFCFF"/>
        <color rgb="FFF8696B"/>
      </colorScale>
    </cfRule>
  </conditionalFormatting>
  <conditionalFormatting sqref="I286:O293">
    <cfRule type="colorScale" priority="57">
      <colorScale>
        <cfvo type="min"/>
        <cfvo type="max"/>
        <color rgb="FFFCFCFF"/>
        <color rgb="FFF8696B"/>
      </colorScale>
    </cfRule>
  </conditionalFormatting>
  <conditionalFormatting sqref="I312:O314">
    <cfRule type="colorScale" priority="58">
      <colorScale>
        <cfvo type="min"/>
        <cfvo type="max"/>
        <color rgb="FFFCFCFF"/>
        <color rgb="FFF8696B"/>
      </colorScale>
    </cfRule>
  </conditionalFormatting>
  <conditionalFormatting sqref="J261:O268">
    <cfRule type="colorScale" priority="59">
      <colorScale>
        <cfvo type="min"/>
        <cfvo type="max"/>
        <color rgb="FFFCFCFF"/>
        <color rgb="FFF8696B"/>
      </colorScale>
    </cfRule>
  </conditionalFormatting>
  <conditionalFormatting sqref="J332:O333">
    <cfRule type="colorScale" priority="60">
      <colorScale>
        <cfvo type="min"/>
        <cfvo type="max"/>
        <color rgb="FFFCFCFF"/>
        <color rgb="FFF8696B"/>
      </colorScale>
    </cfRule>
  </conditionalFormatting>
  <conditionalFormatting sqref="B360:E367">
    <cfRule type="colorScale" priority="41">
      <colorScale>
        <cfvo type="min"/>
        <cfvo type="max"/>
        <color rgb="FFFCFCFF"/>
        <color rgb="FFF8696B"/>
      </colorScale>
    </cfRule>
  </conditionalFormatting>
  <conditionalFormatting sqref="B386:G393">
    <cfRule type="colorScale" priority="42">
      <colorScale>
        <cfvo type="min"/>
        <cfvo type="max"/>
        <color rgb="FFFCFCFF"/>
        <color rgb="FFF8696B"/>
      </colorScale>
    </cfRule>
  </conditionalFormatting>
  <conditionalFormatting sqref="B412:H414">
    <cfRule type="colorScale" priority="43">
      <colorScale>
        <cfvo type="min"/>
        <cfvo type="max"/>
        <color rgb="FFFCFCFF"/>
        <color rgb="FFF8696B"/>
      </colorScale>
    </cfRule>
  </conditionalFormatting>
  <conditionalFormatting sqref="J360:M368">
    <cfRule type="colorScale" priority="44">
      <colorScale>
        <cfvo type="min"/>
        <cfvo type="max"/>
        <color rgb="FFFCFCFF"/>
        <color rgb="FFF8696B"/>
      </colorScale>
    </cfRule>
  </conditionalFormatting>
  <conditionalFormatting sqref="O360:R367">
    <cfRule type="colorScale" priority="45">
      <colorScale>
        <cfvo type="min"/>
        <cfvo type="max"/>
        <color rgb="FFFCFCFF"/>
        <color rgb="FFF8696B"/>
      </colorScale>
    </cfRule>
  </conditionalFormatting>
  <conditionalFormatting sqref="O412:V414">
    <cfRule type="colorScale" priority="46">
      <colorScale>
        <cfvo type="min"/>
        <cfvo type="max"/>
        <color rgb="FFFCFCFF"/>
        <color rgb="FFF8696B"/>
      </colorScale>
    </cfRule>
  </conditionalFormatting>
  <conditionalFormatting sqref="Q386:S393">
    <cfRule type="colorScale" priority="47">
      <colorScale>
        <cfvo type="min"/>
        <cfvo type="max"/>
        <color rgb="FFFCFCFF"/>
        <color rgb="FFF8696B"/>
      </colorScale>
    </cfRule>
  </conditionalFormatting>
  <conditionalFormatting sqref="W360:Y368">
    <cfRule type="colorScale" priority="48">
      <colorScale>
        <cfvo type="min"/>
        <cfvo type="max"/>
        <color rgb="FFFCFCFF"/>
        <color rgb="FFF8696B"/>
      </colorScale>
    </cfRule>
  </conditionalFormatting>
  <conditionalFormatting sqref="AB360:AE367">
    <cfRule type="colorScale" priority="49">
      <colorScale>
        <cfvo type="min"/>
        <cfvo type="max"/>
        <color rgb="FFFCFCFF"/>
        <color rgb="FFF8696B"/>
      </colorScale>
    </cfRule>
  </conditionalFormatting>
  <conditionalFormatting sqref="AC412:AJ414">
    <cfRule type="colorScale" priority="50">
      <colorScale>
        <cfvo type="min"/>
        <cfvo type="max"/>
        <color rgb="FFFCFCFF"/>
        <color rgb="FFF8696B"/>
      </colorScale>
    </cfRule>
  </conditionalFormatting>
  <conditionalFormatting sqref="AE386:AJ393">
    <cfRule type="colorScale" priority="51">
      <colorScale>
        <cfvo type="min"/>
        <cfvo type="max"/>
        <color rgb="FFFCFCFF"/>
        <color rgb="FFF8696B"/>
      </colorScale>
    </cfRule>
  </conditionalFormatting>
  <conditionalFormatting sqref="AJ360:AL368">
    <cfRule type="colorScale" priority="52">
      <colorScale>
        <cfvo type="min"/>
        <cfvo type="max"/>
        <color rgb="FFFCFCFF"/>
        <color rgb="FFF8696B"/>
      </colorScale>
    </cfRule>
  </conditionalFormatting>
  <conditionalFormatting sqref="B435:E442">
    <cfRule type="colorScale" priority="29">
      <colorScale>
        <cfvo type="min"/>
        <cfvo type="max"/>
        <color rgb="FFFCFCFF"/>
        <color rgb="FFF8696B"/>
      </colorScale>
    </cfRule>
  </conditionalFormatting>
  <conditionalFormatting sqref="B461:F468">
    <cfRule type="colorScale" priority="30">
      <colorScale>
        <cfvo type="min"/>
        <cfvo type="max"/>
        <color rgb="FFFCFCFF"/>
        <color rgb="FFF8696B"/>
      </colorScale>
    </cfRule>
  </conditionalFormatting>
  <conditionalFormatting sqref="B487:G489">
    <cfRule type="colorScale" priority="31">
      <colorScale>
        <cfvo type="min"/>
        <cfvo type="max"/>
        <color rgb="FFFCFCFF"/>
        <color rgb="FFF8696B"/>
      </colorScale>
    </cfRule>
  </conditionalFormatting>
  <conditionalFormatting sqref="J435:M443">
    <cfRule type="colorScale" priority="32">
      <colorScale>
        <cfvo type="min"/>
        <cfvo type="max"/>
        <color rgb="FFFCFCFF"/>
        <color rgb="FFF8696B"/>
      </colorScale>
    </cfRule>
  </conditionalFormatting>
  <conditionalFormatting sqref="O435:R442">
    <cfRule type="colorScale" priority="33">
      <colorScale>
        <cfvo type="min"/>
        <cfvo type="max"/>
        <color rgb="FFFCFCFF"/>
        <color rgb="FFF8696B"/>
      </colorScale>
    </cfRule>
  </conditionalFormatting>
  <conditionalFormatting sqref="O461:R468">
    <cfRule type="colorScale" priority="34">
      <colorScale>
        <cfvo type="min"/>
        <cfvo type="max"/>
        <color rgb="FFFCFCFF"/>
        <color rgb="FFF8696B"/>
      </colorScale>
    </cfRule>
  </conditionalFormatting>
  <conditionalFormatting sqref="O487:T489">
    <cfRule type="colorScale" priority="35">
      <colorScale>
        <cfvo type="min"/>
        <cfvo type="max"/>
        <color rgb="FFFCFCFF"/>
        <color rgb="FFF8696B"/>
      </colorScale>
    </cfRule>
  </conditionalFormatting>
  <conditionalFormatting sqref="W435:Y443">
    <cfRule type="colorScale" priority="36">
      <colorScale>
        <cfvo type="min"/>
        <cfvo type="max"/>
        <color rgb="FFFCFCFF"/>
        <color rgb="FFF8696B"/>
      </colorScale>
    </cfRule>
  </conditionalFormatting>
  <conditionalFormatting sqref="AB435:AE442">
    <cfRule type="colorScale" priority="37">
      <colorScale>
        <cfvo type="min"/>
        <cfvo type="max"/>
        <color rgb="FFFCFCFF"/>
        <color rgb="FFF8696B"/>
      </colorScale>
    </cfRule>
  </conditionalFormatting>
  <conditionalFormatting sqref="AB461:AF468">
    <cfRule type="colorScale" priority="38">
      <colorScale>
        <cfvo type="min"/>
        <cfvo type="max"/>
        <color rgb="FFFCFCFF"/>
        <color rgb="FFF8696B"/>
      </colorScale>
    </cfRule>
  </conditionalFormatting>
  <conditionalFormatting sqref="AB487:AG489">
    <cfRule type="colorScale" priority="39">
      <colorScale>
        <cfvo type="min"/>
        <cfvo type="max"/>
        <color rgb="FFFCFCFF"/>
        <color rgb="FFF8696B"/>
      </colorScale>
    </cfRule>
  </conditionalFormatting>
  <conditionalFormatting sqref="AJ435:AL443">
    <cfRule type="colorScale" priority="40">
      <colorScale>
        <cfvo type="min"/>
        <cfvo type="max"/>
        <color rgb="FFFCFCFF"/>
        <color rgb="FFF8696B"/>
      </colorScale>
    </cfRule>
  </conditionalFormatting>
  <conditionalFormatting sqref="B510:E517">
    <cfRule type="colorScale" priority="25">
      <colorScale>
        <cfvo type="min"/>
        <cfvo type="max"/>
        <color rgb="FFFCFCFF"/>
        <color rgb="FFF8696B"/>
      </colorScale>
    </cfRule>
  </conditionalFormatting>
  <conditionalFormatting sqref="B536:E542">
    <cfRule type="colorScale" priority="26">
      <colorScale>
        <cfvo type="min"/>
        <cfvo type="max"/>
        <color rgb="FFFCFCFF"/>
        <color rgb="FFF8696B"/>
      </colorScale>
    </cfRule>
  </conditionalFormatting>
  <conditionalFormatting sqref="J510:M518">
    <cfRule type="colorScale" priority="27">
      <colorScale>
        <cfvo type="min"/>
        <cfvo type="max"/>
        <color rgb="FFFCFCFF"/>
        <color rgb="FFF8696B"/>
      </colorScale>
    </cfRule>
  </conditionalFormatting>
  <conditionalFormatting sqref="R536:AA536">
    <cfRule type="colorScale" priority="28">
      <colorScale>
        <cfvo type="min"/>
        <cfvo type="max"/>
        <color rgb="FFFCFCFF"/>
        <color rgb="FFF8696B"/>
      </colorScale>
    </cfRule>
  </conditionalFormatting>
  <conditionalFormatting sqref="B565:E572">
    <cfRule type="colorScale" priority="16">
      <colorScale>
        <cfvo type="min"/>
        <cfvo type="max"/>
        <color rgb="FFFCFCFF"/>
        <color rgb="FFF8696B"/>
      </colorScale>
    </cfRule>
  </conditionalFormatting>
  <conditionalFormatting sqref="B591:F598">
    <cfRule type="colorScale" priority="17">
      <colorScale>
        <cfvo type="min"/>
        <cfvo type="max"/>
        <color rgb="FFFCFCFF"/>
        <color rgb="FFF8696B"/>
      </colorScale>
    </cfRule>
  </conditionalFormatting>
  <conditionalFormatting sqref="J565:M573">
    <cfRule type="colorScale" priority="18">
      <colorScale>
        <cfvo type="min"/>
        <cfvo type="max"/>
        <color rgb="FFFCFCFF"/>
        <color rgb="FFF8696B"/>
      </colorScale>
    </cfRule>
  </conditionalFormatting>
  <conditionalFormatting sqref="O565:R572">
    <cfRule type="colorScale" priority="19">
      <colorScale>
        <cfvo type="min"/>
        <cfvo type="max"/>
        <color rgb="FFFCFCFF"/>
        <color rgb="FFF8696B"/>
      </colorScale>
    </cfRule>
  </conditionalFormatting>
  <conditionalFormatting sqref="P591:S598">
    <cfRule type="colorScale" priority="20">
      <colorScale>
        <cfvo type="min"/>
        <cfvo type="max"/>
        <color rgb="FFFCFCFF"/>
        <color rgb="FFF8696B"/>
      </colorScale>
    </cfRule>
  </conditionalFormatting>
  <conditionalFormatting sqref="W565:Y573">
    <cfRule type="colorScale" priority="21">
      <colorScale>
        <cfvo type="min"/>
        <cfvo type="max"/>
        <color rgb="FFFCFCFF"/>
        <color rgb="FFF8696B"/>
      </colorScale>
    </cfRule>
  </conditionalFormatting>
  <conditionalFormatting sqref="AB565:AE57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B591:AE598">
    <cfRule type="colorScale" priority="23">
      <colorScale>
        <cfvo type="min"/>
        <cfvo type="max"/>
        <color rgb="FFFCFCFF"/>
        <color rgb="FFF8696B"/>
      </colorScale>
    </cfRule>
  </conditionalFormatting>
  <conditionalFormatting sqref="AJ565:AL573">
    <cfRule type="colorScale" priority="24">
      <colorScale>
        <cfvo type="min"/>
        <cfvo type="max"/>
        <color rgb="FFFCFCFF"/>
        <color rgb="FFF8696B"/>
      </colorScale>
    </cfRule>
  </conditionalFormatting>
  <conditionalFormatting sqref="B625:E632">
    <cfRule type="colorScale" priority="1">
      <colorScale>
        <cfvo type="min"/>
        <cfvo type="max"/>
        <color rgb="FFFCFCFF"/>
        <color rgb="FFF8696B"/>
      </colorScale>
    </cfRule>
  </conditionalFormatting>
  <conditionalFormatting sqref="B651:F658">
    <cfRule type="colorScale" priority="2">
      <colorScale>
        <cfvo type="min"/>
        <cfvo type="max"/>
        <color rgb="FFFCFCFF"/>
        <color rgb="FFF8696B"/>
      </colorScale>
    </cfRule>
  </conditionalFormatting>
  <conditionalFormatting sqref="B677:G679">
    <cfRule type="colorScale" priority="3">
      <colorScale>
        <cfvo type="min"/>
        <cfvo type="max"/>
        <color rgb="FFFCFCFF"/>
        <color rgb="FFF8696B"/>
      </colorScale>
    </cfRule>
  </conditionalFormatting>
  <conditionalFormatting sqref="B697:G698">
    <cfRule type="colorScale" priority="4">
      <colorScale>
        <cfvo type="min"/>
        <cfvo type="max"/>
        <color rgb="FFFCFCFF"/>
        <color rgb="FFF8696B"/>
      </colorScale>
    </cfRule>
  </conditionalFormatting>
  <conditionalFormatting sqref="J625:M633">
    <cfRule type="colorScale" priority="5">
      <colorScale>
        <cfvo type="min"/>
        <cfvo type="max"/>
        <color rgb="FFFCFCFF"/>
        <color rgb="FFF8696B"/>
      </colorScale>
    </cfRule>
  </conditionalFormatting>
  <conditionalFormatting sqref="O625:R632">
    <cfRule type="colorScale" priority="6">
      <colorScale>
        <cfvo type="min"/>
        <cfvo type="max"/>
        <color rgb="FFFCFCFF"/>
        <color rgb="FFF8696B"/>
      </colorScale>
    </cfRule>
  </conditionalFormatting>
  <conditionalFormatting sqref="O677:U679">
    <cfRule type="colorScale" priority="7">
      <colorScale>
        <cfvo type="min"/>
        <cfvo type="max"/>
        <color rgb="FFFCFCFF"/>
        <color rgb="FFF8696B"/>
      </colorScale>
    </cfRule>
  </conditionalFormatting>
  <conditionalFormatting sqref="O697:U698">
    <cfRule type="colorScale" priority="8">
      <colorScale>
        <cfvo type="min"/>
        <cfvo type="max"/>
        <color rgb="FFFCFCFF"/>
        <color rgb="FFF8696B"/>
      </colorScale>
    </cfRule>
  </conditionalFormatting>
  <conditionalFormatting sqref="P651:S658">
    <cfRule type="colorScale" priority="9">
      <colorScale>
        <cfvo type="min"/>
        <cfvo type="max"/>
        <color rgb="FFFCFCFF"/>
        <color rgb="FFF8696B"/>
      </colorScale>
    </cfRule>
  </conditionalFormatting>
  <conditionalFormatting sqref="W625:Y633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625:AE632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677:AG679">
    <cfRule type="colorScale" priority="12">
      <colorScale>
        <cfvo type="min"/>
        <cfvo type="max"/>
        <color rgb="FFFCFCFF"/>
        <color rgb="FFF8696B"/>
      </colorScale>
    </cfRule>
  </conditionalFormatting>
  <conditionalFormatting sqref="AB697:AK698">
    <cfRule type="colorScale" priority="13">
      <colorScale>
        <cfvo type="min"/>
        <cfvo type="max"/>
        <color rgb="FFFCFCFF"/>
        <color rgb="FFF8696B"/>
      </colorScale>
    </cfRule>
  </conditionalFormatting>
  <conditionalFormatting sqref="AC651:AF658">
    <cfRule type="colorScale" priority="14">
      <colorScale>
        <cfvo type="min"/>
        <cfvo type="max"/>
        <color rgb="FFFCFCFF"/>
        <color rgb="FFF8696B"/>
      </colorScale>
    </cfRule>
  </conditionalFormatting>
  <conditionalFormatting sqref="AJ625:AL633">
    <cfRule type="colorScale" priority="15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ErrorMessage="1" sqref="F2" xr:uid="{00000000-0002-0000-0000-000000000000}">
      <formula1>"SE-LTL,SE-KVL,SE-MJU"</formula1>
    </dataValidation>
  </dataValidations>
  <printOptions horizontalCentered="1" verticalCentered="1"/>
  <pageMargins left="0.39370078740157483" right="0.39370078740157483" top="0.59055118110236227" bottom="0.59055118110236227" header="0" footer="0"/>
  <pageSetup paperSize="9" orientation="portrait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1000000}">
          <x14:formula1>
            <xm:f>'Airport data'!$A$5:$A$44</xm:f>
          </x14:formula1>
          <xm:sqref>C4</xm:sqref>
        </x14:dataValidation>
        <x14:dataValidation type="list" allowBlank="1" showErrorMessage="1" xr:uid="{00000000-0002-0000-0000-000002000000}">
          <x14:formula1>
            <xm:f>'Dropdown lists'!$B$30:$B$31</xm:f>
          </x14:formula1>
          <xm:sqref>C13</xm:sqref>
        </x14:dataValidation>
        <x14:dataValidation type="list" allowBlank="1" showErrorMessage="1" xr:uid="{00000000-0002-0000-0000-000003000000}">
          <x14:formula1>
            <xm:f>'Dropdown lists'!$B$4:$B$9</xm:f>
          </x14:formula1>
          <xm:sqref>C10</xm:sqref>
        </x14:dataValidation>
        <x14:dataValidation type="list" allowBlank="1" showErrorMessage="1" xr:uid="{00000000-0002-0000-0000-000004000000}">
          <x14:formula1>
            <xm:f>'Dropdown lists'!$B$34:$B$40</xm:f>
          </x14:formula1>
          <xm:sqref>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K1003"/>
  <sheetViews>
    <sheetView showGridLines="0" topLeftCell="A5" workbookViewId="0">
      <selection activeCell="C12" sqref="C12"/>
    </sheetView>
  </sheetViews>
  <sheetFormatPr defaultColWidth="14.42578125" defaultRowHeight="15" customHeight="1"/>
  <cols>
    <col min="1" max="1" width="4.42578125" customWidth="1"/>
    <col min="2" max="2" width="27" customWidth="1"/>
    <col min="3" max="3" width="16" customWidth="1"/>
    <col min="4" max="4" width="4.42578125" customWidth="1"/>
    <col min="5" max="5" width="9" customWidth="1"/>
    <col min="6" max="6" width="15.28515625" customWidth="1"/>
    <col min="7" max="7" width="9" customWidth="1"/>
    <col min="9" max="9" width="4.85546875" customWidth="1"/>
  </cols>
  <sheetData>
    <row r="2" spans="2:9">
      <c r="B2" s="288" t="s">
        <v>164</v>
      </c>
      <c r="C2" s="324"/>
      <c r="D2" s="324"/>
      <c r="E2" s="324"/>
      <c r="F2" s="324"/>
      <c r="G2" s="61" t="s">
        <v>2</v>
      </c>
      <c r="H2" s="12"/>
    </row>
    <row r="3" spans="2:9">
      <c r="B3" s="284" t="s">
        <v>165</v>
      </c>
      <c r="C3" s="304"/>
      <c r="D3" s="304"/>
      <c r="E3" s="304"/>
      <c r="F3" s="304"/>
      <c r="G3" s="62" t="s">
        <v>166</v>
      </c>
      <c r="H3" s="12"/>
    </row>
    <row r="4" spans="2:9" ht="52.5" customHeight="1">
      <c r="B4" s="220" t="s">
        <v>4</v>
      </c>
      <c r="C4" s="289" t="s">
        <v>5</v>
      </c>
      <c r="D4" s="325"/>
      <c r="E4" s="325"/>
      <c r="F4" s="325"/>
      <c r="G4" s="326"/>
      <c r="H4" s="12"/>
      <c r="I4" s="12"/>
    </row>
    <row r="5" spans="2:9" ht="30.75" customHeight="1">
      <c r="B5" s="221"/>
      <c r="C5" s="286" t="s">
        <v>167</v>
      </c>
      <c r="D5" s="306"/>
      <c r="E5" s="306"/>
      <c r="F5" s="306"/>
      <c r="G5" s="307"/>
      <c r="H5" s="12"/>
      <c r="I5" s="12"/>
    </row>
    <row r="6" spans="2:9">
      <c r="B6" s="221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0</v>
      </c>
      <c r="D6" s="67" t="s">
        <v>8</v>
      </c>
      <c r="E6" s="68"/>
      <c r="F6" s="287" t="str">
        <f>IF(C21&lt;0, "Tailwind", "")</f>
        <v/>
      </c>
      <c r="G6" s="308"/>
      <c r="H6" s="12"/>
      <c r="I6" s="12"/>
    </row>
    <row r="7" spans="2:9">
      <c r="B7" s="221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304"/>
      <c r="G7" s="308"/>
      <c r="H7" s="12"/>
    </row>
    <row r="8" spans="2:9" ht="18" customHeight="1">
      <c r="B8" s="221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80" t="s">
        <v>168</v>
      </c>
      <c r="G8" s="309" t="b">
        <v>0</v>
      </c>
      <c r="H8" s="12"/>
    </row>
    <row r="9" spans="2:9">
      <c r="B9" s="221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304"/>
      <c r="G9" s="308"/>
      <c r="H9" s="12"/>
      <c r="I9" s="82"/>
    </row>
    <row r="10" spans="2:9" ht="22.5" customHeight="1">
      <c r="B10" s="221" t="s">
        <v>15</v>
      </c>
      <c r="C10" s="84">
        <v>6</v>
      </c>
      <c r="D10" s="83"/>
      <c r="E10" s="294" t="s">
        <v>169</v>
      </c>
      <c r="F10" s="282" t="s">
        <v>170</v>
      </c>
      <c r="G10" s="310" t="b">
        <v>0</v>
      </c>
      <c r="H10" s="12"/>
    </row>
    <row r="11" spans="2:9" ht="22.5" customHeight="1">
      <c r="B11" s="221" t="s">
        <v>171</v>
      </c>
      <c r="C11" s="84">
        <v>11000</v>
      </c>
      <c r="D11" s="83" t="s">
        <v>25</v>
      </c>
      <c r="E11" s="304"/>
      <c r="F11" s="304"/>
      <c r="G11" s="308"/>
      <c r="H11" s="12"/>
      <c r="I11" s="12"/>
    </row>
    <row r="12" spans="2:9">
      <c r="B12" s="73" t="s">
        <v>172</v>
      </c>
      <c r="C12" s="66">
        <v>12500</v>
      </c>
      <c r="D12" s="8" t="s">
        <v>25</v>
      </c>
      <c r="E12" s="304"/>
      <c r="G12" s="222"/>
      <c r="H12" s="12"/>
      <c r="I12" s="12"/>
    </row>
    <row r="13" spans="2:9">
      <c r="B13" s="221"/>
      <c r="D13" s="83"/>
      <c r="E13" s="304"/>
      <c r="G13" s="222"/>
      <c r="H13" s="12"/>
      <c r="I13" s="12"/>
    </row>
    <row r="14" spans="2:9">
      <c r="B14" s="90" t="s">
        <v>173</v>
      </c>
      <c r="C14" s="295" t="str">
        <f>IF(C11&gt;C12, "Overweight landning","")</f>
        <v/>
      </c>
      <c r="D14" s="311"/>
      <c r="E14" s="311"/>
      <c r="F14" s="311"/>
      <c r="G14" s="308"/>
      <c r="H14" s="12"/>
    </row>
    <row r="15" spans="2:9">
      <c r="B15" s="221" t="s">
        <v>174</v>
      </c>
      <c r="C15" s="99">
        <f t="array" ref="C15">INDEX('Airport data'!$B$5:$H$43,MATCH($C$4,'Airport data'!$A$5:$A$43,0),1)</f>
        <v>541</v>
      </c>
      <c r="D15" s="83" t="s">
        <v>28</v>
      </c>
      <c r="G15" s="222"/>
      <c r="H15" s="12"/>
    </row>
    <row r="16" spans="2:9">
      <c r="B16" s="221" t="s">
        <v>29</v>
      </c>
      <c r="C16" s="101">
        <f t="array" ref="C16">INDEX('Airport data'!$B$5:$H$43,MATCH($C$4,'Airport data'!$A$5:$A$43,0),5)</f>
        <v>2300</v>
      </c>
      <c r="D16" s="83" t="s">
        <v>30</v>
      </c>
      <c r="E16" s="83"/>
      <c r="F16" s="275" t="s">
        <v>31</v>
      </c>
      <c r="G16" s="308"/>
      <c r="H16" s="12"/>
    </row>
    <row r="17" spans="2:11">
      <c r="B17" s="221" t="s">
        <v>32</v>
      </c>
      <c r="C17" s="99">
        <f t="array" ref="C17">INDEX('Airport data'!$B$5:$H$43,MATCH($C$4,'Airport data'!$A$5:$A$43,0),7)</f>
        <v>285</v>
      </c>
      <c r="D17" s="83" t="s">
        <v>8</v>
      </c>
      <c r="G17" s="222"/>
      <c r="H17" s="12"/>
    </row>
    <row r="18" spans="2:11">
      <c r="B18" s="221" t="s">
        <v>39</v>
      </c>
      <c r="C18" s="99">
        <f t="array" ref="C18">INDEX('Airport data'!$B$5:$H$43,MATCH($C$4,'Airport data'!$A$5:$A$43,0),4)</f>
        <v>2300</v>
      </c>
      <c r="D18" s="83" t="s">
        <v>34</v>
      </c>
      <c r="G18" s="222"/>
      <c r="H18" s="12"/>
    </row>
    <row r="19" spans="2:11">
      <c r="B19" s="102" t="s">
        <v>40</v>
      </c>
      <c r="C19" s="234"/>
      <c r="D19" s="234"/>
      <c r="E19" s="234"/>
      <c r="F19" s="234"/>
      <c r="G19" s="103"/>
      <c r="H19" s="12"/>
      <c r="I19" s="101"/>
    </row>
    <row r="20" spans="2:11">
      <c r="B20" s="221" t="s">
        <v>175</v>
      </c>
      <c r="C20" s="101">
        <f>IF( ISBLANK(Landing!C10),1.67, VLOOKUP(Landing!C10,'Dropdown lists'!B4:C10,2))</f>
        <v>1.67</v>
      </c>
      <c r="D20" s="83"/>
      <c r="G20" s="222"/>
      <c r="H20" s="12"/>
      <c r="I20" s="99"/>
      <c r="J20" s="12"/>
      <c r="K20" s="12"/>
    </row>
    <row r="21" spans="2:11">
      <c r="B21" s="221" t="s">
        <v>41</v>
      </c>
      <c r="C21" s="104">
        <f>'Take-off'!D111</f>
        <v>0</v>
      </c>
      <c r="D21" s="83" t="s">
        <v>42</v>
      </c>
      <c r="E21" s="95"/>
      <c r="F21" s="95"/>
      <c r="G21" s="222"/>
      <c r="H21" s="12"/>
      <c r="I21" s="99"/>
      <c r="J21" s="12"/>
      <c r="K21" s="12"/>
    </row>
    <row r="22" spans="2:11">
      <c r="B22" s="221" t="s">
        <v>43</v>
      </c>
      <c r="C22" s="104">
        <f>ABS('Take-off'!C116*C7)</f>
        <v>0</v>
      </c>
      <c r="D22" s="83" t="s">
        <v>42</v>
      </c>
      <c r="E22" s="95"/>
      <c r="F22" s="95" t="s">
        <v>44</v>
      </c>
      <c r="G22" s="225">
        <f t="array" ref="G22">IF(ISBLANK(C10), 25,  INDEX('Dropdown lists'!$B$4:$D$10,MATCH($C$10,'Dropdown lists'!$B$4:$B$10,0),3))</f>
        <v>25</v>
      </c>
      <c r="H22" s="12"/>
      <c r="I22" s="12"/>
      <c r="J22" s="12"/>
      <c r="K22" s="12"/>
    </row>
    <row r="23" spans="2:11">
      <c r="B23" s="235"/>
      <c r="C23" s="1"/>
      <c r="D23" s="1"/>
      <c r="E23" s="93"/>
      <c r="F23" s="93"/>
      <c r="G23" s="236"/>
      <c r="H23" s="12"/>
      <c r="I23" s="12"/>
      <c r="J23" s="12"/>
      <c r="K23" s="12"/>
    </row>
    <row r="24" spans="2:11" ht="15.75" customHeight="1">
      <c r="B24" s="226" t="s">
        <v>45</v>
      </c>
      <c r="C24" s="227" t="s">
        <v>46</v>
      </c>
      <c r="D24" s="227" t="s">
        <v>47</v>
      </c>
      <c r="E24" s="228"/>
      <c r="F24" s="228" t="s">
        <v>48</v>
      </c>
      <c r="G24" s="229" t="s">
        <v>49</v>
      </c>
      <c r="H24" s="12"/>
      <c r="I24" s="12"/>
      <c r="J24" s="12"/>
      <c r="K24" s="12"/>
    </row>
    <row r="25" spans="2:11" ht="15.75" customHeight="1">
      <c r="B25" s="290" t="s">
        <v>176</v>
      </c>
      <c r="C25" s="327"/>
      <c r="D25" s="327"/>
      <c r="E25" s="327"/>
      <c r="F25" s="327"/>
      <c r="G25" s="328"/>
      <c r="H25" s="12"/>
      <c r="I25" s="99"/>
      <c r="J25" s="12"/>
    </row>
    <row r="26" spans="2:11" ht="15.75" customHeight="1">
      <c r="B26" s="123" t="s">
        <v>63</v>
      </c>
      <c r="C26" s="128">
        <f>'Take-off'!M100</f>
        <v>113</v>
      </c>
      <c r="D26" s="129"/>
      <c r="G26" s="131">
        <f>'Take-off'!E100</f>
        <v>90</v>
      </c>
      <c r="H26" s="12"/>
    </row>
    <row r="27" spans="2:11" ht="15.75" customHeight="1">
      <c r="B27" s="123" t="s">
        <v>177</v>
      </c>
      <c r="C27" s="137">
        <f>('Take-off'!B167/3.28)*Landing!C20</f>
        <v>1587.5514890243899</v>
      </c>
      <c r="D27" s="26"/>
      <c r="G27" s="131">
        <f>'Take-off'!C351*C20</f>
        <v>933.8538170731706</v>
      </c>
      <c r="H27" s="12"/>
    </row>
    <row r="28" spans="2:11" ht="15.75" customHeight="1">
      <c r="B28" s="291" t="s">
        <v>178</v>
      </c>
      <c r="C28" s="304"/>
      <c r="D28" s="26"/>
      <c r="G28" s="237"/>
      <c r="H28" s="12"/>
    </row>
    <row r="29" spans="2:11" ht="15.75" customHeight="1">
      <c r="B29" s="238"/>
      <c r="C29" s="292" t="str">
        <f>IF(ISBLANK(C10), "Dry &amp; Unfactored *1,67", "" )</f>
        <v/>
      </c>
      <c r="D29" s="304"/>
      <c r="E29" s="304"/>
      <c r="F29" s="304"/>
      <c r="G29" s="308"/>
      <c r="H29" s="12"/>
      <c r="I29" s="12"/>
      <c r="J29" s="12"/>
      <c r="K29" s="12"/>
    </row>
    <row r="30" spans="2:11" ht="15.75" customHeight="1">
      <c r="B30" s="277" t="s">
        <v>179</v>
      </c>
      <c r="C30" s="305"/>
      <c r="D30" s="305"/>
      <c r="E30" s="305"/>
      <c r="F30" s="305"/>
      <c r="G30" s="312"/>
      <c r="H30" s="12"/>
      <c r="I30" s="12"/>
      <c r="J30" s="12"/>
    </row>
    <row r="31" spans="2:11" ht="15.75" customHeight="1">
      <c r="B31" s="145" t="s">
        <v>180</v>
      </c>
      <c r="C31" s="147">
        <f>IF( C21&gt;0, 'Take-off'!P550*(125/(125+50%*C21)), 'Take-off'!P550*(125/(125-150%*C21)) )</f>
        <v>6.984</v>
      </c>
      <c r="D31" s="293" t="s">
        <v>61</v>
      </c>
      <c r="E31" s="303"/>
      <c r="F31" s="303"/>
      <c r="G31" s="150"/>
      <c r="H31" s="12"/>
      <c r="I31" s="12"/>
      <c r="J31" s="12"/>
    </row>
    <row r="32" spans="2:11" ht="15.75" customHeight="1"/>
    <row r="33" spans="2:4" ht="15.75" customHeight="1"/>
    <row r="34" spans="2:4" ht="15.75" customHeight="1"/>
    <row r="35" spans="2:4" ht="15" customHeight="1">
      <c r="C35" s="12" t="s">
        <v>65</v>
      </c>
      <c r="D35" s="12" t="s">
        <v>181</v>
      </c>
    </row>
    <row r="36" spans="2:4" ht="15" customHeight="1">
      <c r="B36" s="12" t="s">
        <v>182</v>
      </c>
      <c r="C36" s="99">
        <f>Landing!$C$18</f>
        <v>2300</v>
      </c>
      <c r="D36" s="99">
        <f>Landing!$C$18</f>
        <v>2300</v>
      </c>
    </row>
    <row r="37" spans="2:4" ht="15" customHeight="1">
      <c r="B37" s="12" t="s">
        <v>96</v>
      </c>
      <c r="C37" s="99">
        <f>C27</f>
        <v>1587.5514890243899</v>
      </c>
      <c r="D37" s="99">
        <f>G27</f>
        <v>933.8538170731706</v>
      </c>
    </row>
    <row r="38" spans="2:4" ht="15.75" customHeight="1"/>
    <row r="39" spans="2:4" ht="15.75" customHeight="1"/>
    <row r="40" spans="2:4" ht="15.75" customHeight="1"/>
    <row r="41" spans="2:4" ht="15.75" customHeight="1"/>
    <row r="42" spans="2:4" ht="15.75" customHeight="1"/>
    <row r="43" spans="2:4" ht="15.75" customHeight="1"/>
    <row r="44" spans="2:4" ht="15.75" customHeight="1"/>
    <row r="45" spans="2:4" ht="15.75" customHeight="1"/>
    <row r="46" spans="2:4" ht="15.75" customHeight="1"/>
    <row r="47" spans="2:4" ht="15.75" customHeight="1"/>
    <row r="48" spans="2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7">
    <mergeCell ref="F8:F9"/>
    <mergeCell ref="F10:F11"/>
    <mergeCell ref="E10:E13"/>
    <mergeCell ref="C14:G14"/>
    <mergeCell ref="F16:G16"/>
    <mergeCell ref="G8:G9"/>
    <mergeCell ref="G10:G11"/>
    <mergeCell ref="B25:G25"/>
    <mergeCell ref="B28:C28"/>
    <mergeCell ref="C29:G29"/>
    <mergeCell ref="B30:G30"/>
    <mergeCell ref="D31:F31"/>
    <mergeCell ref="B2:F2"/>
    <mergeCell ref="B3:F3"/>
    <mergeCell ref="C4:G4"/>
    <mergeCell ref="C5:G5"/>
    <mergeCell ref="F6:G7"/>
  </mergeCells>
  <conditionalFormatting sqref="C6:C9">
    <cfRule type="expression" dxfId="19" priority="1">
      <formula>E6&lt;&gt;""</formula>
    </cfRule>
  </conditionalFormatting>
  <conditionalFormatting sqref="E6:E9">
    <cfRule type="notContainsBlanks" dxfId="18" priority="2">
      <formula>LEN(TRIM(E6))&gt;0</formula>
    </cfRule>
  </conditionalFormatting>
  <conditionalFormatting sqref="F8:F9">
    <cfRule type="expression" dxfId="17" priority="3">
      <formula>E6&lt;&gt;""</formula>
    </cfRule>
  </conditionalFormatting>
  <conditionalFormatting sqref="F8:F9">
    <cfRule type="expression" dxfId="16" priority="4">
      <formula>E7&lt;&gt;""</formula>
    </cfRule>
  </conditionalFormatting>
  <conditionalFormatting sqref="F8:F9">
    <cfRule type="expression" dxfId="15" priority="5">
      <formula>E8&lt;&gt;""</formula>
    </cfRule>
  </conditionalFormatting>
  <conditionalFormatting sqref="F8:F9">
    <cfRule type="expression" dxfId="14" priority="6">
      <formula>E9&lt;&gt;""</formula>
    </cfRule>
  </conditionalFormatting>
  <conditionalFormatting sqref="C6:C9">
    <cfRule type="expression" dxfId="13" priority="7">
      <formula>$G$8=TRUE</formula>
    </cfRule>
  </conditionalFormatting>
  <conditionalFormatting sqref="C19 C29">
    <cfRule type="notContainsBlanks" dxfId="12" priority="8">
      <formula>LEN(TRIM(C19))&gt;0</formula>
    </cfRule>
  </conditionalFormatting>
  <conditionalFormatting sqref="C23:C24">
    <cfRule type="cellIs" dxfId="11" priority="9" operator="lessThan">
      <formula>$C$19</formula>
    </cfRule>
  </conditionalFormatting>
  <conditionalFormatting sqref="C27 G27">
    <cfRule type="cellIs" dxfId="10" priority="10" operator="lessThanOrEqual">
      <formula>$C$18</formula>
    </cfRule>
  </conditionalFormatting>
  <conditionalFormatting sqref="C27">
    <cfRule type="cellIs" dxfId="9" priority="11" operator="greaterThan">
      <formula>$C$18</formula>
    </cfRule>
  </conditionalFormatting>
  <conditionalFormatting sqref="C31">
    <cfRule type="cellIs" dxfId="8" priority="12" operator="lessThan">
      <formula>2.5</formula>
    </cfRule>
  </conditionalFormatting>
  <conditionalFormatting sqref="C14:F14">
    <cfRule type="notContainsBlanks" dxfId="7" priority="13">
      <formula>LEN(TRIM(C14))&gt;0</formula>
    </cfRule>
  </conditionalFormatting>
  <conditionalFormatting sqref="G27">
    <cfRule type="cellIs" dxfId="6" priority="14" operator="greaterThan">
      <formula>$C$18</formula>
    </cfRule>
  </conditionalFormatting>
  <conditionalFormatting sqref="J11:K13">
    <cfRule type="notContainsBlanks" dxfId="5" priority="15">
      <formula>LEN(TRIM(J11))&gt;0</formula>
    </cfRule>
  </conditionalFormatting>
  <conditionalFormatting sqref="E6:E9">
    <cfRule type="expression" dxfId="4" priority="16">
      <formula>$G$8=TRUE</formula>
    </cfRule>
  </conditionalFormatting>
  <conditionalFormatting sqref="F6:G6">
    <cfRule type="notContainsBlanks" dxfId="3" priority="17">
      <formula>LEN(TRIM(F6))&gt;0</formula>
    </cfRule>
  </conditionalFormatting>
  <conditionalFormatting sqref="C22">
    <cfRule type="cellIs" dxfId="2" priority="18" operator="greaterThan">
      <formula>G22</formula>
    </cfRule>
  </conditionalFormatting>
  <conditionalFormatting sqref="C21">
    <cfRule type="cellIs" dxfId="1" priority="19" operator="lessThan">
      <formula>-10</formula>
    </cfRule>
  </conditionalFormatting>
  <conditionalFormatting sqref="C5:G5">
    <cfRule type="expression" dxfId="0" priority="20">
      <formula>AND(LEN(C5)&gt;=4, LEFT(C5, 4) &lt;&gt; LEFT(C4, 4))</formula>
    </cfRule>
  </conditionalFormatting>
  <pageMargins left="0" right="0" top="0" bottom="0" header="0" footer="0"/>
  <pageSetup orientation="landscape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Ange ett värde från intervallet ='Airport data'!$A$5:$A$37" xr:uid="{00000000-0002-0000-0100-000000000000}">
          <x14:formula1>
            <xm:f>'Airport data'!$A$5:$A$43</xm:f>
          </x14:formula1>
          <xm:sqref>C4</xm:sqref>
        </x14:dataValidation>
        <x14:dataValidation type="list" allowBlank="1" showErrorMessage="1" xr:uid="{00000000-0002-0000-0100-000001000000}">
          <x14:formula1>
            <xm:f>'Dropdown lists'!$B$4:$B$9</xm:f>
          </x14:formula1>
          <xm:sqref>C10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1"/>
  <sheetViews>
    <sheetView workbookViewId="0">
      <pane ySplit="4" topLeftCell="A5" activePane="bottomLeft" state="frozen"/>
      <selection pane="bottomLeft" activeCell="K6" sqref="K6"/>
    </sheetView>
  </sheetViews>
  <sheetFormatPr defaultColWidth="14.42578125" defaultRowHeight="15" customHeight="1"/>
  <cols>
    <col min="1" max="2" width="20.140625" customWidth="1"/>
    <col min="3" max="3" width="11.7109375" customWidth="1"/>
    <col min="4" max="5" width="20.140625" customWidth="1"/>
    <col min="6" max="6" width="12.140625" customWidth="1"/>
    <col min="7" max="7" width="9.140625" customWidth="1"/>
    <col min="8" max="8" width="13.42578125" customWidth="1"/>
    <col min="9" max="9" width="17.42578125" customWidth="1"/>
    <col min="10" max="13" width="11.7109375" customWidth="1"/>
    <col min="14" max="14" width="30" customWidth="1"/>
    <col min="15" max="15" width="9.140625" customWidth="1"/>
    <col min="16" max="16" width="11" customWidth="1"/>
  </cols>
  <sheetData>
    <row r="1" spans="1:16" ht="14.25" customHeight="1">
      <c r="A1" s="298" t="s">
        <v>183</v>
      </c>
      <c r="B1" s="299" t="s">
        <v>184</v>
      </c>
      <c r="C1" s="299" t="s">
        <v>185</v>
      </c>
      <c r="D1" s="299" t="s">
        <v>186</v>
      </c>
      <c r="E1" s="299" t="s">
        <v>187</v>
      </c>
      <c r="F1" s="296" t="s">
        <v>39</v>
      </c>
      <c r="G1" s="297" t="s">
        <v>188</v>
      </c>
      <c r="H1" s="297" t="s">
        <v>189</v>
      </c>
      <c r="I1" s="297" t="s">
        <v>190</v>
      </c>
      <c r="J1" s="300" t="s">
        <v>191</v>
      </c>
      <c r="K1" s="301" t="s">
        <v>192</v>
      </c>
      <c r="L1" s="304"/>
      <c r="M1" s="304"/>
    </row>
    <row r="2" spans="1:16" ht="14.25" customHeight="1">
      <c r="A2" s="329"/>
      <c r="B2" s="330"/>
      <c r="C2" s="330"/>
      <c r="D2" s="330"/>
      <c r="E2" s="330"/>
      <c r="F2" s="331"/>
      <c r="G2" s="331"/>
      <c r="H2" s="331"/>
      <c r="I2" s="331"/>
      <c r="J2" s="332"/>
      <c r="K2" s="6" t="s">
        <v>193</v>
      </c>
      <c r="L2" s="6" t="s">
        <v>194</v>
      </c>
      <c r="M2" s="6"/>
    </row>
    <row r="3" spans="1:16">
      <c r="A3" s="329"/>
      <c r="B3" s="333"/>
      <c r="C3" s="333"/>
      <c r="D3" s="333"/>
      <c r="E3" s="333"/>
      <c r="F3" s="321"/>
      <c r="G3" s="321"/>
      <c r="H3" s="321"/>
      <c r="I3" s="321"/>
      <c r="J3" s="334"/>
      <c r="K3" s="6"/>
      <c r="L3" s="6"/>
      <c r="M3" s="6"/>
    </row>
    <row r="4" spans="1:16" ht="14.25" customHeight="1">
      <c r="A4" s="323"/>
      <c r="B4" s="7" t="s">
        <v>195</v>
      </c>
      <c r="C4" s="9" t="s">
        <v>196</v>
      </c>
      <c r="D4" s="9" t="s">
        <v>196</v>
      </c>
      <c r="E4" s="9" t="s">
        <v>196</v>
      </c>
      <c r="F4" s="9" t="s">
        <v>196</v>
      </c>
      <c r="G4" s="9" t="s">
        <v>197</v>
      </c>
      <c r="H4" s="9" t="s">
        <v>198</v>
      </c>
      <c r="I4" s="9" t="s">
        <v>197</v>
      </c>
      <c r="J4" s="10" t="s">
        <v>199</v>
      </c>
      <c r="K4" s="11"/>
      <c r="L4" s="11"/>
      <c r="M4" s="11"/>
    </row>
    <row r="5" spans="1:16" ht="14.25" customHeight="1">
      <c r="A5" s="13" t="s">
        <v>200</v>
      </c>
      <c r="B5" s="15" t="s">
        <v>201</v>
      </c>
      <c r="C5" s="17"/>
      <c r="D5" s="15" t="s">
        <v>201</v>
      </c>
      <c r="E5" s="15" t="s">
        <v>201</v>
      </c>
      <c r="F5" s="15" t="s">
        <v>201</v>
      </c>
      <c r="G5" s="15" t="s">
        <v>201</v>
      </c>
      <c r="H5" s="19" t="s">
        <v>201</v>
      </c>
      <c r="I5" s="20"/>
      <c r="J5" s="15" t="s">
        <v>201</v>
      </c>
      <c r="K5" s="11"/>
      <c r="L5" s="11"/>
      <c r="M5" s="11"/>
    </row>
    <row r="6" spans="1:16" ht="21" customHeight="1">
      <c r="A6" s="21" t="s">
        <v>202</v>
      </c>
      <c r="B6" s="22">
        <v>200</v>
      </c>
      <c r="C6" s="239">
        <v>2000</v>
      </c>
      <c r="D6" s="24">
        <v>2000</v>
      </c>
      <c r="E6" s="24">
        <v>2000</v>
      </c>
      <c r="F6" s="25">
        <v>2000</v>
      </c>
      <c r="G6" s="27">
        <v>0</v>
      </c>
      <c r="H6" s="25">
        <v>120</v>
      </c>
      <c r="I6" s="28">
        <v>3.3</v>
      </c>
      <c r="J6" s="29"/>
      <c r="K6" s="30">
        <v>666</v>
      </c>
      <c r="L6" s="30" t="s">
        <v>203</v>
      </c>
      <c r="M6" s="30"/>
      <c r="N6" s="302" t="s">
        <v>204</v>
      </c>
    </row>
    <row r="7" spans="1:16" ht="21" customHeight="1">
      <c r="A7" s="21"/>
      <c r="B7" s="31"/>
      <c r="C7" s="240"/>
      <c r="D7" s="31"/>
      <c r="E7" s="31"/>
      <c r="F7" s="31"/>
      <c r="G7" s="32"/>
      <c r="H7" s="31"/>
      <c r="I7" s="33"/>
      <c r="J7" s="34"/>
      <c r="K7" s="30"/>
      <c r="L7" s="30"/>
      <c r="M7" s="30"/>
      <c r="N7" s="311"/>
    </row>
    <row r="8" spans="1:16" ht="21" customHeight="1">
      <c r="A8" s="35" t="s">
        <v>205</v>
      </c>
      <c r="B8" s="35">
        <v>631</v>
      </c>
      <c r="C8" s="35">
        <f t="shared" ref="C8:C43" si="0">D8</f>
        <v>1814</v>
      </c>
      <c r="D8" s="35">
        <v>1814</v>
      </c>
      <c r="E8" s="35">
        <v>1814</v>
      </c>
      <c r="F8" s="35">
        <v>1814</v>
      </c>
      <c r="G8" s="241">
        <v>0</v>
      </c>
      <c r="H8" s="35">
        <v>156</v>
      </c>
      <c r="I8" s="56">
        <v>5</v>
      </c>
      <c r="J8" s="36"/>
      <c r="K8" s="37"/>
      <c r="L8" s="37"/>
      <c r="M8" s="37"/>
    </row>
    <row r="9" spans="1:16" ht="21" customHeight="1">
      <c r="A9" s="35" t="s">
        <v>206</v>
      </c>
      <c r="B9" s="35">
        <v>618</v>
      </c>
      <c r="C9" s="35">
        <f t="shared" si="0"/>
        <v>1814</v>
      </c>
      <c r="D9" s="35">
        <v>1814</v>
      </c>
      <c r="E9" s="35">
        <v>1814</v>
      </c>
      <c r="F9" s="35">
        <v>1814</v>
      </c>
      <c r="G9" s="241">
        <v>0</v>
      </c>
      <c r="H9" s="35">
        <v>336</v>
      </c>
      <c r="I9" s="56">
        <v>3.3</v>
      </c>
      <c r="J9" s="36"/>
      <c r="K9" s="37"/>
      <c r="L9" s="37"/>
      <c r="M9" s="37"/>
    </row>
    <row r="10" spans="1:16" ht="21" customHeight="1">
      <c r="A10" s="242" t="s">
        <v>207</v>
      </c>
      <c r="B10" s="38">
        <v>1172</v>
      </c>
      <c r="C10" s="35">
        <f t="shared" si="0"/>
        <v>1701</v>
      </c>
      <c r="D10" s="39">
        <v>1701</v>
      </c>
      <c r="E10" s="39">
        <v>1701</v>
      </c>
      <c r="F10" s="40">
        <v>1701</v>
      </c>
      <c r="G10" s="41">
        <v>0</v>
      </c>
      <c r="H10" s="40">
        <v>82</v>
      </c>
      <c r="I10" s="56">
        <v>3.3</v>
      </c>
      <c r="J10" s="36"/>
      <c r="K10" s="37"/>
      <c r="L10" s="37"/>
      <c r="M10" s="37"/>
      <c r="P10" s="8" t="s">
        <v>208</v>
      </c>
    </row>
    <row r="11" spans="1:16" ht="21" customHeight="1">
      <c r="A11" s="242" t="s">
        <v>209</v>
      </c>
      <c r="B11" s="38">
        <v>1177</v>
      </c>
      <c r="C11" s="35">
        <f t="shared" si="0"/>
        <v>1701</v>
      </c>
      <c r="D11" s="39">
        <v>1701</v>
      </c>
      <c r="E11" s="39">
        <v>1701</v>
      </c>
      <c r="F11" s="39">
        <v>1701</v>
      </c>
      <c r="G11" s="42">
        <v>0</v>
      </c>
      <c r="H11" s="39">
        <v>262</v>
      </c>
      <c r="I11" s="56">
        <v>3.3</v>
      </c>
      <c r="J11" s="36"/>
      <c r="K11" s="37"/>
      <c r="L11" s="37"/>
      <c r="M11" s="37"/>
    </row>
    <row r="12" spans="1:16" ht="21" customHeight="1">
      <c r="A12" s="43" t="s">
        <v>210</v>
      </c>
      <c r="B12" s="38">
        <v>25</v>
      </c>
      <c r="C12" s="35">
        <f t="shared" si="0"/>
        <v>1721</v>
      </c>
      <c r="D12" s="44">
        <v>1721</v>
      </c>
      <c r="E12" s="45">
        <v>1721</v>
      </c>
      <c r="F12" s="46">
        <v>2302</v>
      </c>
      <c r="G12" s="42">
        <v>0</v>
      </c>
      <c r="H12" s="39">
        <v>130</v>
      </c>
      <c r="I12" s="56">
        <v>3.4</v>
      </c>
      <c r="J12" s="36">
        <v>45604</v>
      </c>
      <c r="K12" s="37"/>
      <c r="L12" s="37"/>
      <c r="M12" s="37"/>
    </row>
    <row r="13" spans="1:16" ht="21" customHeight="1">
      <c r="A13" s="43" t="s">
        <v>211</v>
      </c>
      <c r="B13" s="38">
        <v>25</v>
      </c>
      <c r="C13" s="35">
        <f t="shared" si="0"/>
        <v>2302</v>
      </c>
      <c r="D13" s="44">
        <v>2302</v>
      </c>
      <c r="E13" s="45">
        <v>2302</v>
      </c>
      <c r="F13" s="46">
        <v>2302</v>
      </c>
      <c r="G13" s="42">
        <v>0</v>
      </c>
      <c r="H13" s="39">
        <v>130</v>
      </c>
      <c r="I13" s="56">
        <v>3.4</v>
      </c>
      <c r="J13" s="36">
        <v>45604</v>
      </c>
      <c r="K13" s="37"/>
      <c r="L13" s="37"/>
      <c r="M13" s="37"/>
    </row>
    <row r="14" spans="1:16" ht="21" customHeight="1">
      <c r="A14" s="43" t="s">
        <v>212</v>
      </c>
      <c r="B14" s="38">
        <v>17</v>
      </c>
      <c r="C14" s="35">
        <f t="shared" si="0"/>
        <v>2302</v>
      </c>
      <c r="D14" s="44">
        <v>2302</v>
      </c>
      <c r="E14" s="45">
        <v>2302</v>
      </c>
      <c r="F14" s="46">
        <v>2242</v>
      </c>
      <c r="G14" s="42">
        <v>0</v>
      </c>
      <c r="H14" s="39">
        <v>310</v>
      </c>
      <c r="I14" s="56">
        <v>3.3</v>
      </c>
      <c r="J14" s="36">
        <v>45604</v>
      </c>
      <c r="K14" s="37"/>
      <c r="L14" s="37"/>
      <c r="M14" s="37"/>
    </row>
    <row r="15" spans="1:16" ht="21" customHeight="1">
      <c r="A15" s="43" t="s">
        <v>213</v>
      </c>
      <c r="B15" s="38">
        <v>17</v>
      </c>
      <c r="C15" s="35">
        <f t="shared" si="0"/>
        <v>1599</v>
      </c>
      <c r="D15" s="44">
        <v>1599</v>
      </c>
      <c r="E15" s="45">
        <v>1599</v>
      </c>
      <c r="F15" s="46">
        <v>2242</v>
      </c>
      <c r="G15" s="42">
        <v>0</v>
      </c>
      <c r="H15" s="39">
        <v>310</v>
      </c>
      <c r="I15" s="56">
        <v>3.3</v>
      </c>
      <c r="J15" s="36">
        <v>45604</v>
      </c>
      <c r="K15" s="37"/>
      <c r="L15" s="37"/>
      <c r="M15" s="37"/>
    </row>
    <row r="16" spans="1:16" ht="21" customHeight="1">
      <c r="A16" s="47" t="s">
        <v>214</v>
      </c>
      <c r="B16" s="44">
        <v>1194</v>
      </c>
      <c r="C16" s="35">
        <f t="shared" si="0"/>
        <v>1907</v>
      </c>
      <c r="D16" s="39">
        <v>1907</v>
      </c>
      <c r="E16" s="39">
        <v>1907</v>
      </c>
      <c r="F16" s="39">
        <v>2500</v>
      </c>
      <c r="G16" s="42">
        <v>1.5</v>
      </c>
      <c r="H16" s="39">
        <v>109</v>
      </c>
      <c r="I16" s="56">
        <v>4.2</v>
      </c>
      <c r="J16" s="36"/>
      <c r="K16" s="37"/>
      <c r="L16" s="37"/>
      <c r="M16" s="37"/>
    </row>
    <row r="17" spans="1:13" ht="21" customHeight="1">
      <c r="A17" s="47" t="s">
        <v>215</v>
      </c>
      <c r="B17" s="44">
        <v>1234</v>
      </c>
      <c r="C17" s="35">
        <f t="shared" si="0"/>
        <v>2500</v>
      </c>
      <c r="D17" s="39">
        <v>2500</v>
      </c>
      <c r="E17" s="39">
        <v>2500</v>
      </c>
      <c r="F17" s="39">
        <v>2500</v>
      </c>
      <c r="G17" s="42">
        <v>-1.5</v>
      </c>
      <c r="H17" s="39">
        <v>289</v>
      </c>
      <c r="I17" s="56">
        <v>3.5</v>
      </c>
      <c r="J17" s="36"/>
      <c r="K17" s="37"/>
      <c r="L17" s="37"/>
      <c r="M17" s="37"/>
    </row>
    <row r="18" spans="1:13" ht="21" customHeight="1">
      <c r="A18" s="243" t="s">
        <v>216</v>
      </c>
      <c r="B18" s="38">
        <v>474</v>
      </c>
      <c r="C18" s="35">
        <f t="shared" si="0"/>
        <v>1508</v>
      </c>
      <c r="D18" s="39">
        <v>1508</v>
      </c>
      <c r="E18" s="39">
        <v>1508</v>
      </c>
      <c r="F18" s="40">
        <v>1508</v>
      </c>
      <c r="G18" s="41">
        <v>0</v>
      </c>
      <c r="H18" s="40">
        <v>172</v>
      </c>
      <c r="I18" s="56">
        <v>3.8</v>
      </c>
      <c r="J18" s="36"/>
      <c r="K18" s="37"/>
      <c r="L18" s="37"/>
      <c r="M18" s="37"/>
    </row>
    <row r="19" spans="1:13" ht="21" customHeight="1">
      <c r="A19" s="243" t="s">
        <v>217</v>
      </c>
      <c r="B19" s="38">
        <v>469</v>
      </c>
      <c r="C19" s="35">
        <f t="shared" si="0"/>
        <v>1508</v>
      </c>
      <c r="D19" s="39">
        <v>1508</v>
      </c>
      <c r="E19" s="39">
        <v>1508</v>
      </c>
      <c r="F19" s="39">
        <v>1508</v>
      </c>
      <c r="G19" s="42">
        <v>0</v>
      </c>
      <c r="H19" s="39">
        <v>352</v>
      </c>
      <c r="I19" s="56">
        <v>5.5</v>
      </c>
      <c r="J19" s="36"/>
      <c r="K19" s="37"/>
      <c r="L19" s="37"/>
      <c r="M19" s="37"/>
    </row>
    <row r="20" spans="1:13" ht="21" customHeight="1">
      <c r="A20" s="47" t="s">
        <v>218</v>
      </c>
      <c r="B20" s="44">
        <v>65</v>
      </c>
      <c r="C20" s="35">
        <f t="shared" si="0"/>
        <v>2260</v>
      </c>
      <c r="D20" s="39">
        <v>2260</v>
      </c>
      <c r="E20" s="39">
        <v>3160</v>
      </c>
      <c r="F20" s="39">
        <v>3350</v>
      </c>
      <c r="G20" s="42">
        <v>0</v>
      </c>
      <c r="H20" s="39">
        <v>127</v>
      </c>
      <c r="I20" s="56">
        <v>3.3</v>
      </c>
      <c r="J20" s="48"/>
      <c r="K20" s="49"/>
      <c r="L20" s="49"/>
      <c r="M20" s="49"/>
    </row>
    <row r="21" spans="1:13" ht="21" customHeight="1">
      <c r="A21" s="47" t="s">
        <v>219</v>
      </c>
      <c r="B21" s="44">
        <v>21</v>
      </c>
      <c r="C21" s="35">
        <f t="shared" si="0"/>
        <v>2335</v>
      </c>
      <c r="D21" s="39">
        <v>2335</v>
      </c>
      <c r="E21" s="39">
        <v>2395</v>
      </c>
      <c r="F21" s="39">
        <v>3350</v>
      </c>
      <c r="G21" s="42">
        <v>0</v>
      </c>
      <c r="H21" s="39">
        <v>307</v>
      </c>
      <c r="I21" s="56">
        <v>3.3</v>
      </c>
      <c r="J21" s="48"/>
      <c r="K21" s="49"/>
      <c r="L21" s="49"/>
      <c r="M21" s="49"/>
    </row>
    <row r="22" spans="1:13" ht="14.25" customHeight="1">
      <c r="A22" s="47" t="s">
        <v>220</v>
      </c>
      <c r="B22" s="38">
        <v>98</v>
      </c>
      <c r="C22" s="35">
        <f t="shared" si="0"/>
        <v>3301</v>
      </c>
      <c r="D22" s="44">
        <v>3301</v>
      </c>
      <c r="E22" s="45">
        <v>3301</v>
      </c>
      <c r="F22" s="46">
        <v>3301</v>
      </c>
      <c r="G22" s="42">
        <v>0</v>
      </c>
      <c r="H22" s="39">
        <v>4</v>
      </c>
      <c r="I22" s="56">
        <v>3.3</v>
      </c>
      <c r="J22" s="36"/>
      <c r="K22" s="37"/>
      <c r="L22" s="37"/>
      <c r="M22" s="37"/>
    </row>
    <row r="23" spans="1:13" ht="14.25" customHeight="1">
      <c r="A23" s="47" t="s">
        <v>221</v>
      </c>
      <c r="B23" s="38">
        <v>98</v>
      </c>
      <c r="C23" s="35">
        <f t="shared" si="0"/>
        <v>2276</v>
      </c>
      <c r="D23" s="44">
        <v>2276</v>
      </c>
      <c r="E23" s="45">
        <v>2276</v>
      </c>
      <c r="F23" s="46">
        <v>2500</v>
      </c>
      <c r="G23" s="42">
        <v>0</v>
      </c>
      <c r="H23" s="39">
        <v>4</v>
      </c>
      <c r="I23" s="56">
        <v>3.3</v>
      </c>
      <c r="J23" s="36"/>
      <c r="K23" s="37"/>
      <c r="L23" s="37"/>
      <c r="M23" s="37"/>
    </row>
    <row r="24" spans="1:13" ht="14.25" customHeight="1">
      <c r="A24" s="242" t="s">
        <v>222</v>
      </c>
      <c r="B24" s="38">
        <v>138</v>
      </c>
      <c r="C24" s="35">
        <f t="shared" si="0"/>
        <v>2500</v>
      </c>
      <c r="D24" s="44">
        <v>2500</v>
      </c>
      <c r="E24" s="44">
        <v>2500</v>
      </c>
      <c r="F24" s="39">
        <v>2500</v>
      </c>
      <c r="G24" s="42">
        <v>0</v>
      </c>
      <c r="H24" s="39">
        <v>4</v>
      </c>
      <c r="I24" s="56">
        <v>3.3</v>
      </c>
      <c r="J24" s="36"/>
      <c r="K24" s="37"/>
      <c r="L24" s="37"/>
      <c r="M24" s="37"/>
    </row>
    <row r="25" spans="1:13" ht="14.25" customHeight="1">
      <c r="A25" s="242" t="s">
        <v>223</v>
      </c>
      <c r="B25" s="38">
        <v>138</v>
      </c>
      <c r="C25" s="35">
        <f t="shared" si="0"/>
        <v>2147</v>
      </c>
      <c r="D25" s="44">
        <v>2147</v>
      </c>
      <c r="E25" s="44">
        <v>2147</v>
      </c>
      <c r="F25" s="39">
        <v>2147</v>
      </c>
      <c r="G25" s="42">
        <v>0</v>
      </c>
      <c r="H25" s="39">
        <v>4</v>
      </c>
      <c r="I25" s="56">
        <v>3.3</v>
      </c>
      <c r="J25" s="36"/>
      <c r="K25" s="37"/>
      <c r="L25" s="37"/>
      <c r="M25" s="37"/>
    </row>
    <row r="26" spans="1:13" ht="14.25" customHeight="1">
      <c r="A26" s="242" t="s">
        <v>224</v>
      </c>
      <c r="B26" s="38">
        <v>108</v>
      </c>
      <c r="C26" s="35">
        <f t="shared" si="0"/>
        <v>2800</v>
      </c>
      <c r="D26" s="44">
        <v>2800</v>
      </c>
      <c r="E26" s="44">
        <v>2500</v>
      </c>
      <c r="F26" s="39">
        <v>2500</v>
      </c>
      <c r="G26" s="42">
        <v>0</v>
      </c>
      <c r="H26" s="39">
        <v>70</v>
      </c>
      <c r="I26" s="56">
        <v>3.3</v>
      </c>
      <c r="J26" s="36"/>
      <c r="K26" s="37"/>
      <c r="L26" s="37"/>
      <c r="M26" s="37"/>
    </row>
    <row r="27" spans="1:13" ht="14.25" customHeight="1">
      <c r="A27" s="242" t="s">
        <v>225</v>
      </c>
      <c r="B27" s="38">
        <v>108</v>
      </c>
      <c r="C27" s="35">
        <f t="shared" si="0"/>
        <v>2179</v>
      </c>
      <c r="D27" s="44">
        <v>2179</v>
      </c>
      <c r="E27" s="44">
        <v>1879</v>
      </c>
      <c r="F27" s="39">
        <v>2500</v>
      </c>
      <c r="G27" s="42">
        <v>0</v>
      </c>
      <c r="H27" s="39">
        <v>70</v>
      </c>
      <c r="I27" s="56">
        <v>3.3</v>
      </c>
      <c r="J27" s="36"/>
      <c r="K27" s="37"/>
      <c r="L27" s="37"/>
      <c r="M27" s="37"/>
    </row>
    <row r="28" spans="1:13" ht="14.25" customHeight="1">
      <c r="A28" s="50" t="s">
        <v>226</v>
      </c>
      <c r="B28" s="38">
        <v>99</v>
      </c>
      <c r="C28" s="35">
        <f t="shared" si="0"/>
        <v>2500</v>
      </c>
      <c r="D28" s="44">
        <v>2500</v>
      </c>
      <c r="E28" s="44">
        <v>2500</v>
      </c>
      <c r="F28" s="39">
        <v>2500</v>
      </c>
      <c r="G28" s="42">
        <v>0</v>
      </c>
      <c r="H28" s="39">
        <v>184</v>
      </c>
      <c r="I28" s="56">
        <v>3.3</v>
      </c>
      <c r="J28" s="36"/>
      <c r="K28" s="37"/>
      <c r="L28" s="37"/>
      <c r="M28" s="37"/>
    </row>
    <row r="29" spans="1:13" ht="14.25" customHeight="1">
      <c r="A29" s="242" t="s">
        <v>227</v>
      </c>
      <c r="B29" s="38">
        <v>99</v>
      </c>
      <c r="C29" s="35">
        <f t="shared" si="0"/>
        <v>2147</v>
      </c>
      <c r="D29" s="44">
        <v>2147</v>
      </c>
      <c r="E29" s="44">
        <v>2147</v>
      </c>
      <c r="F29" s="39">
        <v>2500</v>
      </c>
      <c r="G29" s="42">
        <v>0</v>
      </c>
      <c r="H29" s="39">
        <v>184</v>
      </c>
      <c r="I29" s="56">
        <v>3.3</v>
      </c>
      <c r="J29" s="36"/>
      <c r="K29" s="37"/>
      <c r="L29" s="37"/>
      <c r="M29" s="37"/>
    </row>
    <row r="30" spans="1:13" ht="14.25" customHeight="1">
      <c r="A30" s="50" t="s">
        <v>228</v>
      </c>
      <c r="B30" s="38">
        <v>118</v>
      </c>
      <c r="C30" s="35">
        <f t="shared" si="0"/>
        <v>3301</v>
      </c>
      <c r="D30" s="44">
        <v>3301</v>
      </c>
      <c r="E30" s="45">
        <v>3301</v>
      </c>
      <c r="F30" s="46">
        <v>3301</v>
      </c>
      <c r="G30" s="51">
        <v>0</v>
      </c>
      <c r="H30" s="46">
        <v>184</v>
      </c>
      <c r="I30" s="56">
        <v>3.3</v>
      </c>
      <c r="J30" s="36"/>
      <c r="K30" s="37"/>
      <c r="L30" s="37"/>
      <c r="M30" s="37"/>
    </row>
    <row r="31" spans="1:13" ht="14.25" customHeight="1">
      <c r="A31" s="50" t="s">
        <v>229</v>
      </c>
      <c r="B31" s="38">
        <v>118</v>
      </c>
      <c r="C31" s="35">
        <f t="shared" si="0"/>
        <v>2288</v>
      </c>
      <c r="D31" s="44">
        <v>2288</v>
      </c>
      <c r="E31" s="45">
        <v>2288</v>
      </c>
      <c r="F31" s="46">
        <v>3301</v>
      </c>
      <c r="G31" s="51">
        <v>0</v>
      </c>
      <c r="H31" s="46">
        <v>184</v>
      </c>
      <c r="I31" s="56">
        <v>3.3</v>
      </c>
      <c r="J31" s="36"/>
      <c r="K31" s="37"/>
      <c r="L31" s="37"/>
      <c r="M31" s="37"/>
    </row>
    <row r="32" spans="1:13" ht="14.25" customHeight="1">
      <c r="A32" s="50" t="s">
        <v>230</v>
      </c>
      <c r="B32" s="38">
        <v>108</v>
      </c>
      <c r="C32" s="35">
        <f t="shared" si="0"/>
        <v>2179</v>
      </c>
      <c r="D32" s="44">
        <v>2179</v>
      </c>
      <c r="E32" s="45">
        <v>1879</v>
      </c>
      <c r="F32" s="46">
        <v>2500</v>
      </c>
      <c r="G32" s="51">
        <v>0</v>
      </c>
      <c r="H32" s="46">
        <v>70</v>
      </c>
      <c r="I32" s="56">
        <v>3.3</v>
      </c>
      <c r="J32" s="36"/>
      <c r="K32" s="37"/>
      <c r="L32" s="37"/>
      <c r="M32" s="37"/>
    </row>
    <row r="33" spans="1:13" ht="14.25" customHeight="1">
      <c r="A33" s="50" t="s">
        <v>231</v>
      </c>
      <c r="B33" s="38">
        <v>125</v>
      </c>
      <c r="C33" s="35">
        <f t="shared" si="0"/>
        <v>2500</v>
      </c>
      <c r="D33" s="44">
        <v>2500</v>
      </c>
      <c r="E33" s="45">
        <v>2500</v>
      </c>
      <c r="F33" s="46">
        <v>2500</v>
      </c>
      <c r="G33" s="51">
        <v>0</v>
      </c>
      <c r="H33" s="46">
        <v>250</v>
      </c>
      <c r="I33" s="56">
        <v>3.3</v>
      </c>
      <c r="J33" s="36"/>
      <c r="K33" s="37"/>
      <c r="L33" s="37"/>
      <c r="M33" s="37"/>
    </row>
    <row r="34" spans="1:13" ht="14.25" customHeight="1">
      <c r="A34" s="13" t="s">
        <v>232</v>
      </c>
      <c r="B34" s="38">
        <v>43</v>
      </c>
      <c r="C34" s="35">
        <f t="shared" si="0"/>
        <v>1668</v>
      </c>
      <c r="D34" s="44">
        <v>1668</v>
      </c>
      <c r="E34" s="44">
        <v>1668</v>
      </c>
      <c r="F34" s="44">
        <v>1668</v>
      </c>
      <c r="G34" s="51">
        <v>0</v>
      </c>
      <c r="H34" s="46">
        <v>299</v>
      </c>
      <c r="I34" s="56">
        <v>3.6</v>
      </c>
      <c r="J34" s="36"/>
      <c r="K34" s="37"/>
      <c r="L34" s="37"/>
      <c r="M34" s="37"/>
    </row>
    <row r="35" spans="1:13" ht="14.25" customHeight="1">
      <c r="A35" s="13" t="s">
        <v>233</v>
      </c>
      <c r="B35" s="38">
        <v>47</v>
      </c>
      <c r="C35" s="35">
        <f t="shared" si="0"/>
        <v>1779</v>
      </c>
      <c r="D35" s="44">
        <v>1779</v>
      </c>
      <c r="E35" s="44">
        <v>1779</v>
      </c>
      <c r="F35" s="44">
        <v>1668</v>
      </c>
      <c r="G35" s="51">
        <v>0</v>
      </c>
      <c r="H35" s="46">
        <v>119</v>
      </c>
      <c r="I35" s="56">
        <v>5.6</v>
      </c>
      <c r="J35" s="36"/>
      <c r="K35" s="37"/>
      <c r="L35" s="37"/>
      <c r="M35" s="37"/>
    </row>
    <row r="36" spans="1:13" ht="14.25" customHeight="1">
      <c r="A36" s="244" t="s">
        <v>234</v>
      </c>
      <c r="B36" s="38">
        <v>43</v>
      </c>
      <c r="C36" s="35">
        <f t="shared" si="0"/>
        <v>1779</v>
      </c>
      <c r="D36" s="46">
        <v>1779</v>
      </c>
      <c r="E36" s="46">
        <v>1779</v>
      </c>
      <c r="F36" s="46">
        <v>1668</v>
      </c>
      <c r="G36" s="51">
        <v>0</v>
      </c>
      <c r="H36" s="46">
        <v>299</v>
      </c>
      <c r="I36" s="56">
        <v>3.6</v>
      </c>
      <c r="J36" s="36"/>
      <c r="K36" s="37"/>
      <c r="L36" s="37"/>
      <c r="M36" s="37"/>
    </row>
    <row r="37" spans="1:13" ht="14.25" customHeight="1">
      <c r="A37" s="244" t="s">
        <v>235</v>
      </c>
      <c r="B37" s="38">
        <v>47</v>
      </c>
      <c r="C37" s="35">
        <f t="shared" si="0"/>
        <v>1668</v>
      </c>
      <c r="D37" s="46">
        <v>1668</v>
      </c>
      <c r="E37" s="46">
        <v>1668</v>
      </c>
      <c r="F37" s="46">
        <v>1668</v>
      </c>
      <c r="G37" s="51">
        <v>0</v>
      </c>
      <c r="H37" s="46">
        <v>119</v>
      </c>
      <c r="I37" s="56">
        <v>5.6</v>
      </c>
      <c r="J37" s="36"/>
      <c r="K37" s="37"/>
      <c r="L37" s="37"/>
      <c r="M37" s="37"/>
    </row>
    <row r="38" spans="1:13" ht="14.25" customHeight="1">
      <c r="A38" s="43" t="s">
        <v>236</v>
      </c>
      <c r="B38" s="38">
        <v>13</v>
      </c>
      <c r="C38" s="35">
        <f t="shared" si="0"/>
        <v>2205</v>
      </c>
      <c r="D38" s="46">
        <v>2205</v>
      </c>
      <c r="E38" s="46">
        <v>2205</v>
      </c>
      <c r="F38" s="46">
        <v>2205</v>
      </c>
      <c r="G38" s="42">
        <v>0</v>
      </c>
      <c r="H38" s="39">
        <v>85</v>
      </c>
      <c r="I38" s="56">
        <v>3.3</v>
      </c>
      <c r="J38" s="36"/>
      <c r="K38" s="37"/>
      <c r="L38" s="37"/>
      <c r="M38" s="37"/>
    </row>
    <row r="39" spans="1:13" ht="14.25" customHeight="1">
      <c r="A39" s="43" t="s">
        <v>237</v>
      </c>
      <c r="B39" s="38">
        <v>33</v>
      </c>
      <c r="C39" s="35">
        <f t="shared" si="0"/>
        <v>2205</v>
      </c>
      <c r="D39" s="46">
        <v>2205</v>
      </c>
      <c r="E39" s="46">
        <v>2205</v>
      </c>
      <c r="F39" s="46">
        <v>2205</v>
      </c>
      <c r="G39" s="42">
        <v>0</v>
      </c>
      <c r="H39" s="39">
        <v>265</v>
      </c>
      <c r="I39" s="56">
        <v>4.0999999999999996</v>
      </c>
      <c r="J39" s="36"/>
      <c r="K39" s="37"/>
      <c r="L39" s="37"/>
      <c r="M39" s="37"/>
    </row>
    <row r="40" spans="1:13" ht="14.25" customHeight="1">
      <c r="A40" s="43" t="s">
        <v>238</v>
      </c>
      <c r="B40" s="38">
        <v>350</v>
      </c>
      <c r="C40" s="35">
        <f t="shared" si="0"/>
        <v>1590</v>
      </c>
      <c r="D40" s="38">
        <v>1590</v>
      </c>
      <c r="E40" s="52">
        <v>1590</v>
      </c>
      <c r="F40" s="46">
        <v>1590</v>
      </c>
      <c r="G40" s="42">
        <v>0</v>
      </c>
      <c r="H40" s="46">
        <v>153</v>
      </c>
      <c r="I40" s="56">
        <v>3.3</v>
      </c>
      <c r="J40" s="53"/>
      <c r="K40" s="37"/>
      <c r="L40" s="37"/>
      <c r="M40" s="37"/>
    </row>
    <row r="41" spans="1:13" ht="14.25" customHeight="1">
      <c r="A41" s="43" t="s">
        <v>239</v>
      </c>
      <c r="B41" s="38">
        <v>394</v>
      </c>
      <c r="C41" s="35">
        <f t="shared" si="0"/>
        <v>1590</v>
      </c>
      <c r="D41" s="38">
        <v>1590</v>
      </c>
      <c r="E41" s="52">
        <v>1590</v>
      </c>
      <c r="F41" s="46">
        <v>1590</v>
      </c>
      <c r="G41" s="42">
        <v>0</v>
      </c>
      <c r="H41" s="46">
        <v>333</v>
      </c>
      <c r="I41" s="56">
        <v>4.7</v>
      </c>
      <c r="J41" s="53"/>
      <c r="K41" s="37"/>
      <c r="L41" s="37"/>
      <c r="M41" s="37"/>
    </row>
    <row r="42" spans="1:13" ht="14.25" customHeight="1">
      <c r="A42" s="43" t="s">
        <v>240</v>
      </c>
      <c r="B42" s="54">
        <v>541</v>
      </c>
      <c r="C42" s="56">
        <f t="shared" si="0"/>
        <v>2300</v>
      </c>
      <c r="D42" s="54">
        <v>2300</v>
      </c>
      <c r="E42" s="54">
        <v>2300</v>
      </c>
      <c r="F42" s="60">
        <v>2300</v>
      </c>
      <c r="G42" s="60">
        <v>0</v>
      </c>
      <c r="H42" s="60">
        <v>105</v>
      </c>
      <c r="I42" s="56">
        <v>4.0999999999999996</v>
      </c>
      <c r="J42" s="63"/>
      <c r="K42" s="49"/>
      <c r="L42" s="49"/>
      <c r="M42" s="49"/>
    </row>
    <row r="43" spans="1:13" ht="14.25" customHeight="1">
      <c r="A43" s="43" t="s">
        <v>5</v>
      </c>
      <c r="B43" s="69">
        <v>541</v>
      </c>
      <c r="C43" s="56">
        <f t="shared" si="0"/>
        <v>2300</v>
      </c>
      <c r="D43" s="69">
        <v>2300</v>
      </c>
      <c r="E43" s="69">
        <v>2300</v>
      </c>
      <c r="F43" s="69">
        <v>2300</v>
      </c>
      <c r="G43" s="69">
        <v>0</v>
      </c>
      <c r="H43" s="69">
        <v>285</v>
      </c>
      <c r="I43" s="56">
        <v>3.3</v>
      </c>
      <c r="J43" s="70"/>
      <c r="K43" s="49"/>
      <c r="L43" s="49"/>
      <c r="M43" s="49"/>
    </row>
    <row r="44" spans="1:13" ht="14.25" customHeight="1">
      <c r="A44" s="49" t="s">
        <v>241</v>
      </c>
      <c r="B44" s="49">
        <v>1503</v>
      </c>
      <c r="C44" s="49">
        <v>1594</v>
      </c>
      <c r="D44" s="49">
        <v>1594</v>
      </c>
      <c r="E44" s="49">
        <v>1594</v>
      </c>
      <c r="F44" s="49">
        <v>1445</v>
      </c>
      <c r="G44" s="49">
        <v>0</v>
      </c>
      <c r="H44" s="49">
        <v>150</v>
      </c>
      <c r="I44" s="49">
        <v>2.4</v>
      </c>
      <c r="J44" s="49"/>
      <c r="K44" s="49">
        <v>150</v>
      </c>
      <c r="L44" s="71" t="s">
        <v>242</v>
      </c>
      <c r="M44" s="49"/>
    </row>
    <row r="45" spans="1:13" ht="14.25" customHeight="1">
      <c r="A45" s="1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</row>
    <row r="46" spans="1:13" ht="33.75" customHeight="1">
      <c r="A46" s="73" t="s">
        <v>243</v>
      </c>
      <c r="B46" s="72" t="s">
        <v>244</v>
      </c>
      <c r="C46" s="72"/>
      <c r="D46" s="72" t="s">
        <v>245</v>
      </c>
      <c r="E46" s="72" t="s">
        <v>245</v>
      </c>
      <c r="F46" s="72" t="s">
        <v>244</v>
      </c>
      <c r="G46" s="75" t="s">
        <v>246</v>
      </c>
      <c r="H46" s="75" t="s">
        <v>244</v>
      </c>
      <c r="I46" s="75" t="s">
        <v>247</v>
      </c>
      <c r="J46" s="72"/>
      <c r="K46" s="72"/>
      <c r="L46" s="72"/>
      <c r="M46" s="72"/>
    </row>
    <row r="47" spans="1:13" ht="15.75" customHeight="1"/>
    <row r="48" spans="1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2">
    <mergeCell ref="H1:H3"/>
    <mergeCell ref="I1:I3"/>
    <mergeCell ref="J1:J3"/>
    <mergeCell ref="K1:M1"/>
    <mergeCell ref="N6:N7"/>
    <mergeCell ref="F1:F3"/>
    <mergeCell ref="G1:G3"/>
    <mergeCell ref="A1:A4"/>
    <mergeCell ref="B1:B3"/>
    <mergeCell ref="C1:C3"/>
    <mergeCell ref="D1:D3"/>
    <mergeCell ref="E1:E3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workbookViewId="0">
      <selection activeCell="E17" sqref="E17"/>
    </sheetView>
  </sheetViews>
  <sheetFormatPr defaultColWidth="14.42578125" defaultRowHeight="15" customHeight="1"/>
  <cols>
    <col min="1" max="1" width="8.85546875" customWidth="1"/>
    <col min="2" max="2" width="20.42578125" customWidth="1"/>
    <col min="3" max="3" width="13.7109375" customWidth="1"/>
    <col min="4" max="4" width="8.85546875" style="2" customWidth="1"/>
    <col min="5" max="6" width="14.42578125" customWidth="1"/>
  </cols>
  <sheetData>
    <row r="1" spans="2:4" ht="14.25" customHeight="1">
      <c r="B1" s="1" t="s">
        <v>248</v>
      </c>
      <c r="C1" s="1"/>
      <c r="D1" s="2" t="s">
        <v>249</v>
      </c>
    </row>
    <row r="2" spans="2:4" ht="14.25" customHeight="1">
      <c r="B2" s="2"/>
      <c r="C2" s="2"/>
    </row>
    <row r="3" spans="2:4" ht="14.25" customHeight="1">
      <c r="B3" s="1" t="s">
        <v>250</v>
      </c>
      <c r="C3" s="1" t="s">
        <v>251</v>
      </c>
      <c r="D3" s="1" t="s">
        <v>44</v>
      </c>
    </row>
    <row r="4" spans="2:4" ht="14.25" customHeight="1">
      <c r="B4" s="3">
        <v>1</v>
      </c>
      <c r="C4" s="3">
        <v>2.9</v>
      </c>
      <c r="D4" s="2">
        <v>4</v>
      </c>
    </row>
    <row r="5" spans="2:4" ht="14.25" customHeight="1">
      <c r="B5" s="4">
        <v>2</v>
      </c>
      <c r="C5" s="4">
        <v>2.7</v>
      </c>
      <c r="D5" s="2">
        <v>9</v>
      </c>
    </row>
    <row r="6" spans="2:4" ht="14.25" customHeight="1">
      <c r="B6" s="4">
        <v>3</v>
      </c>
      <c r="C6" s="4">
        <v>2.4</v>
      </c>
      <c r="D6" s="2">
        <v>14</v>
      </c>
    </row>
    <row r="7" spans="2:4" ht="14.25" customHeight="1">
      <c r="B7" s="4">
        <v>4</v>
      </c>
      <c r="C7" s="4">
        <v>2.2000000000000002</v>
      </c>
      <c r="D7" s="2">
        <v>20</v>
      </c>
    </row>
    <row r="8" spans="2:4" ht="14.25" customHeight="1">
      <c r="B8" s="4">
        <v>5</v>
      </c>
      <c r="C8" s="4">
        <v>2</v>
      </c>
      <c r="D8" s="2">
        <v>25</v>
      </c>
    </row>
    <row r="9" spans="2:4" ht="14.25" customHeight="1">
      <c r="B9" s="4">
        <v>6</v>
      </c>
      <c r="C9" s="4">
        <v>1.67</v>
      </c>
      <c r="D9" s="2">
        <v>25</v>
      </c>
    </row>
    <row r="10" spans="2:4" ht="14.25" customHeight="1">
      <c r="B10" s="5"/>
      <c r="C10" s="5"/>
      <c r="D10" s="2">
        <v>25</v>
      </c>
    </row>
    <row r="11" spans="2:4" ht="14.25" customHeight="1">
      <c r="B11" s="2"/>
      <c r="C11" s="2"/>
    </row>
    <row r="12" spans="2:4" ht="14.25" customHeight="1">
      <c r="B12" s="1" t="s">
        <v>252</v>
      </c>
      <c r="C12" s="2"/>
    </row>
    <row r="13" spans="2:4"/>
    <row r="14" spans="2:4"/>
    <row r="15" spans="2:4"/>
    <row r="16" spans="2:4"/>
    <row r="17" spans="2:9"/>
    <row r="18" spans="2:9"/>
    <row r="19" spans="2:9" ht="14.25" customHeight="1">
      <c r="B19" s="1" t="s">
        <v>253</v>
      </c>
    </row>
    <row r="20" spans="2:9" ht="14.25" customHeight="1">
      <c r="B20" s="2"/>
    </row>
    <row r="21" spans="2:9" ht="14.25" customHeight="1">
      <c r="B21" s="1"/>
    </row>
    <row r="22" spans="2:9" ht="14.25" customHeight="1">
      <c r="B22" s="3"/>
    </row>
    <row r="23" spans="2:9" ht="14.25" customHeight="1">
      <c r="B23" s="4"/>
    </row>
    <row r="24" spans="2:9" ht="14.25" customHeight="1">
      <c r="B24" s="5"/>
    </row>
    <row r="25" spans="2:9" ht="14.25" customHeight="1">
      <c r="B25" s="2"/>
    </row>
    <row r="26" spans="2:9" ht="14.25" customHeight="1">
      <c r="B26" s="2"/>
    </row>
    <row r="27" spans="2:9" ht="14.25" customHeight="1">
      <c r="B27" s="1" t="s">
        <v>254</v>
      </c>
    </row>
    <row r="28" spans="2:9" ht="14.25" customHeight="1">
      <c r="B28" s="2"/>
    </row>
    <row r="29" spans="2:9" ht="14.25" customHeight="1">
      <c r="B29" s="1"/>
      <c r="I29" s="8" t="b">
        <f>IF('Take-off'!$C$11='Dropdown lists'!B34,)</f>
        <v>0</v>
      </c>
    </row>
    <row r="30" spans="2:9" ht="14.25" customHeight="1">
      <c r="B30" s="3" t="s">
        <v>255</v>
      </c>
    </row>
    <row r="31" spans="2:9" ht="14.25" customHeight="1">
      <c r="B31" s="5" t="s">
        <v>23</v>
      </c>
    </row>
    <row r="32" spans="2:9" ht="15.75" customHeight="1"/>
    <row r="33" spans="1:6" ht="14.25" customHeight="1">
      <c r="B33" s="245" t="s">
        <v>17</v>
      </c>
      <c r="D33" s="2" t="s">
        <v>251</v>
      </c>
      <c r="E33" s="8" t="s">
        <v>256</v>
      </c>
      <c r="F33" s="8" t="s">
        <v>257</v>
      </c>
    </row>
    <row r="34" spans="1:6" ht="14.25" customHeight="1">
      <c r="A34" s="12"/>
      <c r="B34" s="14" t="s">
        <v>258</v>
      </c>
      <c r="C34" s="12"/>
      <c r="D34" s="16">
        <v>0</v>
      </c>
      <c r="F34" s="8" t="s">
        <v>117</v>
      </c>
    </row>
    <row r="35" spans="1:6" ht="14.25" customHeight="1">
      <c r="A35" s="12"/>
      <c r="B35" s="18" t="s">
        <v>259</v>
      </c>
      <c r="C35" s="12"/>
      <c r="D35" s="16">
        <v>0</v>
      </c>
      <c r="F35" s="8" t="s">
        <v>117</v>
      </c>
    </row>
    <row r="36" spans="1:6" ht="14.25" customHeight="1">
      <c r="A36" s="12"/>
      <c r="B36" s="18" t="s">
        <v>260</v>
      </c>
      <c r="C36" s="12"/>
      <c r="D36" s="16">
        <v>5.0000000000000001E-3</v>
      </c>
      <c r="E36" s="8" t="s">
        <v>20</v>
      </c>
      <c r="F36" s="8" t="s">
        <v>117</v>
      </c>
    </row>
    <row r="37" spans="1:6" ht="14.25" customHeight="1">
      <c r="A37" s="12"/>
      <c r="B37" s="18" t="s">
        <v>261</v>
      </c>
      <c r="C37" s="12"/>
      <c r="D37" s="16">
        <v>0.01</v>
      </c>
      <c r="E37" s="8" t="s">
        <v>20</v>
      </c>
      <c r="F37" s="8">
        <v>50</v>
      </c>
    </row>
    <row r="38" spans="1:6" ht="14.25" customHeight="1">
      <c r="A38" s="12"/>
      <c r="B38" s="18" t="s">
        <v>262</v>
      </c>
      <c r="C38" s="12"/>
      <c r="D38" s="16">
        <v>0.02</v>
      </c>
      <c r="E38" s="8" t="s">
        <v>20</v>
      </c>
      <c r="F38" s="8">
        <v>25</v>
      </c>
    </row>
    <row r="39" spans="1:6" ht="14.25" customHeight="1">
      <c r="A39" s="12"/>
      <c r="B39" s="18" t="s">
        <v>263</v>
      </c>
      <c r="C39" s="12"/>
      <c r="D39" s="16">
        <v>0.02</v>
      </c>
      <c r="E39" s="8" t="s">
        <v>20</v>
      </c>
      <c r="F39" s="8">
        <v>25</v>
      </c>
    </row>
    <row r="40" spans="1:6" ht="14.25" customHeight="1">
      <c r="A40" s="12"/>
      <c r="B40" s="23" t="s">
        <v>18</v>
      </c>
      <c r="C40" s="12"/>
      <c r="D40" s="16">
        <v>0</v>
      </c>
      <c r="F40" s="8" t="s">
        <v>117</v>
      </c>
    </row>
    <row r="41" spans="1:6" ht="14.25" customHeight="1">
      <c r="B41" s="26"/>
    </row>
    <row r="42" spans="1:6" ht="14.25" customHeight="1">
      <c r="B42" s="2"/>
    </row>
    <row r="43" spans="1:6" ht="14.25" customHeight="1">
      <c r="B43" s="2"/>
    </row>
    <row r="44" spans="1:6" ht="14.25" customHeight="1">
      <c r="B44" s="1" t="s">
        <v>127</v>
      </c>
    </row>
    <row r="45" spans="1:6" ht="14.25" customHeight="1">
      <c r="B45" s="2"/>
    </row>
    <row r="46" spans="1:6" ht="14.25" customHeight="1">
      <c r="B46" s="1"/>
    </row>
    <row r="47" spans="1:6" ht="14.25" customHeight="1">
      <c r="B47" s="3" t="s">
        <v>264</v>
      </c>
    </row>
    <row r="48" spans="1:6" ht="14.25" customHeight="1">
      <c r="B48" s="5" t="s">
        <v>265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Markus Uppenberg</cp:lastModifiedBy>
  <cp:revision/>
  <dcterms:created xsi:type="dcterms:W3CDTF">2026-09-30T06:31:27Z</dcterms:created>
  <dcterms:modified xsi:type="dcterms:W3CDTF">2026-09-30T10:09:18Z</dcterms:modified>
  <cp:category/>
  <cp:contentStatus/>
</cp:coreProperties>
</file>