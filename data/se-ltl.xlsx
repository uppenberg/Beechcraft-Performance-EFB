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jonairse.sharepoint.com/sites/JonairOperation/Delade dokument/Funktionstest excel/"/>
    </mc:Choice>
  </mc:AlternateContent>
  <xr:revisionPtr revIDLastSave="90" documentId="11_2045DDC9DE26F147D149AA8A3A7DD0C188C38EBC" xr6:coauthVersionLast="47" xr6:coauthVersionMax="47" xr10:uidLastSave="{0D2BE794-3D48-46C5-BBE3-38356557F731}"/>
  <bookViews>
    <workbookView xWindow="-108" yWindow="-108" windowWidth="23256" windowHeight="12456" tabRatio="500" firstSheet="6" activeTab="7" xr2:uid="{00000000-000D-0000-FFFF-FFFF00000000}"/>
  </bookViews>
  <sheets>
    <sheet name="Take-off" sheetId="1" r:id="rId1"/>
    <sheet name="Landing" sheetId="2" r:id="rId2"/>
    <sheet name="Airport data" sheetId="3" r:id="rId3"/>
    <sheet name="Dropdown lists" sheetId="4" r:id="rId4"/>
    <sheet name="LTL_LDG Performance" sheetId="5" r:id="rId5"/>
    <sheet name="LTL_TAKE OFF Performance FLAPS " sheetId="6" r:id="rId6"/>
    <sheet name="Blad3" sheetId="7" r:id="rId7"/>
    <sheet name="LTL_Landing distance data" sheetId="8" r:id="rId8"/>
    <sheet name="LTL_Accelerate and GO (2)" sheetId="9" r:id="rId9"/>
    <sheet name="LTL_Accelerate and stop2" sheetId="10" r:id="rId10"/>
    <sheet name="LTL_OEI CLIMB GRADIENT" sheetId="11" r:id="rId11"/>
    <sheet name="LTL_NET GRADIENT OF CLIMB" sheetId="12" r:id="rId12"/>
    <sheet name="LTL_Takeoff distance (2)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C86" i="13" l="1" a="1"/>
  <c r="AC86" i="13" s="1"/>
  <c r="P86" i="13" a="1"/>
  <c r="P86" i="13" s="1"/>
  <c r="C86" i="13" a="1"/>
  <c r="C86" i="13" s="1"/>
  <c r="AE84" i="13"/>
  <c r="R84" i="13"/>
  <c r="E84" i="13"/>
  <c r="AE83" i="13"/>
  <c r="R83" i="13"/>
  <c r="E83" i="13"/>
  <c r="C87" i="13" s="1" a="1"/>
  <c r="C87" i="13" s="1"/>
  <c r="AE65" i="13"/>
  <c r="R65" i="13"/>
  <c r="E65" i="13"/>
  <c r="AE64" i="13"/>
  <c r="R64" i="13"/>
  <c r="E64" i="13"/>
  <c r="AC46" i="13"/>
  <c r="P46" i="13"/>
  <c r="C46" i="13"/>
  <c r="AE45" i="13"/>
  <c r="R45" i="13"/>
  <c r="E45" i="13"/>
  <c r="AE44" i="13"/>
  <c r="R44" i="13"/>
  <c r="E44" i="13"/>
  <c r="AE19" i="13"/>
  <c r="R19" i="13"/>
  <c r="E19" i="13"/>
  <c r="AE18" i="13"/>
  <c r="R18" i="13"/>
  <c r="E18" i="13"/>
  <c r="AD14" i="13"/>
  <c r="AD13" i="13"/>
  <c r="AD12" i="13"/>
  <c r="AD11" i="13"/>
  <c r="AD10" i="13"/>
  <c r="AD9" i="13"/>
  <c r="AD8" i="13"/>
  <c r="AD6" i="13"/>
  <c r="AC46" i="12"/>
  <c r="P46" i="12"/>
  <c r="C46" i="12"/>
  <c r="AE45" i="12"/>
  <c r="R45" i="12"/>
  <c r="E45" i="12"/>
  <c r="AE44" i="12"/>
  <c r="R44" i="12"/>
  <c r="E44" i="12"/>
  <c r="AE19" i="12"/>
  <c r="R19" i="12"/>
  <c r="E19" i="12"/>
  <c r="AE18" i="12"/>
  <c r="R18" i="12"/>
  <c r="E18" i="12"/>
  <c r="C45" i="11"/>
  <c r="C46" i="11" s="1" a="1"/>
  <c r="C46" i="11" s="1"/>
  <c r="E44" i="11"/>
  <c r="E43" i="11"/>
  <c r="P39" i="11" a="1"/>
  <c r="P39" i="11" s="1"/>
  <c r="R37" i="11"/>
  <c r="R36" i="11"/>
  <c r="E19" i="11"/>
  <c r="E18" i="11"/>
  <c r="AE65" i="10"/>
  <c r="R65" i="10"/>
  <c r="E65" i="10"/>
  <c r="AE64" i="10"/>
  <c r="R64" i="10"/>
  <c r="E64" i="10"/>
  <c r="AC46" i="10"/>
  <c r="P46" i="10"/>
  <c r="C46" i="10"/>
  <c r="AE45" i="10"/>
  <c r="R45" i="10"/>
  <c r="E45" i="10"/>
  <c r="AE44" i="10"/>
  <c r="R44" i="10"/>
  <c r="E44" i="10"/>
  <c r="AE19" i="10"/>
  <c r="R19" i="10"/>
  <c r="E19" i="10"/>
  <c r="AE18" i="10"/>
  <c r="R18" i="10"/>
  <c r="E18" i="10"/>
  <c r="AF65" i="9"/>
  <c r="R65" i="9"/>
  <c r="E65" i="9"/>
  <c r="AF64" i="9"/>
  <c r="R64" i="9"/>
  <c r="E64" i="9"/>
  <c r="AC46" i="9"/>
  <c r="AC47" i="9" s="1" a="1"/>
  <c r="AC47" i="9" s="1"/>
  <c r="P46" i="9"/>
  <c r="P47" i="9" s="1" a="1"/>
  <c r="P47" i="9" s="1"/>
  <c r="C46" i="9"/>
  <c r="C47" i="9" s="1" a="1"/>
  <c r="C47" i="9" s="1"/>
  <c r="AE45" i="9"/>
  <c r="R45" i="9"/>
  <c r="E45" i="9"/>
  <c r="AE44" i="9"/>
  <c r="R44" i="9"/>
  <c r="E44" i="9"/>
  <c r="AE19" i="9"/>
  <c r="R19" i="9"/>
  <c r="E19" i="9"/>
  <c r="AE18" i="9"/>
  <c r="R18" i="9"/>
  <c r="E18" i="9"/>
  <c r="K92" i="8" a="1"/>
  <c r="K92" i="8" s="1"/>
  <c r="C92" i="8" a="1"/>
  <c r="C92" i="8" s="1"/>
  <c r="M90" i="8"/>
  <c r="E90" i="8"/>
  <c r="M89" i="8"/>
  <c r="K93" i="8" s="1" a="1"/>
  <c r="K93" i="8" s="1"/>
  <c r="E89" i="8"/>
  <c r="C93" i="8" s="1" a="1"/>
  <c r="C93" i="8" s="1"/>
  <c r="M71" i="8"/>
  <c r="E71" i="8"/>
  <c r="M70" i="8"/>
  <c r="E70" i="8"/>
  <c r="K51" i="8"/>
  <c r="K52" i="8" s="1" a="1"/>
  <c r="K52" i="8" s="1"/>
  <c r="C51" i="8"/>
  <c r="C52" i="8" s="1" a="1"/>
  <c r="C52" i="8" s="1"/>
  <c r="M50" i="8"/>
  <c r="E50" i="8"/>
  <c r="M49" i="8"/>
  <c r="E49" i="8"/>
  <c r="M25" i="8"/>
  <c r="E25" i="8"/>
  <c r="M24" i="8"/>
  <c r="E24" i="8"/>
  <c r="L32" i="7"/>
  <c r="K32" i="7"/>
  <c r="H32" i="7"/>
  <c r="G32" i="7"/>
  <c r="D32" i="7"/>
  <c r="L31" i="7"/>
  <c r="K31" i="7"/>
  <c r="H31" i="7"/>
  <c r="G31" i="7"/>
  <c r="L30" i="7"/>
  <c r="K30" i="7"/>
  <c r="H30" i="7"/>
  <c r="G30" i="7"/>
  <c r="L29" i="7"/>
  <c r="K29" i="7"/>
  <c r="H29" i="7"/>
  <c r="G29" i="7"/>
  <c r="L28" i="7"/>
  <c r="K28" i="7"/>
  <c r="H28" i="7"/>
  <c r="G28" i="7"/>
  <c r="I21" i="7"/>
  <c r="I20" i="7" a="1"/>
  <c r="I20" i="7" s="1"/>
  <c r="I18" i="7" a="1"/>
  <c r="I18" i="7" s="1"/>
  <c r="I17" i="7"/>
  <c r="I21" i="7" s="1" a="1"/>
  <c r="E17" i="7"/>
  <c r="I16" i="7"/>
  <c r="E16" i="7"/>
  <c r="I14" i="7"/>
  <c r="E14" i="7"/>
  <c r="I13" i="7"/>
  <c r="E13" i="7"/>
  <c r="H8" i="7"/>
  <c r="L32" i="6"/>
  <c r="K32" i="6"/>
  <c r="H32" i="6"/>
  <c r="G32" i="6"/>
  <c r="L31" i="6"/>
  <c r="K31" i="6"/>
  <c r="H31" i="6"/>
  <c r="G31" i="6"/>
  <c r="H30" i="6"/>
  <c r="G30" i="6"/>
  <c r="L29" i="6"/>
  <c r="K29" i="6"/>
  <c r="H29" i="6"/>
  <c r="G29" i="6"/>
  <c r="L28" i="6"/>
  <c r="K28" i="6"/>
  <c r="H28" i="6"/>
  <c r="G28" i="6"/>
  <c r="D28" i="6"/>
  <c r="E21" i="6" a="1"/>
  <c r="E21" i="6" s="1"/>
  <c r="E19" i="6" a="1"/>
  <c r="E19" i="6" s="1"/>
  <c r="I18" i="6" a="1"/>
  <c r="I18" i="6"/>
  <c r="E18" i="6" a="1"/>
  <c r="E18" i="6"/>
  <c r="I17" i="6"/>
  <c r="E17" i="6"/>
  <c r="I16" i="6"/>
  <c r="I20" i="6" s="1" a="1"/>
  <c r="I20" i="6" s="1"/>
  <c r="E16" i="6"/>
  <c r="E20" i="6" s="1" a="1"/>
  <c r="E20" i="6" s="1"/>
  <c r="E22" i="6" s="1"/>
  <c r="I14" i="6"/>
  <c r="E14" i="6"/>
  <c r="I13" i="6"/>
  <c r="E13" i="6"/>
  <c r="D82" i="5"/>
  <c r="B82" i="5"/>
  <c r="C80" i="5"/>
  <c r="C79" i="5"/>
  <c r="C55" i="5"/>
  <c r="K18" i="5" a="1"/>
  <c r="K18" i="5" s="1"/>
  <c r="M16" i="5"/>
  <c r="K16" i="5"/>
  <c r="K20" i="5" s="1" a="1"/>
  <c r="K20" i="5" s="1"/>
  <c r="I16" i="5"/>
  <c r="E16" i="5"/>
  <c r="E20" i="5" s="1" a="1"/>
  <c r="E20" i="5" s="1"/>
  <c r="M15" i="5"/>
  <c r="K15" i="5"/>
  <c r="I15" i="5"/>
  <c r="E15" i="5"/>
  <c r="C13" i="5"/>
  <c r="C12" i="5"/>
  <c r="J29" i="4"/>
  <c r="C29" i="2"/>
  <c r="G22" i="2" a="1"/>
  <c r="G22" i="2" s="1"/>
  <c r="C20" i="2" a="1"/>
  <c r="C20" i="2"/>
  <c r="C18" i="2" a="1"/>
  <c r="C18" i="2" s="1"/>
  <c r="C17" i="2" a="1"/>
  <c r="C17" i="2" s="1"/>
  <c r="C16" i="2" a="1"/>
  <c r="C16" i="2" s="1"/>
  <c r="C103" i="8" s="1"/>
  <c r="C15" i="2" a="1"/>
  <c r="C15" i="2" s="1"/>
  <c r="C14" i="2"/>
  <c r="G10" i="2"/>
  <c r="C9" i="2"/>
  <c r="G8" i="2"/>
  <c r="C8" i="2"/>
  <c r="C7" i="2"/>
  <c r="C6" i="2"/>
  <c r="C70" i="1"/>
  <c r="C69" i="1"/>
  <c r="B60" i="1"/>
  <c r="B59" i="1"/>
  <c r="B58" i="1"/>
  <c r="B57" i="1"/>
  <c r="B56" i="1"/>
  <c r="B55" i="1"/>
  <c r="C32" i="1"/>
  <c r="C31" i="1"/>
  <c r="F25" i="1" a="1"/>
  <c r="F25" i="1"/>
  <c r="F24" i="1" a="1"/>
  <c r="F24" i="1" s="1"/>
  <c r="C22" i="1" a="1"/>
  <c r="C22" i="1"/>
  <c r="C21" i="1" a="1"/>
  <c r="C21" i="1"/>
  <c r="C57" i="1" s="1"/>
  <c r="C20" i="1" a="1"/>
  <c r="C20" i="1" s="1"/>
  <c r="C56" i="1" s="1"/>
  <c r="G19" i="1" a="1"/>
  <c r="G19" i="1" s="1"/>
  <c r="C19" i="1" a="1"/>
  <c r="C19" i="1" s="1"/>
  <c r="C55" i="1" s="1"/>
  <c r="C18" i="1" a="1"/>
  <c r="C18" i="1" s="1"/>
  <c r="C17" i="1" a="1"/>
  <c r="C17" i="1" s="1"/>
  <c r="C16" i="1" a="1"/>
  <c r="C16" i="1" s="1"/>
  <c r="F12" i="1"/>
  <c r="G10" i="1"/>
  <c r="C9" i="1"/>
  <c r="G8" i="1"/>
  <c r="C8" i="1"/>
  <c r="D2" i="9" s="1"/>
  <c r="C7" i="1"/>
  <c r="C6" i="1"/>
  <c r="C47" i="11" l="1" a="1"/>
  <c r="C47" i="11" s="1"/>
  <c r="C48" i="9" a="1"/>
  <c r="C48" i="9" s="1"/>
  <c r="G2" i="8"/>
  <c r="K26" i="8" s="1"/>
  <c r="B35" i="7"/>
  <c r="B34" i="6"/>
  <c r="D1" i="10"/>
  <c r="D1" i="13"/>
  <c r="D1" i="12"/>
  <c r="G1" i="8"/>
  <c r="K23" i="8" s="1"/>
  <c r="D1" i="9"/>
  <c r="M20" i="5" a="1"/>
  <c r="M20" i="5" s="1"/>
  <c r="K19" i="5" a="1"/>
  <c r="K19" i="5" s="1"/>
  <c r="C39" i="1"/>
  <c r="C38" i="1"/>
  <c r="D36" i="2"/>
  <c r="C36" i="2"/>
  <c r="AC20" i="9"/>
  <c r="P20" i="9"/>
  <c r="C20" i="9"/>
  <c r="AC48" i="9" a="1"/>
  <c r="AC48" i="9" s="1"/>
  <c r="K17" i="5" a="1"/>
  <c r="K17" i="5" s="1"/>
  <c r="E21" i="7" a="1"/>
  <c r="E21" i="7" s="1"/>
  <c r="E19" i="7" a="1"/>
  <c r="E19" i="7" s="1"/>
  <c r="E20" i="7" a="1"/>
  <c r="E20" i="7" s="1"/>
  <c r="E18" i="7" a="1"/>
  <c r="E18" i="7" s="1"/>
  <c r="K103" i="8"/>
  <c r="D29" i="7"/>
  <c r="D32" i="6"/>
  <c r="D31" i="7"/>
  <c r="D30" i="6"/>
  <c r="D31" i="6"/>
  <c r="D30" i="7"/>
  <c r="D2" i="11"/>
  <c r="C20" i="11" s="1"/>
  <c r="D2" i="8"/>
  <c r="C26" i="8" s="1"/>
  <c r="B32" i="5"/>
  <c r="I21" i="6" a="1"/>
  <c r="I21" i="6" s="1"/>
  <c r="I22" i="6" s="1"/>
  <c r="D29" i="6"/>
  <c r="I20" i="5" a="1"/>
  <c r="I20" i="5" s="1"/>
  <c r="I19" i="5" a="1"/>
  <c r="I19" i="5" s="1"/>
  <c r="I18" i="5" a="1"/>
  <c r="I18" i="5" s="1"/>
  <c r="I17" i="5" a="1"/>
  <c r="I17" i="5" s="1"/>
  <c r="E17" i="5" a="1"/>
  <c r="E17" i="5" s="1"/>
  <c r="E18" i="5" a="1"/>
  <c r="E18" i="5" s="1"/>
  <c r="E19" i="5" a="1"/>
  <c r="E19" i="5" s="1"/>
  <c r="I19" i="7" a="1"/>
  <c r="I19" i="7" s="1"/>
  <c r="I22" i="7" s="1"/>
  <c r="C53" i="8" a="1"/>
  <c r="C53" i="8" s="1"/>
  <c r="D1" i="11"/>
  <c r="C17" i="11" s="1"/>
  <c r="I19" i="6" a="1"/>
  <c r="I19" i="6" s="1"/>
  <c r="D1" i="8"/>
  <c r="C23" i="8" s="1"/>
  <c r="K53" i="8" a="1"/>
  <c r="K53" i="8" s="1"/>
  <c r="D2" i="10"/>
  <c r="D2" i="13"/>
  <c r="D2" i="12"/>
  <c r="P48" i="9" a="1"/>
  <c r="P48" i="9" s="1"/>
  <c r="M17" i="5" a="1"/>
  <c r="M17" i="5" s="1"/>
  <c r="M18" i="5" a="1"/>
  <c r="M18" i="5" s="1"/>
  <c r="M19" i="5" a="1"/>
  <c r="M19" i="5" s="1"/>
  <c r="M21" i="5" s="1"/>
  <c r="C26" i="2" s="1"/>
  <c r="C47" i="10" a="1"/>
  <c r="C47" i="10" s="1"/>
  <c r="P48" i="10" a="1"/>
  <c r="P48" i="10" s="1"/>
  <c r="AC47" i="12" a="1"/>
  <c r="AC47" i="12" s="1"/>
  <c r="AC47" i="13" a="1"/>
  <c r="AC47" i="13" s="1"/>
  <c r="P47" i="10" a="1"/>
  <c r="P47" i="10" s="1"/>
  <c r="AC48" i="10" a="1"/>
  <c r="AC48" i="10" s="1"/>
  <c r="C48" i="12" a="1"/>
  <c r="C48" i="12" s="1"/>
  <c r="C48" i="13" a="1"/>
  <c r="C48" i="13" s="1"/>
  <c r="P87" i="13" a="1"/>
  <c r="P87" i="13" s="1"/>
  <c r="AC47" i="10" a="1"/>
  <c r="AC47" i="10" s="1"/>
  <c r="P40" i="11" a="1"/>
  <c r="P40" i="11" s="1"/>
  <c r="C47" i="12" a="1"/>
  <c r="C47" i="12" s="1"/>
  <c r="P48" i="12" a="1"/>
  <c r="P48" i="12" s="1"/>
  <c r="C47" i="13" a="1"/>
  <c r="C47" i="13" s="1"/>
  <c r="P48" i="13" a="1"/>
  <c r="P48" i="13" s="1"/>
  <c r="AC87" i="13" a="1"/>
  <c r="AC87" i="13" s="1"/>
  <c r="C48" i="10" a="1"/>
  <c r="C48" i="10" s="1"/>
  <c r="P47" i="12" a="1"/>
  <c r="P47" i="12" s="1"/>
  <c r="AC48" i="12" a="1"/>
  <c r="AC48" i="12" s="1"/>
  <c r="P47" i="13" a="1"/>
  <c r="P47" i="13" s="1"/>
  <c r="AC48" i="13" a="1"/>
  <c r="AC48" i="13" s="1"/>
  <c r="K32" i="8" l="1" a="1"/>
  <c r="K32" i="8" s="1"/>
  <c r="K27" i="8" a="1"/>
  <c r="K27" i="8" s="1"/>
  <c r="K28" i="8" a="1"/>
  <c r="K28" i="8" s="1"/>
  <c r="K30" i="8" a="1"/>
  <c r="K30" i="8" s="1"/>
  <c r="E40" i="1"/>
  <c r="E33" i="1"/>
  <c r="C33" i="1"/>
  <c r="C40" i="1"/>
  <c r="AC20" i="10"/>
  <c r="P20" i="10"/>
  <c r="C20" i="10"/>
  <c r="C25" i="8" a="1"/>
  <c r="C25" i="8" s="1"/>
  <c r="C24" i="8" a="1"/>
  <c r="C24" i="8" s="1"/>
  <c r="C37" i="5"/>
  <c r="C22" i="2" s="1"/>
  <c r="C32" i="5"/>
  <c r="D32" i="5" s="1"/>
  <c r="C21" i="2" s="1"/>
  <c r="AC17" i="9"/>
  <c r="AC26" i="9" s="1" a="1"/>
  <c r="AC26" i="9" s="1"/>
  <c r="P17" i="9"/>
  <c r="P25" i="9" s="1"/>
  <c r="C17" i="9"/>
  <c r="C26" i="9" s="1" a="1"/>
  <c r="C26" i="9" s="1"/>
  <c r="C35" i="7"/>
  <c r="D35" i="7" s="1"/>
  <c r="C40" i="7"/>
  <c r="E21" i="5"/>
  <c r="G26" i="2" s="1"/>
  <c r="C31" i="8" a="1"/>
  <c r="C31" i="8" s="1"/>
  <c r="C29" i="8" a="1"/>
  <c r="C29" i="8" s="1"/>
  <c r="C27" i="8" a="1"/>
  <c r="C27" i="8" s="1"/>
  <c r="C32" i="8" a="1"/>
  <c r="C32" i="8" s="1"/>
  <c r="C30" i="8" a="1"/>
  <c r="C30" i="8" s="1"/>
  <c r="C28" i="8" a="1"/>
  <c r="C28" i="8" s="1"/>
  <c r="K24" i="8" a="1"/>
  <c r="K24" i="8" s="1"/>
  <c r="K25" i="8" a="1"/>
  <c r="K25" i="8" s="1"/>
  <c r="C26" i="11" a="1"/>
  <c r="C26" i="11" s="1"/>
  <c r="C22" i="11" a="1"/>
  <c r="C22" i="11" s="1"/>
  <c r="C25" i="11" a="1"/>
  <c r="C25" i="11" s="1"/>
  <c r="C21" i="11" a="1"/>
  <c r="C21" i="11" s="1"/>
  <c r="C24" i="11" a="1"/>
  <c r="C24" i="11" s="1"/>
  <c r="C23" i="11" a="1"/>
  <c r="C23" i="11" s="1"/>
  <c r="AC17" i="12"/>
  <c r="P17" i="12"/>
  <c r="C17" i="12"/>
  <c r="AC20" i="12"/>
  <c r="P20" i="12"/>
  <c r="C20" i="12"/>
  <c r="P21" i="9" a="1"/>
  <c r="P21" i="9" s="1"/>
  <c r="P22" i="9" a="1"/>
  <c r="P22" i="9" s="1"/>
  <c r="AC17" i="13"/>
  <c r="P17" i="13"/>
  <c r="C17" i="13"/>
  <c r="K29" i="8" a="1"/>
  <c r="K29" i="8" s="1"/>
  <c r="C18" i="11" a="1"/>
  <c r="C18" i="11" s="1"/>
  <c r="C19" i="11" a="1"/>
  <c r="C19" i="11" s="1"/>
  <c r="C21" i="9" a="1"/>
  <c r="C21" i="9" s="1"/>
  <c r="C22" i="9" a="1"/>
  <c r="C22" i="9" s="1"/>
  <c r="AC20" i="13"/>
  <c r="P20" i="13"/>
  <c r="C20" i="13"/>
  <c r="I21" i="5"/>
  <c r="G45" i="1" s="1"/>
  <c r="E22" i="7"/>
  <c r="AC22" i="9" a="1"/>
  <c r="AC22" i="9" s="1"/>
  <c r="AC21" i="9" a="1"/>
  <c r="AC21" i="9" s="1"/>
  <c r="C17" i="10"/>
  <c r="AC17" i="10"/>
  <c r="P17" i="10"/>
  <c r="K31" i="8" a="1"/>
  <c r="K31" i="8" s="1"/>
  <c r="K21" i="5"/>
  <c r="C45" i="1" s="1"/>
  <c r="C34" i="6"/>
  <c r="D34" i="6" s="1"/>
  <c r="C24" i="1" s="1"/>
  <c r="C39" i="6"/>
  <c r="C25" i="1" s="1"/>
  <c r="AC25" i="9" l="1" a="1"/>
  <c r="AC25" i="9" s="1"/>
  <c r="AC23" i="9" a="1"/>
  <c r="AC23" i="9" s="1"/>
  <c r="AC24" i="9" a="1"/>
  <c r="AC24" i="9" s="1"/>
  <c r="P24" i="9"/>
  <c r="C23" i="9" a="1"/>
  <c r="C23" i="9" s="1"/>
  <c r="P26" i="9"/>
  <c r="C33" i="8"/>
  <c r="C24" i="9" a="1"/>
  <c r="C24" i="9" s="1"/>
  <c r="P23" i="9"/>
  <c r="C34" i="8"/>
  <c r="C26" i="13" a="1"/>
  <c r="C26" i="13" s="1"/>
  <c r="C24" i="13" a="1"/>
  <c r="C24" i="13" s="1"/>
  <c r="C21" i="13" a="1"/>
  <c r="C21" i="13" s="1"/>
  <c r="C25" i="13" a="1"/>
  <c r="C25" i="13" s="1"/>
  <c r="C22" i="13" a="1"/>
  <c r="C22" i="13" s="1"/>
  <c r="C23" i="13" a="1"/>
  <c r="C23" i="13" s="1"/>
  <c r="P24" i="13"/>
  <c r="P21" i="13" a="1"/>
  <c r="P21" i="13" s="1"/>
  <c r="P22" i="13" a="1"/>
  <c r="P22" i="13" s="1"/>
  <c r="P25" i="13"/>
  <c r="P23" i="13"/>
  <c r="P26" i="13"/>
  <c r="AC22" i="13" a="1"/>
  <c r="AC22" i="13" s="1"/>
  <c r="AC25" i="13" a="1"/>
  <c r="AC25" i="13" s="1"/>
  <c r="AC23" i="13" a="1"/>
  <c r="AC23" i="13" s="1"/>
  <c r="AC26" i="13" a="1"/>
  <c r="AC26" i="13" s="1"/>
  <c r="AC24" i="13" a="1"/>
  <c r="AC24" i="13" s="1"/>
  <c r="AC21" i="13" a="1"/>
  <c r="AC21" i="13" s="1"/>
  <c r="AC19" i="12" a="1"/>
  <c r="AC19" i="12" s="1"/>
  <c r="AC18" i="12" a="1"/>
  <c r="AC18" i="12" s="1"/>
  <c r="K33" i="8"/>
  <c r="C27" i="11"/>
  <c r="C25" i="10" a="1"/>
  <c r="C25" i="10" s="1"/>
  <c r="C22" i="10" a="1"/>
  <c r="C22" i="10" s="1"/>
  <c r="C23" i="10" a="1"/>
  <c r="C23" i="10" s="1"/>
  <c r="C26" i="10" a="1"/>
  <c r="C26" i="10" s="1"/>
  <c r="C24" i="10" a="1"/>
  <c r="C24" i="10" s="1"/>
  <c r="C21" i="10" a="1"/>
  <c r="C21" i="10" s="1"/>
  <c r="AC22" i="12" a="1"/>
  <c r="AC22" i="12" s="1"/>
  <c r="AC25" i="12" a="1"/>
  <c r="AC25" i="12" s="1"/>
  <c r="AC23" i="12" a="1"/>
  <c r="AC23" i="12" s="1"/>
  <c r="AC26" i="12" a="1"/>
  <c r="AC26" i="12" s="1"/>
  <c r="AC24" i="12" a="1"/>
  <c r="AC24" i="12" s="1"/>
  <c r="AC21" i="12" a="1"/>
  <c r="AC21" i="12" s="1"/>
  <c r="C72" i="8"/>
  <c r="F6" i="2"/>
  <c r="C18" i="12" a="1"/>
  <c r="C18" i="12" s="1"/>
  <c r="C19" i="12" a="1"/>
  <c r="C19" i="12" s="1"/>
  <c r="P19" i="12" a="1"/>
  <c r="P19" i="12" s="1"/>
  <c r="P18" i="12" a="1"/>
  <c r="P18" i="12" s="1"/>
  <c r="K34" i="8"/>
  <c r="P25" i="10"/>
  <c r="P23" i="10"/>
  <c r="P26" i="10"/>
  <c r="P22" i="10" a="1"/>
  <c r="P22" i="10" s="1"/>
  <c r="P21" i="10" a="1"/>
  <c r="P21" i="10" s="1"/>
  <c r="P24" i="10"/>
  <c r="P19" i="10" a="1"/>
  <c r="P19" i="10" s="1"/>
  <c r="P18" i="10" a="1"/>
  <c r="P18" i="10" s="1"/>
  <c r="P19" i="13" a="1"/>
  <c r="P19" i="13" s="1"/>
  <c r="P18" i="13" a="1"/>
  <c r="P18" i="13" s="1"/>
  <c r="C26" i="12" a="1"/>
  <c r="C26" i="12" s="1"/>
  <c r="C24" i="12" a="1"/>
  <c r="C24" i="12" s="1"/>
  <c r="C21" i="12" a="1"/>
  <c r="C21" i="12" s="1"/>
  <c r="C25" i="12" a="1"/>
  <c r="C25" i="12" s="1"/>
  <c r="C22" i="12" a="1"/>
  <c r="C22" i="12" s="1"/>
  <c r="C23" i="12" a="1"/>
  <c r="C23" i="12" s="1"/>
  <c r="P19" i="9" a="1"/>
  <c r="P19" i="9" s="1"/>
  <c r="P18" i="9" a="1"/>
  <c r="P18" i="9" s="1"/>
  <c r="AC23" i="10" a="1"/>
  <c r="AC23" i="10" s="1"/>
  <c r="AC26" i="10" a="1"/>
  <c r="AC26" i="10" s="1"/>
  <c r="AC24" i="10" a="1"/>
  <c r="AC24" i="10" s="1"/>
  <c r="AC21" i="10" a="1"/>
  <c r="AC21" i="10" s="1"/>
  <c r="AC25" i="10" a="1"/>
  <c r="AC25" i="10" s="1"/>
  <c r="AC22" i="10" a="1"/>
  <c r="AC22" i="10" s="1"/>
  <c r="C19" i="10" a="1"/>
  <c r="C19" i="10" s="1"/>
  <c r="C18" i="10" a="1"/>
  <c r="C18" i="10" s="1"/>
  <c r="P66" i="13"/>
  <c r="AD66" i="9"/>
  <c r="C66" i="13"/>
  <c r="P66" i="9"/>
  <c r="C66" i="9"/>
  <c r="AC66" i="10"/>
  <c r="P66" i="10"/>
  <c r="F6" i="1"/>
  <c r="AC66" i="13"/>
  <c r="C66" i="10"/>
  <c r="K72" i="8"/>
  <c r="C18" i="13" a="1"/>
  <c r="C18" i="13" s="1"/>
  <c r="C19" i="13" a="1"/>
  <c r="C19" i="13" s="1"/>
  <c r="C19" i="9" a="1"/>
  <c r="C19" i="9" s="1"/>
  <c r="C18" i="9" a="1"/>
  <c r="C18" i="9" s="1"/>
  <c r="AC18" i="10" a="1"/>
  <c r="AC18" i="10" s="1"/>
  <c r="AC19" i="10" a="1"/>
  <c r="AC19" i="10" s="1"/>
  <c r="E31" i="1"/>
  <c r="E38" i="1"/>
  <c r="E32" i="1"/>
  <c r="E39" i="1"/>
  <c r="C25" i="9" a="1"/>
  <c r="C25" i="9" s="1"/>
  <c r="AC19" i="13" a="1"/>
  <c r="AC19" i="13" s="1"/>
  <c r="AC18" i="13" a="1"/>
  <c r="AC18" i="13" s="1"/>
  <c r="P24" i="12"/>
  <c r="P21" i="12" a="1"/>
  <c r="P21" i="12" s="1"/>
  <c r="P22" i="12" a="1"/>
  <c r="P22" i="12" s="1"/>
  <c r="P25" i="12"/>
  <c r="P23" i="12"/>
  <c r="P26" i="12"/>
  <c r="C28" i="11"/>
  <c r="AC19" i="9" a="1"/>
  <c r="AC19" i="9" s="1"/>
  <c r="AC18" i="9" a="1"/>
  <c r="AC18" i="9" s="1"/>
  <c r="C28" i="12" l="1"/>
  <c r="P27" i="9"/>
  <c r="C27" i="9"/>
  <c r="C27" i="10"/>
  <c r="P28" i="9"/>
  <c r="C35" i="8"/>
  <c r="C48" i="8" s="1"/>
  <c r="P27" i="13"/>
  <c r="P28" i="13"/>
  <c r="AC27" i="9"/>
  <c r="P67" i="9" a="1"/>
  <c r="P67" i="9" s="1"/>
  <c r="P68" i="9" a="1"/>
  <c r="P68" i="9" s="1"/>
  <c r="C28" i="9"/>
  <c r="C67" i="10" a="1"/>
  <c r="C67" i="10" s="1"/>
  <c r="C68" i="10" a="1"/>
  <c r="C68" i="10" s="1"/>
  <c r="AD67" i="9" a="1"/>
  <c r="AD67" i="9" s="1"/>
  <c r="AD68" i="9" a="1"/>
  <c r="AD68" i="9" s="1"/>
  <c r="P67" i="13" a="1"/>
  <c r="P67" i="13" s="1"/>
  <c r="P68" i="13" a="1"/>
  <c r="P68" i="13" s="1"/>
  <c r="AC27" i="10"/>
  <c r="C28" i="10"/>
  <c r="C29" i="10" s="1"/>
  <c r="C43" i="10" s="1"/>
  <c r="P28" i="12"/>
  <c r="P27" i="10"/>
  <c r="AC28" i="12"/>
  <c r="C29" i="11"/>
  <c r="C42" i="11" s="1"/>
  <c r="AC27" i="13"/>
  <c r="C67" i="13" a="1"/>
  <c r="C67" i="13" s="1"/>
  <c r="C68" i="13" a="1"/>
  <c r="C68" i="13" s="1"/>
  <c r="AC27" i="12"/>
  <c r="P68" i="10" a="1"/>
  <c r="P68" i="10" s="1"/>
  <c r="P67" i="10" a="1"/>
  <c r="P67" i="10" s="1"/>
  <c r="P28" i="10"/>
  <c r="K35" i="8"/>
  <c r="K48" i="8" s="1"/>
  <c r="AC28" i="13"/>
  <c r="C27" i="13"/>
  <c r="K73" i="8" a="1"/>
  <c r="K73" i="8" s="1"/>
  <c r="K74" i="8" a="1"/>
  <c r="K74" i="8" s="1"/>
  <c r="P27" i="12"/>
  <c r="AC67" i="13" a="1"/>
  <c r="AC67" i="13" s="1"/>
  <c r="AC68" i="13" a="1"/>
  <c r="AC68" i="13" s="1"/>
  <c r="AC28" i="9"/>
  <c r="AC68" i="10" a="1"/>
  <c r="AC68" i="10" s="1"/>
  <c r="AC67" i="10" a="1"/>
  <c r="AC67" i="10" s="1"/>
  <c r="C27" i="12"/>
  <c r="C74" i="8" a="1"/>
  <c r="C74" i="8" s="1"/>
  <c r="C73" i="8" a="1"/>
  <c r="C73" i="8" s="1"/>
  <c r="C68" i="9" a="1"/>
  <c r="C68" i="9" s="1"/>
  <c r="C67" i="9" a="1"/>
  <c r="C67" i="9" s="1"/>
  <c r="AC28" i="10"/>
  <c r="C28" i="13"/>
  <c r="P29" i="9" l="1"/>
  <c r="P43" i="9" s="1"/>
  <c r="P44" i="9" s="1" a="1"/>
  <c r="P44" i="9" s="1"/>
  <c r="C29" i="9"/>
  <c r="C43" i="9" s="1"/>
  <c r="C45" i="9" s="1" a="1"/>
  <c r="C45" i="9" s="1"/>
  <c r="C29" i="12"/>
  <c r="C43" i="12" s="1"/>
  <c r="C44" i="12" s="1" a="1"/>
  <c r="C44" i="12" s="1"/>
  <c r="P29" i="13"/>
  <c r="P43" i="13" s="1"/>
  <c r="C50" i="8" a="1"/>
  <c r="C50" i="8" s="1"/>
  <c r="C57" i="8" a="1"/>
  <c r="C57" i="8" s="1"/>
  <c r="C56" i="8" a="1"/>
  <c r="C56" i="8" s="1"/>
  <c r="C49" i="8" a="1"/>
  <c r="C49" i="8" s="1"/>
  <c r="C54" i="8" a="1"/>
  <c r="C54" i="8" s="1"/>
  <c r="C55" i="8" a="1"/>
  <c r="C55" i="8" s="1"/>
  <c r="AC29" i="9"/>
  <c r="AC43" i="9" s="1"/>
  <c r="AC44" i="9" s="1" a="1"/>
  <c r="AC44" i="9" s="1"/>
  <c r="C45" i="10" a="1"/>
  <c r="C45" i="10" s="1"/>
  <c r="C44" i="10" a="1"/>
  <c r="C44" i="10" s="1"/>
  <c r="C50" i="10" a="1"/>
  <c r="C50" i="10" s="1"/>
  <c r="C49" i="10" a="1"/>
  <c r="C49" i="10" s="1"/>
  <c r="C52" i="10" a="1"/>
  <c r="C52" i="10" s="1"/>
  <c r="C51" i="10" a="1"/>
  <c r="C51" i="10" s="1"/>
  <c r="K56" i="8" a="1"/>
  <c r="K56" i="8" s="1"/>
  <c r="K54" i="8" a="1"/>
  <c r="K54" i="8" s="1"/>
  <c r="K49" i="8" a="1"/>
  <c r="K49" i="8" s="1"/>
  <c r="K50" i="8" a="1"/>
  <c r="K50" i="8" s="1"/>
  <c r="K55" i="8" a="1"/>
  <c r="K55" i="8" s="1"/>
  <c r="K57" i="8" a="1"/>
  <c r="K57" i="8" s="1"/>
  <c r="AC29" i="12"/>
  <c r="AC43" i="12" s="1"/>
  <c r="AC29" i="13"/>
  <c r="AC43" i="13" s="1"/>
  <c r="C48" i="11" a="1"/>
  <c r="C48" i="11" s="1"/>
  <c r="C51" i="11" a="1"/>
  <c r="C51" i="11" s="1"/>
  <c r="C43" i="11" a="1"/>
  <c r="C43" i="11" s="1"/>
  <c r="C50" i="11" a="1"/>
  <c r="C50" i="11" s="1"/>
  <c r="C44" i="11" a="1"/>
  <c r="C44" i="11" s="1"/>
  <c r="C49" i="11" a="1"/>
  <c r="C49" i="11" s="1"/>
  <c r="P29" i="12"/>
  <c r="P43" i="12" s="1"/>
  <c r="P29" i="10"/>
  <c r="P43" i="10" s="1"/>
  <c r="C29" i="13"/>
  <c r="C43" i="13" s="1"/>
  <c r="AC29" i="10"/>
  <c r="AC43" i="10" s="1"/>
  <c r="C51" i="12" l="1" a="1"/>
  <c r="C51" i="12" s="1"/>
  <c r="C44" i="9" a="1"/>
  <c r="C44" i="9" s="1"/>
  <c r="P52" i="9" a="1"/>
  <c r="P52" i="9" s="1"/>
  <c r="P51" i="9" a="1"/>
  <c r="P51" i="9" s="1"/>
  <c r="P49" i="9" a="1"/>
  <c r="P49" i="9" s="1"/>
  <c r="C51" i="9" a="1"/>
  <c r="C51" i="9" s="1"/>
  <c r="C45" i="12" a="1"/>
  <c r="C45" i="12" s="1"/>
  <c r="C52" i="12" a="1"/>
  <c r="C52" i="12" s="1"/>
  <c r="C49" i="12" a="1"/>
  <c r="C49" i="12" s="1"/>
  <c r="C50" i="12" a="1"/>
  <c r="C50" i="12" s="1"/>
  <c r="C52" i="9" a="1"/>
  <c r="C52" i="9" s="1"/>
  <c r="P45" i="9" a="1"/>
  <c r="P45" i="9" s="1"/>
  <c r="C49" i="9" a="1"/>
  <c r="C49" i="9" s="1"/>
  <c r="P50" i="9" a="1"/>
  <c r="P50" i="9" s="1"/>
  <c r="C50" i="9" a="1"/>
  <c r="C50" i="9" s="1"/>
  <c r="C53" i="11"/>
  <c r="AC52" i="9" a="1"/>
  <c r="AC52" i="9" s="1"/>
  <c r="AC45" i="9" a="1"/>
  <c r="AC45" i="9" s="1"/>
  <c r="AC51" i="9" a="1"/>
  <c r="AC51" i="9" s="1"/>
  <c r="AC50" i="9" a="1"/>
  <c r="AC50" i="9" s="1"/>
  <c r="AC49" i="9" a="1"/>
  <c r="AC49" i="9" s="1"/>
  <c r="P50" i="13" a="1"/>
  <c r="P50" i="13" s="1"/>
  <c r="P52" i="13" a="1"/>
  <c r="P52" i="13" s="1"/>
  <c r="P45" i="13" a="1"/>
  <c r="P45" i="13" s="1"/>
  <c r="P44" i="13" a="1"/>
  <c r="P44" i="13" s="1"/>
  <c r="P51" i="13" a="1"/>
  <c r="P51" i="13" s="1"/>
  <c r="P49" i="13" a="1"/>
  <c r="P49" i="13" s="1"/>
  <c r="C58" i="8"/>
  <c r="C59" i="8"/>
  <c r="AC45" i="10" a="1"/>
  <c r="AC45" i="10" s="1"/>
  <c r="AC44" i="10" a="1"/>
  <c r="AC44" i="10" s="1"/>
  <c r="AC51" i="10" a="1"/>
  <c r="AC51" i="10" s="1"/>
  <c r="AC52" i="10" a="1"/>
  <c r="AC52" i="10" s="1"/>
  <c r="AC49" i="10" a="1"/>
  <c r="AC49" i="10" s="1"/>
  <c r="AC50" i="10" a="1"/>
  <c r="AC50" i="10" s="1"/>
  <c r="C45" i="13" a="1"/>
  <c r="C45" i="13" s="1"/>
  <c r="C44" i="13" a="1"/>
  <c r="C44" i="13" s="1"/>
  <c r="C50" i="13" a="1"/>
  <c r="C50" i="13" s="1"/>
  <c r="C49" i="13" a="1"/>
  <c r="C49" i="13" s="1"/>
  <c r="C52" i="13" a="1"/>
  <c r="C52" i="13" s="1"/>
  <c r="C51" i="13" a="1"/>
  <c r="C51" i="13" s="1"/>
  <c r="P44" i="10" a="1"/>
  <c r="P44" i="10" s="1"/>
  <c r="P45" i="10" a="1"/>
  <c r="P45" i="10" s="1"/>
  <c r="P50" i="10" a="1"/>
  <c r="P50" i="10" s="1"/>
  <c r="P52" i="10" a="1"/>
  <c r="P52" i="10" s="1"/>
  <c r="P49" i="10" a="1"/>
  <c r="P49" i="10" s="1"/>
  <c r="P51" i="10" a="1"/>
  <c r="P51" i="10" s="1"/>
  <c r="K58" i="8"/>
  <c r="P45" i="12" a="1"/>
  <c r="P45" i="12" s="1"/>
  <c r="P44" i="12" a="1"/>
  <c r="P44" i="12" s="1"/>
  <c r="P52" i="12" a="1"/>
  <c r="P52" i="12" s="1"/>
  <c r="P51" i="12" a="1"/>
  <c r="P51" i="12" s="1"/>
  <c r="P50" i="12" a="1"/>
  <c r="P50" i="12" s="1"/>
  <c r="P49" i="12" a="1"/>
  <c r="P49" i="12" s="1"/>
  <c r="K59" i="8"/>
  <c r="C54" i="10"/>
  <c r="C52" i="11"/>
  <c r="AC45" i="13" a="1"/>
  <c r="AC45" i="13" s="1"/>
  <c r="AC44" i="13" a="1"/>
  <c r="AC44" i="13" s="1"/>
  <c r="AC52" i="13" a="1"/>
  <c r="AC52" i="13" s="1"/>
  <c r="AC50" i="13" a="1"/>
  <c r="AC50" i="13" s="1"/>
  <c r="AC49" i="13" a="1"/>
  <c r="AC49" i="13" s="1"/>
  <c r="AC51" i="13" a="1"/>
  <c r="AC51" i="13" s="1"/>
  <c r="AC45" i="12" a="1"/>
  <c r="AC45" i="12" s="1"/>
  <c r="AC44" i="12" a="1"/>
  <c r="AC44" i="12" s="1"/>
  <c r="AC51" i="12" a="1"/>
  <c r="AC51" i="12" s="1"/>
  <c r="AC49" i="12" a="1"/>
  <c r="AC49" i="12" s="1"/>
  <c r="AC52" i="12" a="1"/>
  <c r="AC52" i="12" s="1"/>
  <c r="AC50" i="12" a="1"/>
  <c r="AC50" i="12" s="1"/>
  <c r="C53" i="10"/>
  <c r="C54" i="11" l="1"/>
  <c r="C55" i="11" s="1"/>
  <c r="P35" i="11" s="1"/>
  <c r="P41" i="11" s="1" a="1"/>
  <c r="P41" i="11" s="1"/>
  <c r="C54" i="9"/>
  <c r="AC54" i="9"/>
  <c r="C54" i="12"/>
  <c r="C53" i="12"/>
  <c r="C53" i="9"/>
  <c r="P53" i="9"/>
  <c r="P54" i="9"/>
  <c r="C55" i="10"/>
  <c r="C63" i="10" s="1"/>
  <c r="C64" i="10" s="1" a="1"/>
  <c r="C64" i="10" s="1"/>
  <c r="AC53" i="13"/>
  <c r="C53" i="13"/>
  <c r="AC53" i="12"/>
  <c r="P54" i="10"/>
  <c r="P53" i="12"/>
  <c r="P53" i="10"/>
  <c r="AC53" i="9"/>
  <c r="P53" i="13"/>
  <c r="P54" i="13"/>
  <c r="C60" i="8"/>
  <c r="C69" i="8" s="1"/>
  <c r="AC54" i="10"/>
  <c r="AC53" i="10"/>
  <c r="AC54" i="13"/>
  <c r="K60" i="8"/>
  <c r="K69" i="8" s="1"/>
  <c r="C54" i="13"/>
  <c r="AC54" i="12"/>
  <c r="P54" i="12"/>
  <c r="P43" i="11" l="1" a="1"/>
  <c r="P43" i="11" s="1"/>
  <c r="AC55" i="9"/>
  <c r="AD63" i="9" s="1"/>
  <c r="AD71" i="9" s="1" a="1"/>
  <c r="AD71" i="9" s="1"/>
  <c r="P37" i="11" a="1"/>
  <c r="P37" i="11" s="1"/>
  <c r="P55" i="9"/>
  <c r="P63" i="9" s="1"/>
  <c r="P69" i="9" s="1" a="1"/>
  <c r="P69" i="9" s="1"/>
  <c r="P42" i="11" a="1"/>
  <c r="P42" i="11" s="1"/>
  <c r="P44" i="11" a="1"/>
  <c r="P44" i="11" s="1"/>
  <c r="P36" i="11" a="1"/>
  <c r="P36" i="11" s="1"/>
  <c r="C55" i="9"/>
  <c r="C63" i="9" s="1"/>
  <c r="C55" i="12"/>
  <c r="C65" i="10" a="1"/>
  <c r="C65" i="10" s="1"/>
  <c r="C72" i="10" a="1"/>
  <c r="C72" i="10" s="1"/>
  <c r="C69" i="10" a="1"/>
  <c r="C69" i="10" s="1"/>
  <c r="C71" i="10" a="1"/>
  <c r="C71" i="10" s="1"/>
  <c r="AC55" i="13"/>
  <c r="AC63" i="13" s="1"/>
  <c r="AC72" i="13" s="1" a="1"/>
  <c r="AC72" i="13" s="1"/>
  <c r="C70" i="10" a="1"/>
  <c r="C70" i="10" s="1"/>
  <c r="C55" i="13"/>
  <c r="C63" i="13" s="1"/>
  <c r="C70" i="13" s="1" a="1"/>
  <c r="C70" i="13" s="1"/>
  <c r="AC55" i="12"/>
  <c r="E42" i="1" s="1"/>
  <c r="P55" i="10"/>
  <c r="P63" i="10" s="1"/>
  <c r="P72" i="10" s="1" a="1"/>
  <c r="P72" i="10" s="1"/>
  <c r="P55" i="12"/>
  <c r="AC55" i="10"/>
  <c r="AC63" i="10" s="1"/>
  <c r="AC70" i="10" s="1" a="1"/>
  <c r="AC70" i="10" s="1"/>
  <c r="P55" i="13"/>
  <c r="P63" i="13" s="1"/>
  <c r="P65" i="13" s="1" a="1"/>
  <c r="P65" i="13" s="1"/>
  <c r="C78" i="8" a="1"/>
  <c r="C78" i="8" s="1"/>
  <c r="C75" i="8" a="1"/>
  <c r="C75" i="8" s="1"/>
  <c r="C76" i="8" a="1"/>
  <c r="C76" i="8" s="1"/>
  <c r="C77" i="8" a="1"/>
  <c r="C77" i="8" s="1"/>
  <c r="C70" i="8" a="1"/>
  <c r="C70" i="8" s="1"/>
  <c r="C71" i="8" a="1"/>
  <c r="C71" i="8" s="1"/>
  <c r="K71" i="8" a="1"/>
  <c r="K71" i="8" s="1"/>
  <c r="K70" i="8" a="1"/>
  <c r="K70" i="8" s="1"/>
  <c r="K75" i="8" a="1"/>
  <c r="K75" i="8" s="1"/>
  <c r="K77" i="8" a="1"/>
  <c r="K77" i="8" s="1"/>
  <c r="K78" i="8" a="1"/>
  <c r="K78" i="8" s="1"/>
  <c r="K76" i="8" a="1"/>
  <c r="K76" i="8" s="1"/>
  <c r="AD64" i="9" l="1" a="1"/>
  <c r="AD64" i="9" s="1"/>
  <c r="AD72" i="9" a="1"/>
  <c r="AD72" i="9" s="1"/>
  <c r="AD69" i="9" a="1"/>
  <c r="AD69" i="9" s="1"/>
  <c r="AD70" i="9" a="1"/>
  <c r="AD70" i="9" s="1"/>
  <c r="P46" i="11"/>
  <c r="AD65" i="9" a="1"/>
  <c r="AD65" i="9" s="1"/>
  <c r="P45" i="11"/>
  <c r="P71" i="9" a="1"/>
  <c r="P71" i="9" s="1"/>
  <c r="P70" i="9" a="1"/>
  <c r="P70" i="9" s="1"/>
  <c r="P65" i="9" a="1"/>
  <c r="P65" i="9" s="1"/>
  <c r="P72" i="9" a="1"/>
  <c r="P72" i="9" s="1"/>
  <c r="P64" i="9" a="1"/>
  <c r="P64" i="9" s="1"/>
  <c r="AC71" i="13" a="1"/>
  <c r="AC71" i="13" s="1"/>
  <c r="C74" i="10"/>
  <c r="AC64" i="13" a="1"/>
  <c r="AC64" i="13" s="1"/>
  <c r="AC65" i="13" a="1"/>
  <c r="AC65" i="13" s="1"/>
  <c r="AC70" i="13" a="1"/>
  <c r="AC70" i="13" s="1"/>
  <c r="AC69" i="13" a="1"/>
  <c r="AC69" i="13" s="1"/>
  <c r="C72" i="13" a="1"/>
  <c r="C72" i="13" s="1"/>
  <c r="C65" i="13" a="1"/>
  <c r="C65" i="13" s="1"/>
  <c r="C42" i="1"/>
  <c r="C43" i="1" s="1"/>
  <c r="C64" i="9" a="1"/>
  <c r="C64" i="9" s="1"/>
  <c r="C65" i="9" a="1"/>
  <c r="C65" i="9" s="1"/>
  <c r="C71" i="9" a="1"/>
  <c r="C71" i="9" s="1"/>
  <c r="C72" i="9" a="1"/>
  <c r="C72" i="9" s="1"/>
  <c r="C70" i="9" a="1"/>
  <c r="C70" i="9" s="1"/>
  <c r="C69" i="9" a="1"/>
  <c r="C69" i="9" s="1"/>
  <c r="C73" i="10"/>
  <c r="C69" i="13" a="1"/>
  <c r="C69" i="13" s="1"/>
  <c r="AC65" i="10" a="1"/>
  <c r="AC65" i="10" s="1"/>
  <c r="P70" i="10" a="1"/>
  <c r="P70" i="10" s="1"/>
  <c r="P64" i="10" a="1"/>
  <c r="P64" i="10" s="1"/>
  <c r="P69" i="10" a="1"/>
  <c r="P69" i="10" s="1"/>
  <c r="P71" i="10" a="1"/>
  <c r="P71" i="10" s="1"/>
  <c r="P65" i="10" a="1"/>
  <c r="P65" i="10" s="1"/>
  <c r="C64" i="13" a="1"/>
  <c r="C64" i="13" s="1"/>
  <c r="C71" i="13" a="1"/>
  <c r="C71" i="13" s="1"/>
  <c r="AC64" i="10" a="1"/>
  <c r="AC64" i="10" s="1"/>
  <c r="P69" i="13" a="1"/>
  <c r="P69" i="13" s="1"/>
  <c r="AC69" i="10" a="1"/>
  <c r="AC69" i="10" s="1"/>
  <c r="AC72" i="10" a="1"/>
  <c r="AC72" i="10" s="1"/>
  <c r="AC71" i="10" a="1"/>
  <c r="AC71" i="10" s="1"/>
  <c r="P64" i="13" a="1"/>
  <c r="P64" i="13" s="1"/>
  <c r="P70" i="13" a="1"/>
  <c r="P70" i="13" s="1"/>
  <c r="P72" i="13" a="1"/>
  <c r="P72" i="13" s="1"/>
  <c r="K80" i="8"/>
  <c r="P71" i="13" a="1"/>
  <c r="P71" i="13" s="1"/>
  <c r="C79" i="8"/>
  <c r="K79" i="8"/>
  <c r="C80" i="8"/>
  <c r="AD74" i="9" l="1"/>
  <c r="AD73" i="9"/>
  <c r="P47" i="11"/>
  <c r="C31" i="2" s="1"/>
  <c r="P74" i="9"/>
  <c r="P73" i="9"/>
  <c r="AC74" i="13"/>
  <c r="C75" i="10"/>
  <c r="B32" i="6" s="1"/>
  <c r="I32" i="6" s="1"/>
  <c r="J32" i="6" s="1"/>
  <c r="O32" i="6" s="1"/>
  <c r="C73" i="9"/>
  <c r="AC73" i="13"/>
  <c r="C73" i="13"/>
  <c r="C74" i="9"/>
  <c r="P73" i="10"/>
  <c r="P74" i="10"/>
  <c r="C74" i="13"/>
  <c r="AC73" i="10"/>
  <c r="C81" i="8"/>
  <c r="C88" i="8" s="1"/>
  <c r="C97" i="8" s="1" a="1"/>
  <c r="C97" i="8" s="1"/>
  <c r="K81" i="8"/>
  <c r="K88" i="8" s="1"/>
  <c r="K89" i="8" s="1" a="1"/>
  <c r="K89" i="8" s="1"/>
  <c r="AC74" i="10"/>
  <c r="P74" i="13"/>
  <c r="P73" i="13"/>
  <c r="AD75" i="9" l="1"/>
  <c r="B30" i="7" s="1"/>
  <c r="I30" i="7" s="1"/>
  <c r="J30" i="7" s="1"/>
  <c r="P75" i="9"/>
  <c r="C75" i="9"/>
  <c r="B30" i="6" s="1"/>
  <c r="I30" i="6" s="1"/>
  <c r="P75" i="10"/>
  <c r="AC75" i="13"/>
  <c r="B28" i="7" s="1"/>
  <c r="E28" i="7" s="1"/>
  <c r="C75" i="13"/>
  <c r="C82" i="13" s="1"/>
  <c r="E32" i="6"/>
  <c r="C30" i="1" s="1"/>
  <c r="C96" i="8" a="1"/>
  <c r="C96" i="8" s="1"/>
  <c r="C95" i="8" a="1"/>
  <c r="C95" i="8" s="1"/>
  <c r="AC75" i="10"/>
  <c r="B32" i="7" s="1"/>
  <c r="E32" i="7" s="1"/>
  <c r="E37" i="1" s="1"/>
  <c r="C94" i="8" a="1"/>
  <c r="C94" i="8" s="1"/>
  <c r="C90" i="8" a="1"/>
  <c r="C90" i="8" s="1"/>
  <c r="C89" i="8" a="1"/>
  <c r="C89" i="8" s="1"/>
  <c r="K90" i="8" a="1"/>
  <c r="K90" i="8" s="1"/>
  <c r="K94" i="8" a="1"/>
  <c r="K94" i="8" s="1"/>
  <c r="K95" i="8" a="1"/>
  <c r="K95" i="8" s="1"/>
  <c r="K96" i="8" a="1"/>
  <c r="K96" i="8" s="1"/>
  <c r="K97" i="8" a="1"/>
  <c r="K97" i="8" s="1"/>
  <c r="P75" i="13"/>
  <c r="P82" i="13" s="1"/>
  <c r="P89" i="13" s="1" a="1"/>
  <c r="P89" i="13" s="1"/>
  <c r="B31" i="7" l="1"/>
  <c r="I31" i="7" s="1"/>
  <c r="J31" i="7" s="1"/>
  <c r="O31" i="7" s="1"/>
  <c r="E30" i="7"/>
  <c r="O30" i="7" s="1"/>
  <c r="E30" i="6"/>
  <c r="O30" i="6" s="1"/>
  <c r="B31" i="6"/>
  <c r="E31" i="6" s="1"/>
  <c r="I28" i="7"/>
  <c r="J28" i="7" s="1"/>
  <c r="O28" i="7" s="1"/>
  <c r="AC82" i="13"/>
  <c r="AC89" i="13" s="1" a="1"/>
  <c r="AC89" i="13" s="1"/>
  <c r="B28" i="6"/>
  <c r="E28" i="6" s="1"/>
  <c r="C37" i="1"/>
  <c r="C60" i="1" s="1"/>
  <c r="E30" i="1"/>
  <c r="C99" i="8"/>
  <c r="I32" i="7"/>
  <c r="J32" i="7" s="1"/>
  <c r="K98" i="8"/>
  <c r="C98" i="8"/>
  <c r="K99" i="8"/>
  <c r="P90" i="13" a="1"/>
  <c r="P90" i="13" s="1"/>
  <c r="P91" i="13" a="1"/>
  <c r="P91" i="13" s="1"/>
  <c r="P88" i="13" a="1"/>
  <c r="P88" i="13" s="1"/>
  <c r="P84" i="13" a="1"/>
  <c r="P84" i="13" s="1"/>
  <c r="P83" i="13" a="1"/>
  <c r="P83" i="13" s="1"/>
  <c r="C89" i="13" a="1"/>
  <c r="C89" i="13" s="1"/>
  <c r="C84" i="13" a="1"/>
  <c r="C84" i="13" s="1"/>
  <c r="C83" i="13" a="1"/>
  <c r="C83" i="13" s="1"/>
  <c r="C88" i="13" a="1"/>
  <c r="C88" i="13" s="1"/>
  <c r="C91" i="13" a="1"/>
  <c r="C91" i="13" s="1"/>
  <c r="C90" i="13" a="1"/>
  <c r="C90" i="13" s="1"/>
  <c r="E28" i="1"/>
  <c r="E35" i="1"/>
  <c r="E31" i="7" l="1"/>
  <c r="I31" i="6"/>
  <c r="J31" i="6" s="1"/>
  <c r="O31" i="6" s="1"/>
  <c r="I28" i="6"/>
  <c r="J28" i="6" s="1"/>
  <c r="O28" i="6" s="1"/>
  <c r="AC88" i="13" a="1"/>
  <c r="AC88" i="13" s="1"/>
  <c r="AC90" i="13" a="1"/>
  <c r="AC90" i="13" s="1"/>
  <c r="AC83" i="13" a="1"/>
  <c r="AC83" i="13" s="1"/>
  <c r="AC91" i="13" a="1"/>
  <c r="AC91" i="13" s="1"/>
  <c r="AC84" i="13" a="1"/>
  <c r="AC84" i="13" s="1"/>
  <c r="K100" i="8"/>
  <c r="K102" i="8" s="1"/>
  <c r="K104" i="8" s="1"/>
  <c r="B54" i="5" s="1"/>
  <c r="C54" i="5" s="1"/>
  <c r="G46" i="1" s="1"/>
  <c r="C100" i="8"/>
  <c r="C102" i="8" s="1"/>
  <c r="C104" i="8" s="1"/>
  <c r="B83" i="5" s="1"/>
  <c r="O32" i="7"/>
  <c r="P93" i="13"/>
  <c r="P92" i="13"/>
  <c r="C92" i="13"/>
  <c r="C93" i="13"/>
  <c r="C35" i="1"/>
  <c r="C28" i="1"/>
  <c r="AC92" i="13" l="1"/>
  <c r="AC93" i="13"/>
  <c r="G27" i="2"/>
  <c r="D37" i="2" s="1"/>
  <c r="D83" i="5"/>
  <c r="D87" i="5" s="1" a="1"/>
  <c r="D87" i="5" s="1"/>
  <c r="P94" i="13"/>
  <c r="C94" i="13"/>
  <c r="B29" i="6" s="1"/>
  <c r="E29" i="6" s="1"/>
  <c r="B86" i="5" a="1"/>
  <c r="B86" i="5" s="1"/>
  <c r="B84" i="5" a="1"/>
  <c r="B84" i="5" s="1"/>
  <c r="B85" i="5" a="1"/>
  <c r="B85" i="5" s="1"/>
  <c r="B87" i="5" a="1"/>
  <c r="B87" i="5" s="1"/>
  <c r="F21" i="1"/>
  <c r="C58" i="1"/>
  <c r="AC94" i="13" l="1"/>
  <c r="B29" i="7" s="1"/>
  <c r="E29" i="7" s="1"/>
  <c r="E36" i="1" s="1"/>
  <c r="D85" i="5" a="1"/>
  <c r="D85" i="5" s="1"/>
  <c r="D86" i="5" a="1"/>
  <c r="D86" i="5" s="1"/>
  <c r="D84" i="5" a="1"/>
  <c r="D84" i="5" s="1"/>
  <c r="I29" i="6"/>
  <c r="J29" i="6" s="1"/>
  <c r="M29" i="6" s="1"/>
  <c r="O29" i="6" s="1"/>
  <c r="B88" i="5"/>
  <c r="C27" i="2" s="1"/>
  <c r="C37" i="2" s="1"/>
  <c r="C29" i="1"/>
  <c r="C36" i="1"/>
  <c r="C59" i="1" s="1"/>
  <c r="E29" i="1" l="1"/>
  <c r="I29" i="7"/>
  <c r="J29" i="7" s="1"/>
  <c r="D88" i="5"/>
  <c r="C46" i="1" s="1"/>
  <c r="M29" i="7" l="1"/>
  <c r="O29" i="7" s="1"/>
</calcChain>
</file>

<file path=xl/sharedStrings.xml><?xml version="1.0" encoding="utf-8"?>
<sst xmlns="http://schemas.openxmlformats.org/spreadsheetml/2006/main" count="1236" uniqueCount="230">
  <si>
    <t>SE-LTL</t>
  </si>
  <si>
    <t xml:space="preserve">Take-off distance Beech 200 </t>
  </si>
  <si>
    <t>Version</t>
  </si>
  <si>
    <t>Interpoleringsverktyg för startsträcka från AFM.</t>
  </si>
  <si>
    <t>Flygplats och bana:</t>
  </si>
  <si>
    <t>Custom airport</t>
  </si>
  <si>
    <t>ESND 051850Z AUTO 24015KT 200V270 9999 NCD 14/08 Q0991</t>
  </si>
  <si>
    <t>Wind direction:</t>
  </si>
  <si>
    <t>°</t>
  </si>
  <si>
    <t>Wind speed:</t>
  </si>
  <si>
    <t>kt</t>
  </si>
  <si>
    <t>Outside air temperature:</t>
  </si>
  <si>
    <t>°C</t>
  </si>
  <si>
    <t>Remove manual MET</t>
  </si>
  <si>
    <t>QNH</t>
  </si>
  <si>
    <t>Hpa</t>
  </si>
  <si>
    <t>Runway Condition Code</t>
  </si>
  <si>
    <t>MANUAL MET -&gt;</t>
  </si>
  <si>
    <t>REFRESH METAR</t>
  </si>
  <si>
    <t>Runway contaminant</t>
  </si>
  <si>
    <t>Wet Runway</t>
  </si>
  <si>
    <t>BORT</t>
  </si>
  <si>
    <t>Contaminant depth</t>
  </si>
  <si>
    <t>mm</t>
  </si>
  <si>
    <t>Max:</t>
  </si>
  <si>
    <t>Engine Anti-ice</t>
  </si>
  <si>
    <t>OFF</t>
  </si>
  <si>
    <t>Engine anti-ice can be disregarded (OFF in calculation) whenever 3300 lbs/ft take-off power can be obtained</t>
  </si>
  <si>
    <t>Take off mass:</t>
  </si>
  <si>
    <t>Lbs</t>
  </si>
  <si>
    <t>Airport data (Expandable)</t>
  </si>
  <si>
    <t>Från 1900an. Men borde vara lika på alla om man får ut max torque. Men det är inte utskrivet vad jag sett.</t>
  </si>
  <si>
    <t>Treshold elevation:</t>
  </si>
  <si>
    <t>ft</t>
  </si>
  <si>
    <t>Runway Slope:</t>
  </si>
  <si>
    <t>%</t>
  </si>
  <si>
    <t>+ = upphill</t>
  </si>
  <si>
    <t>RWY Heading:</t>
  </si>
  <si>
    <t>ASDA:</t>
  </si>
  <si>
    <t>m</t>
  </si>
  <si>
    <t>Req gradient:</t>
  </si>
  <si>
    <t>TORA:</t>
  </si>
  <si>
    <t>TODA:</t>
  </si>
  <si>
    <t>TOR</t>
  </si>
  <si>
    <t>villkorsberoende format wind, xwind, limit</t>
  </si>
  <si>
    <t>LDA:</t>
  </si>
  <si>
    <t>Ny källa metar script landing</t>
  </si>
  <si>
    <t>Calculated data</t>
  </si>
  <si>
    <t>Jämförelse rätt metar</t>
  </si>
  <si>
    <t>Head/Tail wind</t>
  </si>
  <si>
    <t>Kt</t>
  </si>
  <si>
    <t>Take-off Distance Factor</t>
  </si>
  <si>
    <t>Crosswind</t>
  </si>
  <si>
    <t>Limit</t>
  </si>
  <si>
    <t>FLAPS:</t>
  </si>
  <si>
    <t>UP</t>
  </si>
  <si>
    <t>TAKE-OFF</t>
  </si>
  <si>
    <t>APP</t>
  </si>
  <si>
    <t>FULL</t>
  </si>
  <si>
    <t>Dry Runway (Expandable)</t>
  </si>
  <si>
    <t>Kommer inte att användas med take-off faktorer - Då är RWYCC 6 samma sak</t>
  </si>
  <si>
    <t>Ground Roll [m]</t>
  </si>
  <si>
    <t>Take off distance [m]</t>
  </si>
  <si>
    <t>Accelerade &amp; STOP [m]</t>
  </si>
  <si>
    <t>V1 [kts]</t>
  </si>
  <si>
    <t>VR [kts]</t>
  </si>
  <si>
    <t>V2 [kts]</t>
  </si>
  <si>
    <t>Selected contaminant</t>
  </si>
  <si>
    <t>Standard Procedure Design Gradient (PDG): 3,3%</t>
  </si>
  <si>
    <t>Climb</t>
  </si>
  <si>
    <t>Net Gradient OEI wings level [%]</t>
  </si>
  <si>
    <t>Gradient includes wind, 150% &amp; 50%</t>
  </si>
  <si>
    <t>Emergency Return</t>
  </si>
  <si>
    <t>VREF [kts]</t>
  </si>
  <si>
    <t>Landing Distance [m]</t>
  </si>
  <si>
    <t>Flaps UP</t>
  </si>
  <si>
    <t>Engine out procedure</t>
  </si>
  <si>
    <t>Minimum cloud base:</t>
  </si>
  <si>
    <t>Escape Route:</t>
  </si>
  <si>
    <t>Landning distance Beech 200 - SE-LTL</t>
  </si>
  <si>
    <t>Interpoleringsverktyg för landningsträcka</t>
  </si>
  <si>
    <t>2026-XY-ZV</t>
  </si>
  <si>
    <t>ESNU 051850Z 19012KT 9999 FEW011 13/12 Q0986</t>
  </si>
  <si>
    <t>Manual MET -&gt;</t>
  </si>
  <si>
    <t>Landing weight</t>
  </si>
  <si>
    <t>Max landing weight</t>
  </si>
  <si>
    <t>Airport data</t>
  </si>
  <si>
    <t>Elevation:</t>
  </si>
  <si>
    <t>Landing Distance Factor</t>
  </si>
  <si>
    <t>Landing Distance</t>
  </si>
  <si>
    <t>Landing Distance factored [m]</t>
  </si>
  <si>
    <t>Flap Up based on AFM graph</t>
  </si>
  <si>
    <t>Missed approach</t>
  </si>
  <si>
    <t>OEI Climb Gradient [%]</t>
  </si>
  <si>
    <t>Flaps FULL</t>
  </si>
  <si>
    <t>LDA</t>
  </si>
  <si>
    <t>Landing distance</t>
  </si>
  <si>
    <t>Airport</t>
  </si>
  <si>
    <t>Runway Threshold Elevation:</t>
  </si>
  <si>
    <t>TORA</t>
  </si>
  <si>
    <t>TODA</t>
  </si>
  <si>
    <t>ASDA</t>
  </si>
  <si>
    <t>RWY Slope:</t>
  </si>
  <si>
    <t>RWY
HDG</t>
  </si>
  <si>
    <t>Minimum departure climb gradient, obstacles</t>
  </si>
  <si>
    <t>Uppdaterad</t>
  </si>
  <si>
    <t>ESCAPE ROUTE INFO</t>
  </si>
  <si>
    <t>Min cloud base</t>
  </si>
  <si>
    <t>Routing</t>
  </si>
  <si>
    <t>[ft]</t>
  </si>
  <si>
    <t>[m]</t>
  </si>
  <si>
    <t>[%]</t>
  </si>
  <si>
    <t>[°]</t>
  </si>
  <si>
    <t>[Date]</t>
  </si>
  <si>
    <t>No airport selected</t>
  </si>
  <si>
    <t>-</t>
  </si>
  <si>
    <t>ÄNDRA ljusgröna RADER VID BEHOV</t>
  </si>
  <si>
    <t>ESSA</t>
  </si>
  <si>
    <t>Factors</t>
  </si>
  <si>
    <t>X-wind</t>
  </si>
  <si>
    <t>LDF</t>
  </si>
  <si>
    <t>Takeoff Faktor</t>
  </si>
  <si>
    <t>RWCC</t>
  </si>
  <si>
    <t>Faktor</t>
  </si>
  <si>
    <t>FLAPS</t>
  </si>
  <si>
    <t>Runway take off</t>
  </si>
  <si>
    <t>Engine anti-ice</t>
  </si>
  <si>
    <t>ON</t>
  </si>
  <si>
    <t>Måttenhet</t>
  </si>
  <si>
    <t>Max</t>
  </si>
  <si>
    <t>N/A</t>
  </si>
  <si>
    <t>Compacted snow</t>
  </si>
  <si>
    <t>Dry snow</t>
  </si>
  <si>
    <t>Wet snow</t>
  </si>
  <si>
    <t>Slush</t>
  </si>
  <si>
    <t>Standing water</t>
  </si>
  <si>
    <t>No contaminant</t>
  </si>
  <si>
    <t>Technique</t>
  </si>
  <si>
    <t>Static T/O power</t>
  </si>
  <si>
    <t>Rolling take off</t>
  </si>
  <si>
    <t>LANDING PERFORMANCE (Normal)</t>
  </si>
  <si>
    <t>EMG RETURN</t>
  </si>
  <si>
    <t>FLAPS UP</t>
  </si>
  <si>
    <t>Normal</t>
  </si>
  <si>
    <t>Landing Mass</t>
  </si>
  <si>
    <t>Speeds</t>
  </si>
  <si>
    <t>Vref</t>
  </si>
  <si>
    <t>Table size Landing distance</t>
  </si>
  <si>
    <t>Rows:</t>
  </si>
  <si>
    <t>Columns:</t>
  </si>
  <si>
    <t>x_n:</t>
  </si>
  <si>
    <t>y_n:</t>
  </si>
  <si>
    <t>n1:</t>
  </si>
  <si>
    <t>n2:</t>
  </si>
  <si>
    <t>y1_n1:</t>
  </si>
  <si>
    <t>y1_n2:</t>
  </si>
  <si>
    <t>Vref:</t>
  </si>
  <si>
    <t>Windcalc</t>
  </si>
  <si>
    <t>WCA</t>
  </si>
  <si>
    <t>Factor</t>
  </si>
  <si>
    <t>H/T wind</t>
  </si>
  <si>
    <t>Crosswind factor</t>
  </si>
  <si>
    <t>Unfactorised</t>
  </si>
  <si>
    <t>Factorised</t>
  </si>
  <si>
    <t>Landing Distance Factor:</t>
  </si>
  <si>
    <t>LANDING PERFORMANCE (UP)</t>
  </si>
  <si>
    <t>Landing Distance Flaps LAND [feet]</t>
  </si>
  <si>
    <t>2900Ft Max i grafen</t>
  </si>
  <si>
    <t>T/O Distance:</t>
  </si>
  <si>
    <t>Take off PERFORMANCE (FLAPS UP)</t>
  </si>
  <si>
    <t>V1/R</t>
  </si>
  <si>
    <t>V2</t>
  </si>
  <si>
    <t>Table size Vref</t>
  </si>
  <si>
    <t>Landing distance required calculations</t>
  </si>
  <si>
    <t>Flat</t>
  </si>
  <si>
    <t>Teknik</t>
  </si>
  <si>
    <t>Slope</t>
  </si>
  <si>
    <t>Totalt</t>
  </si>
  <si>
    <t>Factor for Contaminant type</t>
  </si>
  <si>
    <t>Tot before</t>
  </si>
  <si>
    <t>Correction</t>
  </si>
  <si>
    <t>Runwayfactor &lt;5</t>
  </si>
  <si>
    <t>Runwayfactor &lt;3</t>
  </si>
  <si>
    <t>Rulebased factor</t>
  </si>
  <si>
    <t>Total contaminated</t>
  </si>
  <si>
    <t>Ground Roll</t>
  </si>
  <si>
    <t>Take off distance</t>
  </si>
  <si>
    <t>Accelerate GO DRY</t>
  </si>
  <si>
    <t>Accelerate GO WET/CONT</t>
  </si>
  <si>
    <t>Accelerate stop</t>
  </si>
  <si>
    <t>TDR</t>
  </si>
  <si>
    <t>TAKE OFF PERFORMANCE (FLAPS APPROACH)</t>
  </si>
  <si>
    <t xml:space="preserve"> Mass</t>
  </si>
  <si>
    <t>Windcorrected distances</t>
  </si>
  <si>
    <t>Accelerate STOP distance</t>
  </si>
  <si>
    <t>GRadient adjustments</t>
  </si>
  <si>
    <t>Pressure Alt</t>
  </si>
  <si>
    <t>EMG Return</t>
  </si>
  <si>
    <t>Temp in calc</t>
  </si>
  <si>
    <t>NORMAL</t>
  </si>
  <si>
    <t>Landing</t>
  </si>
  <si>
    <t>Density Altitude</t>
  </si>
  <si>
    <t>Table size</t>
  </si>
  <si>
    <t>x1_n:</t>
  </si>
  <si>
    <t>x2_n:</t>
  </si>
  <si>
    <t>y2_n1:</t>
  </si>
  <si>
    <t>y2_n2:</t>
  </si>
  <si>
    <t>y_n1:</t>
  </si>
  <si>
    <t>y_n2:</t>
  </si>
  <si>
    <t>Distance</t>
  </si>
  <si>
    <t>Vikt</t>
  </si>
  <si>
    <t>Vind</t>
  </si>
  <si>
    <t>Obstacle height</t>
  </si>
  <si>
    <t>Meter</t>
  </si>
  <si>
    <t>Includes ICE-Vane. Could be disregarded for us</t>
  </si>
  <si>
    <t>FLAPS TAKEOFF</t>
  </si>
  <si>
    <t>FLAPS APPROACH</t>
  </si>
  <si>
    <t>Density altitude</t>
  </si>
  <si>
    <t>Temp/PA</t>
  </si>
  <si>
    <t>NET GRADIENT OF CLIMB - FLAPS UP</t>
  </si>
  <si>
    <t>ROC</t>
  </si>
  <si>
    <t>ROC-&gt;Gradient</t>
  </si>
  <si>
    <t>ICE VANE CORR</t>
  </si>
  <si>
    <t>35 fot extra</t>
  </si>
  <si>
    <t>NET GRADIENT OF CLIMB - FLAPS TAKEOFF</t>
  </si>
  <si>
    <t>NET GRADIENT OF CLIMB - FLAPS APPROACH</t>
  </si>
  <si>
    <t>Gradient</t>
  </si>
  <si>
    <t>TAKE OFF DISTANCE - FLAPS UP</t>
  </si>
  <si>
    <t>TAKE OFF DISTANCE - FLAPS TAKEOFF</t>
  </si>
  <si>
    <t>TAKE OFF DISTANCE - FLAPS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</si>
</sst>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\ %"/>
    <numFmt numFmtId="167" formatCode="0.00\ %"/>
  </numFmts>
  <fonts count="18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25"/>
      <color theme="1"/>
      <name val="Calibri"/>
      <charset val="1"/>
    </font>
    <font>
      <b/>
      <sz val="12"/>
      <color theme="1"/>
      <name val="Calibri"/>
      <charset val="1"/>
    </font>
    <font>
      <sz val="10"/>
      <color theme="1"/>
      <name val="Calibri"/>
      <charset val="1"/>
    </font>
    <font>
      <sz val="9"/>
      <color theme="1"/>
      <name val="Calibri"/>
      <charset val="1"/>
    </font>
    <font>
      <b/>
      <sz val="17"/>
      <color theme="1"/>
      <name val="Calibri"/>
      <charset val="1"/>
    </font>
    <font>
      <b/>
      <sz val="17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24"/>
      <color theme="1"/>
      <name val="Calibri"/>
      <charset val="1"/>
    </font>
    <font>
      <sz val="25"/>
      <color theme="1"/>
      <name val="Calibri"/>
      <charset val="1"/>
    </font>
    <font>
      <sz val="8"/>
      <color theme="1"/>
      <name val="Calibri"/>
      <charset val="1"/>
    </font>
    <font>
      <b/>
      <sz val="14"/>
      <color theme="1"/>
      <name val="Calibri"/>
      <charset val="1"/>
    </font>
    <font>
      <sz val="8"/>
      <color rgb="FF000000"/>
      <name val="Arial"/>
      <charset val="1"/>
    </font>
    <font>
      <sz val="9"/>
      <color rgb="FF000000"/>
      <name val="Google Sans"/>
      <charset val="1"/>
    </font>
    <font>
      <sz val="11"/>
      <color theme="0"/>
      <name val="Calibri"/>
      <charset val="1"/>
    </font>
    <font>
      <sz val="12"/>
      <color theme="1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C9DAF8"/>
        <bgColor rgb="FFCFE2F3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FE2F3"/>
      </patternFill>
    </fill>
    <fill>
      <patternFill patternType="solid">
        <fgColor rgb="FFE2EFD9"/>
        <bgColor rgb="FFEFEFEF"/>
      </patternFill>
    </fill>
    <fill>
      <patternFill patternType="solid">
        <fgColor rgb="FFFFFFFF"/>
        <bgColor rgb="FFF3F3F3"/>
      </patternFill>
    </fill>
    <fill>
      <patternFill patternType="solid">
        <fgColor rgb="FFBDBDBD"/>
        <bgColor rgb="FFB7B7B7"/>
      </patternFill>
    </fill>
    <fill>
      <patternFill patternType="solid">
        <fgColor rgb="FFF3F3F3"/>
        <bgColor rgb="FFEFEFEF"/>
      </patternFill>
    </fill>
    <fill>
      <patternFill patternType="solid">
        <fgColor rgb="FFB7B7B7"/>
        <bgColor rgb="FFBDBDBD"/>
      </patternFill>
    </fill>
    <fill>
      <patternFill patternType="solid">
        <fgColor rgb="FFB6D7A8"/>
        <bgColor rgb="FFB7E1CD"/>
      </patternFill>
    </fill>
    <fill>
      <patternFill patternType="solid">
        <fgColor rgb="FFCFE2F3"/>
        <bgColor rgb="FFC9DAF8"/>
      </patternFill>
    </fill>
    <fill>
      <patternFill patternType="solid">
        <fgColor theme="4"/>
        <bgColor rgb="FF5B9BD5"/>
      </patternFill>
    </fill>
  </fills>
  <borders count="8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 style="medium">
        <color auto="1"/>
      </right>
      <top/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medium">
        <color auto="1"/>
      </left>
      <right/>
      <top style="dotted">
        <color auto="1"/>
      </top>
      <bottom style="double">
        <color auto="1"/>
      </bottom>
      <diagonal/>
    </border>
    <border>
      <left/>
      <right style="medium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10" fillId="0" borderId="12" xfId="0" applyFont="1" applyBorder="1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" fillId="8" borderId="45" xfId="0" applyFont="1" applyFill="1" applyBorder="1" applyAlignment="1">
      <alignment horizontal="center"/>
    </xf>
    <xf numFmtId="0" fontId="1" fillId="8" borderId="44" xfId="0" applyFont="1" applyFill="1" applyBorder="1" applyAlignment="1">
      <alignment horizontal="center" wrapText="1"/>
    </xf>
    <xf numFmtId="0" fontId="1" fillId="8" borderId="44" xfId="0" applyFont="1" applyFill="1" applyBorder="1" applyAlignment="1">
      <alignment horizontal="center"/>
    </xf>
    <xf numFmtId="0" fontId="1" fillId="8" borderId="43" xfId="0" applyFont="1" applyFill="1" applyBorder="1" applyAlignment="1">
      <alignment horizontal="center" wrapText="1"/>
    </xf>
    <xf numFmtId="0" fontId="1" fillId="8" borderId="42" xfId="0" applyFont="1" applyFill="1" applyBorder="1" applyAlignment="1">
      <alignment horizontal="center"/>
    </xf>
    <xf numFmtId="0" fontId="0" fillId="2" borderId="0" xfId="0" applyFill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6" fillId="3" borderId="7" xfId="0" applyFont="1" applyFill="1" applyBorder="1" applyAlignment="1">
      <alignment horizontal="right" vertical="center"/>
    </xf>
    <xf numFmtId="0" fontId="8" fillId="4" borderId="9" xfId="0" applyFont="1" applyFill="1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11" xfId="0" applyBorder="1" applyAlignment="1">
      <alignment horizontal="right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9" fillId="0" borderId="11" xfId="0" applyFont="1" applyBorder="1" applyAlignment="1">
      <alignment horizontal="right" vertic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6" borderId="5" xfId="0" applyFill="1" applyBorder="1" applyAlignment="1">
      <alignment horizontal="right" vertical="center"/>
    </xf>
    <xf numFmtId="0" fontId="9" fillId="6" borderId="11" xfId="0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12" xfId="0" applyBorder="1"/>
    <xf numFmtId="0" fontId="0" fillId="0" borderId="0" xfId="0" applyAlignment="1">
      <alignment wrapText="1"/>
    </xf>
    <xf numFmtId="0" fontId="0" fillId="7" borderId="0" xfId="0" applyFill="1" applyAlignment="1">
      <alignment wrapText="1"/>
    </xf>
    <xf numFmtId="0" fontId="0" fillId="3" borderId="5" xfId="0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1" fillId="0" borderId="0" xfId="0" applyNumberFormat="1" applyFont="1" applyAlignment="1">
      <alignment vertical="center"/>
    </xf>
    <xf numFmtId="0" fontId="0" fillId="0" borderId="5" xfId="0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8" borderId="13" xfId="0" applyFont="1" applyFill="1" applyBorder="1" applyAlignment="1">
      <alignment horizontal="right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0" borderId="17" xfId="0" applyBorder="1" applyAlignment="1">
      <alignment horizontal="right" vertical="center"/>
    </xf>
    <xf numFmtId="1" fontId="0" fillId="0" borderId="18" xfId="0" applyNumberFormat="1" applyBorder="1" applyAlignment="1">
      <alignment horizontal="center" vertical="center"/>
    </xf>
    <xf numFmtId="1" fontId="0" fillId="0" borderId="11" xfId="0" applyNumberFormat="1" applyBorder="1"/>
    <xf numFmtId="0" fontId="0" fillId="0" borderId="19" xfId="0" applyBorder="1" applyAlignment="1">
      <alignment horizontal="right" vertical="center"/>
    </xf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0" fontId="0" fillId="0" borderId="22" xfId="0" applyBorder="1" applyAlignment="1">
      <alignment horizontal="right" vertical="center"/>
    </xf>
    <xf numFmtId="4" fontId="0" fillId="0" borderId="18" xfId="0" applyNumberFormat="1" applyBorder="1" applyAlignment="1">
      <alignment horizontal="center" vertical="center"/>
    </xf>
    <xf numFmtId="0" fontId="0" fillId="0" borderId="23" xfId="0" applyBorder="1" applyAlignment="1">
      <alignment horizontal="right" vertical="center"/>
    </xf>
    <xf numFmtId="164" fontId="0" fillId="0" borderId="24" xfId="0" applyNumberFormat="1" applyBorder="1" applyAlignment="1">
      <alignment horizontal="center" vertical="center"/>
    </xf>
    <xf numFmtId="164" fontId="0" fillId="0" borderId="11" xfId="0" applyNumberFormat="1" applyBorder="1"/>
    <xf numFmtId="0" fontId="12" fillId="0" borderId="5" xfId="0" applyFont="1" applyBorder="1" applyAlignment="1">
      <alignment horizontal="right" vertical="center"/>
    </xf>
    <xf numFmtId="1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right" vertical="center"/>
    </xf>
    <xf numFmtId="1" fontId="0" fillId="0" borderId="27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1" fontId="0" fillId="0" borderId="29" xfId="0" applyNumberFormat="1" applyBorder="1" applyAlignment="1">
      <alignment vertical="center" wrapText="1"/>
    </xf>
    <xf numFmtId="1" fontId="0" fillId="0" borderId="30" xfId="0" applyNumberFormat="1" applyBorder="1" applyAlignment="1">
      <alignment vertical="center" wrapText="1"/>
    </xf>
    <xf numFmtId="0" fontId="0" fillId="0" borderId="5" xfId="0" applyBorder="1"/>
    <xf numFmtId="1" fontId="0" fillId="0" borderId="31" xfId="0" applyNumberFormat="1" applyBorder="1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12" xfId="0" applyNumberFormat="1" applyBorder="1" applyAlignment="1">
      <alignment vertical="center" wrapText="1"/>
    </xf>
    <xf numFmtId="1" fontId="0" fillId="0" borderId="32" xfId="0" applyNumberFormat="1" applyBorder="1" applyAlignment="1">
      <alignment vertical="center" wrapText="1"/>
    </xf>
    <xf numFmtId="1" fontId="0" fillId="0" borderId="33" xfId="0" applyNumberFormat="1" applyBorder="1" applyAlignment="1">
      <alignment vertical="center" wrapText="1"/>
    </xf>
    <xf numFmtId="1" fontId="0" fillId="0" borderId="34" xfId="0" applyNumberFormat="1" applyBorder="1" applyAlignment="1">
      <alignment vertical="center" wrapText="1"/>
    </xf>
    <xf numFmtId="0" fontId="0" fillId="0" borderId="35" xfId="0" applyBorder="1"/>
    <xf numFmtId="0" fontId="0" fillId="0" borderId="36" xfId="0" applyBorder="1"/>
    <xf numFmtId="0" fontId="1" fillId="0" borderId="0" xfId="0" applyFont="1"/>
    <xf numFmtId="0" fontId="0" fillId="5" borderId="11" xfId="0" applyFill="1" applyBorder="1"/>
    <xf numFmtId="0" fontId="0" fillId="3" borderId="0" xfId="0" applyFill="1" applyAlignment="1">
      <alignment horizontal="center"/>
    </xf>
    <xf numFmtId="0" fontId="0" fillId="3" borderId="12" xfId="0" applyFill="1" applyBorder="1" applyAlignment="1">
      <alignment horizontal="center"/>
    </xf>
    <xf numFmtId="1" fontId="0" fillId="0" borderId="0" xfId="0" applyNumberFormat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1" fontId="0" fillId="0" borderId="39" xfId="0" applyNumberFormat="1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/>
    </xf>
    <xf numFmtId="1" fontId="1" fillId="0" borderId="12" xfId="0" applyNumberFormat="1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40" xfId="0" applyBorder="1" applyAlignment="1">
      <alignment horizontal="right" vertical="center"/>
    </xf>
    <xf numFmtId="164" fontId="0" fillId="0" borderId="41" xfId="0" applyNumberFormat="1" applyBorder="1" applyAlignment="1">
      <alignment horizontal="center" vertical="center"/>
    </xf>
    <xf numFmtId="0" fontId="0" fillId="0" borderId="36" xfId="0" applyBorder="1" applyAlignment="1">
      <alignment horizontal="right" vertical="center"/>
    </xf>
    <xf numFmtId="0" fontId="1" fillId="8" borderId="0" xfId="0" applyFont="1" applyFill="1" applyAlignment="1">
      <alignment horizontal="center"/>
    </xf>
    <xf numFmtId="0" fontId="0" fillId="8" borderId="46" xfId="0" applyFill="1" applyBorder="1" applyAlignment="1">
      <alignment horizontal="center" wrapText="1"/>
    </xf>
    <xf numFmtId="0" fontId="0" fillId="8" borderId="27" xfId="0" applyFill="1" applyBorder="1" applyAlignment="1">
      <alignment horizontal="center" wrapText="1"/>
    </xf>
    <xf numFmtId="0" fontId="0" fillId="8" borderId="47" xfId="0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8" borderId="48" xfId="0" applyFill="1" applyBorder="1" applyAlignment="1">
      <alignment horizontal="center"/>
    </xf>
    <xf numFmtId="0" fontId="0" fillId="8" borderId="49" xfId="0" applyFill="1" applyBorder="1" applyAlignment="1">
      <alignment horizontal="center" wrapText="1"/>
    </xf>
    <xf numFmtId="1" fontId="0" fillId="8" borderId="49" xfId="0" applyNumberFormat="1" applyFill="1" applyBorder="1" applyAlignment="1">
      <alignment horizontal="center" wrapText="1"/>
    </xf>
    <xf numFmtId="0" fontId="0" fillId="9" borderId="50" xfId="0" applyFill="1" applyBorder="1" applyAlignment="1">
      <alignment horizontal="center"/>
    </xf>
    <xf numFmtId="1" fontId="0" fillId="9" borderId="51" xfId="0" applyNumberFormat="1" applyFill="1" applyBorder="1" applyAlignment="1">
      <alignment horizontal="center"/>
    </xf>
    <xf numFmtId="1" fontId="0" fillId="9" borderId="52" xfId="0" applyNumberFormat="1" applyFill="1" applyBorder="1" applyAlignment="1">
      <alignment horizontal="center"/>
    </xf>
    <xf numFmtId="1" fontId="0" fillId="9" borderId="49" xfId="0" applyNumberFormat="1" applyFill="1" applyBorder="1" applyAlignment="1">
      <alignment horizontal="center"/>
    </xf>
    <xf numFmtId="1" fontId="0" fillId="9" borderId="53" xfId="0" applyNumberFormat="1" applyFill="1" applyBorder="1" applyAlignment="1">
      <alignment horizontal="center"/>
    </xf>
    <xf numFmtId="2" fontId="0" fillId="9" borderId="54" xfId="0" applyNumberFormat="1" applyFill="1" applyBorder="1" applyAlignment="1">
      <alignment horizontal="center"/>
    </xf>
    <xf numFmtId="164" fontId="0" fillId="9" borderId="52" xfId="0" applyNumberFormat="1" applyFill="1" applyBorder="1" applyAlignment="1">
      <alignment horizontal="center"/>
    </xf>
    <xf numFmtId="1" fontId="0" fillId="9" borderId="55" xfId="0" applyNumberFormat="1" applyFill="1" applyBorder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9" borderId="56" xfId="0" applyNumberFormat="1" applyFill="1" applyBorder="1" applyAlignment="1">
      <alignment horizontal="center"/>
    </xf>
    <xf numFmtId="1" fontId="0" fillId="9" borderId="57" xfId="0" applyNumberFormat="1" applyFill="1" applyBorder="1" applyAlignment="1">
      <alignment horizontal="center"/>
    </xf>
    <xf numFmtId="2" fontId="0" fillId="9" borderId="56" xfId="0" applyNumberFormat="1" applyFill="1" applyBorder="1" applyAlignment="1">
      <alignment horizontal="center"/>
    </xf>
    <xf numFmtId="164" fontId="0" fillId="9" borderId="57" xfId="0" applyNumberFormat="1" applyFill="1" applyBorder="1" applyAlignment="1">
      <alignment horizontal="center"/>
    </xf>
    <xf numFmtId="1" fontId="0" fillId="9" borderId="58" xfId="0" applyNumberFormat="1" applyFill="1" applyBorder="1" applyAlignment="1">
      <alignment horizontal="center"/>
    </xf>
    <xf numFmtId="1" fontId="0" fillId="8" borderId="59" xfId="0" applyNumberFormat="1" applyFill="1" applyBorder="1" applyAlignment="1">
      <alignment horizontal="center"/>
    </xf>
    <xf numFmtId="2" fontId="0" fillId="8" borderId="59" xfId="0" applyNumberFormat="1" applyFill="1" applyBorder="1" applyAlignment="1">
      <alignment horizontal="center"/>
    </xf>
    <xf numFmtId="0" fontId="0" fillId="8" borderId="59" xfId="0" applyFill="1" applyBorder="1" applyAlignment="1">
      <alignment horizontal="center"/>
    </xf>
    <xf numFmtId="14" fontId="0" fillId="8" borderId="60" xfId="0" applyNumberFormat="1" applyFill="1" applyBorder="1" applyAlignment="1">
      <alignment horizontal="center"/>
    </xf>
    <xf numFmtId="14" fontId="0" fillId="8" borderId="0" xfId="0" applyNumberFormat="1" applyFill="1" applyAlignment="1">
      <alignment horizontal="center"/>
    </xf>
    <xf numFmtId="1" fontId="0" fillId="8" borderId="61" xfId="0" applyNumberFormat="1" applyFill="1" applyBorder="1" applyAlignment="1">
      <alignment horizontal="center"/>
    </xf>
    <xf numFmtId="0" fontId="0" fillId="8" borderId="50" xfId="0" applyFill="1" applyBorder="1" applyAlignment="1">
      <alignment horizontal="center"/>
    </xf>
    <xf numFmtId="1" fontId="0" fillId="8" borderId="50" xfId="0" applyNumberFormat="1" applyFill="1" applyBorder="1" applyAlignment="1">
      <alignment horizontal="center"/>
    </xf>
    <xf numFmtId="0" fontId="0" fillId="8" borderId="61" xfId="0" applyFill="1" applyBorder="1" applyAlignment="1">
      <alignment horizontal="center"/>
    </xf>
    <xf numFmtId="0" fontId="0" fillId="8" borderId="60" xfId="0" applyFill="1" applyBorder="1" applyAlignment="1">
      <alignment horizontal="center"/>
    </xf>
    <xf numFmtId="0" fontId="0" fillId="8" borderId="0" xfId="0" applyFill="1" applyAlignment="1">
      <alignment horizontal="center"/>
    </xf>
    <xf numFmtId="1" fontId="0" fillId="8" borderId="48" xfId="0" applyNumberFormat="1" applyFill="1" applyBorder="1" applyAlignment="1">
      <alignment horizontal="center"/>
    </xf>
    <xf numFmtId="0" fontId="0" fillId="8" borderId="62" xfId="0" applyFill="1" applyBorder="1" applyAlignment="1">
      <alignment horizontal="center"/>
    </xf>
    <xf numFmtId="14" fontId="0" fillId="8" borderId="55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58" xfId="0" applyFill="1" applyBorder="1" applyAlignment="1">
      <alignment horizontal="center"/>
    </xf>
    <xf numFmtId="0" fontId="9" fillId="10" borderId="0" xfId="0" applyFont="1" applyFill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38" xfId="0" applyBorder="1"/>
    <xf numFmtId="165" fontId="0" fillId="0" borderId="0" xfId="0" applyNumberFormat="1" applyAlignment="1">
      <alignment horizontal="center" vertical="center"/>
    </xf>
    <xf numFmtId="0" fontId="0" fillId="0" borderId="66" xfId="0" applyBorder="1"/>
    <xf numFmtId="0" fontId="0" fillId="0" borderId="67" xfId="0" applyBorder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1" fontId="1" fillId="12" borderId="11" xfId="0" applyNumberFormat="1" applyFont="1" applyFill="1" applyBorder="1" applyAlignment="1">
      <alignment horizontal="center" vertical="center"/>
    </xf>
    <xf numFmtId="1" fontId="0" fillId="12" borderId="11" xfId="0" applyNumberForma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/>
    </xf>
    <xf numFmtId="1" fontId="0" fillId="10" borderId="11" xfId="0" applyNumberForma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4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15" fillId="0" borderId="0" xfId="0" applyNumberFormat="1" applyFont="1"/>
    <xf numFmtId="0" fontId="16" fillId="13" borderId="0" xfId="0" applyFont="1" applyFill="1" applyAlignment="1">
      <alignment horizontal="center" vertical="center"/>
    </xf>
    <xf numFmtId="1" fontId="16" fillId="13" borderId="0" xfId="0" applyNumberFormat="1" applyFont="1" applyFill="1" applyAlignment="1">
      <alignment horizontal="center" vertical="center"/>
    </xf>
    <xf numFmtId="2" fontId="16" fillId="13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14" borderId="0" xfId="0" applyFill="1"/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right"/>
    </xf>
    <xf numFmtId="0" fontId="0" fillId="14" borderId="0" xfId="0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1" fontId="1" fillId="0" borderId="50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76" xfId="0" applyNumberFormat="1" applyBorder="1" applyAlignment="1">
      <alignment horizontal="center" vertical="center"/>
    </xf>
    <xf numFmtId="1" fontId="0" fillId="0" borderId="77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76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1" fontId="0" fillId="0" borderId="79" xfId="0" applyNumberFormat="1" applyBorder="1" applyAlignment="1">
      <alignment horizontal="center" vertical="center"/>
    </xf>
    <xf numFmtId="1" fontId="0" fillId="0" borderId="80" xfId="0" applyNumberFormat="1" applyBorder="1" applyAlignment="1">
      <alignment horizontal="center" vertical="center"/>
    </xf>
    <xf numFmtId="164" fontId="0" fillId="0" borderId="81" xfId="0" applyNumberFormat="1" applyBorder="1" applyAlignment="1">
      <alignment horizontal="center" vertical="center"/>
    </xf>
    <xf numFmtId="164" fontId="0" fillId="0" borderId="79" xfId="0" applyNumberFormat="1" applyBorder="1" applyAlignment="1">
      <alignment horizontal="center" vertical="center"/>
    </xf>
    <xf numFmtId="1" fontId="0" fillId="0" borderId="81" xfId="0" applyNumberForma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82" xfId="0" applyNumberFormat="1" applyFont="1" applyBorder="1" applyAlignment="1">
      <alignment horizontal="center" vertical="center"/>
    </xf>
    <xf numFmtId="1" fontId="0" fillId="0" borderId="83" xfId="0" applyNumberFormat="1" applyBorder="1" applyAlignment="1">
      <alignment horizontal="center" vertical="center"/>
    </xf>
    <xf numFmtId="1" fontId="0" fillId="0" borderId="84" xfId="0" applyNumberFormat="1" applyBorder="1" applyAlignment="1">
      <alignment horizontal="center" vertical="center"/>
    </xf>
    <xf numFmtId="1" fontId="0" fillId="0" borderId="85" xfId="0" applyNumberFormat="1" applyBorder="1" applyAlignment="1">
      <alignment horizontal="center" vertical="center"/>
    </xf>
    <xf numFmtId="1" fontId="0" fillId="0" borderId="86" xfId="0" applyNumberFormat="1" applyBorder="1" applyAlignment="1">
      <alignment horizontal="center" vertical="center"/>
    </xf>
    <xf numFmtId="164" fontId="0" fillId="0" borderId="86" xfId="0" applyNumberFormat="1" applyBorder="1" applyAlignment="1">
      <alignment horizontal="center" vertical="center"/>
    </xf>
    <xf numFmtId="164" fontId="0" fillId="0" borderId="84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0" fillId="15" borderId="0" xfId="0" applyFill="1"/>
    <xf numFmtId="0" fontId="0" fillId="15" borderId="0" xfId="0" applyFill="1" applyAlignment="1">
      <alignment horizontal="center" vertical="center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right"/>
    </xf>
    <xf numFmtId="2" fontId="0" fillId="7" borderId="0" xfId="0" applyNumberFormat="1" applyFill="1" applyAlignment="1">
      <alignment horizontal="left"/>
    </xf>
    <xf numFmtId="0" fontId="0" fillId="7" borderId="0" xfId="0" applyFill="1"/>
    <xf numFmtId="1" fontId="0" fillId="7" borderId="0" xfId="0" applyNumberFormat="1" applyFill="1"/>
    <xf numFmtId="166" fontId="0" fillId="0" borderId="0" xfId="0" applyNumberFormat="1"/>
    <xf numFmtId="167" fontId="0" fillId="0" borderId="0" xfId="0" applyNumberForma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0" xfId="0" applyFont="1"/>
    <xf numFmtId="1" fontId="1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1" fontId="1" fillId="0" borderId="6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right"/>
    </xf>
    <xf numFmtId="0" fontId="15" fillId="10" borderId="0" xfId="0" applyFont="1" applyFill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" fillId="0" borderId="13" xfId="0" applyFont="1" applyBorder="1"/>
    <xf numFmtId="1" fontId="1" fillId="0" borderId="14" xfId="0" applyNumberFormat="1" applyFont="1" applyBorder="1"/>
    <xf numFmtId="0" fontId="0" fillId="0" borderId="14" xfId="0" applyBorder="1"/>
    <xf numFmtId="0" fontId="0" fillId="0" borderId="15" xfId="0" applyBorder="1" applyAlignment="1">
      <alignment vertical="center"/>
    </xf>
    <xf numFmtId="0" fontId="0" fillId="0" borderId="13" xfId="0" applyBorder="1"/>
    <xf numFmtId="1" fontId="0" fillId="0" borderId="1" xfId="0" applyNumberFormat="1" applyBorder="1"/>
    <xf numFmtId="0" fontId="1" fillId="0" borderId="35" xfId="0" applyFont="1" applyBorder="1"/>
    <xf numFmtId="1" fontId="1" fillId="0" borderId="1" xfId="0" applyNumberFormat="1" applyFont="1" applyBorder="1"/>
    <xf numFmtId="0" fontId="1" fillId="0" borderId="14" xfId="0" applyFont="1" applyBorder="1"/>
    <xf numFmtId="0" fontId="1" fillId="0" borderId="0" xfId="0" applyFont="1" applyAlignment="1">
      <alignment horizontal="left"/>
    </xf>
    <xf numFmtId="0" fontId="1" fillId="0" borderId="15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36" xfId="0" applyFont="1" applyBorder="1"/>
    <xf numFmtId="0" fontId="13" fillId="7" borderId="0" xfId="0" applyFont="1" applyFill="1" applyAlignment="1">
      <alignment horizontal="center" vertical="center"/>
    </xf>
    <xf numFmtId="0" fontId="0" fillId="0" borderId="36" xfId="0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1" fontId="1" fillId="0" borderId="8" xfId="0" applyNumberFormat="1" applyFont="1" applyBorder="1"/>
    <xf numFmtId="0" fontId="0" fillId="0" borderId="8" xfId="0" applyBorder="1"/>
    <xf numFmtId="1" fontId="1" fillId="0" borderId="36" xfId="0" applyNumberFormat="1" applyFont="1" applyBorder="1"/>
    <xf numFmtId="0" fontId="1" fillId="0" borderId="12" xfId="0" applyFont="1" applyBorder="1"/>
    <xf numFmtId="0" fontId="1" fillId="0" borderId="9" xfId="0" applyFont="1" applyBorder="1"/>
    <xf numFmtId="164" fontId="1" fillId="0" borderId="13" xfId="0" applyNumberFormat="1" applyFont="1" applyBorder="1"/>
    <xf numFmtId="164" fontId="1" fillId="0" borderId="14" xfId="0" applyNumberFormat="1" applyFont="1" applyBorder="1"/>
    <xf numFmtId="164" fontId="0" fillId="0" borderId="14" xfId="0" applyNumberFormat="1" applyBorder="1"/>
    <xf numFmtId="164" fontId="1" fillId="0" borderId="5" xfId="0" applyNumberFormat="1" applyFont="1" applyBorder="1"/>
    <xf numFmtId="164" fontId="1" fillId="0" borderId="0" xfId="0" applyNumberFormat="1" applyFont="1"/>
    <xf numFmtId="2" fontId="1" fillId="0" borderId="13" xfId="0" applyNumberFormat="1" applyFont="1" applyBorder="1"/>
    <xf numFmtId="2" fontId="1" fillId="0" borderId="14" xfId="0" applyNumberFormat="1" applyFont="1" applyBorder="1"/>
    <xf numFmtId="2" fontId="0" fillId="0" borderId="14" xfId="0" applyNumberFormat="1" applyBorder="1"/>
    <xf numFmtId="164" fontId="1" fillId="0" borderId="35" xfId="0" applyNumberFormat="1" applyFont="1" applyBorder="1"/>
    <xf numFmtId="164" fontId="1" fillId="0" borderId="1" xfId="0" applyNumberFormat="1" applyFont="1" applyBorder="1"/>
    <xf numFmtId="2" fontId="1" fillId="0" borderId="0" xfId="0" applyNumberFormat="1" applyFont="1" applyAlignment="1">
      <alignment horizontal="left"/>
    </xf>
    <xf numFmtId="2" fontId="1" fillId="0" borderId="5" xfId="0" applyNumberFormat="1" applyFont="1" applyBorder="1"/>
    <xf numFmtId="2" fontId="1" fillId="0" borderId="0" xfId="0" applyNumberFormat="1" applyFont="1"/>
    <xf numFmtId="164" fontId="1" fillId="0" borderId="8" xfId="0" applyNumberFormat="1" applyFont="1" applyBorder="1"/>
    <xf numFmtId="164" fontId="0" fillId="0" borderId="1" xfId="0" applyNumberFormat="1" applyBorder="1"/>
    <xf numFmtId="2" fontId="1" fillId="0" borderId="35" xfId="0" applyNumberFormat="1" applyFont="1" applyBorder="1"/>
    <xf numFmtId="2" fontId="1" fillId="0" borderId="1" xfId="0" applyNumberFormat="1" applyFont="1" applyBorder="1"/>
    <xf numFmtId="2" fontId="0" fillId="0" borderId="1" xfId="0" applyNumberFormat="1" applyBorder="1"/>
    <xf numFmtId="0" fontId="0" fillId="0" borderId="0" xfId="0" applyAlignment="1">
      <alignment horizontal="center" textRotation="90" wrapText="1"/>
    </xf>
    <xf numFmtId="0" fontId="0" fillId="0" borderId="0" xfId="0" applyAlignment="1">
      <alignment horizontal="left" vertical="center"/>
    </xf>
    <xf numFmtId="0" fontId="11" fillId="0" borderId="12" xfId="0" applyFont="1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3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right" wrapText="1"/>
    </xf>
    <xf numFmtId="0" fontId="0" fillId="3" borderId="16" xfId="0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0" borderId="20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4" borderId="37" xfId="0" applyFont="1" applyFill="1" applyBorder="1" applyAlignment="1">
      <alignment horizontal="left" vertical="center"/>
    </xf>
    <xf numFmtId="0" fontId="0" fillId="0" borderId="0" xfId="0" applyAlignment="1">
      <alignment horizontal="center" vertical="top" textRotation="90"/>
    </xf>
    <xf numFmtId="0" fontId="0" fillId="3" borderId="12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12" fillId="0" borderId="5" xfId="0" applyFont="1" applyBorder="1" applyAlignment="1">
      <alignment horizontal="right" vertical="center" wrapText="1"/>
    </xf>
    <xf numFmtId="0" fontId="0" fillId="0" borderId="12" xfId="0" applyBorder="1" applyAlignment="1">
      <alignment horizontal="center"/>
    </xf>
    <xf numFmtId="0" fontId="12" fillId="0" borderId="35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Border="1"/>
    <xf numFmtId="0" fontId="0" fillId="0" borderId="0" xfId="0" applyBorder="1"/>
    <xf numFmtId="0" fontId="1" fillId="0" borderId="0" xfId="0" applyFont="1" applyBorder="1"/>
    <xf numFmtId="164" fontId="1" fillId="0" borderId="0" xfId="0" applyNumberFormat="1" applyFont="1" applyBorder="1"/>
    <xf numFmtId="164" fontId="0" fillId="0" borderId="0" xfId="0" applyNumberFormat="1" applyBorder="1"/>
    <xf numFmtId="2" fontId="1" fillId="0" borderId="0" xfId="0" applyNumberFormat="1" applyFont="1" applyBorder="1"/>
    <xf numFmtId="2" fontId="0" fillId="0" borderId="0" xfId="0" applyNumberFormat="1" applyBorder="1"/>
  </cellXfs>
  <cellStyles count="1">
    <cellStyle name="Normal" xfId="0" builtinId="0"/>
  </cellStyles>
  <dxfs count="53"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999999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CE8B2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9900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F9900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6D9EEB"/>
      <rgbColor rgb="FF993366"/>
      <rgbColor rgb="FFF3F3F3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2EFD9"/>
      <rgbColor rgb="FFFCE8B2"/>
      <rgbColor rgb="FFB7E1CD"/>
      <rgbColor rgb="FFD9D9D9"/>
      <rgbColor rgb="FFB7B7B7"/>
      <rgbColor rgb="FFF4C7C3"/>
      <rgbColor rgb="FF4472C4"/>
      <rgbColor rgb="FF5B9BD5"/>
      <rgbColor rgb="FFB6D7A8"/>
      <rgbColor rgb="FFFFC000"/>
      <rgbColor rgb="FFFF9900"/>
      <rgbColor rgb="FFFF6600"/>
      <rgbColor rgb="FF666666"/>
      <rgbColor rgb="FF999999"/>
      <rgbColor rgb="FF003366"/>
      <rgbColor rgb="FF70AD47"/>
      <rgbColor rgb="FF003300"/>
      <rgbColor rgb="FF1A1A1A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Selected Contaminant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'Take-off'!$B$55</c:f>
              <c:strCache>
                <c:ptCount val="1"/>
                <c:pt idx="0">
                  <c:v>ASDA:</c:v>
                </c:pt>
              </c:strCache>
            </c:strRef>
          </c:tx>
          <c:spPr>
            <a:solidFill>
              <a:srgbClr val="43434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'Take-off'!$C$55</c:f>
              <c:numCache>
                <c:formatCode>0</c:formatCode>
                <c:ptCount val="1"/>
                <c:pt idx="0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C-44A1-8438-4B8443FB72A3}"/>
            </c:ext>
          </c:extLst>
        </c:ser>
        <c:ser>
          <c:idx val="1"/>
          <c:order val="1"/>
          <c:tx>
            <c:strRef>
              <c:f>'Take-off'!$B$56</c:f>
              <c:strCache>
                <c:ptCount val="1"/>
                <c:pt idx="0">
                  <c:v>TORA:</c:v>
                </c:pt>
              </c:strCache>
            </c:strRef>
          </c:tx>
          <c:spPr>
            <a:solidFill>
              <a:srgbClr val="6666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'Take-off'!$C$56</c:f>
              <c:numCache>
                <c:formatCode>0</c:formatCode>
                <c:ptCount val="1"/>
                <c:pt idx="0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C-44A1-8438-4B8443FB72A3}"/>
            </c:ext>
          </c:extLst>
        </c:ser>
        <c:ser>
          <c:idx val="2"/>
          <c:order val="2"/>
          <c:tx>
            <c:strRef>
              <c:f>'Take-off'!$B$57</c:f>
              <c:strCache>
                <c:ptCount val="1"/>
                <c:pt idx="0">
                  <c:v>TODA:</c:v>
                </c:pt>
              </c:strCache>
            </c:strRef>
          </c:tx>
          <c:spPr>
            <a:solidFill>
              <a:srgbClr val="99999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'Take-off'!$C$57</c:f>
              <c:numCache>
                <c:formatCode>0</c:formatCode>
                <c:ptCount val="1"/>
                <c:pt idx="0">
                  <c:v>1990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5C-44A1-8438-4B8443FB72A3}"/>
            </c:ext>
          </c:extLst>
        </c:ser>
        <c:ser>
          <c:idx val="3"/>
          <c:order val="3"/>
          <c:tx>
            <c:strRef>
              <c:f>'Take-off'!$B$58</c:f>
              <c:strCache>
                <c:ptCount val="1"/>
                <c:pt idx="0">
                  <c:v>Ground Roll [m]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'Take-off'!$C$58</c:f>
              <c:numCache>
                <c:formatCode>0</c:formatCode>
                <c:ptCount val="1"/>
                <c:pt idx="0">
                  <c:v>437.00365853658542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5C-44A1-8438-4B8443FB72A3}"/>
            </c:ext>
          </c:extLst>
        </c:ser>
        <c:ser>
          <c:idx val="4"/>
          <c:order val="4"/>
          <c:tx>
            <c:strRef>
              <c:f>'Take-off'!$B$59</c:f>
              <c:strCache>
                <c:ptCount val="1"/>
                <c:pt idx="0">
                  <c:v>Take off distance [m]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'Take-off'!$C$59</c:f>
              <c:numCache>
                <c:formatCode>0</c:formatCode>
                <c:ptCount val="1"/>
                <c:pt idx="0">
                  <c:v>652.43902439024396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5C-44A1-8438-4B8443FB72A3}"/>
            </c:ext>
          </c:extLst>
        </c:ser>
        <c:ser>
          <c:idx val="5"/>
          <c:order val="5"/>
          <c:tx>
            <c:strRef>
              <c:f>'Take-off'!$B$60</c:f>
              <c:strCache>
                <c:ptCount val="1"/>
                <c:pt idx="0">
                  <c:v>Accelerade &amp; STOP [m]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sv-S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'Take-off'!$C$54</c:f>
              <c:strCache>
                <c:ptCount val="1"/>
                <c:pt idx="0">
                  <c:v>Flaps UP</c:v>
                </c:pt>
              </c:strCache>
            </c:strRef>
          </c:cat>
          <c:val>
            <c:numRef>
              <c:f>'Take-off'!$C$60</c:f>
              <c:numCache>
                <c:formatCode>0</c:formatCode>
                <c:ptCount val="1"/>
                <c:pt idx="0">
                  <c:v>903.62804878048792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5C-44A1-8438-4B8443FB7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80327"/>
        <c:axId val="6141974"/>
      </c:barChart>
      <c:catAx>
        <c:axId val="9380327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6141974"/>
        <c:crosses val="autoZero"/>
        <c:auto val="1"/>
        <c:lblAlgn val="ctr"/>
        <c:lblOffset val="100"/>
        <c:noMultiLvlLbl val="0"/>
      </c:catAx>
      <c:valAx>
        <c:axId val="614197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Flaps 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9380327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1"/>
          <c:y val="0"/>
        </c:manualLayout>
      </c:layout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LDA</c:v>
          </c:tx>
          <c:spPr>
            <a:solidFill>
              <a:srgbClr val="6666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Landing!$C$36:$D$36</c:f>
              <c:numCache>
                <c:formatCode>0</c:formatCode>
                <c:ptCount val="2"/>
                <c:pt idx="0">
                  <c:v>2000</c:v>
                </c:pt>
                <c:pt idx="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6-4701-86B3-A52817D08396}"/>
            </c:ext>
          </c:extLst>
        </c:ser>
        <c:ser>
          <c:idx val="1"/>
          <c:order val="1"/>
          <c:tx>
            <c:v>Landing distance</c:v>
          </c:tx>
          <c:spPr>
            <a:solidFill>
              <a:srgbClr val="6D9E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Landing!$C$37:$D$37</c:f>
              <c:numCache>
                <c:formatCode>0</c:formatCode>
                <c:ptCount val="2"/>
                <c:pt idx="0">
                  <c:v>2109.4949776408639</c:v>
                </c:pt>
                <c:pt idx="1">
                  <c:v>1240.879398612273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D6-4701-86B3-A52817D08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39751"/>
        <c:axId val="61350425"/>
      </c:barChart>
      <c:catAx>
        <c:axId val="4543975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61350425"/>
        <c:crosses val="autoZero"/>
        <c:auto val="1"/>
        <c:lblAlgn val="ctr"/>
        <c:lblOffset val="100"/>
        <c:noMultiLvlLbl val="0"/>
      </c:catAx>
      <c:valAx>
        <c:axId val="61350425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45439751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209520</xdr:colOff>
      <xdr:row>45</xdr:row>
      <xdr:rowOff>81360</xdr:rowOff>
    </xdr:from>
    <xdr:to>
      <xdr:col>6</xdr:col>
      <xdr:colOff>124200</xdr:colOff>
      <xdr:row>63</xdr:row>
      <xdr:rowOff>61920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266760</xdr:colOff>
      <xdr:row>31</xdr:row>
      <xdr:rowOff>74880</xdr:rowOff>
    </xdr:from>
    <xdr:to>
      <xdr:col>6</xdr:col>
      <xdr:colOff>51840</xdr:colOff>
      <xdr:row>44</xdr:row>
      <xdr:rowOff>169560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06"/>
  <sheetViews>
    <sheetView showGridLines="0" zoomScaleNormal="100" workbookViewId="0">
      <selection activeCell="C4" activeCellId="1" sqref="K6:L6 C4"/>
    </sheetView>
  </sheetViews>
  <sheetFormatPr defaultColWidth="14.44140625" defaultRowHeight="15" customHeight="1" outlineLevelRow="1"/>
  <cols>
    <col min="1" max="1" width="4" customWidth="1"/>
    <col min="2" max="2" width="28.33203125" customWidth="1"/>
    <col min="3" max="3" width="19.33203125" customWidth="1"/>
    <col min="4" max="4" width="9.109375" customWidth="1"/>
    <col min="5" max="5" width="6.5546875" customWidth="1"/>
    <col min="6" max="6" width="15" customWidth="1"/>
    <col min="7" max="7" width="9" customWidth="1"/>
    <col min="8" max="8" width="5.44140625" customWidth="1"/>
    <col min="9" max="9" width="6.109375" customWidth="1"/>
    <col min="10" max="13" width="12.109375" customWidth="1"/>
    <col min="16" max="16" width="50.33203125" customWidth="1"/>
  </cols>
  <sheetData>
    <row r="1" spans="1:12" ht="15" customHeight="1">
      <c r="B1" s="7" t="s">
        <v>0</v>
      </c>
      <c r="C1" s="7"/>
      <c r="D1" s="7"/>
      <c r="E1" s="7"/>
      <c r="F1" s="7"/>
      <c r="G1" s="7"/>
    </row>
    <row r="2" spans="1:12" ht="32.4">
      <c r="A2" s="15"/>
      <c r="B2" s="16" t="s">
        <v>1</v>
      </c>
      <c r="C2" s="17"/>
      <c r="D2" s="17"/>
      <c r="E2" s="17"/>
      <c r="F2" s="18" t="s">
        <v>0</v>
      </c>
      <c r="G2" s="19" t="s">
        <v>2</v>
      </c>
    </row>
    <row r="3" spans="1:12" ht="14.25" customHeight="1">
      <c r="A3" s="15"/>
      <c r="B3" s="6" t="s">
        <v>3</v>
      </c>
      <c r="C3" s="6"/>
      <c r="D3" s="6"/>
      <c r="E3" s="6"/>
      <c r="F3" s="20"/>
      <c r="G3" s="21">
        <v>46266</v>
      </c>
    </row>
    <row r="4" spans="1:12" ht="52.5" customHeight="1">
      <c r="A4" s="15"/>
      <c r="B4" s="22" t="s">
        <v>4</v>
      </c>
      <c r="C4" s="5" t="s">
        <v>5</v>
      </c>
      <c r="D4" s="5"/>
      <c r="E4" s="5"/>
      <c r="F4" s="5"/>
      <c r="G4" s="23"/>
    </row>
    <row r="5" spans="1:12" ht="30" customHeight="1">
      <c r="A5" s="15"/>
      <c r="B5" s="24"/>
      <c r="C5" s="4" t="s">
        <v>6</v>
      </c>
      <c r="D5" s="4"/>
      <c r="E5" s="4"/>
      <c r="F5" s="4"/>
      <c r="G5" s="4"/>
    </row>
    <row r="6" spans="1:12" ht="14.25" customHeight="1">
      <c r="A6" s="15"/>
      <c r="B6" s="24" t="s">
        <v>7</v>
      </c>
      <c r="C6" s="25">
        <f ca="1">IFERROR(__xludf.dummyfunction("IF(E6&lt;&gt;"""", E6, IF($G$8, E6, IFERROR(IF(REGEXMATCH(C5, ""\bVRB""), ""000"", VALUE(REGEXEXTRACT(C5, ""\b(\d{3})\d{2,3}(?:G\d{2,3})?(?:KT|MPS)\b""))), ""-"")))"),240)</f>
        <v>240</v>
      </c>
      <c r="D6" s="26" t="s">
        <v>8</v>
      </c>
      <c r="E6" s="27"/>
      <c r="F6" s="3" t="str">
        <f ca="1">IF(C24&lt;0, "Tailwind", "")</f>
        <v/>
      </c>
      <c r="G6" s="3"/>
    </row>
    <row r="7" spans="1:12" ht="14.25" customHeight="1">
      <c r="A7" s="15"/>
      <c r="B7" s="24" t="s">
        <v>9</v>
      </c>
      <c r="C7" s="25">
        <f ca="1">IFERROR(__xludf.dummyfunction("IF(E7&lt;&gt;"""", E7, IF($G$8, E7, IFERROR(VALUE(REGEXEXTRACT(C5, ""\b(?:\d{3}|VRB)(\d{2,3})(?:G\d{2,3})?(?:KT|MPS)\b"")), ""-"")))"),0)</f>
        <v>0</v>
      </c>
      <c r="D7" s="26" t="s">
        <v>10</v>
      </c>
      <c r="E7" s="27">
        <v>0</v>
      </c>
      <c r="F7" s="3"/>
      <c r="G7" s="3"/>
    </row>
    <row r="8" spans="1:12" ht="14.25" customHeight="1">
      <c r="A8" s="15"/>
      <c r="B8" s="24" t="s">
        <v>11</v>
      </c>
      <c r="C8" s="28">
        <f ca="1">IFERROR(__xludf.dummyfunction("IF(E8&lt;&gt;"""", E8, IF($G$8, E8, IFERROR(VALUE(SUBSTITUTE(REGEXEXTRACT(C5, ""\b(M?\d{2})\/(?:M?\d{2})\b""), ""M"", ""-"")), ""-"")))"),0)</f>
        <v>0</v>
      </c>
      <c r="D8" s="26" t="s">
        <v>12</v>
      </c>
      <c r="E8" s="29">
        <v>0</v>
      </c>
      <c r="F8" s="2" t="s">
        <v>13</v>
      </c>
      <c r="G8" s="1" t="b">
        <f>FALSE()</f>
        <v>0</v>
      </c>
    </row>
    <row r="9" spans="1:12" ht="14.25" customHeight="1">
      <c r="A9" s="15"/>
      <c r="B9" s="24" t="s">
        <v>14</v>
      </c>
      <c r="C9" s="28">
        <f ca="1">IFERROR(__xludf.dummyfunction("IF(E9&lt;&gt;"""", E9, IF($G$8, E9, IFERROR(VALUE(REGEXEXTRACT(C5, ""\bQ(\d{4})\b"")), ""-"")))"),1013)</f>
        <v>1013</v>
      </c>
      <c r="D9" s="26" t="s">
        <v>15</v>
      </c>
      <c r="E9" s="29">
        <v>1013</v>
      </c>
      <c r="F9" s="2"/>
      <c r="G9" s="1"/>
    </row>
    <row r="10" spans="1:12" ht="22.5" customHeight="1">
      <c r="A10" s="15"/>
      <c r="B10" s="24" t="s">
        <v>16</v>
      </c>
      <c r="C10" s="31">
        <v>5</v>
      </c>
      <c r="D10" s="32"/>
      <c r="E10" s="277" t="s">
        <v>17</v>
      </c>
      <c r="F10" s="278" t="s">
        <v>18</v>
      </c>
      <c r="G10" s="279" t="b">
        <f>FALSE()</f>
        <v>0</v>
      </c>
    </row>
    <row r="11" spans="1:12" ht="22.5" customHeight="1">
      <c r="A11" s="15"/>
      <c r="B11" s="34" t="s">
        <v>19</v>
      </c>
      <c r="C11" s="35" t="s">
        <v>20</v>
      </c>
      <c r="D11" s="36"/>
      <c r="E11" s="277"/>
      <c r="F11" s="277"/>
      <c r="G11" s="279"/>
      <c r="I11" s="280" t="s">
        <v>21</v>
      </c>
      <c r="J11" s="280"/>
    </row>
    <row r="12" spans="1:12" ht="22.5" customHeight="1">
      <c r="A12" s="15"/>
      <c r="B12" s="34" t="s">
        <v>22</v>
      </c>
      <c r="C12" s="35">
        <v>3</v>
      </c>
      <c r="D12" s="37" t="s">
        <v>23</v>
      </c>
      <c r="E12" s="38" t="s">
        <v>24</v>
      </c>
      <c r="F12" s="39">
        <f>VLOOKUP(C11,'Dropdown lists'!B34:G40,5,FALSE())</f>
        <v>0</v>
      </c>
      <c r="G12" s="40"/>
      <c r="I12" s="280"/>
      <c r="J12" s="280"/>
    </row>
    <row r="13" spans="1:12" ht="22.5" customHeight="1">
      <c r="A13" s="15"/>
      <c r="B13" s="24" t="s">
        <v>25</v>
      </c>
      <c r="C13" s="31" t="s">
        <v>26</v>
      </c>
      <c r="D13" s="32"/>
      <c r="F13" s="41"/>
      <c r="G13" s="40"/>
      <c r="I13" s="281" t="s">
        <v>27</v>
      </c>
      <c r="J13" s="281"/>
      <c r="K13" s="281"/>
      <c r="L13" s="281"/>
    </row>
    <row r="14" spans="1:12" ht="22.5" customHeight="1">
      <c r="A14" s="15"/>
      <c r="B14" s="24" t="s">
        <v>28</v>
      </c>
      <c r="C14" s="31">
        <v>9000</v>
      </c>
      <c r="D14" s="32" t="s">
        <v>29</v>
      </c>
      <c r="G14" s="40"/>
      <c r="I14" s="281"/>
      <c r="J14" s="281"/>
      <c r="K14" s="281"/>
      <c r="L14" s="281"/>
    </row>
    <row r="15" spans="1:12" ht="14.25" customHeight="1">
      <c r="A15" s="15"/>
      <c r="B15" s="43" t="s">
        <v>30</v>
      </c>
      <c r="C15" s="282"/>
      <c r="D15" s="282"/>
      <c r="E15" s="282"/>
      <c r="F15" s="282"/>
      <c r="G15" s="282"/>
      <c r="I15" s="36" t="s">
        <v>31</v>
      </c>
    </row>
    <row r="16" spans="1:12" ht="14.25" customHeight="1" outlineLevel="1">
      <c r="A16" s="15"/>
      <c r="B16" s="24" t="s">
        <v>32</v>
      </c>
      <c r="C16" s="44">
        <f t="array" ref="C16">_xlfn.XLOOKUP($C$4, 'Airport data'!$A$5:$A1006, 'Airport data'!$B$5:$B1006)</f>
        <v>200</v>
      </c>
      <c r="D16" s="32" t="s">
        <v>33</v>
      </c>
      <c r="G16" s="40"/>
      <c r="H16" s="32"/>
    </row>
    <row r="17" spans="1:10" ht="14.25" customHeight="1" outlineLevel="1">
      <c r="A17" s="15"/>
      <c r="B17" s="24" t="s">
        <v>34</v>
      </c>
      <c r="C17" s="45">
        <f t="array" ref="C17">_xlfn.XLOOKUP($C$4, 'Airport data'!$A$5:$A1006, 'Airport data'!$G$5:$G1006)</f>
        <v>0</v>
      </c>
      <c r="D17" s="32" t="s">
        <v>35</v>
      </c>
      <c r="E17" s="283" t="s">
        <v>36</v>
      </c>
      <c r="F17" s="283"/>
      <c r="G17" s="283"/>
    </row>
    <row r="18" spans="1:10" ht="14.4" outlineLevel="1">
      <c r="A18" s="15"/>
      <c r="B18" s="24" t="s">
        <v>37</v>
      </c>
      <c r="C18" s="44">
        <f t="array" ref="C18">_xlfn.XLOOKUP($C$4, 'Airport data'!$A$5:$A1006, 'Airport data'!$H$5:$H1006)</f>
        <v>120</v>
      </c>
      <c r="D18" s="32" t="s">
        <v>8</v>
      </c>
      <c r="G18" s="40"/>
    </row>
    <row r="19" spans="1:10" ht="15" customHeight="1" outlineLevel="1">
      <c r="A19" s="15"/>
      <c r="B19" s="24" t="s">
        <v>38</v>
      </c>
      <c r="C19" s="44">
        <f t="array" ref="C19">_xlfn.XLOOKUP($C$4, 'Airport data'!$A$5:$A1006, 'Airport data'!$E$5:$E1006)-10</f>
        <v>1990</v>
      </c>
      <c r="D19" s="32" t="s">
        <v>39</v>
      </c>
      <c r="E19" s="284" t="s">
        <v>40</v>
      </c>
      <c r="F19" s="284"/>
      <c r="G19" s="47">
        <f t="array" ref="G19">_xlfn.XLOOKUP($C$4, 'Airport data'!$A$5:$A1006, 'Airport data'!$I$5:$I1006)</f>
        <v>3.3</v>
      </c>
      <c r="H19" s="48"/>
    </row>
    <row r="20" spans="1:10" ht="14.4" outlineLevel="1">
      <c r="A20" s="15"/>
      <c r="B20" s="24" t="s">
        <v>41</v>
      </c>
      <c r="C20" s="44">
        <f t="array" ref="C20">_xlfn.XLOOKUP($C$4, 'Airport data'!$A$5:$A1006, 'Airport data'!$C$5:$C1006)-10</f>
        <v>1990</v>
      </c>
      <c r="D20" s="32" t="s">
        <v>39</v>
      </c>
      <c r="G20" s="40"/>
    </row>
    <row r="21" spans="1:10" ht="14.4" outlineLevel="1">
      <c r="A21" s="15"/>
      <c r="B21" s="24" t="s">
        <v>42</v>
      </c>
      <c r="C21" s="44">
        <f t="array" ref="C21">_xlfn.XLOOKUP($C$4, 'Airport data'!$A$5:$A1006, 'Airport data'!$D$5:$D1006)-10</f>
        <v>1990</v>
      </c>
      <c r="D21" s="32" t="s">
        <v>39</v>
      </c>
      <c r="E21" t="s">
        <v>43</v>
      </c>
      <c r="F21" s="44">
        <f ca="1">C35*1.15</f>
        <v>502.55420731707318</v>
      </c>
      <c r="G21" s="40"/>
      <c r="J21" t="s">
        <v>44</v>
      </c>
    </row>
    <row r="22" spans="1:10" ht="14.4" outlineLevel="1">
      <c r="A22" s="15"/>
      <c r="B22" s="24" t="s">
        <v>45</v>
      </c>
      <c r="C22" s="44">
        <f t="array" ref="C22">_xlfn.XLOOKUP($C$4, 'Airport data'!$A$5:$A1006, 'Airport data'!$F$5:$F1006)</f>
        <v>2000</v>
      </c>
      <c r="D22" s="32" t="s">
        <v>39</v>
      </c>
      <c r="E22" s="48"/>
      <c r="F22" s="48"/>
      <c r="G22" s="49"/>
      <c r="J22" t="s">
        <v>46</v>
      </c>
    </row>
    <row r="23" spans="1:10" ht="15.75" customHeight="1">
      <c r="A23" s="15"/>
      <c r="B23" s="50" t="s">
        <v>47</v>
      </c>
      <c r="C23" s="282"/>
      <c r="D23" s="282"/>
      <c r="E23" s="282"/>
      <c r="F23" s="282"/>
      <c r="G23" s="282"/>
      <c r="J23" t="s">
        <v>48</v>
      </c>
    </row>
    <row r="24" spans="1:10" ht="15.75" customHeight="1">
      <c r="A24" s="15"/>
      <c r="B24" s="24" t="s">
        <v>49</v>
      </c>
      <c r="C24" s="51">
        <f ca="1">'LTL_TAKE OFF Performance FLAPS '!D34</f>
        <v>0</v>
      </c>
      <c r="D24" s="32" t="s">
        <v>50</v>
      </c>
      <c r="E24" s="52" t="s">
        <v>51</v>
      </c>
      <c r="F24" s="53">
        <f t="array" ref="F24">_xlfn.XLOOKUP('Take-off'!$C$10,'Dropdown lists'!$B$4:$B$9,'Dropdown lists'!$D$4:$D$9)</f>
        <v>1.07</v>
      </c>
      <c r="G24" s="40"/>
    </row>
    <row r="25" spans="1:10" ht="15.75" customHeight="1">
      <c r="A25" s="15"/>
      <c r="B25" s="24" t="s">
        <v>52</v>
      </c>
      <c r="C25" s="51">
        <f ca="1">ABS('LTL_TAKE OFF Performance FLAPS '!C39*C7)</f>
        <v>0</v>
      </c>
      <c r="D25" s="32" t="s">
        <v>50</v>
      </c>
      <c r="E25" s="38" t="s">
        <v>53</v>
      </c>
      <c r="F25" s="39">
        <f t="array" ref="F25">_xlfn.XLOOKUP(C10, 'Dropdown lists'!$B$4:$B$10, 'Dropdown lists'!$E$4:$E$10)</f>
        <v>25</v>
      </c>
      <c r="G25" s="40"/>
    </row>
    <row r="26" spans="1:10" ht="15.75" customHeight="1">
      <c r="A26" s="15"/>
      <c r="B26" s="54" t="s">
        <v>54</v>
      </c>
      <c r="C26" s="55" t="s">
        <v>55</v>
      </c>
      <c r="D26" s="55" t="s">
        <v>56</v>
      </c>
      <c r="E26" s="56" t="s">
        <v>57</v>
      </c>
      <c r="F26" s="56"/>
      <c r="G26" s="57" t="s">
        <v>58</v>
      </c>
    </row>
    <row r="27" spans="1:10" ht="15.75" customHeight="1">
      <c r="A27" s="15"/>
      <c r="B27" s="285" t="s">
        <v>59</v>
      </c>
      <c r="C27" s="285"/>
      <c r="D27" s="285"/>
      <c r="E27" s="285"/>
      <c r="F27" s="285"/>
      <c r="G27" s="285"/>
      <c r="I27" s="286" t="s">
        <v>60</v>
      </c>
      <c r="J27" s="286"/>
    </row>
    <row r="28" spans="1:10" ht="14.25" customHeight="1" outlineLevel="1">
      <c r="A28" s="15"/>
      <c r="B28" s="58" t="s">
        <v>61</v>
      </c>
      <c r="C28" s="59">
        <f ca="1">'LTL_TAKE OFF Performance FLAPS '!E28</f>
        <v>408.41463414634148</v>
      </c>
      <c r="E28" s="60">
        <f ca="1">Blad3!E28</f>
        <v>400.20325203252037</v>
      </c>
      <c r="G28" s="40"/>
      <c r="I28" s="286"/>
      <c r="J28" s="286"/>
    </row>
    <row r="29" spans="1:10" ht="14.25" customHeight="1" outlineLevel="1">
      <c r="A29" s="15"/>
      <c r="B29" s="61" t="s">
        <v>62</v>
      </c>
      <c r="C29" s="62">
        <f ca="1">MAX('LTL_TAKE OFF Performance FLAPS '!E29:E30)</f>
        <v>609.7560975609756</v>
      </c>
      <c r="E29" s="60">
        <f ca="1">MAX(Blad3!E29:E30)</f>
        <v>786.03104212860308</v>
      </c>
      <c r="G29" s="40"/>
      <c r="I29" s="286"/>
      <c r="J29" s="286"/>
    </row>
    <row r="30" spans="1:10" ht="15.75" customHeight="1" outlineLevel="1">
      <c r="A30" s="15"/>
      <c r="B30" s="61" t="s">
        <v>63</v>
      </c>
      <c r="C30" s="62">
        <f ca="1">'LTL_TAKE OFF Performance FLAPS '!E32</f>
        <v>844.51219512195132</v>
      </c>
      <c r="E30" s="60">
        <f ca="1">Blad3!E32</f>
        <v>862.46612466124657</v>
      </c>
      <c r="G30" s="40"/>
      <c r="I30" s="286"/>
      <c r="J30" s="286"/>
    </row>
    <row r="31" spans="1:10" ht="15.75" customHeight="1" outlineLevel="1">
      <c r="A31" s="15"/>
      <c r="B31" s="63" t="s">
        <v>64</v>
      </c>
      <c r="C31" s="64">
        <f>'LTL_TAKE OFF Performance FLAPS '!E$22</f>
        <v>94</v>
      </c>
      <c r="E31" s="60">
        <f>Blad3!E$22</f>
        <v>94</v>
      </c>
      <c r="G31" s="40"/>
      <c r="I31" s="286"/>
      <c r="J31" s="286"/>
    </row>
    <row r="32" spans="1:10" ht="15.75" customHeight="1" outlineLevel="1">
      <c r="A32" s="15"/>
      <c r="B32" s="63" t="s">
        <v>65</v>
      </c>
      <c r="C32" s="64">
        <f>'LTL_TAKE OFF Performance FLAPS '!E$22</f>
        <v>94</v>
      </c>
      <c r="E32" s="60">
        <f>Blad3!E$22</f>
        <v>94</v>
      </c>
      <c r="G32" s="40"/>
      <c r="I32" s="286"/>
      <c r="J32" s="286"/>
    </row>
    <row r="33" spans="1:10" ht="15.75" customHeight="1" outlineLevel="1">
      <c r="A33" s="15"/>
      <c r="B33" s="65" t="s">
        <v>66</v>
      </c>
      <c r="C33" s="59">
        <f>'LTL_TAKE OFF Performance FLAPS '!I22</f>
        <v>103</v>
      </c>
      <c r="E33" s="60">
        <f>Blad3!I$22</f>
        <v>102</v>
      </c>
      <c r="G33" s="40"/>
      <c r="I33" s="286"/>
      <c r="J33" s="286"/>
    </row>
    <row r="34" spans="1:10" ht="15.75" customHeight="1">
      <c r="A34" s="15"/>
      <c r="B34" s="285" t="s">
        <v>67</v>
      </c>
      <c r="C34" s="285"/>
      <c r="D34" s="285"/>
      <c r="E34" s="285"/>
      <c r="F34" s="285"/>
      <c r="G34" s="285"/>
    </row>
    <row r="35" spans="1:10" ht="15.75" customHeight="1">
      <c r="A35" s="15"/>
      <c r="B35" s="58" t="s">
        <v>61</v>
      </c>
      <c r="C35" s="59">
        <f ca="1">'LTL_TAKE OFF Performance FLAPS '!E28*F24</f>
        <v>437.00365853658542</v>
      </c>
      <c r="E35" s="60">
        <f ca="1">Blad3!E28*F24</f>
        <v>428.21747967479683</v>
      </c>
      <c r="G35" s="40"/>
      <c r="I35" s="66"/>
    </row>
    <row r="36" spans="1:10" ht="15.75" customHeight="1">
      <c r="A36" s="15"/>
      <c r="B36" s="61" t="s">
        <v>62</v>
      </c>
      <c r="C36" s="62">
        <f ca="1">MAX('LTL_TAKE OFF Performance FLAPS '!E29:E31)*F24</f>
        <v>652.43902439024396</v>
      </c>
      <c r="E36" s="60">
        <f ca="1">MAX(Blad3!E29:E31)*F24</f>
        <v>841.05321507760539</v>
      </c>
      <c r="G36" s="40"/>
    </row>
    <row r="37" spans="1:10" ht="15.75" customHeight="1">
      <c r="A37" s="15"/>
      <c r="B37" s="61" t="s">
        <v>63</v>
      </c>
      <c r="C37" s="62">
        <f ca="1">'LTL_TAKE OFF Performance FLAPS '!E32*F24</f>
        <v>903.62804878048792</v>
      </c>
      <c r="E37" s="60">
        <f ca="1">Blad3!E32*F24</f>
        <v>922.83875338753387</v>
      </c>
      <c r="G37" s="40"/>
      <c r="I37" s="38"/>
    </row>
    <row r="38" spans="1:10" ht="15.75" customHeight="1">
      <c r="A38" s="15"/>
      <c r="B38" s="61" t="s">
        <v>64</v>
      </c>
      <c r="C38" s="64">
        <f>'LTL_TAKE OFF Performance FLAPS '!E$22</f>
        <v>94</v>
      </c>
      <c r="E38" s="64">
        <f>Blad3!E$22</f>
        <v>94</v>
      </c>
      <c r="G38" s="40"/>
    </row>
    <row r="39" spans="1:10" ht="15.75" customHeight="1">
      <c r="A39" s="15"/>
      <c r="B39" s="63" t="s">
        <v>65</v>
      </c>
      <c r="C39" s="64">
        <f>'LTL_TAKE OFF Performance FLAPS '!E$22</f>
        <v>94</v>
      </c>
      <c r="E39" s="64">
        <f>Blad3!E$22</f>
        <v>94</v>
      </c>
      <c r="G39" s="40"/>
    </row>
    <row r="40" spans="1:10" ht="15.75" customHeight="1">
      <c r="A40" s="15"/>
      <c r="B40" s="65" t="s">
        <v>66</v>
      </c>
      <c r="C40" s="62">
        <f>'LTL_TAKE OFF Performance FLAPS '!I$22</f>
        <v>103</v>
      </c>
      <c r="E40" s="64">
        <f>Blad3!I$22</f>
        <v>102</v>
      </c>
      <c r="G40" s="40"/>
      <c r="I40" s="39" t="s">
        <v>68</v>
      </c>
    </row>
    <row r="41" spans="1:10" ht="15.75" customHeight="1">
      <c r="A41" s="15"/>
      <c r="B41" s="285" t="s">
        <v>69</v>
      </c>
      <c r="C41" s="285"/>
      <c r="D41" s="285"/>
      <c r="E41" s="285"/>
      <c r="F41" s="285"/>
      <c r="G41" s="285"/>
    </row>
    <row r="42" spans="1:10" ht="15.75" customHeight="1">
      <c r="A42" s="15"/>
      <c r="B42" s="67" t="s">
        <v>70</v>
      </c>
      <c r="C42" s="68">
        <f ca="1">IF(  C24&gt;0, 'LTL_NET GRADIENT OF CLIMB'!AC55*(125/(125-50%*ABS(C24))),  'LTL_NET GRADIENT OF CLIMB'!AC55*(125/(125+150%*ABS(C24)))  )</f>
        <v>8.9740833333333327</v>
      </c>
      <c r="E42" s="69">
        <f ca="1">IF(  C24&gt;0, 'LTL_NET GRADIENT OF CLIMB'!AC55*(125/(125-50%*ABS(C24))),  'LTL_NET GRADIENT OF CLIMB'!AC55*(125/(125+150%*ABS(C24)))  )</f>
        <v>8.9740833333333327</v>
      </c>
      <c r="G42" s="40"/>
      <c r="I42" s="44"/>
    </row>
    <row r="43" spans="1:10" ht="15.75" customHeight="1">
      <c r="A43" s="15"/>
      <c r="B43" s="70" t="s">
        <v>71</v>
      </c>
      <c r="C43" s="287" t="str">
        <f ca="1">IF(C42&gt;G19,"", "Check jeppessen climb requriment")</f>
        <v/>
      </c>
      <c r="D43" s="287"/>
      <c r="E43" s="287"/>
      <c r="G43" s="40"/>
      <c r="I43" s="44"/>
    </row>
    <row r="44" spans="1:10" ht="15.75" customHeight="1">
      <c r="A44" s="15"/>
      <c r="B44" s="285" t="s">
        <v>72</v>
      </c>
      <c r="C44" s="285"/>
      <c r="D44" s="285"/>
      <c r="E44" s="285"/>
      <c r="F44" s="285"/>
      <c r="G44" s="285"/>
      <c r="I44" s="44"/>
    </row>
    <row r="45" spans="1:10" ht="15.75" customHeight="1">
      <c r="A45" s="15"/>
      <c r="B45" s="67" t="s">
        <v>73</v>
      </c>
      <c r="C45" s="71">
        <f>'LTL_LDG Performance'!K21</f>
        <v>103</v>
      </c>
      <c r="D45" s="72"/>
      <c r="F45" s="73"/>
      <c r="G45" s="74">
        <f>'LTL_LDG Performance'!I21</f>
        <v>80</v>
      </c>
      <c r="I45" s="44"/>
    </row>
    <row r="46" spans="1:10" ht="15.75" customHeight="1">
      <c r="A46" s="15"/>
      <c r="B46" s="75" t="s">
        <v>74</v>
      </c>
      <c r="C46" s="76">
        <f ca="1">('LTL_LDG Performance'!D88/3.28)*'LTL_LDG Performance'!C55</f>
        <v>1497.2024390243905</v>
      </c>
      <c r="D46" s="77"/>
      <c r="E46" s="78"/>
      <c r="F46" s="79"/>
      <c r="G46" s="80">
        <f ca="1">'LTL_LDG Performance'!C54</f>
        <v>880.70731707317088</v>
      </c>
      <c r="I46" s="44"/>
    </row>
    <row r="47" spans="1:10" ht="15.75" customHeight="1">
      <c r="I47" s="44"/>
    </row>
    <row r="48" spans="1:10" ht="15.75" customHeight="1">
      <c r="B48" s="38"/>
      <c r="F48" s="73"/>
      <c r="G48" s="73"/>
      <c r="I48" s="44"/>
    </row>
    <row r="49" spans="2:9" ht="15.75" customHeight="1">
      <c r="B49" s="38"/>
      <c r="F49" s="73"/>
      <c r="G49" s="73"/>
      <c r="I49" s="44"/>
    </row>
    <row r="50" spans="2:9" ht="15.75" customHeight="1">
      <c r="B50" s="38"/>
      <c r="F50" s="73"/>
      <c r="G50" s="73"/>
      <c r="I50" s="44"/>
    </row>
    <row r="51" spans="2:9" ht="15.75" customHeight="1">
      <c r="B51" s="38"/>
      <c r="F51" s="73"/>
      <c r="G51" s="73"/>
    </row>
    <row r="52" spans="2:9" ht="15.75" customHeight="1">
      <c r="B52" s="38"/>
      <c r="F52" s="73"/>
      <c r="G52" s="73"/>
    </row>
    <row r="53" spans="2:9" ht="15.75" customHeight="1">
      <c r="B53" s="38"/>
      <c r="F53" s="73"/>
      <c r="G53" s="73"/>
    </row>
    <row r="54" spans="2:9" ht="15.75" customHeight="1">
      <c r="C54" t="s">
        <v>75</v>
      </c>
      <c r="D54" s="73"/>
    </row>
    <row r="55" spans="2:9" ht="15" customHeight="1">
      <c r="B55" s="44" t="str">
        <f>'Take-off'!$B19</f>
        <v>ASDA:</v>
      </c>
      <c r="C55" s="44">
        <f>'Take-off'!$C19</f>
        <v>1990</v>
      </c>
    </row>
    <row r="56" spans="2:9" ht="15" customHeight="1">
      <c r="B56" s="44" t="str">
        <f>'Take-off'!$B20</f>
        <v>TORA:</v>
      </c>
      <c r="C56" s="44">
        <f>'Take-off'!$C20</f>
        <v>1990</v>
      </c>
    </row>
    <row r="57" spans="2:9" ht="15" customHeight="1">
      <c r="B57" s="44" t="str">
        <f>'Take-off'!$B21</f>
        <v>TODA:</v>
      </c>
      <c r="C57" s="44">
        <f>'Take-off'!$C21</f>
        <v>1990</v>
      </c>
    </row>
    <row r="58" spans="2:9" ht="15" customHeight="1">
      <c r="B58" t="str">
        <f t="shared" ref="B58:C60" si="0">B35</f>
        <v>Ground Roll [m]</v>
      </c>
      <c r="C58" s="44">
        <f t="shared" ca="1" si="0"/>
        <v>437.00365853658542</v>
      </c>
    </row>
    <row r="59" spans="2:9" ht="15" customHeight="1">
      <c r="B59" t="str">
        <f t="shared" si="0"/>
        <v>Take off distance [m]</v>
      </c>
      <c r="C59" s="44">
        <f t="shared" ca="1" si="0"/>
        <v>652.43902439024396</v>
      </c>
    </row>
    <row r="60" spans="2:9" ht="15.75" customHeight="1">
      <c r="B60" t="str">
        <f t="shared" si="0"/>
        <v>Accelerade &amp; STOP [m]</v>
      </c>
      <c r="C60" s="44">
        <f t="shared" ca="1" si="0"/>
        <v>903.62804878048792</v>
      </c>
    </row>
    <row r="61" spans="2:9" ht="15.75" customHeight="1"/>
    <row r="62" spans="2:9" ht="15.75" customHeight="1"/>
    <row r="63" spans="2:9" ht="15.75" customHeight="1"/>
    <row r="64" spans="2:9" ht="15.75" customHeight="1"/>
    <row r="65" spans="2:7" ht="15.75" customHeight="1"/>
    <row r="66" spans="2:7" ht="15.75" customHeight="1"/>
    <row r="67" spans="2:7" ht="15.75" customHeight="1"/>
    <row r="68" spans="2:7" ht="15.75" customHeight="1">
      <c r="B68" s="285" t="s">
        <v>76</v>
      </c>
      <c r="C68" s="285"/>
      <c r="D68" s="285"/>
      <c r="E68" s="285"/>
      <c r="F68" s="285"/>
      <c r="G68" s="285"/>
    </row>
    <row r="69" spans="2:7" ht="15.75" customHeight="1">
      <c r="B69" s="52" t="s">
        <v>77</v>
      </c>
      <c r="C69" s="44">
        <f>_xlfn.XLOOKUP( $C$4, 'Airport data'!$A$5:$A1006,  'Airport data'!$K$5:$K1006)</f>
        <v>0</v>
      </c>
      <c r="D69" t="s">
        <v>33</v>
      </c>
      <c r="G69" s="40"/>
    </row>
    <row r="70" spans="2:7" ht="15.75" customHeight="1">
      <c r="B70" s="52" t="s">
        <v>78</v>
      </c>
      <c r="C70" s="44">
        <f>_xlfn.XLOOKUP( $C$4, 'Airport data'!$A$5:$A1006,  'Airport data'!$L$5:$L1006)</f>
        <v>0</v>
      </c>
      <c r="D70" s="81"/>
      <c r="E70" s="81"/>
      <c r="F70" s="81"/>
      <c r="G70" s="82"/>
    </row>
    <row r="71" spans="2:7" ht="15.75" customHeight="1">
      <c r="B71" s="83"/>
      <c r="C71" s="84"/>
      <c r="D71" s="85"/>
      <c r="E71" s="85"/>
      <c r="F71" s="85"/>
      <c r="G71" s="86"/>
    </row>
    <row r="72" spans="2:7" ht="15.75" customHeight="1">
      <c r="B72" s="83"/>
      <c r="C72" s="87"/>
      <c r="D72" s="88"/>
      <c r="E72" s="88"/>
      <c r="F72" s="88"/>
      <c r="G72" s="89"/>
    </row>
    <row r="73" spans="2:7" ht="15.75" customHeight="1">
      <c r="B73" s="90"/>
      <c r="C73" s="78"/>
      <c r="D73" s="78"/>
      <c r="E73" s="78"/>
      <c r="F73" s="78"/>
      <c r="G73" s="91"/>
    </row>
    <row r="74" spans="2:7" ht="15.75" customHeight="1"/>
    <row r="75" spans="2:7" ht="15.75" customHeight="1"/>
    <row r="76" spans="2:7" ht="15.75" customHeight="1"/>
    <row r="77" spans="2:7" ht="15.75" customHeight="1"/>
    <row r="78" spans="2:7" ht="15.75" customHeight="1"/>
    <row r="79" spans="2:7" ht="15.75" customHeight="1"/>
    <row r="80" spans="2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3">
    <mergeCell ref="C43:E43"/>
    <mergeCell ref="B44:G44"/>
    <mergeCell ref="B68:G68"/>
    <mergeCell ref="C23:G23"/>
    <mergeCell ref="B27:G27"/>
    <mergeCell ref="I27:J33"/>
    <mergeCell ref="B34:G34"/>
    <mergeCell ref="B41:G41"/>
    <mergeCell ref="I11:J12"/>
    <mergeCell ref="I13:L14"/>
    <mergeCell ref="C15:G15"/>
    <mergeCell ref="E17:G17"/>
    <mergeCell ref="E19:F19"/>
    <mergeCell ref="F8:F9"/>
    <mergeCell ref="G8:G9"/>
    <mergeCell ref="E10:E11"/>
    <mergeCell ref="F10:F11"/>
    <mergeCell ref="G10:G11"/>
    <mergeCell ref="B1:G1"/>
    <mergeCell ref="B3:E3"/>
    <mergeCell ref="C4:F4"/>
    <mergeCell ref="C5:G5"/>
    <mergeCell ref="F6:G7"/>
  </mergeCells>
  <conditionalFormatting sqref="C5">
    <cfRule type="expression" dxfId="52" priority="16">
      <formula>AND(LEN(C5)&gt;=4, LEFT(C5, 4) &lt;&gt; LEFT(C4, 4))</formula>
    </cfRule>
  </conditionalFormatting>
  <conditionalFormatting sqref="C6:C9">
    <cfRule type="expression" dxfId="51" priority="8">
      <formula>E6&lt;&gt;""</formula>
    </cfRule>
  </conditionalFormatting>
  <conditionalFormatting sqref="C24">
    <cfRule type="cellIs" dxfId="50" priority="15" operator="lessThan">
      <formula>-10</formula>
    </cfRule>
  </conditionalFormatting>
  <conditionalFormatting sqref="C25">
    <cfRule type="cellIs" dxfId="49" priority="14" operator="greaterThan">
      <formula>F25</formula>
    </cfRule>
  </conditionalFormatting>
  <conditionalFormatting sqref="C28">
    <cfRule type="cellIs" dxfId="48" priority="18" operator="greaterThan">
      <formula>C20</formula>
    </cfRule>
  </conditionalFormatting>
  <conditionalFormatting sqref="C28:C29">
    <cfRule type="cellIs" dxfId="47" priority="17" operator="lessThanOrEqual">
      <formula>C20</formula>
    </cfRule>
  </conditionalFormatting>
  <conditionalFormatting sqref="C29">
    <cfRule type="cellIs" dxfId="46" priority="20" operator="greaterThan">
      <formula>"C21"</formula>
    </cfRule>
  </conditionalFormatting>
  <conditionalFormatting sqref="C30">
    <cfRule type="cellIs" dxfId="45" priority="21" operator="lessThanOrEqual">
      <formula>C19</formula>
    </cfRule>
    <cfRule type="cellIs" dxfId="44" priority="22" operator="greaterThan">
      <formula>C19</formula>
    </cfRule>
  </conditionalFormatting>
  <conditionalFormatting sqref="C37">
    <cfRule type="cellIs" dxfId="43" priority="27" operator="lessThanOrEqual">
      <formula>C19</formula>
    </cfRule>
    <cfRule type="cellIs" dxfId="42" priority="28" operator="greaterThan">
      <formula>C19</formula>
    </cfRule>
  </conditionalFormatting>
  <conditionalFormatting sqref="C42">
    <cfRule type="cellIs" dxfId="41" priority="2" operator="lessThan">
      <formula>3.3</formula>
    </cfRule>
    <cfRule type="cellIs" dxfId="40" priority="3" operator="greaterThanOrEqual">
      <formula>$G$19</formula>
    </cfRule>
  </conditionalFormatting>
  <conditionalFormatting sqref="C43">
    <cfRule type="expression" dxfId="39" priority="4">
      <formula>LEN(TRIM(C43))&gt;0</formula>
    </cfRule>
  </conditionalFormatting>
  <conditionalFormatting sqref="C46 F46:G46">
    <cfRule type="cellIs" dxfId="38" priority="6" operator="greaterThan">
      <formula>$C$22</formula>
    </cfRule>
    <cfRule type="cellIs" dxfId="37" priority="7" operator="lessThan">
      <formula>$C$22</formula>
    </cfRule>
  </conditionalFormatting>
  <conditionalFormatting sqref="E6:E9">
    <cfRule type="expression" dxfId="36" priority="9">
      <formula>LEN(TRIM(E6))&gt;0</formula>
    </cfRule>
  </conditionalFormatting>
  <conditionalFormatting sqref="E28:E29">
    <cfRule type="cellIs" dxfId="35" priority="29" operator="lessThanOrEqual">
      <formula>C20</formula>
    </cfRule>
    <cfRule type="cellIs" dxfId="34" priority="30" operator="greaterThan">
      <formula>C20</formula>
    </cfRule>
  </conditionalFormatting>
  <conditionalFormatting sqref="E30">
    <cfRule type="cellIs" dxfId="33" priority="33" operator="greaterThan">
      <formula>C19</formula>
    </cfRule>
    <cfRule type="cellIs" dxfId="32" priority="34" operator="lessThanOrEqual">
      <formula>C19</formula>
    </cfRule>
  </conditionalFormatting>
  <conditionalFormatting sqref="E35">
    <cfRule type="cellIs" dxfId="31" priority="35" operator="lessThanOrEqual">
      <formula>C20</formula>
    </cfRule>
  </conditionalFormatting>
  <conditionalFormatting sqref="E35:E36">
    <cfRule type="cellIs" dxfId="30" priority="36" operator="greaterThan">
      <formula>C20</formula>
    </cfRule>
  </conditionalFormatting>
  <conditionalFormatting sqref="E36">
    <cfRule type="cellIs" dxfId="29" priority="38" operator="lessThanOrEqual">
      <formula>C21</formula>
    </cfRule>
  </conditionalFormatting>
  <conditionalFormatting sqref="E37">
    <cfRule type="cellIs" dxfId="28" priority="39" operator="greaterThan">
      <formula>C19</formula>
    </cfRule>
    <cfRule type="cellIs" dxfId="27" priority="40" operator="lessThanOrEqual">
      <formula>C19</formula>
    </cfRule>
  </conditionalFormatting>
  <conditionalFormatting sqref="F8:F9">
    <cfRule type="expression" dxfId="26" priority="10">
      <formula>E6&lt;&gt;""</formula>
    </cfRule>
    <cfRule type="expression" dxfId="25" priority="11">
      <formula>E7&lt;&gt;""</formula>
    </cfRule>
    <cfRule type="expression" dxfId="24" priority="12">
      <formula>E8&lt;&gt;""</formula>
    </cfRule>
    <cfRule type="expression" dxfId="23" priority="13">
      <formula>E9&lt;&gt;""</formula>
    </cfRule>
  </conditionalFormatting>
  <conditionalFormatting sqref="F6:G6">
    <cfRule type="expression" dxfId="22" priority="5">
      <formula>LEN(TRIM(F6))&gt;0</formula>
    </cfRule>
  </conditionalFormatting>
  <conditionalFormatting sqref="I35 C35:C36">
    <cfRule type="cellIs" dxfId="21" priority="23" operator="lessThanOrEqual">
      <formula>C20</formula>
    </cfRule>
    <cfRule type="cellIs" dxfId="20" priority="24" operator="greaterThan">
      <formula>C20</formula>
    </cfRule>
  </conditionalFormatting>
  <dataValidations count="1">
    <dataValidation type="list" allowBlank="1" showErrorMessage="1" sqref="F2" xr:uid="{00000000-0002-0000-0000-000000000000}">
      <formula1>"SE-LTL,SE-KVL,SE-MJU"</formula1>
      <formula2>0</formula2>
    </dataValidation>
  </dataValidations>
  <printOptions horizontalCentered="1" verticalCentered="1"/>
  <pageMargins left="0.39374999999999999" right="0.39374999999999999" top="0.59027777777777801" bottom="0.5902777777777780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1000000}">
          <x14:formula1>
            <xm:f>'Airport data'!$A$5:$A$44</xm:f>
          </x14:formula1>
          <x14:formula2>
            <xm:f>0</xm:f>
          </x14:formula2>
          <xm:sqref>C4</xm:sqref>
        </x14:dataValidation>
        <x14:dataValidation type="list" allowBlank="1" showErrorMessage="1" xr:uid="{00000000-0002-0000-0000-000002000000}">
          <x14:formula1>
            <xm:f>'Dropdown lists'!$B$30:$B$31</xm:f>
          </x14:formula1>
          <x14:formula2>
            <xm:f>0</xm:f>
          </x14:formula2>
          <xm:sqref>C13</xm:sqref>
        </x14:dataValidation>
        <x14:dataValidation type="list" allowBlank="1" showErrorMessage="1" xr:uid="{00000000-0002-0000-0000-000003000000}">
          <x14:formula1>
            <xm:f>'Dropdown lists'!$B$4:$B$9</xm:f>
          </x14:formula1>
          <x14:formula2>
            <xm:f>0</xm:f>
          </x14:formula2>
          <xm:sqref>C10</xm:sqref>
        </x14:dataValidation>
        <x14:dataValidation type="list" allowBlank="1" showErrorMessage="1" xr:uid="{00000000-0002-0000-0000-000004000000}">
          <x14:formula1>
            <xm:f>'Dropdown lists'!$B$34:$B$40</xm:f>
          </x14:formula1>
          <x14:formula2>
            <xm:f>0</xm:f>
          </x14:formula2>
          <xm:sqref>C11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2:I1003"/>
  <sheetViews>
    <sheetView showGridLines="0" zoomScaleNormal="100" workbookViewId="0">
      <selection activeCell="C4" activeCellId="1" sqref="K6:L6 C4"/>
    </sheetView>
  </sheetViews>
  <sheetFormatPr defaultColWidth="14.44140625" defaultRowHeight="15" customHeight="1"/>
  <cols>
    <col min="1" max="1" width="4.44140625" customWidth="1"/>
    <col min="2" max="2" width="27" customWidth="1"/>
    <col min="3" max="3" width="16" customWidth="1"/>
    <col min="4" max="4" width="4.44140625" customWidth="1"/>
    <col min="5" max="5" width="9" customWidth="1"/>
    <col min="6" max="6" width="15.33203125" customWidth="1"/>
    <col min="7" max="7" width="9" customWidth="1"/>
    <col min="9" max="9" width="4.88671875" customWidth="1"/>
  </cols>
  <sheetData>
    <row r="2" spans="2:9" ht="18">
      <c r="B2" s="288" t="s">
        <v>79</v>
      </c>
      <c r="C2" s="288"/>
      <c r="D2" s="288"/>
      <c r="E2" s="288"/>
      <c r="F2" s="288"/>
      <c r="G2" s="19" t="s">
        <v>2</v>
      </c>
    </row>
    <row r="3" spans="2:9" ht="14.4">
      <c r="B3" s="6" t="s">
        <v>80</v>
      </c>
      <c r="C3" s="6"/>
      <c r="D3" s="6"/>
      <c r="E3" s="6"/>
      <c r="F3" s="6"/>
      <c r="G3" s="21" t="s">
        <v>81</v>
      </c>
    </row>
    <row r="4" spans="2:9" ht="52.5" customHeight="1">
      <c r="B4" s="22" t="s">
        <v>4</v>
      </c>
      <c r="C4" s="289" t="s">
        <v>5</v>
      </c>
      <c r="D4" s="289"/>
      <c r="E4" s="289"/>
      <c r="F4" s="289"/>
      <c r="G4" s="289"/>
    </row>
    <row r="5" spans="2:9" ht="30.75" customHeight="1">
      <c r="B5" s="24"/>
      <c r="C5" s="4" t="s">
        <v>82</v>
      </c>
      <c r="D5" s="4"/>
      <c r="E5" s="4"/>
      <c r="F5" s="4"/>
      <c r="G5" s="4"/>
    </row>
    <row r="6" spans="2:9" ht="14.4">
      <c r="B6" s="24" t="s">
        <v>7</v>
      </c>
      <c r="C6" s="28">
        <f ca="1">IFERROR(__xludf.dummyfunction("IF(E6&lt;&gt;"""", E6, IF($G$8, E6, IFERROR(IF(REGEXMATCH(C5, ""\bVRB""), ""000"", VALUE(REGEXEXTRACT(C5, ""\b(\d{3})\d{2,3}(?:G\d{2,3})?(?:KT|MPS)\b""))), ""-"")))"),190)</f>
        <v>190</v>
      </c>
      <c r="D6" s="26" t="s">
        <v>8</v>
      </c>
      <c r="E6" s="27"/>
      <c r="F6" s="3" t="str">
        <f ca="1">IF(C21&lt;0, "Tailwind", "")</f>
        <v/>
      </c>
      <c r="G6" s="3"/>
    </row>
    <row r="7" spans="2:9" ht="14.4">
      <c r="B7" s="24" t="s">
        <v>9</v>
      </c>
      <c r="C7" s="28">
        <f ca="1">IFERROR(__xludf.dummyfunction("IF(E7&lt;&gt;"""", E7, IF($G$8, E7, IFERROR(VALUE(REGEXEXTRACT(C5, ""\b(?:\d{3}|VRB)(\d{2,3})(?:G\d{2,3})?(?:KT|MPS)\b"")), ""-"")))"),12)</f>
        <v>12</v>
      </c>
      <c r="D7" s="26" t="s">
        <v>10</v>
      </c>
      <c r="E7" s="27"/>
      <c r="F7" s="3"/>
      <c r="G7" s="3"/>
    </row>
    <row r="8" spans="2:9" ht="18" customHeight="1">
      <c r="B8" s="24" t="s">
        <v>11</v>
      </c>
      <c r="C8" s="28">
        <f ca="1">IFERROR(__xludf.dummyfunction("IF(E8&lt;&gt;"""", E8, IF($G$8, E8, IFERROR(VALUE(SUBSTITUTE(REGEXEXTRACT(C5, ""\b(M?\d{2})\/(?:M?\d{2})\b""), ""M"", ""-"")), ""-"")))"),13)</f>
        <v>13</v>
      </c>
      <c r="D8" s="26" t="s">
        <v>12</v>
      </c>
      <c r="E8" s="29"/>
      <c r="F8" s="2" t="s">
        <v>13</v>
      </c>
      <c r="G8" s="1" t="b">
        <f>FALSE()</f>
        <v>0</v>
      </c>
    </row>
    <row r="9" spans="2:9" ht="14.4">
      <c r="B9" s="24" t="s">
        <v>14</v>
      </c>
      <c r="C9" s="28">
        <f ca="1">IFERROR(__xludf.dummyfunction("IF(E9&lt;&gt;"""", E9, IF($G$8, E9, IFERROR(VALUE(REGEXEXTRACT(C5, ""\bQ(\d{4})\b"")), ""-"")))"),986)</f>
        <v>986</v>
      </c>
      <c r="D9" s="26" t="s">
        <v>15</v>
      </c>
      <c r="E9" s="29"/>
      <c r="F9" s="2"/>
      <c r="G9" s="1"/>
      <c r="I9" s="92"/>
    </row>
    <row r="10" spans="2:9" ht="22.5" customHeight="1">
      <c r="B10" s="24" t="s">
        <v>16</v>
      </c>
      <c r="C10" s="93">
        <v>6</v>
      </c>
      <c r="D10" s="32"/>
      <c r="E10" s="290" t="s">
        <v>83</v>
      </c>
      <c r="F10" s="278" t="s">
        <v>18</v>
      </c>
      <c r="G10" s="279" t="b">
        <f>FALSE()</f>
        <v>0</v>
      </c>
    </row>
    <row r="11" spans="2:9" ht="22.5" customHeight="1">
      <c r="B11" s="24" t="s">
        <v>84</v>
      </c>
      <c r="C11" s="93">
        <v>12500</v>
      </c>
      <c r="D11" s="32" t="s">
        <v>29</v>
      </c>
      <c r="E11" s="290"/>
      <c r="F11" s="290"/>
      <c r="G11" s="279"/>
    </row>
    <row r="12" spans="2:9" ht="14.4">
      <c r="B12" s="38" t="s">
        <v>85</v>
      </c>
      <c r="C12" s="28">
        <v>12500</v>
      </c>
      <c r="D12" t="s">
        <v>29</v>
      </c>
      <c r="E12" s="290"/>
      <c r="G12" s="40"/>
    </row>
    <row r="13" spans="2:9" ht="14.4">
      <c r="B13" s="24"/>
      <c r="D13" s="32"/>
      <c r="E13" s="290"/>
      <c r="G13" s="40"/>
    </row>
    <row r="14" spans="2:9" ht="14.4">
      <c r="B14" s="43" t="s">
        <v>86</v>
      </c>
      <c r="C14" s="291" t="str">
        <f>IF(C11&gt;C12, "Overweight landning","")</f>
        <v/>
      </c>
      <c r="D14" s="291"/>
      <c r="E14" s="291"/>
      <c r="F14" s="291"/>
      <c r="G14" s="291"/>
    </row>
    <row r="15" spans="2:9" ht="14.4">
      <c r="B15" s="24" t="s">
        <v>87</v>
      </c>
      <c r="C15" s="44">
        <f t="array" ref="C15">_xlfn.XLOOKUP($C$4,'Airport data'!$A$5:$A1003,'Airport data'!$B$5:$B1003)</f>
        <v>200</v>
      </c>
      <c r="D15" s="32" t="s">
        <v>33</v>
      </c>
      <c r="G15" s="40"/>
    </row>
    <row r="16" spans="2:9" ht="14.4">
      <c r="B16" s="24" t="s">
        <v>34</v>
      </c>
      <c r="C16" s="45">
        <f t="array" ref="C16">_xlfn.XLOOKUP($C$4,'Airport data'!$A$5:$A1003,'Airport data'!$G$5:$G1003)</f>
        <v>0</v>
      </c>
      <c r="D16" s="32" t="s">
        <v>35</v>
      </c>
      <c r="E16" s="32"/>
      <c r="F16" s="283" t="s">
        <v>36</v>
      </c>
      <c r="G16" s="283"/>
    </row>
    <row r="17" spans="2:9" ht="14.4">
      <c r="B17" s="24" t="s">
        <v>37</v>
      </c>
      <c r="C17" s="44">
        <f t="array" ref="C17">_xlfn.XLOOKUP($C$4,'Airport data'!$A$5:$A1003,'Airport data'!$H$5:$H1003)</f>
        <v>120</v>
      </c>
      <c r="D17" s="32" t="s">
        <v>8</v>
      </c>
      <c r="G17" s="40"/>
    </row>
    <row r="18" spans="2:9" ht="14.4">
      <c r="B18" s="24" t="s">
        <v>45</v>
      </c>
      <c r="C18" s="44">
        <f t="array" ref="C18">_xlfn.XLOOKUP($C$4,'Airport data'!$A$5:$A1003,'Airport data'!$F$5:$F1003)</f>
        <v>2000</v>
      </c>
      <c r="D18" s="32" t="s">
        <v>39</v>
      </c>
      <c r="G18" s="40"/>
    </row>
    <row r="19" spans="2:9" ht="14.4">
      <c r="B19" s="50" t="s">
        <v>47</v>
      </c>
      <c r="C19" s="94"/>
      <c r="D19" s="94"/>
      <c r="E19" s="94"/>
      <c r="F19" s="94"/>
      <c r="G19" s="95"/>
      <c r="I19" s="45"/>
    </row>
    <row r="20" spans="2:9" ht="14.4">
      <c r="B20" s="24" t="s">
        <v>88</v>
      </c>
      <c r="C20" s="45">
        <f t="array" ref="C20">_xlfn.XLOOKUP(C10,'Dropdown lists'!$B$4:$B$9,'Dropdown lists'!$C$4:$C$9)</f>
        <v>1.67</v>
      </c>
      <c r="D20" s="32"/>
      <c r="G20" s="40"/>
      <c r="I20" s="44"/>
    </row>
    <row r="21" spans="2:9" ht="14.4">
      <c r="B21" s="24" t="s">
        <v>49</v>
      </c>
      <c r="C21" s="96">
        <f ca="1">'LTL_LDG Performance'!D32</f>
        <v>4.1042417199080257</v>
      </c>
      <c r="D21" s="32" t="s">
        <v>50</v>
      </c>
      <c r="E21" s="72"/>
      <c r="F21" s="72"/>
      <c r="G21" s="40"/>
      <c r="I21" s="44"/>
    </row>
    <row r="22" spans="2:9" ht="14.4">
      <c r="B22" s="24" t="s">
        <v>52</v>
      </c>
      <c r="C22" s="96">
        <f ca="1">ABS('LTL_LDG Performance'!C37*C7)</f>
        <v>11.276311449430899</v>
      </c>
      <c r="D22" s="32" t="s">
        <v>50</v>
      </c>
      <c r="E22" s="72"/>
      <c r="F22" s="72" t="s">
        <v>53</v>
      </c>
      <c r="G22" s="49">
        <f t="array" ref="G22">_xlfn.XLOOKUP(C10,'Dropdown lists'!$B$4:$B$9,'Dropdown lists'!$E$4:$E$9)</f>
        <v>25</v>
      </c>
    </row>
    <row r="23" spans="2:9" ht="14.4">
      <c r="B23" s="97"/>
      <c r="C23" s="98"/>
      <c r="D23" s="98"/>
      <c r="E23" s="99"/>
      <c r="F23" s="99"/>
      <c r="G23" s="100"/>
    </row>
    <row r="24" spans="2:9" ht="15.75" customHeight="1">
      <c r="B24" s="54" t="s">
        <v>54</v>
      </c>
      <c r="C24" s="55" t="s">
        <v>55</v>
      </c>
      <c r="D24" s="55" t="s">
        <v>56</v>
      </c>
      <c r="E24" s="56"/>
      <c r="F24" s="56" t="s">
        <v>57</v>
      </c>
      <c r="G24" s="57" t="s">
        <v>58</v>
      </c>
    </row>
    <row r="25" spans="2:9" ht="15.75" customHeight="1">
      <c r="B25" s="292" t="s">
        <v>89</v>
      </c>
      <c r="C25" s="292"/>
      <c r="D25" s="292"/>
      <c r="E25" s="292"/>
      <c r="F25" s="292"/>
      <c r="G25" s="292"/>
      <c r="I25" s="44"/>
    </row>
    <row r="26" spans="2:9" ht="15.75" customHeight="1">
      <c r="B26" s="63" t="s">
        <v>73</v>
      </c>
      <c r="C26" s="101">
        <f>'LTL_LDG Performance'!M21</f>
        <v>121</v>
      </c>
      <c r="D26" s="102"/>
      <c r="G26" s="103">
        <f>'LTL_LDG Performance'!E21</f>
        <v>97</v>
      </c>
    </row>
    <row r="27" spans="2:9" ht="15.75" customHeight="1">
      <c r="B27" s="63" t="s">
        <v>90</v>
      </c>
      <c r="C27" s="104">
        <f ca="1">('LTL_LDG Performance'!B88/3.28)*Landing!C20</f>
        <v>2109.4949776408639</v>
      </c>
      <c r="D27" s="33"/>
      <c r="G27" s="103">
        <f ca="1">'LTL_Landing distance data'!C104*C20</f>
        <v>1240.879398612273</v>
      </c>
    </row>
    <row r="28" spans="2:9" ht="15.75" customHeight="1">
      <c r="B28" s="293" t="s">
        <v>91</v>
      </c>
      <c r="C28" s="293"/>
      <c r="D28" s="33"/>
      <c r="G28" s="105"/>
    </row>
    <row r="29" spans="2:9" ht="15.75" customHeight="1">
      <c r="B29" s="106"/>
      <c r="C29" s="294" t="str">
        <f>IF(ISBLANK(C10), "Dry &amp; Unfactored *1,67", "" )</f>
        <v/>
      </c>
      <c r="D29" s="294"/>
      <c r="E29" s="294"/>
      <c r="F29" s="294"/>
      <c r="G29" s="294"/>
    </row>
    <row r="30" spans="2:9" ht="15.75" customHeight="1">
      <c r="B30" s="285" t="s">
        <v>92</v>
      </c>
      <c r="C30" s="285"/>
      <c r="D30" s="285"/>
      <c r="E30" s="285"/>
      <c r="F30" s="285"/>
      <c r="G30" s="285"/>
    </row>
    <row r="31" spans="2:9" ht="15.75" customHeight="1">
      <c r="B31" s="107" t="s">
        <v>93</v>
      </c>
      <c r="C31" s="108">
        <f ca="1">IF( C21&gt;0, 'LTL_OEI CLIMB GRADIENT'!P47*(125/(125+50%*C21)), 'LTL_OEI CLIMB GRADIENT'!P47*(125/(125-150%*C21)) )</f>
        <v>4.4647031168040368</v>
      </c>
      <c r="D31" s="295" t="s">
        <v>71</v>
      </c>
      <c r="E31" s="295"/>
      <c r="F31" s="295"/>
      <c r="G31" s="109"/>
    </row>
    <row r="32" spans="2:9" ht="15.75" customHeight="1"/>
    <row r="33" spans="2:4" ht="15.75" customHeight="1"/>
    <row r="34" spans="2:4" ht="15.75" customHeight="1"/>
    <row r="35" spans="2:4" ht="15" customHeight="1">
      <c r="C35" t="s">
        <v>75</v>
      </c>
      <c r="D35" t="s">
        <v>94</v>
      </c>
    </row>
    <row r="36" spans="2:4" ht="15" customHeight="1">
      <c r="B36" t="s">
        <v>95</v>
      </c>
      <c r="C36" s="44">
        <f>Landing!$C$18</f>
        <v>2000</v>
      </c>
      <c r="D36" s="44">
        <f>Landing!$C$18</f>
        <v>2000</v>
      </c>
    </row>
    <row r="37" spans="2:4" ht="15" customHeight="1">
      <c r="B37" t="s">
        <v>96</v>
      </c>
      <c r="C37" s="44">
        <f ca="1">C27</f>
        <v>2109.4949776408639</v>
      </c>
      <c r="D37" s="44">
        <f ca="1">G27</f>
        <v>1240.879398612273</v>
      </c>
    </row>
    <row r="38" spans="2:4" ht="15.75" customHeight="1"/>
    <row r="39" spans="2:4" ht="15.75" customHeight="1"/>
    <row r="40" spans="2:4" ht="15.75" customHeight="1"/>
    <row r="41" spans="2:4" ht="15.75" customHeight="1"/>
    <row r="42" spans="2:4" ht="15.75" customHeight="1"/>
    <row r="43" spans="2:4" ht="15.75" customHeight="1"/>
    <row r="44" spans="2:4" ht="15.75" customHeight="1"/>
    <row r="45" spans="2:4" ht="15.75" customHeight="1"/>
    <row r="46" spans="2:4" ht="15.75" customHeight="1"/>
    <row r="47" spans="2:4" ht="15.75" customHeight="1"/>
    <row r="48" spans="2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7">
    <mergeCell ref="B30:G30"/>
    <mergeCell ref="D31:F31"/>
    <mergeCell ref="C14:G14"/>
    <mergeCell ref="F16:G16"/>
    <mergeCell ref="B25:G25"/>
    <mergeCell ref="B28:C28"/>
    <mergeCell ref="C29:G29"/>
    <mergeCell ref="F8:F9"/>
    <mergeCell ref="G8:G9"/>
    <mergeCell ref="E10:E13"/>
    <mergeCell ref="F10:F11"/>
    <mergeCell ref="G10:G11"/>
    <mergeCell ref="B2:F2"/>
    <mergeCell ref="B3:F3"/>
    <mergeCell ref="C4:G4"/>
    <mergeCell ref="C5:G5"/>
    <mergeCell ref="F6:G7"/>
  </mergeCells>
  <conditionalFormatting sqref="C6:C9">
    <cfRule type="expression" dxfId="19" priority="2">
      <formula>E6&lt;&gt;""</formula>
    </cfRule>
    <cfRule type="expression" dxfId="18" priority="3">
      <formula>$G$8=1</formula>
    </cfRule>
  </conditionalFormatting>
  <conditionalFormatting sqref="C19 C29">
    <cfRule type="expression" dxfId="17" priority="10">
      <formula>LEN(TRIM(C19))&gt;0</formula>
    </cfRule>
  </conditionalFormatting>
  <conditionalFormatting sqref="C21">
    <cfRule type="cellIs" dxfId="16" priority="20" operator="lessThan">
      <formula>-10</formula>
    </cfRule>
  </conditionalFormatting>
  <conditionalFormatting sqref="C22">
    <cfRule type="cellIs" dxfId="15" priority="19" operator="greaterThan">
      <formula>G22</formula>
    </cfRule>
  </conditionalFormatting>
  <conditionalFormatting sqref="C23:C24">
    <cfRule type="cellIs" dxfId="14" priority="11" operator="lessThan">
      <formula>$C$19</formula>
    </cfRule>
  </conditionalFormatting>
  <conditionalFormatting sqref="C27 G27">
    <cfRule type="cellIs" dxfId="13" priority="12" operator="lessThanOrEqual">
      <formula>$C$18</formula>
    </cfRule>
  </conditionalFormatting>
  <conditionalFormatting sqref="C27">
    <cfRule type="cellIs" dxfId="12" priority="13" operator="greaterThan">
      <formula>$C$18</formula>
    </cfRule>
  </conditionalFormatting>
  <conditionalFormatting sqref="C31">
    <cfRule type="cellIs" dxfId="11" priority="14" operator="lessThan">
      <formula>2.5</formula>
    </cfRule>
  </conditionalFormatting>
  <conditionalFormatting sqref="C14:F14">
    <cfRule type="expression" dxfId="10" priority="15">
      <formula>LEN(TRIM(C14))&gt;0</formula>
    </cfRule>
  </conditionalFormatting>
  <conditionalFormatting sqref="C5:G5">
    <cfRule type="expression" dxfId="9" priority="21">
      <formula>AND(LEN(C5)&gt;=4, LEFT(C5, 4) &lt;&gt; LEFT(C4, 4))</formula>
    </cfRule>
  </conditionalFormatting>
  <conditionalFormatting sqref="E6:E9">
    <cfRule type="expression" dxfId="8" priority="4">
      <formula>LEN(TRIM(E6))&gt;0</formula>
    </cfRule>
    <cfRule type="expression" dxfId="7" priority="5">
      <formula>$G$8=1</formula>
    </cfRule>
  </conditionalFormatting>
  <conditionalFormatting sqref="F8:F9">
    <cfRule type="expression" dxfId="6" priority="6">
      <formula>E6&lt;&gt;""</formula>
    </cfRule>
    <cfRule type="expression" dxfId="5" priority="7">
      <formula>E7&lt;&gt;""</formula>
    </cfRule>
    <cfRule type="expression" dxfId="4" priority="8">
      <formula>E8&lt;&gt;""</formula>
    </cfRule>
    <cfRule type="expression" dxfId="3" priority="9">
      <formula>E9&lt;&gt;""</formula>
    </cfRule>
  </conditionalFormatting>
  <conditionalFormatting sqref="F6:G6">
    <cfRule type="expression" dxfId="2" priority="18">
      <formula>LEN(TRIM(F6))&gt;0</formula>
    </cfRule>
  </conditionalFormatting>
  <conditionalFormatting sqref="G27">
    <cfRule type="cellIs" dxfId="1" priority="16" operator="greaterThan">
      <formula>$C$18</formula>
    </cfRule>
  </conditionalFormatting>
  <conditionalFormatting sqref="J11:K13">
    <cfRule type="expression" dxfId="0" priority="17">
      <formula>LEN(TRIM(J11))&gt;0</formula>
    </cfRule>
  </conditionalFormatting>
  <pageMargins left="0" right="0" top="0" bottom="0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Ange ett värde från intervallet ='Airport data'!$A$5:$A$37" xr:uid="{00000000-0002-0000-0100-000000000000}">
          <x14:formula1>
            <xm:f>'Airport data'!$A$5:$A$43</xm:f>
          </x14:formula1>
          <x14:formula2>
            <xm:f>0</xm:f>
          </x14:formula2>
          <xm:sqref>C4</xm:sqref>
        </x14:dataValidation>
        <x14:dataValidation type="list" allowBlank="1" showErrorMessage="1" xr:uid="{00000000-0002-0000-0100-000001000000}">
          <x14:formula1>
            <xm:f>'Dropdown lists'!$B$4:$B$9</xm:f>
          </x14:formula1>
          <x14:formula2>
            <xm:f>0</xm:f>
          </x14:formula2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zoomScaleNormal="100" workbookViewId="0">
      <pane ySplit="4" topLeftCell="A5" activePane="bottomLeft" state="frozen"/>
      <selection activeCell="B1" sqref="B1"/>
      <selection pane="bottomLeft" activeCell="K6" sqref="K6:L6"/>
    </sheetView>
  </sheetViews>
  <sheetFormatPr defaultColWidth="14.44140625" defaultRowHeight="15" customHeight="1"/>
  <cols>
    <col min="1" max="2" width="20.109375" customWidth="1"/>
    <col min="3" max="3" width="11.6640625" customWidth="1"/>
    <col min="4" max="5" width="20.109375" customWidth="1"/>
    <col min="6" max="6" width="12.109375" customWidth="1"/>
    <col min="7" max="7" width="9.109375" customWidth="1"/>
    <col min="8" max="8" width="13.44140625" customWidth="1"/>
    <col min="9" max="9" width="17.44140625" customWidth="1"/>
    <col min="10" max="13" width="11.6640625" customWidth="1"/>
    <col min="14" max="14" width="30" customWidth="1"/>
    <col min="15" max="15" width="9.109375" customWidth="1"/>
    <col min="16" max="16" width="11" customWidth="1"/>
  </cols>
  <sheetData>
    <row r="1" spans="1:16" ht="14.25" customHeight="1">
      <c r="A1" s="14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2" t="s">
        <v>45</v>
      </c>
      <c r="G1" s="11" t="s">
        <v>102</v>
      </c>
      <c r="H1" s="11" t="s">
        <v>103</v>
      </c>
      <c r="I1" s="11" t="s">
        <v>104</v>
      </c>
      <c r="J1" s="10" t="s">
        <v>105</v>
      </c>
      <c r="K1" s="9" t="s">
        <v>106</v>
      </c>
      <c r="L1" s="9"/>
      <c r="M1" s="9"/>
    </row>
    <row r="2" spans="1:16" ht="14.25" customHeight="1">
      <c r="A2" s="14"/>
      <c r="B2" s="13"/>
      <c r="C2" s="13"/>
      <c r="D2" s="13"/>
      <c r="E2" s="13"/>
      <c r="F2" s="12"/>
      <c r="G2" s="12"/>
      <c r="H2" s="12"/>
      <c r="I2" s="12"/>
      <c r="J2" s="10"/>
      <c r="K2" s="110" t="s">
        <v>107</v>
      </c>
      <c r="L2" s="110" t="s">
        <v>108</v>
      </c>
      <c r="M2" s="110"/>
    </row>
    <row r="3" spans="1:16" ht="14.4">
      <c r="A3" s="14"/>
      <c r="B3" s="13"/>
      <c r="C3" s="13"/>
      <c r="D3" s="13"/>
      <c r="E3" s="13"/>
      <c r="F3" s="12"/>
      <c r="G3" s="12"/>
      <c r="H3" s="12"/>
      <c r="I3" s="12"/>
      <c r="J3" s="10"/>
      <c r="K3" s="110"/>
      <c r="L3" s="110"/>
      <c r="M3" s="110"/>
    </row>
    <row r="4" spans="1:16" ht="14.25" customHeight="1">
      <c r="A4" s="14"/>
      <c r="B4" s="111" t="s">
        <v>109</v>
      </c>
      <c r="C4" s="112" t="s">
        <v>110</v>
      </c>
      <c r="D4" s="112" t="s">
        <v>110</v>
      </c>
      <c r="E4" s="112" t="s">
        <v>110</v>
      </c>
      <c r="F4" s="112" t="s">
        <v>110</v>
      </c>
      <c r="G4" s="112" t="s">
        <v>111</v>
      </c>
      <c r="H4" s="112" t="s">
        <v>112</v>
      </c>
      <c r="I4" s="112" t="s">
        <v>111</v>
      </c>
      <c r="J4" s="113" t="s">
        <v>113</v>
      </c>
      <c r="K4" s="114"/>
      <c r="L4" s="114"/>
      <c r="M4" s="114"/>
    </row>
    <row r="5" spans="1:16" ht="14.25" customHeight="1">
      <c r="A5" s="115" t="s">
        <v>114</v>
      </c>
      <c r="B5" s="116" t="s">
        <v>115</v>
      </c>
      <c r="C5" s="116"/>
      <c r="D5" s="116" t="s">
        <v>115</v>
      </c>
      <c r="E5" s="116" t="s">
        <v>115</v>
      </c>
      <c r="F5" s="116" t="s">
        <v>115</v>
      </c>
      <c r="G5" s="116" t="s">
        <v>115</v>
      </c>
      <c r="H5" s="117" t="s">
        <v>115</v>
      </c>
      <c r="I5" s="117"/>
      <c r="J5" s="116" t="s">
        <v>115</v>
      </c>
      <c r="K5" s="114"/>
      <c r="L5" s="114"/>
      <c r="M5" s="114"/>
    </row>
    <row r="6" spans="1:16" ht="21" customHeight="1">
      <c r="A6" s="118" t="s">
        <v>5</v>
      </c>
      <c r="B6" s="119">
        <v>200</v>
      </c>
      <c r="C6" s="120">
        <v>2000</v>
      </c>
      <c r="D6" s="121">
        <v>2000</v>
      </c>
      <c r="E6" s="121">
        <v>2000</v>
      </c>
      <c r="F6" s="122">
        <v>2000</v>
      </c>
      <c r="G6" s="123">
        <v>0</v>
      </c>
      <c r="H6" s="122">
        <v>120</v>
      </c>
      <c r="I6" s="124">
        <v>3.3</v>
      </c>
      <c r="J6" s="125"/>
      <c r="K6" s="126"/>
      <c r="L6" s="126"/>
      <c r="M6" s="126"/>
      <c r="N6" s="8" t="s">
        <v>116</v>
      </c>
    </row>
    <row r="7" spans="1:16" ht="21" customHeight="1">
      <c r="A7" s="118"/>
      <c r="B7" s="127"/>
      <c r="C7" s="128"/>
      <c r="D7" s="127"/>
      <c r="E7" s="127"/>
      <c r="F7" s="127"/>
      <c r="G7" s="129"/>
      <c r="H7" s="127"/>
      <c r="I7" s="130"/>
      <c r="J7" s="131"/>
      <c r="K7" s="126"/>
      <c r="L7" s="126"/>
      <c r="M7" s="126"/>
      <c r="N7" s="8"/>
    </row>
    <row r="8" spans="1:16" ht="21" customHeight="1">
      <c r="A8" s="132"/>
      <c r="B8" s="132"/>
      <c r="C8" s="132"/>
      <c r="D8" s="132"/>
      <c r="E8" s="132"/>
      <c r="F8" s="132"/>
      <c r="G8" s="133"/>
      <c r="H8" s="132"/>
      <c r="I8" s="134"/>
      <c r="J8" s="135"/>
      <c r="K8" s="136"/>
      <c r="L8" s="136"/>
      <c r="M8" s="136"/>
    </row>
    <row r="9" spans="1:16" ht="21" customHeight="1">
      <c r="A9" s="132"/>
      <c r="B9" s="132"/>
      <c r="C9" s="132"/>
      <c r="D9" s="132"/>
      <c r="E9" s="132"/>
      <c r="F9" s="132"/>
      <c r="G9" s="132"/>
      <c r="H9" s="132"/>
      <c r="I9" s="134"/>
      <c r="J9" s="135"/>
      <c r="K9" s="136"/>
      <c r="L9" s="136"/>
      <c r="M9" s="136"/>
    </row>
    <row r="10" spans="1:16" ht="21" customHeight="1">
      <c r="A10" s="137"/>
      <c r="B10" s="132"/>
      <c r="C10" s="132"/>
      <c r="D10" s="132"/>
      <c r="E10" s="132"/>
      <c r="F10" s="132"/>
      <c r="G10" s="132"/>
      <c r="H10" s="132"/>
      <c r="I10" s="134"/>
      <c r="J10" s="135"/>
      <c r="K10" s="136"/>
      <c r="L10" s="136"/>
      <c r="M10" s="136"/>
      <c r="P10" t="s">
        <v>117</v>
      </c>
    </row>
    <row r="11" spans="1:16" ht="21" customHeight="1">
      <c r="A11" s="137"/>
      <c r="B11" s="132"/>
      <c r="C11" s="132"/>
      <c r="D11" s="132"/>
      <c r="E11" s="132"/>
      <c r="F11" s="132"/>
      <c r="G11" s="132"/>
      <c r="H11" s="132"/>
      <c r="I11" s="134"/>
      <c r="J11" s="135"/>
      <c r="K11" s="136"/>
      <c r="L11" s="136"/>
      <c r="M11" s="136"/>
    </row>
    <row r="12" spans="1:16" ht="21" customHeight="1">
      <c r="A12" s="138"/>
      <c r="B12" s="132"/>
      <c r="C12" s="132"/>
      <c r="D12" s="132"/>
      <c r="E12" s="132"/>
      <c r="F12" s="132"/>
      <c r="G12" s="132"/>
      <c r="H12" s="132"/>
      <c r="I12" s="134"/>
      <c r="J12" s="135"/>
      <c r="K12" s="136"/>
      <c r="L12" s="136"/>
      <c r="M12" s="136"/>
    </row>
    <row r="13" spans="1:16" ht="21" customHeight="1">
      <c r="A13" s="138"/>
      <c r="B13" s="132"/>
      <c r="C13" s="132"/>
      <c r="D13" s="132"/>
      <c r="E13" s="132"/>
      <c r="F13" s="132"/>
      <c r="G13" s="132"/>
      <c r="H13" s="132"/>
      <c r="I13" s="134"/>
      <c r="J13" s="135"/>
      <c r="K13" s="136"/>
      <c r="L13" s="136"/>
      <c r="M13" s="136"/>
    </row>
    <row r="14" spans="1:16" ht="21" customHeight="1">
      <c r="A14" s="138"/>
      <c r="B14" s="132"/>
      <c r="C14" s="132"/>
      <c r="D14" s="132"/>
      <c r="E14" s="132"/>
      <c r="F14" s="132"/>
      <c r="G14" s="132"/>
      <c r="H14" s="132"/>
      <c r="I14" s="134"/>
      <c r="J14" s="135"/>
      <c r="K14" s="136"/>
      <c r="L14" s="136"/>
      <c r="M14" s="136"/>
    </row>
    <row r="15" spans="1:16" ht="21" customHeight="1">
      <c r="A15" s="138"/>
      <c r="B15" s="132"/>
      <c r="C15" s="132"/>
      <c r="D15" s="132"/>
      <c r="E15" s="132"/>
      <c r="F15" s="132"/>
      <c r="G15" s="132"/>
      <c r="H15" s="132"/>
      <c r="I15" s="134"/>
      <c r="J15" s="135"/>
      <c r="K15" s="136"/>
      <c r="L15" s="136"/>
      <c r="M15" s="136"/>
    </row>
    <row r="16" spans="1:16" ht="21" customHeight="1">
      <c r="A16" s="139"/>
      <c r="B16" s="132"/>
      <c r="C16" s="132"/>
      <c r="D16" s="132"/>
      <c r="E16" s="132"/>
      <c r="F16" s="132"/>
      <c r="G16" s="132"/>
      <c r="H16" s="132"/>
      <c r="I16" s="134"/>
      <c r="J16" s="135"/>
      <c r="K16" s="136"/>
      <c r="L16" s="136"/>
      <c r="M16" s="136"/>
    </row>
    <row r="17" spans="1:13" ht="21" customHeight="1">
      <c r="A17" s="139"/>
      <c r="B17" s="132"/>
      <c r="C17" s="132"/>
      <c r="D17" s="132"/>
      <c r="E17" s="132"/>
      <c r="F17" s="132"/>
      <c r="G17" s="132"/>
      <c r="H17" s="132"/>
      <c r="I17" s="134"/>
      <c r="J17" s="135"/>
      <c r="K17" s="136"/>
      <c r="L17" s="136"/>
      <c r="M17" s="136"/>
    </row>
    <row r="18" spans="1:13" ht="21" customHeight="1">
      <c r="A18" s="140"/>
      <c r="B18" s="132"/>
      <c r="C18" s="132"/>
      <c r="D18" s="132"/>
      <c r="E18" s="132"/>
      <c r="F18" s="132"/>
      <c r="G18" s="132"/>
      <c r="H18" s="132"/>
      <c r="I18" s="134"/>
      <c r="J18" s="135"/>
      <c r="K18" s="136"/>
      <c r="L18" s="136"/>
      <c r="M18" s="136"/>
    </row>
    <row r="19" spans="1:13" ht="21" customHeight="1">
      <c r="A19" s="140"/>
      <c r="B19" s="132"/>
      <c r="C19" s="132"/>
      <c r="D19" s="132"/>
      <c r="E19" s="132"/>
      <c r="F19" s="132"/>
      <c r="G19" s="132"/>
      <c r="H19" s="132"/>
      <c r="I19" s="134"/>
      <c r="J19" s="135"/>
      <c r="K19" s="136"/>
      <c r="L19" s="136"/>
      <c r="M19" s="136"/>
    </row>
    <row r="20" spans="1:13" ht="21" customHeight="1">
      <c r="A20" s="139"/>
      <c r="B20" s="132"/>
      <c r="C20" s="132"/>
      <c r="D20" s="132"/>
      <c r="E20" s="132"/>
      <c r="F20" s="132"/>
      <c r="G20" s="132"/>
      <c r="H20" s="132"/>
      <c r="I20" s="134"/>
      <c r="J20" s="141"/>
      <c r="K20" s="142"/>
      <c r="L20" s="142"/>
      <c r="M20" s="142"/>
    </row>
    <row r="21" spans="1:13" ht="21" customHeight="1">
      <c r="A21" s="139"/>
      <c r="B21" s="132"/>
      <c r="C21" s="132"/>
      <c r="D21" s="132"/>
      <c r="E21" s="132"/>
      <c r="F21" s="132"/>
      <c r="G21" s="132"/>
      <c r="H21" s="132"/>
      <c r="I21" s="134"/>
      <c r="J21" s="141"/>
      <c r="K21" s="142"/>
      <c r="L21" s="142"/>
      <c r="M21" s="142"/>
    </row>
    <row r="22" spans="1:13" ht="14.25" customHeight="1">
      <c r="A22" s="139"/>
      <c r="B22" s="132"/>
      <c r="C22" s="132"/>
      <c r="D22" s="132"/>
      <c r="E22" s="132"/>
      <c r="F22" s="132"/>
      <c r="G22" s="132"/>
      <c r="H22" s="132"/>
      <c r="I22" s="134"/>
      <c r="J22" s="135"/>
      <c r="K22" s="136"/>
      <c r="L22" s="136"/>
      <c r="M22" s="136"/>
    </row>
    <row r="23" spans="1:13" ht="14.25" customHeight="1">
      <c r="A23" s="139"/>
      <c r="B23" s="132"/>
      <c r="C23" s="132"/>
      <c r="D23" s="132"/>
      <c r="E23" s="132"/>
      <c r="F23" s="132"/>
      <c r="G23" s="132"/>
      <c r="H23" s="132"/>
      <c r="I23" s="134"/>
      <c r="J23" s="135"/>
      <c r="K23" s="136"/>
      <c r="L23" s="136"/>
      <c r="M23" s="136"/>
    </row>
    <row r="24" spans="1:13" ht="14.25" customHeight="1">
      <c r="A24" s="137"/>
      <c r="B24" s="132"/>
      <c r="C24" s="132"/>
      <c r="D24" s="132"/>
      <c r="E24" s="132"/>
      <c r="F24" s="132"/>
      <c r="G24" s="132"/>
      <c r="H24" s="132"/>
      <c r="I24" s="134"/>
      <c r="J24" s="135"/>
      <c r="K24" s="136"/>
      <c r="L24" s="136"/>
      <c r="M24" s="136"/>
    </row>
    <row r="25" spans="1:13" ht="14.25" customHeight="1">
      <c r="A25" s="137"/>
      <c r="B25" s="132"/>
      <c r="C25" s="132"/>
      <c r="D25" s="132"/>
      <c r="E25" s="132"/>
      <c r="F25" s="132"/>
      <c r="G25" s="132"/>
      <c r="H25" s="132"/>
      <c r="I25" s="134"/>
      <c r="J25" s="135"/>
      <c r="K25" s="136"/>
      <c r="L25" s="136"/>
      <c r="M25" s="136"/>
    </row>
    <row r="26" spans="1:13" ht="14.25" customHeight="1">
      <c r="A26" s="137"/>
      <c r="B26" s="132"/>
      <c r="C26" s="132"/>
      <c r="D26" s="132"/>
      <c r="E26" s="132"/>
      <c r="F26" s="132"/>
      <c r="G26" s="132"/>
      <c r="H26" s="132"/>
      <c r="I26" s="134"/>
      <c r="J26" s="135"/>
      <c r="K26" s="136"/>
      <c r="L26" s="136"/>
      <c r="M26" s="136"/>
    </row>
    <row r="27" spans="1:13" ht="14.25" customHeight="1">
      <c r="A27" s="137"/>
      <c r="B27" s="132"/>
      <c r="C27" s="132"/>
      <c r="D27" s="132"/>
      <c r="E27" s="132"/>
      <c r="F27" s="132"/>
      <c r="G27" s="132"/>
      <c r="H27" s="132"/>
      <c r="I27" s="134"/>
      <c r="J27" s="135"/>
      <c r="K27" s="136"/>
      <c r="L27" s="136"/>
      <c r="M27" s="136"/>
    </row>
    <row r="28" spans="1:13" ht="14.25" customHeight="1">
      <c r="A28" s="143"/>
      <c r="B28" s="132"/>
      <c r="C28" s="132"/>
      <c r="D28" s="132"/>
      <c r="E28" s="132"/>
      <c r="F28" s="132"/>
      <c r="G28" s="132"/>
      <c r="H28" s="132"/>
      <c r="I28" s="134"/>
      <c r="J28" s="135"/>
      <c r="K28" s="136"/>
      <c r="L28" s="136"/>
      <c r="M28" s="136"/>
    </row>
    <row r="29" spans="1:13" ht="14.25" customHeight="1">
      <c r="A29" s="137"/>
      <c r="B29" s="132"/>
      <c r="C29" s="132"/>
      <c r="D29" s="132"/>
      <c r="E29" s="132"/>
      <c r="F29" s="132"/>
      <c r="G29" s="132"/>
      <c r="H29" s="132"/>
      <c r="I29" s="134"/>
      <c r="J29" s="135"/>
      <c r="K29" s="136"/>
      <c r="L29" s="136"/>
      <c r="M29" s="136"/>
    </row>
    <row r="30" spans="1:13" ht="14.25" customHeight="1">
      <c r="A30" s="143"/>
      <c r="B30" s="132"/>
      <c r="C30" s="132"/>
      <c r="D30" s="132"/>
      <c r="E30" s="132"/>
      <c r="F30" s="132"/>
      <c r="G30" s="132"/>
      <c r="H30" s="132"/>
      <c r="I30" s="134"/>
      <c r="J30" s="135"/>
      <c r="K30" s="136"/>
      <c r="L30" s="136"/>
      <c r="M30" s="136"/>
    </row>
    <row r="31" spans="1:13" ht="14.25" customHeight="1">
      <c r="A31" s="143"/>
      <c r="B31" s="132"/>
      <c r="C31" s="132"/>
      <c r="D31" s="132"/>
      <c r="E31" s="132"/>
      <c r="F31" s="132"/>
      <c r="G31" s="132"/>
      <c r="H31" s="132"/>
      <c r="I31" s="134"/>
      <c r="J31" s="135"/>
      <c r="K31" s="136"/>
      <c r="L31" s="136"/>
      <c r="M31" s="136"/>
    </row>
    <row r="32" spans="1:13" ht="14.25" customHeight="1">
      <c r="A32" s="143"/>
      <c r="B32" s="132"/>
      <c r="C32" s="132"/>
      <c r="D32" s="132"/>
      <c r="E32" s="132"/>
      <c r="F32" s="132"/>
      <c r="G32" s="132"/>
      <c r="H32" s="132"/>
      <c r="I32" s="134"/>
      <c r="J32" s="135"/>
      <c r="K32" s="136"/>
      <c r="L32" s="136"/>
      <c r="M32" s="136"/>
    </row>
    <row r="33" spans="1:13" ht="14.25" customHeight="1">
      <c r="A33" s="143"/>
      <c r="B33" s="132"/>
      <c r="C33" s="132"/>
      <c r="D33" s="132"/>
      <c r="E33" s="132"/>
      <c r="F33" s="132"/>
      <c r="G33" s="132"/>
      <c r="H33" s="132"/>
      <c r="I33" s="134"/>
      <c r="J33" s="135"/>
      <c r="K33" s="136"/>
      <c r="L33" s="136"/>
      <c r="M33" s="136"/>
    </row>
    <row r="34" spans="1:13" ht="14.25" customHeight="1">
      <c r="A34" s="115"/>
      <c r="B34" s="132"/>
      <c r="C34" s="132"/>
      <c r="D34" s="132"/>
      <c r="E34" s="132"/>
      <c r="F34" s="132"/>
      <c r="G34" s="132"/>
      <c r="H34" s="132"/>
      <c r="I34" s="134"/>
      <c r="J34" s="135"/>
      <c r="K34" s="136"/>
      <c r="L34" s="136"/>
      <c r="M34" s="136"/>
    </row>
    <row r="35" spans="1:13" ht="14.25" customHeight="1">
      <c r="A35" s="115"/>
      <c r="B35" s="132"/>
      <c r="C35" s="132"/>
      <c r="D35" s="132"/>
      <c r="E35" s="132"/>
      <c r="F35" s="132"/>
      <c r="G35" s="132"/>
      <c r="H35" s="132"/>
      <c r="I35" s="134"/>
      <c r="J35" s="135"/>
      <c r="K35" s="136"/>
      <c r="L35" s="136"/>
      <c r="M35" s="136"/>
    </row>
    <row r="36" spans="1:13" ht="14.25" customHeight="1">
      <c r="A36" s="144"/>
      <c r="B36" s="132"/>
      <c r="C36" s="132"/>
      <c r="D36" s="132"/>
      <c r="E36" s="132"/>
      <c r="F36" s="132"/>
      <c r="G36" s="132"/>
      <c r="H36" s="132"/>
      <c r="I36" s="134"/>
      <c r="J36" s="135"/>
      <c r="K36" s="136"/>
      <c r="L36" s="136"/>
      <c r="M36" s="136"/>
    </row>
    <row r="37" spans="1:13" ht="14.25" customHeight="1">
      <c r="A37" s="144"/>
      <c r="B37" s="132"/>
      <c r="C37" s="132"/>
      <c r="D37" s="132"/>
      <c r="E37" s="132"/>
      <c r="F37" s="132"/>
      <c r="G37" s="132"/>
      <c r="H37" s="132"/>
      <c r="I37" s="134"/>
      <c r="J37" s="135"/>
      <c r="K37" s="136"/>
      <c r="L37" s="136"/>
      <c r="M37" s="136"/>
    </row>
    <row r="38" spans="1:13" ht="14.25" customHeight="1">
      <c r="A38" s="138"/>
      <c r="B38" s="132"/>
      <c r="C38" s="132"/>
      <c r="D38" s="132"/>
      <c r="E38" s="132"/>
      <c r="F38" s="132"/>
      <c r="G38" s="132"/>
      <c r="H38" s="132"/>
      <c r="I38" s="134"/>
      <c r="J38" s="135"/>
      <c r="K38" s="136"/>
      <c r="L38" s="136"/>
      <c r="M38" s="136"/>
    </row>
    <row r="39" spans="1:13" ht="14.25" customHeight="1">
      <c r="A39" s="138"/>
      <c r="B39" s="132"/>
      <c r="C39" s="132"/>
      <c r="D39" s="132"/>
      <c r="E39" s="132"/>
      <c r="F39" s="132"/>
      <c r="G39" s="132"/>
      <c r="H39" s="132"/>
      <c r="I39" s="134"/>
      <c r="J39" s="135"/>
      <c r="K39" s="136"/>
      <c r="L39" s="136"/>
      <c r="M39" s="136"/>
    </row>
    <row r="40" spans="1:13" ht="14.25" customHeight="1">
      <c r="A40" s="138"/>
      <c r="B40" s="132"/>
      <c r="C40" s="132"/>
      <c r="D40" s="132"/>
      <c r="E40" s="132"/>
      <c r="F40" s="132"/>
      <c r="G40" s="132"/>
      <c r="H40" s="132"/>
      <c r="I40" s="134"/>
      <c r="J40" s="145"/>
      <c r="K40" s="136"/>
      <c r="L40" s="136"/>
      <c r="M40" s="136"/>
    </row>
    <row r="41" spans="1:13" ht="14.25" customHeight="1">
      <c r="A41" s="138"/>
      <c r="B41" s="132"/>
      <c r="C41" s="132"/>
      <c r="D41" s="132"/>
      <c r="E41" s="132"/>
      <c r="F41" s="132"/>
      <c r="G41" s="132"/>
      <c r="H41" s="132"/>
      <c r="I41" s="134"/>
      <c r="J41" s="145"/>
      <c r="K41" s="136"/>
      <c r="L41" s="136"/>
      <c r="M41" s="136"/>
    </row>
    <row r="42" spans="1:13" ht="14.25" customHeight="1">
      <c r="A42" s="138"/>
      <c r="B42" s="132"/>
      <c r="C42" s="132"/>
      <c r="D42" s="132"/>
      <c r="E42" s="132"/>
      <c r="F42" s="132"/>
      <c r="G42" s="132"/>
      <c r="H42" s="132"/>
      <c r="I42" s="134"/>
      <c r="J42" s="146"/>
      <c r="K42" s="142"/>
      <c r="L42" s="142"/>
      <c r="M42" s="142"/>
    </row>
    <row r="43" spans="1:13" ht="14.25" customHeight="1">
      <c r="A43" s="138"/>
      <c r="B43" s="132"/>
      <c r="C43" s="132"/>
      <c r="D43" s="132"/>
      <c r="E43" s="132"/>
      <c r="F43" s="132"/>
      <c r="G43" s="132"/>
      <c r="H43" s="132"/>
      <c r="I43" s="134"/>
      <c r="J43" s="147"/>
      <c r="K43" s="142"/>
      <c r="L43" s="142"/>
      <c r="M43" s="142"/>
    </row>
    <row r="44" spans="1:13" ht="14.25" customHeight="1">
      <c r="A44" s="142"/>
      <c r="B44" s="132"/>
      <c r="C44" s="132"/>
      <c r="D44" s="132"/>
      <c r="E44" s="132"/>
      <c r="F44" s="132"/>
      <c r="G44" s="132"/>
      <c r="H44" s="132"/>
      <c r="I44" s="142"/>
      <c r="J44" s="142"/>
      <c r="K44" s="142"/>
      <c r="L44" s="148"/>
      <c r="M44" s="142"/>
    </row>
    <row r="45" spans="1:13" ht="14.25" customHeight="1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 ht="33.75" customHeight="1">
      <c r="A46" s="38"/>
      <c r="B46" s="48"/>
      <c r="C46" s="48"/>
      <c r="D46" s="48"/>
      <c r="E46" s="48"/>
      <c r="F46" s="48"/>
      <c r="G46" s="149"/>
      <c r="H46" s="149"/>
      <c r="I46" s="149"/>
      <c r="J46" s="48"/>
      <c r="K46" s="48"/>
      <c r="L46" s="48"/>
      <c r="M46" s="48"/>
    </row>
    <row r="47" spans="1:13" ht="15.75" customHeight="1"/>
    <row r="48" spans="1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1:M1"/>
    <mergeCell ref="N6:N7"/>
    <mergeCell ref="F1:F3"/>
    <mergeCell ref="G1:G3"/>
    <mergeCell ref="H1:H3"/>
    <mergeCell ref="I1:I3"/>
    <mergeCell ref="J1:J3"/>
    <mergeCell ref="A1:A4"/>
    <mergeCell ref="B1:B3"/>
    <mergeCell ref="C1:C3"/>
    <mergeCell ref="D1:D3"/>
    <mergeCell ref="E1:E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00"/>
  <sheetViews>
    <sheetView zoomScaleNormal="100" workbookViewId="0">
      <selection activeCellId="1" sqref="K6:L6 A1"/>
    </sheetView>
  </sheetViews>
  <sheetFormatPr defaultColWidth="14.44140625" defaultRowHeight="15" customHeight="1"/>
  <cols>
    <col min="1" max="1" width="8.88671875" customWidth="1"/>
    <col min="2" max="2" width="20.44140625" customWidth="1"/>
    <col min="3" max="4" width="13.6640625" customWidth="1"/>
    <col min="5" max="5" width="8.88671875" customWidth="1"/>
  </cols>
  <sheetData>
    <row r="1" spans="2:5" ht="14.25" customHeight="1">
      <c r="B1" s="98" t="s">
        <v>118</v>
      </c>
      <c r="C1" s="98"/>
      <c r="D1" s="98"/>
      <c r="E1" s="150" t="s">
        <v>119</v>
      </c>
    </row>
    <row r="2" spans="2:5" ht="14.25" customHeight="1">
      <c r="B2" s="150"/>
      <c r="C2" s="150" t="s">
        <v>120</v>
      </c>
      <c r="D2" s="48" t="s">
        <v>121</v>
      </c>
      <c r="E2" s="150"/>
    </row>
    <row r="3" spans="2:5" ht="14.25" customHeight="1">
      <c r="B3" s="98" t="s">
        <v>122</v>
      </c>
      <c r="C3" s="98" t="s">
        <v>123</v>
      </c>
      <c r="E3" s="98" t="s">
        <v>53</v>
      </c>
    </row>
    <row r="4" spans="2:5" ht="14.25" customHeight="1">
      <c r="B4" s="151">
        <v>1</v>
      </c>
      <c r="C4" s="151">
        <v>2.9</v>
      </c>
      <c r="D4" s="48">
        <v>1.59</v>
      </c>
      <c r="E4" s="150">
        <v>4</v>
      </c>
    </row>
    <row r="5" spans="2:5" ht="14.25" customHeight="1">
      <c r="B5" s="152">
        <v>2</v>
      </c>
      <c r="C5" s="152">
        <v>2.7</v>
      </c>
      <c r="D5" s="48">
        <v>1.41</v>
      </c>
      <c r="E5" s="150">
        <v>9</v>
      </c>
    </row>
    <row r="6" spans="2:5" ht="14.25" customHeight="1">
      <c r="B6" s="152">
        <v>3</v>
      </c>
      <c r="C6" s="152">
        <v>2.4</v>
      </c>
      <c r="D6" s="48">
        <v>1.22</v>
      </c>
      <c r="E6" s="150">
        <v>14</v>
      </c>
    </row>
    <row r="7" spans="2:5" ht="14.25" customHeight="1">
      <c r="B7" s="152">
        <v>4</v>
      </c>
      <c r="C7" s="152">
        <v>2.2000000000000002</v>
      </c>
      <c r="D7" s="48">
        <v>1.1399999999999999</v>
      </c>
      <c r="E7" s="150">
        <v>20</v>
      </c>
    </row>
    <row r="8" spans="2:5" ht="14.25" customHeight="1">
      <c r="B8" s="152">
        <v>5</v>
      </c>
      <c r="C8" s="152">
        <v>2</v>
      </c>
      <c r="D8" s="48">
        <v>1.07</v>
      </c>
      <c r="E8" s="150">
        <v>25</v>
      </c>
    </row>
    <row r="9" spans="2:5" ht="14.25" customHeight="1">
      <c r="B9" s="152">
        <v>6</v>
      </c>
      <c r="C9" s="152">
        <v>1.67</v>
      </c>
      <c r="D9" s="48">
        <v>1</v>
      </c>
      <c r="E9" s="150">
        <v>25</v>
      </c>
    </row>
    <row r="10" spans="2:5" ht="14.25" customHeight="1">
      <c r="B10" s="153"/>
      <c r="C10" s="153"/>
      <c r="E10" s="150">
        <v>25</v>
      </c>
    </row>
    <row r="11" spans="2:5" ht="14.25" customHeight="1">
      <c r="B11" s="150"/>
      <c r="C11" s="150"/>
      <c r="D11" s="150"/>
      <c r="E11" s="150"/>
    </row>
    <row r="12" spans="2:5" ht="14.25" customHeight="1">
      <c r="B12" s="98" t="s">
        <v>124</v>
      </c>
      <c r="C12" s="150"/>
      <c r="D12" s="150"/>
      <c r="E12" s="150"/>
    </row>
    <row r="13" spans="2:5" ht="14.4">
      <c r="E13" s="150"/>
    </row>
    <row r="14" spans="2:5" ht="14.4">
      <c r="E14" s="150"/>
    </row>
    <row r="15" spans="2:5" ht="14.4">
      <c r="E15" s="150"/>
    </row>
    <row r="16" spans="2:5" ht="14.4">
      <c r="E16" s="150"/>
    </row>
    <row r="17" spans="2:10" ht="14.4">
      <c r="E17" s="150"/>
    </row>
    <row r="18" spans="2:10" ht="14.4">
      <c r="E18" s="150"/>
    </row>
    <row r="19" spans="2:10" ht="14.25" customHeight="1">
      <c r="B19" s="98" t="s">
        <v>125</v>
      </c>
      <c r="E19" s="150"/>
    </row>
    <row r="20" spans="2:10" ht="14.25" customHeight="1">
      <c r="B20" s="150"/>
      <c r="E20" s="150"/>
    </row>
    <row r="21" spans="2:10" ht="14.25" customHeight="1">
      <c r="B21" s="98"/>
      <c r="E21" s="150"/>
    </row>
    <row r="22" spans="2:10" ht="14.25" customHeight="1">
      <c r="B22" s="151"/>
      <c r="E22" s="150"/>
    </row>
    <row r="23" spans="2:10" ht="14.25" customHeight="1">
      <c r="B23" s="152"/>
      <c r="E23" s="150"/>
    </row>
    <row r="24" spans="2:10" ht="14.25" customHeight="1">
      <c r="B24" s="153"/>
      <c r="E24" s="150"/>
    </row>
    <row r="25" spans="2:10" ht="14.25" customHeight="1">
      <c r="B25" s="150"/>
      <c r="E25" s="150"/>
    </row>
    <row r="26" spans="2:10" ht="14.25" customHeight="1">
      <c r="B26" s="150"/>
      <c r="E26" s="150"/>
    </row>
    <row r="27" spans="2:10" ht="14.25" customHeight="1">
      <c r="B27" s="98" t="s">
        <v>126</v>
      </c>
      <c r="E27" s="150"/>
    </row>
    <row r="28" spans="2:10" ht="14.25" customHeight="1">
      <c r="B28" s="150"/>
      <c r="E28" s="150"/>
    </row>
    <row r="29" spans="2:10" ht="14.25" customHeight="1">
      <c r="B29" s="98"/>
      <c r="E29" s="150"/>
      <c r="J29">
        <f>IF('Take-off'!$C$11='Dropdown lists'!B34,)</f>
        <v>0</v>
      </c>
    </row>
    <row r="30" spans="2:10" ht="14.25" customHeight="1">
      <c r="B30" s="151" t="s">
        <v>127</v>
      </c>
      <c r="E30" s="150"/>
    </row>
    <row r="31" spans="2:10" ht="14.25" customHeight="1">
      <c r="B31" s="153" t="s">
        <v>26</v>
      </c>
      <c r="E31" s="150"/>
    </row>
    <row r="32" spans="2:10" ht="15.75" customHeight="1">
      <c r="E32" s="150"/>
    </row>
    <row r="33" spans="2:7" ht="14.25" customHeight="1">
      <c r="B33" s="154" t="s">
        <v>19</v>
      </c>
      <c r="E33" s="150" t="s">
        <v>123</v>
      </c>
      <c r="F33" t="s">
        <v>128</v>
      </c>
      <c r="G33" t="s">
        <v>129</v>
      </c>
    </row>
    <row r="34" spans="2:7" ht="14.25" customHeight="1">
      <c r="B34" s="155" t="s">
        <v>20</v>
      </c>
      <c r="E34" s="156">
        <v>0</v>
      </c>
      <c r="G34" t="s">
        <v>130</v>
      </c>
    </row>
    <row r="35" spans="2:7" ht="14.25" customHeight="1">
      <c r="B35" s="157" t="s">
        <v>131</v>
      </c>
      <c r="E35" s="156">
        <v>0</v>
      </c>
      <c r="G35" t="s">
        <v>130</v>
      </c>
    </row>
    <row r="36" spans="2:7" ht="14.25" customHeight="1">
      <c r="B36" s="157" t="s">
        <v>132</v>
      </c>
      <c r="E36" s="156">
        <v>5.0000000000000001E-3</v>
      </c>
      <c r="F36" t="s">
        <v>23</v>
      </c>
      <c r="G36" t="s">
        <v>130</v>
      </c>
    </row>
    <row r="37" spans="2:7" ht="14.25" customHeight="1">
      <c r="B37" s="157" t="s">
        <v>133</v>
      </c>
      <c r="E37" s="156">
        <v>0.01</v>
      </c>
      <c r="F37" t="s">
        <v>23</v>
      </c>
      <c r="G37">
        <v>50</v>
      </c>
    </row>
    <row r="38" spans="2:7" ht="14.25" customHeight="1">
      <c r="B38" s="157" t="s">
        <v>134</v>
      </c>
      <c r="E38" s="156">
        <v>0.02</v>
      </c>
      <c r="F38" t="s">
        <v>23</v>
      </c>
      <c r="G38">
        <v>25</v>
      </c>
    </row>
    <row r="39" spans="2:7" ht="14.25" customHeight="1">
      <c r="B39" s="157" t="s">
        <v>135</v>
      </c>
      <c r="E39" s="156">
        <v>0.02</v>
      </c>
      <c r="F39" t="s">
        <v>23</v>
      </c>
      <c r="G39">
        <v>25</v>
      </c>
    </row>
    <row r="40" spans="2:7" ht="14.25" customHeight="1">
      <c r="B40" s="158" t="s">
        <v>136</v>
      </c>
      <c r="E40" s="156">
        <v>0</v>
      </c>
      <c r="G40" t="s">
        <v>130</v>
      </c>
    </row>
    <row r="41" spans="2:7" ht="14.25" customHeight="1">
      <c r="B41" s="33"/>
      <c r="E41" s="150"/>
    </row>
    <row r="42" spans="2:7" ht="14.25" customHeight="1">
      <c r="B42" s="150"/>
      <c r="E42" s="150"/>
    </row>
    <row r="43" spans="2:7" ht="14.25" customHeight="1">
      <c r="B43" s="150"/>
      <c r="E43" s="150"/>
    </row>
    <row r="44" spans="2:7" ht="14.25" customHeight="1">
      <c r="B44" s="98" t="s">
        <v>137</v>
      </c>
      <c r="E44" s="150"/>
    </row>
    <row r="45" spans="2:7" ht="14.25" customHeight="1">
      <c r="B45" s="150"/>
      <c r="E45" s="150"/>
    </row>
    <row r="46" spans="2:7" ht="14.25" customHeight="1">
      <c r="B46" s="98"/>
      <c r="E46" s="150"/>
    </row>
    <row r="47" spans="2:7" ht="14.25" customHeight="1">
      <c r="B47" s="151" t="s">
        <v>138</v>
      </c>
      <c r="E47" s="150"/>
    </row>
    <row r="48" spans="2:7" ht="14.25" customHeight="1">
      <c r="B48" s="153" t="s">
        <v>139</v>
      </c>
      <c r="E48" s="150"/>
    </row>
    <row r="49" spans="5:5" ht="15.75" customHeight="1">
      <c r="E49" s="150"/>
    </row>
    <row r="50" spans="5:5" ht="15.75" customHeight="1">
      <c r="E50" s="150"/>
    </row>
    <row r="51" spans="5:5" ht="15.75" customHeight="1">
      <c r="E51" s="150"/>
    </row>
    <row r="52" spans="5:5" ht="15.75" customHeight="1">
      <c r="E52" s="150"/>
    </row>
    <row r="53" spans="5:5" ht="15.75" customHeight="1">
      <c r="E53" s="150"/>
    </row>
    <row r="54" spans="5:5" ht="15.75" customHeight="1">
      <c r="E54" s="150"/>
    </row>
    <row r="55" spans="5:5" ht="15.75" customHeight="1">
      <c r="E55" s="150"/>
    </row>
    <row r="56" spans="5:5" ht="15.75" customHeight="1">
      <c r="E56" s="150"/>
    </row>
    <row r="57" spans="5:5" ht="15.75" customHeight="1">
      <c r="E57" s="150"/>
    </row>
    <row r="58" spans="5:5" ht="15.75" customHeight="1">
      <c r="E58" s="150"/>
    </row>
    <row r="59" spans="5:5" ht="15.75" customHeight="1">
      <c r="E59" s="150"/>
    </row>
    <row r="60" spans="5:5" ht="15.75" customHeight="1">
      <c r="E60" s="150"/>
    </row>
    <row r="61" spans="5:5" ht="15.75" customHeight="1">
      <c r="E61" s="150"/>
    </row>
    <row r="62" spans="5:5" ht="15.75" customHeight="1">
      <c r="E62" s="150"/>
    </row>
    <row r="63" spans="5:5" ht="15.75" customHeight="1">
      <c r="E63" s="150"/>
    </row>
    <row r="64" spans="5:5" ht="15.75" customHeight="1">
      <c r="E64" s="150"/>
    </row>
    <row r="65" spans="5:5" ht="15.75" customHeight="1">
      <c r="E65" s="150"/>
    </row>
    <row r="66" spans="5:5" ht="15.75" customHeight="1">
      <c r="E66" s="150"/>
    </row>
    <row r="67" spans="5:5" ht="15.75" customHeight="1">
      <c r="E67" s="150"/>
    </row>
    <row r="68" spans="5:5" ht="15.75" customHeight="1">
      <c r="E68" s="150"/>
    </row>
    <row r="69" spans="5:5" ht="15.75" customHeight="1">
      <c r="E69" s="150"/>
    </row>
    <row r="70" spans="5:5" ht="15.75" customHeight="1">
      <c r="E70" s="150"/>
    </row>
    <row r="71" spans="5:5" ht="15.75" customHeight="1">
      <c r="E71" s="150"/>
    </row>
    <row r="72" spans="5:5" ht="15.75" customHeight="1">
      <c r="E72" s="150"/>
    </row>
    <row r="73" spans="5:5" ht="15.75" customHeight="1">
      <c r="E73" s="150"/>
    </row>
    <row r="74" spans="5:5" ht="15.75" customHeight="1">
      <c r="E74" s="150"/>
    </row>
    <row r="75" spans="5:5" ht="15.75" customHeight="1">
      <c r="E75" s="150"/>
    </row>
    <row r="76" spans="5:5" ht="15.75" customHeight="1">
      <c r="E76" s="150"/>
    </row>
    <row r="77" spans="5:5" ht="15.75" customHeight="1">
      <c r="E77" s="150"/>
    </row>
    <row r="78" spans="5:5" ht="15.75" customHeight="1">
      <c r="E78" s="150"/>
    </row>
    <row r="79" spans="5:5" ht="15.75" customHeight="1">
      <c r="E79" s="150"/>
    </row>
    <row r="80" spans="5:5" ht="15.75" customHeight="1">
      <c r="E80" s="150"/>
    </row>
    <row r="81" spans="5:5" ht="15.75" customHeight="1">
      <c r="E81" s="150"/>
    </row>
    <row r="82" spans="5:5" ht="15.75" customHeight="1">
      <c r="E82" s="150"/>
    </row>
    <row r="83" spans="5:5" ht="15.75" customHeight="1">
      <c r="E83" s="150"/>
    </row>
    <row r="84" spans="5:5" ht="15.75" customHeight="1">
      <c r="E84" s="150"/>
    </row>
    <row r="85" spans="5:5" ht="15.75" customHeight="1">
      <c r="E85" s="150"/>
    </row>
    <row r="86" spans="5:5" ht="15.75" customHeight="1">
      <c r="E86" s="150"/>
    </row>
    <row r="87" spans="5:5" ht="15.75" customHeight="1">
      <c r="E87" s="150"/>
    </row>
    <row r="88" spans="5:5" ht="15.75" customHeight="1">
      <c r="E88" s="150"/>
    </row>
    <row r="89" spans="5:5" ht="15.75" customHeight="1">
      <c r="E89" s="150"/>
    </row>
    <row r="90" spans="5:5" ht="15.75" customHeight="1">
      <c r="E90" s="150"/>
    </row>
    <row r="91" spans="5:5" ht="15.75" customHeight="1">
      <c r="E91" s="150"/>
    </row>
    <row r="92" spans="5:5" ht="15.75" customHeight="1">
      <c r="E92" s="150"/>
    </row>
    <row r="93" spans="5:5" ht="15.75" customHeight="1">
      <c r="E93" s="150"/>
    </row>
    <row r="94" spans="5:5" ht="15.75" customHeight="1">
      <c r="E94" s="150"/>
    </row>
    <row r="95" spans="5:5" ht="15.75" customHeight="1">
      <c r="E95" s="150"/>
    </row>
    <row r="96" spans="5:5" ht="15.75" customHeight="1">
      <c r="E96" s="150"/>
    </row>
    <row r="97" spans="5:5" ht="15.75" customHeight="1">
      <c r="E97" s="150"/>
    </row>
    <row r="98" spans="5:5" ht="15.75" customHeight="1">
      <c r="E98" s="150"/>
    </row>
    <row r="99" spans="5:5" ht="15.75" customHeight="1">
      <c r="E99" s="150"/>
    </row>
    <row r="100" spans="5:5" ht="15.75" customHeight="1">
      <c r="E100" s="150"/>
    </row>
    <row r="101" spans="5:5" ht="15.75" customHeight="1">
      <c r="E101" s="150"/>
    </row>
    <row r="102" spans="5:5" ht="15.75" customHeight="1">
      <c r="E102" s="150"/>
    </row>
    <row r="103" spans="5:5" ht="15.75" customHeight="1">
      <c r="E103" s="150"/>
    </row>
    <row r="104" spans="5:5" ht="15.75" customHeight="1">
      <c r="E104" s="150"/>
    </row>
    <row r="105" spans="5:5" ht="15.75" customHeight="1">
      <c r="E105" s="150"/>
    </row>
    <row r="106" spans="5:5" ht="15.75" customHeight="1">
      <c r="E106" s="150"/>
    </row>
    <row r="107" spans="5:5" ht="15.75" customHeight="1">
      <c r="E107" s="150"/>
    </row>
    <row r="108" spans="5:5" ht="15.75" customHeight="1">
      <c r="E108" s="150"/>
    </row>
    <row r="109" spans="5:5" ht="15.75" customHeight="1">
      <c r="E109" s="150"/>
    </row>
    <row r="110" spans="5:5" ht="15.75" customHeight="1">
      <c r="E110" s="150"/>
    </row>
    <row r="111" spans="5:5" ht="15.75" customHeight="1">
      <c r="E111" s="150"/>
    </row>
    <row r="112" spans="5:5" ht="15.75" customHeight="1">
      <c r="E112" s="150"/>
    </row>
    <row r="113" spans="5:5" ht="15.75" customHeight="1">
      <c r="E113" s="150"/>
    </row>
    <row r="114" spans="5:5" ht="15.75" customHeight="1">
      <c r="E114" s="150"/>
    </row>
    <row r="115" spans="5:5" ht="15.75" customHeight="1">
      <c r="E115" s="150"/>
    </row>
    <row r="116" spans="5:5" ht="15.75" customHeight="1">
      <c r="E116" s="150"/>
    </row>
    <row r="117" spans="5:5" ht="15.75" customHeight="1">
      <c r="E117" s="150"/>
    </row>
    <row r="118" spans="5:5" ht="15.75" customHeight="1">
      <c r="E118" s="150"/>
    </row>
    <row r="119" spans="5:5" ht="15.75" customHeight="1">
      <c r="E119" s="150"/>
    </row>
    <row r="120" spans="5:5" ht="15.75" customHeight="1">
      <c r="E120" s="150"/>
    </row>
    <row r="121" spans="5:5" ht="15.75" customHeight="1">
      <c r="E121" s="150"/>
    </row>
    <row r="122" spans="5:5" ht="15.75" customHeight="1">
      <c r="E122" s="150"/>
    </row>
    <row r="123" spans="5:5" ht="15.75" customHeight="1">
      <c r="E123" s="150"/>
    </row>
    <row r="124" spans="5:5" ht="15.75" customHeight="1">
      <c r="E124" s="150"/>
    </row>
    <row r="125" spans="5:5" ht="15.75" customHeight="1">
      <c r="E125" s="150"/>
    </row>
    <row r="126" spans="5:5" ht="15.75" customHeight="1">
      <c r="E126" s="150"/>
    </row>
    <row r="127" spans="5:5" ht="15.75" customHeight="1">
      <c r="E127" s="150"/>
    </row>
    <row r="128" spans="5:5" ht="15.75" customHeight="1">
      <c r="E128" s="150"/>
    </row>
    <row r="129" spans="5:5" ht="15.75" customHeight="1">
      <c r="E129" s="150"/>
    </row>
    <row r="130" spans="5:5" ht="15.75" customHeight="1">
      <c r="E130" s="150"/>
    </row>
    <row r="131" spans="5:5" ht="15.75" customHeight="1">
      <c r="E131" s="150"/>
    </row>
    <row r="132" spans="5:5" ht="15.75" customHeight="1">
      <c r="E132" s="150"/>
    </row>
    <row r="133" spans="5:5" ht="15.75" customHeight="1">
      <c r="E133" s="150"/>
    </row>
    <row r="134" spans="5:5" ht="15.75" customHeight="1">
      <c r="E134" s="150"/>
    </row>
    <row r="135" spans="5:5" ht="15.75" customHeight="1">
      <c r="E135" s="150"/>
    </row>
    <row r="136" spans="5:5" ht="15.75" customHeight="1">
      <c r="E136" s="150"/>
    </row>
    <row r="137" spans="5:5" ht="15.75" customHeight="1">
      <c r="E137" s="150"/>
    </row>
    <row r="138" spans="5:5" ht="15.75" customHeight="1">
      <c r="E138" s="150"/>
    </row>
    <row r="139" spans="5:5" ht="15.75" customHeight="1">
      <c r="E139" s="150"/>
    </row>
    <row r="140" spans="5:5" ht="15.75" customHeight="1">
      <c r="E140" s="150"/>
    </row>
    <row r="141" spans="5:5" ht="15.75" customHeight="1">
      <c r="E141" s="150"/>
    </row>
    <row r="142" spans="5:5" ht="15.75" customHeight="1">
      <c r="E142" s="150"/>
    </row>
    <row r="143" spans="5:5" ht="15.75" customHeight="1">
      <c r="E143" s="150"/>
    </row>
    <row r="144" spans="5:5" ht="15.75" customHeight="1">
      <c r="E144" s="150"/>
    </row>
    <row r="145" spans="5:5" ht="15.75" customHeight="1">
      <c r="E145" s="150"/>
    </row>
    <row r="146" spans="5:5" ht="15.75" customHeight="1">
      <c r="E146" s="150"/>
    </row>
    <row r="147" spans="5:5" ht="15.75" customHeight="1">
      <c r="E147" s="150"/>
    </row>
    <row r="148" spans="5:5" ht="15.75" customHeight="1">
      <c r="E148" s="150"/>
    </row>
    <row r="149" spans="5:5" ht="15.75" customHeight="1">
      <c r="E149" s="150"/>
    </row>
    <row r="150" spans="5:5" ht="15.75" customHeight="1">
      <c r="E150" s="150"/>
    </row>
    <row r="151" spans="5:5" ht="15.75" customHeight="1">
      <c r="E151" s="150"/>
    </row>
    <row r="152" spans="5:5" ht="15.75" customHeight="1">
      <c r="E152" s="150"/>
    </row>
    <row r="153" spans="5:5" ht="15.75" customHeight="1">
      <c r="E153" s="150"/>
    </row>
    <row r="154" spans="5:5" ht="15.75" customHeight="1">
      <c r="E154" s="150"/>
    </row>
    <row r="155" spans="5:5" ht="15.75" customHeight="1">
      <c r="E155" s="150"/>
    </row>
    <row r="156" spans="5:5" ht="15.75" customHeight="1">
      <c r="E156" s="150"/>
    </row>
    <row r="157" spans="5:5" ht="15.75" customHeight="1">
      <c r="E157" s="150"/>
    </row>
    <row r="158" spans="5:5" ht="15.75" customHeight="1">
      <c r="E158" s="150"/>
    </row>
    <row r="159" spans="5:5" ht="15.75" customHeight="1">
      <c r="E159" s="150"/>
    </row>
    <row r="160" spans="5:5" ht="15.75" customHeight="1">
      <c r="E160" s="150"/>
    </row>
    <row r="161" spans="5:5" ht="15.75" customHeight="1">
      <c r="E161" s="150"/>
    </row>
    <row r="162" spans="5:5" ht="15.75" customHeight="1">
      <c r="E162" s="150"/>
    </row>
    <row r="163" spans="5:5" ht="15.75" customHeight="1">
      <c r="E163" s="150"/>
    </row>
    <row r="164" spans="5:5" ht="15.75" customHeight="1">
      <c r="E164" s="150"/>
    </row>
    <row r="165" spans="5:5" ht="15.75" customHeight="1">
      <c r="E165" s="150"/>
    </row>
    <row r="166" spans="5:5" ht="15.75" customHeight="1">
      <c r="E166" s="150"/>
    </row>
    <row r="167" spans="5:5" ht="15.75" customHeight="1">
      <c r="E167" s="150"/>
    </row>
    <row r="168" spans="5:5" ht="15.75" customHeight="1">
      <c r="E168" s="150"/>
    </row>
    <row r="169" spans="5:5" ht="15.75" customHeight="1">
      <c r="E169" s="150"/>
    </row>
    <row r="170" spans="5:5" ht="15.75" customHeight="1">
      <c r="E170" s="150"/>
    </row>
    <row r="171" spans="5:5" ht="15.75" customHeight="1">
      <c r="E171" s="150"/>
    </row>
    <row r="172" spans="5:5" ht="15.75" customHeight="1">
      <c r="E172" s="150"/>
    </row>
    <row r="173" spans="5:5" ht="15.75" customHeight="1">
      <c r="E173" s="150"/>
    </row>
    <row r="174" spans="5:5" ht="15.75" customHeight="1">
      <c r="E174" s="150"/>
    </row>
    <row r="175" spans="5:5" ht="15.75" customHeight="1">
      <c r="E175" s="150"/>
    </row>
    <row r="176" spans="5:5" ht="15.75" customHeight="1">
      <c r="E176" s="150"/>
    </row>
    <row r="177" spans="5:5" ht="15.75" customHeight="1">
      <c r="E177" s="150"/>
    </row>
    <row r="178" spans="5:5" ht="15.75" customHeight="1">
      <c r="E178" s="150"/>
    </row>
    <row r="179" spans="5:5" ht="15.75" customHeight="1">
      <c r="E179" s="150"/>
    </row>
    <row r="180" spans="5:5" ht="15.75" customHeight="1">
      <c r="E180" s="150"/>
    </row>
    <row r="181" spans="5:5" ht="15.75" customHeight="1">
      <c r="E181" s="150"/>
    </row>
    <row r="182" spans="5:5" ht="15.75" customHeight="1">
      <c r="E182" s="150"/>
    </row>
    <row r="183" spans="5:5" ht="15.75" customHeight="1">
      <c r="E183" s="150"/>
    </row>
    <row r="184" spans="5:5" ht="15.75" customHeight="1">
      <c r="E184" s="150"/>
    </row>
    <row r="185" spans="5:5" ht="15.75" customHeight="1">
      <c r="E185" s="150"/>
    </row>
    <row r="186" spans="5:5" ht="15.75" customHeight="1">
      <c r="E186" s="150"/>
    </row>
    <row r="187" spans="5:5" ht="15.75" customHeight="1">
      <c r="E187" s="150"/>
    </row>
    <row r="188" spans="5:5" ht="15.75" customHeight="1">
      <c r="E188" s="150"/>
    </row>
    <row r="189" spans="5:5" ht="15.75" customHeight="1">
      <c r="E189" s="150"/>
    </row>
    <row r="190" spans="5:5" ht="15.75" customHeight="1">
      <c r="E190" s="150"/>
    </row>
    <row r="191" spans="5:5" ht="15.75" customHeight="1">
      <c r="E191" s="150"/>
    </row>
    <row r="192" spans="5:5" ht="15.75" customHeight="1">
      <c r="E192" s="150"/>
    </row>
    <row r="193" spans="5:5" ht="15.75" customHeight="1">
      <c r="E193" s="150"/>
    </row>
    <row r="194" spans="5:5" ht="15.75" customHeight="1">
      <c r="E194" s="150"/>
    </row>
    <row r="195" spans="5:5" ht="15.75" customHeight="1">
      <c r="E195" s="150"/>
    </row>
    <row r="196" spans="5:5" ht="15.75" customHeight="1">
      <c r="E196" s="150"/>
    </row>
    <row r="197" spans="5:5" ht="15.75" customHeight="1">
      <c r="E197" s="150"/>
    </row>
    <row r="198" spans="5:5" ht="15.75" customHeight="1">
      <c r="E198" s="150"/>
    </row>
    <row r="199" spans="5:5" ht="15.75" customHeight="1">
      <c r="E199" s="150"/>
    </row>
    <row r="200" spans="5:5" ht="15.75" customHeight="1">
      <c r="E200" s="150"/>
    </row>
    <row r="201" spans="5:5" ht="15.75" customHeight="1">
      <c r="E201" s="150"/>
    </row>
    <row r="202" spans="5:5" ht="15.75" customHeight="1">
      <c r="E202" s="150"/>
    </row>
    <row r="203" spans="5:5" ht="15.75" customHeight="1">
      <c r="E203" s="150"/>
    </row>
    <row r="204" spans="5:5" ht="15.75" customHeight="1">
      <c r="E204" s="150"/>
    </row>
    <row r="205" spans="5:5" ht="15.75" customHeight="1">
      <c r="E205" s="150"/>
    </row>
    <row r="206" spans="5:5" ht="15.75" customHeight="1">
      <c r="E206" s="150"/>
    </row>
    <row r="207" spans="5:5" ht="15.75" customHeight="1">
      <c r="E207" s="150"/>
    </row>
    <row r="208" spans="5:5" ht="15.75" customHeight="1">
      <c r="E208" s="150"/>
    </row>
    <row r="209" spans="5:5" ht="15.75" customHeight="1">
      <c r="E209" s="150"/>
    </row>
    <row r="210" spans="5:5" ht="15.75" customHeight="1">
      <c r="E210" s="150"/>
    </row>
    <row r="211" spans="5:5" ht="15.75" customHeight="1">
      <c r="E211" s="150"/>
    </row>
    <row r="212" spans="5:5" ht="15.75" customHeight="1">
      <c r="E212" s="150"/>
    </row>
    <row r="213" spans="5:5" ht="15.75" customHeight="1">
      <c r="E213" s="150"/>
    </row>
    <row r="214" spans="5:5" ht="15.75" customHeight="1">
      <c r="E214" s="150"/>
    </row>
    <row r="215" spans="5:5" ht="15.75" customHeight="1">
      <c r="E215" s="150"/>
    </row>
    <row r="216" spans="5:5" ht="15.75" customHeight="1">
      <c r="E216" s="150"/>
    </row>
    <row r="217" spans="5:5" ht="15.75" customHeight="1">
      <c r="E217" s="150"/>
    </row>
    <row r="218" spans="5:5" ht="15.75" customHeight="1">
      <c r="E218" s="150"/>
    </row>
    <row r="219" spans="5:5" ht="15.75" customHeight="1">
      <c r="E219" s="150"/>
    </row>
    <row r="220" spans="5:5" ht="15.75" customHeight="1">
      <c r="E220" s="150"/>
    </row>
    <row r="221" spans="5:5" ht="15.75" customHeight="1">
      <c r="E221" s="150"/>
    </row>
    <row r="222" spans="5:5" ht="15.75" customHeight="1">
      <c r="E222" s="150"/>
    </row>
    <row r="223" spans="5:5" ht="15.75" customHeight="1">
      <c r="E223" s="150"/>
    </row>
    <row r="224" spans="5:5" ht="15.75" customHeight="1">
      <c r="E224" s="150"/>
    </row>
    <row r="225" spans="5:5" ht="15.75" customHeight="1">
      <c r="E225" s="150"/>
    </row>
    <row r="226" spans="5:5" ht="15.75" customHeight="1">
      <c r="E226" s="150"/>
    </row>
    <row r="227" spans="5:5" ht="15.75" customHeight="1">
      <c r="E227" s="150"/>
    </row>
    <row r="228" spans="5:5" ht="15.75" customHeight="1">
      <c r="E228" s="150"/>
    </row>
    <row r="229" spans="5:5" ht="15.75" customHeight="1">
      <c r="E229" s="150"/>
    </row>
    <row r="230" spans="5:5" ht="15.75" customHeight="1">
      <c r="E230" s="150"/>
    </row>
    <row r="231" spans="5:5" ht="15.75" customHeight="1">
      <c r="E231" s="150"/>
    </row>
    <row r="232" spans="5:5" ht="15.75" customHeight="1">
      <c r="E232" s="150"/>
    </row>
    <row r="233" spans="5:5" ht="15.75" customHeight="1">
      <c r="E233" s="150"/>
    </row>
    <row r="234" spans="5:5" ht="15.75" customHeight="1">
      <c r="E234" s="150"/>
    </row>
    <row r="235" spans="5:5" ht="15.75" customHeight="1">
      <c r="E235" s="150"/>
    </row>
    <row r="236" spans="5:5" ht="15.75" customHeight="1">
      <c r="E236" s="150"/>
    </row>
    <row r="237" spans="5:5" ht="15.75" customHeight="1">
      <c r="E237" s="150"/>
    </row>
    <row r="238" spans="5:5" ht="15.75" customHeight="1">
      <c r="E238" s="150"/>
    </row>
    <row r="239" spans="5:5" ht="15.75" customHeight="1">
      <c r="E239" s="150"/>
    </row>
    <row r="240" spans="5:5" ht="15.75" customHeight="1">
      <c r="E240" s="150"/>
    </row>
    <row r="241" spans="5:5" ht="15.75" customHeight="1">
      <c r="E241" s="150"/>
    </row>
    <row r="242" spans="5:5" ht="15.75" customHeight="1">
      <c r="E242" s="150"/>
    </row>
    <row r="243" spans="5:5" ht="15.75" customHeight="1">
      <c r="E243" s="150"/>
    </row>
    <row r="244" spans="5:5" ht="15.75" customHeight="1">
      <c r="E244" s="150"/>
    </row>
    <row r="245" spans="5:5" ht="15.75" customHeight="1">
      <c r="E245" s="150"/>
    </row>
    <row r="246" spans="5:5" ht="15.75" customHeight="1">
      <c r="E246" s="150"/>
    </row>
    <row r="247" spans="5:5" ht="15.75" customHeight="1">
      <c r="E247" s="150"/>
    </row>
    <row r="248" spans="5:5" ht="15.75" customHeight="1">
      <c r="E248" s="150"/>
    </row>
    <row r="249" spans="5:5" ht="15.75" customHeight="1">
      <c r="E249" s="150"/>
    </row>
    <row r="250" spans="5:5" ht="15.75" customHeight="1">
      <c r="E250" s="150"/>
    </row>
    <row r="251" spans="5:5" ht="15.75" customHeight="1">
      <c r="E251" s="150"/>
    </row>
    <row r="252" spans="5:5" ht="15.75" customHeight="1">
      <c r="E252" s="150"/>
    </row>
    <row r="253" spans="5:5" ht="15.75" customHeight="1">
      <c r="E253" s="150"/>
    </row>
    <row r="254" spans="5:5" ht="15.75" customHeight="1">
      <c r="E254" s="150"/>
    </row>
    <row r="255" spans="5:5" ht="15.75" customHeight="1">
      <c r="E255" s="150"/>
    </row>
    <row r="256" spans="5:5" ht="15.75" customHeight="1">
      <c r="E256" s="150"/>
    </row>
    <row r="257" spans="5:5" ht="15.75" customHeight="1">
      <c r="E257" s="150"/>
    </row>
    <row r="258" spans="5:5" ht="15.75" customHeight="1">
      <c r="E258" s="150"/>
    </row>
    <row r="259" spans="5:5" ht="15.75" customHeight="1">
      <c r="E259" s="150"/>
    </row>
    <row r="260" spans="5:5" ht="15.75" customHeight="1">
      <c r="E260" s="150"/>
    </row>
    <row r="261" spans="5:5" ht="15.75" customHeight="1">
      <c r="E261" s="150"/>
    </row>
    <row r="262" spans="5:5" ht="15.75" customHeight="1">
      <c r="E262" s="150"/>
    </row>
    <row r="263" spans="5:5" ht="15.75" customHeight="1">
      <c r="E263" s="150"/>
    </row>
    <row r="264" spans="5:5" ht="15.75" customHeight="1">
      <c r="E264" s="150"/>
    </row>
    <row r="265" spans="5:5" ht="15.75" customHeight="1">
      <c r="E265" s="150"/>
    </row>
    <row r="266" spans="5:5" ht="15.75" customHeight="1">
      <c r="E266" s="150"/>
    </row>
    <row r="267" spans="5:5" ht="15.75" customHeight="1">
      <c r="E267" s="150"/>
    </row>
    <row r="268" spans="5:5" ht="15.75" customHeight="1">
      <c r="E268" s="150"/>
    </row>
    <row r="269" spans="5:5" ht="15.75" customHeight="1">
      <c r="E269" s="150"/>
    </row>
    <row r="270" spans="5:5" ht="15.75" customHeight="1">
      <c r="E270" s="150"/>
    </row>
    <row r="271" spans="5:5" ht="15.75" customHeight="1">
      <c r="E271" s="150"/>
    </row>
    <row r="272" spans="5:5" ht="15.75" customHeight="1">
      <c r="E272" s="150"/>
    </row>
    <row r="273" spans="5:5" ht="15.75" customHeight="1">
      <c r="E273" s="150"/>
    </row>
    <row r="274" spans="5:5" ht="15.75" customHeight="1">
      <c r="E274" s="150"/>
    </row>
    <row r="275" spans="5:5" ht="15.75" customHeight="1">
      <c r="E275" s="150"/>
    </row>
    <row r="276" spans="5:5" ht="15.75" customHeight="1">
      <c r="E276" s="150"/>
    </row>
    <row r="277" spans="5:5" ht="15.75" customHeight="1">
      <c r="E277" s="150"/>
    </row>
    <row r="278" spans="5:5" ht="15.75" customHeight="1">
      <c r="E278" s="150"/>
    </row>
    <row r="279" spans="5:5" ht="15.75" customHeight="1">
      <c r="E279" s="150"/>
    </row>
    <row r="280" spans="5:5" ht="15.75" customHeight="1">
      <c r="E280" s="150"/>
    </row>
    <row r="281" spans="5:5" ht="15.75" customHeight="1">
      <c r="E281" s="150"/>
    </row>
    <row r="282" spans="5:5" ht="15.75" customHeight="1">
      <c r="E282" s="150"/>
    </row>
    <row r="283" spans="5:5" ht="15.75" customHeight="1">
      <c r="E283" s="150"/>
    </row>
    <row r="284" spans="5:5" ht="15.75" customHeight="1">
      <c r="E284" s="150"/>
    </row>
    <row r="285" spans="5:5" ht="15.75" customHeight="1">
      <c r="E285" s="150"/>
    </row>
    <row r="286" spans="5:5" ht="15.75" customHeight="1">
      <c r="E286" s="150"/>
    </row>
    <row r="287" spans="5:5" ht="15.75" customHeight="1">
      <c r="E287" s="150"/>
    </row>
    <row r="288" spans="5:5" ht="15.75" customHeight="1">
      <c r="E288" s="150"/>
    </row>
    <row r="289" spans="5:5" ht="15.75" customHeight="1">
      <c r="E289" s="150"/>
    </row>
    <row r="290" spans="5:5" ht="15.75" customHeight="1">
      <c r="E290" s="150"/>
    </row>
    <row r="291" spans="5:5" ht="15.75" customHeight="1">
      <c r="E291" s="150"/>
    </row>
    <row r="292" spans="5:5" ht="15.75" customHeight="1">
      <c r="E292" s="150"/>
    </row>
    <row r="293" spans="5:5" ht="15.75" customHeight="1">
      <c r="E293" s="150"/>
    </row>
    <row r="294" spans="5:5" ht="15.75" customHeight="1">
      <c r="E294" s="150"/>
    </row>
    <row r="295" spans="5:5" ht="15.75" customHeight="1">
      <c r="E295" s="150"/>
    </row>
    <row r="296" spans="5:5" ht="15.75" customHeight="1">
      <c r="E296" s="150"/>
    </row>
    <row r="297" spans="5:5" ht="15.75" customHeight="1">
      <c r="E297" s="150"/>
    </row>
    <row r="298" spans="5:5" ht="15.75" customHeight="1">
      <c r="E298" s="150"/>
    </row>
    <row r="299" spans="5:5" ht="15.75" customHeight="1">
      <c r="E299" s="150"/>
    </row>
    <row r="300" spans="5:5" ht="15.75" customHeight="1">
      <c r="E300" s="150"/>
    </row>
    <row r="301" spans="5:5" ht="15.75" customHeight="1">
      <c r="E301" s="150"/>
    </row>
    <row r="302" spans="5:5" ht="15.75" customHeight="1">
      <c r="E302" s="150"/>
    </row>
    <row r="303" spans="5:5" ht="15.75" customHeight="1">
      <c r="E303" s="150"/>
    </row>
    <row r="304" spans="5:5" ht="15.75" customHeight="1">
      <c r="E304" s="150"/>
    </row>
    <row r="305" spans="5:5" ht="15.75" customHeight="1">
      <c r="E305" s="150"/>
    </row>
    <row r="306" spans="5:5" ht="15.75" customHeight="1">
      <c r="E306" s="150"/>
    </row>
    <row r="307" spans="5:5" ht="15.75" customHeight="1">
      <c r="E307" s="150"/>
    </row>
    <row r="308" spans="5:5" ht="15.75" customHeight="1">
      <c r="E308" s="150"/>
    </row>
    <row r="309" spans="5:5" ht="15.75" customHeight="1">
      <c r="E309" s="150"/>
    </row>
    <row r="310" spans="5:5" ht="15.75" customHeight="1">
      <c r="E310" s="150"/>
    </row>
    <row r="311" spans="5:5" ht="15.75" customHeight="1">
      <c r="E311" s="150"/>
    </row>
    <row r="312" spans="5:5" ht="15.75" customHeight="1">
      <c r="E312" s="150"/>
    </row>
    <row r="313" spans="5:5" ht="15.75" customHeight="1">
      <c r="E313" s="150"/>
    </row>
    <row r="314" spans="5:5" ht="15.75" customHeight="1">
      <c r="E314" s="150"/>
    </row>
    <row r="315" spans="5:5" ht="15.75" customHeight="1">
      <c r="E315" s="150"/>
    </row>
    <row r="316" spans="5:5" ht="15.75" customHeight="1">
      <c r="E316" s="150"/>
    </row>
    <row r="317" spans="5:5" ht="15.75" customHeight="1">
      <c r="E317" s="150"/>
    </row>
    <row r="318" spans="5:5" ht="15.75" customHeight="1">
      <c r="E318" s="150"/>
    </row>
    <row r="319" spans="5:5" ht="15.75" customHeight="1">
      <c r="E319" s="150"/>
    </row>
    <row r="320" spans="5:5" ht="15.75" customHeight="1">
      <c r="E320" s="150"/>
    </row>
    <row r="321" spans="5:5" ht="15.75" customHeight="1">
      <c r="E321" s="150"/>
    </row>
    <row r="322" spans="5:5" ht="15.75" customHeight="1">
      <c r="E322" s="150"/>
    </row>
    <row r="323" spans="5:5" ht="15.75" customHeight="1">
      <c r="E323" s="150"/>
    </row>
    <row r="324" spans="5:5" ht="15.75" customHeight="1">
      <c r="E324" s="150"/>
    </row>
    <row r="325" spans="5:5" ht="15.75" customHeight="1">
      <c r="E325" s="150"/>
    </row>
    <row r="326" spans="5:5" ht="15.75" customHeight="1">
      <c r="E326" s="150"/>
    </row>
    <row r="327" spans="5:5" ht="15.75" customHeight="1">
      <c r="E327" s="150"/>
    </row>
    <row r="328" spans="5:5" ht="15.75" customHeight="1">
      <c r="E328" s="150"/>
    </row>
    <row r="329" spans="5:5" ht="15.75" customHeight="1">
      <c r="E329" s="150"/>
    </row>
    <row r="330" spans="5:5" ht="15.75" customHeight="1">
      <c r="E330" s="150"/>
    </row>
    <row r="331" spans="5:5" ht="15.75" customHeight="1">
      <c r="E331" s="150"/>
    </row>
    <row r="332" spans="5:5" ht="15.75" customHeight="1">
      <c r="E332" s="150"/>
    </row>
    <row r="333" spans="5:5" ht="15.75" customHeight="1">
      <c r="E333" s="150"/>
    </row>
    <row r="334" spans="5:5" ht="15.75" customHeight="1">
      <c r="E334" s="150"/>
    </row>
    <row r="335" spans="5:5" ht="15.75" customHeight="1">
      <c r="E335" s="150"/>
    </row>
    <row r="336" spans="5:5" ht="15.75" customHeight="1">
      <c r="E336" s="150"/>
    </row>
    <row r="337" spans="5:5" ht="15.75" customHeight="1">
      <c r="E337" s="150"/>
    </row>
    <row r="338" spans="5:5" ht="15.75" customHeight="1">
      <c r="E338" s="150"/>
    </row>
    <row r="339" spans="5:5" ht="15.75" customHeight="1">
      <c r="E339" s="150"/>
    </row>
    <row r="340" spans="5:5" ht="15.75" customHeight="1">
      <c r="E340" s="150"/>
    </row>
    <row r="341" spans="5:5" ht="15.75" customHeight="1">
      <c r="E341" s="150"/>
    </row>
    <row r="342" spans="5:5" ht="15.75" customHeight="1">
      <c r="E342" s="150"/>
    </row>
    <row r="343" spans="5:5" ht="15.75" customHeight="1">
      <c r="E343" s="150"/>
    </row>
    <row r="344" spans="5:5" ht="15.75" customHeight="1">
      <c r="E344" s="150"/>
    </row>
    <row r="345" spans="5:5" ht="15.75" customHeight="1">
      <c r="E345" s="150"/>
    </row>
    <row r="346" spans="5:5" ht="15.75" customHeight="1">
      <c r="E346" s="150"/>
    </row>
    <row r="347" spans="5:5" ht="15.75" customHeight="1">
      <c r="E347" s="150"/>
    </row>
    <row r="348" spans="5:5" ht="15.75" customHeight="1">
      <c r="E348" s="150"/>
    </row>
    <row r="349" spans="5:5" ht="15.75" customHeight="1">
      <c r="E349" s="150"/>
    </row>
    <row r="350" spans="5:5" ht="15.75" customHeight="1">
      <c r="E350" s="150"/>
    </row>
    <row r="351" spans="5:5" ht="15.75" customHeight="1">
      <c r="E351" s="150"/>
    </row>
    <row r="352" spans="5:5" ht="15.75" customHeight="1">
      <c r="E352" s="150"/>
    </row>
    <row r="353" spans="5:5" ht="15.75" customHeight="1">
      <c r="E353" s="150"/>
    </row>
    <row r="354" spans="5:5" ht="15.75" customHeight="1">
      <c r="E354" s="150"/>
    </row>
    <row r="355" spans="5:5" ht="15.75" customHeight="1">
      <c r="E355" s="150"/>
    </row>
    <row r="356" spans="5:5" ht="15.75" customHeight="1">
      <c r="E356" s="150"/>
    </row>
    <row r="357" spans="5:5" ht="15.75" customHeight="1">
      <c r="E357" s="150"/>
    </row>
    <row r="358" spans="5:5" ht="15.75" customHeight="1">
      <c r="E358" s="150"/>
    </row>
    <row r="359" spans="5:5" ht="15.75" customHeight="1">
      <c r="E359" s="150"/>
    </row>
    <row r="360" spans="5:5" ht="15.75" customHeight="1">
      <c r="E360" s="150"/>
    </row>
    <row r="361" spans="5:5" ht="15.75" customHeight="1">
      <c r="E361" s="150"/>
    </row>
    <row r="362" spans="5:5" ht="15.75" customHeight="1">
      <c r="E362" s="150"/>
    </row>
    <row r="363" spans="5:5" ht="15.75" customHeight="1">
      <c r="E363" s="150"/>
    </row>
    <row r="364" spans="5:5" ht="15.75" customHeight="1">
      <c r="E364" s="150"/>
    </row>
    <row r="365" spans="5:5" ht="15.75" customHeight="1">
      <c r="E365" s="150"/>
    </row>
    <row r="366" spans="5:5" ht="15.75" customHeight="1">
      <c r="E366" s="150"/>
    </row>
    <row r="367" spans="5:5" ht="15.75" customHeight="1">
      <c r="E367" s="150"/>
    </row>
    <row r="368" spans="5:5" ht="15.75" customHeight="1">
      <c r="E368" s="150"/>
    </row>
    <row r="369" spans="5:5" ht="15.75" customHeight="1">
      <c r="E369" s="150"/>
    </row>
    <row r="370" spans="5:5" ht="15.75" customHeight="1">
      <c r="E370" s="150"/>
    </row>
    <row r="371" spans="5:5" ht="15.75" customHeight="1">
      <c r="E371" s="150"/>
    </row>
    <row r="372" spans="5:5" ht="15.75" customHeight="1">
      <c r="E372" s="150"/>
    </row>
    <row r="373" spans="5:5" ht="15.75" customHeight="1">
      <c r="E373" s="150"/>
    </row>
    <row r="374" spans="5:5" ht="15.75" customHeight="1">
      <c r="E374" s="150"/>
    </row>
    <row r="375" spans="5:5" ht="15.75" customHeight="1">
      <c r="E375" s="150"/>
    </row>
    <row r="376" spans="5:5" ht="15.75" customHeight="1">
      <c r="E376" s="150"/>
    </row>
    <row r="377" spans="5:5" ht="15.75" customHeight="1">
      <c r="E377" s="150"/>
    </row>
    <row r="378" spans="5:5" ht="15.75" customHeight="1">
      <c r="E378" s="150"/>
    </row>
    <row r="379" spans="5:5" ht="15.75" customHeight="1">
      <c r="E379" s="150"/>
    </row>
    <row r="380" spans="5:5" ht="15.75" customHeight="1">
      <c r="E380" s="150"/>
    </row>
    <row r="381" spans="5:5" ht="15.75" customHeight="1">
      <c r="E381" s="150"/>
    </row>
    <row r="382" spans="5:5" ht="15.75" customHeight="1">
      <c r="E382" s="150"/>
    </row>
    <row r="383" spans="5:5" ht="15.75" customHeight="1">
      <c r="E383" s="150"/>
    </row>
    <row r="384" spans="5:5" ht="15.75" customHeight="1">
      <c r="E384" s="150"/>
    </row>
    <row r="385" spans="5:5" ht="15.75" customHeight="1">
      <c r="E385" s="150"/>
    </row>
    <row r="386" spans="5:5" ht="15.75" customHeight="1">
      <c r="E386" s="150"/>
    </row>
    <row r="387" spans="5:5" ht="15.75" customHeight="1">
      <c r="E387" s="150"/>
    </row>
    <row r="388" spans="5:5" ht="15.75" customHeight="1">
      <c r="E388" s="150"/>
    </row>
    <row r="389" spans="5:5" ht="15.75" customHeight="1">
      <c r="E389" s="150"/>
    </row>
    <row r="390" spans="5:5" ht="15.75" customHeight="1">
      <c r="E390" s="150"/>
    </row>
    <row r="391" spans="5:5" ht="15.75" customHeight="1">
      <c r="E391" s="150"/>
    </row>
    <row r="392" spans="5:5" ht="15.75" customHeight="1">
      <c r="E392" s="150"/>
    </row>
    <row r="393" spans="5:5" ht="15.75" customHeight="1">
      <c r="E393" s="150"/>
    </row>
    <row r="394" spans="5:5" ht="15.75" customHeight="1">
      <c r="E394" s="150"/>
    </row>
    <row r="395" spans="5:5" ht="15.75" customHeight="1">
      <c r="E395" s="150"/>
    </row>
    <row r="396" spans="5:5" ht="15.75" customHeight="1">
      <c r="E396" s="150"/>
    </row>
    <row r="397" spans="5:5" ht="15.75" customHeight="1">
      <c r="E397" s="150"/>
    </row>
    <row r="398" spans="5:5" ht="15.75" customHeight="1">
      <c r="E398" s="150"/>
    </row>
    <row r="399" spans="5:5" ht="15.75" customHeight="1">
      <c r="E399" s="150"/>
    </row>
    <row r="400" spans="5:5" ht="15.75" customHeight="1">
      <c r="E400" s="150"/>
    </row>
    <row r="401" spans="5:5" ht="15.75" customHeight="1">
      <c r="E401" s="150"/>
    </row>
    <row r="402" spans="5:5" ht="15.75" customHeight="1">
      <c r="E402" s="150"/>
    </row>
    <row r="403" spans="5:5" ht="15.75" customHeight="1">
      <c r="E403" s="150"/>
    </row>
    <row r="404" spans="5:5" ht="15.75" customHeight="1">
      <c r="E404" s="150"/>
    </row>
    <row r="405" spans="5:5" ht="15.75" customHeight="1">
      <c r="E405" s="150"/>
    </row>
    <row r="406" spans="5:5" ht="15.75" customHeight="1">
      <c r="E406" s="150"/>
    </row>
    <row r="407" spans="5:5" ht="15.75" customHeight="1">
      <c r="E407" s="150"/>
    </row>
    <row r="408" spans="5:5" ht="15.75" customHeight="1">
      <c r="E408" s="150"/>
    </row>
    <row r="409" spans="5:5" ht="15.75" customHeight="1">
      <c r="E409" s="150"/>
    </row>
    <row r="410" spans="5:5" ht="15.75" customHeight="1">
      <c r="E410" s="150"/>
    </row>
    <row r="411" spans="5:5" ht="15.75" customHeight="1">
      <c r="E411" s="150"/>
    </row>
    <row r="412" spans="5:5" ht="15.75" customHeight="1">
      <c r="E412" s="150"/>
    </row>
    <row r="413" spans="5:5" ht="15.75" customHeight="1">
      <c r="E413" s="150"/>
    </row>
    <row r="414" spans="5:5" ht="15.75" customHeight="1">
      <c r="E414" s="150"/>
    </row>
    <row r="415" spans="5:5" ht="15.75" customHeight="1">
      <c r="E415" s="150"/>
    </row>
    <row r="416" spans="5:5" ht="15.75" customHeight="1">
      <c r="E416" s="150"/>
    </row>
    <row r="417" spans="5:5" ht="15.75" customHeight="1">
      <c r="E417" s="150"/>
    </row>
    <row r="418" spans="5:5" ht="15.75" customHeight="1">
      <c r="E418" s="150"/>
    </row>
    <row r="419" spans="5:5" ht="15.75" customHeight="1">
      <c r="E419" s="150"/>
    </row>
    <row r="420" spans="5:5" ht="15.75" customHeight="1">
      <c r="E420" s="150"/>
    </row>
    <row r="421" spans="5:5" ht="15.75" customHeight="1">
      <c r="E421" s="150"/>
    </row>
    <row r="422" spans="5:5" ht="15.75" customHeight="1">
      <c r="E422" s="150"/>
    </row>
    <row r="423" spans="5:5" ht="15.75" customHeight="1">
      <c r="E423" s="150"/>
    </row>
    <row r="424" spans="5:5" ht="15.75" customHeight="1">
      <c r="E424" s="150"/>
    </row>
    <row r="425" spans="5:5" ht="15.75" customHeight="1">
      <c r="E425" s="150"/>
    </row>
    <row r="426" spans="5:5" ht="15.75" customHeight="1">
      <c r="E426" s="150"/>
    </row>
    <row r="427" spans="5:5" ht="15.75" customHeight="1">
      <c r="E427" s="150"/>
    </row>
    <row r="428" spans="5:5" ht="15.75" customHeight="1">
      <c r="E428" s="150"/>
    </row>
    <row r="429" spans="5:5" ht="15.75" customHeight="1">
      <c r="E429" s="150"/>
    </row>
    <row r="430" spans="5:5" ht="15.75" customHeight="1">
      <c r="E430" s="150"/>
    </row>
    <row r="431" spans="5:5" ht="15.75" customHeight="1">
      <c r="E431" s="150"/>
    </row>
    <row r="432" spans="5:5" ht="15.75" customHeight="1">
      <c r="E432" s="150"/>
    </row>
    <row r="433" spans="5:5" ht="15.75" customHeight="1">
      <c r="E433" s="150"/>
    </row>
    <row r="434" spans="5:5" ht="15.75" customHeight="1">
      <c r="E434" s="150"/>
    </row>
    <row r="435" spans="5:5" ht="15.75" customHeight="1">
      <c r="E435" s="150"/>
    </row>
    <row r="436" spans="5:5" ht="15.75" customHeight="1">
      <c r="E436" s="150"/>
    </row>
    <row r="437" spans="5:5" ht="15.75" customHeight="1">
      <c r="E437" s="150"/>
    </row>
    <row r="438" spans="5:5" ht="15.75" customHeight="1">
      <c r="E438" s="150"/>
    </row>
    <row r="439" spans="5:5" ht="15.75" customHeight="1">
      <c r="E439" s="150"/>
    </row>
    <row r="440" spans="5:5" ht="15.75" customHeight="1">
      <c r="E440" s="150"/>
    </row>
    <row r="441" spans="5:5" ht="15.75" customHeight="1">
      <c r="E441" s="150"/>
    </row>
    <row r="442" spans="5:5" ht="15.75" customHeight="1">
      <c r="E442" s="150"/>
    </row>
    <row r="443" spans="5:5" ht="15.75" customHeight="1">
      <c r="E443" s="150"/>
    </row>
    <row r="444" spans="5:5" ht="15.75" customHeight="1">
      <c r="E444" s="150"/>
    </row>
    <row r="445" spans="5:5" ht="15.75" customHeight="1">
      <c r="E445" s="150"/>
    </row>
    <row r="446" spans="5:5" ht="15.75" customHeight="1">
      <c r="E446" s="150"/>
    </row>
    <row r="447" spans="5:5" ht="15.75" customHeight="1">
      <c r="E447" s="150"/>
    </row>
    <row r="448" spans="5:5" ht="15.75" customHeight="1">
      <c r="E448" s="150"/>
    </row>
    <row r="449" spans="5:5" ht="15.75" customHeight="1">
      <c r="E449" s="150"/>
    </row>
    <row r="450" spans="5:5" ht="15.75" customHeight="1">
      <c r="E450" s="150"/>
    </row>
    <row r="451" spans="5:5" ht="15.75" customHeight="1">
      <c r="E451" s="150"/>
    </row>
    <row r="452" spans="5:5" ht="15.75" customHeight="1">
      <c r="E452" s="150"/>
    </row>
    <row r="453" spans="5:5" ht="15.75" customHeight="1">
      <c r="E453" s="150"/>
    </row>
    <row r="454" spans="5:5" ht="15.75" customHeight="1">
      <c r="E454" s="150"/>
    </row>
    <row r="455" spans="5:5" ht="15.75" customHeight="1">
      <c r="E455" s="150"/>
    </row>
    <row r="456" spans="5:5" ht="15.75" customHeight="1">
      <c r="E456" s="150"/>
    </row>
    <row r="457" spans="5:5" ht="15.75" customHeight="1">
      <c r="E457" s="150"/>
    </row>
    <row r="458" spans="5:5" ht="15.75" customHeight="1">
      <c r="E458" s="150"/>
    </row>
    <row r="459" spans="5:5" ht="15.75" customHeight="1">
      <c r="E459" s="150"/>
    </row>
    <row r="460" spans="5:5" ht="15.75" customHeight="1">
      <c r="E460" s="150"/>
    </row>
    <row r="461" spans="5:5" ht="15.75" customHeight="1">
      <c r="E461" s="150"/>
    </row>
    <row r="462" spans="5:5" ht="15.75" customHeight="1">
      <c r="E462" s="150"/>
    </row>
    <row r="463" spans="5:5" ht="15.75" customHeight="1">
      <c r="E463" s="150"/>
    </row>
    <row r="464" spans="5:5" ht="15.75" customHeight="1">
      <c r="E464" s="150"/>
    </row>
    <row r="465" spans="5:5" ht="15.75" customHeight="1">
      <c r="E465" s="150"/>
    </row>
    <row r="466" spans="5:5" ht="15.75" customHeight="1">
      <c r="E466" s="150"/>
    </row>
    <row r="467" spans="5:5" ht="15.75" customHeight="1">
      <c r="E467" s="150"/>
    </row>
    <row r="468" spans="5:5" ht="15.75" customHeight="1">
      <c r="E468" s="150"/>
    </row>
    <row r="469" spans="5:5" ht="15.75" customHeight="1">
      <c r="E469" s="150"/>
    </row>
    <row r="470" spans="5:5" ht="15.75" customHeight="1">
      <c r="E470" s="150"/>
    </row>
    <row r="471" spans="5:5" ht="15.75" customHeight="1">
      <c r="E471" s="150"/>
    </row>
    <row r="472" spans="5:5" ht="15.75" customHeight="1">
      <c r="E472" s="150"/>
    </row>
    <row r="473" spans="5:5" ht="15.75" customHeight="1">
      <c r="E473" s="150"/>
    </row>
    <row r="474" spans="5:5" ht="15.75" customHeight="1">
      <c r="E474" s="150"/>
    </row>
    <row r="475" spans="5:5" ht="15.75" customHeight="1">
      <c r="E475" s="150"/>
    </row>
    <row r="476" spans="5:5" ht="15.75" customHeight="1">
      <c r="E476" s="150"/>
    </row>
    <row r="477" spans="5:5" ht="15.75" customHeight="1">
      <c r="E477" s="150"/>
    </row>
    <row r="478" spans="5:5" ht="15.75" customHeight="1">
      <c r="E478" s="150"/>
    </row>
    <row r="479" spans="5:5" ht="15.75" customHeight="1">
      <c r="E479" s="150"/>
    </row>
    <row r="480" spans="5:5" ht="15.75" customHeight="1">
      <c r="E480" s="150"/>
    </row>
    <row r="481" spans="5:5" ht="15.75" customHeight="1">
      <c r="E481" s="150"/>
    </row>
    <row r="482" spans="5:5" ht="15.75" customHeight="1">
      <c r="E482" s="150"/>
    </row>
    <row r="483" spans="5:5" ht="15.75" customHeight="1">
      <c r="E483" s="150"/>
    </row>
    <row r="484" spans="5:5" ht="15.75" customHeight="1">
      <c r="E484" s="150"/>
    </row>
    <row r="485" spans="5:5" ht="15.75" customHeight="1">
      <c r="E485" s="150"/>
    </row>
    <row r="486" spans="5:5" ht="15.75" customHeight="1">
      <c r="E486" s="150"/>
    </row>
    <row r="487" spans="5:5" ht="15.75" customHeight="1">
      <c r="E487" s="150"/>
    </row>
    <row r="488" spans="5:5" ht="15.75" customHeight="1">
      <c r="E488" s="150"/>
    </row>
    <row r="489" spans="5:5" ht="15.75" customHeight="1">
      <c r="E489" s="150"/>
    </row>
    <row r="490" spans="5:5" ht="15.75" customHeight="1">
      <c r="E490" s="150"/>
    </row>
    <row r="491" spans="5:5" ht="15.75" customHeight="1">
      <c r="E491" s="150"/>
    </row>
    <row r="492" spans="5:5" ht="15.75" customHeight="1">
      <c r="E492" s="150"/>
    </row>
    <row r="493" spans="5:5" ht="15.75" customHeight="1">
      <c r="E493" s="150"/>
    </row>
    <row r="494" spans="5:5" ht="15.75" customHeight="1">
      <c r="E494" s="150"/>
    </row>
    <row r="495" spans="5:5" ht="15.75" customHeight="1">
      <c r="E495" s="150"/>
    </row>
    <row r="496" spans="5:5" ht="15.75" customHeight="1">
      <c r="E496" s="150"/>
    </row>
    <row r="497" spans="5:5" ht="15.75" customHeight="1">
      <c r="E497" s="150"/>
    </row>
    <row r="498" spans="5:5" ht="15.75" customHeight="1">
      <c r="E498" s="150"/>
    </row>
    <row r="499" spans="5:5" ht="15.75" customHeight="1">
      <c r="E499" s="150"/>
    </row>
    <row r="500" spans="5:5" ht="15.75" customHeight="1">
      <c r="E500" s="150"/>
    </row>
    <row r="501" spans="5:5" ht="15.75" customHeight="1">
      <c r="E501" s="150"/>
    </row>
    <row r="502" spans="5:5" ht="15.75" customHeight="1">
      <c r="E502" s="150"/>
    </row>
    <row r="503" spans="5:5" ht="15.75" customHeight="1">
      <c r="E503" s="150"/>
    </row>
    <row r="504" spans="5:5" ht="15.75" customHeight="1">
      <c r="E504" s="150"/>
    </row>
    <row r="505" spans="5:5" ht="15.75" customHeight="1">
      <c r="E505" s="150"/>
    </row>
    <row r="506" spans="5:5" ht="15.75" customHeight="1">
      <c r="E506" s="150"/>
    </row>
    <row r="507" spans="5:5" ht="15.75" customHeight="1">
      <c r="E507" s="150"/>
    </row>
    <row r="508" spans="5:5" ht="15.75" customHeight="1">
      <c r="E508" s="150"/>
    </row>
    <row r="509" spans="5:5" ht="15.75" customHeight="1">
      <c r="E509" s="150"/>
    </row>
    <row r="510" spans="5:5" ht="15.75" customHeight="1">
      <c r="E510" s="150"/>
    </row>
    <row r="511" spans="5:5" ht="15.75" customHeight="1">
      <c r="E511" s="150"/>
    </row>
    <row r="512" spans="5:5" ht="15.75" customHeight="1">
      <c r="E512" s="150"/>
    </row>
    <row r="513" spans="5:5" ht="15.75" customHeight="1">
      <c r="E513" s="150"/>
    </row>
    <row r="514" spans="5:5" ht="15.75" customHeight="1">
      <c r="E514" s="150"/>
    </row>
    <row r="515" spans="5:5" ht="15.75" customHeight="1">
      <c r="E515" s="150"/>
    </row>
    <row r="516" spans="5:5" ht="15.75" customHeight="1">
      <c r="E516" s="150"/>
    </row>
    <row r="517" spans="5:5" ht="15.75" customHeight="1">
      <c r="E517" s="150"/>
    </row>
    <row r="518" spans="5:5" ht="15.75" customHeight="1">
      <c r="E518" s="150"/>
    </row>
    <row r="519" spans="5:5" ht="15.75" customHeight="1">
      <c r="E519" s="150"/>
    </row>
    <row r="520" spans="5:5" ht="15.75" customHeight="1">
      <c r="E520" s="150"/>
    </row>
    <row r="521" spans="5:5" ht="15.75" customHeight="1">
      <c r="E521" s="150"/>
    </row>
    <row r="522" spans="5:5" ht="15.75" customHeight="1">
      <c r="E522" s="150"/>
    </row>
    <row r="523" spans="5:5" ht="15.75" customHeight="1">
      <c r="E523" s="150"/>
    </row>
    <row r="524" spans="5:5" ht="15.75" customHeight="1">
      <c r="E524" s="150"/>
    </row>
    <row r="525" spans="5:5" ht="15.75" customHeight="1">
      <c r="E525" s="150"/>
    </row>
    <row r="526" spans="5:5" ht="15.75" customHeight="1">
      <c r="E526" s="150"/>
    </row>
    <row r="527" spans="5:5" ht="15.75" customHeight="1">
      <c r="E527" s="150"/>
    </row>
    <row r="528" spans="5:5" ht="15.75" customHeight="1">
      <c r="E528" s="150"/>
    </row>
    <row r="529" spans="5:5" ht="15.75" customHeight="1">
      <c r="E529" s="150"/>
    </row>
    <row r="530" spans="5:5" ht="15.75" customHeight="1">
      <c r="E530" s="150"/>
    </row>
    <row r="531" spans="5:5" ht="15.75" customHeight="1">
      <c r="E531" s="150"/>
    </row>
    <row r="532" spans="5:5" ht="15.75" customHeight="1">
      <c r="E532" s="150"/>
    </row>
    <row r="533" spans="5:5" ht="15.75" customHeight="1">
      <c r="E533" s="150"/>
    </row>
    <row r="534" spans="5:5" ht="15.75" customHeight="1">
      <c r="E534" s="150"/>
    </row>
    <row r="535" spans="5:5" ht="15.75" customHeight="1">
      <c r="E535" s="150"/>
    </row>
    <row r="536" spans="5:5" ht="15.75" customHeight="1">
      <c r="E536" s="150"/>
    </row>
    <row r="537" spans="5:5" ht="15.75" customHeight="1">
      <c r="E537" s="150"/>
    </row>
    <row r="538" spans="5:5" ht="15.75" customHeight="1">
      <c r="E538" s="150"/>
    </row>
    <row r="539" spans="5:5" ht="15.75" customHeight="1">
      <c r="E539" s="150"/>
    </row>
    <row r="540" spans="5:5" ht="15.75" customHeight="1">
      <c r="E540" s="150"/>
    </row>
    <row r="541" spans="5:5" ht="15.75" customHeight="1">
      <c r="E541" s="150"/>
    </row>
    <row r="542" spans="5:5" ht="15.75" customHeight="1">
      <c r="E542" s="150"/>
    </row>
    <row r="543" spans="5:5" ht="15.75" customHeight="1">
      <c r="E543" s="150"/>
    </row>
    <row r="544" spans="5:5" ht="15.75" customHeight="1">
      <c r="E544" s="150"/>
    </row>
    <row r="545" spans="5:5" ht="15.75" customHeight="1">
      <c r="E545" s="150"/>
    </row>
    <row r="546" spans="5:5" ht="15.75" customHeight="1">
      <c r="E546" s="150"/>
    </row>
    <row r="547" spans="5:5" ht="15.75" customHeight="1">
      <c r="E547" s="150"/>
    </row>
    <row r="548" spans="5:5" ht="15.75" customHeight="1">
      <c r="E548" s="150"/>
    </row>
    <row r="549" spans="5:5" ht="15.75" customHeight="1">
      <c r="E549" s="150"/>
    </row>
    <row r="550" spans="5:5" ht="15.75" customHeight="1">
      <c r="E550" s="150"/>
    </row>
    <row r="551" spans="5:5" ht="15.75" customHeight="1">
      <c r="E551" s="150"/>
    </row>
    <row r="552" spans="5:5" ht="15.75" customHeight="1">
      <c r="E552" s="150"/>
    </row>
    <row r="553" spans="5:5" ht="15.75" customHeight="1">
      <c r="E553" s="150"/>
    </row>
    <row r="554" spans="5:5" ht="15.75" customHeight="1">
      <c r="E554" s="150"/>
    </row>
    <row r="555" spans="5:5" ht="15.75" customHeight="1">
      <c r="E555" s="150"/>
    </row>
    <row r="556" spans="5:5" ht="15.75" customHeight="1">
      <c r="E556" s="150"/>
    </row>
    <row r="557" spans="5:5" ht="15.75" customHeight="1">
      <c r="E557" s="150"/>
    </row>
    <row r="558" spans="5:5" ht="15.75" customHeight="1">
      <c r="E558" s="150"/>
    </row>
    <row r="559" spans="5:5" ht="15.75" customHeight="1">
      <c r="E559" s="150"/>
    </row>
    <row r="560" spans="5:5" ht="15.75" customHeight="1">
      <c r="E560" s="150"/>
    </row>
    <row r="561" spans="5:5" ht="15.75" customHeight="1">
      <c r="E561" s="150"/>
    </row>
    <row r="562" spans="5:5" ht="15.75" customHeight="1">
      <c r="E562" s="150"/>
    </row>
    <row r="563" spans="5:5" ht="15.75" customHeight="1">
      <c r="E563" s="150"/>
    </row>
    <row r="564" spans="5:5" ht="15.75" customHeight="1">
      <c r="E564" s="150"/>
    </row>
    <row r="565" spans="5:5" ht="15.75" customHeight="1">
      <c r="E565" s="150"/>
    </row>
    <row r="566" spans="5:5" ht="15.75" customHeight="1">
      <c r="E566" s="150"/>
    </row>
    <row r="567" spans="5:5" ht="15.75" customHeight="1">
      <c r="E567" s="150"/>
    </row>
    <row r="568" spans="5:5" ht="15.75" customHeight="1">
      <c r="E568" s="150"/>
    </row>
    <row r="569" spans="5:5" ht="15.75" customHeight="1">
      <c r="E569" s="150"/>
    </row>
    <row r="570" spans="5:5" ht="15.75" customHeight="1">
      <c r="E570" s="150"/>
    </row>
    <row r="571" spans="5:5" ht="15.75" customHeight="1">
      <c r="E571" s="150"/>
    </row>
    <row r="572" spans="5:5" ht="15.75" customHeight="1">
      <c r="E572" s="150"/>
    </row>
    <row r="573" spans="5:5" ht="15.75" customHeight="1">
      <c r="E573" s="150"/>
    </row>
    <row r="574" spans="5:5" ht="15.75" customHeight="1">
      <c r="E574" s="150"/>
    </row>
    <row r="575" spans="5:5" ht="15.75" customHeight="1">
      <c r="E575" s="150"/>
    </row>
    <row r="576" spans="5:5" ht="15.75" customHeight="1">
      <c r="E576" s="150"/>
    </row>
    <row r="577" spans="5:5" ht="15.75" customHeight="1">
      <c r="E577" s="150"/>
    </row>
    <row r="578" spans="5:5" ht="15.75" customHeight="1">
      <c r="E578" s="150"/>
    </row>
    <row r="579" spans="5:5" ht="15.75" customHeight="1">
      <c r="E579" s="150"/>
    </row>
    <row r="580" spans="5:5" ht="15.75" customHeight="1">
      <c r="E580" s="150"/>
    </row>
    <row r="581" spans="5:5" ht="15.75" customHeight="1">
      <c r="E581" s="150"/>
    </row>
    <row r="582" spans="5:5" ht="15.75" customHeight="1">
      <c r="E582" s="150"/>
    </row>
    <row r="583" spans="5:5" ht="15.75" customHeight="1">
      <c r="E583" s="150"/>
    </row>
    <row r="584" spans="5:5" ht="15.75" customHeight="1">
      <c r="E584" s="150"/>
    </row>
    <row r="585" spans="5:5" ht="15.75" customHeight="1">
      <c r="E585" s="150"/>
    </row>
    <row r="586" spans="5:5" ht="15.75" customHeight="1">
      <c r="E586" s="150"/>
    </row>
    <row r="587" spans="5:5" ht="15.75" customHeight="1">
      <c r="E587" s="150"/>
    </row>
    <row r="588" spans="5:5" ht="15.75" customHeight="1">
      <c r="E588" s="150"/>
    </row>
    <row r="589" spans="5:5" ht="15.75" customHeight="1">
      <c r="E589" s="150"/>
    </row>
    <row r="590" spans="5:5" ht="15.75" customHeight="1">
      <c r="E590" s="150"/>
    </row>
    <row r="591" spans="5:5" ht="15.75" customHeight="1">
      <c r="E591" s="150"/>
    </row>
    <row r="592" spans="5:5" ht="15.75" customHeight="1">
      <c r="E592" s="150"/>
    </row>
    <row r="593" spans="5:5" ht="15.75" customHeight="1">
      <c r="E593" s="150"/>
    </row>
    <row r="594" spans="5:5" ht="15.75" customHeight="1">
      <c r="E594" s="150"/>
    </row>
    <row r="595" spans="5:5" ht="15.75" customHeight="1">
      <c r="E595" s="150"/>
    </row>
    <row r="596" spans="5:5" ht="15.75" customHeight="1">
      <c r="E596" s="150"/>
    </row>
    <row r="597" spans="5:5" ht="15.75" customHeight="1">
      <c r="E597" s="150"/>
    </row>
    <row r="598" spans="5:5" ht="15.75" customHeight="1">
      <c r="E598" s="150"/>
    </row>
    <row r="599" spans="5:5" ht="15.75" customHeight="1">
      <c r="E599" s="150"/>
    </row>
    <row r="600" spans="5:5" ht="15.75" customHeight="1">
      <c r="E600" s="150"/>
    </row>
    <row r="601" spans="5:5" ht="15.75" customHeight="1">
      <c r="E601" s="150"/>
    </row>
    <row r="602" spans="5:5" ht="15.75" customHeight="1">
      <c r="E602" s="150"/>
    </row>
    <row r="603" spans="5:5" ht="15.75" customHeight="1">
      <c r="E603" s="150"/>
    </row>
    <row r="604" spans="5:5" ht="15.75" customHeight="1">
      <c r="E604" s="150"/>
    </row>
    <row r="605" spans="5:5" ht="15.75" customHeight="1">
      <c r="E605" s="150"/>
    </row>
    <row r="606" spans="5:5" ht="15.75" customHeight="1">
      <c r="E606" s="150"/>
    </row>
    <row r="607" spans="5:5" ht="15.75" customHeight="1">
      <c r="E607" s="150"/>
    </row>
    <row r="608" spans="5:5" ht="15.75" customHeight="1">
      <c r="E608" s="150"/>
    </row>
    <row r="609" spans="5:5" ht="15.75" customHeight="1">
      <c r="E609" s="150"/>
    </row>
    <row r="610" spans="5:5" ht="15.75" customHeight="1">
      <c r="E610" s="150"/>
    </row>
    <row r="611" spans="5:5" ht="15.75" customHeight="1">
      <c r="E611" s="150"/>
    </row>
    <row r="612" spans="5:5" ht="15.75" customHeight="1">
      <c r="E612" s="150"/>
    </row>
    <row r="613" spans="5:5" ht="15.75" customHeight="1">
      <c r="E613" s="150"/>
    </row>
    <row r="614" spans="5:5" ht="15.75" customHeight="1">
      <c r="E614" s="150"/>
    </row>
    <row r="615" spans="5:5" ht="15.75" customHeight="1">
      <c r="E615" s="150"/>
    </row>
    <row r="616" spans="5:5" ht="15.75" customHeight="1">
      <c r="E616" s="150"/>
    </row>
    <row r="617" spans="5:5" ht="15.75" customHeight="1">
      <c r="E617" s="150"/>
    </row>
    <row r="618" spans="5:5" ht="15.75" customHeight="1">
      <c r="E618" s="150"/>
    </row>
    <row r="619" spans="5:5" ht="15.75" customHeight="1">
      <c r="E619" s="150"/>
    </row>
    <row r="620" spans="5:5" ht="15.75" customHeight="1">
      <c r="E620" s="150"/>
    </row>
    <row r="621" spans="5:5" ht="15.75" customHeight="1">
      <c r="E621" s="150"/>
    </row>
    <row r="622" spans="5:5" ht="15.75" customHeight="1">
      <c r="E622" s="150"/>
    </row>
    <row r="623" spans="5:5" ht="15.75" customHeight="1">
      <c r="E623" s="150"/>
    </row>
    <row r="624" spans="5:5" ht="15.75" customHeight="1">
      <c r="E624" s="150"/>
    </row>
    <row r="625" spans="5:5" ht="15.75" customHeight="1">
      <c r="E625" s="150"/>
    </row>
    <row r="626" spans="5:5" ht="15.75" customHeight="1">
      <c r="E626" s="150"/>
    </row>
    <row r="627" spans="5:5" ht="15.75" customHeight="1">
      <c r="E627" s="150"/>
    </row>
    <row r="628" spans="5:5" ht="15.75" customHeight="1">
      <c r="E628" s="150"/>
    </row>
    <row r="629" spans="5:5" ht="15.75" customHeight="1">
      <c r="E629" s="150"/>
    </row>
    <row r="630" spans="5:5" ht="15.75" customHeight="1">
      <c r="E630" s="150"/>
    </row>
    <row r="631" spans="5:5" ht="15.75" customHeight="1">
      <c r="E631" s="150"/>
    </row>
    <row r="632" spans="5:5" ht="15.75" customHeight="1">
      <c r="E632" s="150"/>
    </row>
    <row r="633" spans="5:5" ht="15.75" customHeight="1">
      <c r="E633" s="150"/>
    </row>
    <row r="634" spans="5:5" ht="15.75" customHeight="1">
      <c r="E634" s="150"/>
    </row>
    <row r="635" spans="5:5" ht="15.75" customHeight="1">
      <c r="E635" s="150"/>
    </row>
    <row r="636" spans="5:5" ht="15.75" customHeight="1">
      <c r="E636" s="150"/>
    </row>
    <row r="637" spans="5:5" ht="15.75" customHeight="1">
      <c r="E637" s="150"/>
    </row>
    <row r="638" spans="5:5" ht="15.75" customHeight="1">
      <c r="E638" s="150"/>
    </row>
    <row r="639" spans="5:5" ht="15.75" customHeight="1">
      <c r="E639" s="150"/>
    </row>
    <row r="640" spans="5:5" ht="15.75" customHeight="1">
      <c r="E640" s="150"/>
    </row>
    <row r="641" spans="5:5" ht="15.75" customHeight="1">
      <c r="E641" s="150"/>
    </row>
    <row r="642" spans="5:5" ht="15.75" customHeight="1">
      <c r="E642" s="150"/>
    </row>
    <row r="643" spans="5:5" ht="15.75" customHeight="1">
      <c r="E643" s="150"/>
    </row>
    <row r="644" spans="5:5" ht="15.75" customHeight="1">
      <c r="E644" s="150"/>
    </row>
    <row r="645" spans="5:5" ht="15.75" customHeight="1">
      <c r="E645" s="150"/>
    </row>
    <row r="646" spans="5:5" ht="15.75" customHeight="1">
      <c r="E646" s="150"/>
    </row>
    <row r="647" spans="5:5" ht="15.75" customHeight="1">
      <c r="E647" s="150"/>
    </row>
    <row r="648" spans="5:5" ht="15.75" customHeight="1">
      <c r="E648" s="150"/>
    </row>
    <row r="649" spans="5:5" ht="15.75" customHeight="1">
      <c r="E649" s="150"/>
    </row>
    <row r="650" spans="5:5" ht="15.75" customHeight="1">
      <c r="E650" s="150"/>
    </row>
    <row r="651" spans="5:5" ht="15.75" customHeight="1">
      <c r="E651" s="150"/>
    </row>
    <row r="652" spans="5:5" ht="15.75" customHeight="1">
      <c r="E652" s="150"/>
    </row>
    <row r="653" spans="5:5" ht="15.75" customHeight="1">
      <c r="E653" s="150"/>
    </row>
    <row r="654" spans="5:5" ht="15.75" customHeight="1">
      <c r="E654" s="150"/>
    </row>
    <row r="655" spans="5:5" ht="15.75" customHeight="1">
      <c r="E655" s="150"/>
    </row>
    <row r="656" spans="5:5" ht="15.75" customHeight="1">
      <c r="E656" s="150"/>
    </row>
    <row r="657" spans="5:5" ht="15.75" customHeight="1">
      <c r="E657" s="150"/>
    </row>
    <row r="658" spans="5:5" ht="15.75" customHeight="1">
      <c r="E658" s="150"/>
    </row>
    <row r="659" spans="5:5" ht="15.75" customHeight="1">
      <c r="E659" s="150"/>
    </row>
    <row r="660" spans="5:5" ht="15.75" customHeight="1">
      <c r="E660" s="150"/>
    </row>
    <row r="661" spans="5:5" ht="15.75" customHeight="1">
      <c r="E661" s="150"/>
    </row>
    <row r="662" spans="5:5" ht="15.75" customHeight="1">
      <c r="E662" s="150"/>
    </row>
    <row r="663" spans="5:5" ht="15.75" customHeight="1">
      <c r="E663" s="150"/>
    </row>
    <row r="664" spans="5:5" ht="15.75" customHeight="1">
      <c r="E664" s="150"/>
    </row>
    <row r="665" spans="5:5" ht="15.75" customHeight="1">
      <c r="E665" s="150"/>
    </row>
    <row r="666" spans="5:5" ht="15.75" customHeight="1">
      <c r="E666" s="150"/>
    </row>
    <row r="667" spans="5:5" ht="15.75" customHeight="1">
      <c r="E667" s="150"/>
    </row>
    <row r="668" spans="5:5" ht="15.75" customHeight="1">
      <c r="E668" s="150"/>
    </row>
    <row r="669" spans="5:5" ht="15.75" customHeight="1">
      <c r="E669" s="150"/>
    </row>
    <row r="670" spans="5:5" ht="15.75" customHeight="1">
      <c r="E670" s="150"/>
    </row>
    <row r="671" spans="5:5" ht="15.75" customHeight="1">
      <c r="E671" s="150"/>
    </row>
    <row r="672" spans="5:5" ht="15.75" customHeight="1">
      <c r="E672" s="150"/>
    </row>
    <row r="673" spans="5:5" ht="15.75" customHeight="1">
      <c r="E673" s="150"/>
    </row>
    <row r="674" spans="5:5" ht="15.75" customHeight="1">
      <c r="E674" s="150"/>
    </row>
    <row r="675" spans="5:5" ht="15.75" customHeight="1">
      <c r="E675" s="150"/>
    </row>
    <row r="676" spans="5:5" ht="15.75" customHeight="1">
      <c r="E676" s="150"/>
    </row>
    <row r="677" spans="5:5" ht="15.75" customHeight="1">
      <c r="E677" s="150"/>
    </row>
    <row r="678" spans="5:5" ht="15.75" customHeight="1">
      <c r="E678" s="150"/>
    </row>
    <row r="679" spans="5:5" ht="15.75" customHeight="1">
      <c r="E679" s="150"/>
    </row>
    <row r="680" spans="5:5" ht="15.75" customHeight="1">
      <c r="E680" s="150"/>
    </row>
    <row r="681" spans="5:5" ht="15.75" customHeight="1">
      <c r="E681" s="150"/>
    </row>
    <row r="682" spans="5:5" ht="15.75" customHeight="1">
      <c r="E682" s="150"/>
    </row>
    <row r="683" spans="5:5" ht="15.75" customHeight="1">
      <c r="E683" s="150"/>
    </row>
    <row r="684" spans="5:5" ht="15.75" customHeight="1">
      <c r="E684" s="150"/>
    </row>
    <row r="685" spans="5:5" ht="15.75" customHeight="1">
      <c r="E685" s="150"/>
    </row>
    <row r="686" spans="5:5" ht="15.75" customHeight="1">
      <c r="E686" s="150"/>
    </row>
    <row r="687" spans="5:5" ht="15.75" customHeight="1">
      <c r="E687" s="150"/>
    </row>
    <row r="688" spans="5:5" ht="15.75" customHeight="1">
      <c r="E688" s="150"/>
    </row>
    <row r="689" spans="5:5" ht="15.75" customHeight="1">
      <c r="E689" s="150"/>
    </row>
    <row r="690" spans="5:5" ht="15.75" customHeight="1">
      <c r="E690" s="150"/>
    </row>
    <row r="691" spans="5:5" ht="15.75" customHeight="1">
      <c r="E691" s="150"/>
    </row>
    <row r="692" spans="5:5" ht="15.75" customHeight="1">
      <c r="E692" s="150"/>
    </row>
    <row r="693" spans="5:5" ht="15.75" customHeight="1">
      <c r="E693" s="150"/>
    </row>
    <row r="694" spans="5:5" ht="15.75" customHeight="1">
      <c r="E694" s="150"/>
    </row>
    <row r="695" spans="5:5" ht="15.75" customHeight="1">
      <c r="E695" s="150"/>
    </row>
    <row r="696" spans="5:5" ht="15.75" customHeight="1">
      <c r="E696" s="150"/>
    </row>
    <row r="697" spans="5:5" ht="15.75" customHeight="1">
      <c r="E697" s="150"/>
    </row>
    <row r="698" spans="5:5" ht="15.75" customHeight="1">
      <c r="E698" s="150"/>
    </row>
    <row r="699" spans="5:5" ht="15.75" customHeight="1">
      <c r="E699" s="150"/>
    </row>
    <row r="700" spans="5:5" ht="15.75" customHeight="1">
      <c r="E700" s="150"/>
    </row>
    <row r="701" spans="5:5" ht="15.75" customHeight="1">
      <c r="E701" s="150"/>
    </row>
    <row r="702" spans="5:5" ht="15.75" customHeight="1">
      <c r="E702" s="150"/>
    </row>
    <row r="703" spans="5:5" ht="15.75" customHeight="1">
      <c r="E703" s="150"/>
    </row>
    <row r="704" spans="5:5" ht="15.75" customHeight="1">
      <c r="E704" s="150"/>
    </row>
    <row r="705" spans="5:5" ht="15.75" customHeight="1">
      <c r="E705" s="150"/>
    </row>
    <row r="706" spans="5:5" ht="15.75" customHeight="1">
      <c r="E706" s="150"/>
    </row>
    <row r="707" spans="5:5" ht="15.75" customHeight="1">
      <c r="E707" s="150"/>
    </row>
    <row r="708" spans="5:5" ht="15.75" customHeight="1">
      <c r="E708" s="150"/>
    </row>
    <row r="709" spans="5:5" ht="15.75" customHeight="1">
      <c r="E709" s="150"/>
    </row>
    <row r="710" spans="5:5" ht="15.75" customHeight="1">
      <c r="E710" s="150"/>
    </row>
    <row r="711" spans="5:5" ht="15.75" customHeight="1">
      <c r="E711" s="150"/>
    </row>
    <row r="712" spans="5:5" ht="15.75" customHeight="1">
      <c r="E712" s="150"/>
    </row>
    <row r="713" spans="5:5" ht="15.75" customHeight="1">
      <c r="E713" s="150"/>
    </row>
    <row r="714" spans="5:5" ht="15.75" customHeight="1">
      <c r="E714" s="150"/>
    </row>
    <row r="715" spans="5:5" ht="15.75" customHeight="1">
      <c r="E715" s="150"/>
    </row>
    <row r="716" spans="5:5" ht="15.75" customHeight="1">
      <c r="E716" s="150"/>
    </row>
    <row r="717" spans="5:5" ht="15.75" customHeight="1">
      <c r="E717" s="150"/>
    </row>
    <row r="718" spans="5:5" ht="15.75" customHeight="1">
      <c r="E718" s="150"/>
    </row>
    <row r="719" spans="5:5" ht="15.75" customHeight="1">
      <c r="E719" s="150"/>
    </row>
    <row r="720" spans="5:5" ht="15.75" customHeight="1">
      <c r="E720" s="150"/>
    </row>
    <row r="721" spans="5:5" ht="15.75" customHeight="1">
      <c r="E721" s="150"/>
    </row>
    <row r="722" spans="5:5" ht="15.75" customHeight="1">
      <c r="E722" s="150"/>
    </row>
    <row r="723" spans="5:5" ht="15.75" customHeight="1">
      <c r="E723" s="150"/>
    </row>
    <row r="724" spans="5:5" ht="15.75" customHeight="1">
      <c r="E724" s="150"/>
    </row>
    <row r="725" spans="5:5" ht="15.75" customHeight="1">
      <c r="E725" s="150"/>
    </row>
    <row r="726" spans="5:5" ht="15.75" customHeight="1">
      <c r="E726" s="150"/>
    </row>
    <row r="727" spans="5:5" ht="15.75" customHeight="1">
      <c r="E727" s="150"/>
    </row>
    <row r="728" spans="5:5" ht="15.75" customHeight="1">
      <c r="E728" s="150"/>
    </row>
    <row r="729" spans="5:5" ht="15.75" customHeight="1">
      <c r="E729" s="150"/>
    </row>
    <row r="730" spans="5:5" ht="15.75" customHeight="1">
      <c r="E730" s="150"/>
    </row>
    <row r="731" spans="5:5" ht="15.75" customHeight="1">
      <c r="E731" s="150"/>
    </row>
    <row r="732" spans="5:5" ht="15.75" customHeight="1">
      <c r="E732" s="150"/>
    </row>
    <row r="733" spans="5:5" ht="15.75" customHeight="1">
      <c r="E733" s="150"/>
    </row>
    <row r="734" spans="5:5" ht="15.75" customHeight="1">
      <c r="E734" s="150"/>
    </row>
    <row r="735" spans="5:5" ht="15.75" customHeight="1">
      <c r="E735" s="150"/>
    </row>
    <row r="736" spans="5:5" ht="15.75" customHeight="1">
      <c r="E736" s="150"/>
    </row>
    <row r="737" spans="5:5" ht="15.75" customHeight="1">
      <c r="E737" s="150"/>
    </row>
    <row r="738" spans="5:5" ht="15.75" customHeight="1">
      <c r="E738" s="150"/>
    </row>
    <row r="739" spans="5:5" ht="15.75" customHeight="1">
      <c r="E739" s="150"/>
    </row>
    <row r="740" spans="5:5" ht="15.75" customHeight="1">
      <c r="E740" s="150"/>
    </row>
    <row r="741" spans="5:5" ht="15.75" customHeight="1">
      <c r="E741" s="150"/>
    </row>
    <row r="742" spans="5:5" ht="15.75" customHeight="1">
      <c r="E742" s="150"/>
    </row>
    <row r="743" spans="5:5" ht="15.75" customHeight="1">
      <c r="E743" s="150"/>
    </row>
    <row r="744" spans="5:5" ht="15.75" customHeight="1">
      <c r="E744" s="150"/>
    </row>
    <row r="745" spans="5:5" ht="15.75" customHeight="1">
      <c r="E745" s="150"/>
    </row>
    <row r="746" spans="5:5" ht="15.75" customHeight="1">
      <c r="E746" s="150"/>
    </row>
    <row r="747" spans="5:5" ht="15.75" customHeight="1">
      <c r="E747" s="150"/>
    </row>
    <row r="748" spans="5:5" ht="15.75" customHeight="1">
      <c r="E748" s="150"/>
    </row>
    <row r="749" spans="5:5" ht="15.75" customHeight="1">
      <c r="E749" s="150"/>
    </row>
    <row r="750" spans="5:5" ht="15.75" customHeight="1">
      <c r="E750" s="150"/>
    </row>
    <row r="751" spans="5:5" ht="15.75" customHeight="1">
      <c r="E751" s="150"/>
    </row>
    <row r="752" spans="5:5" ht="15.75" customHeight="1">
      <c r="E752" s="150"/>
    </row>
    <row r="753" spans="5:5" ht="15.75" customHeight="1">
      <c r="E753" s="150"/>
    </row>
    <row r="754" spans="5:5" ht="15.75" customHeight="1">
      <c r="E754" s="150"/>
    </row>
    <row r="755" spans="5:5" ht="15.75" customHeight="1">
      <c r="E755" s="150"/>
    </row>
    <row r="756" spans="5:5" ht="15.75" customHeight="1">
      <c r="E756" s="150"/>
    </row>
    <row r="757" spans="5:5" ht="15.75" customHeight="1">
      <c r="E757" s="150"/>
    </row>
    <row r="758" spans="5:5" ht="15.75" customHeight="1">
      <c r="E758" s="150"/>
    </row>
    <row r="759" spans="5:5" ht="15.75" customHeight="1">
      <c r="E759" s="150"/>
    </row>
    <row r="760" spans="5:5" ht="15.75" customHeight="1">
      <c r="E760" s="150"/>
    </row>
    <row r="761" spans="5:5" ht="15.75" customHeight="1">
      <c r="E761" s="150"/>
    </row>
    <row r="762" spans="5:5" ht="15.75" customHeight="1">
      <c r="E762" s="150"/>
    </row>
    <row r="763" spans="5:5" ht="15.75" customHeight="1">
      <c r="E763" s="150"/>
    </row>
    <row r="764" spans="5:5" ht="15.75" customHeight="1">
      <c r="E764" s="150"/>
    </row>
    <row r="765" spans="5:5" ht="15.75" customHeight="1">
      <c r="E765" s="150"/>
    </row>
    <row r="766" spans="5:5" ht="15.75" customHeight="1">
      <c r="E766" s="150"/>
    </row>
    <row r="767" spans="5:5" ht="15.75" customHeight="1">
      <c r="E767" s="150"/>
    </row>
    <row r="768" spans="5:5" ht="15.75" customHeight="1">
      <c r="E768" s="150"/>
    </row>
    <row r="769" spans="5:5" ht="15.75" customHeight="1">
      <c r="E769" s="150"/>
    </row>
    <row r="770" spans="5:5" ht="15.75" customHeight="1">
      <c r="E770" s="150"/>
    </row>
    <row r="771" spans="5:5" ht="15.75" customHeight="1">
      <c r="E771" s="150"/>
    </row>
    <row r="772" spans="5:5" ht="15.75" customHeight="1">
      <c r="E772" s="150"/>
    </row>
    <row r="773" spans="5:5" ht="15.75" customHeight="1">
      <c r="E773" s="150"/>
    </row>
    <row r="774" spans="5:5" ht="15.75" customHeight="1">
      <c r="E774" s="150"/>
    </row>
    <row r="775" spans="5:5" ht="15.75" customHeight="1">
      <c r="E775" s="150"/>
    </row>
    <row r="776" spans="5:5" ht="15.75" customHeight="1">
      <c r="E776" s="150"/>
    </row>
    <row r="777" spans="5:5" ht="15.75" customHeight="1">
      <c r="E777" s="150"/>
    </row>
    <row r="778" spans="5:5" ht="15.75" customHeight="1">
      <c r="E778" s="150"/>
    </row>
    <row r="779" spans="5:5" ht="15.75" customHeight="1">
      <c r="E779" s="150"/>
    </row>
    <row r="780" spans="5:5" ht="15.75" customHeight="1">
      <c r="E780" s="150"/>
    </row>
    <row r="781" spans="5:5" ht="15.75" customHeight="1">
      <c r="E781" s="150"/>
    </row>
    <row r="782" spans="5:5" ht="15.75" customHeight="1">
      <c r="E782" s="150"/>
    </row>
    <row r="783" spans="5:5" ht="15.75" customHeight="1">
      <c r="E783" s="150"/>
    </row>
    <row r="784" spans="5:5" ht="15.75" customHeight="1">
      <c r="E784" s="150"/>
    </row>
    <row r="785" spans="5:5" ht="15.75" customHeight="1">
      <c r="E785" s="150"/>
    </row>
    <row r="786" spans="5:5" ht="15.75" customHeight="1">
      <c r="E786" s="150"/>
    </row>
    <row r="787" spans="5:5" ht="15.75" customHeight="1">
      <c r="E787" s="150"/>
    </row>
    <row r="788" spans="5:5" ht="15.75" customHeight="1">
      <c r="E788" s="150"/>
    </row>
    <row r="789" spans="5:5" ht="15.75" customHeight="1">
      <c r="E789" s="150"/>
    </row>
    <row r="790" spans="5:5" ht="15.75" customHeight="1">
      <c r="E790" s="150"/>
    </row>
    <row r="791" spans="5:5" ht="15.75" customHeight="1">
      <c r="E791" s="150"/>
    </row>
    <row r="792" spans="5:5" ht="15.75" customHeight="1">
      <c r="E792" s="150"/>
    </row>
    <row r="793" spans="5:5" ht="15.75" customHeight="1">
      <c r="E793" s="150"/>
    </row>
    <row r="794" spans="5:5" ht="15.75" customHeight="1">
      <c r="E794" s="150"/>
    </row>
    <row r="795" spans="5:5" ht="15.75" customHeight="1">
      <c r="E795" s="150"/>
    </row>
    <row r="796" spans="5:5" ht="15.75" customHeight="1">
      <c r="E796" s="150"/>
    </row>
    <row r="797" spans="5:5" ht="15.75" customHeight="1">
      <c r="E797" s="150"/>
    </row>
    <row r="798" spans="5:5" ht="15.75" customHeight="1">
      <c r="E798" s="150"/>
    </row>
    <row r="799" spans="5:5" ht="15.75" customHeight="1">
      <c r="E799" s="150"/>
    </row>
    <row r="800" spans="5:5" ht="15.75" customHeight="1">
      <c r="E800" s="150"/>
    </row>
    <row r="801" spans="5:5" ht="15.75" customHeight="1">
      <c r="E801" s="150"/>
    </row>
    <row r="802" spans="5:5" ht="15.75" customHeight="1">
      <c r="E802" s="150"/>
    </row>
    <row r="803" spans="5:5" ht="15.75" customHeight="1">
      <c r="E803" s="150"/>
    </row>
    <row r="804" spans="5:5" ht="15.75" customHeight="1">
      <c r="E804" s="150"/>
    </row>
    <row r="805" spans="5:5" ht="15.75" customHeight="1">
      <c r="E805" s="150"/>
    </row>
    <row r="806" spans="5:5" ht="15.75" customHeight="1">
      <c r="E806" s="150"/>
    </row>
    <row r="807" spans="5:5" ht="15.75" customHeight="1">
      <c r="E807" s="150"/>
    </row>
    <row r="808" spans="5:5" ht="15.75" customHeight="1">
      <c r="E808" s="150"/>
    </row>
    <row r="809" spans="5:5" ht="15.75" customHeight="1">
      <c r="E809" s="150"/>
    </row>
    <row r="810" spans="5:5" ht="15.75" customHeight="1">
      <c r="E810" s="150"/>
    </row>
    <row r="811" spans="5:5" ht="15.75" customHeight="1">
      <c r="E811" s="150"/>
    </row>
    <row r="812" spans="5:5" ht="15.75" customHeight="1">
      <c r="E812" s="150"/>
    </row>
    <row r="813" spans="5:5" ht="15.75" customHeight="1">
      <c r="E813" s="150"/>
    </row>
    <row r="814" spans="5:5" ht="15.75" customHeight="1">
      <c r="E814" s="150"/>
    </row>
    <row r="815" spans="5:5" ht="15.75" customHeight="1">
      <c r="E815" s="150"/>
    </row>
    <row r="816" spans="5:5" ht="15.75" customHeight="1">
      <c r="E816" s="150"/>
    </row>
    <row r="817" spans="5:5" ht="15.75" customHeight="1">
      <c r="E817" s="150"/>
    </row>
    <row r="818" spans="5:5" ht="15.75" customHeight="1">
      <c r="E818" s="150"/>
    </row>
    <row r="819" spans="5:5" ht="15.75" customHeight="1">
      <c r="E819" s="150"/>
    </row>
    <row r="820" spans="5:5" ht="15.75" customHeight="1">
      <c r="E820" s="150"/>
    </row>
    <row r="821" spans="5:5" ht="15.75" customHeight="1">
      <c r="E821" s="150"/>
    </row>
    <row r="822" spans="5:5" ht="15.75" customHeight="1">
      <c r="E822" s="150"/>
    </row>
    <row r="823" spans="5:5" ht="15.75" customHeight="1">
      <c r="E823" s="150"/>
    </row>
    <row r="824" spans="5:5" ht="15.75" customHeight="1">
      <c r="E824" s="150"/>
    </row>
    <row r="825" spans="5:5" ht="15.75" customHeight="1">
      <c r="E825" s="150"/>
    </row>
    <row r="826" spans="5:5" ht="15.75" customHeight="1">
      <c r="E826" s="150"/>
    </row>
    <row r="827" spans="5:5" ht="15.75" customHeight="1">
      <c r="E827" s="150"/>
    </row>
    <row r="828" spans="5:5" ht="15.75" customHeight="1">
      <c r="E828" s="150"/>
    </row>
    <row r="829" spans="5:5" ht="15.75" customHeight="1">
      <c r="E829" s="150"/>
    </row>
    <row r="830" spans="5:5" ht="15.75" customHeight="1">
      <c r="E830" s="150"/>
    </row>
    <row r="831" spans="5:5" ht="15.75" customHeight="1">
      <c r="E831" s="150"/>
    </row>
    <row r="832" spans="5:5" ht="15.75" customHeight="1">
      <c r="E832" s="150"/>
    </row>
    <row r="833" spans="5:5" ht="15.75" customHeight="1">
      <c r="E833" s="150"/>
    </row>
    <row r="834" spans="5:5" ht="15.75" customHeight="1">
      <c r="E834" s="150"/>
    </row>
    <row r="835" spans="5:5" ht="15.75" customHeight="1">
      <c r="E835" s="150"/>
    </row>
    <row r="836" spans="5:5" ht="15.75" customHeight="1">
      <c r="E836" s="150"/>
    </row>
    <row r="837" spans="5:5" ht="15.75" customHeight="1">
      <c r="E837" s="150"/>
    </row>
    <row r="838" spans="5:5" ht="15.75" customHeight="1">
      <c r="E838" s="150"/>
    </row>
    <row r="839" spans="5:5" ht="15.75" customHeight="1">
      <c r="E839" s="150"/>
    </row>
    <row r="840" spans="5:5" ht="15.75" customHeight="1">
      <c r="E840" s="150"/>
    </row>
    <row r="841" spans="5:5" ht="15.75" customHeight="1">
      <c r="E841" s="150"/>
    </row>
    <row r="842" spans="5:5" ht="15.75" customHeight="1">
      <c r="E842" s="150"/>
    </row>
    <row r="843" spans="5:5" ht="15.75" customHeight="1">
      <c r="E843" s="150"/>
    </row>
    <row r="844" spans="5:5" ht="15.75" customHeight="1">
      <c r="E844" s="150"/>
    </row>
    <row r="845" spans="5:5" ht="15.75" customHeight="1">
      <c r="E845" s="150"/>
    </row>
    <row r="846" spans="5:5" ht="15.75" customHeight="1">
      <c r="E846" s="150"/>
    </row>
    <row r="847" spans="5:5" ht="15.75" customHeight="1">
      <c r="E847" s="150"/>
    </row>
    <row r="848" spans="5:5" ht="15.75" customHeight="1">
      <c r="E848" s="150"/>
    </row>
    <row r="849" spans="5:5" ht="15.75" customHeight="1">
      <c r="E849" s="150"/>
    </row>
    <row r="850" spans="5:5" ht="15.75" customHeight="1">
      <c r="E850" s="150"/>
    </row>
    <row r="851" spans="5:5" ht="15.75" customHeight="1">
      <c r="E851" s="150"/>
    </row>
    <row r="852" spans="5:5" ht="15.75" customHeight="1">
      <c r="E852" s="150"/>
    </row>
    <row r="853" spans="5:5" ht="15.75" customHeight="1">
      <c r="E853" s="150"/>
    </row>
    <row r="854" spans="5:5" ht="15.75" customHeight="1">
      <c r="E854" s="150"/>
    </row>
    <row r="855" spans="5:5" ht="15.75" customHeight="1">
      <c r="E855" s="150"/>
    </row>
    <row r="856" spans="5:5" ht="15.75" customHeight="1">
      <c r="E856" s="150"/>
    </row>
    <row r="857" spans="5:5" ht="15.75" customHeight="1">
      <c r="E857" s="150"/>
    </row>
    <row r="858" spans="5:5" ht="15.75" customHeight="1">
      <c r="E858" s="150"/>
    </row>
    <row r="859" spans="5:5" ht="15.75" customHeight="1">
      <c r="E859" s="150"/>
    </row>
    <row r="860" spans="5:5" ht="15.75" customHeight="1">
      <c r="E860" s="150"/>
    </row>
    <row r="861" spans="5:5" ht="15.75" customHeight="1">
      <c r="E861" s="150"/>
    </row>
    <row r="862" spans="5:5" ht="15.75" customHeight="1">
      <c r="E862" s="150"/>
    </row>
    <row r="863" spans="5:5" ht="15.75" customHeight="1">
      <c r="E863" s="150"/>
    </row>
    <row r="864" spans="5:5" ht="15.75" customHeight="1">
      <c r="E864" s="150"/>
    </row>
    <row r="865" spans="5:5" ht="15.75" customHeight="1">
      <c r="E865" s="150"/>
    </row>
    <row r="866" spans="5:5" ht="15.75" customHeight="1">
      <c r="E866" s="150"/>
    </row>
    <row r="867" spans="5:5" ht="15.75" customHeight="1">
      <c r="E867" s="150"/>
    </row>
    <row r="868" spans="5:5" ht="15.75" customHeight="1">
      <c r="E868" s="150"/>
    </row>
    <row r="869" spans="5:5" ht="15.75" customHeight="1">
      <c r="E869" s="150"/>
    </row>
    <row r="870" spans="5:5" ht="15.75" customHeight="1">
      <c r="E870" s="150"/>
    </row>
    <row r="871" spans="5:5" ht="15.75" customHeight="1">
      <c r="E871" s="150"/>
    </row>
    <row r="872" spans="5:5" ht="15.75" customHeight="1">
      <c r="E872" s="150"/>
    </row>
    <row r="873" spans="5:5" ht="15.75" customHeight="1">
      <c r="E873" s="150"/>
    </row>
    <row r="874" spans="5:5" ht="15.75" customHeight="1">
      <c r="E874" s="150"/>
    </row>
    <row r="875" spans="5:5" ht="15.75" customHeight="1">
      <c r="E875" s="150"/>
    </row>
    <row r="876" spans="5:5" ht="15.75" customHeight="1">
      <c r="E876" s="150"/>
    </row>
    <row r="877" spans="5:5" ht="15.75" customHeight="1">
      <c r="E877" s="150"/>
    </row>
    <row r="878" spans="5:5" ht="15.75" customHeight="1">
      <c r="E878" s="150"/>
    </row>
    <row r="879" spans="5:5" ht="15.75" customHeight="1">
      <c r="E879" s="150"/>
    </row>
    <row r="880" spans="5:5" ht="15.75" customHeight="1">
      <c r="E880" s="150"/>
    </row>
    <row r="881" spans="5:5" ht="15.75" customHeight="1">
      <c r="E881" s="150"/>
    </row>
    <row r="882" spans="5:5" ht="15.75" customHeight="1">
      <c r="E882" s="150"/>
    </row>
    <row r="883" spans="5:5" ht="15.75" customHeight="1">
      <c r="E883" s="150"/>
    </row>
    <row r="884" spans="5:5" ht="15.75" customHeight="1">
      <c r="E884" s="150"/>
    </row>
    <row r="885" spans="5:5" ht="15.75" customHeight="1">
      <c r="E885" s="150"/>
    </row>
    <row r="886" spans="5:5" ht="15.75" customHeight="1">
      <c r="E886" s="150"/>
    </row>
    <row r="887" spans="5:5" ht="15.75" customHeight="1">
      <c r="E887" s="150"/>
    </row>
    <row r="888" spans="5:5" ht="15.75" customHeight="1">
      <c r="E888" s="150"/>
    </row>
    <row r="889" spans="5:5" ht="15.75" customHeight="1">
      <c r="E889" s="150"/>
    </row>
    <row r="890" spans="5:5" ht="15.75" customHeight="1">
      <c r="E890" s="150"/>
    </row>
    <row r="891" spans="5:5" ht="15.75" customHeight="1">
      <c r="E891" s="150"/>
    </row>
    <row r="892" spans="5:5" ht="15.75" customHeight="1">
      <c r="E892" s="150"/>
    </row>
    <row r="893" spans="5:5" ht="15.75" customHeight="1">
      <c r="E893" s="150"/>
    </row>
    <row r="894" spans="5:5" ht="15.75" customHeight="1">
      <c r="E894" s="150"/>
    </row>
    <row r="895" spans="5:5" ht="15.75" customHeight="1">
      <c r="E895" s="150"/>
    </row>
    <row r="896" spans="5:5" ht="15.75" customHeight="1">
      <c r="E896" s="150"/>
    </row>
    <row r="897" spans="5:5" ht="15.75" customHeight="1">
      <c r="E897" s="150"/>
    </row>
    <row r="898" spans="5:5" ht="15.75" customHeight="1">
      <c r="E898" s="150"/>
    </row>
    <row r="899" spans="5:5" ht="15.75" customHeight="1">
      <c r="E899" s="150"/>
    </row>
    <row r="900" spans="5:5" ht="15.75" customHeight="1">
      <c r="E900" s="150"/>
    </row>
    <row r="901" spans="5:5" ht="15.75" customHeight="1">
      <c r="E901" s="150"/>
    </row>
    <row r="902" spans="5:5" ht="15.75" customHeight="1">
      <c r="E902" s="150"/>
    </row>
    <row r="903" spans="5:5" ht="15.75" customHeight="1">
      <c r="E903" s="150"/>
    </row>
    <row r="904" spans="5:5" ht="15.75" customHeight="1">
      <c r="E904" s="150"/>
    </row>
    <row r="905" spans="5:5" ht="15.75" customHeight="1">
      <c r="E905" s="150"/>
    </row>
    <row r="906" spans="5:5" ht="15.75" customHeight="1">
      <c r="E906" s="150"/>
    </row>
    <row r="907" spans="5:5" ht="15.75" customHeight="1">
      <c r="E907" s="150"/>
    </row>
    <row r="908" spans="5:5" ht="15.75" customHeight="1">
      <c r="E908" s="150"/>
    </row>
    <row r="909" spans="5:5" ht="15.75" customHeight="1">
      <c r="E909" s="150"/>
    </row>
    <row r="910" spans="5:5" ht="15.75" customHeight="1">
      <c r="E910" s="150"/>
    </row>
    <row r="911" spans="5:5" ht="15.75" customHeight="1">
      <c r="E911" s="150"/>
    </row>
    <row r="912" spans="5:5" ht="15.75" customHeight="1">
      <c r="E912" s="150"/>
    </row>
    <row r="913" spans="5:5" ht="15.75" customHeight="1">
      <c r="E913" s="150"/>
    </row>
    <row r="914" spans="5:5" ht="15.75" customHeight="1">
      <c r="E914" s="150"/>
    </row>
    <row r="915" spans="5:5" ht="15.75" customHeight="1">
      <c r="E915" s="150"/>
    </row>
    <row r="916" spans="5:5" ht="15.75" customHeight="1">
      <c r="E916" s="150"/>
    </row>
    <row r="917" spans="5:5" ht="15.75" customHeight="1">
      <c r="E917" s="150"/>
    </row>
    <row r="918" spans="5:5" ht="15.75" customHeight="1">
      <c r="E918" s="150"/>
    </row>
    <row r="919" spans="5:5" ht="15.75" customHeight="1">
      <c r="E919" s="150"/>
    </row>
    <row r="920" spans="5:5" ht="15.75" customHeight="1">
      <c r="E920" s="150"/>
    </row>
    <row r="921" spans="5:5" ht="15.75" customHeight="1">
      <c r="E921" s="150"/>
    </row>
    <row r="922" spans="5:5" ht="15.75" customHeight="1">
      <c r="E922" s="150"/>
    </row>
    <row r="923" spans="5:5" ht="15.75" customHeight="1">
      <c r="E923" s="150"/>
    </row>
    <row r="924" spans="5:5" ht="15.75" customHeight="1">
      <c r="E924" s="150"/>
    </row>
    <row r="925" spans="5:5" ht="15.75" customHeight="1">
      <c r="E925" s="150"/>
    </row>
    <row r="926" spans="5:5" ht="15.75" customHeight="1">
      <c r="E926" s="150"/>
    </row>
    <row r="927" spans="5:5" ht="15.75" customHeight="1">
      <c r="E927" s="150"/>
    </row>
    <row r="928" spans="5:5" ht="15.75" customHeight="1">
      <c r="E928" s="150"/>
    </row>
    <row r="929" spans="5:5" ht="15.75" customHeight="1">
      <c r="E929" s="150"/>
    </row>
    <row r="930" spans="5:5" ht="15.75" customHeight="1">
      <c r="E930" s="150"/>
    </row>
    <row r="931" spans="5:5" ht="15.75" customHeight="1">
      <c r="E931" s="150"/>
    </row>
    <row r="932" spans="5:5" ht="15.75" customHeight="1">
      <c r="E932" s="150"/>
    </row>
    <row r="933" spans="5:5" ht="15.75" customHeight="1">
      <c r="E933" s="150"/>
    </row>
    <row r="934" spans="5:5" ht="15.75" customHeight="1">
      <c r="E934" s="150"/>
    </row>
    <row r="935" spans="5:5" ht="15.75" customHeight="1">
      <c r="E935" s="150"/>
    </row>
    <row r="936" spans="5:5" ht="15.75" customHeight="1">
      <c r="E936" s="150"/>
    </row>
    <row r="937" spans="5:5" ht="15.75" customHeight="1">
      <c r="E937" s="150"/>
    </row>
    <row r="938" spans="5:5" ht="15.75" customHeight="1">
      <c r="E938" s="150"/>
    </row>
    <row r="939" spans="5:5" ht="15.75" customHeight="1">
      <c r="E939" s="150"/>
    </row>
    <row r="940" spans="5:5" ht="15.75" customHeight="1">
      <c r="E940" s="150"/>
    </row>
    <row r="941" spans="5:5" ht="15.75" customHeight="1">
      <c r="E941" s="150"/>
    </row>
    <row r="942" spans="5:5" ht="15.75" customHeight="1">
      <c r="E942" s="150"/>
    </row>
    <row r="943" spans="5:5" ht="15.75" customHeight="1">
      <c r="E943" s="150"/>
    </row>
    <row r="944" spans="5:5" ht="15.75" customHeight="1">
      <c r="E944" s="150"/>
    </row>
    <row r="945" spans="5:5" ht="15.75" customHeight="1">
      <c r="E945" s="150"/>
    </row>
    <row r="946" spans="5:5" ht="15.75" customHeight="1">
      <c r="E946" s="150"/>
    </row>
    <row r="947" spans="5:5" ht="15.75" customHeight="1">
      <c r="E947" s="150"/>
    </row>
    <row r="948" spans="5:5" ht="15.75" customHeight="1">
      <c r="E948" s="150"/>
    </row>
    <row r="949" spans="5:5" ht="15.75" customHeight="1">
      <c r="E949" s="150"/>
    </row>
    <row r="950" spans="5:5" ht="15.75" customHeight="1">
      <c r="E950" s="150"/>
    </row>
    <row r="951" spans="5:5" ht="15.75" customHeight="1">
      <c r="E951" s="150"/>
    </row>
    <row r="952" spans="5:5" ht="15.75" customHeight="1">
      <c r="E952" s="150"/>
    </row>
    <row r="953" spans="5:5" ht="15.75" customHeight="1">
      <c r="E953" s="150"/>
    </row>
    <row r="954" spans="5:5" ht="15.75" customHeight="1">
      <c r="E954" s="150"/>
    </row>
    <row r="955" spans="5:5" ht="15.75" customHeight="1">
      <c r="E955" s="150"/>
    </row>
    <row r="956" spans="5:5" ht="15.75" customHeight="1">
      <c r="E956" s="150"/>
    </row>
    <row r="957" spans="5:5" ht="15.75" customHeight="1">
      <c r="E957" s="150"/>
    </row>
    <row r="958" spans="5:5" ht="15.75" customHeight="1">
      <c r="E958" s="150"/>
    </row>
    <row r="959" spans="5:5" ht="15.75" customHeight="1">
      <c r="E959" s="150"/>
    </row>
    <row r="960" spans="5:5" ht="15.75" customHeight="1">
      <c r="E960" s="150"/>
    </row>
    <row r="961" spans="5:5" ht="15.75" customHeight="1">
      <c r="E961" s="150"/>
    </row>
    <row r="962" spans="5:5" ht="15.75" customHeight="1">
      <c r="E962" s="150"/>
    </row>
    <row r="963" spans="5:5" ht="15.75" customHeight="1">
      <c r="E963" s="150"/>
    </row>
    <row r="964" spans="5:5" ht="15.75" customHeight="1">
      <c r="E964" s="150"/>
    </row>
    <row r="965" spans="5:5" ht="15.75" customHeight="1">
      <c r="E965" s="150"/>
    </row>
    <row r="966" spans="5:5" ht="15.75" customHeight="1">
      <c r="E966" s="150"/>
    </row>
    <row r="967" spans="5:5" ht="15.75" customHeight="1">
      <c r="E967" s="150"/>
    </row>
    <row r="968" spans="5:5" ht="15.75" customHeight="1">
      <c r="E968" s="150"/>
    </row>
    <row r="969" spans="5:5" ht="15.75" customHeight="1">
      <c r="E969" s="150"/>
    </row>
    <row r="970" spans="5:5" ht="15.75" customHeight="1">
      <c r="E970" s="150"/>
    </row>
    <row r="971" spans="5:5" ht="15.75" customHeight="1">
      <c r="E971" s="150"/>
    </row>
    <row r="972" spans="5:5" ht="15.75" customHeight="1">
      <c r="E972" s="150"/>
    </row>
    <row r="973" spans="5:5" ht="15.75" customHeight="1">
      <c r="E973" s="150"/>
    </row>
    <row r="974" spans="5:5" ht="15.75" customHeight="1">
      <c r="E974" s="150"/>
    </row>
    <row r="975" spans="5:5" ht="15.75" customHeight="1">
      <c r="E975" s="150"/>
    </row>
    <row r="976" spans="5:5" ht="15.75" customHeight="1">
      <c r="E976" s="150"/>
    </row>
    <row r="977" spans="5:5" ht="15.75" customHeight="1">
      <c r="E977" s="150"/>
    </row>
    <row r="978" spans="5:5" ht="15.75" customHeight="1">
      <c r="E978" s="150"/>
    </row>
    <row r="979" spans="5:5" ht="15.75" customHeight="1">
      <c r="E979" s="150"/>
    </row>
    <row r="980" spans="5:5" ht="15.75" customHeight="1">
      <c r="E980" s="150"/>
    </row>
    <row r="981" spans="5:5" ht="15.75" customHeight="1">
      <c r="E981" s="150"/>
    </row>
    <row r="982" spans="5:5" ht="15.75" customHeight="1">
      <c r="E982" s="150"/>
    </row>
    <row r="983" spans="5:5" ht="15.75" customHeight="1">
      <c r="E983" s="150"/>
    </row>
    <row r="984" spans="5:5" ht="15.75" customHeight="1">
      <c r="E984" s="150"/>
    </row>
    <row r="985" spans="5:5" ht="15.75" customHeight="1">
      <c r="E985" s="150"/>
    </row>
    <row r="986" spans="5:5" ht="15.75" customHeight="1">
      <c r="E986" s="150"/>
    </row>
    <row r="987" spans="5:5" ht="15.75" customHeight="1">
      <c r="E987" s="150"/>
    </row>
    <row r="988" spans="5:5" ht="15.75" customHeight="1">
      <c r="E988" s="150"/>
    </row>
    <row r="989" spans="5:5" ht="15.75" customHeight="1">
      <c r="E989" s="150"/>
    </row>
    <row r="990" spans="5:5" ht="15.75" customHeight="1">
      <c r="E990" s="150"/>
    </row>
    <row r="991" spans="5:5" ht="15.75" customHeight="1">
      <c r="E991" s="150"/>
    </row>
    <row r="992" spans="5:5" ht="15.75" customHeight="1">
      <c r="E992" s="150"/>
    </row>
    <row r="993" spans="5:5" ht="15.75" customHeight="1">
      <c r="E993" s="150"/>
    </row>
    <row r="994" spans="5:5" ht="15.75" customHeight="1">
      <c r="E994" s="150"/>
    </row>
    <row r="995" spans="5:5" ht="15.75" customHeight="1">
      <c r="E995" s="150"/>
    </row>
    <row r="996" spans="5:5" ht="15.75" customHeight="1">
      <c r="E996" s="150"/>
    </row>
    <row r="997" spans="5:5" ht="15.75" customHeight="1">
      <c r="E997" s="150"/>
    </row>
    <row r="998" spans="5:5" ht="15.75" customHeight="1">
      <c r="E998" s="150"/>
    </row>
    <row r="999" spans="5:5" ht="15.75" customHeight="1">
      <c r="E999" s="150"/>
    </row>
    <row r="1000" spans="5:5" ht="15.75" customHeight="1">
      <c r="E1000" s="150"/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G1000"/>
  <sheetViews>
    <sheetView zoomScaleNormal="100" workbookViewId="0">
      <selection activeCellId="1" sqref="K6:L6 A1:E1"/>
    </sheetView>
  </sheetViews>
  <sheetFormatPr defaultColWidth="14.44140625" defaultRowHeight="15" customHeight="1"/>
  <cols>
    <col min="1" max="1" width="15.6640625" customWidth="1"/>
    <col min="2" max="6" width="9.109375" customWidth="1"/>
    <col min="7" max="7" width="9" customWidth="1"/>
    <col min="8" max="10" width="9.109375" customWidth="1"/>
    <col min="11" max="11" width="10.5546875" customWidth="1"/>
    <col min="12" max="20" width="9.109375" customWidth="1"/>
    <col min="21" max="33" width="8.6640625" customWidth="1"/>
  </cols>
  <sheetData>
    <row r="1" spans="1:15" ht="14.25" customHeight="1">
      <c r="A1" s="296" t="s">
        <v>140</v>
      </c>
      <c r="B1" s="296"/>
      <c r="C1" s="296"/>
      <c r="D1" s="296"/>
      <c r="E1" s="296"/>
      <c r="F1" s="160"/>
      <c r="G1" s="160"/>
      <c r="K1" s="150"/>
      <c r="L1" s="150"/>
      <c r="M1" s="150"/>
      <c r="N1" s="150"/>
      <c r="O1" s="150"/>
    </row>
    <row r="2" spans="1:15" ht="35.25" customHeight="1">
      <c r="A2" s="41"/>
      <c r="B2" s="41"/>
      <c r="C2" s="41"/>
      <c r="D2" s="41"/>
      <c r="E2" s="41"/>
      <c r="H2" s="41" t="s">
        <v>141</v>
      </c>
      <c r="I2" s="41" t="s">
        <v>141</v>
      </c>
      <c r="J2" s="41" t="s">
        <v>142</v>
      </c>
      <c r="K2" s="30" t="s">
        <v>141</v>
      </c>
      <c r="L2" s="41" t="s">
        <v>142</v>
      </c>
      <c r="M2" s="30" t="s">
        <v>143</v>
      </c>
      <c r="N2" s="30"/>
      <c r="O2" s="30"/>
    </row>
    <row r="3" spans="1:15" ht="14.25" customHeight="1">
      <c r="A3" s="297" t="s">
        <v>144</v>
      </c>
      <c r="D3" s="297" t="s">
        <v>145</v>
      </c>
      <c r="E3" s="297"/>
      <c r="H3" s="297" t="s">
        <v>145</v>
      </c>
      <c r="I3" s="297"/>
      <c r="J3" s="297" t="s">
        <v>145</v>
      </c>
      <c r="K3" s="297"/>
      <c r="L3" s="297" t="s">
        <v>145</v>
      </c>
      <c r="M3" s="297"/>
    </row>
    <row r="4" spans="1:15" ht="14.25" customHeight="1">
      <c r="A4" s="297"/>
      <c r="D4" s="298" t="s">
        <v>146</v>
      </c>
      <c r="E4" s="298"/>
      <c r="H4" s="298" t="s">
        <v>146</v>
      </c>
      <c r="I4" s="298"/>
      <c r="J4" s="298" t="s">
        <v>146</v>
      </c>
      <c r="K4" s="298"/>
      <c r="L4" s="298" t="s">
        <v>146</v>
      </c>
      <c r="M4" s="298"/>
    </row>
    <row r="5" spans="1:15" ht="14.25" customHeight="1">
      <c r="A5" s="161">
        <v>9000</v>
      </c>
      <c r="D5" s="162">
        <v>80</v>
      </c>
      <c r="E5" s="162"/>
      <c r="H5" s="162">
        <v>80</v>
      </c>
      <c r="I5" s="162"/>
      <c r="J5" s="162">
        <v>103</v>
      </c>
      <c r="K5" s="162"/>
      <c r="L5" s="162">
        <v>103</v>
      </c>
      <c r="M5" s="162"/>
    </row>
    <row r="6" spans="1:15" ht="14.25" customHeight="1">
      <c r="A6" s="163">
        <v>10000</v>
      </c>
      <c r="D6" s="164">
        <v>85</v>
      </c>
      <c r="E6" s="164"/>
      <c r="H6" s="164">
        <v>85</v>
      </c>
      <c r="I6" s="164"/>
      <c r="J6" s="164">
        <v>108</v>
      </c>
      <c r="K6" s="164"/>
      <c r="L6" s="164">
        <v>108</v>
      </c>
      <c r="M6" s="164"/>
    </row>
    <row r="7" spans="1:15" ht="14.25" customHeight="1">
      <c r="A7" s="161">
        <v>11000</v>
      </c>
      <c r="D7" s="162">
        <v>90</v>
      </c>
      <c r="E7" s="162"/>
      <c r="H7" s="162">
        <v>90</v>
      </c>
      <c r="I7" s="162"/>
      <c r="J7" s="162">
        <v>113</v>
      </c>
      <c r="K7" s="162"/>
      <c r="L7" s="162">
        <v>113</v>
      </c>
      <c r="M7" s="162"/>
    </row>
    <row r="8" spans="1:15" ht="14.25" customHeight="1">
      <c r="A8" s="163">
        <v>12000</v>
      </c>
      <c r="D8" s="164">
        <v>95</v>
      </c>
      <c r="E8" s="164"/>
      <c r="H8" s="164">
        <v>95</v>
      </c>
      <c r="I8" s="164"/>
      <c r="J8" s="164">
        <v>119</v>
      </c>
      <c r="K8" s="164"/>
      <c r="L8" s="164">
        <v>119</v>
      </c>
      <c r="M8" s="164"/>
    </row>
    <row r="9" spans="1:15" ht="14.25" customHeight="1">
      <c r="A9" s="161">
        <v>12500</v>
      </c>
      <c r="D9" s="162">
        <v>97</v>
      </c>
      <c r="E9" s="162"/>
      <c r="H9" s="162">
        <v>97</v>
      </c>
      <c r="I9" s="162"/>
      <c r="J9" s="162">
        <v>121</v>
      </c>
      <c r="K9" s="162"/>
      <c r="L9" s="162">
        <v>121</v>
      </c>
      <c r="M9" s="162"/>
    </row>
    <row r="10" spans="1:15" ht="14.25" customHeight="1">
      <c r="A10" s="165"/>
      <c r="B10" s="73"/>
      <c r="C10" s="73"/>
      <c r="D10" s="73"/>
      <c r="H10" s="150"/>
      <c r="I10" s="150"/>
      <c r="J10" s="150"/>
      <c r="K10" s="150"/>
      <c r="L10" s="150"/>
      <c r="M10" s="150"/>
    </row>
    <row r="11" spans="1:15" ht="14.25" customHeight="1">
      <c r="A11" s="299" t="s">
        <v>147</v>
      </c>
      <c r="B11" s="299"/>
      <c r="C11" s="299"/>
      <c r="H11" s="300"/>
      <c r="I11" s="300"/>
      <c r="J11" s="300"/>
      <c r="K11" s="150"/>
      <c r="L11" s="150"/>
      <c r="M11" s="150"/>
    </row>
    <row r="12" spans="1:15" ht="14.25" customHeight="1">
      <c r="A12" s="150"/>
      <c r="B12" s="38" t="s">
        <v>148</v>
      </c>
      <c r="C12" s="39">
        <f>MATCH(MAX(A5:A9),A5:A9,0)</f>
        <v>5</v>
      </c>
      <c r="D12" s="150"/>
      <c r="E12" s="38"/>
      <c r="F12" s="39"/>
      <c r="H12" s="150"/>
      <c r="I12" s="38"/>
      <c r="J12" s="166"/>
      <c r="K12" s="150"/>
      <c r="L12" s="150"/>
      <c r="M12" s="150"/>
    </row>
    <row r="13" spans="1:15" ht="14.25" customHeight="1">
      <c r="A13" s="150"/>
      <c r="B13" s="38" t="s">
        <v>149</v>
      </c>
      <c r="C13" s="39">
        <f>MATCH(MAX(D5),D5,0)</f>
        <v>1</v>
      </c>
      <c r="D13" s="150"/>
      <c r="E13" s="38"/>
      <c r="F13" s="39"/>
      <c r="H13" s="150"/>
      <c r="I13" s="38"/>
      <c r="J13" s="166"/>
      <c r="K13" s="150"/>
      <c r="L13" s="150"/>
      <c r="M13" s="150"/>
    </row>
    <row r="14" spans="1:15" ht="14.25" customHeight="1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</row>
    <row r="15" spans="1:15" ht="14.25" customHeight="1">
      <c r="D15" s="72" t="s">
        <v>150</v>
      </c>
      <c r="E15" s="33" t="str">
        <f>D4</f>
        <v>Vref</v>
      </c>
      <c r="F15" s="33"/>
      <c r="H15" s="72"/>
      <c r="I15" s="33" t="str">
        <f>H4</f>
        <v>Vref</v>
      </c>
      <c r="J15" s="33"/>
      <c r="K15" s="33" t="str">
        <f>J4</f>
        <v>Vref</v>
      </c>
      <c r="L15" s="150"/>
      <c r="M15" s="33" t="str">
        <f>L4</f>
        <v>Vref</v>
      </c>
    </row>
    <row r="16" spans="1:15" ht="14.25" customHeight="1">
      <c r="D16" s="167" t="s">
        <v>151</v>
      </c>
      <c r="E16" s="168">
        <f>Landing!C11</f>
        <v>12500</v>
      </c>
      <c r="F16" s="168"/>
      <c r="H16" s="167"/>
      <c r="I16" s="168">
        <f>'Take-off'!C14</f>
        <v>9000</v>
      </c>
      <c r="J16" s="168"/>
      <c r="K16" s="168">
        <f>'Take-off'!C14</f>
        <v>9000</v>
      </c>
      <c r="L16" s="150"/>
      <c r="M16" s="168">
        <f>Landing!C11</f>
        <v>12500</v>
      </c>
    </row>
    <row r="17" spans="2:20" ht="14.25" customHeight="1">
      <c r="D17" s="38" t="s">
        <v>152</v>
      </c>
      <c r="E17" s="169">
        <f t="array" ref="E17">INDEX($A$5:$A$9,MATCH(E16,$A$5:$A$9,1))</f>
        <v>12500</v>
      </c>
      <c r="F17" s="169"/>
      <c r="H17" s="38"/>
      <c r="I17" s="169">
        <f t="array" ref="I17">INDEX($A$5:$A$9,MATCH(I16,$A$5:$A$9,1))</f>
        <v>9000</v>
      </c>
      <c r="J17" s="169"/>
      <c r="K17" s="169">
        <f t="array" ref="K17">INDEX($A$5:$A$9,MATCH(K16,$A$5:$A$9,1))</f>
        <v>9000</v>
      </c>
      <c r="L17" s="150"/>
      <c r="M17" s="169">
        <f t="array" ref="M17">INDEX($A$5:$A$9,MATCH(M16,$A$5:$A$9,1))</f>
        <v>12500</v>
      </c>
      <c r="P17" s="150"/>
      <c r="Q17" s="150"/>
      <c r="R17" s="150"/>
      <c r="S17" s="150"/>
      <c r="T17" s="150"/>
    </row>
    <row r="18" spans="2:20" ht="14.25" customHeight="1">
      <c r="D18" s="38" t="s">
        <v>153</v>
      </c>
      <c r="E18" s="169">
        <f t="array" ref="E18">INDEX($A$5:$A$9,IF(MATCH(E16,$A$5:$A$9,1)&lt;$C$12,MATCH(E16,$A$5:$A$9,1)+1,MATCH(E16,$A$5:$A$9,1)))</f>
        <v>12500</v>
      </c>
      <c r="F18" s="169"/>
      <c r="H18" s="38"/>
      <c r="I18" s="169">
        <f t="array" ref="I18">INDEX($A$5:$A$9,IF(MATCH(I16,$A$5:$A$9,1)&lt;$C$12,MATCH(I16,$A$5:$A$9,1)+1,MATCH(I16,$A$5:$A$9,1)))</f>
        <v>10000</v>
      </c>
      <c r="J18" s="169"/>
      <c r="K18" s="169">
        <f t="array" ref="K18">INDEX($A$5:$A$9,IF(MATCH(K16,$A$5:$A$9,1)&lt;$C$12,MATCH(K16,$A$5:$A$9,1)+1,MATCH(K16,$A$5:$A$9,1)))</f>
        <v>10000</v>
      </c>
      <c r="L18" s="150"/>
      <c r="M18" s="169">
        <f t="array" ref="M18">INDEX($A$5:$A$9,IF(MATCH(M16,$A$5:$A$9,1)&lt;$C$12,MATCH(M16,$A$5:$A$9,1)+1,MATCH(M16,$A$5:$A$9,1)))</f>
        <v>12500</v>
      </c>
      <c r="P18" s="150"/>
      <c r="Q18" s="150"/>
      <c r="R18" s="150"/>
      <c r="S18" s="150"/>
      <c r="T18" s="150"/>
    </row>
    <row r="19" spans="2:20" ht="14.25" customHeight="1">
      <c r="D19" s="167" t="s">
        <v>154</v>
      </c>
      <c r="E19" s="168">
        <f t="array" ref="E19">INDEX(D5:D9,MATCH(E16,$A$5:$A$9,1),MATCH(E15,D4,1))</f>
        <v>97</v>
      </c>
      <c r="F19" s="168"/>
      <c r="H19" s="167"/>
      <c r="I19" s="168">
        <f t="array" ref="I19">INDEX(H5:H9,MATCH(I16,$A$5:$A$9,1),MATCH(I15,H4,1))</f>
        <v>80</v>
      </c>
      <c r="J19" s="168"/>
      <c r="K19" s="168">
        <f t="array" ref="K19">INDEX(J5:J9,MATCH(K16,$A$5:$A$9,1),MATCH(K15,J4,1))</f>
        <v>103</v>
      </c>
      <c r="L19" s="150"/>
      <c r="M19" s="168">
        <f t="array" ref="M19">INDEX(L5:L9,MATCH(M16,$A$5:$A$9,1),MATCH(M15,L4,1))</f>
        <v>121</v>
      </c>
      <c r="P19" s="150"/>
      <c r="Q19" s="150"/>
      <c r="R19" s="150"/>
      <c r="S19" s="150"/>
      <c r="T19" s="150"/>
    </row>
    <row r="20" spans="2:20" ht="14.25" customHeight="1">
      <c r="D20" s="167" t="s">
        <v>155</v>
      </c>
      <c r="E20" s="168">
        <f t="array" ref="E20">INDEX(D5:D9,IF(MATCH(E16,$A$5:$A$9,1)&lt;$C$12,MATCH(E16,$A$5:$A$9,1)+1,MATCH(E16,$A$5:$A$9,1)),MATCH(E15,D4,1))</f>
        <v>97</v>
      </c>
      <c r="F20" s="168"/>
      <c r="H20" s="167"/>
      <c r="I20" s="168">
        <f t="array" ref="I20">INDEX(H5:H9,IF(MATCH(I16,$A$5:$A$9,1)&lt;$C$12,MATCH(I16,$A$5:$A$9,1)+1,MATCH(I16,$A$5:$A$9,1)),MATCH(I15,H4,1))</f>
        <v>85</v>
      </c>
      <c r="J20" s="168"/>
      <c r="K20" s="168">
        <f t="array" ref="K20">INDEX(J5:J9,IF(MATCH(K16,$A$5:$A$9,1)&lt;$C$12,MATCH(K16,$A$5:$A$9,1)+1,MATCH(K16,$A$5:$A$9,1)),MATCH(K15,J4,1))</f>
        <v>108</v>
      </c>
      <c r="L20" s="150"/>
      <c r="M20" s="168">
        <f t="array" ref="M20">INDEX(L5:L9,IF(MATCH(M16,$A$5:$A$9,1)&lt;$C$12,MATCH(M16,$A$5:$A$9,1)+1,MATCH(M16,$A$5:$A$9,1)),MATCH(M15,L4,1))</f>
        <v>121</v>
      </c>
      <c r="P20" s="150"/>
      <c r="Q20" s="150"/>
      <c r="R20" s="150"/>
      <c r="S20" s="150"/>
      <c r="T20" s="150"/>
    </row>
    <row r="21" spans="2:20" ht="14.25" customHeight="1">
      <c r="D21" s="167" t="s">
        <v>156</v>
      </c>
      <c r="E21" s="168">
        <f>IFERROR(E19+(E16-E17)*(E20-E19)/(E18-E17),E19)</f>
        <v>97</v>
      </c>
      <c r="F21" s="168"/>
      <c r="H21" s="167"/>
      <c r="I21" s="168">
        <f>IFERROR(I19+(I16-I17)*(I20-I19)/(I18-I17),I19)</f>
        <v>80</v>
      </c>
      <c r="J21" s="168"/>
      <c r="K21" s="168">
        <f>IFERROR(K19+(K16-K17)*(K20-K19)/(K18-K17),K19)</f>
        <v>103</v>
      </c>
      <c r="L21" s="150"/>
      <c r="M21" s="168">
        <f>IFERROR(M19+(M16-M17)*(M20-M19)/(M18-M17),M19)</f>
        <v>121</v>
      </c>
      <c r="P21" s="150"/>
      <c r="Q21" s="150"/>
      <c r="R21" s="150"/>
      <c r="S21" s="150"/>
      <c r="T21" s="150"/>
    </row>
    <row r="22" spans="2:20" ht="14.25" customHeight="1">
      <c r="K22" s="150"/>
      <c r="L22" s="150"/>
      <c r="M22" s="150"/>
      <c r="N22" s="150"/>
      <c r="O22" s="150"/>
      <c r="P22" s="150"/>
      <c r="Q22" s="150"/>
      <c r="R22" s="150"/>
      <c r="S22" s="150"/>
      <c r="T22" s="150"/>
    </row>
    <row r="23" spans="2:20" ht="14.25" customHeight="1">
      <c r="L23" s="296"/>
      <c r="M23" s="296"/>
      <c r="N23" s="296"/>
      <c r="O23" s="296"/>
      <c r="P23" s="296"/>
      <c r="Q23" s="296"/>
      <c r="R23" s="296"/>
      <c r="S23" s="150"/>
      <c r="T23" s="150"/>
    </row>
    <row r="24" spans="2:20" ht="14.25" customHeight="1"/>
    <row r="25" spans="2:20" ht="14.25" customHeight="1"/>
    <row r="26" spans="2:20" ht="14.25" customHeight="1"/>
    <row r="27" spans="2:20" ht="14.25" customHeight="1"/>
    <row r="28" spans="2:20" ht="14.25" customHeight="1"/>
    <row r="29" spans="2:20" ht="14.25" customHeight="1">
      <c r="B29" s="150" t="s">
        <v>157</v>
      </c>
      <c r="C29" s="150"/>
      <c r="D29" s="150"/>
    </row>
    <row r="30" spans="2:20" ht="14.25" customHeight="1">
      <c r="B30" s="73"/>
      <c r="C30" s="73"/>
      <c r="D30" s="170"/>
    </row>
    <row r="31" spans="2:20" ht="14.25" customHeight="1">
      <c r="B31" s="171" t="s">
        <v>158</v>
      </c>
      <c r="C31" s="171" t="s">
        <v>159</v>
      </c>
      <c r="D31" s="171" t="s">
        <v>160</v>
      </c>
    </row>
    <row r="32" spans="2:20" ht="14.25" customHeight="1">
      <c r="B32" s="172">
        <f ca="1">IF(ABS(Landing!C17-Landing!C6)&gt;270,360-ABS(Landing!C17-Landing!C6),Landing!C17-Landing!C6)</f>
        <v>-70</v>
      </c>
      <c r="C32" s="173">
        <f ca="1">IF(ABS(B32)&gt;90,ABS(COS(B32*PI()/180))*(-1),ABS(COS(B32*PI()/180)))</f>
        <v>0.34202014332566882</v>
      </c>
      <c r="D32" s="172">
        <f ca="1">IF( ISBLANK(Landing!C6), Landing!C7*-1,    Landing!C7*C32)</f>
        <v>4.1042417199080257</v>
      </c>
    </row>
    <row r="33" spans="1:26" ht="14.25" customHeight="1">
      <c r="B33" s="72"/>
      <c r="C33" s="150"/>
      <c r="D33" s="150"/>
    </row>
    <row r="34" spans="1:26" ht="14.25" customHeight="1">
      <c r="B34" s="174"/>
      <c r="C34" s="73"/>
      <c r="D34" s="73"/>
    </row>
    <row r="35" spans="1:26" ht="14.25" customHeight="1">
      <c r="B35" s="72"/>
      <c r="C35" s="175"/>
      <c r="D35" s="72"/>
    </row>
    <row r="36" spans="1:26" ht="14.25" customHeight="1">
      <c r="B36" s="72"/>
      <c r="C36" s="72"/>
      <c r="D36" s="72"/>
    </row>
    <row r="37" spans="1:26" ht="14.25" customHeight="1">
      <c r="B37" s="72" t="s">
        <v>161</v>
      </c>
      <c r="C37" s="175">
        <f ca="1">IF(ABS(B32)&gt;90,ABS(SIN(B32*PI()/180))*(-1),ABS(SIN(B32*PI()/180)))</f>
        <v>0.93969262078590832</v>
      </c>
      <c r="D37" s="72"/>
    </row>
    <row r="38" spans="1:26" ht="14.25" customHeight="1">
      <c r="A38" s="176"/>
    </row>
    <row r="39" spans="1:26" ht="14.25" customHeight="1"/>
    <row r="40" spans="1:26" ht="14.25" customHeight="1"/>
    <row r="41" spans="1:26" ht="14.25" customHeight="1"/>
    <row r="42" spans="1:26" ht="14.25" customHeight="1"/>
    <row r="43" spans="1:26" ht="14.25" customHeight="1"/>
    <row r="44" spans="1:26" ht="14.25" customHeight="1"/>
    <row r="45" spans="1:26" ht="14.25" customHeight="1"/>
    <row r="46" spans="1:26" ht="14.25" customHeight="1"/>
    <row r="47" spans="1:26" ht="14.25" customHeight="1"/>
    <row r="48" spans="1:26" ht="14.25" customHeight="1">
      <c r="A48" s="177" t="s">
        <v>72</v>
      </c>
      <c r="B48" s="177"/>
      <c r="C48" s="177"/>
      <c r="D48" s="177"/>
      <c r="E48" s="177"/>
      <c r="F48" s="177"/>
      <c r="G48" s="177"/>
      <c r="H48" s="177"/>
      <c r="I48" s="177"/>
      <c r="J48" s="177"/>
      <c r="K48" s="178"/>
      <c r="L48" s="178"/>
      <c r="M48" s="178"/>
      <c r="N48" s="179"/>
      <c r="O48" s="180"/>
      <c r="P48" s="178"/>
      <c r="Q48" s="178"/>
      <c r="R48" s="178"/>
      <c r="S48" s="178"/>
      <c r="T48" s="178"/>
      <c r="U48" s="177"/>
      <c r="V48" s="177"/>
      <c r="W48" s="177"/>
      <c r="X48" s="177"/>
      <c r="Y48" s="177"/>
      <c r="Z48" s="177"/>
    </row>
    <row r="49" spans="1:33" ht="14.25" customHeight="1">
      <c r="I49" s="181"/>
      <c r="J49" s="182"/>
      <c r="K49" s="182"/>
      <c r="L49" s="182"/>
      <c r="M49" s="182"/>
      <c r="N49" s="182"/>
      <c r="O49" s="182"/>
      <c r="P49" s="182"/>
    </row>
    <row r="50" spans="1:33" ht="14.25" customHeight="1">
      <c r="A50" s="176"/>
    </row>
    <row r="51" spans="1:33" ht="14.25" customHeight="1">
      <c r="A51" s="176"/>
    </row>
    <row r="52" spans="1:33" ht="14.25" customHeight="1">
      <c r="A52" s="176"/>
    </row>
    <row r="53" spans="1:33" ht="14.25" customHeight="1">
      <c r="A53" s="176"/>
      <c r="B53" s="72" t="s">
        <v>162</v>
      </c>
      <c r="C53" s="150" t="s">
        <v>163</v>
      </c>
      <c r="D53" s="150"/>
      <c r="I53" s="44"/>
    </row>
    <row r="54" spans="1:33" ht="14.25" customHeight="1">
      <c r="A54" s="176"/>
      <c r="B54" s="174">
        <f ca="1">'LTL_Landing distance data'!K104</f>
        <v>440.35365853658544</v>
      </c>
      <c r="C54" s="73">
        <f ca="1">B54*C55</f>
        <v>880.70731707317088</v>
      </c>
      <c r="D54" s="73"/>
      <c r="I54" s="44"/>
    </row>
    <row r="55" spans="1:33" ht="14.25" customHeight="1">
      <c r="A55" s="176"/>
      <c r="B55" s="72" t="s">
        <v>164</v>
      </c>
      <c r="C55" s="175">
        <f>IF( ISBLANK('Take-off'!C10),MIN('Dropdown lists'!C4:C10), VLOOKUP('Take-off'!C10,'Dropdown lists'!B4:C10,2))</f>
        <v>2</v>
      </c>
      <c r="D55" s="72"/>
      <c r="I55" s="44"/>
    </row>
    <row r="56" spans="1:33" ht="14.25" customHeight="1">
      <c r="A56" s="176"/>
      <c r="B56" s="72"/>
      <c r="C56" s="72"/>
      <c r="D56" s="72"/>
      <c r="I56" s="183"/>
      <c r="J56" s="48"/>
      <c r="K56" s="48"/>
      <c r="L56" s="48"/>
      <c r="M56" s="48"/>
      <c r="N56" s="48"/>
      <c r="O56" s="48"/>
      <c r="P56" s="48"/>
      <c r="AD56" s="48"/>
      <c r="AE56" s="48"/>
      <c r="AF56" s="48"/>
      <c r="AG56" s="48"/>
    </row>
    <row r="57" spans="1:33" ht="14.25" customHeight="1">
      <c r="A57" s="176"/>
      <c r="B57" s="72"/>
      <c r="C57" s="175"/>
      <c r="D57" s="72"/>
      <c r="I57" s="183"/>
      <c r="J57" s="48"/>
      <c r="K57" s="48"/>
      <c r="L57" s="48"/>
      <c r="M57" s="48"/>
      <c r="N57" s="48"/>
      <c r="O57" s="48"/>
      <c r="P57" s="48"/>
      <c r="AD57" s="48"/>
      <c r="AE57" s="48"/>
      <c r="AF57" s="48"/>
      <c r="AG57" s="48"/>
    </row>
    <row r="58" spans="1:33" ht="14.25" customHeight="1">
      <c r="C58" s="44"/>
      <c r="I58" s="183"/>
      <c r="J58" s="48"/>
      <c r="K58" s="48"/>
      <c r="L58" s="48"/>
      <c r="M58" s="48"/>
      <c r="N58" s="48"/>
      <c r="O58" s="48"/>
      <c r="P58" s="48"/>
      <c r="AD58" s="48"/>
      <c r="AE58" s="48"/>
      <c r="AF58" s="48"/>
      <c r="AG58" s="48"/>
    </row>
    <row r="59" spans="1:33" ht="14.25" customHeight="1">
      <c r="C59" s="44"/>
      <c r="I59" s="183"/>
      <c r="J59" s="48"/>
      <c r="K59" s="48"/>
      <c r="L59" s="48"/>
      <c r="M59" s="48"/>
      <c r="N59" s="48"/>
      <c r="O59" s="48"/>
      <c r="P59" s="48"/>
      <c r="AD59" s="48"/>
      <c r="AE59" s="48"/>
      <c r="AF59" s="48"/>
      <c r="AG59" s="48"/>
    </row>
    <row r="60" spans="1:33" ht="14.25" customHeight="1">
      <c r="C60" s="44"/>
      <c r="I60" s="183"/>
      <c r="J60" s="48"/>
      <c r="K60" s="48"/>
      <c r="L60" s="48"/>
      <c r="M60" s="48"/>
      <c r="N60" s="48"/>
      <c r="O60" s="48"/>
      <c r="P60" s="48"/>
      <c r="AD60" s="48"/>
      <c r="AE60" s="48"/>
      <c r="AF60" s="48"/>
      <c r="AG60" s="48"/>
    </row>
    <row r="61" spans="1:33" ht="14.25" customHeight="1">
      <c r="C61" s="44"/>
      <c r="I61" s="183"/>
      <c r="J61" s="48"/>
      <c r="K61" s="48"/>
      <c r="L61" s="48"/>
      <c r="M61" s="48"/>
      <c r="N61" s="48"/>
      <c r="O61" s="48"/>
      <c r="P61" s="48"/>
      <c r="AD61" s="48"/>
      <c r="AE61" s="48"/>
      <c r="AF61" s="48"/>
      <c r="AG61" s="48"/>
    </row>
    <row r="62" spans="1:33" ht="14.25" customHeight="1">
      <c r="C62" s="44"/>
      <c r="I62" s="183"/>
      <c r="J62" s="48"/>
      <c r="K62" s="48"/>
      <c r="L62" s="48"/>
      <c r="M62" s="48"/>
      <c r="N62" s="48"/>
      <c r="O62" s="48"/>
      <c r="P62" s="48"/>
      <c r="AD62" s="48"/>
      <c r="AE62" s="48"/>
      <c r="AF62" s="48"/>
      <c r="AG62" s="48"/>
    </row>
    <row r="63" spans="1:33" ht="15.75" customHeight="1"/>
    <row r="64" spans="1:33" ht="15.75" customHeight="1"/>
    <row r="65" spans="1:7" ht="15.75" customHeight="1"/>
    <row r="66" spans="1:7" ht="14.25" customHeight="1">
      <c r="A66" s="296" t="s">
        <v>165</v>
      </c>
      <c r="B66" s="296"/>
      <c r="C66" s="296"/>
      <c r="D66" s="296"/>
      <c r="E66" s="296"/>
    </row>
    <row r="67" spans="1:7" ht="14.25" customHeight="1"/>
    <row r="68" spans="1:7" ht="14.25" customHeight="1">
      <c r="A68" s="301" t="s">
        <v>166</v>
      </c>
      <c r="B68" s="297" t="s">
        <v>96</v>
      </c>
      <c r="C68" s="297"/>
      <c r="D68" s="297" t="s">
        <v>141</v>
      </c>
      <c r="E68" s="297"/>
    </row>
    <row r="69" spans="1:7" ht="30" customHeight="1">
      <c r="A69" s="301"/>
      <c r="B69" s="298" t="s">
        <v>55</v>
      </c>
      <c r="C69" s="298"/>
      <c r="D69" s="298" t="s">
        <v>141</v>
      </c>
      <c r="E69" s="298"/>
    </row>
    <row r="70" spans="1:7" ht="14.25" customHeight="1">
      <c r="A70" s="163">
        <v>500</v>
      </c>
      <c r="B70" s="164">
        <v>850</v>
      </c>
      <c r="C70" s="162"/>
      <c r="D70" s="162"/>
      <c r="E70" s="162"/>
    </row>
    <row r="71" spans="1:7" ht="14.25" customHeight="1">
      <c r="A71" s="161">
        <v>1000</v>
      </c>
      <c r="B71" s="162">
        <v>1700</v>
      </c>
      <c r="C71" s="164"/>
      <c r="D71" s="164"/>
      <c r="E71" s="164"/>
    </row>
    <row r="72" spans="1:7" ht="14.25" customHeight="1">
      <c r="A72" s="163">
        <v>1500</v>
      </c>
      <c r="B72" s="164">
        <v>2550</v>
      </c>
      <c r="C72" s="162"/>
      <c r="D72" s="162"/>
      <c r="E72" s="162"/>
    </row>
    <row r="73" spans="1:7" ht="14.25" customHeight="1">
      <c r="A73" s="163">
        <v>2000</v>
      </c>
      <c r="B73" s="164">
        <v>3400</v>
      </c>
      <c r="C73" s="164"/>
      <c r="D73" s="164"/>
      <c r="E73" s="164"/>
    </row>
    <row r="74" spans="1:7" ht="14.25" customHeight="1">
      <c r="A74" s="163">
        <v>2500</v>
      </c>
      <c r="B74" s="164">
        <v>4250</v>
      </c>
      <c r="C74" s="164"/>
      <c r="D74" s="164"/>
      <c r="E74" s="164"/>
    </row>
    <row r="75" spans="1:7" ht="14.25" customHeight="1">
      <c r="A75" s="163">
        <v>2900</v>
      </c>
      <c r="B75" s="164">
        <v>5000</v>
      </c>
      <c r="C75" s="164"/>
      <c r="D75" s="164"/>
      <c r="E75" s="164"/>
      <c r="G75" t="s">
        <v>167</v>
      </c>
    </row>
    <row r="76" spans="1:7" ht="14.25" customHeight="1">
      <c r="A76" s="161">
        <v>3500</v>
      </c>
      <c r="B76" s="162">
        <v>99999</v>
      </c>
      <c r="C76" s="162"/>
      <c r="D76" s="162"/>
      <c r="E76" s="162"/>
    </row>
    <row r="77" spans="1:7" ht="14.25" customHeight="1">
      <c r="A77" s="165"/>
      <c r="B77" s="73"/>
      <c r="C77" s="73"/>
      <c r="D77" s="73"/>
    </row>
    <row r="78" spans="1:7" ht="14.25" customHeight="1">
      <c r="A78" s="299" t="s">
        <v>147</v>
      </c>
      <c r="B78" s="299"/>
      <c r="C78" s="299"/>
    </row>
    <row r="79" spans="1:7" ht="14.25" customHeight="1">
      <c r="A79" s="150"/>
      <c r="B79" s="38" t="s">
        <v>148</v>
      </c>
      <c r="C79" s="39">
        <f>MATCH(MAX(A70:A76),A70:A76,0)</f>
        <v>7</v>
      </c>
      <c r="D79" s="38"/>
    </row>
    <row r="80" spans="1:7" ht="14.25" customHeight="1">
      <c r="A80" s="150"/>
      <c r="B80" s="38" t="s">
        <v>149</v>
      </c>
      <c r="C80" s="39">
        <f>MATCH(MAX(B70),B70,0)</f>
        <v>1</v>
      </c>
      <c r="D80" s="38"/>
    </row>
    <row r="81" spans="1:4" ht="14.25" customHeight="1">
      <c r="A81" s="150"/>
      <c r="B81" s="150"/>
      <c r="C81" s="150"/>
      <c r="D81" s="150"/>
    </row>
    <row r="82" spans="1:4" ht="14.25" customHeight="1">
      <c r="A82" s="72" t="s">
        <v>150</v>
      </c>
      <c r="B82" s="33" t="str">
        <f>B69</f>
        <v>UP</v>
      </c>
      <c r="C82" s="33"/>
      <c r="D82" s="33" t="str">
        <f>D69</f>
        <v>EMG RETURN</v>
      </c>
    </row>
    <row r="83" spans="1:4" ht="14.25" customHeight="1">
      <c r="A83" s="167" t="s">
        <v>151</v>
      </c>
      <c r="B83" s="168">
        <f ca="1">'LTL_Landing distance data'!C104*3.28</f>
        <v>2437.1763038612307</v>
      </c>
      <c r="C83" s="168"/>
      <c r="D83" s="168">
        <f ca="1">'LTL_Landing distance data'!K104*3.28</f>
        <v>1444.3600000000001</v>
      </c>
    </row>
    <row r="84" spans="1:4" ht="14.25" customHeight="1">
      <c r="A84" s="38" t="s">
        <v>152</v>
      </c>
      <c r="B84" s="169">
        <f t="array" aca="1" ref="B84" ca="1">INDEX(A70:A76,MATCH(B83,A70:A76,1))</f>
        <v>2000</v>
      </c>
      <c r="C84" s="169"/>
      <c r="D84" s="169">
        <f t="array" aca="1" ref="D84" ca="1">INDEX($A$70:$A$76,MATCH(D83,$A$70:$A$76,1))</f>
        <v>1000</v>
      </c>
    </row>
    <row r="85" spans="1:4" ht="14.25" customHeight="1">
      <c r="A85" s="38" t="s">
        <v>153</v>
      </c>
      <c r="B85" s="169">
        <f t="array" aca="1" ref="B85" ca="1">INDEX(A70:A76,IF(MATCH(B83,A70:A76,1)&lt;C79,MATCH(B83,A70:A76,1)+1,MATCH(B83,A70:A76,1)))</f>
        <v>2500</v>
      </c>
      <c r="C85" s="169"/>
      <c r="D85" s="169">
        <f t="array" aca="1" ref="D85" ca="1">INDEX($A$70:$A$76,IF(MATCH(D83,$A$70:$A$76,1)&lt;$C$79,MATCH(D83,$A$70:$A$76,1)+1,MATCH(D83,$A$70:$A$76,1)))</f>
        <v>1500</v>
      </c>
    </row>
    <row r="86" spans="1:4" ht="14.25" customHeight="1">
      <c r="A86" s="167" t="s">
        <v>154</v>
      </c>
      <c r="B86" s="168">
        <f t="array" aca="1" ref="B86" ca="1">INDEX(B70:B76,MATCH(B83,A70:A76,1),MATCH(B82,B69,1))</f>
        <v>3400</v>
      </c>
      <c r="C86" s="168"/>
      <c r="D86" s="168">
        <f t="array" aca="1" ref="D86" ca="1">INDEX(B70:B76,MATCH(D83,$A$70:$A$76,1),MATCH(D82,D69,1))</f>
        <v>1700</v>
      </c>
    </row>
    <row r="87" spans="1:4" ht="14.25" customHeight="1">
      <c r="A87" s="167" t="s">
        <v>155</v>
      </c>
      <c r="B87" s="168">
        <f t="array" aca="1" ref="B87" ca="1">INDEX(B70:B76,IF(MATCH(B83,A70:A76,1)&lt;C79,MATCH(B83,A70:A76,1)+1,MATCH(B83,A70:A76,1)),MATCH(B82,B69,1))</f>
        <v>4250</v>
      </c>
      <c r="C87" s="168"/>
      <c r="D87" s="168">
        <f t="array" aca="1" ref="D87" ca="1">INDEX(B70:B76,IF(MATCH(D83,$A$70:$A$76,1)&lt;$C$79,MATCH(D83,$A$70:$A$76,1)+1,MATCH(D83,$A$70:$A$76,1)),MATCH(D82,D69,1))</f>
        <v>2550</v>
      </c>
    </row>
    <row r="88" spans="1:4" ht="14.25" customHeight="1">
      <c r="A88" s="167" t="s">
        <v>168</v>
      </c>
      <c r="B88" s="168">
        <f ca="1">IFERROR(B86+(B83-B84)*(B87-B86)/(B85-B84),B86)</f>
        <v>4143.1997165640923</v>
      </c>
      <c r="C88" s="168"/>
      <c r="D88" s="168">
        <f ca="1">IFERROR(D86+(D83-D84)*(D87-D86)/(D85-D84),D86)</f>
        <v>2455.4120000000003</v>
      </c>
    </row>
    <row r="89" spans="1:4" ht="14.25" customHeight="1"/>
    <row r="90" spans="1:4" ht="14.25" customHeight="1"/>
    <row r="91" spans="1:4" ht="14.25" customHeight="1"/>
    <row r="92" spans="1:4" ht="14.25" customHeight="1"/>
    <row r="93" spans="1:4" ht="14.25" customHeight="1">
      <c r="A93" s="176"/>
      <c r="B93" s="44"/>
    </row>
    <row r="94" spans="1:4" ht="14.25" customHeight="1">
      <c r="A94" s="176"/>
      <c r="B94" s="44"/>
    </row>
    <row r="95" spans="1:4" ht="14.25" customHeight="1"/>
    <row r="96" spans="1:4" ht="14.25" customHeight="1">
      <c r="B96" s="44"/>
    </row>
    <row r="97" spans="2:2" ht="14.25" customHeight="1">
      <c r="B97" s="44"/>
    </row>
    <row r="98" spans="2:2" ht="15.75" customHeight="1"/>
    <row r="99" spans="2:2" ht="15.75" customHeight="1"/>
    <row r="100" spans="2:2" ht="15.75" customHeight="1"/>
    <row r="101" spans="2:2" ht="15.75" customHeight="1"/>
    <row r="102" spans="2:2" ht="15.75" customHeight="1"/>
    <row r="103" spans="2:2" ht="15.75" customHeight="1"/>
    <row r="104" spans="2:2" ht="15.75" customHeight="1"/>
    <row r="105" spans="2:2" ht="15.75" customHeight="1"/>
    <row r="106" spans="2:2" ht="15.75" customHeight="1"/>
    <row r="107" spans="2:2" ht="15.75" customHeight="1"/>
    <row r="108" spans="2:2" ht="15.75" customHeight="1"/>
    <row r="109" spans="2:2" ht="15.75" customHeight="1"/>
    <row r="110" spans="2:2" ht="15.75" customHeight="1"/>
    <row r="111" spans="2:2" ht="15.75" customHeight="1"/>
    <row r="112" spans="2: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78:C78"/>
    <mergeCell ref="A11:C11"/>
    <mergeCell ref="H11:J11"/>
    <mergeCell ref="L23:R23"/>
    <mergeCell ref="A66:E66"/>
    <mergeCell ref="A68:A69"/>
    <mergeCell ref="B68:C68"/>
    <mergeCell ref="D68:E68"/>
    <mergeCell ref="B69:C69"/>
    <mergeCell ref="D69:E69"/>
    <mergeCell ref="L3:M3"/>
    <mergeCell ref="D4:E4"/>
    <mergeCell ref="H4:I4"/>
    <mergeCell ref="J4:K4"/>
    <mergeCell ref="L4:M4"/>
    <mergeCell ref="A1:E1"/>
    <mergeCell ref="A3:A4"/>
    <mergeCell ref="D3:E3"/>
    <mergeCell ref="H3:I3"/>
    <mergeCell ref="J3:K3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Y1001"/>
  <sheetViews>
    <sheetView topLeftCell="A25" zoomScaleNormal="100" workbookViewId="0">
      <selection activeCellId="1" sqref="K6:L6 A1:E1"/>
    </sheetView>
  </sheetViews>
  <sheetFormatPr defaultColWidth="14.44140625" defaultRowHeight="15" customHeight="1"/>
  <cols>
    <col min="1" max="1" width="15.6640625" customWidth="1"/>
    <col min="2" max="5" width="9.109375" customWidth="1"/>
    <col min="6" max="6" width="14" customWidth="1"/>
    <col min="7" max="7" width="9" customWidth="1"/>
    <col min="8" max="10" width="9.109375" customWidth="1"/>
    <col min="11" max="11" width="10.5546875" customWidth="1"/>
    <col min="12" max="13" width="9.109375" customWidth="1"/>
    <col min="14" max="14" width="30.88671875" customWidth="1"/>
    <col min="15" max="15" width="9.109375" customWidth="1"/>
    <col min="16" max="16" width="24.88671875" customWidth="1"/>
    <col min="17" max="17" width="18.6640625" customWidth="1"/>
    <col min="18" max="18" width="18.88671875" customWidth="1"/>
    <col min="19" max="20" width="9.109375" customWidth="1"/>
    <col min="21" max="25" width="8.6640625" customWidth="1"/>
  </cols>
  <sheetData>
    <row r="1" spans="1:20" ht="14.25" customHeight="1">
      <c r="A1" s="296" t="s">
        <v>169</v>
      </c>
      <c r="B1" s="296"/>
      <c r="C1" s="296"/>
      <c r="D1" s="296"/>
      <c r="E1" s="296"/>
      <c r="F1" s="160"/>
      <c r="G1" s="160"/>
      <c r="R1" s="150"/>
      <c r="S1" s="150"/>
      <c r="T1" s="150"/>
    </row>
    <row r="2" spans="1:20" ht="14.25" customHeight="1">
      <c r="A2" t="s">
        <v>55</v>
      </c>
      <c r="R2" s="150"/>
      <c r="S2" s="150"/>
      <c r="T2" s="150"/>
    </row>
    <row r="3" spans="1:20" ht="14.25" customHeight="1">
      <c r="A3" s="302" t="s">
        <v>144</v>
      </c>
      <c r="B3" s="184"/>
      <c r="C3" s="185"/>
      <c r="D3" s="184" t="s">
        <v>145</v>
      </c>
      <c r="E3" s="185"/>
      <c r="F3" s="186"/>
      <c r="G3" s="187"/>
      <c r="H3" s="186" t="s">
        <v>145</v>
      </c>
      <c r="I3" s="185"/>
      <c r="J3" s="303"/>
      <c r="K3" s="303"/>
      <c r="R3" s="150"/>
      <c r="S3" s="150"/>
      <c r="T3" s="150"/>
    </row>
    <row r="4" spans="1:20" ht="31.5" customHeight="1">
      <c r="A4" s="302"/>
      <c r="B4" s="188"/>
      <c r="C4" s="189"/>
      <c r="D4" s="188" t="s">
        <v>170</v>
      </c>
      <c r="E4" s="189"/>
      <c r="F4" s="188"/>
      <c r="G4" s="190"/>
      <c r="H4" s="191" t="s">
        <v>171</v>
      </c>
      <c r="I4" s="189"/>
      <c r="J4" s="191"/>
      <c r="K4" s="189"/>
      <c r="R4" s="150"/>
      <c r="S4" s="150"/>
      <c r="T4" s="150"/>
    </row>
    <row r="5" spans="1:20" ht="14.25" customHeight="1">
      <c r="A5" s="192">
        <v>9000</v>
      </c>
      <c r="B5" s="193"/>
      <c r="C5" s="194"/>
      <c r="D5" s="193">
        <v>94</v>
      </c>
      <c r="E5" s="194"/>
      <c r="F5" s="193"/>
      <c r="G5" s="195"/>
      <c r="H5" s="196">
        <v>103</v>
      </c>
      <c r="I5" s="194"/>
      <c r="J5" s="197"/>
      <c r="K5" s="198"/>
      <c r="M5" s="44"/>
      <c r="R5" s="150"/>
      <c r="S5" s="150"/>
      <c r="T5" s="150"/>
    </row>
    <row r="6" spans="1:20" ht="14.25" customHeight="1">
      <c r="A6" s="192">
        <v>10000</v>
      </c>
      <c r="B6" s="199"/>
      <c r="C6" s="200"/>
      <c r="D6" s="199">
        <v>94</v>
      </c>
      <c r="E6" s="200"/>
      <c r="F6" s="199"/>
      <c r="G6" s="201"/>
      <c r="H6" s="199">
        <v>103</v>
      </c>
      <c r="I6" s="200"/>
      <c r="J6" s="202"/>
      <c r="K6" s="203"/>
      <c r="M6" s="44"/>
      <c r="R6" s="150"/>
      <c r="S6" s="150"/>
      <c r="T6" s="150"/>
    </row>
    <row r="7" spans="1:20" ht="14.25" customHeight="1">
      <c r="A7" s="192">
        <v>11000</v>
      </c>
      <c r="B7" s="199"/>
      <c r="C7" s="200"/>
      <c r="D7" s="199">
        <v>94</v>
      </c>
      <c r="E7" s="200"/>
      <c r="F7" s="199"/>
      <c r="G7" s="201"/>
      <c r="H7" s="204">
        <v>103</v>
      </c>
      <c r="I7" s="200"/>
      <c r="J7" s="202"/>
      <c r="K7" s="203"/>
      <c r="M7" s="44"/>
      <c r="R7" s="150"/>
      <c r="S7" s="150"/>
      <c r="T7" s="150"/>
    </row>
    <row r="8" spans="1:20" ht="14.25" customHeight="1">
      <c r="A8" s="205">
        <v>11500</v>
      </c>
      <c r="B8" s="199"/>
      <c r="C8" s="200"/>
      <c r="D8" s="199">
        <v>94</v>
      </c>
      <c r="E8" s="200"/>
      <c r="F8" s="199"/>
      <c r="G8" s="201"/>
      <c r="H8" s="199">
        <v>103</v>
      </c>
      <c r="I8" s="200"/>
      <c r="J8" s="202"/>
      <c r="K8" s="203"/>
      <c r="M8" s="44"/>
      <c r="R8" s="150"/>
      <c r="S8" s="150"/>
      <c r="T8" s="150"/>
    </row>
    <row r="9" spans="1:20" ht="14.25" customHeight="1">
      <c r="A9" s="205">
        <v>12000</v>
      </c>
      <c r="B9" s="199"/>
      <c r="C9" s="200"/>
      <c r="D9" s="199">
        <v>94</v>
      </c>
      <c r="E9" s="200"/>
      <c r="F9" s="199"/>
      <c r="G9" s="201"/>
      <c r="H9" s="204">
        <v>103</v>
      </c>
      <c r="I9" s="200"/>
      <c r="J9" s="202"/>
      <c r="K9" s="203"/>
      <c r="M9" s="44"/>
      <c r="R9" s="150"/>
      <c r="S9" s="150"/>
      <c r="T9" s="150"/>
    </row>
    <row r="10" spans="1:20" ht="14.25" customHeight="1">
      <c r="A10" s="206">
        <v>12500</v>
      </c>
      <c r="B10" s="207"/>
      <c r="C10" s="208"/>
      <c r="D10" s="207">
        <v>94</v>
      </c>
      <c r="E10" s="208"/>
      <c r="F10" s="207"/>
      <c r="G10" s="209"/>
      <c r="H10" s="210">
        <v>103</v>
      </c>
      <c r="I10" s="208"/>
      <c r="J10" s="211"/>
      <c r="K10" s="212"/>
      <c r="M10" s="44"/>
      <c r="R10" s="150"/>
      <c r="S10" s="150"/>
      <c r="T10" s="150"/>
    </row>
    <row r="11" spans="1:20" ht="14.25" customHeight="1">
      <c r="A11" s="165"/>
      <c r="B11" s="73"/>
      <c r="C11" s="73"/>
      <c r="D11" s="73"/>
      <c r="I11" s="44"/>
      <c r="K11" s="44"/>
      <c r="R11" s="150"/>
      <c r="S11" s="150"/>
      <c r="T11" s="150"/>
    </row>
    <row r="12" spans="1:20" ht="14.25" customHeight="1">
      <c r="A12" s="99"/>
      <c r="B12" s="299"/>
      <c r="C12" s="299"/>
      <c r="D12" s="299" t="s">
        <v>172</v>
      </c>
      <c r="E12" s="299"/>
      <c r="H12" s="299" t="s">
        <v>171</v>
      </c>
      <c r="I12" s="299"/>
      <c r="J12" s="99"/>
      <c r="K12" s="99"/>
      <c r="R12" s="150"/>
      <c r="S12" s="150"/>
      <c r="T12" s="150"/>
    </row>
    <row r="13" spans="1:20" ht="14.25" customHeight="1">
      <c r="B13" s="38"/>
      <c r="C13" s="39"/>
      <c r="D13" s="38" t="s">
        <v>148</v>
      </c>
      <c r="E13" s="39">
        <f>MATCH(MAX($A5:$A10),$A5:$A10,0)</f>
        <v>6</v>
      </c>
      <c r="G13" s="39"/>
      <c r="I13" s="39">
        <f>MATCH(MAX($A5:$A10),$A5:$A10,0)</f>
        <v>6</v>
      </c>
      <c r="J13" s="39"/>
      <c r="K13" s="39"/>
    </row>
    <row r="14" spans="1:20" ht="14.25" customHeight="1">
      <c r="B14" s="38"/>
      <c r="C14" s="39"/>
      <c r="D14" s="38" t="s">
        <v>149</v>
      </c>
      <c r="E14" s="39">
        <f>MATCH(MAX(D5),D5,0)</f>
        <v>1</v>
      </c>
      <c r="G14" s="39"/>
      <c r="I14" s="39">
        <f>MATCH(MAX(H5),H5,0)</f>
        <v>1</v>
      </c>
      <c r="J14" s="39"/>
      <c r="K14" s="39"/>
    </row>
    <row r="15" spans="1:20" ht="14.25" customHeight="1">
      <c r="A15" s="150"/>
      <c r="B15" s="150"/>
      <c r="C15" s="150"/>
      <c r="D15" s="150"/>
      <c r="E15" s="150"/>
      <c r="F15" s="150"/>
      <c r="G15" s="150"/>
    </row>
    <row r="16" spans="1:20" ht="14.25" customHeight="1">
      <c r="B16" s="72"/>
      <c r="C16" s="33"/>
      <c r="D16" s="72" t="s">
        <v>150</v>
      </c>
      <c r="E16" s="33" t="str">
        <f>D4</f>
        <v>V1/R</v>
      </c>
      <c r="F16" s="72"/>
      <c r="G16" s="33"/>
      <c r="I16" s="33" t="str">
        <f>H4</f>
        <v>V2</v>
      </c>
      <c r="J16" s="33"/>
      <c r="K16" s="33"/>
    </row>
    <row r="17" spans="1:25" ht="14.25" customHeight="1">
      <c r="B17" s="167"/>
      <c r="C17" s="168"/>
      <c r="D17" s="167" t="s">
        <v>151</v>
      </c>
      <c r="E17" s="168">
        <f>'Take-off'!$C$14</f>
        <v>9000</v>
      </c>
      <c r="F17" s="167"/>
      <c r="G17" s="168"/>
      <c r="I17" s="168">
        <f>'Take-off'!$C$14</f>
        <v>9000</v>
      </c>
      <c r="J17" s="168"/>
      <c r="K17" s="168"/>
      <c r="M17" s="44"/>
      <c r="N17" s="44"/>
    </row>
    <row r="18" spans="1:25" ht="14.25" customHeight="1">
      <c r="B18" s="38"/>
      <c r="C18" s="169"/>
      <c r="D18" s="38" t="s">
        <v>152</v>
      </c>
      <c r="E18" s="169">
        <f t="array" ref="E18">INDEX($A5:$A10,MATCH(E17,$A5:$A10,1))</f>
        <v>9000</v>
      </c>
      <c r="F18" s="38"/>
      <c r="G18" s="169"/>
      <c r="I18" s="169">
        <f t="array" ref="I18">INDEX($A5:$A10,MATCH(I17,$A5:$A10,1))</f>
        <v>9000</v>
      </c>
      <c r="J18" s="169"/>
      <c r="K18" s="169"/>
      <c r="M18" s="44"/>
      <c r="N18" s="44"/>
    </row>
    <row r="19" spans="1:25" ht="14.25" customHeight="1">
      <c r="B19" s="38"/>
      <c r="C19" s="169"/>
      <c r="D19" s="38" t="s">
        <v>153</v>
      </c>
      <c r="E19" s="169">
        <f t="array" ref="E19">INDEX($A5:$A10,IF(MATCH(E17,$A5:$A10,1)&lt;E13,MATCH(E17,$A5:$A10,1)+1,MATCH(E17,$A5:$A10,1)))</f>
        <v>10000</v>
      </c>
      <c r="F19" s="38"/>
      <c r="G19" s="169"/>
      <c r="I19" s="169">
        <f t="array" ref="I19">INDEX($A5:$A10,IF(MATCH(I17,$A5:$A10,1)&lt;I13,MATCH(I17,$A5:$A10,1)+1,MATCH(I17,$A5:$A10,1)))</f>
        <v>10000</v>
      </c>
      <c r="J19" s="169"/>
      <c r="K19" s="169"/>
      <c r="M19" s="44"/>
      <c r="N19" s="44"/>
    </row>
    <row r="20" spans="1:25" ht="14.25" customHeight="1">
      <c r="B20" s="167"/>
      <c r="C20" s="168"/>
      <c r="D20" s="167" t="s">
        <v>154</v>
      </c>
      <c r="E20" s="168">
        <f t="array" ref="E20">INDEX(D5:D10,MATCH(E17,$A5:$A10,1),MATCH(E16,D4,1))</f>
        <v>94</v>
      </c>
      <c r="F20" s="167"/>
      <c r="G20" s="168"/>
      <c r="I20" s="168">
        <f t="array" ref="I20">INDEX(H5:H10,MATCH(I17,$A5:$A10,1),MATCH(I16,H4,1))</f>
        <v>103</v>
      </c>
      <c r="J20" s="213"/>
      <c r="K20" s="213"/>
      <c r="M20" s="44"/>
      <c r="N20" s="44"/>
      <c r="R20" s="150"/>
      <c r="S20" s="150"/>
      <c r="T20" s="150"/>
    </row>
    <row r="21" spans="1:25" ht="14.25" customHeight="1">
      <c r="B21" s="167"/>
      <c r="C21" s="168"/>
      <c r="D21" s="167" t="s">
        <v>155</v>
      </c>
      <c r="E21" s="168">
        <f t="array" ref="E21">INDEX(D5:D10,IF(MATCH(E17,$A5:$A10,1)&lt;E13,MATCH(E17,$A5:$A10,1)+1,MATCH(E17,$A5:$A10,1)),MATCH(E16,D4,1))</f>
        <v>94</v>
      </c>
      <c r="F21" s="167"/>
      <c r="G21" s="168"/>
      <c r="I21" s="168">
        <f t="array" ref="I21">INDEX(H5:H10,IF(MATCH(I17,$A5:$A10,1)&lt;I13,MATCH(I17,$A5:$A10,1)+1,MATCH(I17,$A5:$A10,1)),MATCH(I16,H4,1))</f>
        <v>103</v>
      </c>
      <c r="J21" s="213"/>
      <c r="K21" s="213"/>
      <c r="M21" s="44"/>
      <c r="N21" s="44"/>
      <c r="R21" s="150"/>
      <c r="S21" s="150"/>
      <c r="T21" s="150"/>
    </row>
    <row r="22" spans="1:25" ht="14.25" customHeight="1">
      <c r="B22" s="167"/>
      <c r="C22" s="168"/>
      <c r="D22" s="167" t="s">
        <v>156</v>
      </c>
      <c r="E22" s="168">
        <f>IFERROR(E20+(E17-E18)*(E21-E20)/(E19-E18),E20)</f>
        <v>94</v>
      </c>
      <c r="F22" s="167"/>
      <c r="G22" s="168"/>
      <c r="I22" s="168">
        <f>IFERROR(I20+(I17-I18)*(I21-I20)/(I19-I18),I20)</f>
        <v>103</v>
      </c>
      <c r="J22" s="213"/>
      <c r="K22" s="213"/>
      <c r="M22" s="44"/>
      <c r="N22" s="44"/>
      <c r="R22" s="150"/>
      <c r="S22" s="150"/>
      <c r="T22" s="150"/>
    </row>
    <row r="23" spans="1:25" ht="14.25" customHeight="1">
      <c r="C23" s="44"/>
      <c r="G23" s="44"/>
      <c r="I23" s="38"/>
      <c r="J23" s="213"/>
      <c r="K23" s="213"/>
      <c r="M23" s="150"/>
      <c r="N23" s="150"/>
      <c r="O23" s="150"/>
      <c r="P23" s="150"/>
      <c r="Q23" s="150"/>
      <c r="R23" s="150"/>
      <c r="S23" s="150"/>
      <c r="T23" s="150"/>
    </row>
    <row r="24" spans="1:25" ht="14.25" customHeight="1">
      <c r="L24" s="159"/>
      <c r="M24" s="159"/>
      <c r="N24" s="159"/>
      <c r="O24" s="159"/>
      <c r="P24" s="159"/>
      <c r="Q24" s="159"/>
      <c r="R24" s="159"/>
      <c r="S24" s="150"/>
      <c r="T24" s="150"/>
    </row>
    <row r="25" spans="1:25" ht="14.25" customHeight="1">
      <c r="A25" s="36" t="s">
        <v>173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5"/>
      <c r="M25" s="215"/>
      <c r="N25" s="215"/>
      <c r="O25" s="215"/>
      <c r="P25" s="215"/>
      <c r="Q25" s="215"/>
      <c r="R25" s="215"/>
      <c r="S25" s="215"/>
      <c r="T25" s="215"/>
      <c r="U25" s="214"/>
      <c r="V25" s="214"/>
      <c r="W25" s="214"/>
      <c r="X25" s="214"/>
      <c r="Y25" s="214"/>
    </row>
    <row r="26" spans="1:25" ht="14.25" customHeight="1">
      <c r="S26" s="150"/>
      <c r="T26" s="150"/>
    </row>
    <row r="27" spans="1:25" ht="42" customHeight="1">
      <c r="A27" s="41"/>
      <c r="B27" s="30" t="s">
        <v>174</v>
      </c>
      <c r="C27" s="216" t="s">
        <v>175</v>
      </c>
      <c r="D27" s="30" t="s">
        <v>176</v>
      </c>
      <c r="E27" s="41" t="s">
        <v>177</v>
      </c>
      <c r="F27" s="41"/>
      <c r="G27" s="42" t="s">
        <v>178</v>
      </c>
      <c r="H27" s="42" t="s">
        <v>22</v>
      </c>
      <c r="I27" s="42" t="s">
        <v>179</v>
      </c>
      <c r="J27" s="42" t="s">
        <v>180</v>
      </c>
      <c r="K27" s="42" t="s">
        <v>181</v>
      </c>
      <c r="L27" s="42" t="s">
        <v>182</v>
      </c>
      <c r="M27" s="42" t="s">
        <v>183</v>
      </c>
      <c r="N27" s="42"/>
      <c r="O27" s="42" t="s">
        <v>184</v>
      </c>
      <c r="P27" s="30"/>
      <c r="Q27" s="30"/>
      <c r="R27" s="41"/>
      <c r="S27" s="41"/>
      <c r="T27" s="41"/>
      <c r="U27" s="41"/>
    </row>
    <row r="28" spans="1:25" ht="14.25" customHeight="1">
      <c r="A28" s="176" t="s">
        <v>185</v>
      </c>
      <c r="B28" s="174">
        <f ca="1">'LTL_Takeoff distance (2)'!C75/3.28</f>
        <v>408.41463414634148</v>
      </c>
      <c r="C28" s="217">
        <v>0</v>
      </c>
      <c r="D28" s="174">
        <f>IF('Take-off'!$C$17&gt;0, ((+'Take-off'!$C$17*5)%*SUM(B28:C28)),0 )</f>
        <v>0</v>
      </c>
      <c r="E28" s="174">
        <f ca="1">SUM(B28:D28)</f>
        <v>408.41463414634148</v>
      </c>
      <c r="G28" s="218">
        <f>VLOOKUP('Take-off'!$C$11, 'Dropdown lists'!$B$34:$E$40, 3, FALSE())</f>
        <v>0</v>
      </c>
      <c r="H28" s="219">
        <f>'Take-off'!$C$12</f>
        <v>3</v>
      </c>
      <c r="I28" s="220">
        <f ca="1">SUM(B28:D28)</f>
        <v>408.41463414634148</v>
      </c>
      <c r="J28" s="220">
        <f ca="1">I28*(G28*H28)</f>
        <v>0</v>
      </c>
      <c r="K28" s="219">
        <f>IF('Take-off'!$C$10&lt;5, 30%*I28, 0)</f>
        <v>0</v>
      </c>
      <c r="L28" s="219">
        <f>IF('Take-off'!$C$10&lt;3, 20%*I28, 0)</f>
        <v>0</v>
      </c>
      <c r="M28" s="220">
        <v>0</v>
      </c>
      <c r="N28" s="220"/>
      <c r="O28" s="220">
        <f ca="1">SUM(I28:M28)</f>
        <v>408.41463414634148</v>
      </c>
      <c r="P28" s="150"/>
      <c r="Q28" s="150"/>
    </row>
    <row r="29" spans="1:25" ht="14.25" customHeight="1">
      <c r="A29" s="176" t="s">
        <v>186</v>
      </c>
      <c r="B29" s="174">
        <f ca="1">'LTL_Takeoff distance (2)'!C94/3.28</f>
        <v>510.80487804878044</v>
      </c>
      <c r="C29" s="217">
        <v>0</v>
      </c>
      <c r="D29" s="174">
        <f>IF('Take-off'!$C$17&gt;0, ((+'Take-off'!$C$17*5)%*SUM(B29:C29)),0 )</f>
        <v>0</v>
      </c>
      <c r="E29" s="174">
        <f ca="1">SUM(B29:D29)*115%</f>
        <v>587.42560975609751</v>
      </c>
      <c r="G29" s="218">
        <f>VLOOKUP('Take-off'!$C$11, 'Dropdown lists'!$B$34:$E$40, 3, FALSE())</f>
        <v>0</v>
      </c>
      <c r="H29" s="219">
        <f>'Take-off'!$C$12</f>
        <v>3</v>
      </c>
      <c r="I29" s="220">
        <f ca="1">SUM(B29:D29)</f>
        <v>510.80487804878044</v>
      </c>
      <c r="J29" s="220">
        <f ca="1">I29*(G29*H29)</f>
        <v>0</v>
      </c>
      <c r="K29" s="219">
        <f>IF('Take-off'!$C$10&lt;5, 30%*I29, 0)</f>
        <v>0</v>
      </c>
      <c r="L29" s="219">
        <f>IF('Take-off'!$C$10&lt;3, 20%*I29, 0)</f>
        <v>0</v>
      </c>
      <c r="M29" s="220">
        <f ca="1">15%*SUM(I29:L29)</f>
        <v>76.620731707317063</v>
      </c>
      <c r="N29" s="220"/>
      <c r="O29" s="220">
        <f ca="1">SUM(I29:M29)</f>
        <v>587.42560975609751</v>
      </c>
      <c r="P29" s="150"/>
      <c r="Q29" s="150"/>
    </row>
    <row r="30" spans="1:25" ht="14.25" customHeight="1">
      <c r="A30" s="176" t="s">
        <v>187</v>
      </c>
      <c r="B30" s="44">
        <f ca="1">'LTL_Accelerate and GO (2)'!C75/3.28</f>
        <v>609.7560975609756</v>
      </c>
      <c r="C30" s="217">
        <v>0</v>
      </c>
      <c r="D30" s="174">
        <f>IF('Take-off'!$C$17&gt;0, ((+'Take-off'!$C$17*5)%*SUM(B30:C30)),0 )</f>
        <v>0</v>
      </c>
      <c r="E30" s="174">
        <f ca="1">SUM(B30:D30)</f>
        <v>609.7560975609756</v>
      </c>
      <c r="G30" s="218">
        <f>VLOOKUP('Take-off'!$C$11, 'Dropdown lists'!$B$34:$E$40, 3, FALSE())</f>
        <v>0</v>
      </c>
      <c r="H30" s="219">
        <f>'Take-off'!$C$12</f>
        <v>3</v>
      </c>
      <c r="I30" s="220">
        <f ca="1">SUM(B30:D30)</f>
        <v>609.7560975609756</v>
      </c>
      <c r="J30" s="220"/>
      <c r="K30" s="219"/>
      <c r="L30" s="219"/>
      <c r="M30" s="219"/>
      <c r="N30" s="219"/>
      <c r="O30" s="220">
        <f ca="1">E30</f>
        <v>609.7560975609756</v>
      </c>
    </row>
    <row r="31" spans="1:25" ht="14.25" customHeight="1">
      <c r="A31" s="176" t="s">
        <v>188</v>
      </c>
      <c r="B31" s="44">
        <f ca="1">B30</f>
        <v>609.7560975609756</v>
      </c>
      <c r="C31" s="217">
        <v>0</v>
      </c>
      <c r="D31" s="174">
        <f>IF('Take-off'!$C$17&gt;0, ((+'Take-off'!$C$17*5)%*SUM(B31:C31)),0 )</f>
        <v>0</v>
      </c>
      <c r="E31" s="174">
        <f ca="1">SUM(B31:D31)</f>
        <v>609.7560975609756</v>
      </c>
      <c r="G31" s="218">
        <f>VLOOKUP('Take-off'!$C$11, 'Dropdown lists'!$B$34:$E$40, 3, FALSE())</f>
        <v>0</v>
      </c>
      <c r="H31" s="219">
        <f>'Take-off'!$C$12</f>
        <v>3</v>
      </c>
      <c r="I31" s="220">
        <f ca="1">SUM(B31:D31)</f>
        <v>609.7560975609756</v>
      </c>
      <c r="J31" s="220">
        <f ca="1">I31*(G31*H31)</f>
        <v>0</v>
      </c>
      <c r="K31" s="219">
        <f>IF('Take-off'!$C$10&lt;5, 30%*I31, 0)</f>
        <v>0</v>
      </c>
      <c r="L31" s="219">
        <f>IF('Take-off'!$C$10&lt;3, 20%*I31, 0)</f>
        <v>0</v>
      </c>
      <c r="M31" s="219">
        <v>0</v>
      </c>
      <c r="N31" s="219"/>
      <c r="O31" s="220">
        <f ca="1">SUM(I31:N31)</f>
        <v>609.7560975609756</v>
      </c>
    </row>
    <row r="32" spans="1:25" ht="14.25" customHeight="1">
      <c r="A32" s="176" t="s">
        <v>189</v>
      </c>
      <c r="B32" s="217">
        <f ca="1">'LTL_Accelerate and stop2'!C75/3.28</f>
        <v>844.51219512195132</v>
      </c>
      <c r="C32" s="217">
        <v>0</v>
      </c>
      <c r="D32" s="174">
        <f>IF('Take-off'!$C$17&gt;0, ((+'Take-off'!$C$17*5)%*SUM(B32:C32)),0 )</f>
        <v>0</v>
      </c>
      <c r="E32" s="174">
        <f ca="1">SUM(B32:D32)</f>
        <v>844.51219512195132</v>
      </c>
      <c r="G32" s="218">
        <f>VLOOKUP('Take-off'!$C$11, 'Dropdown lists'!$B$34:$E$40, 3, FALSE())</f>
        <v>0</v>
      </c>
      <c r="H32" s="219">
        <f>'Take-off'!$C$12</f>
        <v>3</v>
      </c>
      <c r="I32" s="220">
        <f ca="1">SUM(B32:D32)</f>
        <v>844.51219512195132</v>
      </c>
      <c r="J32" s="220">
        <f ca="1">I32*(G32*H32)</f>
        <v>0</v>
      </c>
      <c r="K32" s="219">
        <f>IF('Take-off'!$C$10&lt;5, 30%*I32, 0)</f>
        <v>0</v>
      </c>
      <c r="L32" s="219">
        <f>IF('Take-off'!$C$10&lt;3, 20%*I32, 0)</f>
        <v>0</v>
      </c>
      <c r="M32" s="219">
        <v>0</v>
      </c>
      <c r="N32" s="219"/>
      <c r="O32" s="220">
        <f ca="1">SUM(I32:M32)</f>
        <v>844.51219512195132</v>
      </c>
    </row>
    <row r="33" spans="1:20" ht="14.25" customHeight="1">
      <c r="A33" s="176"/>
      <c r="B33" s="171" t="s">
        <v>158</v>
      </c>
      <c r="C33" s="171" t="s">
        <v>159</v>
      </c>
      <c r="D33" s="171" t="s">
        <v>160</v>
      </c>
      <c r="F33" s="176"/>
      <c r="T33" s="150"/>
    </row>
    <row r="34" spans="1:20" ht="14.25" customHeight="1">
      <c r="A34" s="176"/>
      <c r="B34" s="172">
        <f ca="1">IF(ABS('Take-off'!C18-'Take-off'!C6)&gt;270,360-ABS('Take-off'!C18-'Take-off'!C6),'Take-off'!C18-'Take-off'!C6)</f>
        <v>-120</v>
      </c>
      <c r="C34" s="173">
        <f ca="1">IF(ABS(B34)&gt;90,ABS(COS(B34*PI()/180))*(-1),ABS(COS(B34*PI()/180)))</f>
        <v>-0.49999999999999978</v>
      </c>
      <c r="D34" s="172">
        <f ca="1">IF( ISBLANK('Take-off'!C6), 'Take-off'!C7*-1,    'Take-off'!C7*C34)</f>
        <v>0</v>
      </c>
      <c r="G34" s="221"/>
      <c r="H34" s="44"/>
      <c r="T34" s="150"/>
    </row>
    <row r="35" spans="1:20" ht="14.25" customHeight="1">
      <c r="A35" s="176" t="s">
        <v>190</v>
      </c>
      <c r="B35" s="72" t="s">
        <v>162</v>
      </c>
      <c r="C35" s="150" t="s">
        <v>163</v>
      </c>
      <c r="D35" s="150"/>
      <c r="G35" s="221"/>
      <c r="H35" s="44"/>
      <c r="T35" s="150"/>
    </row>
    <row r="36" spans="1:20" ht="14.25" customHeight="1">
      <c r="A36" s="176"/>
      <c r="C36" s="73"/>
      <c r="D36" s="73"/>
      <c r="T36" s="150"/>
    </row>
    <row r="37" spans="1:20" ht="14.25" customHeight="1">
      <c r="A37" s="176"/>
      <c r="B37" s="72"/>
      <c r="C37" s="175"/>
      <c r="D37" s="72"/>
      <c r="T37" s="150"/>
    </row>
    <row r="38" spans="1:20" ht="14.25" customHeight="1">
      <c r="A38" s="176"/>
      <c r="B38" s="72"/>
      <c r="C38" s="72"/>
      <c r="D38" s="72"/>
      <c r="T38" s="150"/>
    </row>
    <row r="39" spans="1:20" ht="14.25" customHeight="1">
      <c r="A39" s="176"/>
      <c r="B39" s="72" t="s">
        <v>161</v>
      </c>
      <c r="C39" s="175">
        <f ca="1">IF(ABS(B34)&gt;90,ABS(SIN(B34*PI()/180))*(-1),ABS(SIN(B34*PI()/180)))</f>
        <v>-0.86602540378443871</v>
      </c>
      <c r="D39" s="72"/>
      <c r="T39" s="150"/>
    </row>
    <row r="40" spans="1:20" ht="14.25" customHeight="1">
      <c r="K40" s="150"/>
      <c r="L40" s="150"/>
      <c r="P40" s="150"/>
      <c r="Q40" s="150"/>
      <c r="R40" s="222"/>
      <c r="S40" s="150"/>
      <c r="T40" s="150"/>
    </row>
    <row r="41" spans="1:20" ht="14.25" customHeight="1">
      <c r="K41" s="150"/>
      <c r="L41" s="150"/>
      <c r="M41" s="167"/>
      <c r="N41" s="168"/>
      <c r="P41" s="150"/>
      <c r="Q41" s="150"/>
      <c r="R41" s="150"/>
      <c r="S41" s="150"/>
      <c r="T41" s="150"/>
    </row>
    <row r="42" spans="1:20" ht="14.25" customHeight="1"/>
    <row r="43" spans="1:20" ht="14.25" customHeight="1">
      <c r="C43" s="44"/>
      <c r="K43" s="150"/>
      <c r="L43" s="150"/>
      <c r="M43" s="38"/>
      <c r="N43" s="169"/>
      <c r="P43" s="223"/>
      <c r="S43" s="150"/>
      <c r="T43" s="150"/>
    </row>
    <row r="44" spans="1:20" ht="14.25" customHeight="1">
      <c r="A44" s="181"/>
      <c r="B44" s="182"/>
      <c r="C44" s="182"/>
      <c r="D44" s="182"/>
      <c r="E44" s="182"/>
      <c r="F44" s="182"/>
      <c r="G44" s="182"/>
      <c r="H44" s="182"/>
      <c r="I44" s="150"/>
      <c r="J44" s="150"/>
      <c r="K44" s="150"/>
      <c r="L44" s="150"/>
      <c r="M44" s="150"/>
      <c r="N44" s="150"/>
      <c r="O44" s="150"/>
      <c r="Q44" s="224"/>
    </row>
    <row r="45" spans="1:20" ht="14.25" customHeight="1">
      <c r="I45" s="150"/>
      <c r="J45" s="150"/>
      <c r="K45" s="150"/>
      <c r="L45" s="167"/>
      <c r="M45" s="168"/>
      <c r="N45" s="99"/>
      <c r="P45" s="183"/>
      <c r="Q45" s="225"/>
      <c r="R45" s="44"/>
    </row>
    <row r="46" spans="1:20" ht="14.25" customHeight="1">
      <c r="A46" s="223"/>
      <c r="B46" s="39"/>
      <c r="C46" s="48"/>
      <c r="D46" s="48"/>
      <c r="E46" s="48"/>
      <c r="F46" s="48"/>
      <c r="G46" s="48"/>
      <c r="H46" s="48"/>
      <c r="I46" s="48"/>
      <c r="J46" s="48"/>
      <c r="K46" s="150"/>
      <c r="L46" s="38"/>
      <c r="M46" s="169"/>
      <c r="N46" s="38"/>
      <c r="O46" s="39"/>
      <c r="P46" s="183"/>
      <c r="Q46" s="225"/>
      <c r="R46" s="44"/>
    </row>
    <row r="47" spans="1:20" ht="14.25" customHeight="1">
      <c r="B47" s="224"/>
      <c r="C47" s="224"/>
      <c r="D47" s="224"/>
      <c r="E47" s="224"/>
      <c r="F47" s="224"/>
      <c r="G47" s="224"/>
      <c r="H47" s="224"/>
      <c r="I47" s="224"/>
      <c r="J47" s="224"/>
      <c r="K47" s="150"/>
      <c r="L47" s="38"/>
      <c r="M47" s="169"/>
      <c r="N47" s="38"/>
      <c r="O47" s="39"/>
      <c r="P47" s="183"/>
      <c r="Q47" s="225"/>
      <c r="R47" s="44"/>
    </row>
    <row r="48" spans="1:20" ht="14.25" customHeight="1">
      <c r="A48" s="183"/>
      <c r="B48" s="48"/>
      <c r="C48" s="48"/>
      <c r="D48" s="48"/>
      <c r="E48" s="48"/>
      <c r="F48" s="48"/>
      <c r="G48" s="48"/>
      <c r="H48" s="48"/>
      <c r="I48" s="48"/>
      <c r="J48" s="48"/>
      <c r="K48" s="150"/>
      <c r="L48" s="167"/>
      <c r="M48" s="168"/>
      <c r="N48" s="150"/>
      <c r="O48" s="150"/>
      <c r="P48" s="183"/>
      <c r="Q48" s="225"/>
      <c r="R48" s="44"/>
      <c r="S48" s="44"/>
    </row>
    <row r="49" spans="1:18" ht="14.25" customHeight="1">
      <c r="A49" s="183"/>
      <c r="B49" s="48"/>
      <c r="C49" s="48"/>
      <c r="D49" s="48"/>
      <c r="E49" s="48"/>
      <c r="F49" s="48"/>
      <c r="G49" s="48"/>
      <c r="H49" s="48"/>
      <c r="I49" s="48"/>
      <c r="J49" s="48"/>
      <c r="K49" s="150"/>
      <c r="L49" s="38"/>
      <c r="M49" s="169"/>
      <c r="N49" s="150"/>
      <c r="O49" s="73"/>
      <c r="P49" s="183"/>
      <c r="Q49" s="225"/>
      <c r="R49" s="44"/>
    </row>
    <row r="50" spans="1:18" ht="14.25" customHeight="1">
      <c r="A50" s="183"/>
      <c r="B50" s="48"/>
      <c r="C50" s="48"/>
      <c r="D50" s="48"/>
      <c r="E50" s="48"/>
      <c r="F50" s="48"/>
      <c r="G50" s="48"/>
      <c r="H50" s="48"/>
      <c r="I50" s="48"/>
      <c r="J50" s="48"/>
      <c r="K50" s="150"/>
      <c r="L50" s="38"/>
      <c r="M50" s="169"/>
      <c r="N50" s="150"/>
      <c r="O50" s="73"/>
      <c r="P50" s="183"/>
      <c r="Q50" s="225"/>
      <c r="R50" s="44"/>
    </row>
    <row r="51" spans="1:18" ht="14.25" customHeight="1">
      <c r="A51" s="183"/>
      <c r="B51" s="48"/>
      <c r="C51" s="48"/>
      <c r="D51" s="48"/>
      <c r="E51" s="48"/>
      <c r="F51" s="48"/>
      <c r="G51" s="48"/>
      <c r="H51" s="48"/>
      <c r="I51" s="48"/>
      <c r="J51" s="48"/>
      <c r="K51" s="150"/>
      <c r="L51" s="167"/>
      <c r="M51" s="168"/>
      <c r="N51" s="150"/>
      <c r="O51" s="73"/>
      <c r="P51" s="183"/>
      <c r="Q51" s="225"/>
      <c r="R51" s="44"/>
    </row>
    <row r="52" spans="1:18" ht="14.25" customHeight="1">
      <c r="A52" s="183"/>
      <c r="B52" s="48"/>
      <c r="C52" s="48"/>
      <c r="D52" s="48"/>
      <c r="E52" s="48"/>
      <c r="F52" s="48"/>
      <c r="G52" s="48"/>
      <c r="H52" s="48"/>
      <c r="I52" s="48"/>
      <c r="J52" s="48"/>
      <c r="K52" s="150"/>
      <c r="L52" s="167"/>
      <c r="M52" s="168"/>
      <c r="O52" s="73"/>
      <c r="P52" s="183"/>
      <c r="Q52" s="225"/>
      <c r="R52" s="44"/>
    </row>
    <row r="53" spans="1:18" ht="14.25" customHeight="1">
      <c r="A53" s="183"/>
      <c r="B53" s="48"/>
      <c r="C53" s="48"/>
      <c r="D53" s="48"/>
      <c r="E53" s="48"/>
      <c r="F53" s="48"/>
      <c r="G53" s="48"/>
      <c r="H53" s="48"/>
      <c r="I53" s="48"/>
      <c r="J53" s="48"/>
      <c r="K53" s="150"/>
      <c r="L53" s="167"/>
      <c r="M53" s="168"/>
      <c r="O53" s="73"/>
      <c r="P53" s="183"/>
      <c r="Q53" s="225"/>
      <c r="R53" s="44"/>
    </row>
    <row r="54" spans="1:18" ht="14.25" customHeight="1">
      <c r="A54" s="183"/>
      <c r="B54" s="48"/>
      <c r="C54" s="48"/>
      <c r="D54" s="48"/>
      <c r="E54" s="48"/>
      <c r="F54" s="48"/>
      <c r="G54" s="48"/>
      <c r="H54" s="48"/>
      <c r="I54" s="48"/>
      <c r="J54" s="48"/>
      <c r="K54" s="150"/>
      <c r="L54" s="167"/>
      <c r="M54" s="168"/>
      <c r="P54" s="44"/>
      <c r="Q54" s="44"/>
      <c r="R54" s="44"/>
    </row>
    <row r="55" spans="1:18" ht="14.25" customHeight="1">
      <c r="A55" s="183"/>
      <c r="B55" s="48"/>
      <c r="C55" s="48"/>
      <c r="D55" s="48"/>
      <c r="E55" s="48"/>
      <c r="F55" s="48"/>
      <c r="G55" s="48"/>
      <c r="H55" s="48"/>
      <c r="I55" s="48"/>
      <c r="J55" s="48"/>
      <c r="K55" s="150"/>
      <c r="L55" s="38"/>
      <c r="M55" s="169"/>
      <c r="P55" s="99"/>
    </row>
    <row r="56" spans="1:18" ht="14.25" customHeight="1">
      <c r="A56" s="183"/>
      <c r="B56" s="48"/>
      <c r="C56" s="48"/>
      <c r="D56" s="48"/>
      <c r="E56" s="48"/>
      <c r="F56" s="48"/>
      <c r="G56" s="48"/>
      <c r="H56" s="48"/>
      <c r="I56" s="48"/>
      <c r="J56" s="48"/>
      <c r="K56" s="150"/>
      <c r="L56" s="38"/>
      <c r="M56" s="169"/>
      <c r="Q56" s="38"/>
      <c r="R56" s="38"/>
    </row>
    <row r="57" spans="1:18" ht="14.25" customHeight="1">
      <c r="A57" s="183"/>
      <c r="B57" s="48"/>
      <c r="C57" s="48"/>
      <c r="D57" s="48"/>
      <c r="E57" s="48"/>
      <c r="F57" s="48"/>
      <c r="G57" s="48"/>
      <c r="H57" s="48"/>
      <c r="I57" s="48"/>
      <c r="J57" s="48"/>
      <c r="K57" s="150"/>
      <c r="L57" s="167"/>
      <c r="M57" s="168"/>
      <c r="Q57" s="38"/>
      <c r="R57" s="38"/>
    </row>
    <row r="58" spans="1:18" ht="14.25" customHeight="1">
      <c r="I58" s="32"/>
      <c r="J58" s="32"/>
      <c r="K58" s="32"/>
      <c r="L58" s="32"/>
      <c r="M58" s="32"/>
      <c r="N58" s="32"/>
      <c r="O58" s="32"/>
    </row>
    <row r="59" spans="1:18" ht="14.25" customHeight="1">
      <c r="A59" s="226"/>
      <c r="B59" s="226"/>
      <c r="C59" s="226"/>
      <c r="D59" s="226"/>
      <c r="E59" s="226"/>
      <c r="F59" s="226"/>
      <c r="G59" s="226"/>
      <c r="H59" s="226"/>
      <c r="I59" s="32"/>
      <c r="J59" s="32"/>
      <c r="K59" s="32"/>
      <c r="L59" s="32"/>
      <c r="M59" s="32"/>
      <c r="N59" s="32"/>
      <c r="O59" s="32"/>
    </row>
    <row r="60" spans="1:18" ht="14.25" customHeight="1">
      <c r="I60" s="32"/>
      <c r="J60" s="32"/>
      <c r="K60" s="32"/>
      <c r="L60" s="92"/>
      <c r="M60" s="227"/>
      <c r="N60" s="92"/>
      <c r="P60" s="92"/>
      <c r="Q60" s="227"/>
      <c r="R60" s="44"/>
    </row>
    <row r="61" spans="1:18" ht="14.25" customHeight="1">
      <c r="A61" s="228"/>
      <c r="K61" s="32"/>
      <c r="M61" s="44"/>
      <c r="Q61" s="44"/>
      <c r="R61" s="44"/>
    </row>
    <row r="62" spans="1:18" ht="14.25" customHeight="1">
      <c r="B62" s="229"/>
      <c r="C62" s="229"/>
      <c r="D62" s="229"/>
      <c r="E62" s="229"/>
      <c r="F62" s="229"/>
      <c r="G62" s="229"/>
      <c r="H62" s="229"/>
      <c r="I62" s="229"/>
      <c r="J62" s="229"/>
      <c r="K62" s="32"/>
      <c r="M62" s="44"/>
      <c r="Q62" s="44"/>
      <c r="R62" s="44"/>
    </row>
    <row r="63" spans="1:18" ht="14.25" customHeight="1">
      <c r="A63" s="227"/>
      <c r="K63" s="32"/>
      <c r="L63" s="92"/>
      <c r="M63" s="227"/>
      <c r="N63" s="32"/>
      <c r="O63" s="32"/>
      <c r="P63" s="92"/>
      <c r="Q63" s="227"/>
      <c r="R63" s="44"/>
    </row>
    <row r="64" spans="1:18" ht="14.25" customHeight="1">
      <c r="A64" s="227"/>
      <c r="K64" s="32"/>
      <c r="M64" s="44"/>
      <c r="N64" s="32"/>
      <c r="O64" s="96"/>
      <c r="P64" s="92"/>
      <c r="Q64" s="227"/>
      <c r="R64" s="44"/>
    </row>
    <row r="65" spans="1:17" ht="14.25" customHeight="1">
      <c r="A65" s="227"/>
      <c r="K65" s="32"/>
      <c r="M65" s="44"/>
      <c r="N65" s="32"/>
      <c r="O65" s="96"/>
      <c r="P65" s="92"/>
      <c r="Q65" s="227"/>
    </row>
    <row r="66" spans="1:17" ht="14.25" customHeight="1">
      <c r="A66" s="227"/>
      <c r="K66" s="32"/>
      <c r="L66" s="92"/>
      <c r="M66" s="227"/>
      <c r="N66" s="32"/>
      <c r="O66" s="96"/>
      <c r="P66" s="32"/>
      <c r="Q66" s="32"/>
    </row>
    <row r="67" spans="1:17" ht="14.25" customHeight="1">
      <c r="A67" s="227"/>
      <c r="K67" s="32"/>
      <c r="L67" s="92"/>
      <c r="M67" s="227"/>
      <c r="O67" s="96"/>
      <c r="P67" s="32"/>
      <c r="Q67" s="32"/>
    </row>
    <row r="68" spans="1:17" ht="14.25" customHeight="1">
      <c r="A68" s="227"/>
      <c r="K68" s="32"/>
      <c r="L68" s="92"/>
      <c r="M68" s="227"/>
      <c r="O68" s="96"/>
      <c r="P68" s="32"/>
      <c r="Q68" s="32"/>
    </row>
    <row r="69" spans="1:17" ht="14.25" customHeight="1">
      <c r="A69" s="227"/>
      <c r="K69" s="32"/>
      <c r="L69" s="92"/>
      <c r="M69" s="227"/>
      <c r="P69" s="32"/>
      <c r="Q69" s="32"/>
    </row>
    <row r="70" spans="1:17" ht="14.25" customHeight="1">
      <c r="A70" s="227"/>
      <c r="K70" s="32"/>
      <c r="M70" s="44"/>
      <c r="P70" s="32"/>
      <c r="Q70" s="32"/>
    </row>
    <row r="71" spans="1:17" ht="14.25" customHeight="1">
      <c r="A71" s="227"/>
      <c r="K71" s="32"/>
      <c r="M71" s="44"/>
      <c r="P71" s="32"/>
      <c r="Q71" s="32"/>
    </row>
    <row r="72" spans="1:17" ht="14.25" customHeight="1">
      <c r="A72" s="227"/>
      <c r="K72" s="32"/>
      <c r="L72" s="92"/>
      <c r="M72" s="227"/>
      <c r="P72" s="32"/>
      <c r="Q72" s="32"/>
    </row>
    <row r="73" spans="1:17" ht="14.25" customHeight="1">
      <c r="K73" s="32"/>
      <c r="L73" s="32"/>
      <c r="M73" s="32"/>
      <c r="N73" s="32"/>
      <c r="O73" s="32"/>
      <c r="P73" s="32"/>
      <c r="Q73" s="32"/>
    </row>
    <row r="74" spans="1:17" ht="14.25" customHeight="1">
      <c r="A74" s="226"/>
      <c r="B74" s="226"/>
      <c r="C74" s="226"/>
      <c r="D74" s="226"/>
      <c r="E74" s="226"/>
      <c r="F74" s="226"/>
      <c r="G74" s="226"/>
      <c r="H74" s="226"/>
      <c r="I74" s="32"/>
      <c r="J74" s="32"/>
      <c r="K74" s="32"/>
      <c r="L74" s="32"/>
      <c r="M74" s="32"/>
      <c r="N74" s="32"/>
      <c r="O74" s="32"/>
      <c r="P74" s="32"/>
      <c r="Q74" s="32"/>
    </row>
    <row r="75" spans="1:17" ht="14.25" customHeight="1">
      <c r="I75" s="32"/>
      <c r="J75" s="32"/>
      <c r="K75" s="32"/>
      <c r="L75" s="92"/>
      <c r="M75" s="227"/>
      <c r="N75" s="92"/>
      <c r="P75" s="32"/>
      <c r="Q75" s="32"/>
    </row>
    <row r="76" spans="1:17" ht="14.25" customHeight="1">
      <c r="A76" s="228"/>
      <c r="K76" s="32"/>
      <c r="M76" s="44"/>
      <c r="P76" s="32"/>
      <c r="Q76" s="32"/>
    </row>
    <row r="77" spans="1:17" ht="14.25" customHeight="1">
      <c r="B77" s="229"/>
      <c r="C77" s="229"/>
      <c r="D77" s="229"/>
      <c r="E77" s="229"/>
      <c r="F77" s="229"/>
      <c r="G77" s="229"/>
      <c r="H77" s="229"/>
      <c r="I77" s="229"/>
      <c r="J77" s="229"/>
      <c r="K77" s="32"/>
      <c r="M77" s="44"/>
      <c r="P77" s="32"/>
      <c r="Q77" s="32"/>
    </row>
    <row r="78" spans="1:17" ht="14.25" customHeight="1">
      <c r="A78" s="227"/>
      <c r="K78" s="32"/>
      <c r="L78" s="92"/>
      <c r="M78" s="227"/>
      <c r="N78" s="32"/>
      <c r="O78" s="32"/>
      <c r="P78" s="32"/>
      <c r="Q78" s="32"/>
    </row>
    <row r="79" spans="1:17" ht="14.25" customHeight="1">
      <c r="A79" s="227"/>
      <c r="K79" s="32"/>
      <c r="M79" s="44"/>
      <c r="N79" s="32"/>
      <c r="O79" s="96"/>
      <c r="P79" s="32"/>
      <c r="Q79" s="32"/>
    </row>
    <row r="80" spans="1:17" ht="14.25" customHeight="1">
      <c r="A80" s="227"/>
      <c r="K80" s="32"/>
      <c r="M80" s="44"/>
      <c r="N80" s="32"/>
      <c r="O80" s="96"/>
      <c r="P80" s="32"/>
      <c r="Q80" s="32"/>
    </row>
    <row r="81" spans="12:15" ht="14.25" customHeight="1">
      <c r="L81" s="92"/>
      <c r="M81" s="227"/>
      <c r="N81" s="32"/>
      <c r="O81" s="96"/>
    </row>
    <row r="82" spans="12:15" ht="14.25" customHeight="1">
      <c r="L82" s="92"/>
      <c r="M82" s="227"/>
      <c r="O82" s="96"/>
    </row>
    <row r="83" spans="12:15" ht="14.25" customHeight="1">
      <c r="L83" s="92"/>
      <c r="M83" s="227"/>
      <c r="O83" s="96"/>
    </row>
    <row r="84" spans="12:15" ht="14.25" customHeight="1">
      <c r="L84" s="92"/>
      <c r="M84" s="227"/>
    </row>
    <row r="85" spans="12:15" ht="14.25" customHeight="1">
      <c r="M85" s="44"/>
    </row>
    <row r="86" spans="12:15" ht="14.25" customHeight="1">
      <c r="M86" s="44"/>
    </row>
    <row r="87" spans="12:15" ht="14.25" customHeight="1">
      <c r="L87" s="92"/>
      <c r="M87" s="227"/>
    </row>
    <row r="89" spans="12:15" ht="15.75" customHeight="1"/>
    <row r="90" spans="12:15" ht="15.75" customHeight="1"/>
    <row r="91" spans="12:15" ht="15.75" customHeight="1"/>
    <row r="92" spans="12:15" ht="15.75" customHeight="1"/>
    <row r="93" spans="12:15" ht="15.75" customHeight="1"/>
    <row r="94" spans="12:15" ht="15.75" customHeight="1"/>
    <row r="95" spans="12:15" ht="15.75" customHeight="1"/>
    <row r="96" spans="12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E1"/>
    <mergeCell ref="A3:A4"/>
    <mergeCell ref="J3:K3"/>
    <mergeCell ref="B12:C12"/>
    <mergeCell ref="D12:E12"/>
    <mergeCell ref="H12:I12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001"/>
  <sheetViews>
    <sheetView zoomScaleNormal="100" workbookViewId="0">
      <selection activeCell="L16" sqref="L16"/>
    </sheetView>
  </sheetViews>
  <sheetFormatPr defaultColWidth="14.44140625" defaultRowHeight="15" customHeight="1"/>
  <cols>
    <col min="1" max="1" width="23.44140625" customWidth="1"/>
    <col min="2" max="6" width="9.109375" customWidth="1"/>
    <col min="7" max="7" width="9" customWidth="1"/>
    <col min="8" max="10" width="9.109375" customWidth="1"/>
    <col min="11" max="11" width="10.5546875" customWidth="1"/>
    <col min="12" max="18" width="9.109375" customWidth="1"/>
  </cols>
  <sheetData>
    <row r="1" spans="1:12" ht="14.25" customHeight="1">
      <c r="A1" s="296" t="s">
        <v>191</v>
      </c>
      <c r="B1" s="296"/>
      <c r="C1" s="296"/>
      <c r="D1" s="296"/>
      <c r="E1" s="296"/>
      <c r="F1" s="160"/>
      <c r="G1" s="150"/>
      <c r="J1" s="150"/>
      <c r="K1" s="150"/>
      <c r="L1" s="150"/>
    </row>
    <row r="2" spans="1:12" ht="14.25" customHeight="1">
      <c r="A2" t="s">
        <v>56</v>
      </c>
      <c r="G2" s="150"/>
      <c r="J2" s="150"/>
      <c r="K2" s="150"/>
      <c r="L2" s="150"/>
    </row>
    <row r="3" spans="1:12" ht="14.25" customHeight="1">
      <c r="A3" s="302" t="s">
        <v>192</v>
      </c>
      <c r="D3" s="304" t="s">
        <v>145</v>
      </c>
      <c r="E3" s="304"/>
      <c r="H3" s="304" t="s">
        <v>145</v>
      </c>
      <c r="I3" s="304"/>
      <c r="J3" s="304"/>
      <c r="K3" s="304"/>
      <c r="L3" s="150"/>
    </row>
    <row r="4" spans="1:12" ht="31.5" customHeight="1">
      <c r="A4" s="302"/>
      <c r="D4" s="188" t="s">
        <v>170</v>
      </c>
      <c r="E4" s="189"/>
      <c r="H4" s="191" t="s">
        <v>171</v>
      </c>
      <c r="I4" s="189"/>
      <c r="J4" s="191"/>
      <c r="K4" s="189"/>
    </row>
    <row r="5" spans="1:12" ht="14.25" customHeight="1">
      <c r="A5" s="230">
        <v>9000</v>
      </c>
      <c r="D5" s="193">
        <v>94</v>
      </c>
      <c r="E5" s="194"/>
      <c r="H5" s="196">
        <v>102</v>
      </c>
      <c r="I5" s="194"/>
      <c r="J5" s="197"/>
      <c r="K5" s="198"/>
    </row>
    <row r="6" spans="1:12" ht="14.25" customHeight="1">
      <c r="A6" s="192">
        <v>10000</v>
      </c>
      <c r="D6" s="199">
        <v>94</v>
      </c>
      <c r="E6" s="200"/>
      <c r="H6" s="199">
        <v>102</v>
      </c>
      <c r="I6" s="200"/>
      <c r="J6" s="202"/>
      <c r="K6" s="203"/>
    </row>
    <row r="7" spans="1:12" ht="14.25" customHeight="1">
      <c r="A7" s="192">
        <v>11000</v>
      </c>
      <c r="D7" s="199">
        <v>94</v>
      </c>
      <c r="E7" s="200"/>
      <c r="H7" s="204">
        <v>103</v>
      </c>
      <c r="I7" s="200"/>
      <c r="J7" s="202"/>
      <c r="K7" s="203"/>
    </row>
    <row r="8" spans="1:12" ht="14.25" customHeight="1">
      <c r="A8" s="205">
        <v>11500</v>
      </c>
      <c r="D8" s="199">
        <v>94</v>
      </c>
      <c r="E8" s="200"/>
      <c r="H8" s="199">
        <f>AVERAGE(H7,H9)</f>
        <v>104</v>
      </c>
      <c r="I8" s="200"/>
      <c r="J8" s="202"/>
      <c r="K8" s="203"/>
    </row>
    <row r="9" spans="1:12" ht="14.25" customHeight="1">
      <c r="A9" s="205">
        <v>12000</v>
      </c>
      <c r="D9" s="199">
        <v>94</v>
      </c>
      <c r="E9" s="200"/>
      <c r="H9" s="204">
        <v>105</v>
      </c>
      <c r="I9" s="200"/>
      <c r="J9" s="202"/>
      <c r="K9" s="203"/>
    </row>
    <row r="10" spans="1:12" ht="14.25" customHeight="1">
      <c r="A10" s="206">
        <v>12500</v>
      </c>
      <c r="D10" s="207">
        <v>94</v>
      </c>
      <c r="E10" s="208"/>
      <c r="H10" s="210">
        <v>106</v>
      </c>
      <c r="I10" s="208"/>
      <c r="J10" s="211"/>
      <c r="K10" s="212"/>
    </row>
    <row r="11" spans="1:12" ht="14.25" customHeight="1">
      <c r="A11" s="165"/>
      <c r="D11" s="73"/>
      <c r="I11" s="44"/>
      <c r="K11" s="44"/>
    </row>
    <row r="12" spans="1:12" ht="14.25" customHeight="1">
      <c r="A12" s="99"/>
      <c r="D12" s="299" t="s">
        <v>172</v>
      </c>
      <c r="E12" s="299"/>
      <c r="H12" s="299" t="s">
        <v>171</v>
      </c>
      <c r="I12" s="299"/>
      <c r="J12" s="99"/>
      <c r="K12" s="99"/>
    </row>
    <row r="13" spans="1:12" ht="14.25" customHeight="1">
      <c r="D13" s="38" t="s">
        <v>148</v>
      </c>
      <c r="E13" s="39">
        <f>MATCH(MAX($A5:$A10),$A5:$A10,0)</f>
        <v>6</v>
      </c>
      <c r="I13" s="39">
        <f>MATCH(MAX($A5:$A10),$A5:$A10,0)</f>
        <v>6</v>
      </c>
      <c r="J13" s="39"/>
      <c r="K13" s="39"/>
    </row>
    <row r="14" spans="1:12" ht="14.25" customHeight="1">
      <c r="D14" s="38" t="s">
        <v>149</v>
      </c>
      <c r="E14" s="39">
        <f>MATCH(MAX(D5),D5,0)</f>
        <v>1</v>
      </c>
      <c r="I14" s="39">
        <f>MATCH(MAX(H5),H5,0)</f>
        <v>1</v>
      </c>
      <c r="J14" s="39"/>
      <c r="K14" s="39"/>
    </row>
    <row r="15" spans="1:12" ht="14.25" customHeight="1">
      <c r="A15" s="150"/>
      <c r="D15" s="150"/>
      <c r="E15" s="150"/>
    </row>
    <row r="16" spans="1:12" ht="14.25" customHeight="1">
      <c r="D16" s="72" t="s">
        <v>150</v>
      </c>
      <c r="E16" s="33" t="str">
        <f>D4</f>
        <v>V1/R</v>
      </c>
      <c r="I16" s="33" t="str">
        <f>H4</f>
        <v>V2</v>
      </c>
      <c r="J16" s="33"/>
      <c r="K16" s="33"/>
    </row>
    <row r="17" spans="1:15" ht="14.25" customHeight="1">
      <c r="D17" s="167" t="s">
        <v>151</v>
      </c>
      <c r="E17" s="168">
        <f>'Take-off'!$C$14</f>
        <v>9000</v>
      </c>
      <c r="I17" s="168">
        <f>'Take-off'!$C$14</f>
        <v>9000</v>
      </c>
      <c r="J17" s="168"/>
      <c r="K17" s="168"/>
    </row>
    <row r="18" spans="1:15" ht="14.25" customHeight="1">
      <c r="D18" s="38" t="s">
        <v>152</v>
      </c>
      <c r="E18" s="169">
        <f t="array" ref="E18">INDEX($A5:$A10,MATCH(E17,$A5:$A10,1))</f>
        <v>9000</v>
      </c>
      <c r="I18" s="169">
        <f t="array" ref="I18">INDEX($A5:$A10,MATCH(I17,$A5:$A10,1))</f>
        <v>9000</v>
      </c>
      <c r="J18" s="169"/>
      <c r="K18" s="169"/>
    </row>
    <row r="19" spans="1:15" ht="14.25" customHeight="1">
      <c r="D19" s="38" t="s">
        <v>153</v>
      </c>
      <c r="E19" s="169">
        <f t="array" ref="E19">INDEX($A5:$A10,IF(MATCH(E17,$A5:$A10,1)&lt;E13,MATCH(E17,$A5:$A10,1)+1,MATCH(E17,$A5:$A10,1)))</f>
        <v>10000</v>
      </c>
      <c r="I19" s="169">
        <f t="array" ref="I19">INDEX($A5:$A10,IF(MATCH(I17,$A5:$A10,1)&lt;I13,MATCH(I17,$A5:$A10,1)+1,MATCH(I17,$A5:$A10,1)))</f>
        <v>10000</v>
      </c>
      <c r="J19" s="169"/>
      <c r="K19" s="169"/>
    </row>
    <row r="20" spans="1:15" ht="14.25" customHeight="1">
      <c r="D20" s="167" t="s">
        <v>154</v>
      </c>
      <c r="E20" s="168">
        <f t="array" ref="E20">INDEX(D5:D10,MATCH(E17,$A5:$A10,1),MATCH(E16,D4,1))</f>
        <v>94</v>
      </c>
      <c r="I20" s="168">
        <f t="array" ref="I20">INDEX(H5:H10,MATCH(I17,$A5:$A10,1),MATCH(I16,H4,1))</f>
        <v>102</v>
      </c>
      <c r="J20" s="213"/>
      <c r="K20" s="213"/>
    </row>
    <row r="21" spans="1:15" ht="14.25" customHeight="1">
      <c r="D21" s="167" t="s">
        <v>155</v>
      </c>
      <c r="E21" s="168">
        <f t="array" ref="E21">INDEX(D5:D10,IF(MATCH(E17,$A5:$A10,1)&lt;E13,MATCH(E17,$A5:$A10,1)+1,MATCH(E17,$A5:$A10,1)),MATCH(E16,D4,1))</f>
        <v>94</v>
      </c>
      <c r="I21" s="168">
        <f t="array" ref="I21">INDEX(H5:H10,IF(MATCH(I17,$A5:$A10,1)&lt;I13,MATCH(I17,$A5:$A10,1)+1,MATCH(I17,$A5:$A10,1)),MATCH(I16,H4,1))</f>
        <v>102</v>
      </c>
      <c r="J21" s="213"/>
      <c r="K21" s="213"/>
    </row>
    <row r="22" spans="1:15" ht="14.25" customHeight="1">
      <c r="D22" s="167" t="s">
        <v>156</v>
      </c>
      <c r="E22" s="168">
        <f>IFERROR(E20+(E17-E18)*(E21-E20)/(E19-E18),E20)</f>
        <v>94</v>
      </c>
      <c r="I22" s="168">
        <f>IFERROR(I20+(I17-I18)*(I21-I20)/(I19-I18),I20)</f>
        <v>102</v>
      </c>
      <c r="J22" s="213"/>
      <c r="K22" s="213"/>
    </row>
    <row r="23" spans="1:15" ht="14.25" customHeight="1">
      <c r="A23" t="s">
        <v>193</v>
      </c>
      <c r="C23" s="44"/>
      <c r="I23" s="38"/>
      <c r="J23" s="213"/>
      <c r="K23" s="213"/>
    </row>
    <row r="24" spans="1:15" ht="14.25" customHeight="1">
      <c r="L24" s="159"/>
    </row>
    <row r="25" spans="1:15" ht="14.25" customHeight="1">
      <c r="A25" s="214" t="s">
        <v>173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5"/>
    </row>
    <row r="26" spans="1:15" ht="14.25" customHeight="1"/>
    <row r="27" spans="1:15" ht="28.5" customHeight="1">
      <c r="B27" s="150" t="s">
        <v>174</v>
      </c>
      <c r="C27" t="s">
        <v>137</v>
      </c>
      <c r="D27" s="150" t="s">
        <v>176</v>
      </c>
      <c r="E27" t="s">
        <v>177</v>
      </c>
      <c r="G27" s="41" t="s">
        <v>178</v>
      </c>
      <c r="H27" s="41" t="s">
        <v>22</v>
      </c>
      <c r="I27" s="41" t="s">
        <v>179</v>
      </c>
      <c r="J27" s="41" t="s">
        <v>180</v>
      </c>
      <c r="K27" s="41" t="s">
        <v>181</v>
      </c>
      <c r="L27" s="41" t="s">
        <v>182</v>
      </c>
      <c r="M27" s="41" t="s">
        <v>183</v>
      </c>
      <c r="N27" s="41"/>
      <c r="O27" s="41" t="s">
        <v>184</v>
      </c>
    </row>
    <row r="28" spans="1:15" ht="14.25" customHeight="1">
      <c r="A28" s="176" t="s">
        <v>185</v>
      </c>
      <c r="B28" s="174">
        <f ca="1">'LTL_Takeoff distance (2)'!AC75/3.28</f>
        <v>400.20325203252037</v>
      </c>
      <c r="C28" s="217">
        <v>0</v>
      </c>
      <c r="D28" s="174">
        <v>0</v>
      </c>
      <c r="E28" s="174">
        <f ca="1">SUM(B28:D28)</f>
        <v>400.20325203252037</v>
      </c>
      <c r="G28" s="231">
        <f>VLOOKUP('Take-off'!$C$11, 'Dropdown lists'!$B$34:$E$40, 3, FALSE())</f>
        <v>0</v>
      </c>
      <c r="H28">
        <f>'Take-off'!$C$12</f>
        <v>3</v>
      </c>
      <c r="I28" s="44">
        <f ca="1">SUM(B28:D28)</f>
        <v>400.20325203252037</v>
      </c>
      <c r="J28" s="44">
        <f ca="1">I28*(G28*H28)</f>
        <v>0</v>
      </c>
      <c r="K28">
        <f>IF('Take-off'!$C$10&lt;5, 30%*I28, 0)</f>
        <v>0</v>
      </c>
      <c r="L28">
        <f>IF('Take-off'!$C$10&lt;3, 20%*I28, 0)</f>
        <v>0</v>
      </c>
      <c r="M28" s="44">
        <v>0</v>
      </c>
      <c r="N28" s="44"/>
      <c r="O28" s="44">
        <f ca="1">SUM(I28:M28)</f>
        <v>400.20325203252037</v>
      </c>
    </row>
    <row r="29" spans="1:15" ht="14.25" customHeight="1">
      <c r="A29" s="176" t="s">
        <v>186</v>
      </c>
      <c r="B29" s="174">
        <f ca="1">'LTL_Takeoff distance (2)'!AC94/3.28</f>
        <v>580.42973286875736</v>
      </c>
      <c r="C29" s="217">
        <v>0</v>
      </c>
      <c r="D29" s="174">
        <f>IF('Take-off'!$C$17&gt;0, ((+'Take-off'!$C$17*5)%*SUM(B29:C29)),0 )</f>
        <v>0</v>
      </c>
      <c r="E29" s="174">
        <f ca="1">SUM(B29:D29)*115%</f>
        <v>667.4941927990709</v>
      </c>
      <c r="G29" s="231">
        <f>VLOOKUP('Take-off'!$C$11, 'Dropdown lists'!$B$34:$E$40, 3, FALSE())</f>
        <v>0</v>
      </c>
      <c r="H29">
        <f>'Take-off'!$C$12</f>
        <v>3</v>
      </c>
      <c r="I29" s="44">
        <f ca="1">SUM(B29:D29)</f>
        <v>580.42973286875736</v>
      </c>
      <c r="J29" s="44">
        <f ca="1">I29*(G29*H29)</f>
        <v>0</v>
      </c>
      <c r="K29">
        <f>IF('Take-off'!$C$10&lt;5, 30%*I29, 0)</f>
        <v>0</v>
      </c>
      <c r="L29">
        <f>IF('Take-off'!$C$10&lt;3, 20%*I29, 0)</f>
        <v>0</v>
      </c>
      <c r="M29" s="44">
        <f ca="1">15%*SUM(I29:L29)</f>
        <v>87.064459930313603</v>
      </c>
      <c r="N29" s="44"/>
      <c r="O29" s="44">
        <f ca="1">SUM(I29:M29)</f>
        <v>667.49419279907102</v>
      </c>
    </row>
    <row r="30" spans="1:15" ht="14.25" customHeight="1">
      <c r="A30" s="176" t="s">
        <v>187</v>
      </c>
      <c r="B30" s="44">
        <f ca="1">'LTL_Accelerate and GO (2)'!AD75/3.28</f>
        <v>786.03104212860308</v>
      </c>
      <c r="C30" s="217">
        <v>0</v>
      </c>
      <c r="D30" s="174">
        <f>IF('Take-off'!$C$17&gt;0, ((+'Take-off'!$C$17*5)%*SUM(B30:C30)),0 )</f>
        <v>0</v>
      </c>
      <c r="E30" s="174">
        <f ca="1">SUM(B30:D30)</f>
        <v>786.03104212860308</v>
      </c>
      <c r="G30" s="231">
        <f>VLOOKUP('Take-off'!$C$11, 'Dropdown lists'!$B$34:$E$40, 3, FALSE())</f>
        <v>0</v>
      </c>
      <c r="H30">
        <f>'Take-off'!$C$12</f>
        <v>3</v>
      </c>
      <c r="I30" s="44">
        <f ca="1">SUM(B30:D30)</f>
        <v>786.03104212860308</v>
      </c>
      <c r="J30" s="44">
        <f ca="1">I30*(G30*H30)</f>
        <v>0</v>
      </c>
      <c r="K30">
        <f>IF('Take-off'!$C$10&lt;5, 30%*I30, 0)</f>
        <v>0</v>
      </c>
      <c r="L30">
        <f>IF('Take-off'!$C$10&lt;3, 20%*I30, 0)</f>
        <v>0</v>
      </c>
      <c r="M30">
        <v>0</v>
      </c>
      <c r="O30" s="44">
        <f ca="1">E30</f>
        <v>786.03104212860308</v>
      </c>
    </row>
    <row r="31" spans="1:15" ht="14.25" customHeight="1">
      <c r="A31" s="176" t="s">
        <v>188</v>
      </c>
      <c r="B31" s="44">
        <f ca="1">B30</f>
        <v>786.03104212860308</v>
      </c>
      <c r="C31" s="217">
        <v>0</v>
      </c>
      <c r="D31" s="174">
        <f>IF('Take-off'!$C$17&gt;0, ((+'Take-off'!$C$17*5)%*SUM(B31:C31)),0 )</f>
        <v>0</v>
      </c>
      <c r="E31" s="174">
        <f ca="1">SUM(B31:D31)</f>
        <v>786.03104212860308</v>
      </c>
      <c r="G31" s="231">
        <f>VLOOKUP('Take-off'!$C$11, 'Dropdown lists'!$B$34:$E$40, 3, FALSE())</f>
        <v>0</v>
      </c>
      <c r="H31">
        <f>'Take-off'!$C$12</f>
        <v>3</v>
      </c>
      <c r="I31" s="44">
        <f ca="1">SUM(B31:D31)</f>
        <v>786.03104212860308</v>
      </c>
      <c r="J31" s="44">
        <f ca="1">I31*(G31*H31)</f>
        <v>0</v>
      </c>
      <c r="K31">
        <f>IF('Take-off'!$C$10&lt;5, 30%*I31, 0)</f>
        <v>0</v>
      </c>
      <c r="L31">
        <f>IF('Take-off'!$C$10&lt;3, 20%*I31, 0)</f>
        <v>0</v>
      </c>
      <c r="M31">
        <v>0</v>
      </c>
      <c r="O31" s="44">
        <f ca="1">SUM(I31:N31)</f>
        <v>786.03104212860308</v>
      </c>
    </row>
    <row r="32" spans="1:15" ht="14.25" customHeight="1">
      <c r="A32" s="176" t="s">
        <v>194</v>
      </c>
      <c r="B32" s="217">
        <f ca="1">'LTL_Accelerate and stop2'!AC75/3.28</f>
        <v>862.46612466124657</v>
      </c>
      <c r="C32" s="217">
        <v>0</v>
      </c>
      <c r="D32" s="174">
        <f>IF('Take-off'!$C$17&gt;0, ((+'Take-off'!$C$17*5)%*SUM(B32:C32)),0 )</f>
        <v>0</v>
      </c>
      <c r="E32" s="174">
        <f ca="1">SUM(B32:D32)</f>
        <v>862.46612466124657</v>
      </c>
      <c r="G32" s="231">
        <f>VLOOKUP('Take-off'!$C$11, 'Dropdown lists'!$B$34:$E$40, 3, FALSE())</f>
        <v>0</v>
      </c>
      <c r="H32">
        <f>'Take-off'!$C$12</f>
        <v>3</v>
      </c>
      <c r="I32" s="44">
        <f ca="1">SUM(B32:D32)</f>
        <v>862.46612466124657</v>
      </c>
      <c r="J32" s="44">
        <f ca="1">I32*(G32*H32)</f>
        <v>0</v>
      </c>
      <c r="K32">
        <f>IF('Take-off'!$C$10&lt;5, 30%*I32, 0)</f>
        <v>0</v>
      </c>
      <c r="L32">
        <f>IF('Take-off'!$C$10&lt;3, 20%*I32, 0)</f>
        <v>0</v>
      </c>
      <c r="M32">
        <v>0</v>
      </c>
      <c r="O32" s="44">
        <f ca="1">SUM(I32:M32)</f>
        <v>862.46612466124657</v>
      </c>
    </row>
    <row r="33" spans="1:18" ht="14.25" customHeight="1">
      <c r="I33" s="44"/>
    </row>
    <row r="34" spans="1:18" ht="14.25" customHeight="1">
      <c r="A34" s="176"/>
      <c r="B34" s="171" t="s">
        <v>158</v>
      </c>
      <c r="C34" s="171" t="s">
        <v>159</v>
      </c>
      <c r="D34" s="171" t="s">
        <v>160</v>
      </c>
      <c r="F34" s="176"/>
      <c r="M34" s="150"/>
    </row>
    <row r="35" spans="1:18" ht="14.25" customHeight="1">
      <c r="A35" s="176"/>
      <c r="B35" s="172">
        <f ca="1">IF(ABS('Take-off'!C18-'Take-off'!C6)&gt;270,360-ABS('Take-off'!C18-'Take-off'!C6),'Take-off'!C18-'Take-off'!C6)</f>
        <v>-120</v>
      </c>
      <c r="C35" s="173">
        <f ca="1">IF(ABS(B35)&gt;90,ABS(COS(B35*PI()/180))*(-1),ABS(COS(B35*PI()/180)))</f>
        <v>-0.49999999999999978</v>
      </c>
      <c r="D35" s="172">
        <f ca="1">IF( ISBLANK('Take-off'!C6), 'Take-off'!C7*-1,    'Take-off'!C7*C35)</f>
        <v>0</v>
      </c>
      <c r="G35" s="221"/>
      <c r="H35" s="44"/>
      <c r="M35" s="150"/>
    </row>
    <row r="36" spans="1:18" ht="14.25" customHeight="1">
      <c r="A36" s="176"/>
      <c r="B36" s="72"/>
      <c r="C36" s="150"/>
      <c r="D36" s="150"/>
      <c r="G36" s="221"/>
      <c r="H36" s="44"/>
      <c r="M36" s="150"/>
    </row>
    <row r="37" spans="1:18" ht="14.25" customHeight="1">
      <c r="A37" s="176"/>
      <c r="C37" s="73"/>
      <c r="D37" s="73"/>
      <c r="M37" s="150"/>
      <c r="R37" s="221"/>
    </row>
    <row r="38" spans="1:18" ht="14.25" customHeight="1">
      <c r="A38" s="176"/>
      <c r="B38" s="72"/>
      <c r="C38" s="175"/>
      <c r="D38" s="72"/>
      <c r="M38" s="150"/>
      <c r="R38" s="150"/>
    </row>
    <row r="39" spans="1:18" ht="14.25" customHeight="1">
      <c r="A39" s="176"/>
      <c r="B39" s="72"/>
      <c r="C39" s="72"/>
      <c r="D39" s="72"/>
      <c r="M39" s="150"/>
      <c r="P39" s="38"/>
      <c r="R39" s="150"/>
    </row>
    <row r="40" spans="1:18" ht="14.25" customHeight="1">
      <c r="A40" s="176"/>
      <c r="B40" s="72" t="s">
        <v>161</v>
      </c>
      <c r="C40" s="175">
        <f ca="1">IF(ABS(B35)&gt;90,ABS(SIN(B35*PI()/180))*(-1),ABS(SIN(B35*PI()/180)))</f>
        <v>-0.86602540378443871</v>
      </c>
      <c r="D40" s="72"/>
      <c r="M40" s="150"/>
      <c r="P40" s="38"/>
      <c r="Q40" s="222"/>
      <c r="R40" s="150"/>
    </row>
    <row r="41" spans="1:18" ht="14.25" customHeight="1">
      <c r="A41" s="214" t="s">
        <v>195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5"/>
      <c r="M41" s="215"/>
      <c r="N41" s="215"/>
      <c r="O41" s="215"/>
      <c r="P41" s="215"/>
      <c r="Q41" s="215"/>
      <c r="R41" s="215"/>
    </row>
    <row r="42" spans="1:18" ht="14.25" customHeight="1">
      <c r="K42" s="150"/>
      <c r="L42" s="150"/>
      <c r="M42" s="167"/>
      <c r="N42" s="168"/>
      <c r="P42" s="150"/>
      <c r="Q42" s="150"/>
      <c r="R42" s="150"/>
    </row>
    <row r="43" spans="1:18" ht="14.25" customHeight="1"/>
    <row r="44" spans="1:18" ht="14.25" customHeight="1"/>
    <row r="45" spans="1:18" ht="14.25" customHeight="1"/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D12:E12"/>
    <mergeCell ref="H12:I12"/>
    <mergeCell ref="A1:E1"/>
    <mergeCell ref="A3:A4"/>
    <mergeCell ref="D3:E3"/>
    <mergeCell ref="H3:I3"/>
    <mergeCell ref="J3:K3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G1002"/>
  <sheetViews>
    <sheetView tabSelected="1" zoomScaleNormal="100" workbookViewId="0">
      <pane ySplit="6" topLeftCell="A7" activePane="bottomLeft" state="frozen"/>
      <selection pane="bottomLeft" activeCell="G20" sqref="G20"/>
    </sheetView>
  </sheetViews>
  <sheetFormatPr defaultColWidth="14.44140625" defaultRowHeight="15" customHeight="1"/>
  <cols>
    <col min="1" max="33" width="9.109375" customWidth="1"/>
  </cols>
  <sheetData>
    <row r="1" spans="1:33" ht="14.25" customHeight="1">
      <c r="A1" s="159"/>
      <c r="B1" s="38" t="s">
        <v>196</v>
      </c>
      <c r="C1" s="167" t="s">
        <v>150</v>
      </c>
      <c r="D1" s="232">
        <f ca="1">IF(Landing!$C$9="",Landing!$C$15,MAX(0,Landing!$C$15+30*(1013-Landing!$C$9)))</f>
        <v>1010</v>
      </c>
      <c r="E1" s="233"/>
      <c r="F1" s="233" t="s">
        <v>197</v>
      </c>
      <c r="G1" s="159">
        <f ca="1">IF('Take-off'!$C$9="",'Take-off'!$C$16,MAX(0,'Take-off'!$C$16+30*(1013-'Take-off'!$C$9)))</f>
        <v>200</v>
      </c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</row>
    <row r="2" spans="1:33" ht="14.25" customHeight="1">
      <c r="A2" s="159"/>
      <c r="B2" s="38" t="s">
        <v>198</v>
      </c>
      <c r="C2" s="167" t="s">
        <v>151</v>
      </c>
      <c r="D2" s="232">
        <f ca="1">Landing!C8</f>
        <v>13</v>
      </c>
      <c r="E2" s="234"/>
      <c r="F2" s="159"/>
      <c r="G2" s="159">
        <f ca="1">MAX(  IF('Take-off'!C13='Dropdown lists'!B30, 'Take-off'!$C$8+5, 'Take-off'!$C$8),0)</f>
        <v>0</v>
      </c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</row>
    <row r="3" spans="1:33" ht="14.25" customHeight="1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</row>
    <row r="4" spans="1:33" ht="14.25" customHeight="1">
      <c r="H4" s="159"/>
      <c r="P4" s="159"/>
    </row>
    <row r="5" spans="1:33" ht="14.25" customHeight="1">
      <c r="H5" s="159"/>
      <c r="I5" s="305" t="s">
        <v>141</v>
      </c>
      <c r="J5" s="305"/>
      <c r="K5" s="305"/>
      <c r="L5" s="305"/>
      <c r="M5" s="305"/>
      <c r="N5" s="305"/>
      <c r="O5" s="305"/>
      <c r="P5" s="235"/>
    </row>
    <row r="6" spans="1:33" ht="14.25" customHeight="1">
      <c r="A6" s="150"/>
      <c r="B6" s="150"/>
      <c r="C6" s="72" t="s">
        <v>199</v>
      </c>
      <c r="D6" s="33"/>
      <c r="E6" s="150"/>
      <c r="F6" s="150"/>
      <c r="G6" s="150"/>
      <c r="H6" s="150"/>
      <c r="I6" s="150"/>
      <c r="J6" s="150"/>
      <c r="K6" s="72"/>
      <c r="L6" s="33"/>
      <c r="M6" s="150"/>
      <c r="N6" s="150"/>
      <c r="O6" s="150"/>
      <c r="P6" s="150"/>
    </row>
    <row r="7" spans="1:33" ht="14.25" customHeight="1">
      <c r="B7" s="167"/>
      <c r="C7" s="168"/>
      <c r="G7" s="150"/>
      <c r="H7" s="150"/>
      <c r="I7" s="150"/>
      <c r="J7" s="167"/>
      <c r="K7" s="168"/>
      <c r="O7" s="150"/>
      <c r="P7" s="150"/>
      <c r="Q7" s="150"/>
      <c r="R7" s="167"/>
      <c r="S7" s="168"/>
      <c r="W7" s="150"/>
      <c r="X7" s="150"/>
      <c r="Y7" s="150"/>
      <c r="Z7" s="167"/>
      <c r="AA7" s="168"/>
      <c r="AE7" s="150"/>
      <c r="AF7" s="150"/>
      <c r="AG7" s="150"/>
    </row>
    <row r="8" spans="1:33" ht="14.25" customHeight="1">
      <c r="A8" s="306" t="s">
        <v>200</v>
      </c>
      <c r="B8" s="306"/>
      <c r="C8" s="306"/>
      <c r="D8" s="306"/>
      <c r="E8" s="306"/>
      <c r="F8" s="306"/>
      <c r="G8" s="150"/>
      <c r="H8" s="150"/>
      <c r="I8" s="150"/>
      <c r="J8" s="167"/>
      <c r="K8" s="168"/>
      <c r="O8" s="150"/>
      <c r="P8" s="150"/>
      <c r="Q8" s="150"/>
      <c r="R8" s="167"/>
      <c r="S8" s="168"/>
      <c r="W8" s="150"/>
      <c r="X8" s="150"/>
      <c r="Y8" s="150"/>
      <c r="Z8" s="167"/>
      <c r="AA8" s="168"/>
      <c r="AE8" s="150"/>
      <c r="AF8" s="150"/>
      <c r="AG8" s="150"/>
    </row>
    <row r="9" spans="1:33" ht="14.25" customHeight="1">
      <c r="B9" s="167"/>
      <c r="C9" s="168"/>
      <c r="G9" s="150"/>
      <c r="H9" s="150"/>
      <c r="I9" s="150"/>
      <c r="J9" s="167"/>
      <c r="K9" s="168"/>
      <c r="O9" s="150"/>
      <c r="P9" s="150"/>
      <c r="Q9" s="150"/>
      <c r="R9" s="167"/>
      <c r="S9" s="168"/>
      <c r="W9" s="150"/>
      <c r="X9" s="150"/>
      <c r="Y9" s="150"/>
      <c r="Z9" s="167"/>
      <c r="AA9" s="168"/>
      <c r="AE9" s="150"/>
      <c r="AF9" s="150"/>
      <c r="AG9" s="150"/>
    </row>
    <row r="10" spans="1:33" ht="14.25" customHeight="1">
      <c r="B10" s="307" t="s">
        <v>201</v>
      </c>
      <c r="C10" s="307"/>
      <c r="D10" s="307"/>
      <c r="E10" s="307"/>
      <c r="F10" s="307"/>
      <c r="G10" s="92"/>
      <c r="H10" s="92"/>
      <c r="I10" s="92"/>
      <c r="J10" s="92"/>
      <c r="K10" s="92"/>
      <c r="L10" s="92"/>
      <c r="M10" s="92"/>
      <c r="O10" s="150"/>
      <c r="P10" s="150"/>
      <c r="Q10" s="150"/>
      <c r="R10" s="167"/>
      <c r="S10" s="168"/>
      <c r="W10" s="150"/>
      <c r="X10" s="150"/>
      <c r="Y10" s="150"/>
      <c r="Z10" s="167"/>
      <c r="AA10" s="168"/>
      <c r="AE10" s="150"/>
      <c r="AF10" s="150"/>
      <c r="AG10" s="150"/>
    </row>
    <row r="11" spans="1:33" ht="14.25" customHeight="1">
      <c r="B11" s="236">
        <v>-500</v>
      </c>
      <c r="C11" s="244">
        <v>0</v>
      </c>
      <c r="D11" s="237">
        <v>1000</v>
      </c>
      <c r="E11" s="238">
        <v>2000</v>
      </c>
      <c r="F11" s="238">
        <v>3000</v>
      </c>
      <c r="G11" s="239">
        <v>3500</v>
      </c>
      <c r="H11" s="167"/>
      <c r="I11" s="168"/>
      <c r="K11" s="167"/>
      <c r="L11" s="168"/>
      <c r="P11" s="150"/>
      <c r="Q11" s="150"/>
      <c r="R11" s="150"/>
      <c r="U11" s="150"/>
      <c r="V11" s="150"/>
      <c r="W11" s="150"/>
      <c r="X11" s="167"/>
      <c r="Y11" s="168"/>
      <c r="AC11" s="150"/>
      <c r="AD11" s="150"/>
      <c r="AE11" s="150"/>
      <c r="AF11" s="167"/>
      <c r="AG11" s="168"/>
    </row>
    <row r="12" spans="1:33" ht="14.25" customHeight="1" thickBot="1">
      <c r="A12">
        <v>-40</v>
      </c>
      <c r="B12" s="240">
        <v>800</v>
      </c>
      <c r="C12" s="238">
        <v>800</v>
      </c>
      <c r="D12" s="238">
        <v>830</v>
      </c>
      <c r="E12" s="238">
        <v>860</v>
      </c>
      <c r="F12" s="238">
        <v>900</v>
      </c>
      <c r="G12" s="239">
        <v>99999</v>
      </c>
      <c r="H12" s="167"/>
      <c r="I12" s="168"/>
      <c r="K12" s="167"/>
      <c r="L12" s="168"/>
      <c r="P12" s="150"/>
      <c r="Q12" s="150"/>
      <c r="R12" s="150"/>
      <c r="U12" s="150"/>
      <c r="V12" s="150"/>
      <c r="W12" s="150"/>
      <c r="X12" s="167"/>
      <c r="Y12" s="168"/>
      <c r="AC12" s="150"/>
      <c r="AD12" s="150"/>
      <c r="AE12" s="150"/>
      <c r="AF12" s="167"/>
      <c r="AG12" s="168"/>
    </row>
    <row r="13" spans="1:33" ht="14.25" customHeight="1" thickBot="1">
      <c r="A13">
        <v>-30</v>
      </c>
      <c r="B13" s="83">
        <v>800</v>
      </c>
      <c r="C13" s="309">
        <v>800</v>
      </c>
      <c r="D13" s="309">
        <v>830</v>
      </c>
      <c r="E13" s="309">
        <v>860</v>
      </c>
      <c r="F13" s="309">
        <v>900</v>
      </c>
      <c r="G13" s="239">
        <v>99999</v>
      </c>
      <c r="H13" s="167"/>
      <c r="I13" s="168"/>
      <c r="K13" s="167"/>
      <c r="L13" s="168"/>
      <c r="P13" s="150"/>
      <c r="Q13" s="150"/>
      <c r="R13" s="150"/>
      <c r="U13" s="150"/>
      <c r="V13" s="150"/>
      <c r="W13" s="150"/>
      <c r="X13" s="167"/>
      <c r="Y13" s="168"/>
      <c r="AC13" s="150"/>
      <c r="AD13" s="150"/>
      <c r="AE13" s="150"/>
      <c r="AF13" s="167"/>
      <c r="AG13" s="168"/>
    </row>
    <row r="14" spans="1:33" ht="14.25" customHeight="1">
      <c r="A14">
        <v>-20</v>
      </c>
      <c r="B14" s="83">
        <v>800</v>
      </c>
      <c r="C14" s="309">
        <v>800</v>
      </c>
      <c r="D14" s="44">
        <v>830</v>
      </c>
      <c r="E14">
        <v>860</v>
      </c>
      <c r="F14">
        <v>900</v>
      </c>
      <c r="G14" s="239">
        <v>99999</v>
      </c>
      <c r="H14" s="167"/>
      <c r="I14" s="168"/>
      <c r="K14" s="167"/>
      <c r="L14" s="168"/>
      <c r="P14" s="150"/>
      <c r="Q14" s="150"/>
      <c r="R14" s="150"/>
      <c r="U14" s="150"/>
      <c r="V14" s="150"/>
      <c r="W14" s="150"/>
      <c r="X14" s="167"/>
      <c r="Y14" s="168"/>
      <c r="AC14" s="150"/>
      <c r="AD14" s="150"/>
      <c r="AE14" s="150"/>
      <c r="AF14" s="167"/>
      <c r="AG14" s="168"/>
    </row>
    <row r="15" spans="1:33" ht="14.25" customHeight="1">
      <c r="A15">
        <v>-10</v>
      </c>
      <c r="B15" s="83">
        <v>810</v>
      </c>
      <c r="C15" s="309">
        <v>810</v>
      </c>
      <c r="D15" s="44">
        <v>850</v>
      </c>
      <c r="E15">
        <v>900</v>
      </c>
      <c r="F15">
        <v>950</v>
      </c>
      <c r="G15" s="46">
        <v>99999</v>
      </c>
      <c r="H15" s="167"/>
      <c r="I15" s="168"/>
      <c r="K15" s="167"/>
      <c r="L15" s="168"/>
      <c r="P15" s="150"/>
      <c r="Q15" s="150"/>
      <c r="R15" s="150"/>
      <c r="U15" s="150"/>
      <c r="V15" s="150"/>
      <c r="W15" s="150"/>
      <c r="X15" s="167"/>
      <c r="Y15" s="168"/>
      <c r="AC15" s="150"/>
      <c r="AD15" s="150"/>
      <c r="AE15" s="150"/>
      <c r="AF15" s="167"/>
      <c r="AG15" s="168"/>
    </row>
    <row r="16" spans="1:33" ht="14.25" customHeight="1">
      <c r="A16">
        <v>0</v>
      </c>
      <c r="B16" s="83">
        <v>830</v>
      </c>
      <c r="C16" s="309">
        <v>830</v>
      </c>
      <c r="D16" s="44">
        <v>880</v>
      </c>
      <c r="E16">
        <v>915</v>
      </c>
      <c r="F16">
        <v>975</v>
      </c>
      <c r="G16" s="46">
        <v>99999</v>
      </c>
      <c r="H16" s="167"/>
      <c r="I16" s="168"/>
      <c r="K16" s="167"/>
      <c r="L16" s="168"/>
      <c r="P16" s="150"/>
      <c r="Q16" s="150"/>
      <c r="R16" s="150"/>
      <c r="U16" s="150"/>
      <c r="V16" s="150"/>
      <c r="W16" s="150"/>
      <c r="X16" s="167"/>
      <c r="Y16" s="168"/>
      <c r="AC16" s="150"/>
      <c r="AD16" s="150"/>
      <c r="AE16" s="150"/>
      <c r="AF16" s="167"/>
      <c r="AG16" s="168"/>
    </row>
    <row r="17" spans="1:33" ht="14.25" customHeight="1">
      <c r="A17">
        <v>10</v>
      </c>
      <c r="B17" s="83">
        <v>850</v>
      </c>
      <c r="C17" s="309">
        <v>850</v>
      </c>
      <c r="D17" s="44">
        <v>900</v>
      </c>
      <c r="E17">
        <v>930</v>
      </c>
      <c r="F17">
        <v>1000</v>
      </c>
      <c r="G17" s="46">
        <v>99999</v>
      </c>
      <c r="H17" s="167"/>
      <c r="I17" s="168"/>
      <c r="K17" s="167"/>
      <c r="L17" s="168"/>
      <c r="U17" s="150"/>
      <c r="V17" s="150"/>
      <c r="W17" s="150"/>
      <c r="X17" s="167"/>
      <c r="Y17" s="168"/>
      <c r="AC17" s="150"/>
      <c r="AD17" s="150"/>
      <c r="AE17" s="150"/>
      <c r="AF17" s="167"/>
      <c r="AG17" s="168"/>
    </row>
    <row r="18" spans="1:33" ht="14.25" customHeight="1" thickBot="1">
      <c r="A18">
        <v>20</v>
      </c>
      <c r="B18" s="90">
        <v>900</v>
      </c>
      <c r="C18" s="78">
        <v>900</v>
      </c>
      <c r="D18" s="241">
        <v>950</v>
      </c>
      <c r="E18" s="78">
        <v>990</v>
      </c>
      <c r="F18" s="78">
        <v>1050</v>
      </c>
      <c r="G18" s="46">
        <v>99999</v>
      </c>
      <c r="H18" s="167"/>
      <c r="I18" s="168"/>
      <c r="K18" s="167"/>
      <c r="L18" s="168"/>
      <c r="U18" s="150"/>
      <c r="V18" s="150"/>
      <c r="W18" s="150"/>
      <c r="X18" s="167"/>
      <c r="Y18" s="168"/>
      <c r="AC18" s="150"/>
      <c r="AD18" s="150"/>
      <c r="AE18" s="150"/>
      <c r="AF18" s="167"/>
      <c r="AG18" s="168"/>
    </row>
    <row r="19" spans="1:33" ht="14.25" customHeight="1" thickBot="1">
      <c r="A19">
        <v>30</v>
      </c>
      <c r="B19" s="90">
        <v>910</v>
      </c>
      <c r="C19" s="78">
        <v>910</v>
      </c>
      <c r="D19" s="241">
        <v>975</v>
      </c>
      <c r="E19" s="78">
        <v>1020</v>
      </c>
      <c r="F19" s="78">
        <v>1075</v>
      </c>
      <c r="G19" s="46">
        <v>99999</v>
      </c>
      <c r="H19" s="167"/>
      <c r="I19" s="168"/>
      <c r="K19" s="167"/>
      <c r="L19" s="168"/>
      <c r="U19" s="150"/>
      <c r="V19" s="150"/>
      <c r="W19" s="150"/>
      <c r="X19" s="167"/>
      <c r="Y19" s="168"/>
      <c r="AC19" s="150"/>
      <c r="AD19" s="150"/>
      <c r="AE19" s="150"/>
      <c r="AF19" s="167"/>
      <c r="AG19" s="168"/>
    </row>
    <row r="20" spans="1:33" ht="14.25" customHeight="1" thickBot="1">
      <c r="A20">
        <v>40</v>
      </c>
      <c r="B20" s="90">
        <v>950</v>
      </c>
      <c r="C20" s="78">
        <v>950</v>
      </c>
      <c r="D20" s="241">
        <v>1000</v>
      </c>
      <c r="E20" s="78">
        <v>1100</v>
      </c>
      <c r="F20" s="78">
        <v>1200</v>
      </c>
      <c r="G20" s="46">
        <v>99999</v>
      </c>
      <c r="H20" s="167"/>
      <c r="I20" s="168"/>
      <c r="K20" s="167"/>
      <c r="L20" s="168"/>
      <c r="U20" s="150"/>
      <c r="V20" s="150"/>
      <c r="W20" s="150"/>
      <c r="X20" s="167"/>
      <c r="Y20" s="168"/>
      <c r="AC20" s="150"/>
      <c r="AD20" s="150"/>
      <c r="AE20" s="150"/>
      <c r="AF20" s="167"/>
      <c r="AG20" s="168"/>
    </row>
    <row r="21" spans="1:33" ht="14.25" customHeight="1">
      <c r="A21">
        <v>45</v>
      </c>
      <c r="B21" s="242">
        <v>99999</v>
      </c>
      <c r="C21" s="248">
        <v>99999</v>
      </c>
      <c r="D21" s="243">
        <v>99999</v>
      </c>
      <c r="E21" s="243">
        <v>99999</v>
      </c>
      <c r="F21" s="243">
        <v>99999</v>
      </c>
      <c r="G21" s="46">
        <v>99999</v>
      </c>
      <c r="H21" s="167"/>
      <c r="I21" s="168"/>
      <c r="K21" s="167"/>
      <c r="L21" s="168"/>
      <c r="P21" s="150"/>
      <c r="Q21" s="150"/>
      <c r="R21" s="150"/>
      <c r="U21" s="150"/>
      <c r="V21" s="150"/>
      <c r="W21" s="150"/>
      <c r="X21" s="167"/>
      <c r="Y21" s="168"/>
      <c r="AC21" s="150"/>
      <c r="AD21" s="150"/>
      <c r="AE21" s="150"/>
      <c r="AF21" s="167"/>
      <c r="AG21" s="168"/>
    </row>
    <row r="22" spans="1:33" ht="14.25" customHeight="1">
      <c r="B22" s="167"/>
      <c r="C22" s="168"/>
      <c r="G22" s="150"/>
      <c r="H22" s="150"/>
      <c r="I22" s="150"/>
      <c r="J22" s="167"/>
      <c r="K22" s="168"/>
      <c r="O22" s="150"/>
      <c r="P22" s="150"/>
      <c r="Q22" s="150"/>
      <c r="R22" s="167"/>
      <c r="S22" s="168"/>
      <c r="W22" s="150"/>
      <c r="X22" s="150"/>
      <c r="Y22" s="150"/>
      <c r="Z22" s="167"/>
      <c r="AA22" s="168"/>
      <c r="AE22" s="150"/>
      <c r="AF22" s="150"/>
      <c r="AG22" s="150"/>
    </row>
    <row r="23" spans="1:33" ht="14.25" customHeight="1">
      <c r="B23" s="167" t="s">
        <v>150</v>
      </c>
      <c r="C23" s="168">
        <f ca="1">D1</f>
        <v>1010</v>
      </c>
      <c r="D23" s="299" t="s">
        <v>202</v>
      </c>
      <c r="E23" s="299"/>
      <c r="G23" s="150"/>
      <c r="H23" s="150"/>
      <c r="I23" s="150"/>
      <c r="J23" s="167" t="s">
        <v>150</v>
      </c>
      <c r="K23" s="168">
        <f ca="1">G1</f>
        <v>200</v>
      </c>
      <c r="L23" s="299" t="s">
        <v>202</v>
      </c>
      <c r="M23" s="299"/>
      <c r="O23" s="150"/>
      <c r="P23" s="150"/>
      <c r="Q23" s="150"/>
      <c r="R23" s="167"/>
      <c r="S23" s="168"/>
      <c r="T23" s="299"/>
      <c r="U23" s="299"/>
      <c r="W23" s="150"/>
      <c r="X23" s="150"/>
      <c r="Y23" s="150"/>
      <c r="Z23" s="167"/>
      <c r="AA23" s="168"/>
      <c r="AB23" s="299"/>
      <c r="AC23" s="299"/>
      <c r="AE23" s="150"/>
      <c r="AF23" s="150"/>
      <c r="AG23" s="150"/>
    </row>
    <row r="24" spans="1:33" ht="14.25" customHeight="1">
      <c r="B24" s="38" t="s">
        <v>203</v>
      </c>
      <c r="C24" s="169">
        <f t="array" aca="1" ref="C24" ca="1">INDEX($B11:$G11,MATCH(C23,$B11:$G11,1))</f>
        <v>1000</v>
      </c>
      <c r="D24" s="38" t="s">
        <v>148</v>
      </c>
      <c r="E24" s="39">
        <f>MATCH(MAX($A12:$A21),$A12:$A21,1)</f>
        <v>10</v>
      </c>
      <c r="G24" s="150"/>
      <c r="H24" s="150"/>
      <c r="I24" s="150"/>
      <c r="J24" s="38" t="s">
        <v>203</v>
      </c>
      <c r="K24" s="169">
        <f t="array" aca="1" ref="K24" ca="1">INDEX($B11:$G11,MATCH(K23,$B11:$G11,1))</f>
        <v>0</v>
      </c>
      <c r="L24" s="38" t="s">
        <v>148</v>
      </c>
      <c r="M24" s="39">
        <f>MATCH(MAX($A12:$A21),$A12:$A21,1)</f>
        <v>10</v>
      </c>
      <c r="O24" s="150"/>
      <c r="P24" s="150"/>
      <c r="Q24" s="150"/>
      <c r="R24" s="38"/>
      <c r="S24" s="169"/>
      <c r="T24" s="38"/>
      <c r="U24" s="39"/>
      <c r="W24" s="150"/>
      <c r="X24" s="150"/>
      <c r="Y24" s="150"/>
      <c r="Z24" s="38"/>
      <c r="AA24" s="169"/>
      <c r="AB24" s="38"/>
      <c r="AC24" s="39"/>
      <c r="AE24" s="150"/>
      <c r="AF24" s="150"/>
      <c r="AG24" s="150"/>
    </row>
    <row r="25" spans="1:33" ht="14.25" customHeight="1">
      <c r="B25" s="38" t="s">
        <v>204</v>
      </c>
      <c r="C25" s="169">
        <f t="array" aca="1" ref="C25" ca="1">INDEX($B11:$G11,IF(MATCH(C23,$B11:$G11,1)&lt;E25,MATCH(C23,$B11:$G11,1)+1,MATCH(C23,$B11:$G11,1)))</f>
        <v>2000</v>
      </c>
      <c r="D25" s="38" t="s">
        <v>149</v>
      </c>
      <c r="E25" s="39">
        <f>MATCH(MAX($B11:$G11),$B11:$G11,0)</f>
        <v>6</v>
      </c>
      <c r="G25" s="150"/>
      <c r="H25" s="150"/>
      <c r="I25" s="150"/>
      <c r="J25" s="38" t="s">
        <v>204</v>
      </c>
      <c r="K25" s="169">
        <f t="array" aca="1" ref="K25" ca="1">INDEX($B11:$G11,IF(MATCH(K23,$B11:$G11,1)&lt;M25,MATCH(K23,$B11:$G11,1)+1,MATCH(K23,$B11:$G11,1)))</f>
        <v>1000</v>
      </c>
      <c r="L25" s="38" t="s">
        <v>149</v>
      </c>
      <c r="M25" s="39">
        <f>MATCH(MAX($B11:$G11),$B11:$G11,0)</f>
        <v>6</v>
      </c>
      <c r="O25" s="150"/>
      <c r="P25" s="150"/>
      <c r="Q25" s="150"/>
      <c r="R25" s="38"/>
      <c r="S25" s="169"/>
      <c r="T25" s="38"/>
      <c r="U25" s="39"/>
      <c r="W25" s="150"/>
      <c r="X25" s="150"/>
      <c r="Y25" s="150"/>
      <c r="Z25" s="38"/>
      <c r="AA25" s="169"/>
      <c r="AB25" s="38"/>
      <c r="AC25" s="39"/>
      <c r="AE25" s="150"/>
      <c r="AF25" s="150"/>
      <c r="AG25" s="150"/>
    </row>
    <row r="26" spans="1:33" ht="14.25" customHeight="1">
      <c r="B26" s="167" t="s">
        <v>151</v>
      </c>
      <c r="C26" s="213">
        <f ca="1">D2</f>
        <v>13</v>
      </c>
      <c r="D26" s="150"/>
      <c r="E26" s="150"/>
      <c r="G26" s="150"/>
      <c r="H26" s="150"/>
      <c r="I26" s="150"/>
      <c r="J26" s="167" t="s">
        <v>151</v>
      </c>
      <c r="K26" s="213">
        <f ca="1">G2</f>
        <v>0</v>
      </c>
      <c r="L26" s="150"/>
      <c r="M26" s="150"/>
      <c r="O26" s="150"/>
      <c r="P26" s="150"/>
      <c r="Q26" s="150"/>
      <c r="R26" s="167"/>
      <c r="S26" s="213"/>
      <c r="T26" s="150"/>
      <c r="U26" s="150"/>
      <c r="W26" s="150"/>
      <c r="X26" s="150"/>
      <c r="Y26" s="150"/>
      <c r="Z26" s="167"/>
      <c r="AA26" s="213"/>
      <c r="AB26" s="150"/>
      <c r="AC26" s="150"/>
      <c r="AE26" s="150"/>
      <c r="AF26" s="150"/>
      <c r="AG26" s="150"/>
    </row>
    <row r="27" spans="1:33" ht="14.25" customHeight="1">
      <c r="B27" s="38" t="s">
        <v>152</v>
      </c>
      <c r="C27" s="169">
        <f t="array" aca="1" ref="C27" ca="1">INDEX($A12:$A21,MATCH(C26,$A12:$A21,1))</f>
        <v>10</v>
      </c>
      <c r="D27" s="150"/>
      <c r="E27" s="73"/>
      <c r="G27" s="150"/>
      <c r="H27" s="150"/>
      <c r="I27" s="150"/>
      <c r="J27" s="38" t="s">
        <v>152</v>
      </c>
      <c r="K27" s="169">
        <f t="array" aca="1" ref="K27" ca="1">INDEX($A12:$A21,MATCH(K26,$A12:$A21,1))</f>
        <v>0</v>
      </c>
      <c r="L27" s="150"/>
      <c r="M27" s="73"/>
      <c r="O27" s="150"/>
      <c r="P27" s="150"/>
      <c r="Q27" s="150"/>
      <c r="R27" s="38"/>
      <c r="S27" s="169"/>
      <c r="T27" s="150"/>
      <c r="U27" s="73"/>
      <c r="W27" s="150"/>
      <c r="X27" s="150"/>
      <c r="Y27" s="150"/>
      <c r="Z27" s="38"/>
      <c r="AA27" s="169"/>
      <c r="AB27" s="150"/>
      <c r="AC27" s="73"/>
      <c r="AE27" s="150"/>
      <c r="AF27" s="150"/>
      <c r="AG27" s="150"/>
    </row>
    <row r="28" spans="1:33" ht="14.25" customHeight="1">
      <c r="B28" s="38" t="s">
        <v>153</v>
      </c>
      <c r="C28" s="169">
        <f t="array" aca="1" ref="C28" ca="1">INDEX($A12:$A21,IF(MATCH(C26,$A12:$A21,1)&lt;E24,MATCH(C26,$A12:$A21,1)+1,MATCH(C26,$A12:$A21,1)))</f>
        <v>20</v>
      </c>
      <c r="D28" s="150"/>
      <c r="E28" s="73"/>
      <c r="G28" s="150"/>
      <c r="H28" s="150"/>
      <c r="I28" s="150"/>
      <c r="J28" s="38" t="s">
        <v>153</v>
      </c>
      <c r="K28" s="169">
        <f t="array" aca="1" ref="K28" ca="1">INDEX($A12:$A21,IF(MATCH(K26,$A12:$A21,1)&lt;M24,MATCH(K26,$A12:$A21,1)+1,MATCH(K26,$A12:$A21,1)))</f>
        <v>10</v>
      </c>
      <c r="L28" s="150"/>
      <c r="M28" s="73"/>
      <c r="O28" s="150"/>
      <c r="P28" s="150"/>
      <c r="Q28" s="150"/>
      <c r="R28" s="38"/>
      <c r="S28" s="169"/>
      <c r="T28" s="150"/>
      <c r="U28" s="73"/>
      <c r="W28" s="150"/>
      <c r="X28" s="150"/>
      <c r="Y28" s="150"/>
      <c r="Z28" s="38"/>
      <c r="AA28" s="169"/>
      <c r="AB28" s="150"/>
      <c r="AC28" s="73"/>
      <c r="AE28" s="150"/>
      <c r="AF28" s="150"/>
      <c r="AG28" s="150"/>
    </row>
    <row r="29" spans="1:33" ht="14.25" customHeight="1">
      <c r="B29" s="167" t="s">
        <v>154</v>
      </c>
      <c r="C29" s="168">
        <f t="array" aca="1" ref="C29" ca="1">INDEX($B12:$G21,MATCH(C26,$A12:$A21,1),MATCH(C23,$B11:$G11,1))</f>
        <v>900</v>
      </c>
      <c r="D29" s="150"/>
      <c r="E29" s="73"/>
      <c r="G29" s="150"/>
      <c r="H29" s="150"/>
      <c r="I29" s="150"/>
      <c r="J29" s="167" t="s">
        <v>154</v>
      </c>
      <c r="K29" s="168">
        <f t="array" aca="1" ref="K29" ca="1">INDEX($B12:$G21,MATCH(K26,$A12:$A21,1),MATCH(K23,$B11:$G11,1))</f>
        <v>830</v>
      </c>
      <c r="L29" s="150"/>
      <c r="M29" s="73"/>
      <c r="O29" s="150"/>
      <c r="P29" s="150"/>
      <c r="Q29" s="150"/>
      <c r="R29" s="167"/>
      <c r="S29" s="168"/>
      <c r="T29" s="150"/>
      <c r="U29" s="73"/>
      <c r="W29" s="150"/>
      <c r="X29" s="150"/>
      <c r="Y29" s="150"/>
      <c r="Z29" s="167"/>
      <c r="AA29" s="168"/>
      <c r="AB29" s="150"/>
      <c r="AC29" s="73"/>
      <c r="AE29" s="150"/>
      <c r="AF29" s="150"/>
      <c r="AG29" s="150"/>
    </row>
    <row r="30" spans="1:33" ht="14.25" customHeight="1">
      <c r="B30" s="167" t="s">
        <v>205</v>
      </c>
      <c r="C30" s="168">
        <f t="array" aca="1" ref="C30" ca="1">INDEX($B12:$G21,MATCH(C26,$A12:$A21,1),IF(MATCH(C23,$B11:$G11,1)&lt;E25,MATCH(C23,$B11:$G11,1)+1,MATCH(C26,$A12:$A21,1)))</f>
        <v>930</v>
      </c>
      <c r="E30" s="73"/>
      <c r="G30" s="150"/>
      <c r="H30" s="150"/>
      <c r="I30" s="150"/>
      <c r="J30" s="167" t="s">
        <v>205</v>
      </c>
      <c r="K30" s="168">
        <f t="array" aca="1" ref="K30" ca="1">INDEX($B12:$G21,MATCH(K26,$A12:$A21,1),IF(MATCH(K23,$B11:$G11,1)&lt;M25,MATCH(K23,$B11:$G11,1)+1,MATCH(K26,$A12:$A21,1)))</f>
        <v>880</v>
      </c>
      <c r="M30" s="73"/>
      <c r="O30" s="150"/>
      <c r="P30" s="150"/>
      <c r="Q30" s="150"/>
      <c r="R30" s="167"/>
      <c r="S30" s="168"/>
      <c r="U30" s="73"/>
      <c r="W30" s="150"/>
      <c r="X30" s="150"/>
      <c r="Y30" s="150"/>
      <c r="Z30" s="167"/>
      <c r="AA30" s="168"/>
      <c r="AC30" s="73"/>
      <c r="AE30" s="150"/>
      <c r="AF30" s="150"/>
      <c r="AG30" s="150"/>
    </row>
    <row r="31" spans="1:33" ht="14.25" customHeight="1">
      <c r="B31" s="167" t="s">
        <v>155</v>
      </c>
      <c r="C31" s="168">
        <f t="array" aca="1" ref="C31" ca="1">INDEX($B12:$G21,IF(MATCH(C26,$A12:$A21,1)&lt;E24,MATCH(C26,$A12:$A21,1)+1,MATCH(C26,$A12:$A21,1)),MATCH(C23,$B11:$G11,1))</f>
        <v>950</v>
      </c>
      <c r="E31" s="73"/>
      <c r="G31" s="150"/>
      <c r="H31" s="150"/>
      <c r="I31" s="150"/>
      <c r="J31" s="167" t="s">
        <v>155</v>
      </c>
      <c r="K31" s="168">
        <f t="array" aca="1" ref="K31" ca="1">INDEX($B12:$G21,IF(MATCH(K26,$A12:$A21,1)&lt;M24,MATCH(K26,$A12:$A21,1)+1,MATCH(K26,$A12:$A21,1)),MATCH(K23,$B11:$G11,1))</f>
        <v>850</v>
      </c>
      <c r="M31" s="73"/>
      <c r="O31" s="150"/>
      <c r="P31" s="150"/>
      <c r="Q31" s="150"/>
      <c r="R31" s="167"/>
      <c r="S31" s="168"/>
      <c r="U31" s="73"/>
      <c r="W31" s="150"/>
      <c r="X31" s="150"/>
      <c r="Y31" s="150"/>
      <c r="Z31" s="167"/>
      <c r="AA31" s="168"/>
      <c r="AC31" s="73"/>
      <c r="AE31" s="150"/>
      <c r="AF31" s="150"/>
      <c r="AG31" s="150"/>
    </row>
    <row r="32" spans="1:33" ht="14.25" customHeight="1">
      <c r="B32" s="167" t="s">
        <v>206</v>
      </c>
      <c r="C32" s="168">
        <f t="array" aca="1" ref="C32" ca="1">INDEX($B12:$G21,IF(MATCH(C26,$A12:$A21,1)&lt;E24,MATCH(C26,$A12:$A21,1)+1,MATCH(C26,$A12:$A21,1)),IF(MATCH(C23,$B11:$G11,1)&lt;E25,MATCH(C23,$B11:$G11,1)+1,MATCH(C23,$B11:$G11,1)))</f>
        <v>990</v>
      </c>
      <c r="G32" s="150"/>
      <c r="H32" s="150"/>
      <c r="I32" s="150"/>
      <c r="J32" s="167" t="s">
        <v>206</v>
      </c>
      <c r="K32" s="168">
        <f t="array" aca="1" ref="K32" ca="1">INDEX($B12:$G21,IF(MATCH(K26,$A12:$A21,1)&lt;M24,MATCH(K26,$A12:$A21,1)+1,MATCH(K26,$A12:$A21,1)),IF(MATCH(K23,$B11:$G11,1)&lt;M25,MATCH(K23,$B11:$G11,1)+1,MATCH(K23,$B11:$G11,1)))</f>
        <v>900</v>
      </c>
      <c r="O32" s="150"/>
      <c r="P32" s="150"/>
      <c r="Q32" s="150"/>
      <c r="R32" s="167"/>
      <c r="S32" s="168"/>
      <c r="W32" s="150"/>
      <c r="X32" s="150"/>
      <c r="Y32" s="150"/>
      <c r="Z32" s="167"/>
      <c r="AA32" s="168"/>
      <c r="AE32" s="150"/>
      <c r="AF32" s="150"/>
      <c r="AG32" s="150"/>
    </row>
    <row r="33" spans="1:33" ht="14.25" customHeight="1">
      <c r="B33" s="38" t="s">
        <v>207</v>
      </c>
      <c r="C33" s="169">
        <f ca="1">IFERROR(C29+(C23-C24)*(C30-C29)/(C25-C24),C29)</f>
        <v>900.3</v>
      </c>
      <c r="G33" s="150"/>
      <c r="H33" s="150"/>
      <c r="I33" s="150"/>
      <c r="J33" s="38" t="s">
        <v>207</v>
      </c>
      <c r="K33" s="169">
        <f ca="1">IFERROR(K29+(K23-K24)*(K30-K29)/(K25-K24),K29)</f>
        <v>840</v>
      </c>
      <c r="O33" s="150"/>
      <c r="P33" s="150"/>
      <c r="Q33" s="150"/>
      <c r="R33" s="38"/>
      <c r="S33" s="169"/>
      <c r="W33" s="150"/>
      <c r="X33" s="150"/>
      <c r="Y33" s="150"/>
      <c r="Z33" s="38"/>
      <c r="AA33" s="169"/>
      <c r="AE33" s="150"/>
      <c r="AF33" s="150"/>
      <c r="AG33" s="150"/>
    </row>
    <row r="34" spans="1:33" ht="14.25" customHeight="1">
      <c r="B34" s="38" t="s">
        <v>208</v>
      </c>
      <c r="C34" s="169">
        <f ca="1">IFERROR(C31+(C23-C24)*(C32-C31)/(C25-C24),C31)</f>
        <v>950.4</v>
      </c>
      <c r="G34" s="150"/>
      <c r="H34" s="150"/>
      <c r="I34" s="150"/>
      <c r="J34" s="38" t="s">
        <v>208</v>
      </c>
      <c r="K34" s="169">
        <f ca="1">IFERROR(K31+(K23-K24)*(K32-K31)/(K25-K24),K31)</f>
        <v>860</v>
      </c>
      <c r="O34" s="150"/>
      <c r="P34" s="150"/>
      <c r="Q34" s="150"/>
      <c r="R34" s="38"/>
      <c r="S34" s="169"/>
      <c r="W34" s="150"/>
      <c r="X34" s="150"/>
      <c r="Y34" s="150"/>
      <c r="Z34" s="38"/>
      <c r="AA34" s="169"/>
      <c r="AE34" s="150"/>
      <c r="AF34" s="150"/>
      <c r="AG34" s="150"/>
    </row>
    <row r="35" spans="1:33" ht="14.25" customHeight="1">
      <c r="B35" s="167" t="s">
        <v>209</v>
      </c>
      <c r="C35" s="168">
        <f ca="1">IFERROR(C33+(C26-C27)*(C34-C33)/(C28-C27),C33)</f>
        <v>915.32999999999993</v>
      </c>
      <c r="G35" s="150"/>
      <c r="H35" s="150"/>
      <c r="I35" s="150"/>
      <c r="J35" s="167" t="s">
        <v>209</v>
      </c>
      <c r="K35" s="168">
        <f ca="1">IFERROR(K33+(K26-K27)*(K34-K33)/(K28-K27),K33)</f>
        <v>840</v>
      </c>
      <c r="O35" s="150"/>
      <c r="P35" s="150"/>
      <c r="Q35" s="150"/>
      <c r="R35" s="167"/>
      <c r="S35" s="168"/>
      <c r="W35" s="150"/>
      <c r="X35" s="150"/>
      <c r="Y35" s="150"/>
      <c r="Z35" s="167"/>
      <c r="AA35" s="168"/>
      <c r="AE35" s="150"/>
      <c r="AF35" s="150"/>
      <c r="AG35" s="150"/>
    </row>
    <row r="36" spans="1:33" ht="14.25" customHeight="1">
      <c r="B36" s="167"/>
      <c r="C36" s="168"/>
      <c r="G36" s="150"/>
      <c r="H36" s="150"/>
      <c r="I36" s="150"/>
      <c r="J36" s="167"/>
      <c r="K36" s="168"/>
      <c r="O36" s="150"/>
      <c r="P36" s="150"/>
      <c r="Q36" s="150"/>
      <c r="R36" s="167"/>
      <c r="S36" s="168"/>
      <c r="W36" s="150"/>
      <c r="X36" s="150"/>
      <c r="Y36" s="150"/>
      <c r="Z36" s="167"/>
      <c r="AA36" s="168"/>
      <c r="AE36" s="150"/>
      <c r="AF36" s="150"/>
      <c r="AG36" s="150"/>
    </row>
    <row r="37" spans="1:33" ht="14.25" customHeight="1">
      <c r="B37" s="307" t="s">
        <v>210</v>
      </c>
      <c r="C37" s="307"/>
      <c r="D37" s="307"/>
      <c r="E37" s="307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150"/>
      <c r="Q37" s="150"/>
      <c r="R37" s="167"/>
      <c r="S37" s="168"/>
      <c r="W37" s="150"/>
      <c r="X37" s="150"/>
      <c r="Y37" s="150"/>
      <c r="Z37" s="167"/>
      <c r="AA37" s="168"/>
      <c r="AE37" s="150"/>
      <c r="AF37" s="150"/>
      <c r="AG37" s="150"/>
    </row>
    <row r="38" spans="1:33" ht="14.25" customHeight="1">
      <c r="B38" s="236">
        <v>500</v>
      </c>
      <c r="C38" s="244">
        <v>1000</v>
      </c>
      <c r="D38" s="244">
        <v>1500</v>
      </c>
      <c r="E38" s="239">
        <v>2000</v>
      </c>
      <c r="F38" s="245"/>
      <c r="G38" s="168"/>
      <c r="I38" s="167"/>
      <c r="J38" s="168"/>
      <c r="N38" s="150"/>
      <c r="O38" s="150"/>
      <c r="P38" s="150"/>
      <c r="S38" s="150"/>
      <c r="T38" s="150"/>
      <c r="U38" s="150"/>
      <c r="V38" s="167"/>
      <c r="W38" s="168"/>
      <c r="AA38" s="150"/>
      <c r="AB38" s="150"/>
      <c r="AC38" s="150"/>
      <c r="AD38" s="167"/>
      <c r="AE38" s="168"/>
    </row>
    <row r="39" spans="1:33" ht="14.25" customHeight="1">
      <c r="A39">
        <v>9000</v>
      </c>
      <c r="B39" s="236">
        <v>375</v>
      </c>
      <c r="C39" s="244">
        <v>690</v>
      </c>
      <c r="D39" s="244">
        <v>1090</v>
      </c>
      <c r="E39" s="246">
        <v>99999</v>
      </c>
      <c r="F39" s="245"/>
      <c r="G39" s="168"/>
      <c r="H39" s="168"/>
      <c r="I39" s="168"/>
      <c r="J39" s="168"/>
      <c r="K39" s="168"/>
      <c r="L39" s="168"/>
      <c r="M39" s="168"/>
      <c r="N39" s="168"/>
      <c r="O39" s="168"/>
      <c r="P39" s="150"/>
      <c r="S39" s="150"/>
      <c r="T39" s="150"/>
      <c r="U39" s="150"/>
      <c r="V39" s="167"/>
      <c r="W39" s="168"/>
      <c r="AA39" s="150"/>
      <c r="AB39" s="150"/>
      <c r="AC39" s="150"/>
      <c r="AD39" s="167"/>
      <c r="AE39" s="168"/>
    </row>
    <row r="40" spans="1:33" ht="14.25" customHeight="1">
      <c r="A40">
        <v>9500</v>
      </c>
      <c r="B40" s="247">
        <v>390</v>
      </c>
      <c r="C40" s="92">
        <v>750</v>
      </c>
      <c r="D40" s="92">
        <v>1150</v>
      </c>
      <c r="E40" s="246">
        <v>99999</v>
      </c>
      <c r="F40" s="245"/>
      <c r="G40" s="168"/>
      <c r="I40" s="167"/>
      <c r="J40" s="168"/>
      <c r="N40" s="150"/>
      <c r="O40" s="150"/>
      <c r="P40" s="150"/>
      <c r="S40" s="150"/>
      <c r="T40" s="150"/>
      <c r="U40" s="150"/>
      <c r="V40" s="167"/>
      <c r="W40" s="168"/>
      <c r="AA40" s="150"/>
      <c r="AB40" s="150"/>
      <c r="AC40" s="150"/>
      <c r="AD40" s="167"/>
      <c r="AE40" s="168"/>
    </row>
    <row r="41" spans="1:33" ht="14.25" customHeight="1">
      <c r="A41">
        <v>10000</v>
      </c>
      <c r="B41" s="247">
        <v>400</v>
      </c>
      <c r="C41" s="92">
        <v>780</v>
      </c>
      <c r="D41" s="92">
        <v>1200</v>
      </c>
      <c r="E41" s="246">
        <v>99999</v>
      </c>
      <c r="F41" s="245"/>
      <c r="G41" s="168"/>
      <c r="I41" s="167"/>
      <c r="J41" s="168"/>
      <c r="N41" s="150"/>
      <c r="O41" s="150"/>
      <c r="P41" s="150"/>
      <c r="S41" s="150"/>
      <c r="T41" s="150"/>
      <c r="U41" s="150"/>
      <c r="V41" s="167"/>
      <c r="W41" s="168"/>
      <c r="AA41" s="150"/>
      <c r="AB41" s="150"/>
      <c r="AC41" s="150"/>
      <c r="AD41" s="167"/>
      <c r="AE41" s="168"/>
    </row>
    <row r="42" spans="1:33" ht="14.25" customHeight="1">
      <c r="A42">
        <v>10500</v>
      </c>
      <c r="B42" s="247">
        <v>410</v>
      </c>
      <c r="C42" s="92">
        <v>810</v>
      </c>
      <c r="D42" s="92">
        <v>1250</v>
      </c>
      <c r="E42" s="246">
        <v>99999</v>
      </c>
      <c r="F42" s="245"/>
      <c r="G42" s="168"/>
      <c r="I42" s="167"/>
      <c r="J42" s="168"/>
      <c r="N42" s="150"/>
      <c r="O42" s="150"/>
      <c r="P42" s="150"/>
      <c r="S42" s="150"/>
      <c r="T42" s="150"/>
      <c r="U42" s="150"/>
      <c r="V42" s="167"/>
      <c r="W42" s="168"/>
      <c r="AA42" s="150"/>
      <c r="AB42" s="150"/>
      <c r="AC42" s="150"/>
      <c r="AD42" s="167"/>
      <c r="AE42" s="168"/>
    </row>
    <row r="43" spans="1:33" ht="14.25" customHeight="1">
      <c r="A43">
        <v>11000</v>
      </c>
      <c r="B43" s="247">
        <v>440</v>
      </c>
      <c r="C43" s="92">
        <v>850</v>
      </c>
      <c r="D43" s="92">
        <v>1320</v>
      </c>
      <c r="E43" s="246">
        <v>99999</v>
      </c>
      <c r="F43" s="245"/>
      <c r="G43" s="168"/>
      <c r="I43" s="167"/>
      <c r="J43" s="168"/>
      <c r="N43" s="150"/>
      <c r="O43" s="150"/>
      <c r="P43" s="150"/>
      <c r="S43" s="150"/>
      <c r="T43" s="150"/>
      <c r="U43" s="150"/>
      <c r="V43" s="167"/>
      <c r="W43" s="168"/>
      <c r="AA43" s="150"/>
      <c r="AB43" s="150"/>
      <c r="AC43" s="150"/>
      <c r="AD43" s="167"/>
      <c r="AE43" s="168"/>
    </row>
    <row r="44" spans="1:33" ht="14.25" customHeight="1">
      <c r="A44">
        <v>11500</v>
      </c>
      <c r="B44" s="247">
        <v>475</v>
      </c>
      <c r="C44" s="92">
        <v>900</v>
      </c>
      <c r="D44" s="92">
        <v>1390</v>
      </c>
      <c r="E44" s="246">
        <v>99999</v>
      </c>
      <c r="F44" s="245"/>
      <c r="G44" s="168"/>
      <c r="I44" s="167"/>
      <c r="J44" s="168"/>
      <c r="N44" s="150"/>
      <c r="O44" s="150"/>
      <c r="P44" s="150"/>
      <c r="S44" s="150"/>
      <c r="T44" s="150"/>
      <c r="U44" s="150"/>
      <c r="V44" s="167"/>
      <c r="W44" s="168"/>
      <c r="AA44" s="150"/>
      <c r="AB44" s="150"/>
      <c r="AC44" s="150"/>
      <c r="AD44" s="167"/>
      <c r="AE44" s="168"/>
    </row>
    <row r="45" spans="1:33" ht="14.25" customHeight="1">
      <c r="A45">
        <v>12000</v>
      </c>
      <c r="B45" s="247">
        <v>490</v>
      </c>
      <c r="C45" s="92">
        <v>950</v>
      </c>
      <c r="D45" s="92">
        <v>1450</v>
      </c>
      <c r="E45" s="246">
        <v>99999</v>
      </c>
      <c r="F45" s="245"/>
      <c r="G45" s="168"/>
      <c r="I45" s="167"/>
      <c r="J45" s="168"/>
      <c r="N45" s="150"/>
      <c r="O45" s="150"/>
      <c r="P45" s="150"/>
      <c r="S45" s="150"/>
      <c r="T45" s="150"/>
      <c r="U45" s="150"/>
      <c r="V45" s="167"/>
      <c r="W45" s="168"/>
      <c r="AA45" s="150"/>
      <c r="AB45" s="150"/>
      <c r="AC45" s="150"/>
      <c r="AD45" s="167"/>
      <c r="AE45" s="168"/>
    </row>
    <row r="46" spans="1:33" ht="14.25" customHeight="1">
      <c r="A46">
        <v>12500</v>
      </c>
      <c r="B46" s="242">
        <v>500</v>
      </c>
      <c r="C46" s="248">
        <v>1000</v>
      </c>
      <c r="D46" s="248">
        <v>1500</v>
      </c>
      <c r="E46" s="246">
        <v>99999</v>
      </c>
      <c r="F46" s="245"/>
      <c r="G46" s="168"/>
      <c r="I46" s="167"/>
      <c r="J46" s="168"/>
      <c r="N46" s="150"/>
      <c r="O46" s="150"/>
      <c r="P46" s="150"/>
      <c r="S46" s="150"/>
      <c r="T46" s="150"/>
      <c r="U46" s="150"/>
      <c r="V46" s="167"/>
      <c r="W46" s="168"/>
      <c r="AA46" s="150"/>
      <c r="AB46" s="150"/>
      <c r="AC46" s="150"/>
      <c r="AD46" s="167"/>
      <c r="AE46" s="168"/>
    </row>
    <row r="47" spans="1:33" ht="14.25" customHeight="1">
      <c r="B47" s="167"/>
      <c r="C47" s="168"/>
      <c r="G47" s="150"/>
      <c r="H47" s="150"/>
      <c r="I47" s="150"/>
      <c r="J47" s="167"/>
      <c r="K47" s="168"/>
      <c r="O47" s="33"/>
      <c r="P47" s="150"/>
      <c r="Q47" s="150"/>
      <c r="R47" s="167"/>
      <c r="S47" s="168"/>
      <c r="W47" s="150"/>
      <c r="X47" s="150"/>
      <c r="Y47" s="150"/>
      <c r="Z47" s="167"/>
      <c r="AA47" s="168"/>
      <c r="AE47" s="150"/>
      <c r="AF47" s="150"/>
      <c r="AG47" s="150"/>
    </row>
    <row r="48" spans="1:33" ht="14.25" customHeight="1">
      <c r="B48" s="167" t="s">
        <v>150</v>
      </c>
      <c r="C48" s="168">
        <f ca="1">C35</f>
        <v>915.32999999999993</v>
      </c>
      <c r="D48" s="299" t="s">
        <v>202</v>
      </c>
      <c r="E48" s="299"/>
      <c r="G48" s="150"/>
      <c r="H48" s="150"/>
      <c r="I48" s="150"/>
      <c r="J48" s="167" t="s">
        <v>150</v>
      </c>
      <c r="K48" s="168">
        <f ca="1">K35</f>
        <v>840</v>
      </c>
      <c r="L48" s="299" t="s">
        <v>202</v>
      </c>
      <c r="M48" s="299"/>
      <c r="O48" s="33"/>
    </row>
    <row r="49" spans="1:33" ht="14.25" customHeight="1">
      <c r="B49" s="38" t="s">
        <v>203</v>
      </c>
      <c r="C49" s="169">
        <f t="array" aca="1" ref="C49" ca="1">INDEX($B38:$E38,MATCH(C48,$B38:$E38,1))</f>
        <v>500</v>
      </c>
      <c r="D49" s="38" t="s">
        <v>148</v>
      </c>
      <c r="E49" s="39">
        <f>MATCH(MAX($A39:$A46),$A39:$A46,1)</f>
        <v>8</v>
      </c>
      <c r="G49" s="150"/>
      <c r="H49" s="150"/>
      <c r="I49" s="150"/>
      <c r="J49" s="38" t="s">
        <v>203</v>
      </c>
      <c r="K49" s="169">
        <f t="array" aca="1" ref="K49" ca="1">INDEX($B38:$E38,MATCH(K48,$B38:$E38,1))</f>
        <v>500</v>
      </c>
      <c r="L49" s="38" t="s">
        <v>148</v>
      </c>
      <c r="M49" s="39">
        <f>MATCH(MAX($A39:$A46),$A39:$A46,1)</f>
        <v>8</v>
      </c>
      <c r="O49" s="33"/>
    </row>
    <row r="50" spans="1:33" ht="14.25" customHeight="1">
      <c r="B50" s="38" t="s">
        <v>204</v>
      </c>
      <c r="C50" s="169">
        <f t="array" aca="1" ref="C50" ca="1">INDEX($B38:$E38,IF(MATCH(C48,$B38:$E38,1)&lt;E50,MATCH(C48,$B38:$E38,1)+1,MATCH(C48,$B38:$E38,1)))</f>
        <v>1000</v>
      </c>
      <c r="D50" s="38" t="s">
        <v>149</v>
      </c>
      <c r="E50" s="39">
        <f>MATCH(MAX($B38:$E38),$B38:$E38,0)</f>
        <v>4</v>
      </c>
      <c r="G50" s="150"/>
      <c r="H50" s="150"/>
      <c r="I50" s="150"/>
      <c r="J50" s="38" t="s">
        <v>204</v>
      </c>
      <c r="K50" s="169">
        <f t="array" aca="1" ref="K50" ca="1">INDEX($B38:$E38,IF(MATCH(K48,$B38:$E38,1)&lt;M50,MATCH(K48,$B38:$E38,1)+1,MATCH(K48,$B38:$E38,1)))</f>
        <v>1000</v>
      </c>
      <c r="L50" s="38" t="s">
        <v>149</v>
      </c>
      <c r="M50" s="39">
        <f>MATCH(MAX($B38:$E38),$B38:$E38,0)</f>
        <v>4</v>
      </c>
      <c r="O50" s="33"/>
    </row>
    <row r="51" spans="1:33" ht="14.25" customHeight="1">
      <c r="B51" s="167" t="s">
        <v>151</v>
      </c>
      <c r="C51" s="213">
        <f>Landing!C11</f>
        <v>12500</v>
      </c>
      <c r="D51" s="150"/>
      <c r="E51" s="150"/>
      <c r="G51" s="150"/>
      <c r="H51" s="150"/>
      <c r="I51" s="150"/>
      <c r="J51" s="167" t="s">
        <v>151</v>
      </c>
      <c r="K51" s="213">
        <f>'Take-off'!C14</f>
        <v>9000</v>
      </c>
      <c r="L51" s="150"/>
      <c r="M51" s="150"/>
      <c r="O51" s="33"/>
    </row>
    <row r="52" spans="1:33" ht="14.25" customHeight="1">
      <c r="B52" s="38" t="s">
        <v>152</v>
      </c>
      <c r="C52" s="169">
        <f t="array" ref="C52">INDEX($A39:$A46,MATCH(C51,$A39:$A46,1))</f>
        <v>12500</v>
      </c>
      <c r="D52" s="150"/>
      <c r="E52" s="73"/>
      <c r="G52" s="150"/>
      <c r="H52" s="150"/>
      <c r="I52" s="150"/>
      <c r="J52" s="38" t="s">
        <v>152</v>
      </c>
      <c r="K52" s="169">
        <f t="array" ref="K52">INDEX($A39:$A46,MATCH(K51,$A39:$A46,1))</f>
        <v>9000</v>
      </c>
      <c r="L52" s="150"/>
      <c r="M52" s="73"/>
      <c r="O52" s="33"/>
    </row>
    <row r="53" spans="1:33" ht="14.25" customHeight="1">
      <c r="B53" s="38" t="s">
        <v>153</v>
      </c>
      <c r="C53" s="169">
        <f t="array" ref="C53">INDEX($A39:$A46,IF(MATCH(C51,$A39:$A46,1)&lt;E49,MATCH(C51,$A39:$A46,1)+1,MATCH(C51,$A39:$A46,1)))</f>
        <v>12500</v>
      </c>
      <c r="D53" s="150"/>
      <c r="E53" s="73"/>
      <c r="G53" s="150"/>
      <c r="H53" s="150"/>
      <c r="I53" s="150"/>
      <c r="J53" s="38" t="s">
        <v>153</v>
      </c>
      <c r="K53" s="169">
        <f t="array" ref="K53">INDEX($A39:$A46,IF(MATCH(K51,$A39:$A46,1)&lt;M49,MATCH(K51,$A39:$A46,1)+1,MATCH(K51,$A39:$A46,1)))</f>
        <v>9500</v>
      </c>
      <c r="L53" s="150"/>
      <c r="M53" s="73"/>
      <c r="O53" s="33"/>
    </row>
    <row r="54" spans="1:33" ht="14.25" customHeight="1">
      <c r="B54" s="167" t="s">
        <v>154</v>
      </c>
      <c r="C54" s="168">
        <f t="array" aca="1" ref="C54" ca="1">INDEX($B39:$E46,MATCH(C51,$A39:$A46,1),MATCH(C48,$B38:$E38,1))</f>
        <v>500</v>
      </c>
      <c r="D54" s="150"/>
      <c r="E54" s="73"/>
      <c r="G54" s="150"/>
      <c r="H54" s="150"/>
      <c r="I54" s="150"/>
      <c r="J54" s="167" t="s">
        <v>154</v>
      </c>
      <c r="K54" s="168">
        <f t="array" aca="1" ref="K54" ca="1">INDEX($B39:$E46,MATCH(K51,$A39:$A46,1),MATCH(K48,$B38:$E38,1))</f>
        <v>375</v>
      </c>
      <c r="L54" s="150"/>
      <c r="M54" s="73"/>
      <c r="O54" s="33"/>
    </row>
    <row r="55" spans="1:33" ht="14.25" customHeight="1">
      <c r="B55" s="167" t="s">
        <v>205</v>
      </c>
      <c r="C55" s="168">
        <f t="array" aca="1" ref="C55" ca="1">INDEX($B39:$E46,MATCH(C51,$A39:$A46,1),IF(MATCH(C48,$B38:$E38,1)&lt;E50,MATCH(C48,$B38:$E38,1)+1,MATCH(C51,$A39:$A46,1)))</f>
        <v>1000</v>
      </c>
      <c r="E55" s="73"/>
      <c r="G55" s="150"/>
      <c r="H55" s="150"/>
      <c r="I55" s="150"/>
      <c r="J55" s="167" t="s">
        <v>205</v>
      </c>
      <c r="K55" s="168">
        <f t="array" aca="1" ref="K55" ca="1">INDEX($B39:$E46,MATCH(K51,$A39:$A46,1),IF(MATCH(K48,$B38:$E38,1)&lt;M50,MATCH(K48,$B38:$E38,1)+1,MATCH(K51,$A39:$A46,1)))</f>
        <v>690</v>
      </c>
      <c r="M55" s="73"/>
      <c r="O55" s="32"/>
    </row>
    <row r="56" spans="1:33" ht="14.25" customHeight="1">
      <c r="B56" s="167" t="s">
        <v>155</v>
      </c>
      <c r="C56" s="168">
        <f t="array" aca="1" ref="C56" ca="1">INDEX($B39:$E46,IF(MATCH(C51,$A39:$A46,1)&lt;E49,MATCH(C51,$A39:$A46,1)+1,MATCH(C51,$A39:$A46,1)),MATCH(C48,$B38:$E38,1))</f>
        <v>500</v>
      </c>
      <c r="E56" s="73"/>
      <c r="G56" s="150"/>
      <c r="H56" s="150"/>
      <c r="I56" s="150"/>
      <c r="J56" s="167" t="s">
        <v>155</v>
      </c>
      <c r="K56" s="168">
        <f t="array" aca="1" ref="K56" ca="1">INDEX($B39:$E46,IF(MATCH(K51,$A39:$A46,1)&lt;M49,MATCH(K51,$A39:$A46,1)+1,MATCH(K51,$A39:$A46,1)),MATCH(K48,$B38:$E38,1))</f>
        <v>390</v>
      </c>
      <c r="M56" s="73"/>
      <c r="O56" s="32"/>
    </row>
    <row r="57" spans="1:33" ht="14.25" customHeight="1">
      <c r="B57" s="167" t="s">
        <v>206</v>
      </c>
      <c r="C57" s="168">
        <f t="array" aca="1" ref="C57" ca="1">INDEX($B39:$E46,IF(MATCH(C51,$A39:$A46,1)&lt;E49,MATCH(C51,$A39:$A46,1)+1,MATCH(C51,$A39:$A46,1)),IF(MATCH(C48,$B38:$E38,1)&lt;E50,MATCH(C48,$B38:$E38,1)+1,MATCH(C48,$B38:$E38,1)))</f>
        <v>1000</v>
      </c>
      <c r="G57" s="150"/>
      <c r="H57" s="150"/>
      <c r="I57" s="150"/>
      <c r="J57" s="167" t="s">
        <v>206</v>
      </c>
      <c r="K57" s="168">
        <f t="array" aca="1" ref="K57" ca="1">INDEX($B39:$E46,IF(MATCH(K51,$A39:$A46,1)&lt;M49,MATCH(K51,$A39:$A46,1)+1,MATCH(K51,$A39:$A46,1)),IF(MATCH(K48,$B38:$E38,1)&lt;M50,MATCH(K48,$B38:$E38,1)+1,MATCH(K48,$B38:$E38,1)))</f>
        <v>750</v>
      </c>
      <c r="O57" s="32"/>
    </row>
    <row r="58" spans="1:33" ht="14.25" customHeight="1">
      <c r="B58" s="38" t="s">
        <v>207</v>
      </c>
      <c r="C58" s="169">
        <f ca="1">IFERROR(C54+(C48-C49)*(C55-C54)/(C50-C49),C54)</f>
        <v>915.32999999999993</v>
      </c>
      <c r="G58" s="150"/>
      <c r="H58" s="150"/>
      <c r="I58" s="150"/>
      <c r="J58" s="38" t="s">
        <v>207</v>
      </c>
      <c r="K58" s="169">
        <f ca="1">IFERROR(K54+(K48-K49)*(K55-K54)/(K50-K49),K54)</f>
        <v>589.20000000000005</v>
      </c>
      <c r="O58" s="32"/>
    </row>
    <row r="59" spans="1:33" ht="14.25" customHeight="1">
      <c r="B59" s="38" t="s">
        <v>208</v>
      </c>
      <c r="C59" s="169">
        <f ca="1">IFERROR(C56+(C48-C49)*(C57-C56)/(C50-C49),C56)</f>
        <v>915.32999999999993</v>
      </c>
      <c r="G59" s="150"/>
      <c r="H59" s="150"/>
      <c r="I59" s="150"/>
      <c r="J59" s="38" t="s">
        <v>208</v>
      </c>
      <c r="K59" s="169">
        <f ca="1">IFERROR(K56+(K48-K49)*(K57-K56)/(K50-K49),K56)</f>
        <v>634.79999999999995</v>
      </c>
      <c r="O59" s="32"/>
    </row>
    <row r="60" spans="1:33" ht="14.25" customHeight="1">
      <c r="B60" s="167" t="s">
        <v>209</v>
      </c>
      <c r="C60" s="168">
        <f ca="1">IFERROR(C58+(C51-C52)*(C59-C58)/(C53-C52),C58)</f>
        <v>915.32999999999993</v>
      </c>
      <c r="G60" s="150"/>
      <c r="H60" s="150"/>
      <c r="I60" s="150"/>
      <c r="J60" s="167" t="s">
        <v>209</v>
      </c>
      <c r="K60" s="168">
        <f ca="1">IFERROR(K58+(K51-K52)*(K59-K58)/(K53-K52),K58)</f>
        <v>589.20000000000005</v>
      </c>
      <c r="O60" s="32"/>
    </row>
    <row r="61" spans="1:33" ht="14.25" customHeight="1">
      <c r="B61" s="167"/>
      <c r="C61" s="168"/>
      <c r="G61" s="150"/>
      <c r="H61" s="150"/>
      <c r="I61" s="150"/>
      <c r="J61" s="167"/>
      <c r="K61" s="168"/>
      <c r="O61" s="32"/>
      <c r="P61" s="150"/>
      <c r="Q61" s="150"/>
      <c r="R61" s="167"/>
      <c r="S61" s="168"/>
      <c r="W61" s="150"/>
      <c r="X61" s="150"/>
      <c r="Y61" s="150"/>
      <c r="Z61" s="167"/>
      <c r="AA61" s="168"/>
      <c r="AE61" s="150"/>
      <c r="AF61" s="150"/>
      <c r="AG61" s="150"/>
    </row>
    <row r="62" spans="1:33" ht="15" customHeight="1">
      <c r="B62" s="167"/>
      <c r="C62" s="168"/>
      <c r="G62" s="150"/>
      <c r="H62" s="150"/>
      <c r="I62" s="150"/>
      <c r="J62" s="167"/>
      <c r="K62" s="168"/>
      <c r="O62" s="150"/>
      <c r="P62" s="150"/>
      <c r="Q62" s="150"/>
      <c r="R62" s="167"/>
      <c r="S62" s="168"/>
      <c r="W62" s="150"/>
      <c r="X62" s="150"/>
      <c r="Y62" s="150"/>
      <c r="Z62" s="167"/>
      <c r="AA62" s="168"/>
      <c r="AE62" s="150"/>
      <c r="AF62" s="150"/>
      <c r="AG62" s="150"/>
    </row>
    <row r="63" spans="1:33" ht="15" customHeight="1">
      <c r="B63" s="307" t="s">
        <v>211</v>
      </c>
      <c r="C63" s="307"/>
      <c r="D63" s="307"/>
      <c r="E63" s="307"/>
      <c r="F63" s="307"/>
      <c r="G63" s="92"/>
      <c r="H63" s="92"/>
      <c r="I63" s="92"/>
      <c r="J63" s="92"/>
      <c r="K63" s="92"/>
      <c r="L63" s="92"/>
      <c r="M63" s="92"/>
      <c r="N63" s="92"/>
      <c r="O63" s="92"/>
      <c r="P63" s="150"/>
      <c r="Q63" s="150"/>
      <c r="R63" s="167"/>
      <c r="S63" s="168"/>
      <c r="W63" s="150"/>
      <c r="X63" s="150"/>
      <c r="Y63" s="150"/>
      <c r="Z63" s="167"/>
      <c r="AA63" s="168"/>
      <c r="AE63" s="150"/>
      <c r="AF63" s="150"/>
      <c r="AG63" s="150"/>
    </row>
    <row r="64" spans="1:33" ht="15" customHeight="1">
      <c r="A64" t="s">
        <v>50</v>
      </c>
      <c r="B64" s="236">
        <v>500</v>
      </c>
      <c r="C64" s="244">
        <v>1000</v>
      </c>
      <c r="D64" s="244">
        <v>1500</v>
      </c>
      <c r="E64" s="239">
        <v>2000</v>
      </c>
      <c r="F64" s="245"/>
      <c r="G64" s="168"/>
      <c r="I64" s="167"/>
      <c r="J64" s="168"/>
      <c r="N64" s="150"/>
      <c r="O64" s="150"/>
      <c r="P64" s="150"/>
      <c r="S64" s="150"/>
      <c r="T64" s="150"/>
      <c r="U64" s="150"/>
      <c r="V64" s="167"/>
      <c r="W64" s="168"/>
      <c r="AA64" s="150"/>
      <c r="AB64" s="150"/>
      <c r="AC64" s="150"/>
      <c r="AD64" s="167"/>
      <c r="AE64" s="168"/>
    </row>
    <row r="65" spans="1:33" ht="15" customHeight="1">
      <c r="A65">
        <v>-10</v>
      </c>
      <c r="B65" s="236">
        <v>800</v>
      </c>
      <c r="C65" s="244">
        <v>1230</v>
      </c>
      <c r="D65" s="244">
        <v>1910</v>
      </c>
      <c r="E65" s="246">
        <v>99999</v>
      </c>
      <c r="F65" s="245"/>
      <c r="G65" s="168"/>
      <c r="H65" s="168"/>
      <c r="I65" s="168"/>
      <c r="J65" s="168"/>
      <c r="K65" s="168"/>
      <c r="L65" s="168"/>
      <c r="M65" s="168"/>
      <c r="N65" s="168"/>
      <c r="O65" s="168"/>
      <c r="P65" s="150"/>
      <c r="S65" s="150"/>
      <c r="T65" s="150"/>
      <c r="U65" s="150"/>
      <c r="V65" s="167"/>
      <c r="W65" s="168"/>
      <c r="AA65" s="150"/>
      <c r="AB65" s="150"/>
      <c r="AC65" s="150"/>
      <c r="AD65" s="167"/>
      <c r="AE65" s="168"/>
    </row>
    <row r="66" spans="1:33" ht="15" customHeight="1">
      <c r="A66">
        <v>0</v>
      </c>
      <c r="B66" s="247">
        <v>500</v>
      </c>
      <c r="C66" s="92">
        <v>1000</v>
      </c>
      <c r="D66" s="92">
        <v>1500</v>
      </c>
      <c r="E66" s="246">
        <v>99999</v>
      </c>
      <c r="F66" s="245"/>
      <c r="G66" s="168"/>
      <c r="I66" s="167"/>
      <c r="J66" s="168"/>
      <c r="N66" s="150"/>
      <c r="O66" s="150"/>
      <c r="P66" s="150"/>
      <c r="S66" s="150"/>
      <c r="T66" s="150"/>
      <c r="U66" s="150"/>
      <c r="V66" s="167"/>
      <c r="W66" s="168"/>
      <c r="AA66" s="150"/>
      <c r="AB66" s="150"/>
      <c r="AC66" s="150"/>
      <c r="AD66" s="167"/>
      <c r="AE66" s="168"/>
    </row>
    <row r="67" spans="1:33" ht="15" customHeight="1">
      <c r="A67">
        <v>30</v>
      </c>
      <c r="B67" s="242">
        <v>390</v>
      </c>
      <c r="C67" s="248">
        <v>800</v>
      </c>
      <c r="D67" s="248">
        <v>1250</v>
      </c>
      <c r="E67" s="246">
        <v>99999</v>
      </c>
      <c r="F67" s="245"/>
      <c r="G67" s="168"/>
      <c r="I67" s="167"/>
      <c r="J67" s="168"/>
      <c r="N67" s="150"/>
      <c r="O67" s="150"/>
      <c r="P67" s="150"/>
      <c r="S67" s="150"/>
      <c r="T67" s="150"/>
      <c r="U67" s="150"/>
      <c r="V67" s="167"/>
      <c r="W67" s="168"/>
      <c r="AA67" s="150"/>
      <c r="AB67" s="150"/>
      <c r="AC67" s="150"/>
      <c r="AD67" s="167"/>
      <c r="AE67" s="168"/>
    </row>
    <row r="68" spans="1:33" ht="15" customHeight="1">
      <c r="B68" s="167"/>
      <c r="C68" s="168"/>
      <c r="G68" s="150"/>
      <c r="H68" s="150"/>
      <c r="I68" s="150"/>
      <c r="J68" s="167"/>
      <c r="K68" s="168"/>
      <c r="O68" s="33"/>
      <c r="P68" s="150"/>
      <c r="Q68" s="150"/>
      <c r="R68" s="167"/>
      <c r="S68" s="168"/>
      <c r="W68" s="150"/>
      <c r="X68" s="150"/>
      <c r="Y68" s="150"/>
      <c r="Z68" s="167"/>
      <c r="AA68" s="168"/>
      <c r="AE68" s="150"/>
      <c r="AF68" s="150"/>
      <c r="AG68" s="150"/>
    </row>
    <row r="69" spans="1:33" ht="15" customHeight="1">
      <c r="B69" s="167" t="s">
        <v>150</v>
      </c>
      <c r="C69" s="168">
        <f ca="1">C60</f>
        <v>915.32999999999993</v>
      </c>
      <c r="D69" s="299" t="s">
        <v>202</v>
      </c>
      <c r="E69" s="299"/>
      <c r="G69" s="150"/>
      <c r="H69" s="150"/>
      <c r="I69" s="150"/>
      <c r="J69" s="167" t="s">
        <v>150</v>
      </c>
      <c r="K69" s="168">
        <f ca="1">K60</f>
        <v>589.20000000000005</v>
      </c>
      <c r="L69" s="299" t="s">
        <v>202</v>
      </c>
      <c r="M69" s="299"/>
      <c r="O69" s="33"/>
      <c r="P69" s="150"/>
      <c r="Q69" s="150"/>
      <c r="R69" s="167"/>
      <c r="S69" s="168"/>
      <c r="T69" s="299"/>
      <c r="U69" s="299"/>
      <c r="W69" s="150"/>
      <c r="X69" s="150"/>
      <c r="Y69" s="150"/>
      <c r="Z69" s="167"/>
      <c r="AA69" s="168"/>
      <c r="AB69" s="299"/>
      <c r="AC69" s="299"/>
      <c r="AE69" s="150"/>
      <c r="AF69" s="150"/>
      <c r="AG69" s="150"/>
    </row>
    <row r="70" spans="1:33" ht="15" customHeight="1">
      <c r="B70" s="38" t="s">
        <v>203</v>
      </c>
      <c r="C70" s="169">
        <f t="array" aca="1" ref="C70" ca="1">INDEX($B64:$E64,MATCH(C69,$B64:$E64,1))</f>
        <v>500</v>
      </c>
      <c r="D70" s="38" t="s">
        <v>148</v>
      </c>
      <c r="E70" s="39">
        <f>MATCH(MAX($A65:$A67),$A65:$A67,1)</f>
        <v>3</v>
      </c>
      <c r="G70" s="150"/>
      <c r="H70" s="150"/>
      <c r="I70" s="150"/>
      <c r="J70" s="38" t="s">
        <v>203</v>
      </c>
      <c r="K70" s="169">
        <f t="array" aca="1" ref="K70" ca="1">INDEX($B64:$E64,MATCH(K69,$B64:$E64,1))</f>
        <v>500</v>
      </c>
      <c r="L70" s="38" t="s">
        <v>148</v>
      </c>
      <c r="M70" s="39">
        <f>MATCH(MAX($A65:$A67),$A65:$A67,1)</f>
        <v>3</v>
      </c>
      <c r="O70" s="33"/>
      <c r="P70" s="150"/>
      <c r="Q70" s="150"/>
      <c r="R70" s="38"/>
      <c r="S70" s="169"/>
      <c r="T70" s="38"/>
      <c r="U70" s="39"/>
      <c r="W70" s="150"/>
      <c r="X70" s="150"/>
      <c r="Y70" s="150"/>
      <c r="Z70" s="38"/>
      <c r="AA70" s="169"/>
      <c r="AB70" s="38"/>
      <c r="AC70" s="39"/>
      <c r="AE70" s="150"/>
      <c r="AF70" s="150"/>
      <c r="AG70" s="150"/>
    </row>
    <row r="71" spans="1:33" ht="15" customHeight="1">
      <c r="B71" s="38" t="s">
        <v>204</v>
      </c>
      <c r="C71" s="169">
        <f t="array" aca="1" ref="C71" ca="1">INDEX($B64:$E64,IF(MATCH(C69,$B64:$E64,1)&lt;E71,MATCH(C69,$B64:$E64,1)+1,MATCH(C69,$B64:$E64,1)))</f>
        <v>1000</v>
      </c>
      <c r="D71" s="38" t="s">
        <v>149</v>
      </c>
      <c r="E71" s="39">
        <f>MATCH(MAX($B64:$E64),$B64:$E64,0)</f>
        <v>4</v>
      </c>
      <c r="G71" s="150"/>
      <c r="H71" s="150"/>
      <c r="I71" s="150"/>
      <c r="J71" s="38" t="s">
        <v>204</v>
      </c>
      <c r="K71" s="169">
        <f t="array" aca="1" ref="K71" ca="1">INDEX($B64:$E64,IF(MATCH(K69,$B64:$E64,1)&lt;M71,MATCH(K69,$B64:$E64,1)+1,MATCH(K69,$B64:$E64,1)))</f>
        <v>1000</v>
      </c>
      <c r="L71" s="38" t="s">
        <v>149</v>
      </c>
      <c r="M71" s="39">
        <f>MATCH(MAX($B64:$E64),$B64:$E64,0)</f>
        <v>4</v>
      </c>
      <c r="O71" s="33"/>
      <c r="P71" s="150"/>
      <c r="Q71" s="150"/>
      <c r="R71" s="38"/>
      <c r="S71" s="169"/>
      <c r="T71" s="38"/>
      <c r="U71" s="39"/>
      <c r="W71" s="150"/>
      <c r="X71" s="150"/>
      <c r="Y71" s="150"/>
      <c r="Z71" s="38"/>
      <c r="AA71" s="169"/>
      <c r="AB71" s="38"/>
      <c r="AC71" s="39"/>
      <c r="AE71" s="150"/>
      <c r="AF71" s="150"/>
      <c r="AG71" s="150"/>
    </row>
    <row r="72" spans="1:33" ht="15" customHeight="1">
      <c r="B72" s="167" t="s">
        <v>151</v>
      </c>
      <c r="C72" s="213">
        <f ca="1">Landing!C21</f>
        <v>4.1042417199080257</v>
      </c>
      <c r="D72" s="150"/>
      <c r="E72" s="150"/>
      <c r="G72" s="150"/>
      <c r="H72" s="150"/>
      <c r="I72" s="150"/>
      <c r="J72" s="167" t="s">
        <v>151</v>
      </c>
      <c r="K72" s="213">
        <f ca="1">'Take-off'!$C$24</f>
        <v>0</v>
      </c>
      <c r="L72" s="150"/>
      <c r="M72" s="150"/>
      <c r="O72" s="33"/>
      <c r="P72" s="150"/>
      <c r="Q72" s="150"/>
      <c r="R72" s="167"/>
      <c r="S72" s="213"/>
      <c r="T72" s="150"/>
      <c r="U72" s="150"/>
      <c r="W72" s="150"/>
      <c r="X72" s="150"/>
      <c r="Y72" s="150"/>
      <c r="Z72" s="167"/>
      <c r="AA72" s="213"/>
      <c r="AB72" s="150"/>
      <c r="AC72" s="150"/>
      <c r="AE72" s="150"/>
      <c r="AF72" s="150"/>
      <c r="AG72" s="150"/>
    </row>
    <row r="73" spans="1:33" ht="15" customHeight="1">
      <c r="B73" s="38" t="s">
        <v>152</v>
      </c>
      <c r="C73" s="169">
        <f t="array" aca="1" ref="C73" ca="1">INDEX($A65:$A67,MATCH(C72,$A65:$A67,1))</f>
        <v>0</v>
      </c>
      <c r="D73" s="150"/>
      <c r="E73" s="73"/>
      <c r="G73" s="150"/>
      <c r="H73" s="150"/>
      <c r="I73" s="150"/>
      <c r="J73" s="38" t="s">
        <v>152</v>
      </c>
      <c r="K73" s="169">
        <f t="array" aca="1" ref="K73" ca="1">INDEX($A65:$A67,MATCH(K72,$A65:$A67,1))</f>
        <v>0</v>
      </c>
      <c r="L73" s="150"/>
      <c r="M73" s="73"/>
      <c r="O73" s="33"/>
      <c r="P73" s="150"/>
      <c r="Q73" s="150"/>
      <c r="R73" s="38"/>
      <c r="S73" s="169"/>
      <c r="T73" s="150"/>
      <c r="U73" s="73"/>
      <c r="W73" s="150"/>
      <c r="X73" s="150"/>
      <c r="Y73" s="150"/>
      <c r="Z73" s="38"/>
      <c r="AA73" s="169"/>
      <c r="AB73" s="150"/>
      <c r="AC73" s="73"/>
      <c r="AE73" s="150"/>
      <c r="AF73" s="150"/>
      <c r="AG73" s="150"/>
    </row>
    <row r="74" spans="1:33" ht="15" customHeight="1">
      <c r="B74" s="38" t="s">
        <v>153</v>
      </c>
      <c r="C74" s="169">
        <f t="array" aca="1" ref="C74" ca="1">INDEX($A65:$A67,IF(MATCH(C72,$A65:$A67,1)&lt;E70,MATCH(C72,$A65:$A67,1)+1,MATCH(C72,$A65:$A67,1)))</f>
        <v>30</v>
      </c>
      <c r="D74" s="150"/>
      <c r="E74" s="73"/>
      <c r="G74" s="150"/>
      <c r="H74" s="150"/>
      <c r="I74" s="150"/>
      <c r="J74" s="38" t="s">
        <v>153</v>
      </c>
      <c r="K74" s="169">
        <f t="array" aca="1" ref="K74" ca="1">INDEX($A65:$A67,IF(MATCH(K72,$A65:$A67,1)&lt;M70,MATCH(K72,$A65:$A67,1)+1,MATCH(K72,$A65:$A67,1)))</f>
        <v>30</v>
      </c>
      <c r="L74" s="150"/>
      <c r="M74" s="73"/>
      <c r="O74" s="33"/>
      <c r="P74" s="150"/>
      <c r="Q74" s="150"/>
      <c r="R74" s="38"/>
      <c r="S74" s="169"/>
      <c r="T74" s="150"/>
      <c r="U74" s="73"/>
      <c r="W74" s="150"/>
      <c r="X74" s="150"/>
      <c r="Y74" s="150"/>
      <c r="Z74" s="38"/>
      <c r="AA74" s="169"/>
      <c r="AB74" s="150"/>
      <c r="AC74" s="73"/>
      <c r="AE74" s="150"/>
      <c r="AF74" s="150"/>
      <c r="AG74" s="150"/>
    </row>
    <row r="75" spans="1:33" ht="15" customHeight="1">
      <c r="B75" s="167" t="s">
        <v>154</v>
      </c>
      <c r="C75" s="168">
        <f t="array" aca="1" ref="C75" ca="1">INDEX($B65:$E67,MATCH(C72,$A65:$A67,1),MATCH(C69,$B64:$E64,1))</f>
        <v>500</v>
      </c>
      <c r="D75" s="150"/>
      <c r="E75" s="73"/>
      <c r="G75" s="150"/>
      <c r="H75" s="150"/>
      <c r="I75" s="150"/>
      <c r="J75" s="167" t="s">
        <v>154</v>
      </c>
      <c r="K75" s="168">
        <f t="array" aca="1" ref="K75" ca="1">INDEX($B65:$E67,MATCH(K72,$A65:$A67,1),MATCH(K69,$B64:$E64,1))</f>
        <v>500</v>
      </c>
      <c r="L75" s="150"/>
      <c r="M75" s="73"/>
      <c r="O75" s="33"/>
      <c r="P75" s="150"/>
      <c r="Q75" s="150"/>
      <c r="R75" s="167"/>
      <c r="S75" s="168"/>
      <c r="T75" s="150"/>
      <c r="U75" s="73"/>
      <c r="W75" s="150"/>
      <c r="X75" s="150"/>
      <c r="Y75" s="150"/>
      <c r="Z75" s="167"/>
      <c r="AA75" s="168"/>
      <c r="AB75" s="150"/>
      <c r="AC75" s="73"/>
      <c r="AE75" s="150"/>
      <c r="AF75" s="150"/>
      <c r="AG75" s="150"/>
    </row>
    <row r="76" spans="1:33" ht="15" customHeight="1">
      <c r="B76" s="167" t="s">
        <v>205</v>
      </c>
      <c r="C76" s="168">
        <f t="array" aca="1" ref="C76" ca="1">INDEX($B65:$E67,MATCH(C72,$A65:$A67,1),IF(MATCH(C69,$B64:$E64,1)&lt;E71,MATCH(C69,$B64:$E64,1)+1,MATCH(C72,$A65:$A67,1)))</f>
        <v>1000</v>
      </c>
      <c r="E76" s="73"/>
      <c r="G76" s="150"/>
      <c r="H76" s="150"/>
      <c r="I76" s="150"/>
      <c r="J76" s="167" t="s">
        <v>205</v>
      </c>
      <c r="K76" s="168">
        <f t="array" aca="1" ref="K76" ca="1">INDEX($B65:$E67,MATCH(K72,$A65:$A67,1),IF(MATCH(K69,$B64:$E64,1)&lt;M71,MATCH(K69,$B64:$E64,1)+1,MATCH(K72,$A65:$A67,1)))</f>
        <v>1000</v>
      </c>
      <c r="M76" s="73"/>
      <c r="O76" s="32"/>
      <c r="P76" s="150"/>
      <c r="Q76" s="150"/>
      <c r="R76" s="167"/>
      <c r="S76" s="168"/>
      <c r="U76" s="73"/>
      <c r="W76" s="150"/>
      <c r="X76" s="150"/>
      <c r="Y76" s="150"/>
      <c r="Z76" s="167"/>
      <c r="AA76" s="168"/>
      <c r="AC76" s="73"/>
      <c r="AE76" s="150"/>
      <c r="AF76" s="150"/>
      <c r="AG76" s="150"/>
    </row>
    <row r="77" spans="1:33" ht="15" customHeight="1">
      <c r="B77" s="167" t="s">
        <v>155</v>
      </c>
      <c r="C77" s="168">
        <f t="array" aca="1" ref="C77" ca="1">INDEX($B65:$E67,IF(MATCH(C72,$A65:$A67,1)&lt;E70,MATCH(C72,$A65:$A67,1)+1,MATCH(C72,$A65:$A67,1)),MATCH(C69,$B64:$E64,1))</f>
        <v>390</v>
      </c>
      <c r="E77" s="73"/>
      <c r="G77" s="150"/>
      <c r="H77" s="150"/>
      <c r="I77" s="150"/>
      <c r="J77" s="167" t="s">
        <v>155</v>
      </c>
      <c r="K77" s="168">
        <f t="array" aca="1" ref="K77" ca="1">INDEX($B65:$E67,IF(MATCH(K72,$A65:$A67,1)&lt;M70,MATCH(K72,$A65:$A67,1)+1,MATCH(K72,$A65:$A67,1)),MATCH(K69,$B64:$E64,1))</f>
        <v>390</v>
      </c>
      <c r="M77" s="73"/>
      <c r="O77" s="32"/>
      <c r="P77" s="150"/>
      <c r="Q77" s="150"/>
      <c r="R77" s="167"/>
      <c r="S77" s="168"/>
      <c r="U77" s="73"/>
      <c r="W77" s="150"/>
      <c r="X77" s="150"/>
      <c r="Y77" s="150"/>
      <c r="Z77" s="167"/>
      <c r="AA77" s="168"/>
      <c r="AC77" s="73"/>
      <c r="AE77" s="150"/>
      <c r="AF77" s="150"/>
      <c r="AG77" s="150"/>
    </row>
    <row r="78" spans="1:33" ht="15" customHeight="1">
      <c r="B78" s="167" t="s">
        <v>206</v>
      </c>
      <c r="C78" s="168">
        <f t="array" aca="1" ref="C78" ca="1">INDEX($B65:$E67,IF(MATCH(C72,$A65:$A67,1)&lt;E70,MATCH(C72,$A65:$A67,1)+1,MATCH(C72,$A65:$A67,1)),IF(MATCH(C69,$B64:$E64,1)&lt;E71,MATCH(C69,$B64:$E64,1)+1,MATCH(C69,$B64:$E64,1)))</f>
        <v>800</v>
      </c>
      <c r="G78" s="150"/>
      <c r="H78" s="150"/>
      <c r="I78" s="150"/>
      <c r="J78" s="167" t="s">
        <v>206</v>
      </c>
      <c r="K78" s="168">
        <f t="array" aca="1" ref="K78" ca="1">INDEX($B65:$E67,IF(MATCH(K72,$A65:$A67,1)&lt;M70,MATCH(K72,$A65:$A67,1)+1,MATCH(K72,$A65:$A67,1)),IF(MATCH(K69,$B64:$E64,1)&lt;M71,MATCH(K69,$B64:$E64,1)+1,MATCH(K69,$B64:$E64,1)))</f>
        <v>800</v>
      </c>
      <c r="O78" s="32"/>
      <c r="P78" s="150"/>
      <c r="Q78" s="150"/>
      <c r="R78" s="167"/>
      <c r="S78" s="168"/>
      <c r="W78" s="150"/>
      <c r="X78" s="150"/>
      <c r="Y78" s="150"/>
      <c r="Z78" s="167"/>
      <c r="AA78" s="168"/>
      <c r="AE78" s="150"/>
      <c r="AF78" s="150"/>
      <c r="AG78" s="150"/>
    </row>
    <row r="79" spans="1:33" ht="15" customHeight="1">
      <c r="B79" s="38" t="s">
        <v>207</v>
      </c>
      <c r="C79" s="169">
        <f ca="1">IFERROR(C75+(C69-C70)*(C76-C75)/(C71-C70),C75)</f>
        <v>915.32999999999993</v>
      </c>
      <c r="G79" s="150"/>
      <c r="H79" s="150"/>
      <c r="I79" s="150"/>
      <c r="J79" s="38" t="s">
        <v>207</v>
      </c>
      <c r="K79" s="169">
        <f ca="1">IFERROR(K75+(K69-K70)*(K76-K75)/(K71-K70),K75)</f>
        <v>589.20000000000005</v>
      </c>
      <c r="O79" s="32"/>
      <c r="P79" s="150"/>
      <c r="Q79" s="150"/>
      <c r="R79" s="38"/>
      <c r="S79" s="169"/>
      <c r="W79" s="150"/>
      <c r="X79" s="150"/>
      <c r="Y79" s="150"/>
      <c r="Z79" s="38"/>
      <c r="AA79" s="169"/>
      <c r="AE79" s="150"/>
      <c r="AF79" s="150"/>
      <c r="AG79" s="150"/>
    </row>
    <row r="80" spans="1:33" ht="15" customHeight="1">
      <c r="B80" s="38" t="s">
        <v>208</v>
      </c>
      <c r="C80" s="169">
        <f ca="1">IFERROR(C77+(C69-C70)*(C78-C77)/(C71-C70),C77)</f>
        <v>730.5705999999999</v>
      </c>
      <c r="G80" s="150"/>
      <c r="H80" s="150"/>
      <c r="I80" s="150"/>
      <c r="J80" s="38" t="s">
        <v>208</v>
      </c>
      <c r="K80" s="169">
        <f ca="1">IFERROR(K77+(K69-K70)*(K78-K77)/(K71-K70),K77)</f>
        <v>463.14400000000006</v>
      </c>
      <c r="O80" s="32"/>
      <c r="P80" s="150"/>
      <c r="Q80" s="150"/>
      <c r="R80" s="38"/>
      <c r="S80" s="169"/>
      <c r="W80" s="150"/>
      <c r="X80" s="150"/>
      <c r="Y80" s="150"/>
      <c r="Z80" s="38"/>
      <c r="AA80" s="169"/>
      <c r="AE80" s="150"/>
      <c r="AF80" s="150"/>
      <c r="AG80" s="150"/>
    </row>
    <row r="81" spans="1:33" ht="15" customHeight="1">
      <c r="B81" s="167" t="s">
        <v>209</v>
      </c>
      <c r="C81" s="168">
        <f ca="1">IFERROR(C79+(C72-C73)*(C80-C79)/(C74-C73),C79)</f>
        <v>890.05342541249411</v>
      </c>
      <c r="G81" s="150"/>
      <c r="H81" s="150"/>
      <c r="I81" s="150"/>
      <c r="J81" s="167" t="s">
        <v>209</v>
      </c>
      <c r="K81" s="168">
        <f ca="1">IFERROR(K79+(K72-K73)*(K80-K79)/(K74-K73),K79)</f>
        <v>589.20000000000005</v>
      </c>
      <c r="O81" s="32"/>
      <c r="P81" s="150"/>
      <c r="Q81" s="150"/>
      <c r="R81" s="167"/>
      <c r="S81" s="168"/>
      <c r="W81" s="150"/>
      <c r="X81" s="150"/>
      <c r="Y81" s="150"/>
      <c r="Z81" s="167"/>
      <c r="AA81" s="168"/>
      <c r="AE81" s="150"/>
      <c r="AF81" s="150"/>
      <c r="AG81" s="150"/>
    </row>
    <row r="82" spans="1:33" ht="15" customHeight="1">
      <c r="B82" s="167"/>
      <c r="C82" s="168"/>
      <c r="G82" s="150"/>
      <c r="H82" s="150"/>
      <c r="I82" s="150"/>
      <c r="J82" s="167"/>
      <c r="K82" s="168"/>
      <c r="O82" s="32"/>
      <c r="P82" s="150"/>
      <c r="Q82" s="150"/>
      <c r="R82" s="167"/>
      <c r="S82" s="168"/>
      <c r="W82" s="150"/>
      <c r="X82" s="150"/>
      <c r="Y82" s="150"/>
      <c r="Z82" s="167"/>
      <c r="AA82" s="168"/>
      <c r="AE82" s="150"/>
      <c r="AF82" s="150"/>
      <c r="AG82" s="150"/>
    </row>
    <row r="83" spans="1:33" ht="15" customHeight="1">
      <c r="B83" s="307" t="s">
        <v>212</v>
      </c>
      <c r="C83" s="307"/>
      <c r="D83" s="307"/>
      <c r="E83" s="307"/>
      <c r="F83" s="307"/>
      <c r="G83" s="307"/>
      <c r="H83" s="307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W83" s="150"/>
      <c r="X83" s="150"/>
      <c r="Y83" s="150"/>
      <c r="Z83" s="167"/>
      <c r="AA83" s="168"/>
      <c r="AE83" s="150"/>
      <c r="AF83" s="150"/>
      <c r="AG83" s="150"/>
    </row>
    <row r="84" spans="1:33" ht="15" customHeight="1">
      <c r="B84" s="236">
        <v>500</v>
      </c>
      <c r="C84" s="236">
        <v>1000</v>
      </c>
      <c r="D84" s="244">
        <v>1500</v>
      </c>
      <c r="E84" s="244">
        <v>2000</v>
      </c>
      <c r="F84" s="239">
        <v>2100</v>
      </c>
      <c r="G84" s="245"/>
      <c r="H84" s="168"/>
      <c r="J84" s="167"/>
      <c r="K84" s="168"/>
      <c r="O84" s="150"/>
      <c r="P84" s="150"/>
      <c r="Q84" s="150"/>
      <c r="T84" s="150"/>
      <c r="U84" s="150"/>
      <c r="V84" s="150"/>
      <c r="W84" s="167"/>
      <c r="X84" s="168"/>
      <c r="AB84" s="150"/>
      <c r="AC84" s="150"/>
      <c r="AD84" s="150"/>
      <c r="AE84" s="167"/>
      <c r="AF84" s="168"/>
    </row>
    <row r="85" spans="1:33" ht="15" customHeight="1">
      <c r="A85">
        <v>0</v>
      </c>
      <c r="B85" s="236">
        <v>500</v>
      </c>
      <c r="C85" s="244">
        <v>1000</v>
      </c>
      <c r="D85" s="244">
        <v>1500</v>
      </c>
      <c r="E85" s="244">
        <v>2000</v>
      </c>
      <c r="F85" s="246">
        <v>99999</v>
      </c>
      <c r="G85" s="245"/>
      <c r="H85" s="168"/>
      <c r="I85" s="168"/>
      <c r="J85" s="168"/>
      <c r="K85" s="168"/>
      <c r="L85" s="168"/>
      <c r="M85" s="168"/>
      <c r="N85" s="168"/>
      <c r="O85" s="168"/>
      <c r="P85" s="168"/>
      <c r="Q85" s="150"/>
      <c r="T85" s="150"/>
      <c r="U85" s="150"/>
      <c r="V85" s="150"/>
      <c r="W85" s="167"/>
      <c r="X85" s="168"/>
      <c r="AB85" s="150"/>
      <c r="AC85" s="150"/>
      <c r="AD85" s="150"/>
      <c r="AE85" s="167"/>
      <c r="AF85" s="168"/>
    </row>
    <row r="86" spans="1:33" ht="15" customHeight="1">
      <c r="A86">
        <v>50</v>
      </c>
      <c r="B86" s="242">
        <v>1150</v>
      </c>
      <c r="C86" s="248">
        <v>2800</v>
      </c>
      <c r="D86" s="248">
        <v>1950</v>
      </c>
      <c r="E86" s="248">
        <v>3100</v>
      </c>
      <c r="F86" s="249">
        <v>99999</v>
      </c>
      <c r="G86" s="245"/>
      <c r="H86" s="168"/>
      <c r="J86" s="167"/>
      <c r="K86" s="168"/>
      <c r="O86" s="150"/>
      <c r="P86" s="150"/>
      <c r="Q86" s="150"/>
      <c r="T86" s="150"/>
      <c r="U86" s="150"/>
      <c r="V86" s="150"/>
      <c r="W86" s="167"/>
      <c r="X86" s="168"/>
      <c r="AB86" s="150"/>
      <c r="AC86" s="150"/>
      <c r="AD86" s="150"/>
      <c r="AE86" s="167"/>
      <c r="AF86" s="168"/>
    </row>
    <row r="87" spans="1:33" ht="15" customHeight="1">
      <c r="B87" s="167"/>
      <c r="C87" s="168"/>
      <c r="G87" s="150"/>
      <c r="H87" s="150"/>
      <c r="I87" s="150"/>
      <c r="J87" s="167"/>
      <c r="K87" s="168"/>
      <c r="O87" s="33"/>
      <c r="P87" s="150"/>
      <c r="Q87" s="150"/>
      <c r="R87" s="167"/>
      <c r="S87" s="168"/>
      <c r="W87" s="150"/>
      <c r="X87" s="150"/>
      <c r="Y87" s="150"/>
      <c r="Z87" s="167"/>
      <c r="AA87" s="168"/>
      <c r="AE87" s="150"/>
      <c r="AF87" s="150"/>
      <c r="AG87" s="150"/>
    </row>
    <row r="88" spans="1:33" ht="15" customHeight="1">
      <c r="B88" s="167" t="s">
        <v>150</v>
      </c>
      <c r="C88" s="168">
        <f ca="1">C81</f>
        <v>890.05342541249411</v>
      </c>
      <c r="D88" s="299" t="s">
        <v>202</v>
      </c>
      <c r="E88" s="299"/>
      <c r="G88" s="150"/>
      <c r="H88" s="150"/>
      <c r="I88" s="150"/>
      <c r="J88" s="167" t="s">
        <v>150</v>
      </c>
      <c r="K88" s="168">
        <f ca="1">K81</f>
        <v>589.20000000000005</v>
      </c>
      <c r="L88" s="299" t="s">
        <v>202</v>
      </c>
      <c r="M88" s="299"/>
      <c r="O88" s="33"/>
      <c r="P88" s="150"/>
    </row>
    <row r="89" spans="1:33" ht="15" customHeight="1">
      <c r="B89" s="38" t="s">
        <v>203</v>
      </c>
      <c r="C89" s="169">
        <f t="array" aca="1" ref="C89" ca="1">INDEX($B84:$F84,MATCH(C88,$B84:$F84,1))</f>
        <v>500</v>
      </c>
      <c r="D89" s="38" t="s">
        <v>148</v>
      </c>
      <c r="E89" s="39">
        <f>MATCH(MAX($A85:$A86),$A85:$A86,1)</f>
        <v>2</v>
      </c>
      <c r="G89" s="150"/>
      <c r="H89" s="150"/>
      <c r="I89" s="150"/>
      <c r="J89" s="38" t="s">
        <v>203</v>
      </c>
      <c r="K89" s="169">
        <f t="array" aca="1" ref="K89" ca="1">INDEX($B84:$F84,MATCH(K88,$B84:$F84,1))</f>
        <v>500</v>
      </c>
      <c r="L89" s="38" t="s">
        <v>148</v>
      </c>
      <c r="M89" s="39">
        <f>MATCH(MAX($A85:$A86),$A85:$A86,1)</f>
        <v>2</v>
      </c>
      <c r="O89" s="33"/>
      <c r="P89" s="150"/>
    </row>
    <row r="90" spans="1:33" ht="15" customHeight="1">
      <c r="B90" s="38" t="s">
        <v>204</v>
      </c>
      <c r="C90" s="169">
        <f t="array" aca="1" ref="C90" ca="1">INDEX($B84:$F84,IF(MATCH(C88,$B84:$F84,1)&lt;E90,MATCH(C88,$B84:$F84,1)+1,MATCH(C88,$B84:$F84,1)))</f>
        <v>1000</v>
      </c>
      <c r="D90" s="38" t="s">
        <v>149</v>
      </c>
      <c r="E90" s="39">
        <f>MATCH(MAX($B84:$F84),$B84:$F84,0)</f>
        <v>5</v>
      </c>
      <c r="G90" s="150"/>
      <c r="H90" s="150"/>
      <c r="I90" s="150"/>
      <c r="J90" s="38" t="s">
        <v>204</v>
      </c>
      <c r="K90" s="169">
        <f t="array" aca="1" ref="K90" ca="1">INDEX($B84:$F84,IF(MATCH(K88,$B84:$F84,1)&lt;M90,MATCH(K88,$B84:$F84,1)+1,MATCH(K88,$B84:$F84,1)))</f>
        <v>1000</v>
      </c>
      <c r="L90" s="38" t="s">
        <v>149</v>
      </c>
      <c r="M90" s="39">
        <f>MATCH(MAX($B84:$F84),$B84:$F84,0)</f>
        <v>5</v>
      </c>
      <c r="O90" s="33"/>
      <c r="P90" s="150"/>
    </row>
    <row r="91" spans="1:33" ht="15" customHeight="1">
      <c r="B91" s="167" t="s">
        <v>151</v>
      </c>
      <c r="C91" s="213">
        <v>50</v>
      </c>
      <c r="D91" s="150"/>
      <c r="E91" s="150"/>
      <c r="G91" s="150"/>
      <c r="H91" s="150"/>
      <c r="I91" s="150"/>
      <c r="J91" s="167" t="s">
        <v>151</v>
      </c>
      <c r="K91" s="213">
        <v>50</v>
      </c>
      <c r="L91" s="150"/>
      <c r="M91" s="150"/>
      <c r="O91" s="33"/>
      <c r="P91" s="150"/>
    </row>
    <row r="92" spans="1:33" ht="15" customHeight="1">
      <c r="B92" s="38" t="s">
        <v>152</v>
      </c>
      <c r="C92" s="169">
        <f t="array" ref="C92">INDEX($A85:$A86,MATCH(C91,$A85:$A86,1))</f>
        <v>50</v>
      </c>
      <c r="D92" s="150"/>
      <c r="E92" s="73"/>
      <c r="G92" s="150"/>
      <c r="H92" s="150"/>
      <c r="I92" s="150"/>
      <c r="J92" s="38" t="s">
        <v>152</v>
      </c>
      <c r="K92" s="169">
        <f t="array" ref="K92">INDEX($A85:$A86,MATCH(K91,$A85:$A86,1))</f>
        <v>50</v>
      </c>
      <c r="L92" s="150"/>
      <c r="M92" s="73"/>
      <c r="O92" s="33"/>
      <c r="P92" s="150"/>
    </row>
    <row r="93" spans="1:33" ht="15" customHeight="1">
      <c r="B93" s="38" t="s">
        <v>153</v>
      </c>
      <c r="C93" s="169">
        <f t="array" ref="C93">INDEX($A85:$A86,IF(MATCH(C91,$A85:$A86,1)&lt;E89,MATCH(C91,$A85:$A86,1)+1,MATCH(C91,$A85:$A86,1)))</f>
        <v>50</v>
      </c>
      <c r="D93" s="150"/>
      <c r="E93" s="73"/>
      <c r="G93" s="150"/>
      <c r="H93" s="150"/>
      <c r="I93" s="150"/>
      <c r="J93" s="38" t="s">
        <v>153</v>
      </c>
      <c r="K93" s="169">
        <f t="array" ref="K93">INDEX($A85:$A86,IF(MATCH(K91,$A85:$A86,1)&lt;M89,MATCH(K91,$A85:$A86,1)+1,MATCH(K91,$A85:$A86,1)))</f>
        <v>50</v>
      </c>
      <c r="L93" s="150"/>
      <c r="M93" s="73"/>
      <c r="O93" s="33"/>
      <c r="P93" s="150"/>
    </row>
    <row r="94" spans="1:33" ht="15" customHeight="1">
      <c r="B94" s="167" t="s">
        <v>154</v>
      </c>
      <c r="C94" s="168">
        <f t="array" aca="1" ref="C94" ca="1">INDEX($B85:$F86,MATCH(C91,$A85:$A86,1),MATCH(C88,$B84:$F84,1))</f>
        <v>1150</v>
      </c>
      <c r="D94" s="150"/>
      <c r="E94" s="73"/>
      <c r="G94" s="150"/>
      <c r="H94" s="150"/>
      <c r="I94" s="150"/>
      <c r="J94" s="167" t="s">
        <v>154</v>
      </c>
      <c r="K94" s="168">
        <f t="array" aca="1" ref="K94" ca="1">INDEX($B85:$F86,MATCH(K91,$A85:$A86,1),MATCH(K88,$B84:$F84,1))</f>
        <v>1150</v>
      </c>
      <c r="L94" s="150"/>
      <c r="M94" s="73"/>
      <c r="O94" s="33"/>
      <c r="P94" s="150"/>
    </row>
    <row r="95" spans="1:33" ht="15" customHeight="1">
      <c r="B95" s="167" t="s">
        <v>205</v>
      </c>
      <c r="C95" s="168">
        <f t="array" aca="1" ref="C95" ca="1">INDEX($B85:$F86,MATCH(C91,$A85:$A86,1),IF(MATCH(C88,$B84:$F84,1)&lt;E90,MATCH(C88,$B84:$F84,1)+1,MATCH(C91,$A85:$A86,1)))</f>
        <v>2800</v>
      </c>
      <c r="E95" s="73"/>
      <c r="G95" s="150"/>
      <c r="H95" s="150"/>
      <c r="I95" s="150"/>
      <c r="J95" s="167" t="s">
        <v>205</v>
      </c>
      <c r="K95" s="168">
        <f t="array" aca="1" ref="K95" ca="1">INDEX($B85:$F86,MATCH(K91,$A85:$A86,1),IF(MATCH(K88,$B84:$F84,1)&lt;M90,MATCH(K88,$B84:$F84,1)+1,MATCH(K91,$A85:$A86,1)))</f>
        <v>2800</v>
      </c>
      <c r="M95" s="73"/>
      <c r="O95" s="32"/>
      <c r="P95" s="150"/>
    </row>
    <row r="96" spans="1:33" ht="15" customHeight="1">
      <c r="B96" s="167" t="s">
        <v>155</v>
      </c>
      <c r="C96" s="168">
        <f t="array" aca="1" ref="C96" ca="1">INDEX($B85:$F86,IF(MATCH(C91,$A85:$A86,1)&lt;E89,MATCH(C91,$A85:$A86,1)+1,MATCH(C91,$A85:$A86,1)),MATCH(C88,$B84:$F84,1))</f>
        <v>1150</v>
      </c>
      <c r="E96" s="73"/>
      <c r="G96" s="150"/>
      <c r="H96" s="150"/>
      <c r="I96" s="150"/>
      <c r="J96" s="167" t="s">
        <v>155</v>
      </c>
      <c r="K96" s="168">
        <f t="array" aca="1" ref="K96" ca="1">INDEX($B85:$F86,IF(MATCH(K91,$A85:$A86,1)&lt;M89,MATCH(K91,$A85:$A86,1)+1,MATCH(K91,$A85:$A86,1)),MATCH(K88,$B84:$F84,1))</f>
        <v>1150</v>
      </c>
      <c r="M96" s="73"/>
      <c r="O96" s="32"/>
      <c r="P96" s="150"/>
    </row>
    <row r="97" spans="1:16" ht="15" customHeight="1">
      <c r="B97" s="167" t="s">
        <v>206</v>
      </c>
      <c r="C97" s="168">
        <f t="array" aca="1" ref="C97" ca="1">INDEX($B85:$F86,IF(MATCH(C91,$A85:$A86,1)&lt;E89,MATCH(C91,$A85:$A86,1)+1,MATCH(C91,$A85:$A86,1)),IF(MATCH(C88,$B84:$F84,1)&lt;E90,MATCH(C88,$B84:$F84,1)+1,MATCH(C88,$B84:$F84,1)))</f>
        <v>2800</v>
      </c>
      <c r="G97" s="150"/>
      <c r="H97" s="150"/>
      <c r="I97" s="150"/>
      <c r="J97" s="167" t="s">
        <v>206</v>
      </c>
      <c r="K97" s="168">
        <f t="array" aca="1" ref="K97" ca="1">INDEX($B85:$F86,IF(MATCH(K91,$A85:$A86,1)&lt;M89,MATCH(K91,$A85:$A86,1)+1,MATCH(K91,$A85:$A86,1)),IF(MATCH(K88,$B84:$F84,1)&lt;M90,MATCH(K88,$B84:$F84,1)+1,MATCH(K88,$B84:$F84,1)))</f>
        <v>2800</v>
      </c>
      <c r="O97" s="32"/>
      <c r="P97" s="150"/>
    </row>
    <row r="98" spans="1:16" ht="15" customHeight="1">
      <c r="B98" s="38" t="s">
        <v>207</v>
      </c>
      <c r="C98" s="169">
        <f ca="1">IFERROR(C94+(C88-C89)*(C95-C94)/(C90-C89),C94)</f>
        <v>2437.1763038612307</v>
      </c>
      <c r="G98" s="150"/>
      <c r="H98" s="150"/>
      <c r="I98" s="150"/>
      <c r="J98" s="38" t="s">
        <v>207</v>
      </c>
      <c r="K98" s="169">
        <f ca="1">IFERROR(K94+(K88-K89)*(K95-K94)/(K90-K89),K94)</f>
        <v>1444.3600000000001</v>
      </c>
      <c r="O98" s="32"/>
      <c r="P98" s="150"/>
    </row>
    <row r="99" spans="1:16" ht="15" customHeight="1">
      <c r="B99" s="38" t="s">
        <v>208</v>
      </c>
      <c r="C99" s="169">
        <f ca="1">IFERROR(C96+(C88-C89)*(C97-C96)/(C90-C89),C96)</f>
        <v>2437.1763038612307</v>
      </c>
      <c r="G99" s="150"/>
      <c r="H99" s="150"/>
      <c r="I99" s="150"/>
      <c r="J99" s="38" t="s">
        <v>208</v>
      </c>
      <c r="K99" s="169">
        <f ca="1">IFERROR(K96+(K88-K89)*(K97-K96)/(K90-K89),K96)</f>
        <v>1444.3600000000001</v>
      </c>
      <c r="O99" s="32"/>
      <c r="P99" s="150"/>
    </row>
    <row r="100" spans="1:16" ht="15" customHeight="1">
      <c r="B100" s="167" t="s">
        <v>209</v>
      </c>
      <c r="C100" s="168">
        <f ca="1">IFERROR(C98+(C91-C92)*(C99-C98)/(C93-C92),C98)</f>
        <v>2437.1763038612307</v>
      </c>
      <c r="G100" s="150"/>
      <c r="H100" s="150"/>
      <c r="I100" s="150"/>
      <c r="J100" s="167" t="s">
        <v>209</v>
      </c>
      <c r="K100" s="168">
        <f ca="1">IFERROR(K98+(K91-K92)*(K99-K98)/(K93-K92),K98)</f>
        <v>1444.3600000000001</v>
      </c>
      <c r="O100" s="32"/>
      <c r="P100" s="150"/>
    </row>
    <row r="101" spans="1:16" ht="15.75" customHeight="1"/>
    <row r="102" spans="1:16" ht="15" customHeight="1">
      <c r="A102" t="s">
        <v>213</v>
      </c>
      <c r="C102">
        <f ca="1">C100/3.28</f>
        <v>743.0415560552533</v>
      </c>
      <c r="K102">
        <f ca="1">K100/3.28</f>
        <v>440.35365853658544</v>
      </c>
    </row>
    <row r="103" spans="1:16" ht="15" customHeight="1">
      <c r="B103" t="s">
        <v>176</v>
      </c>
      <c r="C103" s="73">
        <f>IF(Landing!$C$16&lt;0, ((-Landing!$C$16*5)%*C102),0 )</f>
        <v>0</v>
      </c>
      <c r="K103" s="73">
        <f>IF('Take-off'!$C$17&lt;0, ((-'Take-off'!$C$17*5)%*K102),0 )</f>
        <v>0</v>
      </c>
    </row>
    <row r="104" spans="1:16" ht="15" customHeight="1">
      <c r="B104" t="s">
        <v>177</v>
      </c>
      <c r="C104">
        <f ca="1">SUM(C102:C103)</f>
        <v>743.0415560552533</v>
      </c>
      <c r="K104">
        <f ca="1">SUM(K102:K103)</f>
        <v>440.35365853658544</v>
      </c>
    </row>
    <row r="105" spans="1:16" ht="15.75" customHeight="1"/>
    <row r="106" spans="1:16" ht="15.75" customHeight="1"/>
    <row r="107" spans="1:16" ht="15.75" customHeight="1"/>
    <row r="108" spans="1:16" ht="15.75" customHeight="1"/>
    <row r="109" spans="1:16" ht="15.75" customHeight="1"/>
    <row r="110" spans="1:16" ht="15.75" customHeight="1"/>
    <row r="111" spans="1:16" ht="15.75" customHeight="1"/>
    <row r="112" spans="1:16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8">
    <mergeCell ref="B83:H83"/>
    <mergeCell ref="D88:E88"/>
    <mergeCell ref="L88:M88"/>
    <mergeCell ref="B63:F63"/>
    <mergeCell ref="D69:E69"/>
    <mergeCell ref="L69:M69"/>
    <mergeCell ref="T69:U69"/>
    <mergeCell ref="AB69:AC69"/>
    <mergeCell ref="T23:U23"/>
    <mergeCell ref="AB23:AC23"/>
    <mergeCell ref="B37:E37"/>
    <mergeCell ref="D48:E48"/>
    <mergeCell ref="L48:M48"/>
    <mergeCell ref="I5:O5"/>
    <mergeCell ref="A8:F8"/>
    <mergeCell ref="B10:F10"/>
    <mergeCell ref="D23:E23"/>
    <mergeCell ref="L23:M23"/>
  </mergeCells>
  <conditionalFormatting sqref="B39:D46">
    <cfRule type="colorScale" priority="2">
      <colorScale>
        <cfvo type="min"/>
        <cfvo type="max"/>
        <color rgb="FFFCFCFF"/>
        <color rgb="FFF8696B"/>
      </colorScale>
    </cfRule>
  </conditionalFormatting>
  <conditionalFormatting sqref="B65:D67">
    <cfRule type="colorScale" priority="3">
      <colorScale>
        <cfvo type="min"/>
        <cfvo type="max"/>
        <color rgb="FFFCFCFF"/>
        <color rgb="FFF8696B"/>
      </colorScale>
    </cfRule>
  </conditionalFormatting>
  <conditionalFormatting sqref="B85:E86">
    <cfRule type="colorScale" priority="5">
      <colorScale>
        <cfvo type="min"/>
        <cfvo type="max"/>
        <color rgb="FFFCFCFF"/>
        <color rgb="FFF8696B"/>
      </colorScale>
    </cfRule>
  </conditionalFormatting>
  <conditionalFormatting sqref="I39:P46">
    <cfRule type="colorScale" priority="6">
      <colorScale>
        <cfvo type="min"/>
        <cfvo type="max"/>
        <color rgb="FFFCFCFF"/>
        <color rgb="FFF8696B"/>
      </colorScale>
    </cfRule>
  </conditionalFormatting>
  <conditionalFormatting sqref="I65:P67">
    <cfRule type="colorScale" priority="7">
      <colorScale>
        <cfvo type="min"/>
        <cfvo type="max"/>
        <color rgb="FFFCFCFF"/>
        <color rgb="FFF8696B"/>
      </colorScale>
    </cfRule>
  </conditionalFormatting>
  <conditionalFormatting sqref="K12:R21">
    <cfRule type="colorScale" priority="8">
      <colorScale>
        <cfvo type="min"/>
        <cfvo type="max"/>
        <color rgb="FFFCFCFF"/>
        <color rgb="FFF8696B"/>
      </colorScale>
    </cfRule>
  </conditionalFormatting>
  <conditionalFormatting sqref="J85:Q86">
    <cfRule type="colorScale" priority="9">
      <colorScale>
        <cfvo type="min"/>
        <cfvo type="max"/>
        <color rgb="FFFCFCFF"/>
        <color rgb="FFF8696B"/>
      </colorScale>
    </cfRule>
  </conditionalFormatting>
  <conditionalFormatting sqref="B12:F20">
    <cfRule type="colorScale" priority="50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C1001"/>
  <sheetViews>
    <sheetView zoomScaleNormal="100" workbookViewId="0">
      <selection activeCell="A6" sqref="A6"/>
    </sheetView>
  </sheetViews>
  <sheetFormatPr defaultColWidth="14.44140625" defaultRowHeight="15" customHeight="1"/>
  <cols>
    <col min="1" max="12" width="9.109375" customWidth="1"/>
    <col min="13" max="13" width="5" customWidth="1"/>
    <col min="14" max="55" width="9.109375" customWidth="1"/>
  </cols>
  <sheetData>
    <row r="1" spans="1:55" ht="14.25" customHeight="1">
      <c r="A1" s="159"/>
      <c r="B1" s="38" t="s">
        <v>196</v>
      </c>
      <c r="C1" s="167" t="s">
        <v>150</v>
      </c>
      <c r="D1" s="232">
        <f ca="1">IF('Take-off'!$C$9="",'Take-off'!$C$16,MAX(0,'Take-off'!$C$16+30*(1013-'Take-off'!$C$9)))</f>
        <v>200</v>
      </c>
      <c r="E1" s="233"/>
      <c r="F1" s="233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250"/>
      <c r="AW1" s="159"/>
      <c r="AX1" s="159"/>
      <c r="AY1" s="159"/>
      <c r="AZ1" s="159"/>
      <c r="BA1" s="159"/>
      <c r="BB1" s="159"/>
      <c r="BC1" s="159"/>
    </row>
    <row r="2" spans="1:55" ht="14.25" customHeight="1">
      <c r="A2" s="159"/>
      <c r="B2" s="38" t="s">
        <v>198</v>
      </c>
      <c r="C2" s="167" t="s">
        <v>151</v>
      </c>
      <c r="D2" s="232">
        <f ca="1">IF('Take-off'!C13='Dropdown lists'!B30, 'Take-off'!$C$8+6, 'Take-off'!$C$8)</f>
        <v>0</v>
      </c>
      <c r="E2" s="234" t="s">
        <v>214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250"/>
      <c r="AW2" s="159"/>
      <c r="AX2" s="159"/>
      <c r="AY2" s="159"/>
      <c r="AZ2" s="159"/>
      <c r="BA2" s="159"/>
      <c r="BB2" s="159"/>
      <c r="BC2" s="159"/>
    </row>
    <row r="3" spans="1:55" ht="14.25" customHeight="1">
      <c r="A3" s="159"/>
      <c r="B3" s="296" t="s">
        <v>142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59"/>
      <c r="N3" s="159"/>
      <c r="O3" s="296" t="s">
        <v>215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159"/>
      <c r="AA3" s="159"/>
      <c r="AB3" s="296" t="s">
        <v>216</v>
      </c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159"/>
      <c r="AN3" s="159"/>
      <c r="AO3" s="159"/>
      <c r="AP3" s="159"/>
      <c r="AQ3" s="159"/>
      <c r="AR3" s="159"/>
      <c r="AS3" s="159"/>
      <c r="AT3" s="159"/>
      <c r="AU3" s="159"/>
      <c r="AV3" s="250"/>
      <c r="AW3" s="159"/>
      <c r="AX3" s="159"/>
      <c r="AY3" s="159"/>
      <c r="AZ3" s="159"/>
      <c r="BA3" s="159"/>
      <c r="BB3" s="159"/>
      <c r="BC3" s="159"/>
    </row>
    <row r="4" spans="1:55" ht="15" customHeight="1">
      <c r="B4" s="307" t="s">
        <v>217</v>
      </c>
      <c r="C4" s="307"/>
      <c r="D4" s="307"/>
      <c r="E4" s="307"/>
      <c r="F4" s="307"/>
      <c r="G4" s="92"/>
      <c r="H4" s="92"/>
      <c r="I4" s="92"/>
      <c r="J4" s="92"/>
      <c r="K4" s="92"/>
      <c r="L4" s="92"/>
      <c r="M4" s="92"/>
      <c r="O4" s="307" t="s">
        <v>217</v>
      </c>
      <c r="P4" s="307"/>
      <c r="Q4" s="307"/>
      <c r="R4" s="307"/>
      <c r="S4" s="307"/>
      <c r="T4" s="92"/>
      <c r="U4" s="92"/>
      <c r="V4" s="92"/>
      <c r="W4" s="92"/>
      <c r="X4" s="92"/>
      <c r="Y4" s="92"/>
      <c r="Z4" s="167"/>
      <c r="AB4" s="307" t="s">
        <v>217</v>
      </c>
      <c r="AC4" s="307"/>
      <c r="AD4" s="307"/>
      <c r="AE4" s="307"/>
      <c r="AF4" s="307"/>
      <c r="AG4" s="92"/>
      <c r="AH4" s="92"/>
      <c r="AI4" s="92"/>
      <c r="AJ4" s="92"/>
      <c r="AK4" s="92"/>
      <c r="AL4" s="92"/>
      <c r="AM4" s="150"/>
      <c r="AN4" s="150"/>
      <c r="AO4" s="150"/>
      <c r="AP4" s="167"/>
      <c r="AQ4" s="168"/>
      <c r="AU4" s="150"/>
      <c r="AV4" s="150"/>
      <c r="AW4" s="150"/>
      <c r="AX4" s="167"/>
      <c r="AY4" s="168"/>
    </row>
    <row r="5" spans="1:55" ht="15" customHeight="1">
      <c r="A5" t="s">
        <v>218</v>
      </c>
      <c r="B5" s="236">
        <v>-500</v>
      </c>
      <c r="C5" s="244">
        <v>0</v>
      </c>
      <c r="D5" s="237">
        <v>1000</v>
      </c>
      <c r="E5" s="238">
        <v>2000</v>
      </c>
      <c r="F5" s="238">
        <v>3000</v>
      </c>
      <c r="G5" s="239">
        <v>4000</v>
      </c>
      <c r="H5" s="167"/>
      <c r="J5" s="167"/>
      <c r="K5" s="168"/>
      <c r="N5" t="s">
        <v>218</v>
      </c>
      <c r="O5" s="236">
        <v>0</v>
      </c>
      <c r="P5" s="237">
        <v>1000</v>
      </c>
      <c r="Q5" s="238">
        <v>2000</v>
      </c>
      <c r="R5" s="238">
        <v>3000</v>
      </c>
      <c r="S5" s="239">
        <v>4000</v>
      </c>
      <c r="T5" s="167"/>
      <c r="U5" s="168"/>
      <c r="W5" s="167"/>
      <c r="X5" s="168"/>
      <c r="AA5" t="s">
        <v>218</v>
      </c>
      <c r="AB5" s="236">
        <v>-500</v>
      </c>
      <c r="AC5" s="244">
        <v>0</v>
      </c>
      <c r="AD5" s="237">
        <v>1000</v>
      </c>
      <c r="AE5" s="238">
        <v>2000</v>
      </c>
      <c r="AF5" s="238">
        <v>3000</v>
      </c>
      <c r="AG5" s="239">
        <v>4000</v>
      </c>
      <c r="AH5" s="167"/>
      <c r="AI5" s="168"/>
      <c r="AK5" s="167"/>
      <c r="AL5" s="168"/>
      <c r="AN5" s="167"/>
      <c r="AO5" s="168"/>
      <c r="AS5" s="150"/>
      <c r="AT5" s="150"/>
      <c r="AU5" s="150"/>
      <c r="AV5" s="167"/>
      <c r="AW5" s="168"/>
    </row>
    <row r="6" spans="1:55" ht="15" customHeight="1">
      <c r="A6">
        <v>-40</v>
      </c>
      <c r="B6" s="236">
        <v>2700</v>
      </c>
      <c r="C6" s="244">
        <v>2700</v>
      </c>
      <c r="D6" s="237">
        <v>2800</v>
      </c>
      <c r="E6" s="238">
        <v>2900</v>
      </c>
      <c r="F6" s="238">
        <v>3200</v>
      </c>
      <c r="G6" s="239">
        <v>99999</v>
      </c>
      <c r="H6" s="167"/>
      <c r="J6" s="167"/>
      <c r="K6" s="168"/>
      <c r="N6">
        <v>-30</v>
      </c>
      <c r="O6" s="236"/>
      <c r="P6" s="237"/>
      <c r="Q6" s="238"/>
      <c r="R6" s="238"/>
      <c r="S6" s="239">
        <v>99999</v>
      </c>
      <c r="T6" s="167"/>
      <c r="U6" s="168"/>
      <c r="W6" s="167"/>
      <c r="X6" s="168"/>
      <c r="AA6">
        <v>-40</v>
      </c>
      <c r="AB6" s="236">
        <v>4200</v>
      </c>
      <c r="AC6" s="244">
        <v>4200</v>
      </c>
      <c r="AD6" s="237">
        <v>4400</v>
      </c>
      <c r="AE6" s="238">
        <v>4600</v>
      </c>
      <c r="AF6" s="238">
        <v>4900</v>
      </c>
      <c r="AG6" s="239">
        <v>99999</v>
      </c>
      <c r="AH6" s="167"/>
      <c r="AI6" s="168"/>
      <c r="AK6" s="167"/>
      <c r="AL6" s="168"/>
      <c r="AN6" s="167"/>
      <c r="AO6" s="168"/>
      <c r="AS6" s="150"/>
      <c r="AT6" s="150"/>
      <c r="AU6" s="150"/>
      <c r="AV6" s="167"/>
      <c r="AW6" s="168"/>
    </row>
    <row r="7" spans="1:55" ht="15" customHeight="1">
      <c r="A7">
        <v>-30</v>
      </c>
      <c r="B7" s="247">
        <v>2700</v>
      </c>
      <c r="C7" s="310">
        <v>2700</v>
      </c>
      <c r="D7" s="308">
        <v>2800</v>
      </c>
      <c r="E7" s="309">
        <v>2900</v>
      </c>
      <c r="F7" s="309">
        <v>3200</v>
      </c>
      <c r="G7" s="46">
        <v>99999</v>
      </c>
      <c r="H7" s="167"/>
      <c r="J7" s="167"/>
      <c r="K7" s="168"/>
      <c r="O7" s="247"/>
      <c r="P7" s="308"/>
      <c r="Q7" s="309"/>
      <c r="R7" s="309"/>
      <c r="S7" s="46"/>
      <c r="T7" s="167"/>
      <c r="U7" s="168"/>
      <c r="W7" s="167"/>
      <c r="X7" s="168"/>
      <c r="AA7">
        <v>-30</v>
      </c>
      <c r="AB7" s="247">
        <v>4200</v>
      </c>
      <c r="AC7" s="310">
        <v>4200</v>
      </c>
      <c r="AD7" s="308">
        <v>4400</v>
      </c>
      <c r="AE7" s="309">
        <v>4600</v>
      </c>
      <c r="AF7" s="309">
        <v>4900</v>
      </c>
      <c r="AG7" s="46">
        <v>99999</v>
      </c>
      <c r="AH7" s="167"/>
      <c r="AI7" s="168"/>
      <c r="AK7" s="167"/>
      <c r="AL7" s="168"/>
      <c r="AN7" s="167"/>
      <c r="AO7" s="168"/>
      <c r="AS7" s="150"/>
      <c r="AT7" s="150"/>
      <c r="AU7" s="150"/>
      <c r="AV7" s="167"/>
      <c r="AW7" s="168"/>
    </row>
    <row r="8" spans="1:55" ht="15" customHeight="1">
      <c r="A8">
        <v>-20</v>
      </c>
      <c r="B8" s="247">
        <v>2800</v>
      </c>
      <c r="C8" s="310">
        <v>2800</v>
      </c>
      <c r="D8" s="227">
        <v>2980</v>
      </c>
      <c r="E8">
        <v>3100</v>
      </c>
      <c r="F8">
        <v>3400</v>
      </c>
      <c r="G8" s="46">
        <v>99999</v>
      </c>
      <c r="H8" s="167"/>
      <c r="J8" s="167"/>
      <c r="K8" s="168"/>
      <c r="N8">
        <v>-20</v>
      </c>
      <c r="O8" s="247"/>
      <c r="P8" s="227"/>
      <c r="S8" s="46">
        <v>99999</v>
      </c>
      <c r="T8" s="167"/>
      <c r="U8" s="168"/>
      <c r="W8" s="167"/>
      <c r="X8" s="168"/>
      <c r="AA8">
        <v>-20</v>
      </c>
      <c r="AB8" s="247">
        <v>4200</v>
      </c>
      <c r="AC8" s="310">
        <v>4200</v>
      </c>
      <c r="AD8" s="227">
        <v>4400</v>
      </c>
      <c r="AE8">
        <v>4600</v>
      </c>
      <c r="AF8">
        <v>4900</v>
      </c>
      <c r="AG8" s="46">
        <v>99999</v>
      </c>
      <c r="AH8" s="167"/>
      <c r="AI8" s="168"/>
      <c r="AK8" s="167"/>
      <c r="AL8" s="168"/>
      <c r="AN8" s="167"/>
      <c r="AO8" s="168"/>
      <c r="AS8" s="150"/>
      <c r="AT8" s="150"/>
      <c r="AU8" s="150"/>
      <c r="AV8" s="167"/>
      <c r="AW8" s="168"/>
    </row>
    <row r="9" spans="1:55" ht="15" customHeight="1">
      <c r="A9">
        <v>-10</v>
      </c>
      <c r="B9" s="247">
        <v>3000</v>
      </c>
      <c r="C9" s="310">
        <v>3000</v>
      </c>
      <c r="D9" s="227">
        <v>3200</v>
      </c>
      <c r="E9">
        <v>3400</v>
      </c>
      <c r="F9">
        <v>3600</v>
      </c>
      <c r="G9" s="46">
        <v>99999</v>
      </c>
      <c r="H9" s="167"/>
      <c r="J9" s="167"/>
      <c r="K9" s="168"/>
      <c r="N9">
        <v>-10</v>
      </c>
      <c r="O9" s="247"/>
      <c r="P9" s="227"/>
      <c r="S9" s="46">
        <v>99999</v>
      </c>
      <c r="T9" s="167"/>
      <c r="U9" s="168"/>
      <c r="W9" s="167"/>
      <c r="X9" s="168"/>
      <c r="AA9">
        <v>-10</v>
      </c>
      <c r="AB9" s="247">
        <v>4400</v>
      </c>
      <c r="AC9" s="310">
        <v>4400</v>
      </c>
      <c r="AD9" s="227">
        <v>4700</v>
      </c>
      <c r="AE9">
        <v>5000</v>
      </c>
      <c r="AF9">
        <v>5200</v>
      </c>
      <c r="AG9" s="46">
        <v>99999</v>
      </c>
      <c r="AH9" s="167"/>
      <c r="AI9" s="168"/>
      <c r="AK9" s="167"/>
      <c r="AL9" s="168"/>
      <c r="AN9" s="167"/>
      <c r="AO9" s="168"/>
      <c r="AS9" s="150"/>
      <c r="AT9" s="150"/>
      <c r="AU9" s="150"/>
      <c r="AV9" s="167"/>
      <c r="AW9" s="168"/>
    </row>
    <row r="10" spans="1:55" ht="15" customHeight="1">
      <c r="A10">
        <v>0</v>
      </c>
      <c r="B10" s="247">
        <v>3200</v>
      </c>
      <c r="C10" s="310">
        <v>3200</v>
      </c>
      <c r="D10" s="227">
        <v>3400</v>
      </c>
      <c r="E10">
        <v>3600</v>
      </c>
      <c r="F10">
        <v>3900</v>
      </c>
      <c r="G10" s="46">
        <v>99999</v>
      </c>
      <c r="H10" s="167"/>
      <c r="J10" s="167"/>
      <c r="K10" s="168"/>
      <c r="N10">
        <v>0</v>
      </c>
      <c r="O10" s="247"/>
      <c r="P10" s="227"/>
      <c r="S10" s="46">
        <v>99999</v>
      </c>
      <c r="T10" s="167"/>
      <c r="U10" s="168"/>
      <c r="W10" s="167"/>
      <c r="X10" s="168"/>
      <c r="AA10">
        <v>0</v>
      </c>
      <c r="AB10" s="247">
        <v>4700</v>
      </c>
      <c r="AC10" s="310">
        <v>4700</v>
      </c>
      <c r="AD10" s="227">
        <v>5000</v>
      </c>
      <c r="AE10">
        <v>5300</v>
      </c>
      <c r="AF10">
        <v>5600</v>
      </c>
      <c r="AG10" s="46">
        <v>99999</v>
      </c>
      <c r="AH10" s="167"/>
      <c r="AI10" s="168"/>
      <c r="AK10" s="167"/>
      <c r="AL10" s="168"/>
      <c r="AN10" s="167"/>
      <c r="AO10" s="168"/>
      <c r="AS10" s="150"/>
      <c r="AT10" s="150"/>
      <c r="AU10" s="150"/>
      <c r="AV10" s="167"/>
      <c r="AW10" s="168"/>
    </row>
    <row r="11" spans="1:55" ht="15" customHeight="1">
      <c r="A11">
        <v>10</v>
      </c>
      <c r="B11" s="247">
        <v>3370</v>
      </c>
      <c r="C11" s="310">
        <v>3370</v>
      </c>
      <c r="D11" s="227">
        <v>3600</v>
      </c>
      <c r="E11">
        <v>3800</v>
      </c>
      <c r="F11">
        <v>4200</v>
      </c>
      <c r="G11" s="46">
        <v>99999</v>
      </c>
      <c r="H11" s="167"/>
      <c r="J11" s="167"/>
      <c r="K11" s="168"/>
      <c r="N11">
        <v>10</v>
      </c>
      <c r="O11" s="247"/>
      <c r="P11" s="227"/>
      <c r="S11" s="46">
        <v>99999</v>
      </c>
      <c r="T11" s="167"/>
      <c r="U11" s="168"/>
      <c r="W11" s="167"/>
      <c r="X11" s="168"/>
      <c r="AA11">
        <v>10</v>
      </c>
      <c r="AB11" s="247">
        <v>5000</v>
      </c>
      <c r="AC11" s="310">
        <v>5000</v>
      </c>
      <c r="AD11" s="227">
        <v>5300</v>
      </c>
      <c r="AE11">
        <v>5600</v>
      </c>
      <c r="AF11">
        <v>6000</v>
      </c>
      <c r="AG11" s="46">
        <v>99999</v>
      </c>
      <c r="AH11" s="167"/>
      <c r="AI11" s="168"/>
      <c r="AK11" s="167"/>
      <c r="AL11" s="168"/>
      <c r="AN11" s="167"/>
      <c r="AO11" s="168"/>
      <c r="AS11" s="150"/>
      <c r="AT11" s="150"/>
      <c r="AU11" s="150"/>
      <c r="AV11" s="167"/>
      <c r="AW11" s="168"/>
    </row>
    <row r="12" spans="1:55" ht="15" customHeight="1">
      <c r="A12">
        <v>20</v>
      </c>
      <c r="B12" s="247">
        <v>3570</v>
      </c>
      <c r="C12" s="310">
        <v>3570</v>
      </c>
      <c r="D12" s="227">
        <v>3800</v>
      </c>
      <c r="E12">
        <v>4150</v>
      </c>
      <c r="F12">
        <v>4700</v>
      </c>
      <c r="G12" s="46">
        <v>99999</v>
      </c>
      <c r="H12" s="167"/>
      <c r="J12" s="167"/>
      <c r="K12" s="168"/>
      <c r="N12">
        <v>20</v>
      </c>
      <c r="O12" s="247"/>
      <c r="P12" s="227"/>
      <c r="S12" s="46">
        <v>99999</v>
      </c>
      <c r="T12" s="167"/>
      <c r="U12" s="168"/>
      <c r="W12" s="167"/>
      <c r="X12" s="168"/>
      <c r="AA12">
        <v>20</v>
      </c>
      <c r="AB12" s="247">
        <v>5300</v>
      </c>
      <c r="AC12" s="310">
        <v>5300</v>
      </c>
      <c r="AD12" s="227">
        <v>5600</v>
      </c>
      <c r="AE12">
        <v>6000</v>
      </c>
      <c r="AF12">
        <v>6400</v>
      </c>
      <c r="AG12" s="46">
        <v>99999</v>
      </c>
      <c r="AH12" s="167"/>
      <c r="AI12" s="168"/>
      <c r="AK12" s="167"/>
      <c r="AL12" s="168"/>
      <c r="AN12" s="167"/>
      <c r="AO12" s="168"/>
      <c r="AS12" s="150"/>
      <c r="AT12" s="150"/>
      <c r="AU12" s="150"/>
      <c r="AV12" s="167"/>
      <c r="AW12" s="168"/>
    </row>
    <row r="13" spans="1:55" ht="15" customHeight="1">
      <c r="A13">
        <v>30</v>
      </c>
      <c r="B13" s="247">
        <v>3800</v>
      </c>
      <c r="C13" s="310">
        <v>3800</v>
      </c>
      <c r="D13" s="227">
        <v>4200</v>
      </c>
      <c r="E13">
        <v>4600</v>
      </c>
      <c r="F13">
        <v>5300</v>
      </c>
      <c r="G13" s="46">
        <v>99999</v>
      </c>
      <c r="H13" s="167"/>
      <c r="J13" s="167"/>
      <c r="K13" s="168"/>
      <c r="O13" s="247"/>
      <c r="P13" s="227"/>
      <c r="S13" s="46"/>
      <c r="T13" s="167"/>
      <c r="U13" s="168"/>
      <c r="W13" s="167"/>
      <c r="X13" s="168"/>
      <c r="AA13">
        <v>30</v>
      </c>
      <c r="AB13" s="247">
        <v>5600</v>
      </c>
      <c r="AC13" s="310">
        <v>5600</v>
      </c>
      <c r="AD13" s="227">
        <v>6000</v>
      </c>
      <c r="AE13">
        <v>6600</v>
      </c>
      <c r="AF13">
        <v>7500</v>
      </c>
      <c r="AG13" s="46">
        <v>99999</v>
      </c>
      <c r="AH13" s="167"/>
      <c r="AI13" s="168"/>
      <c r="AK13" s="167"/>
      <c r="AL13" s="168"/>
      <c r="AN13" s="167"/>
      <c r="AO13" s="168"/>
      <c r="AS13" s="150"/>
      <c r="AT13" s="150"/>
      <c r="AU13" s="150"/>
      <c r="AV13" s="167"/>
      <c r="AW13" s="168"/>
    </row>
    <row r="14" spans="1:55" ht="15" customHeight="1">
      <c r="A14">
        <v>40</v>
      </c>
      <c r="B14" s="247">
        <v>4400</v>
      </c>
      <c r="C14" s="310">
        <v>4400</v>
      </c>
      <c r="D14" s="227">
        <v>5000</v>
      </c>
      <c r="E14">
        <v>5600</v>
      </c>
      <c r="F14">
        <v>6800</v>
      </c>
      <c r="G14" s="46">
        <v>99999</v>
      </c>
      <c r="H14" s="167"/>
      <c r="J14" s="167"/>
      <c r="K14" s="168"/>
      <c r="N14">
        <v>30</v>
      </c>
      <c r="O14" s="247"/>
      <c r="P14" s="227"/>
      <c r="S14" s="46">
        <v>99999</v>
      </c>
      <c r="T14" s="167"/>
      <c r="U14" s="168"/>
      <c r="W14" s="167"/>
      <c r="X14" s="168"/>
      <c r="AA14">
        <v>40</v>
      </c>
      <c r="AB14" s="247">
        <v>6400</v>
      </c>
      <c r="AC14" s="310">
        <v>6400</v>
      </c>
      <c r="AD14" s="227">
        <v>7200</v>
      </c>
      <c r="AE14">
        <v>8100</v>
      </c>
      <c r="AF14">
        <v>9200</v>
      </c>
      <c r="AG14" s="46">
        <v>99999</v>
      </c>
      <c r="AH14" s="167"/>
      <c r="AI14" s="168"/>
      <c r="AK14" s="167"/>
      <c r="AL14" s="168"/>
      <c r="AN14" s="167"/>
      <c r="AO14" s="168"/>
      <c r="AS14" s="150"/>
      <c r="AT14" s="150"/>
      <c r="AU14" s="150"/>
      <c r="AV14" s="167"/>
      <c r="AW14" s="168"/>
    </row>
    <row r="15" spans="1:55" ht="15" customHeight="1">
      <c r="A15">
        <v>35</v>
      </c>
      <c r="B15" s="242">
        <v>99999</v>
      </c>
      <c r="C15" s="248">
        <v>99999</v>
      </c>
      <c r="D15" s="243">
        <v>99999</v>
      </c>
      <c r="E15" s="243">
        <v>99999</v>
      </c>
      <c r="F15" s="243">
        <v>99999</v>
      </c>
      <c r="G15" s="251">
        <v>99999</v>
      </c>
      <c r="H15" s="167"/>
      <c r="J15" s="167"/>
      <c r="K15" s="168"/>
      <c r="N15">
        <v>35</v>
      </c>
      <c r="O15" s="242">
        <v>99999</v>
      </c>
      <c r="P15" s="243">
        <v>99999</v>
      </c>
      <c r="Q15" s="243">
        <v>99999</v>
      </c>
      <c r="R15" s="243">
        <v>99999</v>
      </c>
      <c r="S15" s="251">
        <v>99999</v>
      </c>
      <c r="T15" s="167"/>
      <c r="U15" s="168"/>
      <c r="W15" s="167"/>
      <c r="X15" s="168"/>
      <c r="AA15">
        <v>45</v>
      </c>
      <c r="AB15" s="242">
        <v>99999</v>
      </c>
      <c r="AC15" s="248">
        <v>99999</v>
      </c>
      <c r="AD15" s="243">
        <v>99999</v>
      </c>
      <c r="AE15" s="243">
        <v>99999</v>
      </c>
      <c r="AF15" s="243">
        <v>99999</v>
      </c>
      <c r="AG15" s="251">
        <v>99999</v>
      </c>
      <c r="AH15" s="167"/>
      <c r="AI15" s="168"/>
      <c r="AK15" s="167"/>
      <c r="AL15" s="168"/>
      <c r="AN15" s="167"/>
      <c r="AO15" s="168"/>
      <c r="AS15" s="150"/>
      <c r="AT15" s="150"/>
      <c r="AU15" s="150"/>
      <c r="AV15" s="167"/>
      <c r="AW15" s="168"/>
    </row>
    <row r="16" spans="1:55" ht="15" customHeight="1">
      <c r="B16" s="167"/>
      <c r="C16" s="168"/>
      <c r="G16" s="150"/>
      <c r="H16" s="150"/>
      <c r="I16" s="150"/>
      <c r="J16" s="167"/>
      <c r="K16" s="168"/>
      <c r="O16" s="167"/>
      <c r="P16" s="168"/>
      <c r="T16" s="150"/>
      <c r="U16" s="150"/>
      <c r="V16" s="150"/>
      <c r="W16" s="167"/>
      <c r="X16" s="168"/>
      <c r="Z16" s="167"/>
      <c r="AB16" s="167"/>
      <c r="AC16" s="168"/>
      <c r="AG16" s="150"/>
      <c r="AH16" s="150"/>
      <c r="AI16" s="150"/>
      <c r="AJ16" s="167"/>
      <c r="AK16" s="168"/>
      <c r="AM16" s="150"/>
      <c r="AN16" s="150"/>
      <c r="AO16" s="150"/>
      <c r="AP16" s="167"/>
      <c r="AQ16" s="168"/>
      <c r="AU16" s="150"/>
      <c r="AV16" s="150"/>
      <c r="AW16" s="150"/>
      <c r="AX16" s="167"/>
      <c r="AY16" s="168"/>
    </row>
    <row r="17" spans="1:53" ht="15" customHeight="1">
      <c r="B17" s="167" t="s">
        <v>150</v>
      </c>
      <c r="C17" s="168">
        <f ca="1">D1</f>
        <v>200</v>
      </c>
      <c r="D17" s="299" t="s">
        <v>202</v>
      </c>
      <c r="E17" s="299"/>
      <c r="G17" s="150"/>
      <c r="H17" s="150"/>
      <c r="I17" s="150"/>
      <c r="J17" s="167"/>
      <c r="K17" s="168"/>
      <c r="L17" s="92"/>
      <c r="O17" s="167" t="s">
        <v>150</v>
      </c>
      <c r="P17" s="168">
        <f ca="1">D1</f>
        <v>200</v>
      </c>
      <c r="Q17" s="299" t="s">
        <v>202</v>
      </c>
      <c r="R17" s="299"/>
      <c r="T17" s="150"/>
      <c r="U17" s="150"/>
      <c r="V17" s="150"/>
      <c r="W17" s="167"/>
      <c r="X17" s="168"/>
      <c r="Y17" s="92"/>
      <c r="Z17" s="167"/>
      <c r="AB17" s="167" t="s">
        <v>150</v>
      </c>
      <c r="AC17" s="168">
        <f ca="1">D1</f>
        <v>200</v>
      </c>
      <c r="AD17" s="299" t="s">
        <v>202</v>
      </c>
      <c r="AE17" s="299"/>
      <c r="AG17" s="150"/>
      <c r="AH17" s="150"/>
      <c r="AI17" s="150"/>
      <c r="AJ17" s="167"/>
      <c r="AK17" s="168"/>
      <c r="AL17" s="92"/>
      <c r="AM17" s="150"/>
      <c r="AN17" s="150"/>
      <c r="AO17" s="150"/>
      <c r="AP17" s="167"/>
      <c r="AQ17" s="168"/>
      <c r="AR17" s="299"/>
      <c r="AS17" s="299"/>
      <c r="AU17" s="150"/>
      <c r="AV17" s="150"/>
      <c r="AW17" s="150"/>
      <c r="AX17" s="167"/>
      <c r="AY17" s="168"/>
      <c r="AZ17" s="299"/>
      <c r="BA17" s="299"/>
    </row>
    <row r="18" spans="1:53" ht="15" customHeight="1">
      <c r="B18" s="38" t="s">
        <v>203</v>
      </c>
      <c r="C18" s="169">
        <f t="array" aca="1" ref="C18" ca="1">INDEX(B5:G5,MATCH(C17,B5:G5,1))</f>
        <v>0</v>
      </c>
      <c r="D18" s="38" t="s">
        <v>148</v>
      </c>
      <c r="E18" s="39">
        <f>MATCH(MAX(A6:A15),A6:A15,1)</f>
        <v>9</v>
      </c>
      <c r="G18" s="150"/>
      <c r="H18" s="150"/>
      <c r="I18" s="150"/>
      <c r="J18" s="38"/>
      <c r="K18" s="169"/>
      <c r="L18" s="38"/>
      <c r="M18" s="39"/>
      <c r="O18" s="38" t="s">
        <v>203</v>
      </c>
      <c r="P18" s="169">
        <f t="array" aca="1" ref="P18" ca="1">INDEX(O5:S5,MATCH(P17,O5:S5,1))</f>
        <v>0</v>
      </c>
      <c r="Q18" s="38" t="s">
        <v>148</v>
      </c>
      <c r="R18" s="39">
        <f>MATCH(MAX(N6:N15),N6:N15,1)</f>
        <v>10</v>
      </c>
      <c r="T18" s="150"/>
      <c r="U18" s="150"/>
      <c r="V18" s="150"/>
      <c r="W18" s="38"/>
      <c r="X18" s="169"/>
      <c r="Y18" s="38"/>
      <c r="Z18" s="38"/>
      <c r="AB18" s="38" t="s">
        <v>203</v>
      </c>
      <c r="AC18" s="169">
        <f t="array" aca="1" ref="AC18" ca="1">INDEX(AB5:AG5,MATCH(AC17,AB5:AG5,1))</f>
        <v>0</v>
      </c>
      <c r="AD18" s="38" t="s">
        <v>148</v>
      </c>
      <c r="AE18" s="39">
        <f>MATCH(MAX(AA6:AA15),AA6:AA15,1)</f>
        <v>10</v>
      </c>
      <c r="AG18" s="150"/>
      <c r="AH18" s="150"/>
      <c r="AI18" s="150"/>
      <c r="AJ18" s="38"/>
      <c r="AK18" s="169"/>
      <c r="AL18" s="38"/>
      <c r="AM18" s="150"/>
      <c r="AN18" s="150"/>
      <c r="AO18" s="150"/>
      <c r="AP18" s="38"/>
      <c r="AQ18" s="169"/>
      <c r="AR18" s="38"/>
      <c r="AS18" s="39"/>
      <c r="AU18" s="150"/>
      <c r="AV18" s="150"/>
      <c r="AW18" s="150"/>
      <c r="AX18" s="38"/>
      <c r="AY18" s="169"/>
      <c r="AZ18" s="38"/>
      <c r="BA18" s="39"/>
    </row>
    <row r="19" spans="1:53" ht="15" customHeight="1">
      <c r="B19" s="38" t="s">
        <v>204</v>
      </c>
      <c r="C19" s="169">
        <f t="array" aca="1" ref="C19" ca="1">INDEX(B5:G5,IF(MATCH(C17,B5:G5,1)&lt;E19,MATCH(C17,B5:G5,1)+1,MATCH(C17,B5:G5,1)))</f>
        <v>1000</v>
      </c>
      <c r="D19" s="38" t="s">
        <v>149</v>
      </c>
      <c r="E19" s="39">
        <f>MATCH(MAX(B5:G5),B5:G5,0)</f>
        <v>6</v>
      </c>
      <c r="G19" s="150"/>
      <c r="H19" s="150"/>
      <c r="I19" s="150"/>
      <c r="J19" s="38"/>
      <c r="K19" s="169"/>
      <c r="L19" s="38"/>
      <c r="M19" s="39"/>
      <c r="O19" s="38" t="s">
        <v>204</v>
      </c>
      <c r="P19" s="169">
        <f t="array" aca="1" ref="P19" ca="1">INDEX(O5:S5,IF(MATCH(P17,O5:S5,1)&lt;R19,MATCH(P17,O5:S5,1)+1,MATCH(P17,O5:S5,1)))</f>
        <v>1000</v>
      </c>
      <c r="Q19" s="38" t="s">
        <v>149</v>
      </c>
      <c r="R19" s="39">
        <f>MATCH(MAX(O5:S5),O5:S5,0)</f>
        <v>5</v>
      </c>
      <c r="T19" s="150"/>
      <c r="U19" s="150"/>
      <c r="V19" s="150"/>
      <c r="W19" s="38"/>
      <c r="X19" s="169"/>
      <c r="Y19" s="38"/>
      <c r="Z19" s="38"/>
      <c r="AB19" s="38" t="s">
        <v>204</v>
      </c>
      <c r="AC19" s="169">
        <f t="array" aca="1" ref="AC19" ca="1">INDEX(AB5:AG5,IF(MATCH(AC17,AB5:AG5,1)&lt;AE19,MATCH(AC17,AB5:AG5,1)+1,MATCH(AC17,AB5:AG5,1)))</f>
        <v>1000</v>
      </c>
      <c r="AD19" s="38" t="s">
        <v>149</v>
      </c>
      <c r="AE19" s="39">
        <f>MATCH(MAX(AB5:AG5),AB5:AG5,0)</f>
        <v>6</v>
      </c>
      <c r="AG19" s="150"/>
      <c r="AH19" s="150"/>
      <c r="AI19" s="150"/>
      <c r="AJ19" s="38"/>
      <c r="AK19" s="169"/>
      <c r="AL19" s="38"/>
      <c r="AM19" s="150"/>
      <c r="AN19" s="150"/>
      <c r="AO19" s="150"/>
      <c r="AP19" s="38"/>
      <c r="AQ19" s="169"/>
      <c r="AR19" s="38"/>
      <c r="AS19" s="39"/>
      <c r="AU19" s="150"/>
      <c r="AV19" s="150"/>
      <c r="AW19" s="150"/>
      <c r="AX19" s="38"/>
      <c r="AY19" s="169"/>
      <c r="AZ19" s="38"/>
      <c r="BA19" s="39"/>
    </row>
    <row r="20" spans="1:53" ht="15" customHeight="1">
      <c r="B20" s="167" t="s">
        <v>151</v>
      </c>
      <c r="C20" s="213">
        <f ca="1">D2</f>
        <v>0</v>
      </c>
      <c r="D20" s="150"/>
      <c r="E20" s="150"/>
      <c r="G20" s="150"/>
      <c r="H20" s="150"/>
      <c r="I20" s="150"/>
      <c r="J20" s="167"/>
      <c r="K20" s="213"/>
      <c r="L20" s="150"/>
      <c r="M20" s="150"/>
      <c r="O20" s="167" t="s">
        <v>151</v>
      </c>
      <c r="P20" s="213">
        <f ca="1">D2</f>
        <v>0</v>
      </c>
      <c r="Q20" s="150"/>
      <c r="R20" s="150"/>
      <c r="T20" s="150"/>
      <c r="U20" s="150"/>
      <c r="V20" s="150"/>
      <c r="W20" s="167"/>
      <c r="X20" s="213"/>
      <c r="Y20" s="150"/>
      <c r="Z20" s="167"/>
      <c r="AB20" s="167" t="s">
        <v>151</v>
      </c>
      <c r="AC20" s="213">
        <f ca="1">D2</f>
        <v>0</v>
      </c>
      <c r="AD20" s="150"/>
      <c r="AE20" s="150"/>
      <c r="AG20" s="150"/>
      <c r="AH20" s="150"/>
      <c r="AI20" s="150"/>
      <c r="AJ20" s="167"/>
      <c r="AK20" s="213"/>
      <c r="AL20" s="150"/>
      <c r="AM20" s="150"/>
      <c r="AN20" s="150"/>
      <c r="AO20" s="150"/>
      <c r="AP20" s="167"/>
      <c r="AQ20" s="213"/>
      <c r="AR20" s="150"/>
      <c r="AS20" s="150"/>
      <c r="AU20" s="150"/>
      <c r="AV20" s="150"/>
      <c r="AW20" s="150"/>
      <c r="AX20" s="167"/>
      <c r="AY20" s="213"/>
      <c r="AZ20" s="150"/>
      <c r="BA20" s="150"/>
    </row>
    <row r="21" spans="1:53" ht="15" customHeight="1">
      <c r="B21" s="38" t="s">
        <v>152</v>
      </c>
      <c r="C21" s="169">
        <f t="array" aca="1" ref="C21" ca="1">INDEX(A6:A15,MATCH(C20,A6:A15,1))</f>
        <v>0</v>
      </c>
      <c r="D21" s="150"/>
      <c r="E21" s="73"/>
      <c r="G21" s="150"/>
      <c r="H21" s="150"/>
      <c r="I21" s="150"/>
      <c r="J21" s="38"/>
      <c r="K21" s="169"/>
      <c r="L21" s="150"/>
      <c r="M21" s="73"/>
      <c r="O21" s="38" t="s">
        <v>152</v>
      </c>
      <c r="P21" s="169">
        <f t="array" aca="1" ref="P21" ca="1">INDEX(N6:N15,MATCH(P20,N6:N15,1))</f>
        <v>0</v>
      </c>
      <c r="Q21" s="150"/>
      <c r="R21" s="73"/>
      <c r="T21" s="150"/>
      <c r="U21" s="150"/>
      <c r="V21" s="150"/>
      <c r="W21" s="38"/>
      <c r="X21" s="169"/>
      <c r="Y21" s="150"/>
      <c r="Z21" s="38"/>
      <c r="AB21" s="38" t="s">
        <v>152</v>
      </c>
      <c r="AC21" s="169">
        <f t="array" aca="1" ref="AC21" ca="1">INDEX(AA6:AA15,MATCH(AC20,AA6:AA15,1))</f>
        <v>0</v>
      </c>
      <c r="AD21" s="150"/>
      <c r="AE21" s="73"/>
      <c r="AG21" s="150"/>
      <c r="AH21" s="150"/>
      <c r="AI21" s="150"/>
      <c r="AJ21" s="38"/>
      <c r="AK21" s="169"/>
      <c r="AL21" s="150"/>
      <c r="AM21" s="150"/>
      <c r="AN21" s="150"/>
      <c r="AO21" s="150"/>
      <c r="AP21" s="38"/>
      <c r="AQ21" s="169"/>
      <c r="AR21" s="150"/>
      <c r="AS21" s="73"/>
      <c r="AU21" s="150"/>
      <c r="AV21" s="150"/>
      <c r="AW21" s="150"/>
      <c r="AX21" s="38"/>
      <c r="AY21" s="169"/>
      <c r="AZ21" s="150"/>
      <c r="BA21" s="73"/>
    </row>
    <row r="22" spans="1:53" ht="15" customHeight="1">
      <c r="B22" s="38" t="s">
        <v>153</v>
      </c>
      <c r="C22" s="169">
        <f t="array" aca="1" ref="C22" ca="1">INDEX(A6:A15,IF(MATCH(C20,A6:A15,1)&lt;E18,MATCH(C20,A6:A15,1)+1,MATCH(C20,A6:A15,1)))</f>
        <v>10</v>
      </c>
      <c r="D22" s="150"/>
      <c r="E22" s="73"/>
      <c r="G22" s="150"/>
      <c r="H22" s="150"/>
      <c r="I22" s="150"/>
      <c r="J22" s="38"/>
      <c r="K22" s="169"/>
      <c r="L22" s="150"/>
      <c r="M22" s="73"/>
      <c r="O22" s="38" t="s">
        <v>153</v>
      </c>
      <c r="P22" s="169">
        <f t="array" aca="1" ref="P22" ca="1">INDEX(N6:N15,IF(MATCH(P20,N6:N15,1)&lt;R18,MATCH(P20,N6:N15,1)+1,MATCH(P20,N6:N15,1)))</f>
        <v>10</v>
      </c>
      <c r="Q22" s="150"/>
      <c r="R22" s="73"/>
      <c r="T22" s="150"/>
      <c r="U22" s="150"/>
      <c r="V22" s="150"/>
      <c r="W22" s="38"/>
      <c r="X22" s="169"/>
      <c r="Y22" s="150"/>
      <c r="Z22" s="38"/>
      <c r="AB22" s="38" t="s">
        <v>153</v>
      </c>
      <c r="AC22" s="169">
        <f t="array" aca="1" ref="AC22" ca="1">INDEX(AA6:AA15,IF(MATCH(AC20,AA6:AA15,1)&lt;AE18,MATCH(AC20,AA6:AA15,1)+1,MATCH(AC20,AA6:AA15,1)))</f>
        <v>10</v>
      </c>
      <c r="AD22" s="150"/>
      <c r="AE22" s="73"/>
      <c r="AG22" s="150"/>
      <c r="AH22" s="150"/>
      <c r="AI22" s="150"/>
      <c r="AJ22" s="38"/>
      <c r="AK22" s="169"/>
      <c r="AL22" s="150"/>
      <c r="AM22" s="150"/>
      <c r="AN22" s="150"/>
      <c r="AO22" s="150"/>
      <c r="AP22" s="38"/>
      <c r="AQ22" s="169"/>
      <c r="AR22" s="150"/>
      <c r="AS22" s="73"/>
      <c r="AU22" s="150"/>
      <c r="AV22" s="150"/>
      <c r="AW22" s="150"/>
      <c r="AX22" s="38"/>
      <c r="AY22" s="169"/>
      <c r="AZ22" s="150"/>
      <c r="BA22" s="73"/>
    </row>
    <row r="23" spans="1:53" ht="15" customHeight="1">
      <c r="B23" s="167" t="s">
        <v>154</v>
      </c>
      <c r="C23" s="168">
        <f t="array" aca="1" ref="C23" ca="1">INDEX(B6:G15,MATCH(C20,A6:A15,1),MATCH(C17,B5:G5,1))</f>
        <v>3200</v>
      </c>
      <c r="D23" s="150"/>
      <c r="E23" s="73"/>
      <c r="G23" s="150"/>
      <c r="H23" s="150"/>
      <c r="I23" s="150"/>
      <c r="J23" s="167"/>
      <c r="K23" s="168"/>
      <c r="L23" s="150"/>
      <c r="M23" s="73"/>
      <c r="O23" s="167" t="s">
        <v>154</v>
      </c>
      <c r="P23" s="168">
        <f ca="1">INDEX(O6:S15,MATCH(P20,N6:N15,1),MATCH(P17,O5:S5,1))</f>
        <v>0</v>
      </c>
      <c r="Q23" s="150"/>
      <c r="R23" s="73"/>
      <c r="T23" s="150"/>
      <c r="U23" s="150"/>
      <c r="V23" s="150"/>
      <c r="W23" s="167"/>
      <c r="X23" s="168"/>
      <c r="Y23" s="150"/>
      <c r="Z23" s="167"/>
      <c r="AB23" s="167" t="s">
        <v>154</v>
      </c>
      <c r="AC23" s="168">
        <f t="array" aca="1" ref="AC23" ca="1">INDEX(AB6:AG15,MATCH(AC20,AA6:AA15,1),MATCH(AC17,AB5:AG5,1))</f>
        <v>4700</v>
      </c>
      <c r="AD23" s="150"/>
      <c r="AE23" s="73"/>
      <c r="AG23" s="150"/>
      <c r="AH23" s="150"/>
      <c r="AI23" s="150"/>
      <c r="AJ23" s="167"/>
      <c r="AK23" s="168"/>
      <c r="AL23" s="150"/>
      <c r="AM23" s="150"/>
      <c r="AN23" s="150"/>
      <c r="AO23" s="150"/>
      <c r="AP23" s="167"/>
      <c r="AQ23" s="168"/>
      <c r="AR23" s="150"/>
      <c r="AS23" s="73"/>
      <c r="AU23" s="150"/>
      <c r="AV23" s="150"/>
      <c r="AW23" s="150"/>
      <c r="AX23" s="167"/>
      <c r="AY23" s="168"/>
      <c r="AZ23" s="150"/>
      <c r="BA23" s="73"/>
    </row>
    <row r="24" spans="1:53" ht="15" customHeight="1">
      <c r="B24" s="167" t="s">
        <v>205</v>
      </c>
      <c r="C24" s="168">
        <f t="array" aca="1" ref="C24" ca="1">INDEX(B6:G15,MATCH(C20,A6:A15,1),IF(MATCH(C17,B5:G5,1)&lt;E19,MATCH(C17,B5:G5,1)+1,MATCH(C20,A6:A15,1)))</f>
        <v>3400</v>
      </c>
      <c r="E24" s="73"/>
      <c r="G24" s="150"/>
      <c r="H24" s="150"/>
      <c r="I24" s="150"/>
      <c r="J24" s="167"/>
      <c r="K24" s="168"/>
      <c r="M24" s="73"/>
      <c r="O24" s="167" t="s">
        <v>205</v>
      </c>
      <c r="P24" s="168">
        <f ca="1">INDEX(O6:S15,MATCH(P20,N6:N15,1),IF(MATCH(P17,O5:S5,1)&lt;R19,MATCH(P17,O5:S5,1)+1,MATCH(P20,N6:N15,1)))</f>
        <v>0</v>
      </c>
      <c r="R24" s="73"/>
      <c r="T24" s="150"/>
      <c r="U24" s="150"/>
      <c r="V24" s="150"/>
      <c r="W24" s="167"/>
      <c r="X24" s="168"/>
      <c r="Z24" s="167"/>
      <c r="AB24" s="167" t="s">
        <v>205</v>
      </c>
      <c r="AC24" s="168">
        <f t="array" aca="1" ref="AC24" ca="1">INDEX(AB6:AG15,MATCH(AC20,AA6:AA15,1),IF(MATCH(AC17,AB5:AG5,1)&lt;AE19,MATCH(AC17,AB5:AG5,1)+1,MATCH(AC20,AA6:AA15,1)))</f>
        <v>5000</v>
      </c>
      <c r="AE24" s="73"/>
      <c r="AG24" s="150"/>
      <c r="AH24" s="150"/>
      <c r="AI24" s="150"/>
      <c r="AJ24" s="167"/>
      <c r="AK24" s="168"/>
      <c r="AM24" s="150"/>
      <c r="AN24" s="150"/>
      <c r="AO24" s="150"/>
      <c r="AP24" s="167"/>
      <c r="AQ24" s="168"/>
      <c r="AS24" s="73"/>
      <c r="AU24" s="150"/>
      <c r="AV24" s="150"/>
      <c r="AW24" s="150"/>
      <c r="AX24" s="167"/>
      <c r="AY24" s="168"/>
      <c r="BA24" s="73"/>
    </row>
    <row r="25" spans="1:53" ht="15" customHeight="1">
      <c r="B25" s="167" t="s">
        <v>155</v>
      </c>
      <c r="C25" s="168">
        <f t="array" aca="1" ref="C25" ca="1">INDEX(B6:G15,IF(MATCH(C20,A6:A15,1)&lt;E18,MATCH(C20,A6:A15,1)+1,MATCH(C20,A6:A15,1)),MATCH(C17,B5:G5,1))</f>
        <v>3370</v>
      </c>
      <c r="E25" s="73"/>
      <c r="G25" s="150"/>
      <c r="H25" s="150"/>
      <c r="I25" s="150"/>
      <c r="J25" s="167"/>
      <c r="K25" s="168"/>
      <c r="M25" s="73"/>
      <c r="O25" s="167" t="s">
        <v>155</v>
      </c>
      <c r="P25" s="168">
        <f ca="1">INDEX(O6:S15,IF(MATCH(P20,N6:N15,1)&lt;R18,MATCH(P20,N6:N15,1)+1,MATCH(P20,N6:N15,1)),MATCH(P17,O5:S5,1))</f>
        <v>0</v>
      </c>
      <c r="R25" s="73"/>
      <c r="T25" s="150"/>
      <c r="U25" s="150"/>
      <c r="V25" s="150"/>
      <c r="W25" s="167"/>
      <c r="X25" s="168"/>
      <c r="Z25" s="167"/>
      <c r="AB25" s="167" t="s">
        <v>155</v>
      </c>
      <c r="AC25" s="168">
        <f t="array" aca="1" ref="AC25" ca="1">INDEX(AB6:AG15,IF(MATCH(AC20,AA6:AA15,1)&lt;AE18,MATCH(AC20,AA6:AA15,1)+1,MATCH(AC20,AA6:AA15,1)),MATCH(AC17,AB5:AG5,1))</f>
        <v>5000</v>
      </c>
      <c r="AE25" s="73"/>
      <c r="AG25" s="150"/>
      <c r="AH25" s="150"/>
      <c r="AI25" s="150"/>
      <c r="AJ25" s="167"/>
      <c r="AK25" s="168"/>
      <c r="AM25" s="150"/>
      <c r="AN25" s="150"/>
      <c r="AO25" s="150"/>
      <c r="AP25" s="167"/>
      <c r="AQ25" s="168"/>
      <c r="AS25" s="73"/>
      <c r="AU25" s="150"/>
      <c r="AV25" s="150"/>
      <c r="AW25" s="150"/>
      <c r="AX25" s="167"/>
      <c r="AY25" s="168"/>
      <c r="BA25" s="73"/>
    </row>
    <row r="26" spans="1:53" ht="15" customHeight="1">
      <c r="B26" s="167" t="s">
        <v>206</v>
      </c>
      <c r="C26" s="168">
        <f t="array" aca="1" ref="C26" ca="1">INDEX(B6:G15,IF(MATCH(C20,A6:A15,1)&lt;E18,MATCH(C20,A6:A15,1)+1,MATCH(C20,A6:A15,1)),IF(MATCH(C17,B5:G5,1)&lt;E19,MATCH(C17,B5:G5,1)+1,MATCH(C17,B5:G5,1)))</f>
        <v>3600</v>
      </c>
      <c r="G26" s="150"/>
      <c r="H26" s="150"/>
      <c r="I26" s="150"/>
      <c r="J26" s="167"/>
      <c r="K26" s="168"/>
      <c r="O26" s="167" t="s">
        <v>206</v>
      </c>
      <c r="P26" s="168">
        <f ca="1">INDEX(O6:S15,IF(MATCH(P20,N6:N15,1)&lt;R18,MATCH(P20,N6:N15,1)+1,MATCH(P20,N6:N15,1)),IF(MATCH(P17,O5:S5,1)&lt;R19,MATCH(P17,O5:S5,1)+1,MATCH(P17,O5:S5,1)))</f>
        <v>0</v>
      </c>
      <c r="T26" s="150"/>
      <c r="U26" s="150"/>
      <c r="V26" s="150"/>
      <c r="W26" s="167"/>
      <c r="X26" s="168"/>
      <c r="Z26" s="167"/>
      <c r="AB26" s="167" t="s">
        <v>206</v>
      </c>
      <c r="AC26" s="168">
        <f t="array" aca="1" ref="AC26" ca="1">INDEX(AB6:AG15,IF(MATCH(AC20,AA6:AA15,1)&lt;AE18,MATCH(AC20,AA6:AA15,1)+1,MATCH(AC20,AA6:AA15,1)),IF(MATCH(AC17,AB5:AG5,1)&lt;AE19,MATCH(AC17,AB5:AG5,1)+1,MATCH(AC17,AB5:AG5,1)))</f>
        <v>5300</v>
      </c>
      <c r="AG26" s="150"/>
      <c r="AH26" s="150"/>
      <c r="AI26" s="150"/>
      <c r="AJ26" s="167"/>
      <c r="AK26" s="168"/>
      <c r="AM26" s="150"/>
      <c r="AN26" s="150"/>
      <c r="AO26" s="150"/>
      <c r="AP26" s="167"/>
      <c r="AQ26" s="168"/>
      <c r="AU26" s="150"/>
      <c r="AV26" s="150"/>
      <c r="AW26" s="150"/>
      <c r="AX26" s="167"/>
      <c r="AY26" s="168"/>
    </row>
    <row r="27" spans="1:53" ht="15" customHeight="1">
      <c r="B27" s="38" t="s">
        <v>207</v>
      </c>
      <c r="C27" s="169">
        <f ca="1">IFERROR(C23+(C17-C18)*(C24-C23)/(C19-C18),C23)</f>
        <v>3240</v>
      </c>
      <c r="G27" s="150"/>
      <c r="H27" s="150"/>
      <c r="I27" s="150"/>
      <c r="J27" s="38"/>
      <c r="K27" s="169"/>
      <c r="O27" s="38" t="s">
        <v>207</v>
      </c>
      <c r="P27" s="169">
        <f ca="1">IFERROR(P23+(P17-P18)*(P24-P23)/(P19-P18),P23)</f>
        <v>0</v>
      </c>
      <c r="T27" s="150"/>
      <c r="U27" s="150"/>
      <c r="V27" s="150"/>
      <c r="W27" s="38"/>
      <c r="X27" s="169"/>
      <c r="Z27" s="38"/>
      <c r="AB27" s="38" t="s">
        <v>207</v>
      </c>
      <c r="AC27" s="169">
        <f ca="1">IFERROR(AC23+(AC17-AC18)*(AC24-AC23)/(AC19-AC18),AC23)</f>
        <v>4760</v>
      </c>
      <c r="AG27" s="150"/>
      <c r="AH27" s="150"/>
      <c r="AI27" s="150"/>
      <c r="AJ27" s="38"/>
      <c r="AK27" s="169"/>
      <c r="AM27" s="150"/>
      <c r="AN27" s="150"/>
      <c r="AO27" s="150"/>
      <c r="AP27" s="38"/>
      <c r="AQ27" s="169"/>
      <c r="AU27" s="150"/>
      <c r="AV27" s="150"/>
      <c r="AW27" s="150"/>
      <c r="AX27" s="38"/>
      <c r="AY27" s="169"/>
    </row>
    <row r="28" spans="1:53" ht="15" customHeight="1">
      <c r="B28" s="38" t="s">
        <v>208</v>
      </c>
      <c r="C28" s="169">
        <f ca="1">IFERROR(C25+(C17-C18)*(C26-C25)/(C19-C18),C25)</f>
        <v>3416</v>
      </c>
      <c r="G28" s="150"/>
      <c r="H28" s="150"/>
      <c r="I28" s="150"/>
      <c r="J28" s="38"/>
      <c r="K28" s="169"/>
      <c r="O28" s="38" t="s">
        <v>208</v>
      </c>
      <c r="P28" s="169">
        <f ca="1">IFERROR(P25+(P17-P18)*(P26-P25)/(P19-P18),P25)</f>
        <v>0</v>
      </c>
      <c r="T28" s="150"/>
      <c r="U28" s="150"/>
      <c r="V28" s="150"/>
      <c r="W28" s="38"/>
      <c r="X28" s="169"/>
      <c r="Z28" s="38"/>
      <c r="AB28" s="38" t="s">
        <v>208</v>
      </c>
      <c r="AC28" s="169">
        <f ca="1">IFERROR(AC25+(AC17-AC18)*(AC26-AC25)/(AC19-AC18),AC25)</f>
        <v>5060</v>
      </c>
      <c r="AG28" s="150"/>
      <c r="AH28" s="150"/>
      <c r="AI28" s="150"/>
      <c r="AJ28" s="38"/>
      <c r="AK28" s="169"/>
      <c r="AM28" s="150"/>
      <c r="AN28" s="150"/>
      <c r="AO28" s="150"/>
      <c r="AP28" s="38"/>
      <c r="AQ28" s="169"/>
      <c r="AU28" s="150"/>
      <c r="AV28" s="150"/>
      <c r="AW28" s="150"/>
      <c r="AX28" s="38"/>
      <c r="AY28" s="169"/>
    </row>
    <row r="29" spans="1:53" ht="15" customHeight="1">
      <c r="B29" s="167" t="s">
        <v>209</v>
      </c>
      <c r="C29" s="168">
        <f ca="1">IFERROR(C27+(C20-C21)*(C28-C27)/(C22-C21),C27)</f>
        <v>3240</v>
      </c>
      <c r="G29" s="150"/>
      <c r="H29" s="150"/>
      <c r="I29" s="150"/>
      <c r="J29" s="167"/>
      <c r="K29" s="168"/>
      <c r="O29" s="167" t="s">
        <v>209</v>
      </c>
      <c r="P29" s="168">
        <f ca="1">IFERROR(P27+(P20-P21)*(P28-P27)/(P22-P21),P27)</f>
        <v>0</v>
      </c>
      <c r="T29" s="150"/>
      <c r="U29" s="150"/>
      <c r="V29" s="150"/>
      <c r="W29" s="167"/>
      <c r="X29" s="168"/>
      <c r="Z29" s="167"/>
      <c r="AB29" s="167" t="s">
        <v>209</v>
      </c>
      <c r="AC29" s="168">
        <f ca="1">IFERROR(AC27+(AC20-AC21)*(AC28-AC27)/(AC22-AC21),AC27)</f>
        <v>4760</v>
      </c>
      <c r="AG29" s="150"/>
      <c r="AH29" s="150"/>
      <c r="AI29" s="150"/>
      <c r="AJ29" s="167"/>
      <c r="AK29" s="168"/>
      <c r="AM29" s="150"/>
      <c r="AN29" s="150"/>
      <c r="AO29" s="150"/>
      <c r="AP29" s="167"/>
      <c r="AQ29" s="168"/>
      <c r="AU29" s="150"/>
      <c r="AV29" s="150"/>
      <c r="AW29" s="150"/>
      <c r="AX29" s="167"/>
      <c r="AY29" s="168"/>
    </row>
    <row r="30" spans="1:53" ht="15.75" customHeight="1"/>
    <row r="31" spans="1:53" ht="15" customHeight="1">
      <c r="B31" s="299" t="s">
        <v>210</v>
      </c>
      <c r="C31" s="299"/>
      <c r="D31" s="299"/>
      <c r="E31" s="299"/>
      <c r="F31" s="299"/>
      <c r="G31" s="299"/>
      <c r="H31" s="92"/>
      <c r="I31" s="92"/>
      <c r="J31" s="92"/>
      <c r="K31" s="92"/>
      <c r="L31" s="92"/>
      <c r="M31" s="92"/>
      <c r="O31" s="299" t="s">
        <v>210</v>
      </c>
      <c r="P31" s="299"/>
      <c r="Q31" s="299"/>
      <c r="R31" s="299"/>
      <c r="S31" s="299"/>
      <c r="T31" s="299"/>
      <c r="U31" s="92"/>
      <c r="V31" s="92"/>
      <c r="W31" s="92"/>
      <c r="X31" s="92"/>
      <c r="Y31" s="92"/>
      <c r="AB31" s="299" t="s">
        <v>210</v>
      </c>
      <c r="AC31" s="299"/>
      <c r="AD31" s="299"/>
      <c r="AE31" s="299"/>
      <c r="AF31" s="299"/>
      <c r="AG31" s="299"/>
      <c r="AH31" s="92"/>
      <c r="AI31" s="92"/>
      <c r="AJ31" s="92"/>
      <c r="AK31" s="92"/>
      <c r="AL31" s="92"/>
    </row>
    <row r="32" spans="1:53" ht="15" customHeight="1">
      <c r="A32" t="s">
        <v>35</v>
      </c>
      <c r="B32" s="252">
        <v>2000</v>
      </c>
      <c r="C32" s="253">
        <v>3000</v>
      </c>
      <c r="D32" s="253">
        <v>4000</v>
      </c>
      <c r="E32" s="253">
        <v>5000</v>
      </c>
      <c r="F32" s="254">
        <v>6000</v>
      </c>
      <c r="G32" s="255">
        <v>7000</v>
      </c>
      <c r="H32" s="239">
        <v>8000</v>
      </c>
      <c r="P32" t="s">
        <v>35</v>
      </c>
      <c r="Q32" s="252">
        <v>2000</v>
      </c>
      <c r="R32" s="254">
        <v>3000</v>
      </c>
      <c r="S32" s="255">
        <v>4000</v>
      </c>
      <c r="T32" s="239">
        <v>4500</v>
      </c>
      <c r="AD32" t="s">
        <v>35</v>
      </c>
      <c r="AE32" s="252">
        <v>4200</v>
      </c>
      <c r="AF32" s="253">
        <v>6400</v>
      </c>
      <c r="AG32" s="253">
        <v>8400</v>
      </c>
      <c r="AH32" s="255">
        <v>10400</v>
      </c>
      <c r="AI32" s="239">
        <v>11000</v>
      </c>
    </row>
    <row r="33" spans="1:38" ht="15" customHeight="1">
      <c r="A33">
        <v>9000</v>
      </c>
      <c r="B33" s="236">
        <v>1200</v>
      </c>
      <c r="C33" s="244">
        <v>1760</v>
      </c>
      <c r="D33" s="244">
        <v>2200</v>
      </c>
      <c r="E33" s="244">
        <v>2600</v>
      </c>
      <c r="F33" s="237">
        <v>3000</v>
      </c>
      <c r="G33" s="238">
        <v>3400</v>
      </c>
      <c r="H33" s="239">
        <v>99999</v>
      </c>
      <c r="P33">
        <v>10000</v>
      </c>
      <c r="Q33" s="236"/>
      <c r="R33" s="237"/>
      <c r="S33" s="238"/>
      <c r="T33" s="239">
        <v>99999</v>
      </c>
      <c r="AD33">
        <v>9000</v>
      </c>
      <c r="AE33" s="236">
        <v>2400</v>
      </c>
      <c r="AF33" s="244">
        <v>3100</v>
      </c>
      <c r="AG33" s="244">
        <v>3700</v>
      </c>
      <c r="AH33" s="238">
        <v>4300</v>
      </c>
      <c r="AI33" s="239">
        <v>99999</v>
      </c>
    </row>
    <row r="34" spans="1:38" ht="15" customHeight="1">
      <c r="A34">
        <v>9500</v>
      </c>
      <c r="B34" s="247">
        <v>1250</v>
      </c>
      <c r="C34" s="92">
        <v>1800</v>
      </c>
      <c r="D34" s="92">
        <v>2400</v>
      </c>
      <c r="E34" s="92">
        <v>2800</v>
      </c>
      <c r="F34" s="227">
        <v>3200</v>
      </c>
      <c r="G34">
        <v>3600</v>
      </c>
      <c r="H34" s="46">
        <v>99999</v>
      </c>
      <c r="P34">
        <v>11000</v>
      </c>
      <c r="Q34" s="247"/>
      <c r="R34" s="227"/>
      <c r="T34" s="46">
        <v>99999</v>
      </c>
      <c r="AD34">
        <v>9500</v>
      </c>
      <c r="AE34" s="247">
        <v>2500</v>
      </c>
      <c r="AF34" s="92">
        <v>3400</v>
      </c>
      <c r="AG34" s="92">
        <v>4150</v>
      </c>
      <c r="AH34">
        <v>4800</v>
      </c>
      <c r="AI34" s="46">
        <v>99999</v>
      </c>
    </row>
    <row r="35" spans="1:38" ht="15" customHeight="1">
      <c r="A35">
        <v>10000</v>
      </c>
      <c r="B35" s="247">
        <v>1300</v>
      </c>
      <c r="C35" s="92">
        <v>2000</v>
      </c>
      <c r="D35" s="92">
        <v>2600</v>
      </c>
      <c r="E35" s="92">
        <v>3100</v>
      </c>
      <c r="F35" s="227">
        <v>3600</v>
      </c>
      <c r="G35">
        <v>4000</v>
      </c>
      <c r="H35" s="46">
        <v>99999</v>
      </c>
      <c r="P35">
        <v>12000</v>
      </c>
      <c r="Q35" s="247"/>
      <c r="R35" s="227"/>
      <c r="T35" s="46">
        <v>99999</v>
      </c>
      <c r="AD35">
        <v>10000</v>
      </c>
      <c r="AE35" s="247">
        <v>2700</v>
      </c>
      <c r="AF35" s="92">
        <v>3700</v>
      </c>
      <c r="AG35" s="92">
        <v>4600</v>
      </c>
      <c r="AH35">
        <v>5400</v>
      </c>
      <c r="AI35" s="46">
        <v>99999</v>
      </c>
    </row>
    <row r="36" spans="1:38" ht="15" customHeight="1">
      <c r="A36">
        <v>10500</v>
      </c>
      <c r="B36" s="247">
        <v>1400</v>
      </c>
      <c r="C36" s="92">
        <v>2200</v>
      </c>
      <c r="D36" s="92">
        <v>2820</v>
      </c>
      <c r="E36" s="92">
        <v>3400</v>
      </c>
      <c r="F36" s="227">
        <v>3900</v>
      </c>
      <c r="G36">
        <v>4400</v>
      </c>
      <c r="H36" s="46">
        <v>99999</v>
      </c>
      <c r="P36">
        <v>13000</v>
      </c>
      <c r="Q36" s="247"/>
      <c r="R36" s="227"/>
      <c r="T36" s="46">
        <v>99999</v>
      </c>
      <c r="AD36">
        <v>10500</v>
      </c>
      <c r="AE36" s="247">
        <v>3000</v>
      </c>
      <c r="AF36" s="92">
        <v>4150</v>
      </c>
      <c r="AG36" s="92">
        <v>5200</v>
      </c>
      <c r="AH36">
        <v>6000</v>
      </c>
      <c r="AI36" s="46">
        <v>99999</v>
      </c>
    </row>
    <row r="37" spans="1:38" ht="15" customHeight="1">
      <c r="A37">
        <v>11000</v>
      </c>
      <c r="B37" s="247">
        <v>1600</v>
      </c>
      <c r="C37" s="92">
        <v>2350</v>
      </c>
      <c r="D37" s="92">
        <v>3200</v>
      </c>
      <c r="E37" s="92">
        <v>3700</v>
      </c>
      <c r="F37" s="227">
        <v>4400</v>
      </c>
      <c r="G37">
        <v>4900</v>
      </c>
      <c r="H37" s="46">
        <v>99999</v>
      </c>
      <c r="P37">
        <v>14000</v>
      </c>
      <c r="Q37" s="247"/>
      <c r="R37" s="227"/>
      <c r="T37" s="46">
        <v>99999</v>
      </c>
      <c r="AD37">
        <v>11000</v>
      </c>
      <c r="AE37" s="247">
        <v>3200</v>
      </c>
      <c r="AF37" s="92">
        <v>4600</v>
      </c>
      <c r="AG37" s="92">
        <v>5800</v>
      </c>
      <c r="AH37">
        <v>6800</v>
      </c>
      <c r="AI37" s="46">
        <v>99999</v>
      </c>
    </row>
    <row r="38" spans="1:38" ht="15" customHeight="1">
      <c r="A38">
        <v>11500</v>
      </c>
      <c r="B38" s="247">
        <v>1700</v>
      </c>
      <c r="C38" s="92">
        <v>2600</v>
      </c>
      <c r="D38" s="92">
        <v>3400</v>
      </c>
      <c r="E38" s="92">
        <v>4100</v>
      </c>
      <c r="F38" s="227">
        <v>4800</v>
      </c>
      <c r="G38">
        <v>5450</v>
      </c>
      <c r="H38" s="46">
        <v>99999</v>
      </c>
      <c r="P38">
        <v>15000</v>
      </c>
      <c r="Q38" s="247"/>
      <c r="R38" s="227"/>
      <c r="T38" s="46">
        <v>99999</v>
      </c>
      <c r="AD38">
        <v>11500</v>
      </c>
      <c r="AE38" s="247">
        <v>3600</v>
      </c>
      <c r="AF38" s="92">
        <v>5150</v>
      </c>
      <c r="AG38" s="92">
        <v>6500</v>
      </c>
      <c r="AH38">
        <v>7800</v>
      </c>
      <c r="AI38" s="46">
        <v>99999</v>
      </c>
    </row>
    <row r="39" spans="1:38" ht="15" customHeight="1">
      <c r="A39">
        <v>12000</v>
      </c>
      <c r="B39" s="247">
        <v>1810</v>
      </c>
      <c r="C39" s="92">
        <v>2780</v>
      </c>
      <c r="D39" s="92">
        <v>3700</v>
      </c>
      <c r="E39" s="92">
        <v>4500</v>
      </c>
      <c r="F39" s="227">
        <v>5400</v>
      </c>
      <c r="G39">
        <v>6200</v>
      </c>
      <c r="H39" s="46">
        <v>99999</v>
      </c>
      <c r="P39">
        <v>16000</v>
      </c>
      <c r="Q39" s="247"/>
      <c r="R39" s="227"/>
      <c r="T39" s="46">
        <v>99999</v>
      </c>
      <c r="AD39">
        <v>12000</v>
      </c>
      <c r="AE39" s="247">
        <v>3900</v>
      </c>
      <c r="AF39" s="92">
        <v>5700</v>
      </c>
      <c r="AG39" s="92">
        <v>7350</v>
      </c>
      <c r="AH39">
        <v>9000</v>
      </c>
      <c r="AI39" s="46">
        <v>99999</v>
      </c>
    </row>
    <row r="40" spans="1:38" ht="15" customHeight="1">
      <c r="A40">
        <v>12500</v>
      </c>
      <c r="B40" s="242">
        <v>2000</v>
      </c>
      <c r="C40" s="248">
        <v>3000</v>
      </c>
      <c r="D40" s="248">
        <v>4000</v>
      </c>
      <c r="E40" s="248">
        <v>5000</v>
      </c>
      <c r="F40" s="243">
        <v>6000</v>
      </c>
      <c r="G40" s="78">
        <v>7000</v>
      </c>
      <c r="H40" s="46">
        <v>99999</v>
      </c>
      <c r="P40">
        <v>16600</v>
      </c>
      <c r="Q40" s="242"/>
      <c r="R40" s="243"/>
      <c r="S40" s="78"/>
      <c r="T40" s="46">
        <v>99999</v>
      </c>
      <c r="AD40">
        <v>12500</v>
      </c>
      <c r="AE40" s="242">
        <v>4200</v>
      </c>
      <c r="AF40" s="248">
        <v>6400</v>
      </c>
      <c r="AG40" s="248">
        <v>8400</v>
      </c>
      <c r="AH40" s="78">
        <v>10400</v>
      </c>
      <c r="AI40" s="46">
        <v>99999</v>
      </c>
    </row>
    <row r="41" spans="1:38" ht="15" customHeight="1">
      <c r="A41">
        <v>12600</v>
      </c>
      <c r="B41" s="242">
        <v>99999</v>
      </c>
      <c r="C41" s="248">
        <v>99999</v>
      </c>
      <c r="D41" s="248">
        <v>99999</v>
      </c>
      <c r="E41" s="248">
        <v>99999</v>
      </c>
      <c r="F41" s="243">
        <v>99999</v>
      </c>
      <c r="G41" s="243">
        <v>99999</v>
      </c>
      <c r="H41" s="256">
        <v>99999</v>
      </c>
      <c r="I41" s="227"/>
      <c r="J41" s="227"/>
      <c r="K41" s="227"/>
      <c r="L41" s="227"/>
      <c r="M41" s="32"/>
      <c r="P41">
        <v>16700</v>
      </c>
      <c r="Q41" s="242">
        <v>99999</v>
      </c>
      <c r="R41" s="243">
        <v>99999</v>
      </c>
      <c r="S41" s="243">
        <v>99999</v>
      </c>
      <c r="T41" s="256">
        <v>99999</v>
      </c>
      <c r="V41" s="227"/>
      <c r="W41" s="227"/>
      <c r="AD41">
        <v>12600</v>
      </c>
      <c r="AE41" s="242">
        <v>99999</v>
      </c>
      <c r="AF41" s="248">
        <v>99999</v>
      </c>
      <c r="AG41" s="248">
        <v>99999</v>
      </c>
      <c r="AH41" s="243">
        <v>99999</v>
      </c>
      <c r="AI41" s="256">
        <v>99999</v>
      </c>
      <c r="AJ41" s="227"/>
    </row>
    <row r="42" spans="1:38" ht="15" customHeight="1">
      <c r="B42" s="167"/>
      <c r="C42" s="168"/>
      <c r="G42" s="150"/>
      <c r="H42" s="150"/>
      <c r="I42" s="150"/>
      <c r="J42" s="167"/>
      <c r="K42" s="168"/>
      <c r="O42" s="167"/>
      <c r="P42" s="168"/>
      <c r="T42" s="150"/>
      <c r="U42" s="150"/>
      <c r="V42" s="150"/>
      <c r="W42" s="167"/>
      <c r="X42" s="168"/>
      <c r="AB42" s="167"/>
      <c r="AC42" s="168"/>
      <c r="AG42" s="150"/>
      <c r="AH42" s="150"/>
      <c r="AI42" s="150"/>
      <c r="AJ42" s="167"/>
      <c r="AK42" s="168"/>
    </row>
    <row r="43" spans="1:38" ht="15" customHeight="1">
      <c r="B43" s="167" t="s">
        <v>150</v>
      </c>
      <c r="C43" s="168">
        <f ca="1">C29</f>
        <v>3240</v>
      </c>
      <c r="D43" s="299" t="s">
        <v>202</v>
      </c>
      <c r="E43" s="299"/>
      <c r="G43" s="150"/>
      <c r="H43" s="150"/>
      <c r="I43" s="150"/>
      <c r="J43" s="167"/>
      <c r="K43" s="168"/>
      <c r="L43" s="92"/>
      <c r="O43" s="167" t="s">
        <v>150</v>
      </c>
      <c r="P43" s="168">
        <f ca="1">P29</f>
        <v>0</v>
      </c>
      <c r="Q43" s="299" t="s">
        <v>202</v>
      </c>
      <c r="R43" s="299"/>
      <c r="T43" s="150"/>
      <c r="U43" s="150"/>
      <c r="V43" s="150"/>
      <c r="W43" s="167"/>
      <c r="X43" s="168"/>
      <c r="Y43" s="92"/>
      <c r="AB43" s="167" t="s">
        <v>150</v>
      </c>
      <c r="AC43" s="168">
        <f ca="1">AC29</f>
        <v>4760</v>
      </c>
      <c r="AD43" s="299" t="s">
        <v>202</v>
      </c>
      <c r="AE43" s="299"/>
      <c r="AG43" s="150"/>
      <c r="AH43" s="150"/>
      <c r="AI43" s="150"/>
      <c r="AJ43" s="167"/>
      <c r="AK43" s="168"/>
      <c r="AL43" s="92"/>
    </row>
    <row r="44" spans="1:38" ht="15" customHeight="1">
      <c r="B44" s="38" t="s">
        <v>203</v>
      </c>
      <c r="C44" s="169">
        <f t="array" aca="1" ref="C44" ca="1">INDEX(B32:H32,MATCH(C43,B32:H32,1))</f>
        <v>3000</v>
      </c>
      <c r="D44" s="38" t="s">
        <v>148</v>
      </c>
      <c r="E44" s="39">
        <f>MATCH(MAX(A33:A41),A33:A41,1)</f>
        <v>9</v>
      </c>
      <c r="G44" s="150"/>
      <c r="H44" s="150"/>
      <c r="I44" s="150"/>
      <c r="J44" s="38"/>
      <c r="K44" s="169"/>
      <c r="L44" s="38"/>
      <c r="M44" s="39"/>
      <c r="O44" s="38" t="s">
        <v>203</v>
      </c>
      <c r="P44" s="169" t="e">
        <f t="array" aca="1" ref="P44" ca="1">INDEX(Q32:T32,MATCH(P43,Q32:T32,1))</f>
        <v>#N/A</v>
      </c>
      <c r="Q44" s="38" t="s">
        <v>148</v>
      </c>
      <c r="R44" s="39">
        <f>MATCH(MAX(P33:P41),P33:P41,1)</f>
        <v>9</v>
      </c>
      <c r="T44" s="150"/>
      <c r="U44" s="150"/>
      <c r="V44" s="150"/>
      <c r="W44" s="38"/>
      <c r="X44" s="169"/>
      <c r="Y44" s="38"/>
      <c r="AB44" s="38" t="s">
        <v>203</v>
      </c>
      <c r="AC44" s="169">
        <f t="array" aca="1" ref="AC44" ca="1">INDEX(AE32:AI32,MATCH(AC43,AE32:AI32,1))</f>
        <v>4200</v>
      </c>
      <c r="AD44" s="38" t="s">
        <v>148</v>
      </c>
      <c r="AE44" s="39">
        <f>MATCH(MAX(AD33:AD41),AD33:AD41,1)</f>
        <v>9</v>
      </c>
      <c r="AG44" s="150"/>
      <c r="AH44" s="150"/>
      <c r="AI44" s="150"/>
      <c r="AJ44" s="38"/>
      <c r="AK44" s="169"/>
      <c r="AL44" s="38"/>
    </row>
    <row r="45" spans="1:38" ht="15" customHeight="1">
      <c r="B45" s="38" t="s">
        <v>204</v>
      </c>
      <c r="C45" s="169">
        <f t="array" aca="1" ref="C45" ca="1">INDEX(B32:H32,IF(MATCH(C43,B32:H32,1)&lt;E45,MATCH(C43,B32:H32,1)+1,MATCH(C43,B32:H32,1)))</f>
        <v>4000</v>
      </c>
      <c r="D45" s="38" t="s">
        <v>149</v>
      </c>
      <c r="E45" s="39">
        <f>MATCH(MAX(B32:H32),B32:H32,0)</f>
        <v>7</v>
      </c>
      <c r="G45" s="150"/>
      <c r="H45" s="150"/>
      <c r="I45" s="150"/>
      <c r="J45" s="38"/>
      <c r="K45" s="169"/>
      <c r="L45" s="38"/>
      <c r="M45" s="39"/>
      <c r="O45" s="38" t="s">
        <v>204</v>
      </c>
      <c r="P45" s="169" t="e">
        <f t="array" aca="1" ref="P45" ca="1">INDEX(Q32:T32,IF(MATCH(P43,Q32:T32,1)&lt;R45,MATCH(P43,Q32:T32,1)+1,MATCH(P43,Q32:T32,1)))</f>
        <v>#N/A</v>
      </c>
      <c r="Q45" s="38" t="s">
        <v>149</v>
      </c>
      <c r="R45" s="39">
        <f>MATCH(MAX(Q32:T32),Q32:T32,0)</f>
        <v>4</v>
      </c>
      <c r="T45" s="150"/>
      <c r="U45" s="150"/>
      <c r="V45" s="150"/>
      <c r="W45" s="38"/>
      <c r="X45" s="169"/>
      <c r="Y45" s="38"/>
      <c r="AB45" s="38" t="s">
        <v>204</v>
      </c>
      <c r="AC45" s="169">
        <f t="array" aca="1" ref="AC45" ca="1">INDEX(AE32:AI32,IF(MATCH(AC43,AE32:AI32,1)&lt;AE45,MATCH(AC43,AE32:AI32,1)+1,MATCH(AC43,AE32:AI32,1)))</f>
        <v>6400</v>
      </c>
      <c r="AD45" s="38" t="s">
        <v>149</v>
      </c>
      <c r="AE45" s="39">
        <f>MATCH(MAX(AE32:AI32),AE32:AI32,0)</f>
        <v>5</v>
      </c>
      <c r="AG45" s="150"/>
      <c r="AH45" s="150"/>
      <c r="AI45" s="150"/>
      <c r="AJ45" s="38"/>
      <c r="AK45" s="169"/>
      <c r="AL45" s="38"/>
    </row>
    <row r="46" spans="1:38" ht="15" customHeight="1">
      <c r="B46" s="167" t="s">
        <v>151</v>
      </c>
      <c r="C46" s="213">
        <f>'Take-off'!$C$14</f>
        <v>9000</v>
      </c>
      <c r="D46" s="150"/>
      <c r="E46" s="150"/>
      <c r="G46" s="150"/>
      <c r="H46" s="150"/>
      <c r="I46" s="150"/>
      <c r="J46" s="167"/>
      <c r="K46" s="213"/>
      <c r="L46" s="150"/>
      <c r="M46" s="150"/>
      <c r="O46" s="167" t="s">
        <v>151</v>
      </c>
      <c r="P46" s="213">
        <f>'Take-off'!$C$14</f>
        <v>9000</v>
      </c>
      <c r="Q46" s="150"/>
      <c r="R46" s="150"/>
      <c r="T46" s="150"/>
      <c r="U46" s="150"/>
      <c r="V46" s="150"/>
      <c r="W46" s="167"/>
      <c r="X46" s="213"/>
      <c r="Y46" s="150"/>
      <c r="AB46" s="167" t="s">
        <v>151</v>
      </c>
      <c r="AC46" s="213">
        <f>'Take-off'!$C$14</f>
        <v>9000</v>
      </c>
      <c r="AD46" s="150"/>
      <c r="AE46" s="150"/>
      <c r="AG46" s="150"/>
      <c r="AH46" s="150"/>
      <c r="AI46" s="150"/>
      <c r="AJ46" s="167"/>
      <c r="AK46" s="213"/>
      <c r="AL46" s="150"/>
    </row>
    <row r="47" spans="1:38" ht="15" customHeight="1">
      <c r="B47" s="38" t="s">
        <v>152</v>
      </c>
      <c r="C47" s="169">
        <f t="array" ref="C47">INDEX(A33:A41,MATCH(C46,A33:A41,1))</f>
        <v>9000</v>
      </c>
      <c r="D47" s="150"/>
      <c r="E47" s="73"/>
      <c r="G47" s="150"/>
      <c r="H47" s="150"/>
      <c r="I47" s="150"/>
      <c r="J47" s="38"/>
      <c r="K47" s="169"/>
      <c r="L47" s="150"/>
      <c r="M47" s="73"/>
      <c r="O47" s="38" t="s">
        <v>152</v>
      </c>
      <c r="P47" s="169" t="e">
        <f t="array" ref="P47">INDEX(P33:P41,MATCH(P46,P33:P41,1))</f>
        <v>#N/A</v>
      </c>
      <c r="Q47" s="150"/>
      <c r="R47" s="73"/>
      <c r="T47" s="150"/>
      <c r="U47" s="150"/>
      <c r="V47" s="150"/>
      <c r="W47" s="38"/>
      <c r="X47" s="169"/>
      <c r="Y47" s="150"/>
      <c r="AB47" s="38" t="s">
        <v>152</v>
      </c>
      <c r="AC47" s="169">
        <f t="array" ref="AC47">INDEX(AD33:AD41,MATCH(AC46,AD33:AD41,1))</f>
        <v>9000</v>
      </c>
      <c r="AD47" s="150"/>
      <c r="AE47" s="73"/>
      <c r="AG47" s="150"/>
      <c r="AH47" s="150"/>
      <c r="AI47" s="150"/>
      <c r="AJ47" s="38"/>
      <c r="AK47" s="169"/>
      <c r="AL47" s="150"/>
    </row>
    <row r="48" spans="1:38" ht="15" customHeight="1">
      <c r="B48" s="38" t="s">
        <v>153</v>
      </c>
      <c r="C48" s="169">
        <f t="array" ref="C48">INDEX(A33:A41,IF(MATCH(C46,A33:A41,1)&lt;E44,MATCH(C46,A33:A41,1)+1,MATCH(C46,A33:A41,1)))</f>
        <v>9500</v>
      </c>
      <c r="D48" s="150"/>
      <c r="E48" s="73"/>
      <c r="G48" s="150"/>
      <c r="H48" s="150"/>
      <c r="I48" s="150"/>
      <c r="J48" s="38"/>
      <c r="K48" s="169"/>
      <c r="L48" s="150"/>
      <c r="M48" s="73"/>
      <c r="O48" s="38" t="s">
        <v>153</v>
      </c>
      <c r="P48" s="169" t="e">
        <f t="array" ref="P48">INDEX(P33:P41,IF(MATCH(P46,P33:P41,1)&lt;R44,MATCH(P46,P33:P41,1)+1,MATCH(P46,P33:P41,1)))</f>
        <v>#N/A</v>
      </c>
      <c r="Q48" s="150"/>
      <c r="R48" s="73"/>
      <c r="T48" s="150"/>
      <c r="U48" s="150"/>
      <c r="V48" s="150"/>
      <c r="W48" s="38"/>
      <c r="X48" s="169"/>
      <c r="Y48" s="150"/>
      <c r="AB48" s="38" t="s">
        <v>153</v>
      </c>
      <c r="AC48" s="169">
        <f t="array" ref="AC48">INDEX(AD33:AD41,IF(MATCH(AC46,AD33:AD41,1)&lt;AE44,MATCH(AC46,AD33:AD41,1)+1,MATCH(AC46,AD33:AD41,1)))</f>
        <v>9500</v>
      </c>
      <c r="AD48" s="150"/>
      <c r="AE48" s="73"/>
      <c r="AG48" s="150"/>
      <c r="AH48" s="150"/>
      <c r="AI48" s="150"/>
      <c r="AJ48" s="38"/>
      <c r="AK48" s="169"/>
      <c r="AL48" s="150"/>
    </row>
    <row r="49" spans="1:42" ht="15" customHeight="1">
      <c r="B49" s="167" t="s">
        <v>154</v>
      </c>
      <c r="C49" s="168">
        <f t="array" aca="1" ref="C49" ca="1">INDEX(B33:H41,MATCH(C46,A33:A41,1),MATCH(C43,B32:H32,1))</f>
        <v>1760</v>
      </c>
      <c r="D49" s="150"/>
      <c r="E49" s="73"/>
      <c r="G49" s="150"/>
      <c r="H49" s="150"/>
      <c r="I49" s="150"/>
      <c r="J49" s="167"/>
      <c r="K49" s="168"/>
      <c r="L49" s="150"/>
      <c r="M49" s="73"/>
      <c r="O49" s="167" t="s">
        <v>154</v>
      </c>
      <c r="P49" s="168" t="e">
        <f t="array" aca="1" ref="P49" ca="1">INDEX(Q33:T41,MATCH(P46,P33:P41,1),MATCH(P43,Q32:T32,1))</f>
        <v>#N/A</v>
      </c>
      <c r="Q49" s="150"/>
      <c r="R49" s="73"/>
      <c r="T49" s="150"/>
      <c r="U49" s="150"/>
      <c r="V49" s="150"/>
      <c r="W49" s="167"/>
      <c r="X49" s="168"/>
      <c r="Y49" s="150"/>
      <c r="AB49" s="167" t="s">
        <v>154</v>
      </c>
      <c r="AC49" s="168">
        <f t="array" aca="1" ref="AC49" ca="1">INDEX(AE33:AI41,MATCH(AC46,AD33:AD41,1),MATCH(AC43,AE32:AI32,1))</f>
        <v>2400</v>
      </c>
      <c r="AD49" s="150"/>
      <c r="AE49" s="73"/>
      <c r="AG49" s="150"/>
      <c r="AH49" s="150"/>
      <c r="AI49" s="150"/>
      <c r="AJ49" s="167"/>
      <c r="AK49" s="168"/>
      <c r="AL49" s="150"/>
    </row>
    <row r="50" spans="1:42" ht="15" customHeight="1">
      <c r="B50" s="167" t="s">
        <v>205</v>
      </c>
      <c r="C50" s="168">
        <f t="array" aca="1" ref="C50" ca="1">INDEX(B33:H41,MATCH(C46,A33:A41,1),IF(MATCH(C43,B32:H32,1)&lt;E45,MATCH(C43,B32:H32,1)+1,MATCH(C46,A33:A41,1)))</f>
        <v>2200</v>
      </c>
      <c r="E50" s="73"/>
      <c r="G50" s="150"/>
      <c r="H50" s="150"/>
      <c r="I50" s="150"/>
      <c r="J50" s="167"/>
      <c r="K50" s="168"/>
      <c r="M50" s="73"/>
      <c r="O50" s="167" t="s">
        <v>205</v>
      </c>
      <c r="P50" s="168" t="e">
        <f t="array" aca="1" ref="P50" ca="1">INDEX(Q33:T41,MATCH(P46,P33:P41,1),IF(MATCH(P43,Q32:T32,1)&lt;R45,MATCH(P43,Q32:T32,1)+1,MATCH(P46,P33:P41,1)))</f>
        <v>#N/A</v>
      </c>
      <c r="R50" s="73"/>
      <c r="T50" s="150"/>
      <c r="U50" s="150"/>
      <c r="V50" s="150"/>
      <c r="W50" s="167"/>
      <c r="X50" s="168"/>
      <c r="AB50" s="167" t="s">
        <v>205</v>
      </c>
      <c r="AC50" s="168">
        <f t="array" aca="1" ref="AC50" ca="1">INDEX(AE33:AI41,MATCH(AC46,AD33:AD41,1),IF(MATCH(AC43,AE32:AI32,1)&lt;AE45,MATCH(AC43,AE32:AI32,1)+1,MATCH(AC46,AD33:AD41,1)))</f>
        <v>3100</v>
      </c>
      <c r="AE50" s="73"/>
      <c r="AG50" s="150"/>
      <c r="AH50" s="150"/>
      <c r="AI50" s="150"/>
      <c r="AJ50" s="167"/>
      <c r="AK50" s="168"/>
    </row>
    <row r="51" spans="1:42" ht="15" customHeight="1">
      <c r="B51" s="167" t="s">
        <v>155</v>
      </c>
      <c r="C51" s="168">
        <f t="array" aca="1" ref="C51" ca="1">INDEX(B33:H41,IF(MATCH(C46,A33:A41,1)&lt;E44,MATCH(C46,A33:A41,1)+1,MATCH(C46,A33:A41,1)),MATCH(C43,B32:H32,1))</f>
        <v>1800</v>
      </c>
      <c r="E51" s="73"/>
      <c r="G51" s="150"/>
      <c r="H51" s="150"/>
      <c r="I51" s="150"/>
      <c r="J51" s="167"/>
      <c r="K51" s="168"/>
      <c r="M51" s="73"/>
      <c r="O51" s="167" t="s">
        <v>155</v>
      </c>
      <c r="P51" s="168" t="e">
        <f t="array" aca="1" ref="P51" ca="1">INDEX(Q33:T41,IF(MATCH(P46,P33:P41,1)&lt;R44,MATCH(P46,P33:P41,1)+1,MATCH(P46,P33:P41,1)),MATCH(P43,Q32:T32,1))</f>
        <v>#N/A</v>
      </c>
      <c r="R51" s="73"/>
      <c r="T51" s="150"/>
      <c r="U51" s="150"/>
      <c r="V51" s="150"/>
      <c r="W51" s="167"/>
      <c r="X51" s="168"/>
      <c r="AB51" s="167" t="s">
        <v>155</v>
      </c>
      <c r="AC51" s="168">
        <f t="array" aca="1" ref="AC51" ca="1">INDEX(AE33:AI41,IF(MATCH(AC46,AD33:AD41,1)&lt;AE44,MATCH(AC46,AD33:AD41,1)+1,MATCH(AC46,AD33:AD41,1)),MATCH(AC43,AE32:AI32,1))</f>
        <v>2500</v>
      </c>
      <c r="AE51" s="73"/>
      <c r="AG51" s="150"/>
      <c r="AH51" s="150"/>
      <c r="AI51" s="150"/>
      <c r="AJ51" s="167"/>
      <c r="AK51" s="168"/>
    </row>
    <row r="52" spans="1:42" ht="15" customHeight="1">
      <c r="B52" s="167" t="s">
        <v>206</v>
      </c>
      <c r="C52" s="168">
        <f t="array" aca="1" ref="C52" ca="1">INDEX(B33:H41,IF(MATCH(C46,A33:A41,1)&lt;E44,MATCH(C46,A33:A41,1)+1,MATCH(C46,A33:A41,1)),IF(MATCH(C43,B32:H32,1)&lt;E45,MATCH(C43,B32:H32,1)+1,MATCH(C43,B32:H32,1)))</f>
        <v>2400</v>
      </c>
      <c r="G52" s="150"/>
      <c r="H52" s="150"/>
      <c r="I52" s="150"/>
      <c r="J52" s="167"/>
      <c r="K52" s="168"/>
      <c r="O52" s="167" t="s">
        <v>206</v>
      </c>
      <c r="P52" s="168" t="e">
        <f t="array" aca="1" ref="P52" ca="1">INDEX(Q33:T41,IF(MATCH(P46,P33:P41,1)&lt;R44,MATCH(P46,P33:P41,1)+1,MATCH(P46,P33:P41,1)),IF(MATCH(P43,Q32:T32,1)&lt;R45,MATCH(P43,Q32:T32,1)+1,MATCH(P43,Q32:T32,1)))</f>
        <v>#N/A</v>
      </c>
      <c r="T52" s="150"/>
      <c r="U52" s="150"/>
      <c r="V52" s="150"/>
      <c r="W52" s="167"/>
      <c r="X52" s="168"/>
      <c r="AB52" s="167" t="s">
        <v>206</v>
      </c>
      <c r="AC52" s="168">
        <f t="array" aca="1" ref="AC52" ca="1">INDEX(AE33:AI41,IF(MATCH(AC46,AD33:AD41,1)&lt;AE44,MATCH(AC46,AD33:AD41,1)+1,MATCH(AC46,AD33:AD41,1)),IF(MATCH(AC43,AE32:AI32,1)&lt;AE45,MATCH(AC43,AE32:AI32,1)+1,MATCH(AC43,AE32:AI32,1)))</f>
        <v>3400</v>
      </c>
      <c r="AG52" s="150"/>
      <c r="AH52" s="150"/>
      <c r="AI52" s="150"/>
      <c r="AJ52" s="167"/>
      <c r="AK52" s="168"/>
    </row>
    <row r="53" spans="1:42" ht="15" customHeight="1">
      <c r="B53" s="38" t="s">
        <v>207</v>
      </c>
      <c r="C53" s="169">
        <f ca="1">IFERROR(C49+(C43-C44)*(C50-C49)/(C45-C44),C49)</f>
        <v>1865.6</v>
      </c>
      <c r="G53" s="150"/>
      <c r="H53" s="150"/>
      <c r="I53" s="150"/>
      <c r="J53" s="38"/>
      <c r="K53" s="169"/>
      <c r="O53" s="38" t="s">
        <v>207</v>
      </c>
      <c r="P53" s="169" t="e">
        <f ca="1">IFERROR(P49+(P43-P44)*(P50-P49)/(P45-P44),P49)</f>
        <v>#N/A</v>
      </c>
      <c r="T53" s="150"/>
      <c r="U53" s="150"/>
      <c r="V53" s="150"/>
      <c r="W53" s="38"/>
      <c r="X53" s="169"/>
      <c r="AB53" s="38" t="s">
        <v>207</v>
      </c>
      <c r="AC53" s="169">
        <f ca="1">IFERROR(AC49+(AC43-AC44)*(AC50-AC49)/(AC45-AC44),AC49)</f>
        <v>2578.181818181818</v>
      </c>
      <c r="AG53" s="150"/>
      <c r="AH53" s="150"/>
      <c r="AI53" s="150"/>
      <c r="AJ53" s="38"/>
      <c r="AK53" s="169"/>
    </row>
    <row r="54" spans="1:42" ht="15" customHeight="1">
      <c r="B54" s="38" t="s">
        <v>208</v>
      </c>
      <c r="C54" s="169">
        <f ca="1">IFERROR(C51+(C43-C44)*(C52-C51)/(C45-C44),C51)</f>
        <v>1944</v>
      </c>
      <c r="G54" s="150"/>
      <c r="H54" s="150"/>
      <c r="I54" s="150"/>
      <c r="J54" s="38"/>
      <c r="K54" s="169"/>
      <c r="O54" s="38" t="s">
        <v>208</v>
      </c>
      <c r="P54" s="169" t="e">
        <f ca="1">IFERROR(P51+(P43-P44)*(P52-P51)/(P45-P44),P51)</f>
        <v>#N/A</v>
      </c>
      <c r="T54" s="150"/>
      <c r="U54" s="150"/>
      <c r="V54" s="150"/>
      <c r="W54" s="38"/>
      <c r="X54" s="169"/>
      <c r="AB54" s="38" t="s">
        <v>208</v>
      </c>
      <c r="AC54" s="169">
        <f ca="1">IFERROR(AC51+(AC43-AC44)*(AC52-AC51)/(AC45-AC44),AC51)</f>
        <v>2729.090909090909</v>
      </c>
      <c r="AG54" s="150"/>
      <c r="AH54" s="150"/>
      <c r="AI54" s="150"/>
      <c r="AJ54" s="38"/>
      <c r="AK54" s="169"/>
    </row>
    <row r="55" spans="1:42" ht="15" customHeight="1">
      <c r="B55" s="167" t="s">
        <v>209</v>
      </c>
      <c r="C55" s="168">
        <f ca="1">IFERROR(C53+(C46-C47)*(C54-C53)/(C48-C47),C53)</f>
        <v>1865.6</v>
      </c>
      <c r="G55" s="150"/>
      <c r="H55" s="150"/>
      <c r="I55" s="150"/>
      <c r="J55" s="167"/>
      <c r="K55" s="168"/>
      <c r="O55" s="167" t="s">
        <v>209</v>
      </c>
      <c r="P55" s="168" t="e">
        <f ca="1">IFERROR(P53+(P46-P47)*(P54-P53)/(P48-P47),P53)</f>
        <v>#N/A</v>
      </c>
      <c r="T55" s="150"/>
      <c r="U55" s="150"/>
      <c r="V55" s="150"/>
      <c r="W55" s="167"/>
      <c r="X55" s="168"/>
      <c r="AB55" s="167" t="s">
        <v>209</v>
      </c>
      <c r="AC55" s="168">
        <f ca="1">IFERROR(AC53+(AC46-AC47)*(AC54-AC53)/(AC48-AC47),AC53)</f>
        <v>2578.181818181818</v>
      </c>
      <c r="AG55" s="150"/>
      <c r="AH55" s="150"/>
      <c r="AI55" s="150"/>
      <c r="AJ55" s="167"/>
      <c r="AK55" s="168"/>
    </row>
    <row r="57" spans="1:42" ht="15" customHeight="1">
      <c r="B57" s="299" t="s">
        <v>211</v>
      </c>
      <c r="C57" s="299"/>
      <c r="D57" s="299"/>
      <c r="E57" s="299"/>
      <c r="F57" s="299"/>
      <c r="G57" s="299"/>
      <c r="H57" s="299"/>
      <c r="I57" s="299"/>
      <c r="J57" s="92"/>
      <c r="K57" s="92"/>
      <c r="L57" s="92"/>
      <c r="M57" s="92"/>
      <c r="O57" s="299" t="s">
        <v>211</v>
      </c>
      <c r="P57" s="299"/>
      <c r="Q57" s="299"/>
      <c r="R57" s="299"/>
      <c r="S57" s="299"/>
      <c r="T57" s="299"/>
      <c r="U57" s="299"/>
      <c r="V57" s="299"/>
      <c r="W57" s="92"/>
      <c r="X57" s="92"/>
      <c r="Y57" s="92"/>
      <c r="AB57" s="299" t="s">
        <v>211</v>
      </c>
      <c r="AC57" s="299"/>
      <c r="AD57" s="299"/>
      <c r="AE57" s="299"/>
      <c r="AF57" s="299"/>
      <c r="AG57" s="299"/>
      <c r="AH57" s="299"/>
      <c r="AI57" s="299"/>
      <c r="AJ57" s="92"/>
      <c r="AK57" s="92"/>
      <c r="AL57" s="92"/>
    </row>
    <row r="58" spans="1:42" ht="15" customHeight="1">
      <c r="A58" t="s">
        <v>50</v>
      </c>
      <c r="B58" s="244">
        <v>2000</v>
      </c>
      <c r="C58" s="244">
        <v>3000</v>
      </c>
      <c r="D58" s="244">
        <v>4000</v>
      </c>
      <c r="E58" s="244">
        <v>5000</v>
      </c>
      <c r="F58" s="237">
        <v>6000</v>
      </c>
      <c r="G58" s="237">
        <v>7000</v>
      </c>
      <c r="H58" s="237">
        <v>8000</v>
      </c>
      <c r="I58" s="239">
        <v>9000</v>
      </c>
      <c r="J58" s="32"/>
      <c r="K58" s="32"/>
      <c r="L58" s="32"/>
      <c r="N58" t="s">
        <v>50</v>
      </c>
      <c r="O58" s="236">
        <v>2000</v>
      </c>
      <c r="P58" s="244">
        <v>3000</v>
      </c>
      <c r="Q58" s="244">
        <v>4000</v>
      </c>
      <c r="R58" s="244">
        <v>5000</v>
      </c>
      <c r="S58" s="244">
        <v>6000</v>
      </c>
      <c r="T58" s="244">
        <v>7000</v>
      </c>
      <c r="U58" s="244">
        <v>8000</v>
      </c>
      <c r="V58" s="244">
        <v>9000</v>
      </c>
      <c r="W58" s="239">
        <v>10000</v>
      </c>
      <c r="AB58" t="s">
        <v>50</v>
      </c>
      <c r="AC58" s="236">
        <v>2400</v>
      </c>
      <c r="AD58" s="244">
        <v>3400</v>
      </c>
      <c r="AE58" s="244">
        <v>4400</v>
      </c>
      <c r="AF58" s="244">
        <v>5600</v>
      </c>
      <c r="AG58" s="244">
        <v>6600</v>
      </c>
      <c r="AH58" s="244">
        <v>7600</v>
      </c>
      <c r="AI58" s="244">
        <v>8700</v>
      </c>
      <c r="AJ58" s="244">
        <v>9800</v>
      </c>
      <c r="AK58" s="244">
        <v>10800</v>
      </c>
      <c r="AL58" s="246">
        <v>11000</v>
      </c>
      <c r="AP58" s="32"/>
    </row>
    <row r="59" spans="1:42" ht="15" customHeight="1">
      <c r="A59">
        <v>-10</v>
      </c>
      <c r="B59" s="236">
        <v>2200</v>
      </c>
      <c r="C59" s="244">
        <v>3200</v>
      </c>
      <c r="D59" s="244">
        <v>4350</v>
      </c>
      <c r="E59" s="244">
        <v>5400</v>
      </c>
      <c r="F59" s="244">
        <v>6450</v>
      </c>
      <c r="G59" s="244">
        <v>7500</v>
      </c>
      <c r="H59" s="244">
        <v>8500</v>
      </c>
      <c r="I59" s="246">
        <v>99999</v>
      </c>
      <c r="J59" s="92"/>
      <c r="K59" s="92"/>
      <c r="L59" s="92"/>
      <c r="N59">
        <v>-10</v>
      </c>
      <c r="O59" s="236"/>
      <c r="P59" s="244"/>
      <c r="Q59" s="244"/>
      <c r="R59" s="244"/>
      <c r="S59" s="244"/>
      <c r="T59" s="244"/>
      <c r="U59" s="244"/>
      <c r="V59" s="244"/>
      <c r="W59" s="246">
        <v>99999</v>
      </c>
      <c r="AB59">
        <v>-10</v>
      </c>
      <c r="AC59" s="236">
        <v>2800</v>
      </c>
      <c r="AD59" s="244">
        <v>4000</v>
      </c>
      <c r="AE59" s="244">
        <v>5200</v>
      </c>
      <c r="AF59" s="244">
        <v>6400</v>
      </c>
      <c r="AG59" s="244">
        <v>7500</v>
      </c>
      <c r="AH59" s="244">
        <v>8900</v>
      </c>
      <c r="AI59" s="244">
        <v>10200</v>
      </c>
      <c r="AJ59" s="244">
        <v>11300</v>
      </c>
      <c r="AK59" s="244">
        <v>12400</v>
      </c>
      <c r="AL59" s="246">
        <v>99999</v>
      </c>
      <c r="AP59" s="92"/>
    </row>
    <row r="60" spans="1:42" ht="15" customHeight="1">
      <c r="A60">
        <v>0</v>
      </c>
      <c r="B60" s="247">
        <v>2000</v>
      </c>
      <c r="C60" s="92">
        <v>3000</v>
      </c>
      <c r="D60" s="92">
        <v>4000</v>
      </c>
      <c r="E60" s="92">
        <v>5000</v>
      </c>
      <c r="F60" s="92">
        <v>6000</v>
      </c>
      <c r="G60" s="92">
        <v>7000</v>
      </c>
      <c r="H60" s="92">
        <v>8000</v>
      </c>
      <c r="I60" s="246">
        <v>99999</v>
      </c>
      <c r="J60" s="92"/>
      <c r="K60" s="92"/>
      <c r="L60" s="92"/>
      <c r="N60">
        <v>0</v>
      </c>
      <c r="O60" s="247"/>
      <c r="P60" s="92"/>
      <c r="Q60" s="92"/>
      <c r="R60" s="92"/>
      <c r="S60" s="92"/>
      <c r="T60" s="92"/>
      <c r="U60" s="92"/>
      <c r="V60" s="92"/>
      <c r="W60" s="246">
        <v>99999</v>
      </c>
      <c r="AB60">
        <v>0</v>
      </c>
      <c r="AC60" s="247">
        <v>2400</v>
      </c>
      <c r="AD60" s="92">
        <v>3400</v>
      </c>
      <c r="AE60" s="92">
        <v>4400</v>
      </c>
      <c r="AF60" s="92">
        <v>5600</v>
      </c>
      <c r="AG60" s="92">
        <v>6600</v>
      </c>
      <c r="AH60" s="92">
        <v>7600</v>
      </c>
      <c r="AI60" s="92">
        <v>8700</v>
      </c>
      <c r="AJ60" s="92">
        <v>9800</v>
      </c>
      <c r="AK60" s="92">
        <v>10800</v>
      </c>
      <c r="AL60" s="257">
        <v>99999</v>
      </c>
      <c r="AP60" s="92"/>
    </row>
    <row r="61" spans="1:42" ht="15" customHeight="1">
      <c r="A61">
        <v>30</v>
      </c>
      <c r="B61" s="242">
        <v>1800</v>
      </c>
      <c r="C61" s="248">
        <v>2800</v>
      </c>
      <c r="D61" s="248">
        <v>3700</v>
      </c>
      <c r="E61" s="248">
        <v>4700</v>
      </c>
      <c r="F61" s="248">
        <v>5600</v>
      </c>
      <c r="G61" s="248">
        <v>6600</v>
      </c>
      <c r="H61" s="248">
        <v>7400</v>
      </c>
      <c r="I61" s="258">
        <v>99999</v>
      </c>
      <c r="J61" s="92"/>
      <c r="K61" s="92"/>
      <c r="L61" s="92"/>
      <c r="N61">
        <v>30</v>
      </c>
      <c r="O61" s="242"/>
      <c r="P61" s="248"/>
      <c r="Q61" s="248"/>
      <c r="R61" s="248"/>
      <c r="S61" s="248"/>
      <c r="T61" s="248"/>
      <c r="U61" s="248"/>
      <c r="V61" s="248"/>
      <c r="W61" s="258">
        <v>99999</v>
      </c>
      <c r="AB61">
        <v>30</v>
      </c>
      <c r="AC61" s="242">
        <v>2000</v>
      </c>
      <c r="AD61" s="248">
        <v>2800</v>
      </c>
      <c r="AE61" s="248">
        <v>3700</v>
      </c>
      <c r="AF61" s="248">
        <v>4600</v>
      </c>
      <c r="AG61" s="248">
        <v>5500</v>
      </c>
      <c r="AH61" s="248">
        <v>6400</v>
      </c>
      <c r="AI61" s="248">
        <v>7200</v>
      </c>
      <c r="AJ61" s="248">
        <v>8250</v>
      </c>
      <c r="AK61" s="248">
        <v>9200</v>
      </c>
      <c r="AL61" s="249">
        <v>99999</v>
      </c>
      <c r="AP61" s="92"/>
    </row>
    <row r="62" spans="1:42" ht="15" customHeight="1">
      <c r="B62" s="167"/>
      <c r="C62" s="168"/>
      <c r="G62" s="150"/>
      <c r="H62" s="150"/>
      <c r="I62" s="150"/>
      <c r="J62" s="150"/>
      <c r="K62" s="150"/>
      <c r="L62" s="167"/>
      <c r="M62" s="168"/>
      <c r="Q62" s="167"/>
      <c r="R62" s="168"/>
      <c r="V62" s="150"/>
      <c r="W62" s="150"/>
      <c r="X62" s="150"/>
      <c r="Y62" s="167"/>
      <c r="Z62" s="168"/>
      <c r="AD62" s="167"/>
      <c r="AE62" s="168"/>
      <c r="AI62" s="150"/>
      <c r="AJ62" s="150"/>
      <c r="AK62" s="150"/>
      <c r="AL62" s="167"/>
      <c r="AM62" s="168"/>
    </row>
    <row r="63" spans="1:42" ht="15" customHeight="1">
      <c r="B63" s="167" t="s">
        <v>150</v>
      </c>
      <c r="C63" s="168">
        <f ca="1">MAX(C55,B58)</f>
        <v>2000</v>
      </c>
      <c r="D63" s="299" t="s">
        <v>202</v>
      </c>
      <c r="E63" s="299"/>
      <c r="G63" s="150"/>
      <c r="H63" s="150"/>
      <c r="I63" s="150"/>
      <c r="J63" s="150"/>
      <c r="K63" s="150"/>
      <c r="L63" s="167"/>
      <c r="M63" s="168"/>
      <c r="N63" s="92"/>
      <c r="O63" s="167" t="s">
        <v>150</v>
      </c>
      <c r="P63" s="168" t="e">
        <f ca="1">P55</f>
        <v>#N/A</v>
      </c>
      <c r="Q63" s="299" t="s">
        <v>202</v>
      </c>
      <c r="R63" s="299"/>
      <c r="V63" s="150"/>
      <c r="W63" s="150"/>
      <c r="X63" s="150"/>
      <c r="Y63" s="167"/>
      <c r="Z63" s="168"/>
      <c r="AA63" s="92"/>
      <c r="AC63" s="167" t="s">
        <v>150</v>
      </c>
      <c r="AD63" s="168">
        <f ca="1">AC55</f>
        <v>2578.181818181818</v>
      </c>
      <c r="AE63" s="99" t="s">
        <v>202</v>
      </c>
      <c r="AI63" s="150"/>
      <c r="AJ63" s="150"/>
      <c r="AK63" s="150"/>
      <c r="AL63" s="167"/>
      <c r="AM63" s="168"/>
      <c r="AN63" s="92"/>
    </row>
    <row r="64" spans="1:42" ht="15" customHeight="1">
      <c r="B64" s="38" t="s">
        <v>203</v>
      </c>
      <c r="C64" s="169">
        <f t="array" aca="1" ref="C64" ca="1">INDEX(B58:I58,MATCH(C63,B58:I58,1))</f>
        <v>2000</v>
      </c>
      <c r="D64" s="38" t="s">
        <v>148</v>
      </c>
      <c r="E64" s="39">
        <f>MATCH(MAX(A59:A61),A59:A61,1)</f>
        <v>3</v>
      </c>
      <c r="G64" s="150"/>
      <c r="H64" s="150"/>
      <c r="I64" s="150"/>
      <c r="J64" s="150"/>
      <c r="K64" s="150"/>
      <c r="L64" s="38"/>
      <c r="M64" s="169"/>
      <c r="N64" s="38"/>
      <c r="O64" s="38" t="s">
        <v>203</v>
      </c>
      <c r="P64" s="169" t="e">
        <f t="array" aca="1" ref="P64" ca="1">INDEX(O58:W58,MATCH(P63,O58:W58,1))</f>
        <v>#N/A</v>
      </c>
      <c r="Q64" s="38" t="s">
        <v>148</v>
      </c>
      <c r="R64" s="39">
        <f>MATCH(MAX(N59:N61),N59:N61,1)</f>
        <v>3</v>
      </c>
      <c r="V64" s="150"/>
      <c r="W64" s="150"/>
      <c r="X64" s="150"/>
      <c r="Y64" s="38"/>
      <c r="Z64" s="169"/>
      <c r="AA64" s="38"/>
      <c r="AC64" s="38" t="s">
        <v>203</v>
      </c>
      <c r="AD64" s="169">
        <f t="array" aca="1" ref="AD64" ca="1">INDEX(AC58:AL58,MATCH(AD63,AC58:AL58,1))</f>
        <v>2400</v>
      </c>
      <c r="AE64" s="38" t="s">
        <v>148</v>
      </c>
      <c r="AF64" s="39">
        <f>MATCH(MAX(AB59:AB61),AB59:AB61,1)</f>
        <v>3</v>
      </c>
      <c r="AI64" s="150"/>
      <c r="AJ64" s="150"/>
      <c r="AK64" s="150"/>
      <c r="AL64" s="38"/>
      <c r="AM64" s="169"/>
      <c r="AN64" s="38"/>
    </row>
    <row r="65" spans="2:40" ht="15" customHeight="1">
      <c r="B65" s="38" t="s">
        <v>204</v>
      </c>
      <c r="C65" s="169">
        <f t="array" aca="1" ref="C65" ca="1">INDEX(B58:I58,IF(MATCH(C63,B58:I58,1)&lt;E65,MATCH(C63,B58:I58,1)+1,MATCH(C63,B58:I58,1)))</f>
        <v>3000</v>
      </c>
      <c r="D65" s="38" t="s">
        <v>149</v>
      </c>
      <c r="E65" s="39">
        <f>MATCH(MAX(B58:I58),B58:I58,0)</f>
        <v>8</v>
      </c>
      <c r="G65" s="150"/>
      <c r="H65" s="150"/>
      <c r="I65" s="150"/>
      <c r="J65" s="150"/>
      <c r="K65" s="150"/>
      <c r="L65" s="38"/>
      <c r="M65" s="169"/>
      <c r="N65" s="38"/>
      <c r="O65" s="38" t="s">
        <v>204</v>
      </c>
      <c r="P65" s="169" t="e">
        <f t="array" aca="1" ref="P65" ca="1">INDEX(O58:W58,IF(MATCH(P63,O58:W58,1)&lt;R65,MATCH(P63,O58:W58,1)+1,MATCH(P63,O58:W58,1)))</f>
        <v>#N/A</v>
      </c>
      <c r="Q65" s="38" t="s">
        <v>149</v>
      </c>
      <c r="R65" s="39">
        <f>MATCH(MAX(O58:W58),O58:W58,0)</f>
        <v>9</v>
      </c>
      <c r="V65" s="150"/>
      <c r="W65" s="150"/>
      <c r="X65" s="150"/>
      <c r="Y65" s="38"/>
      <c r="Z65" s="169"/>
      <c r="AA65" s="38"/>
      <c r="AC65" s="38" t="s">
        <v>204</v>
      </c>
      <c r="AD65" s="169">
        <f t="array" aca="1" ref="AD65" ca="1">INDEX(AC58:AL58,IF(MATCH(AD63,AC58:AL58,1)&lt;AF65,MATCH(AD63,AC58:AL58,1)+1,MATCH(AD63,AC58:AL58,1)))</f>
        <v>3400</v>
      </c>
      <c r="AE65" s="38" t="s">
        <v>149</v>
      </c>
      <c r="AF65" s="39">
        <f>MATCH(MAX(AC58:AL58),AC58:AL58,0)</f>
        <v>10</v>
      </c>
      <c r="AI65" s="150"/>
      <c r="AJ65" s="150"/>
      <c r="AK65" s="150"/>
      <c r="AL65" s="38"/>
      <c r="AM65" s="169"/>
      <c r="AN65" s="38"/>
    </row>
    <row r="66" spans="2:40" ht="15" customHeight="1">
      <c r="B66" s="167" t="s">
        <v>151</v>
      </c>
      <c r="C66" s="213">
        <f ca="1">'Take-off'!$C$24</f>
        <v>0</v>
      </c>
      <c r="D66" s="150"/>
      <c r="E66" s="150"/>
      <c r="G66" s="150"/>
      <c r="H66" s="150"/>
      <c r="I66" s="150"/>
      <c r="J66" s="150"/>
      <c r="K66" s="150"/>
      <c r="L66" s="167"/>
      <c r="M66" s="213"/>
      <c r="N66" s="150"/>
      <c r="O66" s="167" t="s">
        <v>151</v>
      </c>
      <c r="P66" s="213">
        <f ca="1">'Take-off'!$C$24</f>
        <v>0</v>
      </c>
      <c r="Q66" s="150"/>
      <c r="R66" s="150"/>
      <c r="V66" s="150"/>
      <c r="W66" s="150"/>
      <c r="X66" s="150"/>
      <c r="Y66" s="167"/>
      <c r="Z66" s="213"/>
      <c r="AA66" s="150"/>
      <c r="AC66" s="167" t="s">
        <v>151</v>
      </c>
      <c r="AD66" s="213">
        <f ca="1">'Take-off'!$C$24</f>
        <v>0</v>
      </c>
      <c r="AE66" s="150"/>
      <c r="AF66" s="150"/>
      <c r="AI66" s="150"/>
      <c r="AJ66" s="150"/>
      <c r="AK66" s="150"/>
      <c r="AL66" s="167"/>
      <c r="AM66" s="213"/>
      <c r="AN66" s="150"/>
    </row>
    <row r="67" spans="2:40" ht="15" customHeight="1">
      <c r="B67" s="38" t="s">
        <v>152</v>
      </c>
      <c r="C67" s="169">
        <f t="array" aca="1" ref="C67" ca="1">INDEX(A59:A61,MATCH(C66,A59:A61,1))</f>
        <v>0</v>
      </c>
      <c r="D67" s="150"/>
      <c r="E67" s="73"/>
      <c r="G67" s="150"/>
      <c r="H67" s="150"/>
      <c r="I67" s="150"/>
      <c r="J67" s="150"/>
      <c r="K67" s="150"/>
      <c r="L67" s="38"/>
      <c r="M67" s="169"/>
      <c r="N67" s="150"/>
      <c r="O67" s="38" t="s">
        <v>152</v>
      </c>
      <c r="P67" s="169">
        <f t="array" aca="1" ref="P67" ca="1">INDEX(N59:N61,MATCH(P66,N59:N61,1))</f>
        <v>0</v>
      </c>
      <c r="Q67" s="150"/>
      <c r="R67" s="73"/>
      <c r="V67" s="150"/>
      <c r="W67" s="150"/>
      <c r="X67" s="150"/>
      <c r="Y67" s="38"/>
      <c r="Z67" s="169"/>
      <c r="AA67" s="150"/>
      <c r="AC67" s="38" t="s">
        <v>152</v>
      </c>
      <c r="AD67" s="169">
        <f t="array" aca="1" ref="AD67" ca="1">INDEX(AB59:AB61,MATCH(AD66,AB59:AB61,1))</f>
        <v>0</v>
      </c>
      <c r="AE67" s="150"/>
      <c r="AF67" s="73"/>
      <c r="AI67" s="150"/>
      <c r="AJ67" s="150"/>
      <c r="AK67" s="150"/>
      <c r="AL67" s="38"/>
      <c r="AM67" s="169"/>
      <c r="AN67" s="150"/>
    </row>
    <row r="68" spans="2:40" ht="15" customHeight="1">
      <c r="B68" s="38" t="s">
        <v>153</v>
      </c>
      <c r="C68" s="169">
        <f t="array" aca="1" ref="C68" ca="1">INDEX(A59:A61,IF(MATCH(C66,A59:A61,1)&lt;E64,MATCH(C66,A59:A61,1)+1,MATCH(C66,A59:A61,1)))</f>
        <v>30</v>
      </c>
      <c r="D68" s="150"/>
      <c r="E68" s="73"/>
      <c r="G68" s="150"/>
      <c r="H68" s="150"/>
      <c r="I68" s="150"/>
      <c r="J68" s="150"/>
      <c r="K68" s="150"/>
      <c r="L68" s="38"/>
      <c r="M68" s="169"/>
      <c r="N68" s="150"/>
      <c r="O68" s="38" t="s">
        <v>153</v>
      </c>
      <c r="P68" s="169">
        <f t="array" aca="1" ref="P68" ca="1">INDEX(N59:N61,IF(MATCH(P66,N59:N61,1)&lt;R64,MATCH(P66,N59:N61,1)+1,MATCH(P66,N59:N61,1)))</f>
        <v>30</v>
      </c>
      <c r="Q68" s="150"/>
      <c r="R68" s="73"/>
      <c r="V68" s="150"/>
      <c r="W68" s="150"/>
      <c r="X68" s="150"/>
      <c r="Y68" s="38"/>
      <c r="Z68" s="169"/>
      <c r="AA68" s="150"/>
      <c r="AC68" s="38" t="s">
        <v>153</v>
      </c>
      <c r="AD68" s="169">
        <f t="array" aca="1" ref="AD68" ca="1">INDEX(AB59:AB61,IF(MATCH(AD66,AB59:AB61,1)&lt;AF64,MATCH(AD66,AB59:AB61,1)+1,MATCH(AD66,AB59:AB61,1)))</f>
        <v>30</v>
      </c>
      <c r="AE68" s="150"/>
      <c r="AF68" s="73"/>
      <c r="AI68" s="150"/>
      <c r="AJ68" s="150"/>
      <c r="AK68" s="150"/>
      <c r="AL68" s="38"/>
      <c r="AM68" s="169"/>
      <c r="AN68" s="150"/>
    </row>
    <row r="69" spans="2:40" ht="15" customHeight="1">
      <c r="B69" s="167" t="s">
        <v>154</v>
      </c>
      <c r="C69" s="168">
        <f t="array" aca="1" ref="C69" ca="1">INDEX(B59:I61,MATCH(C66,A59:A61,1),MATCH(C63,B58:I58,1))</f>
        <v>2000</v>
      </c>
      <c r="D69" s="150"/>
      <c r="E69" s="73"/>
      <c r="G69" s="150"/>
      <c r="H69" s="150"/>
      <c r="I69" s="150"/>
      <c r="J69" s="150"/>
      <c r="K69" s="150"/>
      <c r="L69" s="167"/>
      <c r="M69" s="168"/>
      <c r="N69" s="150"/>
      <c r="O69" s="167" t="s">
        <v>154</v>
      </c>
      <c r="P69" s="168" t="e">
        <f t="array" aca="1" ref="P69" ca="1">INDEX(O59:W61,MATCH(P66,N59:N61,1),MATCH(P63,O58:W58,1))</f>
        <v>#N/A</v>
      </c>
      <c r="Q69" s="150"/>
      <c r="R69" s="73"/>
      <c r="V69" s="150"/>
      <c r="W69" s="150"/>
      <c r="X69" s="150"/>
      <c r="Y69" s="167"/>
      <c r="Z69" s="168"/>
      <c r="AA69" s="150"/>
      <c r="AC69" s="167" t="s">
        <v>154</v>
      </c>
      <c r="AD69" s="168">
        <f t="array" aca="1" ref="AD69" ca="1">INDEX(AC59:AL61,MATCH(AD66,AB59:AB61,1),MATCH(AD63,AC58:AL58,1))</f>
        <v>2400</v>
      </c>
      <c r="AE69" s="150"/>
      <c r="AF69" s="73"/>
      <c r="AI69" s="150"/>
      <c r="AJ69" s="150"/>
      <c r="AK69" s="150"/>
      <c r="AL69" s="167"/>
      <c r="AM69" s="168"/>
      <c r="AN69" s="150"/>
    </row>
    <row r="70" spans="2:40" ht="15" customHeight="1">
      <c r="B70" s="167" t="s">
        <v>205</v>
      </c>
      <c r="C70" s="168">
        <f t="array" aca="1" ref="C70" ca="1">INDEX(B59:I61,MATCH(C66,A59:A61,1),IF(MATCH(C63,B58:I58,1)&lt;E65,MATCH(C63,B58:I58,1)+1,MATCH(C66,A59:A61,1)))</f>
        <v>3000</v>
      </c>
      <c r="E70" s="73"/>
      <c r="G70" s="150"/>
      <c r="H70" s="150"/>
      <c r="I70" s="150"/>
      <c r="J70" s="150"/>
      <c r="K70" s="150"/>
      <c r="L70" s="167"/>
      <c r="M70" s="168"/>
      <c r="O70" s="167" t="s">
        <v>205</v>
      </c>
      <c r="P70" s="168" t="e">
        <f t="array" aca="1" ref="P70" ca="1">INDEX(O59:W61,MATCH(P66,N59:N61,1),IF(MATCH(P63,O58:W58,1)&lt;R65,MATCH(P63,O58:W58,1)+1,MATCH(P66,N59:N61,1)))</f>
        <v>#N/A</v>
      </c>
      <c r="R70" s="73"/>
      <c r="V70" s="150"/>
      <c r="W70" s="150"/>
      <c r="X70" s="150"/>
      <c r="Y70" s="167"/>
      <c r="Z70" s="168"/>
      <c r="AC70" s="167" t="s">
        <v>205</v>
      </c>
      <c r="AD70" s="168">
        <f t="array" aca="1" ref="AD70" ca="1">INDEX(AC59:AL61,MATCH(AD66,AB59:AB61,1),IF(MATCH(AD63,AC58:AL58,1)&lt;AF65,MATCH(AD63,AC58:AL58,1)+1,MATCH(AD66,AB59:AB61,1)))</f>
        <v>3400</v>
      </c>
      <c r="AF70" s="73"/>
      <c r="AI70" s="150"/>
      <c r="AJ70" s="150"/>
      <c r="AK70" s="150"/>
      <c r="AL70" s="167"/>
      <c r="AM70" s="168"/>
    </row>
    <row r="71" spans="2:40" ht="15" customHeight="1">
      <c r="B71" s="167" t="s">
        <v>155</v>
      </c>
      <c r="C71" s="168">
        <f t="array" aca="1" ref="C71" ca="1">INDEX(B59:I61,IF(MATCH(C66,A59:A61,1)&lt;E64,MATCH(C66,A59:A61,1)+1,MATCH(C66,A59:A61,1)),MATCH(C63,B58:I58,1))</f>
        <v>1800</v>
      </c>
      <c r="E71" s="73"/>
      <c r="G71" s="150"/>
      <c r="H71" s="150"/>
      <c r="I71" s="150"/>
      <c r="J71" s="150"/>
      <c r="K71" s="150"/>
      <c r="L71" s="167"/>
      <c r="M71" s="168"/>
      <c r="O71" s="167" t="s">
        <v>155</v>
      </c>
      <c r="P71" s="168" t="e">
        <f t="array" aca="1" ref="P71" ca="1">INDEX(O59:W61,IF(MATCH(P66,N59:N61,1)&lt;R64,MATCH(P66,N59:N61,1)+1,MATCH(P66,N59:N61,1)),MATCH(P63,O58:W58,1))</f>
        <v>#N/A</v>
      </c>
      <c r="R71" s="73"/>
      <c r="V71" s="150"/>
      <c r="W71" s="150"/>
      <c r="X71" s="150"/>
      <c r="Y71" s="167"/>
      <c r="Z71" s="168"/>
      <c r="AC71" s="167" t="s">
        <v>155</v>
      </c>
      <c r="AD71" s="168">
        <f t="array" aca="1" ref="AD71" ca="1">INDEX(AC59:AL61,IF(MATCH(AD66,AB59:AB61,1)&lt;AF64,MATCH(AD66,AB59:AB61,1)+1,MATCH(AD66,AB59:AB61,1)),MATCH(AD63,AC58:AL58,1))</f>
        <v>2000</v>
      </c>
      <c r="AF71" s="73"/>
      <c r="AI71" s="150"/>
      <c r="AJ71" s="150"/>
      <c r="AK71" s="150"/>
      <c r="AL71" s="167"/>
      <c r="AM71" s="168"/>
    </row>
    <row r="72" spans="2:40" ht="15" customHeight="1">
      <c r="B72" s="167" t="s">
        <v>206</v>
      </c>
      <c r="C72" s="168">
        <f t="array" aca="1" ref="C72" ca="1">INDEX(B59:I61,IF(MATCH(C66,A59:A61,1)&lt;E64,MATCH(C66,A59:A61,1)+1,MATCH(C66,A59:A61,1)),IF(MATCH(C63,B58:I58,1)&lt;E65,MATCH(C63,B58:I58,1)+1,MATCH(C63,B58:I58,1)))</f>
        <v>2800</v>
      </c>
      <c r="G72" s="150"/>
      <c r="H72" s="150"/>
      <c r="I72" s="150"/>
      <c r="J72" s="150"/>
      <c r="K72" s="150"/>
      <c r="L72" s="167"/>
      <c r="M72" s="168"/>
      <c r="O72" s="167" t="s">
        <v>206</v>
      </c>
      <c r="P72" s="168" t="e">
        <f t="array" aca="1" ref="P72" ca="1">INDEX(O59:W61,IF(MATCH(P66,N59:N61,1)&lt;R64,MATCH(P66,N59:N61,1)+1,MATCH(P66,N59:N61,1)),IF(MATCH(P63,O58:W58,1)&lt;R65,MATCH(P63,O58:W58,1)+1,MATCH(P63,O58:W58,1)))</f>
        <v>#N/A</v>
      </c>
      <c r="V72" s="150"/>
      <c r="W72" s="150"/>
      <c r="X72" s="150"/>
      <c r="Y72" s="167"/>
      <c r="Z72" s="168"/>
      <c r="AC72" s="167" t="s">
        <v>206</v>
      </c>
      <c r="AD72" s="168">
        <f t="array" aca="1" ref="AD72" ca="1">INDEX(AC59:AL61,IF(MATCH(AD66,AB59:AB61,1)&lt;AF64,MATCH(AD66,AB59:AB61,1)+1,MATCH(AD66,AB59:AB61,1)),IF(MATCH(AD63,AC58:AL58,1)&lt;AF65,MATCH(AD63,AC58:AL58,1)+1,MATCH(AD63,AC58:AL58,1)))</f>
        <v>2800</v>
      </c>
      <c r="AI72" s="150"/>
      <c r="AJ72" s="150"/>
      <c r="AK72" s="150"/>
      <c r="AL72" s="167"/>
      <c r="AM72" s="168"/>
    </row>
    <row r="73" spans="2:40" ht="15" customHeight="1">
      <c r="B73" s="38" t="s">
        <v>207</v>
      </c>
      <c r="C73" s="169">
        <f ca="1">IFERROR(C69+(C63-C64)*(C70-C69)/(C65-C64),C69)</f>
        <v>2000</v>
      </c>
      <c r="G73" s="150"/>
      <c r="H73" s="150"/>
      <c r="I73" s="150"/>
      <c r="J73" s="150"/>
      <c r="K73" s="150"/>
      <c r="L73" s="38"/>
      <c r="M73" s="169"/>
      <c r="O73" s="38" t="s">
        <v>207</v>
      </c>
      <c r="P73" s="169" t="e">
        <f ca="1">IFERROR(P69+(P63-P64)*(P70-P69)/(P65-P64),P69)</f>
        <v>#N/A</v>
      </c>
      <c r="V73" s="150"/>
      <c r="W73" s="150"/>
      <c r="X73" s="150"/>
      <c r="Y73" s="38"/>
      <c r="Z73" s="169"/>
      <c r="AC73" s="38" t="s">
        <v>207</v>
      </c>
      <c r="AD73" s="169">
        <f ca="1">IFERROR(AD69+(AD63-AD64)*(AD70-AD69)/(AD65-AD64),AD69)</f>
        <v>2578.181818181818</v>
      </c>
      <c r="AI73" s="150"/>
      <c r="AJ73" s="150"/>
      <c r="AK73" s="150"/>
      <c r="AL73" s="38"/>
      <c r="AM73" s="169"/>
    </row>
    <row r="74" spans="2:40" ht="15" customHeight="1">
      <c r="B74" s="38" t="s">
        <v>208</v>
      </c>
      <c r="C74" s="169">
        <f ca="1">IFERROR(C71+(C63-C64)*(C72-C71)/(C65-C64),C71)</f>
        <v>1800</v>
      </c>
      <c r="G74" s="150"/>
      <c r="H74" s="150"/>
      <c r="I74" s="150"/>
      <c r="J74" s="150"/>
      <c r="K74" s="150"/>
      <c r="L74" s="38"/>
      <c r="M74" s="169"/>
      <c r="O74" s="38" t="s">
        <v>208</v>
      </c>
      <c r="P74" s="169" t="e">
        <f ca="1">IFERROR(P71+(P63-P64)*(P72-P71)/(P65-P64),P71)</f>
        <v>#N/A</v>
      </c>
      <c r="V74" s="150"/>
      <c r="W74" s="150"/>
      <c r="X74" s="150"/>
      <c r="Y74" s="38"/>
      <c r="Z74" s="169"/>
      <c r="AC74" s="38" t="s">
        <v>208</v>
      </c>
      <c r="AD74" s="169">
        <f ca="1">IFERROR(AD71+(AD63-AD64)*(AD72-AD71)/(AD65-AD64),AD71)</f>
        <v>2142.5454545454545</v>
      </c>
      <c r="AI74" s="150"/>
      <c r="AJ74" s="150"/>
      <c r="AK74" s="150"/>
      <c r="AL74" s="38"/>
      <c r="AM74" s="169"/>
    </row>
    <row r="75" spans="2:40" ht="15" customHeight="1">
      <c r="B75" s="167" t="s">
        <v>209</v>
      </c>
      <c r="C75" s="168">
        <f ca="1">IFERROR(C73+(C66-C67)*(C74-C73)/(C68-C67),C73)</f>
        <v>2000</v>
      </c>
      <c r="G75" s="150"/>
      <c r="H75" s="150"/>
      <c r="I75" s="150"/>
      <c r="J75" s="150"/>
      <c r="K75" s="150"/>
      <c r="L75" s="167"/>
      <c r="M75" s="168"/>
      <c r="O75" s="167" t="s">
        <v>209</v>
      </c>
      <c r="P75" s="168" t="e">
        <f ca="1">IFERROR(P73+(P66-P67)*(P74-P73)/(P68-P67),P73)</f>
        <v>#N/A</v>
      </c>
      <c r="V75" s="150"/>
      <c r="W75" s="150"/>
      <c r="X75" s="150"/>
      <c r="Y75" s="167"/>
      <c r="Z75" s="168"/>
      <c r="AC75" s="167" t="s">
        <v>209</v>
      </c>
      <c r="AD75" s="168">
        <f ca="1">IFERROR(AD73+(AD66-AD67)*(AD74-AD73)/(AD68-AD67),AD73)</f>
        <v>2578.181818181818</v>
      </c>
      <c r="AI75" s="150"/>
      <c r="AJ75" s="150"/>
      <c r="AK75" s="150"/>
      <c r="AL75" s="167"/>
      <c r="AM75" s="168"/>
    </row>
    <row r="76" spans="2:40" ht="15.75" customHeight="1"/>
    <row r="77" spans="2:40" ht="15.75" customHeight="1"/>
    <row r="78" spans="2:40" ht="15.75" customHeight="1"/>
    <row r="79" spans="2:40" ht="15.75" customHeight="1"/>
    <row r="80" spans="2:4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2">
    <mergeCell ref="B57:I57"/>
    <mergeCell ref="O57:V57"/>
    <mergeCell ref="AB57:AI57"/>
    <mergeCell ref="D63:E63"/>
    <mergeCell ref="Q63:R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33:G40">
    <cfRule type="colorScale" priority="3">
      <colorScale>
        <cfvo type="min"/>
        <cfvo type="max"/>
        <color rgb="FFFCFCFF"/>
        <color rgb="FFF8696B"/>
      </colorScale>
    </cfRule>
  </conditionalFormatting>
  <conditionalFormatting sqref="B59:H61">
    <cfRule type="colorScale" priority="4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5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6">
      <colorScale>
        <cfvo type="min"/>
        <cfvo type="max"/>
        <color rgb="FFFCFCFF"/>
        <color rgb="FFF8696B"/>
      </colorScale>
    </cfRule>
  </conditionalFormatting>
  <conditionalFormatting sqref="O59:V61">
    <cfRule type="colorScale" priority="7">
      <colorScale>
        <cfvo type="min"/>
        <cfvo type="max"/>
        <color rgb="FFFCFCFF"/>
        <color rgb="FFF8696B"/>
      </colorScale>
    </cfRule>
  </conditionalFormatting>
  <conditionalFormatting sqref="Q33:S40">
    <cfRule type="colorScale" priority="8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9">
      <colorScale>
        <cfvo type="min"/>
        <cfvo type="max"/>
        <color rgb="FFFCFCFF"/>
        <color rgb="FFF8696B"/>
      </colorScale>
    </cfRule>
  </conditionalFormatting>
  <conditionalFormatting sqref="AC59:AK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E33:AJ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3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45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46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B1001"/>
  <sheetViews>
    <sheetView zoomScaleNormal="100" workbookViewId="0">
      <selection activeCell="A11" sqref="A11"/>
    </sheetView>
  </sheetViews>
  <sheetFormatPr defaultColWidth="14.44140625" defaultRowHeight="15" customHeight="1"/>
  <cols>
    <col min="1" max="12" width="9.109375" customWidth="1"/>
    <col min="13" max="13" width="5" customWidth="1"/>
    <col min="14" max="54" width="9.109375" customWidth="1"/>
  </cols>
  <sheetData>
    <row r="1" spans="1:54" ht="14.25" customHeight="1">
      <c r="A1" s="159"/>
      <c r="B1" s="38" t="s">
        <v>196</v>
      </c>
      <c r="C1" s="167" t="s">
        <v>150</v>
      </c>
      <c r="D1" s="232">
        <f ca="1">IF('Take-off'!$C$9="",'Take-off'!$C$16,MAX(0,'Take-off'!$C$16+30*(1013-'Take-off'!$C$9)))</f>
        <v>200</v>
      </c>
      <c r="E1" s="233"/>
      <c r="F1" s="233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250"/>
      <c r="AW1" s="159"/>
      <c r="AX1" s="159"/>
      <c r="AY1" s="159"/>
      <c r="AZ1" s="159"/>
      <c r="BA1" s="159"/>
      <c r="BB1" s="159"/>
    </row>
    <row r="2" spans="1:54" ht="14.25" customHeight="1">
      <c r="A2" s="159"/>
      <c r="B2" s="38" t="s">
        <v>198</v>
      </c>
      <c r="C2" s="167" t="s">
        <v>151</v>
      </c>
      <c r="D2" s="232">
        <f ca="1">'Take-off'!$C$8</f>
        <v>0</v>
      </c>
      <c r="E2" s="234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250"/>
      <c r="AW2" s="159"/>
      <c r="AX2" s="159"/>
      <c r="AY2" s="159"/>
      <c r="AZ2" s="159"/>
      <c r="BA2" s="159"/>
      <c r="BB2" s="159"/>
    </row>
    <row r="3" spans="1:54" ht="14.25" customHeight="1">
      <c r="A3" s="159"/>
      <c r="B3" s="296" t="s">
        <v>142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59"/>
      <c r="N3" s="159"/>
      <c r="O3" s="296" t="s">
        <v>215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159"/>
      <c r="AA3" s="159"/>
      <c r="AB3" s="296" t="s">
        <v>216</v>
      </c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159"/>
      <c r="AN3" s="159"/>
      <c r="AO3" s="159"/>
      <c r="AP3" s="159"/>
      <c r="AQ3" s="159"/>
      <c r="AR3" s="159"/>
      <c r="AS3" s="159"/>
      <c r="AT3" s="159"/>
      <c r="AU3" s="159"/>
      <c r="AV3" s="250"/>
      <c r="AW3" s="159"/>
      <c r="AX3" s="159"/>
      <c r="AY3" s="159"/>
      <c r="AZ3" s="159"/>
      <c r="BA3" s="159"/>
      <c r="BB3" s="159"/>
    </row>
    <row r="4" spans="1:54" ht="15" customHeight="1">
      <c r="B4" s="307" t="s">
        <v>217</v>
      </c>
      <c r="C4" s="307"/>
      <c r="D4" s="307"/>
      <c r="E4" s="307"/>
      <c r="F4" s="307"/>
      <c r="G4" s="92"/>
      <c r="H4" s="92"/>
      <c r="I4" s="92"/>
      <c r="J4" s="92"/>
      <c r="K4" s="92"/>
      <c r="L4" s="92"/>
      <c r="M4" s="92"/>
      <c r="O4" s="307" t="s">
        <v>217</v>
      </c>
      <c r="P4" s="307"/>
      <c r="Q4" s="307"/>
      <c r="R4" s="307"/>
      <c r="S4" s="307"/>
      <c r="T4" s="92"/>
      <c r="U4" s="92"/>
      <c r="V4" s="92"/>
      <c r="W4" s="92"/>
      <c r="X4" s="92"/>
      <c r="Y4" s="92"/>
      <c r="Z4" s="167"/>
      <c r="AB4" s="307" t="s">
        <v>217</v>
      </c>
      <c r="AC4" s="307"/>
      <c r="AD4" s="307"/>
      <c r="AE4" s="307"/>
      <c r="AF4" s="307"/>
      <c r="AG4" s="92"/>
      <c r="AH4" s="92"/>
      <c r="AI4" s="92"/>
      <c r="AJ4" s="92"/>
      <c r="AK4" s="92"/>
      <c r="AL4" s="92"/>
      <c r="AM4" s="150"/>
      <c r="AN4" s="150"/>
      <c r="AO4" s="150"/>
      <c r="AP4" s="167"/>
      <c r="AQ4" s="168"/>
      <c r="AU4" s="150"/>
      <c r="AV4" s="150"/>
      <c r="AW4" s="150"/>
      <c r="AX4" s="167"/>
      <c r="AY4" s="168"/>
    </row>
    <row r="5" spans="1:54" ht="15" customHeight="1">
      <c r="A5" t="s">
        <v>218</v>
      </c>
      <c r="B5" s="236">
        <v>-500</v>
      </c>
      <c r="C5" s="244">
        <v>0</v>
      </c>
      <c r="D5" s="237">
        <v>1000</v>
      </c>
      <c r="E5" s="238">
        <v>2000</v>
      </c>
      <c r="F5" s="238">
        <v>3000</v>
      </c>
      <c r="G5" s="239">
        <v>4000</v>
      </c>
      <c r="H5" s="167"/>
      <c r="J5" s="167"/>
      <c r="K5" s="168"/>
      <c r="N5" t="s">
        <v>218</v>
      </c>
      <c r="O5" s="236">
        <v>0</v>
      </c>
      <c r="P5" s="237">
        <v>1000</v>
      </c>
      <c r="Q5" s="238">
        <v>2000</v>
      </c>
      <c r="R5" s="238">
        <v>3000</v>
      </c>
      <c r="S5" s="239">
        <v>4000</v>
      </c>
      <c r="T5" s="167"/>
      <c r="U5" s="168"/>
      <c r="W5" s="167"/>
      <c r="X5" s="168"/>
      <c r="AA5" t="s">
        <v>218</v>
      </c>
      <c r="AB5" s="236">
        <v>-500</v>
      </c>
      <c r="AC5" s="244">
        <v>0</v>
      </c>
      <c r="AD5" s="237">
        <v>1000</v>
      </c>
      <c r="AE5" s="238">
        <v>2000</v>
      </c>
      <c r="AF5" s="238">
        <v>3000</v>
      </c>
      <c r="AG5" s="239">
        <v>4000</v>
      </c>
      <c r="AH5" s="167"/>
      <c r="AI5" s="168"/>
      <c r="AK5" s="167"/>
      <c r="AL5" s="168"/>
      <c r="AN5" s="167"/>
      <c r="AO5" s="168"/>
      <c r="AS5" s="150"/>
      <c r="AT5" s="150"/>
      <c r="AU5" s="150"/>
      <c r="AV5" s="167"/>
      <c r="AW5" s="168"/>
    </row>
    <row r="6" spans="1:54" ht="15" customHeight="1">
      <c r="A6">
        <v>-40</v>
      </c>
      <c r="B6" s="236">
        <v>2800</v>
      </c>
      <c r="C6" s="244">
        <v>2800</v>
      </c>
      <c r="D6" s="237">
        <v>2900</v>
      </c>
      <c r="E6" s="238">
        <v>3000</v>
      </c>
      <c r="F6" s="238">
        <v>3120</v>
      </c>
      <c r="G6" s="239">
        <v>99999</v>
      </c>
      <c r="H6" s="167"/>
      <c r="J6" s="167"/>
      <c r="K6" s="168"/>
      <c r="N6">
        <v>-30</v>
      </c>
      <c r="O6" s="236"/>
      <c r="P6" s="237"/>
      <c r="Q6" s="238"/>
      <c r="R6" s="238"/>
      <c r="S6" s="239">
        <v>99999</v>
      </c>
      <c r="T6" s="167"/>
      <c r="U6" s="168"/>
      <c r="W6" s="167"/>
      <c r="X6" s="168"/>
      <c r="AA6">
        <v>-40</v>
      </c>
      <c r="AB6" s="236">
        <v>3000</v>
      </c>
      <c r="AC6" s="244">
        <v>3000</v>
      </c>
      <c r="AD6" s="237">
        <v>3100</v>
      </c>
      <c r="AE6" s="238">
        <v>3200</v>
      </c>
      <c r="AF6" s="238">
        <v>3350</v>
      </c>
      <c r="AG6" s="239">
        <v>99999</v>
      </c>
      <c r="AH6" s="167"/>
      <c r="AI6" s="168"/>
      <c r="AK6" s="167"/>
      <c r="AL6" s="168"/>
      <c r="AN6" s="167"/>
      <c r="AO6" s="168"/>
      <c r="AS6" s="150"/>
      <c r="AT6" s="150"/>
      <c r="AU6" s="150"/>
      <c r="AV6" s="167"/>
      <c r="AW6" s="168"/>
    </row>
    <row r="7" spans="1:54" ht="15" customHeight="1">
      <c r="A7">
        <v>-30</v>
      </c>
      <c r="B7" s="247">
        <v>2800</v>
      </c>
      <c r="C7" s="310">
        <v>2800</v>
      </c>
      <c r="D7" s="308">
        <v>2900</v>
      </c>
      <c r="E7" s="309">
        <v>3000</v>
      </c>
      <c r="F7" s="309">
        <v>3120</v>
      </c>
      <c r="G7" s="46">
        <v>99999</v>
      </c>
      <c r="H7" s="167"/>
      <c r="J7" s="167"/>
      <c r="K7" s="168"/>
      <c r="O7" s="247"/>
      <c r="P7" s="308"/>
      <c r="Q7" s="309"/>
      <c r="R7" s="309"/>
      <c r="S7" s="46"/>
      <c r="T7" s="167"/>
      <c r="U7" s="168"/>
      <c r="W7" s="167"/>
      <c r="X7" s="168"/>
      <c r="AA7">
        <v>-30</v>
      </c>
      <c r="AB7" s="247">
        <v>3000</v>
      </c>
      <c r="AC7" s="310">
        <v>3000</v>
      </c>
      <c r="AD7" s="308">
        <v>3100</v>
      </c>
      <c r="AE7" s="309">
        <v>3200</v>
      </c>
      <c r="AF7" s="309">
        <v>3350</v>
      </c>
      <c r="AG7" s="46">
        <v>99999</v>
      </c>
      <c r="AH7" s="167"/>
      <c r="AI7" s="168"/>
      <c r="AK7" s="167"/>
      <c r="AL7" s="168"/>
      <c r="AN7" s="167"/>
      <c r="AO7" s="168"/>
      <c r="AS7" s="150"/>
      <c r="AT7" s="150"/>
      <c r="AU7" s="150"/>
      <c r="AV7" s="167"/>
      <c r="AW7" s="168"/>
    </row>
    <row r="8" spans="1:54" ht="15" customHeight="1">
      <c r="A8">
        <v>-20</v>
      </c>
      <c r="B8" s="247">
        <v>2800</v>
      </c>
      <c r="C8" s="310">
        <v>2800</v>
      </c>
      <c r="D8" s="227">
        <v>2900</v>
      </c>
      <c r="E8">
        <v>3050</v>
      </c>
      <c r="F8">
        <v>3200</v>
      </c>
      <c r="G8" s="46">
        <v>99999</v>
      </c>
      <c r="H8" s="167"/>
      <c r="J8" s="167"/>
      <c r="K8" s="168"/>
      <c r="N8">
        <v>-20</v>
      </c>
      <c r="O8" s="247"/>
      <c r="P8" s="227"/>
      <c r="S8" s="46">
        <v>99999</v>
      </c>
      <c r="T8" s="167"/>
      <c r="U8" s="168"/>
      <c r="W8" s="167"/>
      <c r="X8" s="168"/>
      <c r="AA8">
        <v>-20</v>
      </c>
      <c r="AB8" s="247">
        <v>3000</v>
      </c>
      <c r="AC8" s="310">
        <v>3000</v>
      </c>
      <c r="AD8" s="227">
        <v>3100</v>
      </c>
      <c r="AE8">
        <v>3200</v>
      </c>
      <c r="AF8">
        <v>3350</v>
      </c>
      <c r="AG8" s="46">
        <v>99999</v>
      </c>
      <c r="AH8" s="167"/>
      <c r="AI8" s="168"/>
      <c r="AK8" s="167"/>
      <c r="AL8" s="168"/>
      <c r="AN8" s="167"/>
      <c r="AO8" s="168"/>
      <c r="AS8" s="150"/>
      <c r="AT8" s="150"/>
      <c r="AU8" s="150"/>
      <c r="AV8" s="167"/>
      <c r="AW8" s="168"/>
    </row>
    <row r="9" spans="1:54" ht="15" customHeight="1">
      <c r="A9">
        <v>-10</v>
      </c>
      <c r="B9" s="247">
        <v>2900</v>
      </c>
      <c r="C9" s="310">
        <v>2900</v>
      </c>
      <c r="D9" s="227">
        <v>3100</v>
      </c>
      <c r="E9">
        <v>3200</v>
      </c>
      <c r="F9">
        <v>3310</v>
      </c>
      <c r="G9" s="46">
        <v>99999</v>
      </c>
      <c r="H9" s="167"/>
      <c r="J9" s="167"/>
      <c r="K9" s="168"/>
      <c r="N9">
        <v>-10</v>
      </c>
      <c r="O9" s="247"/>
      <c r="P9" s="227"/>
      <c r="S9" s="46">
        <v>99999</v>
      </c>
      <c r="T9" s="167"/>
      <c r="U9" s="168"/>
      <c r="W9" s="167"/>
      <c r="X9" s="168"/>
      <c r="AA9">
        <v>-10</v>
      </c>
      <c r="AB9" s="247">
        <v>3050</v>
      </c>
      <c r="AC9" s="310">
        <v>3050</v>
      </c>
      <c r="AD9" s="227">
        <v>3200</v>
      </c>
      <c r="AE9">
        <v>3300</v>
      </c>
      <c r="AF9">
        <v>3450</v>
      </c>
      <c r="AG9" s="46">
        <v>99999</v>
      </c>
      <c r="AH9" s="167"/>
      <c r="AI9" s="168"/>
      <c r="AK9" s="167"/>
      <c r="AL9" s="168"/>
      <c r="AN9" s="167"/>
      <c r="AO9" s="168"/>
      <c r="AS9" s="150"/>
      <c r="AT9" s="150"/>
      <c r="AU9" s="150"/>
      <c r="AV9" s="167"/>
      <c r="AW9" s="168"/>
    </row>
    <row r="10" spans="1:54" ht="15" customHeight="1">
      <c r="A10">
        <v>0</v>
      </c>
      <c r="B10" s="247">
        <v>3075</v>
      </c>
      <c r="C10" s="310">
        <v>3075</v>
      </c>
      <c r="D10" s="227">
        <v>3200</v>
      </c>
      <c r="E10">
        <v>3300</v>
      </c>
      <c r="F10">
        <v>3490</v>
      </c>
      <c r="G10" s="46">
        <v>99999</v>
      </c>
      <c r="H10" s="167"/>
      <c r="J10" s="167"/>
      <c r="K10" s="168"/>
      <c r="N10">
        <v>0</v>
      </c>
      <c r="O10" s="247"/>
      <c r="P10" s="227"/>
      <c r="S10" s="46">
        <v>99999</v>
      </c>
      <c r="T10" s="167"/>
      <c r="U10" s="168"/>
      <c r="W10" s="167"/>
      <c r="X10" s="168"/>
      <c r="AA10">
        <v>0</v>
      </c>
      <c r="AB10" s="247">
        <v>3200</v>
      </c>
      <c r="AC10" s="310">
        <v>3200</v>
      </c>
      <c r="AD10" s="227">
        <v>3350</v>
      </c>
      <c r="AE10">
        <v>3500</v>
      </c>
      <c r="AF10">
        <v>3600</v>
      </c>
      <c r="AG10" s="46">
        <v>99999</v>
      </c>
      <c r="AH10" s="167"/>
      <c r="AI10" s="168"/>
      <c r="AK10" s="167"/>
      <c r="AL10" s="168"/>
      <c r="AN10" s="167"/>
      <c r="AO10" s="168"/>
      <c r="AS10" s="150"/>
      <c r="AT10" s="150"/>
      <c r="AU10" s="150"/>
      <c r="AV10" s="167"/>
      <c r="AW10" s="168"/>
    </row>
    <row r="11" spans="1:54" ht="15" customHeight="1">
      <c r="A11">
        <v>10</v>
      </c>
      <c r="B11" s="247">
        <v>3200</v>
      </c>
      <c r="C11" s="310">
        <v>3200</v>
      </c>
      <c r="D11" s="227">
        <v>3350</v>
      </c>
      <c r="E11">
        <v>3450</v>
      </c>
      <c r="F11">
        <v>3650</v>
      </c>
      <c r="G11" s="46">
        <v>99999</v>
      </c>
      <c r="H11" s="167"/>
      <c r="J11" s="167"/>
      <c r="K11" s="168"/>
      <c r="N11">
        <v>10</v>
      </c>
      <c r="O11" s="247"/>
      <c r="P11" s="227"/>
      <c r="S11" s="46">
        <v>99999</v>
      </c>
      <c r="T11" s="167"/>
      <c r="U11" s="168"/>
      <c r="W11" s="167"/>
      <c r="X11" s="168"/>
      <c r="AA11">
        <v>10</v>
      </c>
      <c r="AB11" s="247">
        <v>3350</v>
      </c>
      <c r="AC11" s="310">
        <v>3350</v>
      </c>
      <c r="AD11" s="227">
        <v>3450</v>
      </c>
      <c r="AE11">
        <v>3600</v>
      </c>
      <c r="AF11">
        <v>3800</v>
      </c>
      <c r="AG11" s="46">
        <v>99999</v>
      </c>
      <c r="AH11" s="167"/>
      <c r="AI11" s="168"/>
      <c r="AK11" s="167"/>
      <c r="AL11" s="168"/>
      <c r="AN11" s="167"/>
      <c r="AO11" s="168"/>
      <c r="AS11" s="150"/>
      <c r="AT11" s="150"/>
      <c r="AU11" s="150"/>
      <c r="AV11" s="167"/>
      <c r="AW11" s="168"/>
    </row>
    <row r="12" spans="1:54" ht="15" customHeight="1">
      <c r="A12">
        <v>20</v>
      </c>
      <c r="B12" s="247">
        <v>3300</v>
      </c>
      <c r="C12" s="310">
        <v>3300</v>
      </c>
      <c r="D12" s="227">
        <v>3480</v>
      </c>
      <c r="E12">
        <v>3600</v>
      </c>
      <c r="F12">
        <v>3800</v>
      </c>
      <c r="G12" s="46">
        <v>99999</v>
      </c>
      <c r="H12" s="167"/>
      <c r="J12" s="167"/>
      <c r="K12" s="168"/>
      <c r="N12">
        <v>20</v>
      </c>
      <c r="O12" s="247"/>
      <c r="P12" s="227"/>
      <c r="S12" s="46">
        <v>99999</v>
      </c>
      <c r="T12" s="167"/>
      <c r="U12" s="168"/>
      <c r="W12" s="167"/>
      <c r="X12" s="168"/>
      <c r="AA12">
        <v>20</v>
      </c>
      <c r="AB12" s="247">
        <v>3450</v>
      </c>
      <c r="AC12" s="310">
        <v>3450</v>
      </c>
      <c r="AD12" s="227">
        <v>3650</v>
      </c>
      <c r="AE12">
        <v>3800</v>
      </c>
      <c r="AF12">
        <v>4000</v>
      </c>
      <c r="AG12" s="46">
        <v>99999</v>
      </c>
      <c r="AH12" s="167"/>
      <c r="AI12" s="168"/>
      <c r="AK12" s="167"/>
      <c r="AL12" s="168"/>
      <c r="AN12" s="167"/>
      <c r="AO12" s="168"/>
      <c r="AS12" s="150"/>
      <c r="AT12" s="150"/>
      <c r="AU12" s="150"/>
      <c r="AV12" s="167"/>
      <c r="AW12" s="168"/>
    </row>
    <row r="13" spans="1:54" ht="15" customHeight="1">
      <c r="A13">
        <v>30</v>
      </c>
      <c r="B13" s="247">
        <v>3450</v>
      </c>
      <c r="C13" s="310">
        <v>3450</v>
      </c>
      <c r="D13" s="227">
        <v>3650</v>
      </c>
      <c r="E13">
        <v>3800</v>
      </c>
      <c r="F13">
        <v>4050</v>
      </c>
      <c r="G13" s="46">
        <v>99999</v>
      </c>
      <c r="H13" s="167"/>
      <c r="J13" s="167"/>
      <c r="K13" s="168"/>
      <c r="O13" s="247"/>
      <c r="P13" s="227"/>
      <c r="S13" s="46"/>
      <c r="T13" s="167"/>
      <c r="U13" s="168"/>
      <c r="W13" s="167"/>
      <c r="X13" s="168"/>
      <c r="AA13">
        <v>30</v>
      </c>
      <c r="AB13" s="247">
        <v>3600</v>
      </c>
      <c r="AC13" s="310">
        <v>3600</v>
      </c>
      <c r="AD13" s="227">
        <v>3800</v>
      </c>
      <c r="AE13">
        <v>3950</v>
      </c>
      <c r="AF13">
        <v>4250</v>
      </c>
      <c r="AG13" s="46">
        <v>99999</v>
      </c>
      <c r="AH13" s="167"/>
      <c r="AI13" s="168"/>
      <c r="AK13" s="167"/>
      <c r="AL13" s="168"/>
      <c r="AN13" s="167"/>
      <c r="AO13" s="168"/>
      <c r="AS13" s="150"/>
      <c r="AT13" s="150"/>
      <c r="AU13" s="150"/>
      <c r="AV13" s="167"/>
      <c r="AW13" s="168"/>
    </row>
    <row r="14" spans="1:54" ht="15" customHeight="1">
      <c r="A14">
        <v>40</v>
      </c>
      <c r="B14" s="247">
        <v>3650</v>
      </c>
      <c r="C14" s="310">
        <v>3650</v>
      </c>
      <c r="D14" s="227">
        <v>3850</v>
      </c>
      <c r="E14">
        <v>4100</v>
      </c>
      <c r="F14">
        <v>4350</v>
      </c>
      <c r="G14" s="46">
        <v>99999</v>
      </c>
      <c r="H14" s="167"/>
      <c r="J14" s="167"/>
      <c r="K14" s="168"/>
      <c r="N14">
        <v>30</v>
      </c>
      <c r="O14" s="247"/>
      <c r="P14" s="227"/>
      <c r="S14" s="46">
        <v>99999</v>
      </c>
      <c r="T14" s="167"/>
      <c r="U14" s="168"/>
      <c r="W14" s="167"/>
      <c r="X14" s="168"/>
      <c r="AA14">
        <v>40</v>
      </c>
      <c r="AB14" s="247">
        <v>3850</v>
      </c>
      <c r="AC14" s="310">
        <v>3850</v>
      </c>
      <c r="AD14" s="227">
        <v>4050</v>
      </c>
      <c r="AE14">
        <v>4250</v>
      </c>
      <c r="AF14">
        <v>4500</v>
      </c>
      <c r="AG14" s="46">
        <v>99999</v>
      </c>
      <c r="AH14" s="167"/>
      <c r="AI14" s="168"/>
      <c r="AK14" s="167"/>
      <c r="AL14" s="168"/>
      <c r="AN14" s="167"/>
      <c r="AO14" s="168"/>
      <c r="AS14" s="150"/>
      <c r="AT14" s="150"/>
      <c r="AU14" s="150"/>
      <c r="AV14" s="167"/>
      <c r="AW14" s="168"/>
    </row>
    <row r="15" spans="1:54" ht="15" customHeight="1">
      <c r="A15">
        <v>45</v>
      </c>
      <c r="B15" s="242">
        <v>99999</v>
      </c>
      <c r="C15" s="248">
        <v>99999</v>
      </c>
      <c r="D15" s="243">
        <v>99999</v>
      </c>
      <c r="E15" s="243">
        <v>99999</v>
      </c>
      <c r="F15" s="243">
        <v>99999</v>
      </c>
      <c r="G15" s="251">
        <v>99999</v>
      </c>
      <c r="H15" s="167"/>
      <c r="J15" s="167"/>
      <c r="K15" s="168"/>
      <c r="N15">
        <v>35</v>
      </c>
      <c r="O15" s="242">
        <v>99999</v>
      </c>
      <c r="P15" s="243">
        <v>99999</v>
      </c>
      <c r="Q15" s="243">
        <v>99999</v>
      </c>
      <c r="R15" s="243">
        <v>99999</v>
      </c>
      <c r="S15" s="251">
        <v>99999</v>
      </c>
      <c r="T15" s="167"/>
      <c r="U15" s="168"/>
      <c r="W15" s="167"/>
      <c r="X15" s="168"/>
      <c r="AA15">
        <v>45</v>
      </c>
      <c r="AB15" s="242">
        <v>99999</v>
      </c>
      <c r="AC15" s="248">
        <v>99999</v>
      </c>
      <c r="AD15" s="243">
        <v>99999</v>
      </c>
      <c r="AE15" s="243">
        <v>99999</v>
      </c>
      <c r="AF15" s="243">
        <v>99999</v>
      </c>
      <c r="AG15" s="251">
        <v>99999</v>
      </c>
      <c r="AH15" s="167"/>
      <c r="AI15" s="168"/>
      <c r="AK15" s="167"/>
      <c r="AL15" s="168"/>
      <c r="AN15" s="167"/>
      <c r="AO15" s="168"/>
      <c r="AS15" s="150"/>
      <c r="AT15" s="150"/>
      <c r="AU15" s="150"/>
      <c r="AV15" s="167"/>
      <c r="AW15" s="168"/>
    </row>
    <row r="16" spans="1:54" ht="15" customHeight="1">
      <c r="B16" s="167"/>
      <c r="C16" s="168"/>
      <c r="G16" s="150"/>
      <c r="H16" s="150"/>
      <c r="I16" s="150"/>
      <c r="J16" s="167"/>
      <c r="K16" s="168"/>
      <c r="O16" s="167"/>
      <c r="P16" s="168"/>
      <c r="T16" s="150"/>
      <c r="U16" s="150"/>
      <c r="V16" s="150"/>
      <c r="W16" s="167"/>
      <c r="X16" s="168"/>
      <c r="Z16" s="167"/>
      <c r="AB16" s="167"/>
      <c r="AC16" s="168"/>
      <c r="AG16" s="150"/>
      <c r="AH16" s="150"/>
      <c r="AI16" s="150"/>
      <c r="AJ16" s="167"/>
      <c r="AK16" s="168"/>
      <c r="AM16" s="150"/>
      <c r="AN16" s="150"/>
      <c r="AO16" s="150"/>
      <c r="AP16" s="167"/>
      <c r="AQ16" s="168"/>
      <c r="AU16" s="150"/>
      <c r="AV16" s="150"/>
      <c r="AW16" s="150"/>
      <c r="AX16" s="167"/>
      <c r="AY16" s="168"/>
    </row>
    <row r="17" spans="1:53" ht="15" customHeight="1">
      <c r="B17" s="167" t="s">
        <v>150</v>
      </c>
      <c r="C17" s="168">
        <f ca="1">D1</f>
        <v>200</v>
      </c>
      <c r="D17" s="299" t="s">
        <v>202</v>
      </c>
      <c r="E17" s="299"/>
      <c r="G17" s="150"/>
      <c r="H17" s="150"/>
      <c r="I17" s="150"/>
      <c r="J17" s="167"/>
      <c r="K17" s="168"/>
      <c r="L17" s="92"/>
      <c r="O17" s="167" t="s">
        <v>150</v>
      </c>
      <c r="P17" s="168">
        <f ca="1">D1</f>
        <v>200</v>
      </c>
      <c r="Q17" s="299" t="s">
        <v>202</v>
      </c>
      <c r="R17" s="299"/>
      <c r="T17" s="150"/>
      <c r="U17" s="150"/>
      <c r="V17" s="150"/>
      <c r="W17" s="167"/>
      <c r="X17" s="168"/>
      <c r="Y17" s="92"/>
      <c r="Z17" s="167"/>
      <c r="AB17" s="167" t="s">
        <v>150</v>
      </c>
      <c r="AC17" s="168">
        <f ca="1">D1</f>
        <v>200</v>
      </c>
      <c r="AD17" s="299" t="s">
        <v>202</v>
      </c>
      <c r="AE17" s="299"/>
      <c r="AG17" s="150"/>
      <c r="AH17" s="150"/>
      <c r="AI17" s="150"/>
      <c r="AJ17" s="167"/>
      <c r="AK17" s="168"/>
      <c r="AL17" s="92"/>
      <c r="AM17" s="150"/>
      <c r="AN17" s="150"/>
      <c r="AO17" s="150"/>
      <c r="AP17" s="167"/>
      <c r="AQ17" s="168"/>
      <c r="AR17" s="299"/>
      <c r="AS17" s="299"/>
      <c r="AU17" s="150"/>
      <c r="AV17" s="150"/>
      <c r="AW17" s="150"/>
      <c r="AX17" s="167"/>
      <c r="AY17" s="168"/>
      <c r="AZ17" s="299"/>
      <c r="BA17" s="299"/>
    </row>
    <row r="18" spans="1:53" ht="15" customHeight="1">
      <c r="B18" s="38" t="s">
        <v>203</v>
      </c>
      <c r="C18" s="169">
        <f t="array" aca="1" ref="C18" ca="1">INDEX(B5:G5,MATCH(C17,B5:G5,1))</f>
        <v>0</v>
      </c>
      <c r="D18" s="38" t="s">
        <v>148</v>
      </c>
      <c r="E18" s="39">
        <f>MATCH(MAX(A6:A15),A6:A15,1)</f>
        <v>10</v>
      </c>
      <c r="G18" s="150"/>
      <c r="H18" s="150"/>
      <c r="I18" s="150"/>
      <c r="J18" s="38"/>
      <c r="K18" s="169"/>
      <c r="L18" s="38"/>
      <c r="M18" s="39"/>
      <c r="O18" s="38" t="s">
        <v>203</v>
      </c>
      <c r="P18" s="169">
        <f t="array" aca="1" ref="P18" ca="1">INDEX(O5:S5,MATCH(P17,O5:S5,1))</f>
        <v>0</v>
      </c>
      <c r="Q18" s="38" t="s">
        <v>148</v>
      </c>
      <c r="R18" s="39">
        <f>MATCH(MAX(N6:N15),N6:N15,1)</f>
        <v>10</v>
      </c>
      <c r="T18" s="150"/>
      <c r="U18" s="150"/>
      <c r="V18" s="150"/>
      <c r="W18" s="38"/>
      <c r="X18" s="169"/>
      <c r="Y18" s="38"/>
      <c r="Z18" s="38"/>
      <c r="AB18" s="38" t="s">
        <v>203</v>
      </c>
      <c r="AC18" s="169">
        <f t="array" aca="1" ref="AC18" ca="1">INDEX(AB5:AG5,MATCH(AC17,AB5:AG5,1))</f>
        <v>0</v>
      </c>
      <c r="AD18" s="38" t="s">
        <v>148</v>
      </c>
      <c r="AE18" s="39">
        <f>MATCH(MAX(AA6:AA15),AA6:AA15,1)</f>
        <v>10</v>
      </c>
      <c r="AG18" s="150"/>
      <c r="AH18" s="150"/>
      <c r="AI18" s="150"/>
      <c r="AJ18" s="38"/>
      <c r="AK18" s="169"/>
      <c r="AL18" s="38"/>
      <c r="AM18" s="150"/>
      <c r="AN18" s="150"/>
      <c r="AO18" s="150"/>
      <c r="AP18" s="38"/>
      <c r="AQ18" s="169"/>
      <c r="AR18" s="38"/>
      <c r="AS18" s="39"/>
      <c r="AU18" s="150"/>
      <c r="AV18" s="150"/>
      <c r="AW18" s="150"/>
      <c r="AX18" s="38"/>
      <c r="AY18" s="169"/>
      <c r="AZ18" s="38"/>
      <c r="BA18" s="39"/>
    </row>
    <row r="19" spans="1:53" ht="15" customHeight="1">
      <c r="B19" s="38" t="s">
        <v>204</v>
      </c>
      <c r="C19" s="169">
        <f t="array" aca="1" ref="C19" ca="1">INDEX(B5:G5,IF(MATCH(C17,B5:G5,1)&lt;E19,MATCH(C17,B5:G5,1)+1,MATCH(C17,B5:G5,1)))</f>
        <v>1000</v>
      </c>
      <c r="D19" s="38" t="s">
        <v>149</v>
      </c>
      <c r="E19" s="39">
        <f>MATCH(MAX(B5:G5),B5:G5,0)</f>
        <v>6</v>
      </c>
      <c r="G19" s="150"/>
      <c r="H19" s="150"/>
      <c r="I19" s="150"/>
      <c r="J19" s="38"/>
      <c r="K19" s="169"/>
      <c r="L19" s="38"/>
      <c r="M19" s="39"/>
      <c r="O19" s="38" t="s">
        <v>204</v>
      </c>
      <c r="P19" s="169">
        <f t="array" aca="1" ref="P19" ca="1">INDEX(O5:S5,IF(MATCH(P17,O5:S5,1)&lt;R19,MATCH(P17,O5:S5,1)+1,MATCH(P17,O5:S5,1)))</f>
        <v>1000</v>
      </c>
      <c r="Q19" s="38" t="s">
        <v>149</v>
      </c>
      <c r="R19" s="39">
        <f>MATCH(MAX(O5:S5),O5:S5,0)</f>
        <v>5</v>
      </c>
      <c r="T19" s="150"/>
      <c r="U19" s="150"/>
      <c r="V19" s="150"/>
      <c r="W19" s="38"/>
      <c r="X19" s="169"/>
      <c r="Y19" s="38"/>
      <c r="Z19" s="38"/>
      <c r="AB19" s="38" t="s">
        <v>204</v>
      </c>
      <c r="AC19" s="169">
        <f t="array" aca="1" ref="AC19" ca="1">INDEX(AB5:AG5,IF(MATCH(AC17,AB5:AG5,1)&lt;AE19,MATCH(AC17,AB5:AG5,1)+1,MATCH(AC17,AB5:AG5,1)))</f>
        <v>1000</v>
      </c>
      <c r="AD19" s="38" t="s">
        <v>149</v>
      </c>
      <c r="AE19" s="39">
        <f>MATCH(MAX(AB5:AG5),AB5:AG5,0)</f>
        <v>6</v>
      </c>
      <c r="AG19" s="150"/>
      <c r="AH19" s="150"/>
      <c r="AI19" s="150"/>
      <c r="AJ19" s="38"/>
      <c r="AK19" s="169"/>
      <c r="AL19" s="38"/>
      <c r="AM19" s="150"/>
      <c r="AN19" s="150"/>
      <c r="AO19" s="150"/>
      <c r="AP19" s="38"/>
      <c r="AQ19" s="169"/>
      <c r="AR19" s="38"/>
      <c r="AS19" s="39"/>
      <c r="AU19" s="150"/>
      <c r="AV19" s="150"/>
      <c r="AW19" s="150"/>
      <c r="AX19" s="38"/>
      <c r="AY19" s="169"/>
      <c r="AZ19" s="38"/>
      <c r="BA19" s="39"/>
    </row>
    <row r="20" spans="1:53" ht="15" customHeight="1">
      <c r="B20" s="167" t="s">
        <v>151</v>
      </c>
      <c r="C20" s="213">
        <f ca="1">D2</f>
        <v>0</v>
      </c>
      <c r="D20" s="150"/>
      <c r="E20" s="150"/>
      <c r="G20" s="150"/>
      <c r="H20" s="150"/>
      <c r="I20" s="150"/>
      <c r="J20" s="167"/>
      <c r="K20" s="213"/>
      <c r="L20" s="150"/>
      <c r="M20" s="150"/>
      <c r="O20" s="167" t="s">
        <v>151</v>
      </c>
      <c r="P20" s="213">
        <f ca="1">D2</f>
        <v>0</v>
      </c>
      <c r="Q20" s="150"/>
      <c r="R20" s="150"/>
      <c r="T20" s="150"/>
      <c r="U20" s="150"/>
      <c r="V20" s="150"/>
      <c r="W20" s="167"/>
      <c r="X20" s="213"/>
      <c r="Y20" s="150"/>
      <c r="Z20" s="167"/>
      <c r="AB20" s="167" t="s">
        <v>151</v>
      </c>
      <c r="AC20" s="213">
        <f ca="1">D2</f>
        <v>0</v>
      </c>
      <c r="AD20" s="150"/>
      <c r="AE20" s="150"/>
      <c r="AG20" s="150"/>
      <c r="AH20" s="150"/>
      <c r="AI20" s="150"/>
      <c r="AJ20" s="167"/>
      <c r="AK20" s="213"/>
      <c r="AL20" s="150"/>
      <c r="AM20" s="150"/>
      <c r="AN20" s="150"/>
      <c r="AO20" s="150"/>
      <c r="AP20" s="167"/>
      <c r="AQ20" s="213"/>
      <c r="AR20" s="150"/>
      <c r="AS20" s="150"/>
      <c r="AU20" s="150"/>
      <c r="AV20" s="150"/>
      <c r="AW20" s="150"/>
      <c r="AX20" s="167"/>
      <c r="AY20" s="213"/>
      <c r="AZ20" s="150"/>
      <c r="BA20" s="150"/>
    </row>
    <row r="21" spans="1:53" ht="15" customHeight="1">
      <c r="B21" s="38" t="s">
        <v>152</v>
      </c>
      <c r="C21" s="169">
        <f t="array" aca="1" ref="C21" ca="1">INDEX(A6:A15,MATCH(C20,A6:A15,1))</f>
        <v>0</v>
      </c>
      <c r="D21" s="150"/>
      <c r="E21" s="73"/>
      <c r="G21" s="150"/>
      <c r="H21" s="150"/>
      <c r="I21" s="150"/>
      <c r="J21" s="38"/>
      <c r="K21" s="169"/>
      <c r="L21" s="150"/>
      <c r="M21" s="73"/>
      <c r="O21" s="38" t="s">
        <v>152</v>
      </c>
      <c r="P21" s="169">
        <f t="array" aca="1" ref="P21" ca="1">INDEX(N6:N15,MATCH(P20,N6:N15,1))</f>
        <v>0</v>
      </c>
      <c r="Q21" s="150"/>
      <c r="R21" s="73"/>
      <c r="T21" s="150"/>
      <c r="U21" s="150"/>
      <c r="V21" s="150"/>
      <c r="W21" s="38"/>
      <c r="X21" s="169"/>
      <c r="Y21" s="150"/>
      <c r="Z21" s="38"/>
      <c r="AB21" s="38" t="s">
        <v>152</v>
      </c>
      <c r="AC21" s="169">
        <f t="array" aca="1" ref="AC21" ca="1">INDEX(AA6:AA15,MATCH(AC20,AA6:AA15,1))</f>
        <v>0</v>
      </c>
      <c r="AD21" s="150"/>
      <c r="AE21" s="73"/>
      <c r="AG21" s="150"/>
      <c r="AH21" s="150"/>
      <c r="AI21" s="150"/>
      <c r="AJ21" s="38"/>
      <c r="AK21" s="169"/>
      <c r="AL21" s="150"/>
      <c r="AM21" s="150"/>
      <c r="AN21" s="150"/>
      <c r="AO21" s="150"/>
      <c r="AP21" s="38"/>
      <c r="AQ21" s="169"/>
      <c r="AR21" s="150"/>
      <c r="AS21" s="73"/>
      <c r="AU21" s="150"/>
      <c r="AV21" s="150"/>
      <c r="AW21" s="150"/>
      <c r="AX21" s="38"/>
      <c r="AY21" s="169"/>
      <c r="AZ21" s="150"/>
      <c r="BA21" s="73"/>
    </row>
    <row r="22" spans="1:53" ht="15" customHeight="1">
      <c r="B22" s="38" t="s">
        <v>153</v>
      </c>
      <c r="C22" s="169">
        <f t="array" aca="1" ref="C22" ca="1">INDEX(A6:A15,IF(MATCH(C20,A6:A15,1)&lt;E18,MATCH(C20,A6:A15,1)+1,MATCH(C20,A6:A15,1)))</f>
        <v>10</v>
      </c>
      <c r="D22" s="150"/>
      <c r="E22" s="73"/>
      <c r="G22" s="150"/>
      <c r="H22" s="150"/>
      <c r="I22" s="150"/>
      <c r="J22" s="38"/>
      <c r="K22" s="169"/>
      <c r="L22" s="150"/>
      <c r="M22" s="73"/>
      <c r="O22" s="38" t="s">
        <v>153</v>
      </c>
      <c r="P22" s="169">
        <f t="array" aca="1" ref="P22" ca="1">INDEX(N6:N15,IF(MATCH(P20,N6:N15,1)&lt;R18,MATCH(P20,N6:N15,1)+1,MATCH(P20,N6:N15,1)))</f>
        <v>10</v>
      </c>
      <c r="Q22" s="150"/>
      <c r="R22" s="73"/>
      <c r="T22" s="150"/>
      <c r="U22" s="150"/>
      <c r="V22" s="150"/>
      <c r="W22" s="38"/>
      <c r="X22" s="169"/>
      <c r="Y22" s="150"/>
      <c r="Z22" s="38"/>
      <c r="AB22" s="38" t="s">
        <v>153</v>
      </c>
      <c r="AC22" s="169">
        <f t="array" aca="1" ref="AC22" ca="1">INDEX(AA6:AA15,IF(MATCH(AC20,AA6:AA15,1)&lt;AE18,MATCH(AC20,AA6:AA15,1)+1,MATCH(AC20,AA6:AA15,1)))</f>
        <v>10</v>
      </c>
      <c r="AD22" s="150"/>
      <c r="AE22" s="73"/>
      <c r="AG22" s="150"/>
      <c r="AH22" s="150"/>
      <c r="AI22" s="150"/>
      <c r="AJ22" s="38"/>
      <c r="AK22" s="169"/>
      <c r="AL22" s="150"/>
      <c r="AM22" s="150"/>
      <c r="AN22" s="150"/>
      <c r="AO22" s="150"/>
      <c r="AP22" s="38"/>
      <c r="AQ22" s="169"/>
      <c r="AR22" s="150"/>
      <c r="AS22" s="73"/>
      <c r="AU22" s="150"/>
      <c r="AV22" s="150"/>
      <c r="AW22" s="150"/>
      <c r="AX22" s="38"/>
      <c r="AY22" s="169"/>
      <c r="AZ22" s="150"/>
      <c r="BA22" s="73"/>
    </row>
    <row r="23" spans="1:53" ht="15" customHeight="1">
      <c r="B23" s="167" t="s">
        <v>154</v>
      </c>
      <c r="C23" s="168">
        <f t="array" aca="1" ref="C23" ca="1">INDEX(B6:G15,MATCH(C20,A6:A15,1),MATCH(C17,B5:G5,1))</f>
        <v>3075</v>
      </c>
      <c r="D23" s="150"/>
      <c r="E23" s="73"/>
      <c r="G23" s="150"/>
      <c r="H23" s="150"/>
      <c r="I23" s="150"/>
      <c r="J23" s="167"/>
      <c r="K23" s="168"/>
      <c r="L23" s="150"/>
      <c r="M23" s="73"/>
      <c r="O23" s="167" t="s">
        <v>154</v>
      </c>
      <c r="P23" s="168">
        <f ca="1">INDEX(O6:S15,MATCH(P20,N6:N15,1),MATCH(P17,O5:S5,1))</f>
        <v>0</v>
      </c>
      <c r="Q23" s="150"/>
      <c r="R23" s="73"/>
      <c r="T23" s="150"/>
      <c r="U23" s="150"/>
      <c r="V23" s="150"/>
      <c r="W23" s="167"/>
      <c r="X23" s="168"/>
      <c r="Y23" s="150"/>
      <c r="Z23" s="167"/>
      <c r="AB23" s="167" t="s">
        <v>154</v>
      </c>
      <c r="AC23" s="168">
        <f t="array" aca="1" ref="AC23" ca="1">INDEX(AB6:AG15,MATCH(AC20,AA6:AA15,1),MATCH(AC17,AB5:AG5,1))</f>
        <v>3200</v>
      </c>
      <c r="AD23" s="150"/>
      <c r="AE23" s="73"/>
      <c r="AG23" s="150"/>
      <c r="AH23" s="150"/>
      <c r="AI23" s="150"/>
      <c r="AJ23" s="167"/>
      <c r="AK23" s="168"/>
      <c r="AL23" s="150"/>
      <c r="AM23" s="150"/>
      <c r="AN23" s="150"/>
      <c r="AO23" s="150"/>
      <c r="AP23" s="167"/>
      <c r="AQ23" s="168"/>
      <c r="AR23" s="150"/>
      <c r="AS23" s="73"/>
      <c r="AU23" s="150"/>
      <c r="AV23" s="150"/>
      <c r="AW23" s="150"/>
      <c r="AX23" s="167"/>
      <c r="AY23" s="168"/>
      <c r="AZ23" s="150"/>
      <c r="BA23" s="73"/>
    </row>
    <row r="24" spans="1:53" ht="15" customHeight="1">
      <c r="B24" s="167" t="s">
        <v>205</v>
      </c>
      <c r="C24" s="168">
        <f t="array" aca="1" ref="C24" ca="1">INDEX(B6:G15,MATCH(C20,A6:A15,1),IF(MATCH(C17,B5:G5,1)&lt;E19,MATCH(C17,B5:G5,1)+1,MATCH(C20,A6:A15,1)))</f>
        <v>3200</v>
      </c>
      <c r="E24" s="73"/>
      <c r="G24" s="150"/>
      <c r="H24" s="150"/>
      <c r="I24" s="150"/>
      <c r="J24" s="167"/>
      <c r="K24" s="168"/>
      <c r="M24" s="73"/>
      <c r="O24" s="167" t="s">
        <v>205</v>
      </c>
      <c r="P24" s="168">
        <f ca="1">INDEX(O6:S15,MATCH(P20,N6:N15,1),IF(MATCH(P17,O5:S5,1)&lt;R19,MATCH(P17,O5:S5,1)+1,MATCH(P20,N6:N15,1)))</f>
        <v>0</v>
      </c>
      <c r="R24" s="73"/>
      <c r="T24" s="150"/>
      <c r="U24" s="150"/>
      <c r="V24" s="150"/>
      <c r="W24" s="167"/>
      <c r="X24" s="168"/>
      <c r="Z24" s="167"/>
      <c r="AB24" s="167" t="s">
        <v>205</v>
      </c>
      <c r="AC24" s="168">
        <f t="array" aca="1" ref="AC24" ca="1">INDEX(AB6:AG15,MATCH(AC20,AA6:AA15,1),IF(MATCH(AC17,AB5:AG5,1)&lt;AE19,MATCH(AC17,AB5:AG5,1)+1,MATCH(AC20,AA6:AA15,1)))</f>
        <v>3350</v>
      </c>
      <c r="AE24" s="73"/>
      <c r="AG24" s="150"/>
      <c r="AH24" s="150"/>
      <c r="AI24" s="150"/>
      <c r="AJ24" s="167"/>
      <c r="AK24" s="168"/>
      <c r="AM24" s="150"/>
      <c r="AN24" s="150"/>
      <c r="AO24" s="150"/>
      <c r="AP24" s="167"/>
      <c r="AQ24" s="168"/>
      <c r="AS24" s="73"/>
      <c r="AU24" s="150"/>
      <c r="AV24" s="150"/>
      <c r="AW24" s="150"/>
      <c r="AX24" s="167"/>
      <c r="AY24" s="168"/>
      <c r="BA24" s="73"/>
    </row>
    <row r="25" spans="1:53" ht="15" customHeight="1">
      <c r="B25" s="167" t="s">
        <v>155</v>
      </c>
      <c r="C25" s="168">
        <f t="array" aca="1" ref="C25" ca="1">INDEX(B6:G15,IF(MATCH(C20,A6:A15,1)&lt;E18,MATCH(C20,A6:A15,1)+1,MATCH(C20,A6:A15,1)),MATCH(C17,B5:G5,1))</f>
        <v>3200</v>
      </c>
      <c r="E25" s="73"/>
      <c r="G25" s="150"/>
      <c r="H25" s="150"/>
      <c r="I25" s="150"/>
      <c r="J25" s="167"/>
      <c r="K25" s="168"/>
      <c r="M25" s="73"/>
      <c r="O25" s="167" t="s">
        <v>155</v>
      </c>
      <c r="P25" s="168">
        <f ca="1">INDEX(O6:S15,IF(MATCH(P20,N6:N15,1)&lt;R18,MATCH(P20,N6:N15,1)+1,MATCH(P20,N6:N15,1)),MATCH(P17,O5:S5,1))</f>
        <v>0</v>
      </c>
      <c r="R25" s="73"/>
      <c r="T25" s="150"/>
      <c r="U25" s="150"/>
      <c r="V25" s="150"/>
      <c r="W25" s="167"/>
      <c r="X25" s="168"/>
      <c r="Z25" s="167"/>
      <c r="AB25" s="167" t="s">
        <v>155</v>
      </c>
      <c r="AC25" s="168">
        <f t="array" aca="1" ref="AC25" ca="1">INDEX(AB6:AG15,IF(MATCH(AC20,AA6:AA15,1)&lt;AE18,MATCH(AC20,AA6:AA15,1)+1,MATCH(AC20,AA6:AA15,1)),MATCH(AC17,AB5:AG5,1))</f>
        <v>3350</v>
      </c>
      <c r="AE25" s="73"/>
      <c r="AG25" s="150"/>
      <c r="AH25" s="150"/>
      <c r="AI25" s="150"/>
      <c r="AJ25" s="167"/>
      <c r="AK25" s="168"/>
      <c r="AM25" s="150"/>
      <c r="AN25" s="150"/>
      <c r="AO25" s="150"/>
      <c r="AP25" s="167"/>
      <c r="AQ25" s="168"/>
      <c r="AS25" s="73"/>
      <c r="AU25" s="150"/>
      <c r="AV25" s="150"/>
      <c r="AW25" s="150"/>
      <c r="AX25" s="167"/>
      <c r="AY25" s="168"/>
      <c r="BA25" s="73"/>
    </row>
    <row r="26" spans="1:53" ht="15" customHeight="1">
      <c r="B26" s="167" t="s">
        <v>206</v>
      </c>
      <c r="C26" s="168">
        <f t="array" aca="1" ref="C26" ca="1">INDEX(B6:G15,IF(MATCH(C20,A6:A15,1)&lt;E18,MATCH(C20,A6:A15,1)+1,MATCH(C20,A6:A15,1)),IF(MATCH(C17,B5:G5,1)&lt;E19,MATCH(C17,B5:G5,1)+1,MATCH(C17,B5:G5,1)))</f>
        <v>3350</v>
      </c>
      <c r="G26" s="150"/>
      <c r="H26" s="150"/>
      <c r="I26" s="150"/>
      <c r="J26" s="167"/>
      <c r="K26" s="168"/>
      <c r="O26" s="167" t="s">
        <v>206</v>
      </c>
      <c r="P26" s="168">
        <f ca="1">INDEX(O6:S15,IF(MATCH(P20,N6:N15,1)&lt;R18,MATCH(P20,N6:N15,1)+1,MATCH(P20,N6:N15,1)),IF(MATCH(P17,O5:S5,1)&lt;R19,MATCH(P17,O5:S5,1)+1,MATCH(P17,O5:S5,1)))</f>
        <v>0</v>
      </c>
      <c r="T26" s="150"/>
      <c r="U26" s="150"/>
      <c r="V26" s="150"/>
      <c r="W26" s="167"/>
      <c r="X26" s="168"/>
      <c r="Z26" s="167"/>
      <c r="AB26" s="167" t="s">
        <v>206</v>
      </c>
      <c r="AC26" s="168">
        <f t="array" aca="1" ref="AC26" ca="1">INDEX(AB6:AG15,IF(MATCH(AC20,AA6:AA15,1)&lt;AE18,MATCH(AC20,AA6:AA15,1)+1,MATCH(AC20,AA6:AA15,1)),IF(MATCH(AC17,AB5:AG5,1)&lt;AE19,MATCH(AC17,AB5:AG5,1)+1,MATCH(AC17,AB5:AG5,1)))</f>
        <v>3450</v>
      </c>
      <c r="AG26" s="150"/>
      <c r="AH26" s="150"/>
      <c r="AI26" s="150"/>
      <c r="AJ26" s="167"/>
      <c r="AK26" s="168"/>
      <c r="AM26" s="150"/>
      <c r="AN26" s="150"/>
      <c r="AO26" s="150"/>
      <c r="AP26" s="167"/>
      <c r="AQ26" s="168"/>
      <c r="AU26" s="150"/>
      <c r="AV26" s="150"/>
      <c r="AW26" s="150"/>
      <c r="AX26" s="167"/>
      <c r="AY26" s="168"/>
    </row>
    <row r="27" spans="1:53" ht="15" customHeight="1">
      <c r="B27" s="38" t="s">
        <v>207</v>
      </c>
      <c r="C27" s="169">
        <f ca="1">IFERROR(C23+(C17-C18)*(C24-C23)/(C19-C18),C23)</f>
        <v>3100</v>
      </c>
      <c r="G27" s="150"/>
      <c r="H27" s="150"/>
      <c r="I27" s="150"/>
      <c r="J27" s="38"/>
      <c r="K27" s="169"/>
      <c r="O27" s="38" t="s">
        <v>207</v>
      </c>
      <c r="P27" s="169">
        <f ca="1">IFERROR(P23+(P17-P18)*(P24-P23)/(P19-P18),P23)</f>
        <v>0</v>
      </c>
      <c r="T27" s="150"/>
      <c r="U27" s="150"/>
      <c r="V27" s="150"/>
      <c r="W27" s="38"/>
      <c r="X27" s="169"/>
      <c r="Z27" s="38"/>
      <c r="AB27" s="38" t="s">
        <v>207</v>
      </c>
      <c r="AC27" s="169">
        <f ca="1">IFERROR(AC23+(AC17-AC18)*(AC24-AC23)/(AC19-AC18),AC23)</f>
        <v>3230</v>
      </c>
      <c r="AG27" s="150"/>
      <c r="AH27" s="150"/>
      <c r="AI27" s="150"/>
      <c r="AJ27" s="38"/>
      <c r="AK27" s="169"/>
      <c r="AM27" s="150"/>
      <c r="AN27" s="150"/>
      <c r="AO27" s="150"/>
      <c r="AP27" s="38"/>
      <c r="AQ27" s="169"/>
      <c r="AU27" s="150"/>
      <c r="AV27" s="150"/>
      <c r="AW27" s="150"/>
      <c r="AX27" s="38"/>
      <c r="AY27" s="169"/>
    </row>
    <row r="28" spans="1:53" ht="15" customHeight="1">
      <c r="B28" s="38" t="s">
        <v>208</v>
      </c>
      <c r="C28" s="169">
        <f ca="1">IFERROR(C25+(C17-C18)*(C26-C25)/(C19-C18),C25)</f>
        <v>3230</v>
      </c>
      <c r="G28" s="150"/>
      <c r="H28" s="150"/>
      <c r="I28" s="150"/>
      <c r="J28" s="38"/>
      <c r="K28" s="169"/>
      <c r="O28" s="38" t="s">
        <v>208</v>
      </c>
      <c r="P28" s="169">
        <f ca="1">IFERROR(P25+(P17-P18)*(P26-P25)/(P19-P18),P25)</f>
        <v>0</v>
      </c>
      <c r="T28" s="150"/>
      <c r="U28" s="150"/>
      <c r="V28" s="150"/>
      <c r="W28" s="38"/>
      <c r="X28" s="169"/>
      <c r="Z28" s="38"/>
      <c r="AB28" s="38" t="s">
        <v>208</v>
      </c>
      <c r="AC28" s="169">
        <f ca="1">IFERROR(AC25+(AC17-AC18)*(AC26-AC25)/(AC19-AC18),AC25)</f>
        <v>3370</v>
      </c>
      <c r="AG28" s="150"/>
      <c r="AH28" s="150"/>
      <c r="AI28" s="150"/>
      <c r="AJ28" s="38"/>
      <c r="AK28" s="169"/>
      <c r="AM28" s="150"/>
      <c r="AN28" s="150"/>
      <c r="AO28" s="150"/>
      <c r="AP28" s="38"/>
      <c r="AQ28" s="169"/>
      <c r="AU28" s="150"/>
      <c r="AV28" s="150"/>
      <c r="AW28" s="150"/>
      <c r="AX28" s="38"/>
      <c r="AY28" s="169"/>
    </row>
    <row r="29" spans="1:53" ht="15" customHeight="1">
      <c r="B29" s="167" t="s">
        <v>209</v>
      </c>
      <c r="C29" s="168">
        <f ca="1">IFERROR(C27+(C20-C21)*(C28-C27)/(C22-C21),C27)</f>
        <v>3100</v>
      </c>
      <c r="G29" s="150"/>
      <c r="H29" s="150"/>
      <c r="I29" s="150"/>
      <c r="J29" s="167"/>
      <c r="K29" s="168"/>
      <c r="O29" s="167" t="s">
        <v>209</v>
      </c>
      <c r="P29" s="168">
        <f ca="1">IFERROR(P27+(P20-P21)*(P28-P27)/(P22-P21),P27)</f>
        <v>0</v>
      </c>
      <c r="T29" s="150"/>
      <c r="U29" s="150"/>
      <c r="V29" s="150"/>
      <c r="W29" s="167"/>
      <c r="X29" s="168"/>
      <c r="Z29" s="167"/>
      <c r="AB29" s="167" t="s">
        <v>209</v>
      </c>
      <c r="AC29" s="168">
        <f ca="1">IFERROR(AC27+(AC20-AC21)*(AC28-AC27)/(AC22-AC21),AC27)</f>
        <v>3230</v>
      </c>
      <c r="AG29" s="150"/>
      <c r="AH29" s="150"/>
      <c r="AI29" s="150"/>
      <c r="AJ29" s="167"/>
      <c r="AK29" s="168"/>
      <c r="AM29" s="150"/>
      <c r="AN29" s="150"/>
      <c r="AO29" s="150"/>
      <c r="AP29" s="167"/>
      <c r="AQ29" s="168"/>
      <c r="AU29" s="150"/>
      <c r="AV29" s="150"/>
      <c r="AW29" s="150"/>
      <c r="AX29" s="167"/>
      <c r="AY29" s="168"/>
    </row>
    <row r="30" spans="1:53" ht="15.75" customHeight="1"/>
    <row r="31" spans="1:53" ht="15" customHeight="1">
      <c r="B31" s="299" t="s">
        <v>210</v>
      </c>
      <c r="C31" s="299"/>
      <c r="D31" s="299"/>
      <c r="E31" s="299"/>
      <c r="F31" s="299"/>
      <c r="G31" s="299"/>
      <c r="H31" s="92"/>
      <c r="I31" s="92"/>
      <c r="J31" s="92"/>
      <c r="K31" s="92"/>
      <c r="L31" s="92"/>
      <c r="M31" s="92"/>
      <c r="O31" s="299" t="s">
        <v>210</v>
      </c>
      <c r="P31" s="299"/>
      <c r="Q31" s="299"/>
      <c r="R31" s="299"/>
      <c r="S31" s="299"/>
      <c r="T31" s="299"/>
      <c r="U31" s="92"/>
      <c r="V31" s="92"/>
      <c r="W31" s="92"/>
      <c r="X31" s="92"/>
      <c r="Y31" s="92"/>
      <c r="AB31" s="299" t="s">
        <v>210</v>
      </c>
      <c r="AC31" s="299"/>
      <c r="AD31" s="299"/>
      <c r="AE31" s="299"/>
      <c r="AF31" s="299"/>
      <c r="AG31" s="299"/>
      <c r="AH31" s="92"/>
      <c r="AI31" s="92"/>
      <c r="AJ31" s="92"/>
      <c r="AK31" s="92"/>
      <c r="AL31" s="92"/>
    </row>
    <row r="32" spans="1:53" ht="15" customHeight="1">
      <c r="A32" t="s">
        <v>35</v>
      </c>
      <c r="B32" s="252">
        <v>2500</v>
      </c>
      <c r="C32" s="254">
        <v>3000</v>
      </c>
      <c r="D32" s="255">
        <v>3500</v>
      </c>
      <c r="E32" s="255">
        <v>4000</v>
      </c>
      <c r="F32" s="255">
        <v>4500</v>
      </c>
      <c r="G32" s="239">
        <v>5000</v>
      </c>
      <c r="N32" t="s">
        <v>35</v>
      </c>
      <c r="O32" s="252">
        <v>3600</v>
      </c>
      <c r="P32" s="254">
        <v>4300</v>
      </c>
      <c r="Q32" s="255">
        <v>5000</v>
      </c>
      <c r="R32" s="255">
        <v>5700</v>
      </c>
      <c r="S32" s="239">
        <v>6000</v>
      </c>
      <c r="AA32" t="s">
        <v>35</v>
      </c>
      <c r="AB32" s="252">
        <v>3000</v>
      </c>
      <c r="AC32" s="254">
        <v>3450</v>
      </c>
      <c r="AD32" s="255">
        <v>3900</v>
      </c>
      <c r="AE32" s="255">
        <v>4350</v>
      </c>
      <c r="AF32" s="239">
        <v>5000</v>
      </c>
    </row>
    <row r="33" spans="1:38" ht="15" customHeight="1">
      <c r="A33">
        <v>9000</v>
      </c>
      <c r="B33" s="236">
        <v>2200</v>
      </c>
      <c r="C33" s="237">
        <v>2700</v>
      </c>
      <c r="D33" s="238">
        <v>3050</v>
      </c>
      <c r="E33" s="238">
        <v>3400</v>
      </c>
      <c r="F33" s="238">
        <v>3900</v>
      </c>
      <c r="G33" s="239">
        <v>99999</v>
      </c>
      <c r="N33">
        <v>10000</v>
      </c>
      <c r="O33" s="236"/>
      <c r="P33" s="237"/>
      <c r="Q33" s="238"/>
      <c r="R33" s="238"/>
      <c r="S33" s="239">
        <v>99999</v>
      </c>
      <c r="AA33">
        <v>9000</v>
      </c>
      <c r="AB33" s="236">
        <v>2650</v>
      </c>
      <c r="AC33" s="237">
        <v>3000</v>
      </c>
      <c r="AD33" s="238">
        <v>3350</v>
      </c>
      <c r="AE33" s="238">
        <v>3700</v>
      </c>
      <c r="AF33" s="239">
        <v>99999</v>
      </c>
    </row>
    <row r="34" spans="1:38" ht="15" customHeight="1">
      <c r="A34">
        <v>9500</v>
      </c>
      <c r="B34" s="247">
        <v>2250</v>
      </c>
      <c r="C34" s="227">
        <v>2750</v>
      </c>
      <c r="D34">
        <v>3110</v>
      </c>
      <c r="E34">
        <v>3500</v>
      </c>
      <c r="F34">
        <v>3950</v>
      </c>
      <c r="G34" s="46">
        <v>99999</v>
      </c>
      <c r="N34">
        <v>11000</v>
      </c>
      <c r="O34" s="247"/>
      <c r="P34" s="227"/>
      <c r="S34" s="46">
        <v>99999</v>
      </c>
      <c r="AA34">
        <v>9500</v>
      </c>
      <c r="AB34" s="247">
        <v>2700</v>
      </c>
      <c r="AC34" s="227">
        <v>3050</v>
      </c>
      <c r="AD34">
        <v>3400</v>
      </c>
      <c r="AE34">
        <v>3770</v>
      </c>
      <c r="AF34" s="46">
        <v>99999</v>
      </c>
    </row>
    <row r="35" spans="1:38" ht="15" customHeight="1">
      <c r="A35">
        <v>10000</v>
      </c>
      <c r="B35" s="247">
        <v>2290</v>
      </c>
      <c r="C35" s="227">
        <v>2780</v>
      </c>
      <c r="D35">
        <v>3190</v>
      </c>
      <c r="E35">
        <v>3600</v>
      </c>
      <c r="F35">
        <v>4000</v>
      </c>
      <c r="G35" s="46">
        <v>99999</v>
      </c>
      <c r="N35">
        <v>12000</v>
      </c>
      <c r="O35" s="247"/>
      <c r="P35" s="227"/>
      <c r="S35" s="46">
        <v>99999</v>
      </c>
      <c r="AA35">
        <v>10000</v>
      </c>
      <c r="AB35" s="247">
        <v>2710</v>
      </c>
      <c r="AC35" s="227">
        <v>3100</v>
      </c>
      <c r="AD35">
        <v>3500</v>
      </c>
      <c r="AE35">
        <v>3850</v>
      </c>
      <c r="AF35" s="46">
        <v>99999</v>
      </c>
    </row>
    <row r="36" spans="1:38" ht="15" customHeight="1">
      <c r="A36">
        <v>10500</v>
      </c>
      <c r="B36" s="247">
        <v>2310</v>
      </c>
      <c r="C36" s="227">
        <v>2800</v>
      </c>
      <c r="D36">
        <v>3250</v>
      </c>
      <c r="E36">
        <v>3675</v>
      </c>
      <c r="F36">
        <v>4100</v>
      </c>
      <c r="G36" s="46">
        <v>99999</v>
      </c>
      <c r="N36">
        <v>13000</v>
      </c>
      <c r="O36" s="247"/>
      <c r="P36" s="227"/>
      <c r="S36" s="46">
        <v>99999</v>
      </c>
      <c r="AA36">
        <v>10500</v>
      </c>
      <c r="AB36" s="247">
        <v>2770</v>
      </c>
      <c r="AC36" s="227">
        <v>3180</v>
      </c>
      <c r="AD36">
        <v>3550</v>
      </c>
      <c r="AE36">
        <v>3950</v>
      </c>
      <c r="AF36" s="46">
        <v>99999</v>
      </c>
    </row>
    <row r="37" spans="1:38" ht="15" customHeight="1">
      <c r="A37">
        <v>11000</v>
      </c>
      <c r="B37" s="247">
        <v>2375</v>
      </c>
      <c r="C37" s="227">
        <v>2850</v>
      </c>
      <c r="D37">
        <v>3300</v>
      </c>
      <c r="E37">
        <v>3750</v>
      </c>
      <c r="F37">
        <v>4200</v>
      </c>
      <c r="G37" s="46">
        <v>99999</v>
      </c>
      <c r="N37">
        <v>14000</v>
      </c>
      <c r="O37" s="247"/>
      <c r="P37" s="227"/>
      <c r="S37" s="46">
        <v>99999</v>
      </c>
      <c r="AA37">
        <v>11000</v>
      </c>
      <c r="AB37" s="247">
        <v>2800</v>
      </c>
      <c r="AC37" s="227">
        <v>3220</v>
      </c>
      <c r="AD37">
        <v>3650</v>
      </c>
      <c r="AE37">
        <v>4000</v>
      </c>
      <c r="AF37" s="46">
        <v>99999</v>
      </c>
    </row>
    <row r="38" spans="1:38" ht="15" customHeight="1">
      <c r="A38">
        <v>11500</v>
      </c>
      <c r="B38" s="247">
        <v>2400</v>
      </c>
      <c r="C38" s="227">
        <v>2900</v>
      </c>
      <c r="D38">
        <v>3380</v>
      </c>
      <c r="E38">
        <v>3820</v>
      </c>
      <c r="F38">
        <v>4300</v>
      </c>
      <c r="G38" s="46">
        <v>99999</v>
      </c>
      <c r="N38">
        <v>15000</v>
      </c>
      <c r="O38" s="247"/>
      <c r="P38" s="227"/>
      <c r="S38" s="46">
        <v>99999</v>
      </c>
      <c r="AA38">
        <v>11500</v>
      </c>
      <c r="AB38" s="247">
        <v>2900</v>
      </c>
      <c r="AC38" s="227">
        <v>3300</v>
      </c>
      <c r="AD38">
        <v>3700</v>
      </c>
      <c r="AE38">
        <v>4100</v>
      </c>
      <c r="AF38" s="46">
        <v>99999</v>
      </c>
    </row>
    <row r="39" spans="1:38" ht="15" customHeight="1">
      <c r="A39">
        <v>12000</v>
      </c>
      <c r="B39" s="247">
        <v>2450</v>
      </c>
      <c r="C39" s="227">
        <v>2950</v>
      </c>
      <c r="D39">
        <v>3450</v>
      </c>
      <c r="E39">
        <v>3910</v>
      </c>
      <c r="F39">
        <v>4400</v>
      </c>
      <c r="G39" s="46">
        <v>99999</v>
      </c>
      <c r="N39">
        <v>16000</v>
      </c>
      <c r="O39" s="247"/>
      <c r="P39" s="227"/>
      <c r="S39" s="46">
        <v>99999</v>
      </c>
      <c r="AA39">
        <v>12000</v>
      </c>
      <c r="AB39" s="247">
        <v>2950</v>
      </c>
      <c r="AC39" s="227">
        <v>3350</v>
      </c>
      <c r="AD39">
        <v>3800</v>
      </c>
      <c r="AE39">
        <v>4250</v>
      </c>
      <c r="AF39" s="46">
        <v>99999</v>
      </c>
    </row>
    <row r="40" spans="1:38" ht="15" customHeight="1">
      <c r="A40">
        <v>12500</v>
      </c>
      <c r="B40" s="242">
        <v>2500</v>
      </c>
      <c r="C40" s="243">
        <v>3000</v>
      </c>
      <c r="D40" s="78">
        <v>3500</v>
      </c>
      <c r="E40" s="78">
        <v>4000</v>
      </c>
      <c r="F40" s="78">
        <v>4500</v>
      </c>
      <c r="G40" s="46">
        <v>99999</v>
      </c>
      <c r="N40">
        <v>16600</v>
      </c>
      <c r="O40" s="242"/>
      <c r="P40" s="243"/>
      <c r="Q40" s="78"/>
      <c r="R40" s="78"/>
      <c r="S40" s="46">
        <v>99999</v>
      </c>
      <c r="AA40">
        <v>12500</v>
      </c>
      <c r="AB40" s="242">
        <v>3000</v>
      </c>
      <c r="AC40" s="243">
        <v>3450</v>
      </c>
      <c r="AD40" s="78">
        <v>3900</v>
      </c>
      <c r="AE40" s="78">
        <v>4350</v>
      </c>
      <c r="AF40" s="46">
        <v>99999</v>
      </c>
    </row>
    <row r="41" spans="1:38" ht="15" customHeight="1">
      <c r="A41">
        <v>12600</v>
      </c>
      <c r="B41" s="242">
        <v>99999</v>
      </c>
      <c r="C41" s="243">
        <v>99999</v>
      </c>
      <c r="D41" s="243">
        <v>99999</v>
      </c>
      <c r="E41" s="243">
        <v>99999</v>
      </c>
      <c r="F41" s="243">
        <v>99999</v>
      </c>
      <c r="G41" s="256">
        <v>99999</v>
      </c>
      <c r="H41" s="227"/>
      <c r="I41" s="227"/>
      <c r="J41" s="227"/>
      <c r="K41" s="227"/>
      <c r="L41" s="227"/>
      <c r="M41" s="32"/>
      <c r="N41">
        <v>16700</v>
      </c>
      <c r="O41" s="242">
        <v>99999</v>
      </c>
      <c r="P41" s="243">
        <v>99999</v>
      </c>
      <c r="Q41" s="243">
        <v>99999</v>
      </c>
      <c r="R41" s="243">
        <v>99999</v>
      </c>
      <c r="S41" s="256">
        <v>99999</v>
      </c>
      <c r="T41" s="227"/>
      <c r="U41" s="227"/>
      <c r="V41" s="227"/>
      <c r="W41" s="227"/>
      <c r="X41" s="227"/>
      <c r="AA41">
        <v>12600</v>
      </c>
      <c r="AB41" s="242">
        <v>99999</v>
      </c>
      <c r="AC41" s="243">
        <v>99999</v>
      </c>
      <c r="AD41" s="243">
        <v>99999</v>
      </c>
      <c r="AE41" s="243">
        <v>99999</v>
      </c>
      <c r="AF41" s="256">
        <v>99999</v>
      </c>
      <c r="AG41" s="227"/>
      <c r="AH41" s="227"/>
      <c r="AI41" s="227"/>
      <c r="AJ41" s="227"/>
      <c r="AK41" s="227"/>
    </row>
    <row r="42" spans="1:38" ht="15" customHeight="1">
      <c r="B42" s="167"/>
      <c r="C42" s="168"/>
      <c r="G42" s="150"/>
      <c r="H42" s="150"/>
      <c r="I42" s="150"/>
      <c r="J42" s="167"/>
      <c r="K42" s="168"/>
      <c r="O42" s="167"/>
      <c r="P42" s="168"/>
      <c r="T42" s="150"/>
      <c r="U42" s="150"/>
      <c r="V42" s="150"/>
      <c r="W42" s="167"/>
      <c r="X42" s="168"/>
      <c r="AB42" s="167"/>
      <c r="AC42" s="168"/>
      <c r="AG42" s="150"/>
      <c r="AH42" s="150"/>
      <c r="AI42" s="150"/>
      <c r="AJ42" s="167"/>
      <c r="AK42" s="168"/>
    </row>
    <row r="43" spans="1:38" ht="15" customHeight="1">
      <c r="B43" s="167" t="s">
        <v>150</v>
      </c>
      <c r="C43" s="168">
        <f ca="1">C29</f>
        <v>3100</v>
      </c>
      <c r="D43" s="299" t="s">
        <v>202</v>
      </c>
      <c r="E43" s="299"/>
      <c r="G43" s="150"/>
      <c r="H43" s="150"/>
      <c r="I43" s="150"/>
      <c r="J43" s="167"/>
      <c r="K43" s="168"/>
      <c r="L43" s="92"/>
      <c r="O43" s="167" t="s">
        <v>150</v>
      </c>
      <c r="P43" s="168">
        <f ca="1">P29</f>
        <v>0</v>
      </c>
      <c r="Q43" s="299" t="s">
        <v>202</v>
      </c>
      <c r="R43" s="299"/>
      <c r="T43" s="150"/>
      <c r="U43" s="150"/>
      <c r="V43" s="150"/>
      <c r="W43" s="167"/>
      <c r="X43" s="168"/>
      <c r="Y43" s="92"/>
      <c r="AB43" s="167" t="s">
        <v>150</v>
      </c>
      <c r="AC43" s="168">
        <f ca="1">AC29</f>
        <v>3230</v>
      </c>
      <c r="AD43" s="299" t="s">
        <v>202</v>
      </c>
      <c r="AE43" s="299"/>
      <c r="AG43" s="150"/>
      <c r="AH43" s="150"/>
      <c r="AI43" s="150"/>
      <c r="AJ43" s="167"/>
      <c r="AK43" s="168"/>
      <c r="AL43" s="92"/>
    </row>
    <row r="44" spans="1:38" ht="15" customHeight="1">
      <c r="B44" s="38" t="s">
        <v>203</v>
      </c>
      <c r="C44" s="169">
        <f t="array" aca="1" ref="C44" ca="1">INDEX(B32:G32,MATCH(C43,B32:G32,1))</f>
        <v>3000</v>
      </c>
      <c r="D44" s="38" t="s">
        <v>148</v>
      </c>
      <c r="E44" s="39">
        <f>MATCH(MAX(A33:A41),A33:A41,1)</f>
        <v>9</v>
      </c>
      <c r="G44" s="150"/>
      <c r="H44" s="150"/>
      <c r="I44" s="150"/>
      <c r="J44" s="38"/>
      <c r="K44" s="169"/>
      <c r="L44" s="38"/>
      <c r="M44" s="39"/>
      <c r="O44" s="38" t="s">
        <v>203</v>
      </c>
      <c r="P44" s="169" t="e">
        <f t="array" aca="1" ref="P44" ca="1">INDEX(O32:S32,MATCH(P43,O32:S32,1))</f>
        <v>#N/A</v>
      </c>
      <c r="Q44" s="38" t="s">
        <v>148</v>
      </c>
      <c r="R44" s="39">
        <f>MATCH(MAX(N33:N41),N33:N41,1)</f>
        <v>9</v>
      </c>
      <c r="T44" s="150"/>
      <c r="U44" s="150"/>
      <c r="V44" s="150"/>
      <c r="W44" s="38"/>
      <c r="X44" s="169"/>
      <c r="Y44" s="38"/>
      <c r="AB44" s="38" t="s">
        <v>203</v>
      </c>
      <c r="AC44" s="169">
        <f t="array" aca="1" ref="AC44" ca="1">INDEX(AB32:AF32,MATCH(AC43,AB32:AF32,1))</f>
        <v>3000</v>
      </c>
      <c r="AD44" s="38" t="s">
        <v>148</v>
      </c>
      <c r="AE44" s="39">
        <f>MATCH(MAX(AA33:AA41),AA33:AA41,1)</f>
        <v>9</v>
      </c>
      <c r="AG44" s="150"/>
      <c r="AH44" s="150"/>
      <c r="AI44" s="150"/>
      <c r="AJ44" s="38"/>
      <c r="AK44" s="169"/>
      <c r="AL44" s="38"/>
    </row>
    <row r="45" spans="1:38" ht="15" customHeight="1">
      <c r="B45" s="38" t="s">
        <v>204</v>
      </c>
      <c r="C45" s="169">
        <f t="array" aca="1" ref="C45" ca="1">INDEX(B32:G32,IF(MATCH(C43,B32:G32,1)&lt;E45,MATCH(C43,B32:G32,1)+1,MATCH(C43,B32:G32,1)))</f>
        <v>3500</v>
      </c>
      <c r="D45" s="38" t="s">
        <v>149</v>
      </c>
      <c r="E45" s="39">
        <f>MATCH(MAX(B32:G32),B32:G32,0)</f>
        <v>6</v>
      </c>
      <c r="G45" s="150"/>
      <c r="H45" s="150"/>
      <c r="I45" s="150"/>
      <c r="J45" s="38"/>
      <c r="K45" s="169"/>
      <c r="L45" s="38"/>
      <c r="M45" s="39"/>
      <c r="O45" s="38" t="s">
        <v>204</v>
      </c>
      <c r="P45" s="169" t="e">
        <f t="array" aca="1" ref="P45" ca="1">INDEX(O32:S32,IF(MATCH(P43,O32:S32,1)&lt;R45,MATCH(P43,O32:S32,1)+1,MATCH(P43,O32:S32,1)))</f>
        <v>#N/A</v>
      </c>
      <c r="Q45" s="38" t="s">
        <v>149</v>
      </c>
      <c r="R45" s="39">
        <f>MATCH(MAX(O32:S32),O32:S32,0)</f>
        <v>5</v>
      </c>
      <c r="T45" s="150"/>
      <c r="U45" s="150"/>
      <c r="V45" s="150"/>
      <c r="W45" s="38"/>
      <c r="X45" s="169"/>
      <c r="Y45" s="38"/>
      <c r="AB45" s="38" t="s">
        <v>204</v>
      </c>
      <c r="AC45" s="169">
        <f t="array" aca="1" ref="AC45" ca="1">INDEX(AB32:AF32,IF(MATCH(AC43,AB32:AF32,1)&lt;AE45,MATCH(AC43,AB32:AF32,1)+1,MATCH(AC43,AB32:AF32,1)))</f>
        <v>3450</v>
      </c>
      <c r="AD45" s="38" t="s">
        <v>149</v>
      </c>
      <c r="AE45" s="39">
        <f>MATCH(MAX(AB32:AF32),AB32:AF32,0)</f>
        <v>5</v>
      </c>
      <c r="AG45" s="150"/>
      <c r="AH45" s="150"/>
      <c r="AI45" s="150"/>
      <c r="AJ45" s="38"/>
      <c r="AK45" s="169"/>
      <c r="AL45" s="38"/>
    </row>
    <row r="46" spans="1:38" ht="15" customHeight="1">
      <c r="B46" s="167" t="s">
        <v>151</v>
      </c>
      <c r="C46" s="213">
        <f>'Take-off'!$C$14</f>
        <v>9000</v>
      </c>
      <c r="D46" s="150"/>
      <c r="E46" s="150"/>
      <c r="G46" s="150"/>
      <c r="H46" s="150"/>
      <c r="I46" s="150"/>
      <c r="J46" s="167"/>
      <c r="K46" s="213"/>
      <c r="L46" s="150"/>
      <c r="M46" s="150"/>
      <c r="O46" s="167" t="s">
        <v>151</v>
      </c>
      <c r="P46" s="213">
        <f>'Take-off'!$C$14</f>
        <v>9000</v>
      </c>
      <c r="Q46" s="150"/>
      <c r="R46" s="150"/>
      <c r="T46" s="150"/>
      <c r="U46" s="150"/>
      <c r="V46" s="150"/>
      <c r="W46" s="167"/>
      <c r="X46" s="213"/>
      <c r="Y46" s="150"/>
      <c r="AB46" s="167" t="s">
        <v>151</v>
      </c>
      <c r="AC46" s="213">
        <f>'Take-off'!$C$14</f>
        <v>9000</v>
      </c>
      <c r="AD46" s="150"/>
      <c r="AE46" s="150"/>
      <c r="AG46" s="150"/>
      <c r="AH46" s="150"/>
      <c r="AI46" s="150"/>
      <c r="AJ46" s="167"/>
      <c r="AK46" s="213"/>
      <c r="AL46" s="150"/>
    </row>
    <row r="47" spans="1:38" ht="15" customHeight="1">
      <c r="B47" s="38" t="s">
        <v>152</v>
      </c>
      <c r="C47" s="169">
        <f t="array" ref="C47">INDEX(A33:A41,MATCH(C46,A33:A41,1))</f>
        <v>9000</v>
      </c>
      <c r="D47" s="150"/>
      <c r="E47" s="73"/>
      <c r="G47" s="150"/>
      <c r="H47" s="150"/>
      <c r="I47" s="150"/>
      <c r="J47" s="38"/>
      <c r="K47" s="169"/>
      <c r="L47" s="150"/>
      <c r="M47" s="73"/>
      <c r="O47" s="38" t="s">
        <v>152</v>
      </c>
      <c r="P47" s="169" t="e">
        <f t="array" ref="P47">INDEX(N33:N41,MATCH(P46,N33:N41,1))</f>
        <v>#N/A</v>
      </c>
      <c r="Q47" s="150"/>
      <c r="R47" s="73"/>
      <c r="T47" s="150"/>
      <c r="U47" s="150"/>
      <c r="V47" s="150"/>
      <c r="W47" s="38"/>
      <c r="X47" s="169"/>
      <c r="Y47" s="150"/>
      <c r="AB47" s="38" t="s">
        <v>152</v>
      </c>
      <c r="AC47" s="169">
        <f t="array" ref="AC47">INDEX(AA33:AA41,MATCH(AC46,AA33:AA41,1))</f>
        <v>9000</v>
      </c>
      <c r="AD47" s="150"/>
      <c r="AE47" s="73"/>
      <c r="AG47" s="150"/>
      <c r="AH47" s="150"/>
      <c r="AI47" s="150"/>
      <c r="AJ47" s="38"/>
      <c r="AK47" s="169"/>
      <c r="AL47" s="150"/>
    </row>
    <row r="48" spans="1:38" ht="15" customHeight="1">
      <c r="B48" s="38" t="s">
        <v>153</v>
      </c>
      <c r="C48" s="169">
        <f t="array" ref="C48">INDEX(A33:A41,IF(MATCH(C46,A33:A41,1)&lt;E44,MATCH(C46,A33:A41,1)+1,MATCH(C46,A33:A41,1)))</f>
        <v>9500</v>
      </c>
      <c r="D48" s="150"/>
      <c r="E48" s="73"/>
      <c r="G48" s="150"/>
      <c r="H48" s="150"/>
      <c r="I48" s="150"/>
      <c r="J48" s="38"/>
      <c r="K48" s="169"/>
      <c r="L48" s="150"/>
      <c r="M48" s="73"/>
      <c r="O48" s="38" t="s">
        <v>153</v>
      </c>
      <c r="P48" s="169" t="e">
        <f t="array" ref="P48">INDEX(N33:N41,IF(MATCH(P46,N33:N41,1)&lt;R44,MATCH(P46,N33:N41,1)+1,MATCH(P46,N33:N41,1)))</f>
        <v>#N/A</v>
      </c>
      <c r="Q48" s="150"/>
      <c r="R48" s="73"/>
      <c r="T48" s="150"/>
      <c r="U48" s="150"/>
      <c r="V48" s="150"/>
      <c r="W48" s="38"/>
      <c r="X48" s="169"/>
      <c r="Y48" s="150"/>
      <c r="AB48" s="38" t="s">
        <v>153</v>
      </c>
      <c r="AC48" s="169">
        <f t="array" ref="AC48">INDEX(AA33:AA41,IF(MATCH(AC46,AA33:AA41,1)&lt;AE44,MATCH(AC46,AA33:AA41,1)+1,MATCH(AC46,AA33:AA41,1)))</f>
        <v>9500</v>
      </c>
      <c r="AD48" s="150"/>
      <c r="AE48" s="73"/>
      <c r="AG48" s="150"/>
      <c r="AH48" s="150"/>
      <c r="AI48" s="150"/>
      <c r="AJ48" s="38"/>
      <c r="AK48" s="169"/>
      <c r="AL48" s="150"/>
    </row>
    <row r="49" spans="1:38" ht="15" customHeight="1">
      <c r="B49" s="167" t="s">
        <v>154</v>
      </c>
      <c r="C49" s="168">
        <f t="array" aca="1" ref="C49" ca="1">INDEX(B33:G41,MATCH(C46,A33:A41,1),MATCH(C43,B32:G32,1))</f>
        <v>2700</v>
      </c>
      <c r="D49" s="150"/>
      <c r="E49" s="73"/>
      <c r="G49" s="150"/>
      <c r="H49" s="150"/>
      <c r="I49" s="150"/>
      <c r="J49" s="167"/>
      <c r="K49" s="168"/>
      <c r="L49" s="150"/>
      <c r="M49" s="73"/>
      <c r="O49" s="167" t="s">
        <v>154</v>
      </c>
      <c r="P49" s="168" t="e">
        <f t="array" aca="1" ref="P49" ca="1">INDEX(O33:S41,MATCH(P46,N33:N41,1),MATCH(P43,O32:S32,1))</f>
        <v>#N/A</v>
      </c>
      <c r="Q49" s="150"/>
      <c r="R49" s="73"/>
      <c r="T49" s="150"/>
      <c r="U49" s="150"/>
      <c r="V49" s="150"/>
      <c r="W49" s="167"/>
      <c r="X49" s="168"/>
      <c r="Y49" s="150"/>
      <c r="AB49" s="167" t="s">
        <v>154</v>
      </c>
      <c r="AC49" s="168">
        <f t="array" aca="1" ref="AC49" ca="1">INDEX(AB33:AF41,MATCH(AC46,AA33:AA41,1),MATCH(AC43,AB32:AF32,1))</f>
        <v>2650</v>
      </c>
      <c r="AD49" s="150"/>
      <c r="AE49" s="73"/>
      <c r="AG49" s="150"/>
      <c r="AH49" s="150"/>
      <c r="AI49" s="150"/>
      <c r="AJ49" s="167"/>
      <c r="AK49" s="168"/>
      <c r="AL49" s="150"/>
    </row>
    <row r="50" spans="1:38" ht="15" customHeight="1">
      <c r="B50" s="167" t="s">
        <v>205</v>
      </c>
      <c r="C50" s="168">
        <f t="array" aca="1" ref="C50" ca="1">INDEX(B33:G41,MATCH(C46,A33:A41,1),IF(MATCH(C43,B32:G32,1)&lt;E45,MATCH(C43,B32:G32,1)+1,MATCH(C46,A33:A41,1)))</f>
        <v>3050</v>
      </c>
      <c r="E50" s="73"/>
      <c r="G50" s="150"/>
      <c r="H50" s="150"/>
      <c r="I50" s="150"/>
      <c r="J50" s="167"/>
      <c r="K50" s="168"/>
      <c r="M50" s="73"/>
      <c r="O50" s="167" t="s">
        <v>205</v>
      </c>
      <c r="P50" s="168" t="e">
        <f t="array" aca="1" ref="P50" ca="1">INDEX(O33:S41,MATCH(P46,N33:N41,1),IF(MATCH(P43,O32:S32,1)&lt;R45,MATCH(P43,O32:S32,1)+1,MATCH(P46,N33:N41,1)))</f>
        <v>#N/A</v>
      </c>
      <c r="R50" s="73"/>
      <c r="T50" s="150"/>
      <c r="U50" s="150"/>
      <c r="V50" s="150"/>
      <c r="W50" s="167"/>
      <c r="X50" s="168"/>
      <c r="AB50" s="167" t="s">
        <v>205</v>
      </c>
      <c r="AC50" s="168">
        <f t="array" aca="1" ref="AC50" ca="1">INDEX(AB33:AF41,MATCH(AC46,AA33:AA41,1),IF(MATCH(AC43,AB32:AF32,1)&lt;AE45,MATCH(AC43,AB32:AF32,1)+1,MATCH(AC46,AA33:AA41,1)))</f>
        <v>3000</v>
      </c>
      <c r="AE50" s="73"/>
      <c r="AG50" s="150"/>
      <c r="AH50" s="150"/>
      <c r="AI50" s="150"/>
      <c r="AJ50" s="167"/>
      <c r="AK50" s="168"/>
    </row>
    <row r="51" spans="1:38" ht="15" customHeight="1">
      <c r="B51" s="167" t="s">
        <v>155</v>
      </c>
      <c r="C51" s="168">
        <f t="array" aca="1" ref="C51" ca="1">INDEX(B33:G41,IF(MATCH(C46,A33:A41,1)&lt;E44,MATCH(C46,A33:A41,1)+1,MATCH(C46,A33:A41,1)),MATCH(C43,B32:G32,1))</f>
        <v>2750</v>
      </c>
      <c r="E51" s="73"/>
      <c r="G51" s="150"/>
      <c r="H51" s="150"/>
      <c r="I51" s="150"/>
      <c r="J51" s="167"/>
      <c r="K51" s="168"/>
      <c r="M51" s="73"/>
      <c r="O51" s="167" t="s">
        <v>155</v>
      </c>
      <c r="P51" s="168" t="e">
        <f t="array" aca="1" ref="P51" ca="1">INDEX(O33:S41,IF(MATCH(P46,N33:N41,1)&lt;R44,MATCH(P46,N33:N41,1)+1,MATCH(P46,N33:N41,1)),MATCH(P43,O32:S32,1))</f>
        <v>#N/A</v>
      </c>
      <c r="R51" s="73"/>
      <c r="T51" s="150"/>
      <c r="U51" s="150"/>
      <c r="V51" s="150"/>
      <c r="W51" s="167"/>
      <c r="X51" s="168"/>
      <c r="AB51" s="167" t="s">
        <v>155</v>
      </c>
      <c r="AC51" s="168">
        <f t="array" aca="1" ref="AC51" ca="1">INDEX(AB33:AF41,IF(MATCH(AC46,AA33:AA41,1)&lt;AE44,MATCH(AC46,AA33:AA41,1)+1,MATCH(AC46,AA33:AA41,1)),MATCH(AC43,AB32:AF32,1))</f>
        <v>2700</v>
      </c>
      <c r="AE51" s="73"/>
      <c r="AG51" s="150"/>
      <c r="AH51" s="150"/>
      <c r="AI51" s="150"/>
      <c r="AJ51" s="167"/>
      <c r="AK51" s="168"/>
    </row>
    <row r="52" spans="1:38" ht="15" customHeight="1">
      <c r="B52" s="167" t="s">
        <v>206</v>
      </c>
      <c r="C52" s="168">
        <f t="array" aca="1" ref="C52" ca="1">INDEX(B33:G41,IF(MATCH(C46,A33:A41,1)&lt;E44,MATCH(C46,A33:A41,1)+1,MATCH(C46,A33:A41,1)),IF(MATCH(C43,B32:G32,1)&lt;E45,MATCH(C43,B32:G32,1)+1,MATCH(C43,B32:G32,1)))</f>
        <v>3110</v>
      </c>
      <c r="G52" s="150"/>
      <c r="H52" s="150"/>
      <c r="I52" s="150"/>
      <c r="J52" s="167"/>
      <c r="K52" s="168"/>
      <c r="O52" s="167" t="s">
        <v>206</v>
      </c>
      <c r="P52" s="168" t="e">
        <f t="array" aca="1" ref="P52" ca="1">INDEX(O33:S41,IF(MATCH(P46,N33:N41,1)&lt;R44,MATCH(P46,N33:N41,1)+1,MATCH(P46,N33:N41,1)),IF(MATCH(P43,O32:S32,1)&lt;R45,MATCH(P43,O32:S32,1)+1,MATCH(P43,O32:S32,1)))</f>
        <v>#N/A</v>
      </c>
      <c r="T52" s="150"/>
      <c r="U52" s="150"/>
      <c r="V52" s="150"/>
      <c r="W52" s="167"/>
      <c r="X52" s="168"/>
      <c r="AB52" s="167" t="s">
        <v>206</v>
      </c>
      <c r="AC52" s="168">
        <f t="array" aca="1" ref="AC52" ca="1">INDEX(AB33:AF41,IF(MATCH(AC46,AA33:AA41,1)&lt;AE44,MATCH(AC46,AA33:AA41,1)+1,MATCH(AC46,AA33:AA41,1)),IF(MATCH(AC43,AB32:AF32,1)&lt;AE45,MATCH(AC43,AB32:AF32,1)+1,MATCH(AC43,AB32:AF32,1)))</f>
        <v>3050</v>
      </c>
      <c r="AG52" s="150"/>
      <c r="AH52" s="150"/>
      <c r="AI52" s="150"/>
      <c r="AJ52" s="167"/>
      <c r="AK52" s="168"/>
    </row>
    <row r="53" spans="1:38" ht="15" customHeight="1">
      <c r="B53" s="38" t="s">
        <v>207</v>
      </c>
      <c r="C53" s="169">
        <f ca="1">IFERROR(C49+(C43-C44)*(C50-C49)/(C45-C44),C49)</f>
        <v>2770</v>
      </c>
      <c r="G53" s="150"/>
      <c r="H53" s="150"/>
      <c r="I53" s="150"/>
      <c r="J53" s="38"/>
      <c r="K53" s="169"/>
      <c r="O53" s="38" t="s">
        <v>207</v>
      </c>
      <c r="P53" s="169" t="e">
        <f ca="1">IFERROR(P49+(P43-P44)*(P50-P49)/(P45-P44),P49)</f>
        <v>#N/A</v>
      </c>
      <c r="T53" s="150"/>
      <c r="U53" s="150"/>
      <c r="V53" s="150"/>
      <c r="W53" s="38"/>
      <c r="X53" s="169"/>
      <c r="AB53" s="38" t="s">
        <v>207</v>
      </c>
      <c r="AC53" s="169">
        <f ca="1">IFERROR(AC49+(AC43-AC44)*(AC50-AC49)/(AC45-AC44),AC49)</f>
        <v>2828.8888888888887</v>
      </c>
      <c r="AG53" s="150"/>
      <c r="AH53" s="150"/>
      <c r="AI53" s="150"/>
      <c r="AJ53" s="38"/>
      <c r="AK53" s="169"/>
    </row>
    <row r="54" spans="1:38" ht="15" customHeight="1">
      <c r="B54" s="38" t="s">
        <v>208</v>
      </c>
      <c r="C54" s="169">
        <f ca="1">IFERROR(C51+(C43-C44)*(C52-C51)/(C45-C44),C51)</f>
        <v>2822</v>
      </c>
      <c r="G54" s="150"/>
      <c r="H54" s="150"/>
      <c r="I54" s="150"/>
      <c r="J54" s="38"/>
      <c r="K54" s="169"/>
      <c r="O54" s="38" t="s">
        <v>208</v>
      </c>
      <c r="P54" s="169" t="e">
        <f ca="1">IFERROR(P51+(P43-P44)*(P52-P51)/(P45-P44),P51)</f>
        <v>#N/A</v>
      </c>
      <c r="T54" s="150"/>
      <c r="U54" s="150"/>
      <c r="V54" s="150"/>
      <c r="W54" s="38"/>
      <c r="X54" s="169"/>
      <c r="AB54" s="38" t="s">
        <v>208</v>
      </c>
      <c r="AC54" s="169">
        <f ca="1">IFERROR(AC51+(AC43-AC44)*(AC52-AC51)/(AC45-AC44),AC51)</f>
        <v>2878.8888888888887</v>
      </c>
      <c r="AG54" s="150"/>
      <c r="AH54" s="150"/>
      <c r="AI54" s="150"/>
      <c r="AJ54" s="38"/>
      <c r="AK54" s="169"/>
    </row>
    <row r="55" spans="1:38" ht="15" customHeight="1">
      <c r="B55" s="167" t="s">
        <v>209</v>
      </c>
      <c r="C55" s="168">
        <f ca="1">IFERROR(C53+(C46-C47)*(C54-C53)/(C48-C47),C53)</f>
        <v>2770</v>
      </c>
      <c r="G55" s="150"/>
      <c r="H55" s="150"/>
      <c r="I55" s="150"/>
      <c r="J55" s="167"/>
      <c r="K55" s="168"/>
      <c r="O55" s="167" t="s">
        <v>209</v>
      </c>
      <c r="P55" s="168" t="e">
        <f ca="1">IFERROR(P53+(P46-P47)*(P54-P53)/(P48-P47),P53)</f>
        <v>#N/A</v>
      </c>
      <c r="T55" s="150"/>
      <c r="U55" s="150"/>
      <c r="V55" s="150"/>
      <c r="W55" s="167"/>
      <c r="X55" s="168"/>
      <c r="AB55" s="167" t="s">
        <v>209</v>
      </c>
      <c r="AC55" s="168">
        <f ca="1">IFERROR(AC53+(AC46-AC47)*(AC54-AC53)/(AC48-AC47),AC53)</f>
        <v>2828.8888888888887</v>
      </c>
      <c r="AG55" s="150"/>
      <c r="AH55" s="150"/>
      <c r="AI55" s="150"/>
      <c r="AJ55" s="167"/>
      <c r="AK55" s="168"/>
    </row>
    <row r="57" spans="1:38" ht="15" customHeight="1">
      <c r="B57" s="299" t="s">
        <v>211</v>
      </c>
      <c r="C57" s="299"/>
      <c r="D57" s="299"/>
      <c r="E57" s="299"/>
      <c r="F57" s="299"/>
      <c r="G57" s="299"/>
      <c r="H57" s="299"/>
      <c r="I57" s="299"/>
      <c r="J57" s="92"/>
      <c r="K57" s="92"/>
      <c r="L57" s="92"/>
      <c r="M57" s="92"/>
      <c r="O57" s="299" t="s">
        <v>211</v>
      </c>
      <c r="P57" s="299"/>
      <c r="Q57" s="299"/>
      <c r="R57" s="299"/>
      <c r="S57" s="299"/>
      <c r="T57" s="299"/>
      <c r="U57" s="299"/>
      <c r="V57" s="299"/>
      <c r="W57" s="92"/>
      <c r="X57" s="92"/>
      <c r="Y57" s="92"/>
      <c r="AB57" s="299" t="s">
        <v>211</v>
      </c>
      <c r="AC57" s="299"/>
      <c r="AD57" s="299"/>
      <c r="AE57" s="299"/>
      <c r="AF57" s="299"/>
      <c r="AG57" s="299"/>
      <c r="AH57" s="299"/>
      <c r="AI57" s="299"/>
      <c r="AJ57" s="92"/>
      <c r="AK57" s="92"/>
      <c r="AL57" s="92"/>
    </row>
    <row r="58" spans="1:38" ht="15" customHeight="1">
      <c r="A58" t="s">
        <v>50</v>
      </c>
      <c r="B58" s="244">
        <v>2000</v>
      </c>
      <c r="C58" s="244">
        <v>2500</v>
      </c>
      <c r="D58" s="244">
        <v>3000</v>
      </c>
      <c r="E58" s="244">
        <v>3500</v>
      </c>
      <c r="F58" s="237">
        <v>4000</v>
      </c>
      <c r="G58" s="237">
        <v>4500</v>
      </c>
      <c r="H58" s="239">
        <v>5000</v>
      </c>
      <c r="N58" t="s">
        <v>50</v>
      </c>
      <c r="O58" s="236">
        <v>2400</v>
      </c>
      <c r="P58" s="244">
        <v>2800</v>
      </c>
      <c r="Q58" s="244">
        <v>3500</v>
      </c>
      <c r="R58" s="244">
        <v>4350</v>
      </c>
      <c r="S58" s="244">
        <v>5100</v>
      </c>
      <c r="T58" s="244">
        <v>5900</v>
      </c>
      <c r="U58" s="239">
        <v>6000</v>
      </c>
      <c r="AA58" t="s">
        <v>50</v>
      </c>
      <c r="AB58" s="236">
        <v>2650</v>
      </c>
      <c r="AC58" s="244">
        <v>3100</v>
      </c>
      <c r="AD58" s="244">
        <v>3600</v>
      </c>
      <c r="AE58" s="244">
        <v>4000</v>
      </c>
      <c r="AF58" s="244">
        <v>4450</v>
      </c>
      <c r="AG58" s="244">
        <v>4900</v>
      </c>
      <c r="AH58" s="244">
        <v>5400</v>
      </c>
      <c r="AI58" s="246">
        <v>5500</v>
      </c>
      <c r="AJ58" s="32"/>
    </row>
    <row r="59" spans="1:38" ht="15" customHeight="1">
      <c r="A59">
        <v>-10</v>
      </c>
      <c r="B59" s="236">
        <v>2200</v>
      </c>
      <c r="C59" s="244">
        <v>2750</v>
      </c>
      <c r="D59" s="244">
        <v>3350</v>
      </c>
      <c r="E59" s="244">
        <v>3950</v>
      </c>
      <c r="F59" s="244">
        <v>4500</v>
      </c>
      <c r="G59" s="244">
        <v>5100</v>
      </c>
      <c r="H59" s="246">
        <v>99999</v>
      </c>
      <c r="N59">
        <v>-10</v>
      </c>
      <c r="O59" s="236"/>
      <c r="P59" s="244"/>
      <c r="Q59" s="244"/>
      <c r="R59" s="244"/>
      <c r="S59" s="244"/>
      <c r="T59" s="244"/>
      <c r="U59" s="246">
        <v>99999</v>
      </c>
      <c r="AA59">
        <v>-10</v>
      </c>
      <c r="AB59" s="236">
        <v>3350</v>
      </c>
      <c r="AC59" s="244">
        <v>3900</v>
      </c>
      <c r="AD59" s="244">
        <v>4500</v>
      </c>
      <c r="AE59" s="244">
        <v>5000</v>
      </c>
      <c r="AF59" s="244">
        <v>5550</v>
      </c>
      <c r="AG59" s="244">
        <v>6100</v>
      </c>
      <c r="AH59" s="244">
        <v>6600</v>
      </c>
      <c r="AI59" s="246">
        <v>99999</v>
      </c>
      <c r="AJ59" s="92"/>
    </row>
    <row r="60" spans="1:38" ht="15" customHeight="1">
      <c r="A60">
        <v>0</v>
      </c>
      <c r="B60" s="247">
        <v>2000</v>
      </c>
      <c r="C60" s="92">
        <v>2500</v>
      </c>
      <c r="D60" s="92">
        <v>3000</v>
      </c>
      <c r="E60" s="92">
        <v>3500</v>
      </c>
      <c r="F60" s="92">
        <v>4000</v>
      </c>
      <c r="G60" s="92">
        <v>4500</v>
      </c>
      <c r="H60" s="246">
        <v>99999</v>
      </c>
      <c r="N60">
        <v>0</v>
      </c>
      <c r="O60" s="247"/>
      <c r="P60" s="92"/>
      <c r="Q60" s="92"/>
      <c r="R60" s="92"/>
      <c r="S60" s="92"/>
      <c r="T60" s="92"/>
      <c r="U60" s="246">
        <v>99999</v>
      </c>
      <c r="AA60">
        <v>0</v>
      </c>
      <c r="AB60" s="247">
        <v>2650</v>
      </c>
      <c r="AC60" s="92">
        <v>3100</v>
      </c>
      <c r="AD60" s="92">
        <v>3600</v>
      </c>
      <c r="AE60" s="92">
        <v>4000</v>
      </c>
      <c r="AF60" s="92">
        <v>4450</v>
      </c>
      <c r="AG60" s="92">
        <v>4900</v>
      </c>
      <c r="AH60" s="92">
        <v>5400</v>
      </c>
      <c r="AI60" s="257">
        <v>99999</v>
      </c>
      <c r="AJ60" s="92"/>
    </row>
    <row r="61" spans="1:38" ht="15" customHeight="1">
      <c r="A61">
        <v>30</v>
      </c>
      <c r="B61" s="242">
        <v>1800</v>
      </c>
      <c r="C61" s="248">
        <v>2200</v>
      </c>
      <c r="D61" s="248">
        <v>2700</v>
      </c>
      <c r="E61" s="248">
        <v>3100</v>
      </c>
      <c r="F61" s="248">
        <v>3600</v>
      </c>
      <c r="G61" s="248">
        <v>4050</v>
      </c>
      <c r="H61" s="258">
        <v>99999</v>
      </c>
      <c r="N61">
        <v>30</v>
      </c>
      <c r="O61" s="242"/>
      <c r="P61" s="248"/>
      <c r="Q61" s="248"/>
      <c r="R61" s="248"/>
      <c r="S61" s="248"/>
      <c r="T61" s="248"/>
      <c r="U61" s="258">
        <v>99999</v>
      </c>
      <c r="AA61">
        <v>30</v>
      </c>
      <c r="AB61" s="242">
        <v>1950</v>
      </c>
      <c r="AC61" s="248">
        <v>2300</v>
      </c>
      <c r="AD61" s="248">
        <v>2650</v>
      </c>
      <c r="AE61" s="248">
        <v>3000</v>
      </c>
      <c r="AF61" s="248">
        <v>3400</v>
      </c>
      <c r="AG61" s="248">
        <v>3800</v>
      </c>
      <c r="AH61" s="248">
        <v>4100</v>
      </c>
      <c r="AI61" s="249">
        <v>99999</v>
      </c>
      <c r="AJ61" s="92"/>
    </row>
    <row r="62" spans="1:38" ht="15" customHeight="1">
      <c r="B62" s="167"/>
      <c r="C62" s="168"/>
      <c r="G62" s="150"/>
      <c r="H62" s="150"/>
      <c r="I62" s="150"/>
      <c r="J62" s="167"/>
      <c r="K62" s="168"/>
      <c r="O62" s="167"/>
      <c r="P62" s="168"/>
      <c r="T62" s="150"/>
      <c r="U62" s="150"/>
      <c r="V62" s="150"/>
      <c r="W62" s="167"/>
      <c r="X62" s="168"/>
      <c r="AB62" s="167"/>
      <c r="AC62" s="168"/>
      <c r="AG62" s="150"/>
      <c r="AH62" s="150"/>
      <c r="AI62" s="150"/>
      <c r="AJ62" s="167"/>
      <c r="AK62" s="168"/>
    </row>
    <row r="63" spans="1:38" ht="15" customHeight="1">
      <c r="B63" s="167" t="s">
        <v>150</v>
      </c>
      <c r="C63" s="168">
        <f ca="1">C55</f>
        <v>2770</v>
      </c>
      <c r="D63" s="299" t="s">
        <v>202</v>
      </c>
      <c r="E63" s="299"/>
      <c r="G63" s="150"/>
      <c r="H63" s="150"/>
      <c r="I63" s="150"/>
      <c r="J63" s="167"/>
      <c r="K63" s="168"/>
      <c r="L63" s="92"/>
      <c r="O63" s="167" t="s">
        <v>150</v>
      </c>
      <c r="P63" s="168" t="e">
        <f ca="1">P55</f>
        <v>#N/A</v>
      </c>
      <c r="Q63" s="299" t="s">
        <v>202</v>
      </c>
      <c r="R63" s="299"/>
      <c r="T63" s="150"/>
      <c r="U63" s="150"/>
      <c r="V63" s="150"/>
      <c r="W63" s="167"/>
      <c r="X63" s="168"/>
      <c r="Y63" s="92"/>
      <c r="AB63" s="167" t="s">
        <v>150</v>
      </c>
      <c r="AC63" s="168">
        <f ca="1">AC55</f>
        <v>2828.8888888888887</v>
      </c>
      <c r="AD63" s="299" t="s">
        <v>202</v>
      </c>
      <c r="AE63" s="299"/>
      <c r="AG63" s="150"/>
      <c r="AH63" s="150"/>
      <c r="AI63" s="150"/>
      <c r="AJ63" s="167"/>
      <c r="AK63" s="168"/>
      <c r="AL63" s="92"/>
    </row>
    <row r="64" spans="1:38" ht="15" customHeight="1">
      <c r="B64" s="38" t="s">
        <v>203</v>
      </c>
      <c r="C64" s="169">
        <f t="array" aca="1" ref="C64" ca="1">INDEX(B58:H58,MATCH(C63,B58:H58,1))</f>
        <v>2500</v>
      </c>
      <c r="D64" s="38" t="s">
        <v>148</v>
      </c>
      <c r="E64" s="39">
        <f>MATCH(MAX(A59:A61),A59:A61,1)</f>
        <v>3</v>
      </c>
      <c r="G64" s="150"/>
      <c r="H64" s="150"/>
      <c r="I64" s="150"/>
      <c r="J64" s="38"/>
      <c r="K64" s="169"/>
      <c r="L64" s="38"/>
      <c r="M64" s="39"/>
      <c r="O64" s="38" t="s">
        <v>203</v>
      </c>
      <c r="P64" s="169" t="e">
        <f t="array" aca="1" ref="P64" ca="1">INDEX(O58:U58,MATCH(P63,O58:U58,1))</f>
        <v>#N/A</v>
      </c>
      <c r="Q64" s="38" t="s">
        <v>148</v>
      </c>
      <c r="R64" s="39">
        <f>MATCH(MAX(N59:N61),N59:N61,1)</f>
        <v>3</v>
      </c>
      <c r="T64" s="150"/>
      <c r="U64" s="150"/>
      <c r="V64" s="150"/>
      <c r="W64" s="38"/>
      <c r="X64" s="169"/>
      <c r="Y64" s="38"/>
      <c r="AB64" s="38" t="s">
        <v>203</v>
      </c>
      <c r="AC64" s="169">
        <f t="array" aca="1" ref="AC64" ca="1">INDEX(AB58:AI58,MATCH(AC63,AB58:AI58,1))</f>
        <v>2650</v>
      </c>
      <c r="AD64" s="38" t="s">
        <v>148</v>
      </c>
      <c r="AE64" s="39">
        <f>MATCH(MAX(AA59:AA61),AA59:AA61,1)</f>
        <v>3</v>
      </c>
      <c r="AG64" s="150"/>
      <c r="AH64" s="150"/>
      <c r="AI64" s="150"/>
      <c r="AJ64" s="38"/>
      <c r="AK64" s="169"/>
      <c r="AL64" s="38"/>
    </row>
    <row r="65" spans="2:38" ht="15" customHeight="1">
      <c r="B65" s="38" t="s">
        <v>204</v>
      </c>
      <c r="C65" s="169">
        <f t="array" aca="1" ref="C65" ca="1">INDEX(B58:H58,IF(MATCH(C63,B58:H58,1)&lt;E65,MATCH(C63,B58:H58,1)+1,MATCH(C63,B58:H58,1)))</f>
        <v>3000</v>
      </c>
      <c r="D65" s="38" t="s">
        <v>149</v>
      </c>
      <c r="E65" s="39">
        <f>MATCH(MAX(B58:H58),B58:H58,0)</f>
        <v>7</v>
      </c>
      <c r="G65" s="150"/>
      <c r="H65" s="150"/>
      <c r="I65" s="150"/>
      <c r="J65" s="38"/>
      <c r="K65" s="169"/>
      <c r="L65" s="38"/>
      <c r="M65" s="39"/>
      <c r="O65" s="38" t="s">
        <v>204</v>
      </c>
      <c r="P65" s="169" t="e">
        <f t="array" aca="1" ref="P65" ca="1">INDEX(O58:U58,IF(MATCH(P63,O58:U58,1)&lt;R65,MATCH(P63,O58:U58,1)+1,MATCH(P63,O58:U58,1)))</f>
        <v>#N/A</v>
      </c>
      <c r="Q65" s="38" t="s">
        <v>149</v>
      </c>
      <c r="R65" s="39">
        <f>MATCH(MAX(O58:U58),O58:U58,0)</f>
        <v>7</v>
      </c>
      <c r="T65" s="150"/>
      <c r="U65" s="150"/>
      <c r="V65" s="150"/>
      <c r="W65" s="38"/>
      <c r="X65" s="169"/>
      <c r="Y65" s="38"/>
      <c r="AB65" s="38" t="s">
        <v>204</v>
      </c>
      <c r="AC65" s="169">
        <f t="array" aca="1" ref="AC65" ca="1">INDEX(AB58:AI58,IF(MATCH(AC63,AB58:AI58,1)&lt;AE65,MATCH(AC63,AB58:AI58,1)+1,MATCH(AC63,AB58:AI58,1)))</f>
        <v>3100</v>
      </c>
      <c r="AD65" s="38" t="s">
        <v>149</v>
      </c>
      <c r="AE65" s="39">
        <f>MATCH(MAX(AB58:AI58),AB58:AI58,0)</f>
        <v>8</v>
      </c>
      <c r="AG65" s="150"/>
      <c r="AH65" s="150"/>
      <c r="AI65" s="150"/>
      <c r="AJ65" s="38"/>
      <c r="AK65" s="169"/>
      <c r="AL65" s="38"/>
    </row>
    <row r="66" spans="2:38" ht="15" customHeight="1">
      <c r="B66" s="167" t="s">
        <v>151</v>
      </c>
      <c r="C66" s="213">
        <f ca="1">'Take-off'!$C$24</f>
        <v>0</v>
      </c>
      <c r="D66" s="150"/>
      <c r="E66" s="150"/>
      <c r="G66" s="150"/>
      <c r="H66" s="150"/>
      <c r="I66" s="150"/>
      <c r="J66" s="167"/>
      <c r="K66" s="213"/>
      <c r="L66" s="150"/>
      <c r="M66" s="150"/>
      <c r="O66" s="167" t="s">
        <v>151</v>
      </c>
      <c r="P66" s="213">
        <f ca="1">'Take-off'!$C$24</f>
        <v>0</v>
      </c>
      <c r="Q66" s="150"/>
      <c r="R66" s="150"/>
      <c r="T66" s="150"/>
      <c r="U66" s="150"/>
      <c r="V66" s="150"/>
      <c r="W66" s="167"/>
      <c r="X66" s="213"/>
      <c r="Y66" s="150"/>
      <c r="AB66" s="167" t="s">
        <v>151</v>
      </c>
      <c r="AC66" s="213">
        <f ca="1">'Take-off'!$C$24</f>
        <v>0</v>
      </c>
      <c r="AD66" s="150"/>
      <c r="AE66" s="150"/>
      <c r="AG66" s="150"/>
      <c r="AH66" s="150"/>
      <c r="AI66" s="150"/>
      <c r="AJ66" s="167"/>
      <c r="AK66" s="213"/>
      <c r="AL66" s="150"/>
    </row>
    <row r="67" spans="2:38" ht="15" customHeight="1">
      <c r="B67" s="38" t="s">
        <v>152</v>
      </c>
      <c r="C67" s="169">
        <f t="array" aca="1" ref="C67" ca="1">INDEX(A59:A61,MATCH(C66,A59:A61,1))</f>
        <v>0</v>
      </c>
      <c r="D67" s="150"/>
      <c r="E67" s="73"/>
      <c r="G67" s="150"/>
      <c r="H67" s="150"/>
      <c r="I67" s="150"/>
      <c r="J67" s="38"/>
      <c r="K67" s="169"/>
      <c r="L67" s="150"/>
      <c r="M67" s="73"/>
      <c r="O67" s="38" t="s">
        <v>152</v>
      </c>
      <c r="P67" s="169">
        <f t="array" aca="1" ref="P67" ca="1">INDEX(N59:N61,MATCH(P66,N59:N61,1))</f>
        <v>0</v>
      </c>
      <c r="Q67" s="150"/>
      <c r="R67" s="73"/>
      <c r="T67" s="150"/>
      <c r="U67" s="150"/>
      <c r="V67" s="150"/>
      <c r="W67" s="38"/>
      <c r="X67" s="169"/>
      <c r="Y67" s="150"/>
      <c r="AB67" s="38" t="s">
        <v>152</v>
      </c>
      <c r="AC67" s="169">
        <f t="array" aca="1" ref="AC67" ca="1">INDEX(AA59:AA61,MATCH(AC66,AA59:AA61,1))</f>
        <v>0</v>
      </c>
      <c r="AD67" s="150"/>
      <c r="AE67" s="73"/>
      <c r="AG67" s="150"/>
      <c r="AH67" s="150"/>
      <c r="AI67" s="150"/>
      <c r="AJ67" s="38"/>
      <c r="AK67" s="169"/>
      <c r="AL67" s="150"/>
    </row>
    <row r="68" spans="2:38" ht="15" customHeight="1">
      <c r="B68" s="38" t="s">
        <v>153</v>
      </c>
      <c r="C68" s="169">
        <f t="array" aca="1" ref="C68" ca="1">INDEX(A59:A61,IF(MATCH(C66,A59:A61,1)&lt;E64,MATCH(C66,A59:A61,1)+1,MATCH(C66,A59:A61,1)))</f>
        <v>30</v>
      </c>
      <c r="D68" s="150"/>
      <c r="E68" s="73"/>
      <c r="G68" s="150"/>
      <c r="H68" s="150"/>
      <c r="I68" s="150"/>
      <c r="J68" s="38"/>
      <c r="K68" s="169"/>
      <c r="L68" s="150"/>
      <c r="M68" s="73"/>
      <c r="O68" s="38" t="s">
        <v>153</v>
      </c>
      <c r="P68" s="169">
        <f t="array" aca="1" ref="P68" ca="1">INDEX(N59:N61,IF(MATCH(P66,N59:N61,1)&lt;R64,MATCH(P66,N59:N61,1)+1,MATCH(P66,N59:N61,1)))</f>
        <v>30</v>
      </c>
      <c r="Q68" s="150"/>
      <c r="R68" s="73"/>
      <c r="T68" s="150"/>
      <c r="U68" s="150"/>
      <c r="V68" s="150"/>
      <c r="W68" s="38"/>
      <c r="X68" s="169"/>
      <c r="Y68" s="150"/>
      <c r="AB68" s="38" t="s">
        <v>153</v>
      </c>
      <c r="AC68" s="169">
        <f t="array" aca="1" ref="AC68" ca="1">INDEX(AA59:AA61,IF(MATCH(AC66,AA59:AA61,1)&lt;AE64,MATCH(AC66,AA59:AA61,1)+1,MATCH(AC66,AA59:AA61,1)))</f>
        <v>30</v>
      </c>
      <c r="AD68" s="150"/>
      <c r="AE68" s="73"/>
      <c r="AG68" s="150"/>
      <c r="AH68" s="150"/>
      <c r="AI68" s="150"/>
      <c r="AJ68" s="38"/>
      <c r="AK68" s="169"/>
      <c r="AL68" s="150"/>
    </row>
    <row r="69" spans="2:38" ht="15" customHeight="1">
      <c r="B69" s="167" t="s">
        <v>154</v>
      </c>
      <c r="C69" s="168">
        <f t="array" aca="1" ref="C69" ca="1">INDEX(B59:H61,MATCH(C66,A59:A61,1),MATCH(C63,B58:H58,1))</f>
        <v>2500</v>
      </c>
      <c r="D69" s="150"/>
      <c r="E69" s="73"/>
      <c r="G69" s="150"/>
      <c r="H69" s="150"/>
      <c r="I69" s="150"/>
      <c r="J69" s="167"/>
      <c r="K69" s="168"/>
      <c r="L69" s="150"/>
      <c r="M69" s="73"/>
      <c r="O69" s="167" t="s">
        <v>154</v>
      </c>
      <c r="P69" s="168" t="e">
        <f t="array" aca="1" ref="P69" ca="1">INDEX(O59:U61,MATCH(P66,N59:N61,1),MATCH(P63,O58:U58,1))</f>
        <v>#N/A</v>
      </c>
      <c r="Q69" s="150"/>
      <c r="R69" s="73"/>
      <c r="T69" s="150"/>
      <c r="U69" s="150"/>
      <c r="V69" s="150"/>
      <c r="W69" s="167"/>
      <c r="X69" s="168"/>
      <c r="Y69" s="150"/>
      <c r="AB69" s="167" t="s">
        <v>154</v>
      </c>
      <c r="AC69" s="168">
        <f t="array" aca="1" ref="AC69" ca="1">INDEX(AB59:AI61,MATCH(AC66,AA59:AA61,1),MATCH(AC63,AB58:AI58,1))</f>
        <v>2650</v>
      </c>
      <c r="AD69" s="150"/>
      <c r="AE69" s="73"/>
      <c r="AG69" s="150"/>
      <c r="AH69" s="150"/>
      <c r="AI69" s="150"/>
      <c r="AJ69" s="167"/>
      <c r="AK69" s="168"/>
      <c r="AL69" s="150"/>
    </row>
    <row r="70" spans="2:38" ht="15" customHeight="1">
      <c r="B70" s="167" t="s">
        <v>205</v>
      </c>
      <c r="C70" s="168">
        <f t="array" aca="1" ref="C70" ca="1">INDEX(B59:H61,MATCH(C66,A59:A61,1),IF(MATCH(C63,B58:H58,1)&lt;E65,MATCH(C63,B58:H58,1)+1,MATCH(C66,A59:A61,1)))</f>
        <v>3000</v>
      </c>
      <c r="E70" s="73"/>
      <c r="G70" s="150"/>
      <c r="H70" s="150"/>
      <c r="I70" s="150"/>
      <c r="J70" s="167"/>
      <c r="K70" s="168"/>
      <c r="M70" s="73"/>
      <c r="O70" s="167" t="s">
        <v>205</v>
      </c>
      <c r="P70" s="168" t="e">
        <f t="array" aca="1" ref="P70" ca="1">INDEX(O59:U61,MATCH(P66,N59:N61,1),IF(MATCH(P63,O58:U58,1)&lt;R65,MATCH(P63,O58:U58,1)+1,MATCH(P66,N59:N61,1)))</f>
        <v>#N/A</v>
      </c>
      <c r="R70" s="73"/>
      <c r="T70" s="150"/>
      <c r="U70" s="150"/>
      <c r="V70" s="150"/>
      <c r="W70" s="167"/>
      <c r="X70" s="168"/>
      <c r="AB70" s="167" t="s">
        <v>205</v>
      </c>
      <c r="AC70" s="168">
        <f t="array" aca="1" ref="AC70" ca="1">INDEX(AB59:AI61,MATCH(AC66,AA59:AA61,1),IF(MATCH(AC63,AB58:AI58,1)&lt;AE65,MATCH(AC63,AB58:AI58,1)+1,MATCH(AC66,AA59:AA61,1)))</f>
        <v>3100</v>
      </c>
      <c r="AE70" s="73"/>
      <c r="AG70" s="150"/>
      <c r="AH70" s="150"/>
      <c r="AI70" s="150"/>
      <c r="AJ70" s="167"/>
      <c r="AK70" s="168"/>
    </row>
    <row r="71" spans="2:38" ht="15" customHeight="1">
      <c r="B71" s="167" t="s">
        <v>155</v>
      </c>
      <c r="C71" s="168">
        <f t="array" aca="1" ref="C71" ca="1">INDEX(B59:H61,IF(MATCH(C66,A59:A61,1)&lt;E64,MATCH(C66,A59:A61,1)+1,MATCH(C66,A59:A61,1)),MATCH(C63,B58:H58,1))</f>
        <v>2200</v>
      </c>
      <c r="E71" s="73"/>
      <c r="G71" s="150"/>
      <c r="H71" s="150"/>
      <c r="I71" s="150"/>
      <c r="J71" s="167"/>
      <c r="K71" s="168"/>
      <c r="M71" s="73"/>
      <c r="O71" s="167" t="s">
        <v>155</v>
      </c>
      <c r="P71" s="168" t="e">
        <f t="array" aca="1" ref="P71" ca="1">INDEX(O59:U61,IF(MATCH(P66,N59:N61,1)&lt;R64,MATCH(P66,N59:N61,1)+1,MATCH(P66,N59:N61,1)),MATCH(P63,O58:U58,1))</f>
        <v>#N/A</v>
      </c>
      <c r="R71" s="73"/>
      <c r="T71" s="150"/>
      <c r="U71" s="150"/>
      <c r="V71" s="150"/>
      <c r="W71" s="167"/>
      <c r="X71" s="168"/>
      <c r="AB71" s="167" t="s">
        <v>155</v>
      </c>
      <c r="AC71" s="168">
        <f t="array" aca="1" ref="AC71" ca="1">INDEX(AB59:AI61,IF(MATCH(AC66,AA59:AA61,1)&lt;AE64,MATCH(AC66,AA59:AA61,1)+1,MATCH(AC66,AA59:AA61,1)),MATCH(AC63,AB58:AI58,1))</f>
        <v>1950</v>
      </c>
      <c r="AE71" s="73"/>
      <c r="AG71" s="150"/>
      <c r="AH71" s="150"/>
      <c r="AI71" s="150"/>
      <c r="AJ71" s="167"/>
      <c r="AK71" s="168"/>
    </row>
    <row r="72" spans="2:38" ht="15" customHeight="1">
      <c r="B72" s="167" t="s">
        <v>206</v>
      </c>
      <c r="C72" s="168">
        <f t="array" aca="1" ref="C72" ca="1">INDEX(B59:H61,IF(MATCH(C66,A59:A61,1)&lt;E64,MATCH(C66,A59:A61,1)+1,MATCH(C66,A59:A61,1)),IF(MATCH(C63,B58:H58,1)&lt;E65,MATCH(C63,B58:H58,1)+1,MATCH(C63,B58:H58,1)))</f>
        <v>2700</v>
      </c>
      <c r="G72" s="150"/>
      <c r="H72" s="150"/>
      <c r="I72" s="150"/>
      <c r="J72" s="167"/>
      <c r="K72" s="168"/>
      <c r="O72" s="167" t="s">
        <v>206</v>
      </c>
      <c r="P72" s="168" t="e">
        <f t="array" aca="1" ref="P72" ca="1">INDEX(O59:U61,IF(MATCH(P66,N59:N61,1)&lt;R64,MATCH(P66,N59:N61,1)+1,MATCH(P66,N59:N61,1)),IF(MATCH(P63,O58:U58,1)&lt;R65,MATCH(P63,O58:U58,1)+1,MATCH(P63,O58:U58,1)))</f>
        <v>#N/A</v>
      </c>
      <c r="T72" s="150"/>
      <c r="U72" s="150"/>
      <c r="V72" s="150"/>
      <c r="W72" s="167"/>
      <c r="X72" s="168"/>
      <c r="AB72" s="167" t="s">
        <v>206</v>
      </c>
      <c r="AC72" s="168">
        <f t="array" aca="1" ref="AC72" ca="1">INDEX(AB59:AI61,IF(MATCH(AC66,AA59:AA61,1)&lt;AE64,MATCH(AC66,AA59:AA61,1)+1,MATCH(AC66,AA59:AA61,1)),IF(MATCH(AC63,AB58:AI58,1)&lt;AE65,MATCH(AC63,AB58:AI58,1)+1,MATCH(AC63,AB58:AI58,1)))</f>
        <v>2300</v>
      </c>
      <c r="AG72" s="150"/>
      <c r="AH72" s="150"/>
      <c r="AI72" s="150"/>
      <c r="AJ72" s="167"/>
      <c r="AK72" s="168"/>
    </row>
    <row r="73" spans="2:38" ht="15" customHeight="1">
      <c r="B73" s="38" t="s">
        <v>207</v>
      </c>
      <c r="C73" s="169">
        <f ca="1">IFERROR(C69+(C63-C64)*(C70-C69)/(C65-C64),C69)</f>
        <v>2770</v>
      </c>
      <c r="G73" s="150"/>
      <c r="H73" s="150"/>
      <c r="I73" s="150"/>
      <c r="J73" s="38"/>
      <c r="K73" s="169"/>
      <c r="O73" s="38" t="s">
        <v>207</v>
      </c>
      <c r="P73" s="169" t="e">
        <f ca="1">IFERROR(P69+(P63-P64)*(P70-P69)/(P65-P64),P69)</f>
        <v>#N/A</v>
      </c>
      <c r="T73" s="150"/>
      <c r="U73" s="150"/>
      <c r="V73" s="150"/>
      <c r="W73" s="38"/>
      <c r="X73" s="169"/>
      <c r="AB73" s="38" t="s">
        <v>207</v>
      </c>
      <c r="AC73" s="169">
        <f ca="1">IFERROR(AC69+(AC63-AC64)*(AC70-AC69)/(AC65-AC64),AC69)</f>
        <v>2828.8888888888887</v>
      </c>
      <c r="AG73" s="150"/>
      <c r="AH73" s="150"/>
      <c r="AI73" s="150"/>
      <c r="AJ73" s="38"/>
      <c r="AK73" s="169"/>
    </row>
    <row r="74" spans="2:38" ht="15" customHeight="1">
      <c r="B74" s="38" t="s">
        <v>208</v>
      </c>
      <c r="C74" s="169">
        <f ca="1">IFERROR(C71+(C63-C64)*(C72-C71)/(C65-C64),C71)</f>
        <v>2470</v>
      </c>
      <c r="G74" s="150"/>
      <c r="H74" s="150"/>
      <c r="I74" s="150"/>
      <c r="J74" s="38"/>
      <c r="K74" s="169"/>
      <c r="O74" s="38" t="s">
        <v>208</v>
      </c>
      <c r="P74" s="169" t="e">
        <f ca="1">IFERROR(P71+(P63-P64)*(P72-P71)/(P65-P64),P71)</f>
        <v>#N/A</v>
      </c>
      <c r="T74" s="150"/>
      <c r="U74" s="150"/>
      <c r="V74" s="150"/>
      <c r="W74" s="38"/>
      <c r="X74" s="169"/>
      <c r="AB74" s="38" t="s">
        <v>208</v>
      </c>
      <c r="AC74" s="169">
        <f ca="1">IFERROR(AC71+(AC63-AC64)*(AC72-AC71)/(AC65-AC64),AC71)</f>
        <v>2089.1358024691358</v>
      </c>
      <c r="AG74" s="150"/>
      <c r="AH74" s="150"/>
      <c r="AI74" s="150"/>
      <c r="AJ74" s="38"/>
      <c r="AK74" s="169"/>
    </row>
    <row r="75" spans="2:38" ht="15" customHeight="1">
      <c r="B75" s="167" t="s">
        <v>209</v>
      </c>
      <c r="C75" s="168">
        <f ca="1">IFERROR(C73+(C66-C67)*(C74-C73)/(C68-C67),C73)</f>
        <v>2770</v>
      </c>
      <c r="G75" s="150"/>
      <c r="H75" s="150"/>
      <c r="I75" s="150"/>
      <c r="J75" s="167"/>
      <c r="K75" s="168"/>
      <c r="O75" s="167" t="s">
        <v>209</v>
      </c>
      <c r="P75" s="168" t="e">
        <f ca="1">IFERROR(P73+(P66-P67)*(P74-P73)/(P68-P67),P73)</f>
        <v>#N/A</v>
      </c>
      <c r="T75" s="150"/>
      <c r="U75" s="150"/>
      <c r="V75" s="150"/>
      <c r="W75" s="167"/>
      <c r="X75" s="168"/>
      <c r="AB75" s="167" t="s">
        <v>209</v>
      </c>
      <c r="AC75" s="168">
        <f ca="1">IFERROR(AC73+(AC66-AC67)*(AC74-AC73)/(AC68-AC67),AC73)</f>
        <v>2828.8888888888887</v>
      </c>
      <c r="AG75" s="150"/>
      <c r="AH75" s="150"/>
      <c r="AI75" s="150"/>
      <c r="AJ75" s="167"/>
      <c r="AK75" s="168"/>
    </row>
    <row r="76" spans="2:38" ht="15.75" customHeight="1"/>
    <row r="77" spans="2:38" ht="15.75" customHeight="1"/>
    <row r="78" spans="2:38" ht="15.75" customHeight="1"/>
    <row r="79" spans="2:38" ht="15.75" customHeight="1"/>
    <row r="80" spans="2:3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3">
    <mergeCell ref="B57:I57"/>
    <mergeCell ref="O57:V57"/>
    <mergeCell ref="AB57:AI57"/>
    <mergeCell ref="D63:E63"/>
    <mergeCell ref="Q63:R63"/>
    <mergeCell ref="AD63:AE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33:F40">
    <cfRule type="colorScale" priority="3">
      <colorScale>
        <cfvo type="min"/>
        <cfvo type="max"/>
        <color rgb="FFFCFCFF"/>
        <color rgb="FFF8696B"/>
      </colorScale>
    </cfRule>
  </conditionalFormatting>
  <conditionalFormatting sqref="B59:G61">
    <cfRule type="colorScale" priority="4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5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6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7">
      <colorScale>
        <cfvo type="min"/>
        <cfvo type="max"/>
        <color rgb="FFFCFCFF"/>
        <color rgb="FFF8696B"/>
      </colorScale>
    </cfRule>
  </conditionalFormatting>
  <conditionalFormatting sqref="O59:T61">
    <cfRule type="colorScale" priority="8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9">
      <colorScale>
        <cfvo type="min"/>
        <cfvo type="max"/>
        <color rgb="FFFCFCFF"/>
        <color rgb="FFF8696B"/>
      </colorScale>
    </cfRule>
  </conditionalFormatting>
  <conditionalFormatting sqref="AB33:AF40">
    <cfRule type="colorScale" priority="11">
      <colorScale>
        <cfvo type="min"/>
        <cfvo type="max"/>
        <color rgb="FFFCFCFF"/>
        <color rgb="FFF8696B"/>
      </colorScale>
    </cfRule>
  </conditionalFormatting>
  <conditionalFormatting sqref="AB59:AH61">
    <cfRule type="colorScale" priority="12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3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43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44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W1001"/>
  <sheetViews>
    <sheetView topLeftCell="A10" zoomScaleNormal="100" workbookViewId="0">
      <selection activeCell="F54" sqref="F54"/>
    </sheetView>
  </sheetViews>
  <sheetFormatPr defaultColWidth="14.44140625" defaultRowHeight="15" customHeight="1"/>
  <cols>
    <col min="1" max="12" width="9.109375" customWidth="1"/>
    <col min="13" max="13" width="5" customWidth="1"/>
    <col min="14" max="48" width="9.109375" customWidth="1"/>
  </cols>
  <sheetData>
    <row r="1" spans="1:49" ht="14.25" customHeight="1">
      <c r="A1" s="159"/>
      <c r="B1" s="38" t="s">
        <v>196</v>
      </c>
      <c r="C1" s="167" t="s">
        <v>150</v>
      </c>
      <c r="D1" s="232">
        <f ca="1">IF(Landing!$C$9="",Landing!$C$15,MAX(0,Landing!$C$15+30*(1013-Landing!$C$9)))</f>
        <v>1010</v>
      </c>
      <c r="F1" s="233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250"/>
    </row>
    <row r="2" spans="1:49" ht="14.25" customHeight="1">
      <c r="A2" s="159"/>
      <c r="B2" s="38" t="s">
        <v>198</v>
      </c>
      <c r="C2" s="167" t="s">
        <v>151</v>
      </c>
      <c r="D2" s="232">
        <f ca="1">Landing!C8</f>
        <v>13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AM2" s="159"/>
      <c r="AN2" s="159"/>
      <c r="AO2" s="159"/>
      <c r="AP2" s="159"/>
      <c r="AQ2" s="159"/>
      <c r="AR2" s="159"/>
      <c r="AS2" s="159"/>
      <c r="AT2" s="159"/>
      <c r="AU2" s="159"/>
      <c r="AV2" s="250"/>
    </row>
    <row r="3" spans="1:49" ht="14.25" customHeight="1">
      <c r="A3" s="159"/>
      <c r="B3" s="296" t="s">
        <v>219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59"/>
      <c r="AM3" s="159"/>
      <c r="AN3" s="159"/>
      <c r="AO3" s="159"/>
      <c r="AP3" s="159"/>
      <c r="AQ3" s="159"/>
      <c r="AR3" s="159"/>
      <c r="AS3" s="159"/>
      <c r="AT3" s="159"/>
      <c r="AU3" s="159"/>
      <c r="AV3" s="250"/>
    </row>
    <row r="4" spans="1:49" ht="15" customHeight="1">
      <c r="B4" s="307" t="s">
        <v>217</v>
      </c>
      <c r="C4" s="307"/>
      <c r="D4" s="307"/>
      <c r="E4" s="307"/>
      <c r="F4" s="307"/>
      <c r="G4" s="92"/>
      <c r="H4" s="92"/>
      <c r="I4" s="92"/>
      <c r="J4" s="92"/>
      <c r="K4" s="92"/>
      <c r="L4" s="92"/>
      <c r="M4" s="92"/>
      <c r="AM4" s="150"/>
      <c r="AN4" s="150"/>
      <c r="AO4" s="150"/>
      <c r="AP4" s="167"/>
      <c r="AQ4" s="168"/>
      <c r="AU4" s="150"/>
      <c r="AV4" s="150"/>
    </row>
    <row r="5" spans="1:49" ht="15" customHeight="1">
      <c r="A5" t="s">
        <v>218</v>
      </c>
      <c r="B5" s="236">
        <v>-500</v>
      </c>
      <c r="C5" s="244">
        <v>0</v>
      </c>
      <c r="D5" s="237">
        <v>1000</v>
      </c>
      <c r="E5" s="238">
        <v>2000</v>
      </c>
      <c r="F5" s="238">
        <v>3000</v>
      </c>
      <c r="G5" s="239">
        <v>4000</v>
      </c>
      <c r="H5" s="167"/>
      <c r="I5" s="168"/>
      <c r="K5" s="167"/>
      <c r="L5" s="168"/>
      <c r="AN5" s="167"/>
      <c r="AO5" s="168"/>
      <c r="AS5" s="150"/>
      <c r="AT5" s="150"/>
      <c r="AU5" s="150"/>
      <c r="AV5" s="167"/>
      <c r="AW5" s="168"/>
    </row>
    <row r="6" spans="1:49" ht="15" customHeight="1">
      <c r="A6">
        <v>-40</v>
      </c>
      <c r="B6" s="259">
        <v>790</v>
      </c>
      <c r="C6" s="260">
        <v>790</v>
      </c>
      <c r="D6" s="260">
        <v>780</v>
      </c>
      <c r="E6" s="261">
        <v>760</v>
      </c>
      <c r="F6" s="261">
        <v>750</v>
      </c>
      <c r="G6" s="239">
        <v>-99</v>
      </c>
      <c r="H6" s="167"/>
      <c r="I6" s="168"/>
      <c r="K6" s="167"/>
      <c r="L6" s="168"/>
      <c r="AN6" s="167"/>
      <c r="AO6" s="168"/>
      <c r="AS6" s="150"/>
      <c r="AT6" s="150"/>
      <c r="AU6" s="150"/>
      <c r="AV6" s="167"/>
      <c r="AW6" s="168"/>
    </row>
    <row r="7" spans="1:49" ht="15" customHeight="1">
      <c r="A7">
        <v>-30</v>
      </c>
      <c r="B7" s="262">
        <v>790</v>
      </c>
      <c r="C7" s="311">
        <v>790</v>
      </c>
      <c r="D7" s="311">
        <v>780</v>
      </c>
      <c r="E7" s="312">
        <v>760</v>
      </c>
      <c r="F7" s="312">
        <v>750</v>
      </c>
      <c r="G7" s="46">
        <v>-99</v>
      </c>
      <c r="H7" s="167"/>
      <c r="I7" s="168"/>
      <c r="K7" s="167"/>
      <c r="L7" s="168"/>
      <c r="AN7" s="167"/>
      <c r="AO7" s="168"/>
      <c r="AS7" s="150"/>
      <c r="AT7" s="150"/>
      <c r="AU7" s="150"/>
      <c r="AV7" s="167"/>
      <c r="AW7" s="168"/>
    </row>
    <row r="8" spans="1:49" ht="15" customHeight="1">
      <c r="A8">
        <v>-20</v>
      </c>
      <c r="B8" s="262">
        <v>770</v>
      </c>
      <c r="C8" s="311">
        <v>770</v>
      </c>
      <c r="D8" s="263">
        <v>760</v>
      </c>
      <c r="E8" s="176">
        <v>740</v>
      </c>
      <c r="F8" s="176">
        <v>730</v>
      </c>
      <c r="G8" s="46">
        <v>-99</v>
      </c>
      <c r="H8" s="167"/>
      <c r="I8" s="168"/>
      <c r="K8" s="167"/>
      <c r="L8" s="168"/>
      <c r="AN8" s="167"/>
      <c r="AO8" s="168"/>
      <c r="AS8" s="150"/>
      <c r="AT8" s="150"/>
      <c r="AU8" s="150"/>
      <c r="AV8" s="167"/>
      <c r="AW8" s="168"/>
    </row>
    <row r="9" spans="1:49" ht="15" customHeight="1">
      <c r="A9">
        <v>-10</v>
      </c>
      <c r="B9" s="262">
        <v>760</v>
      </c>
      <c r="C9" s="311">
        <v>760</v>
      </c>
      <c r="D9" s="263">
        <v>740</v>
      </c>
      <c r="E9" s="176">
        <v>730</v>
      </c>
      <c r="F9" s="176">
        <v>710</v>
      </c>
      <c r="G9" s="46">
        <v>-99</v>
      </c>
      <c r="H9" s="167"/>
      <c r="I9" s="168"/>
      <c r="K9" s="167"/>
      <c r="L9" s="168"/>
      <c r="AN9" s="167"/>
      <c r="AO9" s="168"/>
      <c r="AS9" s="150"/>
      <c r="AT9" s="150"/>
      <c r="AU9" s="150"/>
      <c r="AV9" s="167"/>
      <c r="AW9" s="168"/>
    </row>
    <row r="10" spans="1:49" ht="15" customHeight="1">
      <c r="A10">
        <v>0</v>
      </c>
      <c r="B10" s="262">
        <v>740</v>
      </c>
      <c r="C10" s="311">
        <v>740</v>
      </c>
      <c r="D10" s="263">
        <v>725</v>
      </c>
      <c r="E10" s="176">
        <v>710</v>
      </c>
      <c r="F10" s="176">
        <v>690</v>
      </c>
      <c r="G10" s="46">
        <v>-99</v>
      </c>
      <c r="H10" s="167"/>
      <c r="I10" s="168"/>
      <c r="K10" s="167"/>
      <c r="L10" s="168"/>
      <c r="AN10" s="167"/>
      <c r="AO10" s="168"/>
      <c r="AS10" s="150"/>
      <c r="AT10" s="150"/>
      <c r="AU10" s="150"/>
      <c r="AV10" s="167"/>
      <c r="AW10" s="168"/>
    </row>
    <row r="11" spans="1:49" ht="15" customHeight="1">
      <c r="A11">
        <v>10</v>
      </c>
      <c r="B11" s="262">
        <v>720</v>
      </c>
      <c r="C11" s="311">
        <v>720</v>
      </c>
      <c r="D11" s="263">
        <v>710</v>
      </c>
      <c r="E11" s="176">
        <v>690</v>
      </c>
      <c r="F11" s="176">
        <v>670</v>
      </c>
      <c r="G11" s="46">
        <v>-99</v>
      </c>
      <c r="H11" s="167"/>
      <c r="I11" s="168"/>
      <c r="K11" s="167"/>
      <c r="L11" s="168"/>
      <c r="AN11" s="167"/>
      <c r="AO11" s="168"/>
      <c r="AS11" s="150"/>
      <c r="AT11" s="150"/>
      <c r="AU11" s="150"/>
      <c r="AV11" s="167"/>
      <c r="AW11" s="168"/>
    </row>
    <row r="12" spans="1:49" ht="15" customHeight="1">
      <c r="A12">
        <v>20</v>
      </c>
      <c r="B12" s="262">
        <v>700</v>
      </c>
      <c r="C12" s="311">
        <v>700</v>
      </c>
      <c r="D12" s="263">
        <v>690</v>
      </c>
      <c r="E12" s="176">
        <v>670</v>
      </c>
      <c r="F12" s="176">
        <v>650</v>
      </c>
      <c r="G12" s="46">
        <v>-99</v>
      </c>
      <c r="H12" s="167"/>
      <c r="I12" s="168"/>
      <c r="K12" s="167"/>
      <c r="L12" s="168"/>
      <c r="AN12" s="167"/>
      <c r="AO12" s="168"/>
      <c r="AS12" s="150"/>
      <c r="AT12" s="150"/>
      <c r="AU12" s="150"/>
      <c r="AV12" s="167"/>
      <c r="AW12" s="168"/>
    </row>
    <row r="13" spans="1:49" ht="15" customHeight="1">
      <c r="A13">
        <v>30</v>
      </c>
      <c r="B13" s="262">
        <v>680</v>
      </c>
      <c r="C13" s="311">
        <v>680</v>
      </c>
      <c r="D13" s="263">
        <v>670</v>
      </c>
      <c r="E13" s="176">
        <v>660</v>
      </c>
      <c r="F13" s="176">
        <v>620</v>
      </c>
      <c r="G13" s="46">
        <v>-99</v>
      </c>
      <c r="H13" s="167"/>
      <c r="I13" s="168"/>
      <c r="K13" s="167"/>
      <c r="L13" s="168"/>
      <c r="AN13" s="167"/>
      <c r="AO13" s="168"/>
      <c r="AS13" s="150"/>
      <c r="AT13" s="150"/>
      <c r="AU13" s="150"/>
      <c r="AV13" s="167"/>
      <c r="AW13" s="168"/>
    </row>
    <row r="14" spans="1:49" ht="15" customHeight="1">
      <c r="A14">
        <v>40</v>
      </c>
      <c r="B14" s="262">
        <v>665</v>
      </c>
      <c r="C14" s="311">
        <v>665</v>
      </c>
      <c r="D14" s="263">
        <v>620</v>
      </c>
      <c r="E14" s="176">
        <v>580</v>
      </c>
      <c r="F14" s="176">
        <v>530</v>
      </c>
      <c r="G14" s="46">
        <v>-99</v>
      </c>
      <c r="H14" s="167"/>
      <c r="I14" s="168"/>
      <c r="K14" s="167"/>
      <c r="L14" s="168"/>
      <c r="AN14" s="167"/>
      <c r="AO14" s="168"/>
      <c r="AS14" s="150"/>
      <c r="AT14" s="150"/>
      <c r="AU14" s="150"/>
      <c r="AV14" s="167"/>
      <c r="AW14" s="168"/>
    </row>
    <row r="15" spans="1:49" ht="15" customHeight="1">
      <c r="A15">
        <v>45</v>
      </c>
      <c r="B15" s="242">
        <v>-99</v>
      </c>
      <c r="C15" s="248">
        <v>-99</v>
      </c>
      <c r="D15" s="243">
        <v>-99</v>
      </c>
      <c r="E15" s="243">
        <v>-99</v>
      </c>
      <c r="F15" s="243">
        <v>-99</v>
      </c>
      <c r="G15" s="251">
        <v>-99</v>
      </c>
      <c r="H15" s="167"/>
      <c r="I15" s="168"/>
      <c r="K15" s="167"/>
      <c r="L15" s="168"/>
      <c r="AN15" s="167"/>
      <c r="AO15" s="168"/>
      <c r="AS15" s="150"/>
      <c r="AT15" s="150"/>
      <c r="AU15" s="150"/>
      <c r="AV15" s="167"/>
      <c r="AW15" s="168"/>
    </row>
    <row r="16" spans="1:49" ht="15" customHeight="1">
      <c r="B16" s="167"/>
      <c r="C16" s="168"/>
      <c r="G16" s="150"/>
      <c r="H16" s="150"/>
      <c r="I16" s="150"/>
      <c r="J16" s="167"/>
      <c r="K16" s="168"/>
      <c r="AM16" s="150"/>
      <c r="AN16" s="150"/>
      <c r="AO16" s="150"/>
      <c r="AP16" s="167"/>
      <c r="AQ16" s="168"/>
      <c r="AU16" s="150"/>
      <c r="AV16" s="150"/>
    </row>
    <row r="17" spans="1:48" ht="15" customHeight="1">
      <c r="B17" s="167" t="s">
        <v>150</v>
      </c>
      <c r="C17" s="168">
        <f ca="1">D1</f>
        <v>1010</v>
      </c>
      <c r="D17" s="299" t="s">
        <v>202</v>
      </c>
      <c r="E17" s="299"/>
      <c r="G17" s="150"/>
      <c r="H17" s="150"/>
      <c r="I17" s="150"/>
      <c r="J17" s="167"/>
      <c r="K17" s="168"/>
      <c r="L17" s="92"/>
      <c r="AM17" s="150"/>
      <c r="AN17" s="150"/>
      <c r="AO17" s="150"/>
      <c r="AP17" s="167"/>
      <c r="AQ17" s="168"/>
      <c r="AR17" s="299"/>
      <c r="AS17" s="299"/>
      <c r="AU17" s="150"/>
      <c r="AV17" s="150"/>
    </row>
    <row r="18" spans="1:48" ht="15" customHeight="1">
      <c r="B18" s="38" t="s">
        <v>203</v>
      </c>
      <c r="C18" s="169">
        <f t="array" aca="1" ref="C18" ca="1">INDEX(B5:G5,MATCH(C17,B5:G5,1))</f>
        <v>1000</v>
      </c>
      <c r="D18" s="38" t="s">
        <v>148</v>
      </c>
      <c r="E18" s="39">
        <f>MATCH(MAX(A6:A15),A6:A15,1)</f>
        <v>10</v>
      </c>
      <c r="G18" s="150"/>
      <c r="H18" s="150"/>
      <c r="I18" s="150"/>
      <c r="J18" s="38"/>
      <c r="K18" s="169"/>
      <c r="L18" s="38"/>
      <c r="M18" s="39"/>
      <c r="AM18" s="150"/>
      <c r="AN18" s="150"/>
      <c r="AO18" s="150"/>
      <c r="AP18" s="38"/>
      <c r="AQ18" s="169"/>
      <c r="AR18" s="38"/>
      <c r="AS18" s="39"/>
      <c r="AU18" s="150"/>
      <c r="AV18" s="150"/>
    </row>
    <row r="19" spans="1:48" ht="15" customHeight="1">
      <c r="B19" s="38" t="s">
        <v>204</v>
      </c>
      <c r="C19" s="169">
        <f t="array" aca="1" ref="C19" ca="1">INDEX(B5:G5,IF(MATCH(C17,B5:G5,1)&lt;E19,MATCH(C17,B5:G5,1)+1,MATCH(C17,B5:G5,1)))</f>
        <v>2000</v>
      </c>
      <c r="D19" s="38" t="s">
        <v>149</v>
      </c>
      <c r="E19" s="39">
        <f>MATCH(MAX(B5:G5),B5:G5,0)</f>
        <v>6</v>
      </c>
      <c r="G19" s="150"/>
      <c r="H19" s="150"/>
      <c r="I19" s="150"/>
      <c r="J19" s="38"/>
      <c r="K19" s="169"/>
      <c r="L19" s="38"/>
      <c r="M19" s="39"/>
      <c r="AM19" s="150"/>
      <c r="AN19" s="150"/>
      <c r="AO19" s="150"/>
      <c r="AP19" s="38"/>
      <c r="AQ19" s="169"/>
      <c r="AR19" s="38"/>
      <c r="AS19" s="39"/>
      <c r="AU19" s="150"/>
      <c r="AV19" s="150"/>
    </row>
    <row r="20" spans="1:48" ht="15" customHeight="1">
      <c r="B20" s="167" t="s">
        <v>151</v>
      </c>
      <c r="C20" s="213">
        <f ca="1">D2</f>
        <v>13</v>
      </c>
      <c r="D20" s="150"/>
      <c r="E20" s="150"/>
      <c r="G20" s="150"/>
      <c r="H20" s="150"/>
      <c r="I20" s="150"/>
      <c r="J20" s="167"/>
      <c r="K20" s="213"/>
      <c r="L20" s="150"/>
      <c r="M20" s="150"/>
      <c r="AM20" s="150"/>
      <c r="AN20" s="150"/>
      <c r="AO20" s="150"/>
      <c r="AP20" s="167"/>
      <c r="AQ20" s="213"/>
      <c r="AR20" s="150"/>
      <c r="AS20" s="150"/>
      <c r="AU20" s="150"/>
      <c r="AV20" s="150"/>
    </row>
    <row r="21" spans="1:48" ht="15" customHeight="1">
      <c r="B21" s="38" t="s">
        <v>152</v>
      </c>
      <c r="C21" s="169">
        <f t="array" aca="1" ref="C21" ca="1">INDEX(A6:A15,MATCH(C20,A6:A15,1))</f>
        <v>10</v>
      </c>
      <c r="D21" s="150"/>
      <c r="E21" s="73"/>
      <c r="G21" s="150"/>
      <c r="H21" s="150"/>
      <c r="I21" s="150"/>
      <c r="J21" s="38"/>
      <c r="K21" s="169"/>
      <c r="L21" s="150"/>
      <c r="M21" s="73"/>
      <c r="AM21" s="150"/>
      <c r="AN21" s="150"/>
      <c r="AO21" s="150"/>
      <c r="AP21" s="38"/>
      <c r="AQ21" s="169"/>
      <c r="AR21" s="150"/>
      <c r="AS21" s="73"/>
      <c r="AU21" s="150"/>
      <c r="AV21" s="150"/>
    </row>
    <row r="22" spans="1:48" ht="15" customHeight="1">
      <c r="B22" s="38" t="s">
        <v>153</v>
      </c>
      <c r="C22" s="169">
        <f t="array" aca="1" ref="C22" ca="1">INDEX(A6:A15,IF(MATCH(C20,A6:A15,1)&lt;E18,MATCH(C20,A6:A15,1)+1,MATCH(C20,A6:A15,1)))</f>
        <v>20</v>
      </c>
      <c r="D22" s="150"/>
      <c r="E22" s="73"/>
      <c r="G22" s="150"/>
      <c r="H22" s="150"/>
      <c r="I22" s="150"/>
      <c r="J22" s="38"/>
      <c r="K22" s="169"/>
      <c r="L22" s="150"/>
      <c r="M22" s="73"/>
      <c r="AM22" s="150"/>
      <c r="AN22" s="150"/>
      <c r="AO22" s="150"/>
      <c r="AP22" s="38"/>
      <c r="AQ22" s="169"/>
      <c r="AR22" s="150"/>
      <c r="AS22" s="73"/>
      <c r="AU22" s="150"/>
      <c r="AV22" s="150"/>
    </row>
    <row r="23" spans="1:48" ht="15" customHeight="1">
      <c r="B23" s="167" t="s">
        <v>154</v>
      </c>
      <c r="C23" s="168">
        <f t="array" aca="1" ref="C23" ca="1">INDEX(B6:G15,MATCH(C20,A6:A15,1),MATCH(C17,B5:G5,1))</f>
        <v>710</v>
      </c>
      <c r="D23" s="150"/>
      <c r="E23" s="73"/>
      <c r="G23" s="150"/>
      <c r="H23" s="150"/>
      <c r="I23" s="150"/>
      <c r="J23" s="167"/>
      <c r="K23" s="168"/>
      <c r="L23" s="150"/>
      <c r="M23" s="73"/>
      <c r="AM23" s="150"/>
      <c r="AN23" s="150"/>
      <c r="AO23" s="150"/>
      <c r="AP23" s="167"/>
      <c r="AQ23" s="168"/>
      <c r="AR23" s="150"/>
      <c r="AS23" s="73"/>
      <c r="AU23" s="150"/>
      <c r="AV23" s="150"/>
    </row>
    <row r="24" spans="1:48" ht="15" customHeight="1">
      <c r="B24" s="167" t="s">
        <v>205</v>
      </c>
      <c r="C24" s="168">
        <f t="array" aca="1" ref="C24" ca="1">INDEX(B6:G15,MATCH(C20,A6:A15,1),IF(MATCH(C17,B5:G5,1)&lt;E19,MATCH(C17,B5:G5,1)+1,MATCH(C20,A6:A15,1)))</f>
        <v>690</v>
      </c>
      <c r="E24" s="73"/>
      <c r="G24" s="150"/>
      <c r="H24" s="150"/>
      <c r="I24" s="150"/>
      <c r="J24" s="167"/>
      <c r="K24" s="168"/>
      <c r="M24" s="73"/>
      <c r="AM24" s="150"/>
      <c r="AN24" s="150"/>
      <c r="AO24" s="150"/>
      <c r="AP24" s="167"/>
      <c r="AQ24" s="168"/>
      <c r="AS24" s="73"/>
      <c r="AU24" s="150"/>
      <c r="AV24" s="150"/>
    </row>
    <row r="25" spans="1:48" ht="15" customHeight="1">
      <c r="B25" s="167" t="s">
        <v>155</v>
      </c>
      <c r="C25" s="168">
        <f t="array" aca="1" ref="C25" ca="1">INDEX(B6:G15,IF(MATCH(C20,A6:A15,1)&lt;E18,MATCH(C20,A6:A15,1)+1,MATCH(C20,A6:A15,1)),MATCH(C17,B5:G5,1))</f>
        <v>690</v>
      </c>
      <c r="E25" s="73"/>
      <c r="G25" s="150"/>
      <c r="H25" s="150"/>
      <c r="I25" s="150"/>
      <c r="J25" s="167"/>
      <c r="K25" s="168"/>
      <c r="M25" s="73"/>
      <c r="AM25" s="150"/>
      <c r="AN25" s="150"/>
      <c r="AO25" s="150"/>
      <c r="AP25" s="167"/>
      <c r="AQ25" s="168"/>
      <c r="AS25" s="73"/>
      <c r="AU25" s="150"/>
      <c r="AV25" s="150"/>
    </row>
    <row r="26" spans="1:48" ht="15" customHeight="1">
      <c r="B26" s="167" t="s">
        <v>206</v>
      </c>
      <c r="C26" s="168">
        <f t="array" aca="1" ref="C26" ca="1">INDEX(B6:G15,IF(MATCH(C20,A6:A15,1)&lt;E18,MATCH(C20,A6:A15,1)+1,MATCH(C20,A6:A15,1)),IF(MATCH(C17,B5:G5,1)&lt;E19,MATCH(C17,B5:G5,1)+1,MATCH(C17,B5:G5,1)))</f>
        <v>670</v>
      </c>
      <c r="G26" s="150"/>
      <c r="H26" s="150"/>
      <c r="I26" s="150"/>
      <c r="J26" s="167"/>
      <c r="K26" s="168"/>
      <c r="AM26" s="150"/>
      <c r="AN26" s="150"/>
      <c r="AO26" s="150"/>
      <c r="AP26" s="167"/>
      <c r="AQ26" s="168"/>
      <c r="AU26" s="150"/>
      <c r="AV26" s="150"/>
    </row>
    <row r="27" spans="1:48" ht="15" customHeight="1">
      <c r="B27" s="38" t="s">
        <v>207</v>
      </c>
      <c r="C27" s="169">
        <f ca="1">IFERROR(C23+(C17-C18)*(C24-C23)/(C19-C18),C23)</f>
        <v>709.8</v>
      </c>
      <c r="G27" s="150"/>
      <c r="H27" s="150"/>
      <c r="I27" s="150"/>
      <c r="J27" s="38"/>
      <c r="K27" s="169"/>
      <c r="AM27" s="150"/>
      <c r="AN27" s="150"/>
      <c r="AO27" s="150"/>
      <c r="AP27" s="38"/>
      <c r="AQ27" s="169"/>
      <c r="AU27" s="150"/>
      <c r="AV27" s="150"/>
    </row>
    <row r="28" spans="1:48" ht="15" customHeight="1">
      <c r="B28" s="38" t="s">
        <v>208</v>
      </c>
      <c r="C28" s="169">
        <f ca="1">IFERROR(C25+(C17-C18)*(C26-C25)/(C19-C18),C25)</f>
        <v>689.8</v>
      </c>
      <c r="G28" s="150"/>
      <c r="H28" s="150"/>
      <c r="I28" s="150"/>
      <c r="J28" s="38"/>
      <c r="K28" s="169"/>
      <c r="AM28" s="150"/>
      <c r="AN28" s="150"/>
      <c r="AO28" s="150"/>
      <c r="AP28" s="38"/>
      <c r="AQ28" s="169"/>
      <c r="AU28" s="150"/>
      <c r="AV28" s="150"/>
    </row>
    <row r="29" spans="1:48" ht="15" customHeight="1">
      <c r="B29" s="167" t="s">
        <v>209</v>
      </c>
      <c r="C29" s="168">
        <f ca="1">IFERROR(C27+(C20-C21)*(C28-C27)/(C22-C21),C27)</f>
        <v>703.8</v>
      </c>
      <c r="G29" s="150"/>
      <c r="H29" s="150"/>
      <c r="I29" s="150"/>
      <c r="J29" s="167"/>
      <c r="K29" s="168"/>
      <c r="AM29" s="150"/>
      <c r="AN29" s="150"/>
      <c r="AO29" s="150"/>
      <c r="AP29" s="167"/>
      <c r="AQ29" s="168"/>
      <c r="AU29" s="150"/>
      <c r="AV29" s="150"/>
    </row>
    <row r="30" spans="1:48" ht="15.75" customHeight="1"/>
    <row r="31" spans="1:48" ht="15" customHeight="1">
      <c r="B31" s="299" t="s">
        <v>220</v>
      </c>
      <c r="C31" s="299"/>
      <c r="D31" s="299"/>
      <c r="E31" s="299"/>
      <c r="F31" s="299"/>
      <c r="G31" s="299"/>
      <c r="H31" s="92"/>
      <c r="I31" s="92"/>
      <c r="J31" s="92"/>
      <c r="K31" s="92"/>
      <c r="L31" s="92"/>
      <c r="M31" s="92"/>
      <c r="O31" s="299" t="s">
        <v>221</v>
      </c>
      <c r="P31" s="299"/>
      <c r="Q31" s="299"/>
      <c r="R31" s="299"/>
      <c r="S31" s="299"/>
      <c r="T31" s="299"/>
      <c r="U31" s="92"/>
      <c r="V31" s="92"/>
      <c r="W31" s="92"/>
      <c r="X31" s="92"/>
      <c r="Y31" s="92"/>
      <c r="AH31" s="92"/>
      <c r="AI31" s="92"/>
      <c r="AJ31" s="92"/>
      <c r="AK31" s="92"/>
      <c r="AL31" s="92"/>
    </row>
    <row r="32" spans="1:48" ht="15" customHeight="1">
      <c r="A32" t="s">
        <v>35</v>
      </c>
      <c r="B32" s="252">
        <v>500</v>
      </c>
      <c r="C32" s="254">
        <v>600</v>
      </c>
      <c r="D32" s="254">
        <v>700</v>
      </c>
      <c r="E32" s="254">
        <v>800</v>
      </c>
      <c r="F32" s="239">
        <v>900</v>
      </c>
      <c r="P32" t="s">
        <v>35</v>
      </c>
      <c r="Q32" s="252">
        <v>440</v>
      </c>
      <c r="R32" s="253">
        <v>500</v>
      </c>
      <c r="S32" s="253">
        <v>550</v>
      </c>
      <c r="T32" s="253">
        <v>650</v>
      </c>
      <c r="U32" s="253">
        <v>760</v>
      </c>
      <c r="V32" s="253">
        <v>860</v>
      </c>
      <c r="W32" s="253">
        <v>960</v>
      </c>
      <c r="X32" s="254">
        <v>1060</v>
      </c>
      <c r="Y32" s="255">
        <v>1160</v>
      </c>
      <c r="Z32" s="255">
        <v>1200</v>
      </c>
      <c r="AA32" s="239">
        <v>1200</v>
      </c>
    </row>
    <row r="33" spans="1:44" ht="15" customHeight="1">
      <c r="A33">
        <v>9000</v>
      </c>
      <c r="B33" s="259">
        <v>1050</v>
      </c>
      <c r="C33" s="260">
        <v>1150</v>
      </c>
      <c r="D33" s="260">
        <v>1200</v>
      </c>
      <c r="E33" s="260">
        <v>1200</v>
      </c>
      <c r="F33" s="239">
        <v>-99</v>
      </c>
      <c r="P33">
        <v>1</v>
      </c>
      <c r="Q33" s="264">
        <v>3</v>
      </c>
      <c r="R33" s="265">
        <v>3.5</v>
      </c>
      <c r="S33" s="265">
        <v>4</v>
      </c>
      <c r="T33" s="265">
        <v>5</v>
      </c>
      <c r="U33" s="265">
        <v>6</v>
      </c>
      <c r="V33" s="265">
        <v>7</v>
      </c>
      <c r="W33" s="265">
        <v>8</v>
      </c>
      <c r="X33" s="265">
        <v>9</v>
      </c>
      <c r="Y33" s="266">
        <v>10</v>
      </c>
      <c r="Z33" s="266">
        <v>10.5</v>
      </c>
      <c r="AA33" s="239">
        <v>11</v>
      </c>
    </row>
    <row r="34" spans="1:44" ht="15" customHeight="1">
      <c r="A34">
        <v>9500</v>
      </c>
      <c r="B34" s="262">
        <v>940</v>
      </c>
      <c r="C34" s="263">
        <v>1050</v>
      </c>
      <c r="D34" s="263">
        <v>1180</v>
      </c>
      <c r="E34" s="263">
        <v>1200</v>
      </c>
      <c r="F34" s="46">
        <v>-99</v>
      </c>
      <c r="O34" s="167"/>
      <c r="P34" s="168"/>
      <c r="T34" s="150"/>
      <c r="U34" s="150"/>
      <c r="V34" s="150"/>
      <c r="W34" s="167"/>
      <c r="X34" s="168"/>
    </row>
    <row r="35" spans="1:44" ht="15" customHeight="1">
      <c r="A35">
        <v>10000</v>
      </c>
      <c r="B35" s="262">
        <v>860</v>
      </c>
      <c r="C35" s="263">
        <v>960</v>
      </c>
      <c r="D35" s="263">
        <v>1080</v>
      </c>
      <c r="E35" s="263">
        <v>1200</v>
      </c>
      <c r="F35" s="46">
        <v>-99</v>
      </c>
      <c r="O35" s="167" t="s">
        <v>150</v>
      </c>
      <c r="P35" s="168">
        <f ca="1">C55</f>
        <v>603.79999999999995</v>
      </c>
      <c r="Q35" s="299" t="s">
        <v>202</v>
      </c>
      <c r="R35" s="299"/>
      <c r="T35" s="150"/>
      <c r="U35" s="150"/>
      <c r="V35" s="150"/>
      <c r="W35" s="167"/>
      <c r="X35" s="168"/>
      <c r="Y35" s="92"/>
    </row>
    <row r="36" spans="1:44" ht="15" customHeight="1">
      <c r="A36">
        <v>10500</v>
      </c>
      <c r="B36" s="262">
        <v>775</v>
      </c>
      <c r="C36" s="263">
        <v>880</v>
      </c>
      <c r="D36" s="263">
        <v>950</v>
      </c>
      <c r="E36" s="263">
        <v>1100</v>
      </c>
      <c r="F36" s="46">
        <v>-99</v>
      </c>
      <c r="O36" s="38" t="s">
        <v>203</v>
      </c>
      <c r="P36" s="169">
        <f t="array" aca="1" ref="P36" ca="1">INDEX(Q32:AA32,MATCH(P35,Q32:AA32,1))</f>
        <v>550</v>
      </c>
      <c r="Q36" s="38" t="s">
        <v>148</v>
      </c>
      <c r="R36" s="39">
        <f>MATCH(MAX(P33),P33,1)</f>
        <v>1</v>
      </c>
      <c r="T36" s="150"/>
      <c r="U36" s="150"/>
      <c r="V36" s="150"/>
      <c r="W36" s="38"/>
      <c r="X36" s="169"/>
      <c r="Y36" s="38"/>
    </row>
    <row r="37" spans="1:44" ht="15" customHeight="1">
      <c r="A37">
        <v>11000</v>
      </c>
      <c r="B37" s="262">
        <v>700</v>
      </c>
      <c r="C37" s="263">
        <v>800</v>
      </c>
      <c r="D37" s="263">
        <v>910</v>
      </c>
      <c r="E37" s="263">
        <v>1020</v>
      </c>
      <c r="F37" s="46">
        <v>-99</v>
      </c>
      <c r="O37" s="38" t="s">
        <v>204</v>
      </c>
      <c r="P37" s="169">
        <f t="array" aca="1" ref="P37" ca="1">INDEX(Q32:AA32,IF(MATCH(P35,Q32:AA32,1)&lt;R37,MATCH(P35,Q32:AA32,1)+1,MATCH(P35,Q32:AA32,1)))</f>
        <v>650</v>
      </c>
      <c r="Q37" s="38" t="s">
        <v>149</v>
      </c>
      <c r="R37" s="39">
        <f>MATCH(MAX(Q32:AA32),Q32:AA32,0)</f>
        <v>10</v>
      </c>
      <c r="T37" s="150"/>
      <c r="U37" s="150"/>
      <c r="V37" s="150"/>
      <c r="W37" s="38"/>
      <c r="X37" s="169"/>
      <c r="Y37" s="38"/>
    </row>
    <row r="38" spans="1:44" ht="15" customHeight="1">
      <c r="A38">
        <v>11500</v>
      </c>
      <c r="B38" s="262">
        <v>630</v>
      </c>
      <c r="C38" s="263">
        <v>725</v>
      </c>
      <c r="D38" s="263">
        <v>830</v>
      </c>
      <c r="E38" s="263">
        <v>940</v>
      </c>
      <c r="F38" s="46">
        <v>-99</v>
      </c>
      <c r="O38" s="167" t="s">
        <v>151</v>
      </c>
      <c r="P38" s="213">
        <v>1</v>
      </c>
      <c r="Q38" s="150"/>
      <c r="R38" s="150"/>
      <c r="T38" s="150"/>
      <c r="U38" s="150"/>
      <c r="V38" s="150"/>
      <c r="W38" s="167"/>
      <c r="X38" s="213"/>
      <c r="Y38" s="150"/>
    </row>
    <row r="39" spans="1:44" ht="15" customHeight="1">
      <c r="A39">
        <v>12000</v>
      </c>
      <c r="B39" s="267">
        <v>560</v>
      </c>
      <c r="C39" s="268">
        <v>660</v>
      </c>
      <c r="D39" s="268">
        <v>760</v>
      </c>
      <c r="E39" s="268">
        <v>865</v>
      </c>
      <c r="F39" s="46">
        <v>-99</v>
      </c>
      <c r="O39" s="38" t="s">
        <v>152</v>
      </c>
      <c r="P39" s="169">
        <f t="array" ref="P39">INDEX(P33,MATCH(P38,P33,1))</f>
        <v>1</v>
      </c>
      <c r="Q39" s="150"/>
      <c r="R39" s="73"/>
      <c r="T39" s="150"/>
      <c r="U39" s="150"/>
      <c r="V39" s="150"/>
      <c r="W39" s="38"/>
      <c r="X39" s="169"/>
      <c r="Y39" s="150"/>
    </row>
    <row r="40" spans="1:44" ht="15" customHeight="1">
      <c r="A40">
        <v>12500</v>
      </c>
      <c r="B40" s="242">
        <v>500</v>
      </c>
      <c r="C40" s="243">
        <v>600</v>
      </c>
      <c r="D40" s="243">
        <v>700</v>
      </c>
      <c r="E40" s="243">
        <v>800</v>
      </c>
      <c r="F40" s="256">
        <v>-99</v>
      </c>
      <c r="G40" s="227"/>
      <c r="O40" s="38" t="s">
        <v>153</v>
      </c>
      <c r="P40" s="169">
        <f t="array" ref="P40">INDEX(P33,IF(MATCH(P38,P33,1)&lt;R36,MATCH(P38,P33,1)+1,MATCH(P38,P33,1)))</f>
        <v>1</v>
      </c>
      <c r="Q40" s="150"/>
      <c r="R40" s="73"/>
      <c r="T40" s="150"/>
      <c r="U40" s="150"/>
      <c r="V40" s="150"/>
      <c r="W40" s="38"/>
      <c r="X40" s="169"/>
      <c r="Y40" s="150"/>
    </row>
    <row r="41" spans="1:44" ht="15" customHeight="1">
      <c r="B41" s="167"/>
      <c r="C41" s="168"/>
      <c r="G41" s="150"/>
      <c r="H41" s="150"/>
      <c r="I41" s="150"/>
      <c r="J41" s="227"/>
      <c r="K41" s="227"/>
      <c r="L41" s="227"/>
      <c r="M41" s="227"/>
      <c r="O41" s="167" t="s">
        <v>154</v>
      </c>
      <c r="P41" s="168">
        <f t="array" aca="1" ref="P41" ca="1">INDEX(Q33:AA33,MATCH(P38,P33,1),MATCH(P35,Q32:AA32,1))</f>
        <v>4</v>
      </c>
      <c r="Q41" s="150"/>
      <c r="R41" s="73"/>
      <c r="T41" s="150"/>
      <c r="U41" s="150"/>
      <c r="V41" s="150"/>
      <c r="W41" s="167"/>
      <c r="X41" s="168"/>
      <c r="Y41" s="150"/>
      <c r="AB41" s="227"/>
      <c r="AC41" s="227"/>
      <c r="AD41" s="227"/>
      <c r="AE41" s="227"/>
      <c r="AN41" s="227"/>
      <c r="AO41" s="227"/>
      <c r="AP41" s="227"/>
      <c r="AQ41" s="227"/>
      <c r="AR41" s="227"/>
    </row>
    <row r="42" spans="1:44" ht="15" customHeight="1">
      <c r="B42" s="167" t="s">
        <v>150</v>
      </c>
      <c r="C42" s="168">
        <f ca="1">C29</f>
        <v>703.8</v>
      </c>
      <c r="D42" s="299" t="s">
        <v>202</v>
      </c>
      <c r="E42" s="299"/>
      <c r="G42" s="150"/>
      <c r="H42" s="150"/>
      <c r="I42" s="150"/>
      <c r="J42" s="167"/>
      <c r="K42" s="168"/>
      <c r="O42" s="167" t="s">
        <v>205</v>
      </c>
      <c r="P42" s="168">
        <f t="array" aca="1" ref="P42" ca="1">INDEX(Q33:AA33,MATCH(P38,P33,1),IF(MATCH(P35,Q32:AA32,1)&lt;R37,MATCH(P35,Q32:AA32,1)+1,MATCH(P38,P33,1)))</f>
        <v>5</v>
      </c>
      <c r="R42" s="73"/>
      <c r="T42" s="150"/>
      <c r="U42" s="150"/>
      <c r="V42" s="150"/>
      <c r="W42" s="167"/>
      <c r="X42" s="168"/>
    </row>
    <row r="43" spans="1:44" ht="15" customHeight="1">
      <c r="B43" s="38" t="s">
        <v>203</v>
      </c>
      <c r="C43" s="169">
        <f t="array" aca="1" ref="C43" ca="1">INDEX(B32:F32,MATCH(C42,B32:F32,1))</f>
        <v>700</v>
      </c>
      <c r="D43" s="38" t="s">
        <v>148</v>
      </c>
      <c r="E43" s="39">
        <f>MATCH(MAX(A33:A40),A33:A40,1)</f>
        <v>8</v>
      </c>
      <c r="G43" s="150"/>
      <c r="H43" s="150"/>
      <c r="I43" s="150"/>
      <c r="J43" s="167"/>
      <c r="K43" s="168"/>
      <c r="L43" s="92"/>
      <c r="O43" s="167" t="s">
        <v>155</v>
      </c>
      <c r="P43" s="168">
        <f t="array" aca="1" ref="P43" ca="1">INDEX(Q33:AA33,IF(MATCH(P38,P33,1)&lt;R36,MATCH(P38,P33,1)+1,MATCH(P38,P33,1)),MATCH(P35,Q32:AA32,1))</f>
        <v>4</v>
      </c>
      <c r="R43" s="73"/>
      <c r="T43" s="150"/>
      <c r="U43" s="150"/>
      <c r="V43" s="150"/>
      <c r="W43" s="167"/>
      <c r="X43" s="168"/>
      <c r="AG43" s="150"/>
      <c r="AH43" s="150"/>
      <c r="AI43" s="150"/>
      <c r="AJ43" s="167"/>
      <c r="AK43" s="168"/>
      <c r="AL43" s="92"/>
    </row>
    <row r="44" spans="1:44" ht="15" customHeight="1">
      <c r="B44" s="38" t="s">
        <v>204</v>
      </c>
      <c r="C44" s="169">
        <f t="array" aca="1" ref="C44" ca="1">INDEX(B32:F32,IF(MATCH(C42,B32:F32,1)&lt;E44,MATCH(C42,B32:F32,1)+1,MATCH(C42,B32:F32,1)))</f>
        <v>800</v>
      </c>
      <c r="D44" s="38" t="s">
        <v>149</v>
      </c>
      <c r="E44" s="39">
        <f>MATCH(MAX(B32:F32),B32:F32,0)</f>
        <v>5</v>
      </c>
      <c r="G44" s="150"/>
      <c r="H44" s="150"/>
      <c r="I44" s="150"/>
      <c r="J44" s="38"/>
      <c r="K44" s="169"/>
      <c r="L44" s="38"/>
      <c r="M44" s="39"/>
      <c r="O44" s="167" t="s">
        <v>206</v>
      </c>
      <c r="P44" s="168">
        <f t="array" aca="1" ref="P44" ca="1">INDEX(Q33:AA33,IF(MATCH(P38,P33,1)&lt;R36,MATCH(P38,P33,1)+1,MATCH(P38,P33,1)),IF(MATCH(P35,Q32:AA32,1)&lt;R37,MATCH(P35,Q32:AA32,1)+1,MATCH(P35,Q32:AA32,1)))</f>
        <v>5</v>
      </c>
      <c r="T44" s="150"/>
      <c r="U44" s="150"/>
      <c r="V44" s="150"/>
      <c r="W44" s="167"/>
      <c r="X44" s="168"/>
      <c r="AG44" s="150"/>
      <c r="AH44" s="150"/>
      <c r="AI44" s="150"/>
      <c r="AJ44" s="38"/>
      <c r="AK44" s="169"/>
      <c r="AL44" s="38"/>
    </row>
    <row r="45" spans="1:44" ht="15" customHeight="1">
      <c r="B45" s="167" t="s">
        <v>151</v>
      </c>
      <c r="C45" s="213">
        <f>Landing!C11</f>
        <v>12500</v>
      </c>
      <c r="D45" s="150"/>
      <c r="E45" s="150"/>
      <c r="G45" s="150"/>
      <c r="H45" s="150"/>
      <c r="I45" s="150"/>
      <c r="J45" s="38"/>
      <c r="K45" s="169"/>
      <c r="L45" s="38"/>
      <c r="M45" s="39"/>
      <c r="O45" s="38" t="s">
        <v>207</v>
      </c>
      <c r="P45" s="169">
        <f ca="1">IFERROR(P41+(P35-P36)*(P42-P41)/(P37-P36),P41)</f>
        <v>4.5379999999999994</v>
      </c>
      <c r="T45" s="150"/>
      <c r="U45" s="150"/>
      <c r="V45" s="150"/>
      <c r="W45" s="38"/>
      <c r="X45" s="169"/>
      <c r="AG45" s="150"/>
      <c r="AH45" s="150"/>
      <c r="AI45" s="150"/>
      <c r="AJ45" s="38"/>
      <c r="AK45" s="169"/>
      <c r="AL45" s="38"/>
    </row>
    <row r="46" spans="1:44" ht="15" customHeight="1">
      <c r="B46" s="38" t="s">
        <v>152</v>
      </c>
      <c r="C46" s="169">
        <f t="array" ref="C46">INDEX(A33:A40,MATCH(C45,A33:A40,1))</f>
        <v>12500</v>
      </c>
      <c r="D46" s="150"/>
      <c r="E46" s="73"/>
      <c r="G46" s="150"/>
      <c r="H46" s="150"/>
      <c r="I46" s="150"/>
      <c r="J46" s="167"/>
      <c r="K46" s="213"/>
      <c r="L46" s="150"/>
      <c r="M46" s="150"/>
      <c r="O46" s="38" t="s">
        <v>208</v>
      </c>
      <c r="P46" s="169">
        <f ca="1">IFERROR(P43+(P35-P36)*(P44-P43)/(P37-P36),P43)</f>
        <v>4.5379999999999994</v>
      </c>
      <c r="T46" s="150"/>
      <c r="U46" s="150"/>
      <c r="V46" s="150"/>
      <c r="W46" s="38"/>
      <c r="X46" s="169"/>
      <c r="AG46" s="150"/>
      <c r="AH46" s="150"/>
      <c r="AI46" s="150"/>
      <c r="AJ46" s="167"/>
      <c r="AK46" s="213"/>
      <c r="AL46" s="150"/>
    </row>
    <row r="47" spans="1:44" ht="15" customHeight="1">
      <c r="B47" s="38" t="s">
        <v>153</v>
      </c>
      <c r="C47" s="169">
        <f t="array" ref="C47">INDEX(A33:A40,IF(MATCH(C45,A33:A40,1)&lt;E43,MATCH(C45,A33:A40,1)+1,MATCH(C45,A33:A40,1)))</f>
        <v>12500</v>
      </c>
      <c r="D47" s="150"/>
      <c r="E47" s="73"/>
      <c r="G47" s="150"/>
      <c r="H47" s="150"/>
      <c r="I47" s="150"/>
      <c r="J47" s="38"/>
      <c r="K47" s="169"/>
      <c r="L47" s="150"/>
      <c r="M47" s="73"/>
      <c r="O47" s="167" t="s">
        <v>209</v>
      </c>
      <c r="P47" s="213">
        <f ca="1">IFERROR(P45+(P38-P39)*(P46-P45)/(P40-P39),P45)</f>
        <v>4.5379999999999994</v>
      </c>
      <c r="T47" s="150"/>
      <c r="U47" s="150"/>
      <c r="V47" s="150"/>
      <c r="W47" s="167"/>
      <c r="X47" s="168"/>
      <c r="AG47" s="150"/>
      <c r="AH47" s="150"/>
      <c r="AI47" s="150"/>
      <c r="AJ47" s="38"/>
      <c r="AK47" s="169"/>
      <c r="AL47" s="150"/>
    </row>
    <row r="48" spans="1:44" ht="15" customHeight="1">
      <c r="B48" s="167" t="s">
        <v>154</v>
      </c>
      <c r="C48" s="168">
        <f t="array" aca="1" ref="C48" ca="1">INDEX(B33:F40,MATCH(C45,A33:A40,1),MATCH(C42,B32:F32,1))</f>
        <v>700</v>
      </c>
      <c r="D48" s="150"/>
      <c r="E48" s="73"/>
      <c r="G48" s="150"/>
      <c r="H48" s="150"/>
      <c r="I48" s="150"/>
      <c r="J48" s="38"/>
      <c r="K48" s="169"/>
      <c r="L48" s="150"/>
      <c r="M48" s="73"/>
      <c r="AG48" s="150"/>
      <c r="AH48" s="150"/>
      <c r="AI48" s="150"/>
      <c r="AJ48" s="38"/>
      <c r="AK48" s="169"/>
      <c r="AL48" s="150"/>
    </row>
    <row r="49" spans="2:38" ht="15" customHeight="1">
      <c r="B49" s="167" t="s">
        <v>205</v>
      </c>
      <c r="C49" s="168">
        <f t="array" aca="1" ref="C49" ca="1">INDEX(B33:F40,MATCH(C45,A33:A40,1),IF(MATCH(C42,B32:F32,1)&lt;E44,MATCH(C42,B32:F32,1)+1,MATCH(C45,A33:A40,1)))</f>
        <v>800</v>
      </c>
      <c r="E49" s="73"/>
      <c r="G49" s="150"/>
      <c r="H49" s="150"/>
      <c r="I49" s="150"/>
      <c r="J49" s="167"/>
      <c r="K49" s="168"/>
      <c r="L49" s="150"/>
      <c r="M49" s="73"/>
      <c r="AG49" s="150"/>
      <c r="AH49" s="150"/>
      <c r="AI49" s="150"/>
      <c r="AJ49" s="167"/>
      <c r="AK49" s="168"/>
      <c r="AL49" s="150"/>
    </row>
    <row r="50" spans="2:38" ht="15" customHeight="1">
      <c r="B50" s="167" t="s">
        <v>155</v>
      </c>
      <c r="C50" s="168">
        <f t="array" aca="1" ref="C50" ca="1">INDEX(B33:F40,IF(MATCH(C45,A33:A40,1)&lt;E43,MATCH(C45,A33:A40,1)+1,MATCH(C45,A33:A40,1)),MATCH(C42,B32:F32,1))</f>
        <v>700</v>
      </c>
      <c r="E50" s="73"/>
      <c r="G50" s="150"/>
      <c r="H50" s="150"/>
      <c r="I50" s="150"/>
      <c r="J50" s="167"/>
      <c r="K50" s="168"/>
      <c r="M50" s="73"/>
      <c r="AG50" s="150"/>
      <c r="AH50" s="150"/>
      <c r="AI50" s="150"/>
      <c r="AJ50" s="167"/>
      <c r="AK50" s="168"/>
    </row>
    <row r="51" spans="2:38" ht="15" customHeight="1">
      <c r="B51" s="167" t="s">
        <v>206</v>
      </c>
      <c r="C51" s="168">
        <f t="array" aca="1" ref="C51" ca="1">INDEX(B33:F40,IF(MATCH(C45,A33:A40,1)&lt;E43,MATCH(C45,A33:A40,1)+1,MATCH(C45,A33:A40,1)),IF(MATCH(C42,B32:F32,1)&lt;E44,MATCH(C42,B32:F32,1)+1,MATCH(C42,B32:F32,1)))</f>
        <v>800</v>
      </c>
      <c r="G51" s="150"/>
      <c r="H51" s="150"/>
      <c r="I51" s="150"/>
      <c r="J51" s="167"/>
      <c r="K51" s="168"/>
      <c r="M51" s="73"/>
      <c r="AG51" s="150"/>
      <c r="AH51" s="150"/>
      <c r="AI51" s="150"/>
      <c r="AJ51" s="167"/>
      <c r="AK51" s="168"/>
    </row>
    <row r="52" spans="2:38" ht="15" customHeight="1">
      <c r="B52" s="38" t="s">
        <v>207</v>
      </c>
      <c r="C52" s="169">
        <f ca="1">IFERROR(C48+(C42-C43)*(C49-C48)/(C44-C43),C48)</f>
        <v>703.8</v>
      </c>
      <c r="G52" s="150"/>
      <c r="H52" s="150"/>
      <c r="I52" s="150"/>
      <c r="J52" s="167"/>
      <c r="K52" s="168"/>
      <c r="AG52" s="150"/>
      <c r="AH52" s="150"/>
      <c r="AI52" s="150"/>
      <c r="AJ52" s="167"/>
      <c r="AK52" s="168"/>
    </row>
    <row r="53" spans="2:38" ht="15" customHeight="1">
      <c r="B53" s="38" t="s">
        <v>208</v>
      </c>
      <c r="C53" s="169">
        <f ca="1">IFERROR(C50+(C42-C43)*(C51-C50)/(C44-C43),C50)</f>
        <v>703.8</v>
      </c>
      <c r="G53" s="150"/>
      <c r="H53" s="150"/>
      <c r="I53" s="150"/>
      <c r="J53" s="38"/>
      <c r="K53" s="169"/>
      <c r="AG53" s="150"/>
      <c r="AH53" s="150"/>
      <c r="AI53" s="150"/>
      <c r="AJ53" s="38"/>
      <c r="AK53" s="169"/>
    </row>
    <row r="54" spans="2:38" ht="15" customHeight="1">
      <c r="B54" s="167" t="s">
        <v>209</v>
      </c>
      <c r="C54" s="269">
        <f ca="1">IFERROR(C52+(C45-C46)*(C53-C52)/(C47-C46),C52)</f>
        <v>703.8</v>
      </c>
      <c r="G54" s="150"/>
      <c r="H54" s="150"/>
      <c r="I54" s="150"/>
      <c r="J54" s="38"/>
      <c r="K54" s="169"/>
      <c r="AG54" s="150"/>
      <c r="AH54" s="150"/>
      <c r="AI54" s="150"/>
      <c r="AJ54" s="38"/>
      <c r="AK54" s="169"/>
    </row>
    <row r="55" spans="2:38" ht="15" customHeight="1">
      <c r="B55" t="s">
        <v>222</v>
      </c>
      <c r="C55" s="45">
        <f ca="1">C54-100</f>
        <v>603.79999999999995</v>
      </c>
      <c r="J55" s="167"/>
      <c r="K55" s="168"/>
      <c r="AG55" s="150"/>
      <c r="AH55" s="150"/>
      <c r="AI55" s="150"/>
      <c r="AJ55" s="167"/>
      <c r="AK55" s="168"/>
    </row>
    <row r="57" spans="2:38" ht="15.75" customHeight="1"/>
    <row r="58" spans="2:38" ht="15.75" customHeight="1"/>
    <row r="59" spans="2:38" ht="15.75" customHeight="1"/>
    <row r="60" spans="2:38" ht="15.75" customHeight="1"/>
    <row r="61" spans="2:38" ht="15.75" customHeight="1"/>
    <row r="62" spans="2:38" ht="15.75" customHeight="1"/>
    <row r="63" spans="2:38" ht="15.75" customHeight="1"/>
    <row r="64" spans="2:3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Q35:R35"/>
    <mergeCell ref="D42:E42"/>
    <mergeCell ref="B3:L3"/>
    <mergeCell ref="B4:F4"/>
    <mergeCell ref="D17:E17"/>
    <mergeCell ref="AR17:AS17"/>
    <mergeCell ref="B31:G31"/>
    <mergeCell ref="O31:T31"/>
  </mergeCells>
  <conditionalFormatting sqref="B33:E39">
    <cfRule type="colorScale" priority="3">
      <colorScale>
        <cfvo type="min"/>
        <cfvo type="max"/>
        <color rgb="FFFCFCFF"/>
        <color rgb="FFF8696B"/>
      </colorScale>
    </cfRule>
  </conditionalFormatting>
  <conditionalFormatting sqref="K6:N15">
    <cfRule type="colorScale" priority="4">
      <colorScale>
        <cfvo type="min"/>
        <cfvo type="max"/>
        <color rgb="FFFCFCFF"/>
        <color rgb="FFF8696B"/>
      </colorScale>
    </cfRule>
  </conditionalFormatting>
  <conditionalFormatting sqref="Q33:Z33">
    <cfRule type="colorScale" priority="5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49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Z1001"/>
  <sheetViews>
    <sheetView topLeftCell="Q1" zoomScaleNormal="100" workbookViewId="0">
      <selection activeCell="AF40" sqref="AF40"/>
    </sheetView>
  </sheetViews>
  <sheetFormatPr defaultColWidth="14.44140625" defaultRowHeight="15" customHeight="1"/>
  <cols>
    <col min="1" max="12" width="9.109375" customWidth="1"/>
    <col min="13" max="13" width="5" customWidth="1"/>
    <col min="14" max="52" width="9.109375" customWidth="1"/>
  </cols>
  <sheetData>
    <row r="1" spans="1:52" ht="14.25" customHeight="1">
      <c r="A1" s="159"/>
      <c r="B1" s="38" t="s">
        <v>196</v>
      </c>
      <c r="C1" s="167" t="s">
        <v>150</v>
      </c>
      <c r="D1" s="232">
        <f ca="1">IF('Take-off'!$C$9="",'Take-off'!$C$16,MAX(0,'Take-off'!$C$16+30*(1013-'Take-off'!$C$9)))+35</f>
        <v>235</v>
      </c>
      <c r="F1" s="233" t="s">
        <v>223</v>
      </c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250"/>
      <c r="AW1" s="159"/>
      <c r="AX1" s="159"/>
      <c r="AY1" s="159"/>
      <c r="AZ1" s="159"/>
    </row>
    <row r="2" spans="1:52" ht="14.25" customHeight="1">
      <c r="A2" s="159"/>
      <c r="B2" s="38" t="s">
        <v>198</v>
      </c>
      <c r="C2" s="167" t="s">
        <v>151</v>
      </c>
      <c r="D2" s="232">
        <f ca="1">IF('Take-off'!$C$13='Dropdown lists'!$B$30, 'Take-off'!$C$8+10, 'Take-off'!$C$8)</f>
        <v>0</v>
      </c>
      <c r="E2" s="234" t="s">
        <v>214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250"/>
      <c r="AW2" s="159"/>
      <c r="AX2" s="159"/>
      <c r="AY2" s="159"/>
      <c r="AZ2" s="159"/>
    </row>
    <row r="3" spans="1:52" ht="14.25" customHeight="1">
      <c r="A3" s="159"/>
      <c r="B3" s="296" t="s">
        <v>219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59"/>
      <c r="N3" s="159"/>
      <c r="O3" s="296" t="s">
        <v>224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159"/>
      <c r="AA3" s="159"/>
      <c r="AB3" s="296" t="s">
        <v>225</v>
      </c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159"/>
      <c r="AN3" s="159"/>
      <c r="AO3" s="159"/>
      <c r="AP3" s="159"/>
      <c r="AQ3" s="159"/>
      <c r="AR3" s="159"/>
      <c r="AS3" s="159"/>
      <c r="AT3" s="159"/>
      <c r="AU3" s="159"/>
      <c r="AV3" s="250"/>
      <c r="AW3" s="159"/>
      <c r="AX3" s="159"/>
      <c r="AY3" s="159"/>
      <c r="AZ3" s="159"/>
    </row>
    <row r="4" spans="1:52" ht="15" customHeight="1">
      <c r="B4" s="307" t="s">
        <v>217</v>
      </c>
      <c r="C4" s="307"/>
      <c r="D4" s="307"/>
      <c r="E4" s="307"/>
      <c r="F4" s="307"/>
      <c r="G4" s="92"/>
      <c r="H4" s="92"/>
      <c r="I4" s="92"/>
      <c r="J4" s="92"/>
      <c r="K4" s="92"/>
      <c r="L4" s="92"/>
      <c r="M4" s="92"/>
      <c r="O4" s="307" t="s">
        <v>217</v>
      </c>
      <c r="P4" s="307"/>
      <c r="Q4" s="307"/>
      <c r="R4" s="307"/>
      <c r="S4" s="307"/>
      <c r="T4" s="92"/>
      <c r="U4" s="92"/>
      <c r="V4" s="92"/>
      <c r="W4" s="92"/>
      <c r="X4" s="92"/>
      <c r="Y4" s="92"/>
      <c r="Z4" s="167"/>
      <c r="AB4" s="307" t="s">
        <v>217</v>
      </c>
      <c r="AC4" s="307"/>
      <c r="AD4" s="307"/>
      <c r="AE4" s="307"/>
      <c r="AF4" s="307"/>
      <c r="AG4" s="92"/>
      <c r="AH4" s="92"/>
      <c r="AI4" s="92"/>
      <c r="AJ4" s="92"/>
      <c r="AK4" s="92"/>
      <c r="AL4" s="92"/>
      <c r="AM4" s="150"/>
      <c r="AN4" s="150"/>
      <c r="AO4" s="150"/>
      <c r="AP4" s="167"/>
      <c r="AQ4" s="168"/>
      <c r="AU4" s="150"/>
      <c r="AV4" s="150"/>
      <c r="AW4" s="150"/>
      <c r="AX4" s="167"/>
      <c r="AY4" s="168"/>
    </row>
    <row r="5" spans="1:52" ht="15" customHeight="1">
      <c r="A5" t="s">
        <v>218</v>
      </c>
      <c r="B5" s="236">
        <v>-500</v>
      </c>
      <c r="C5" s="244">
        <v>0</v>
      </c>
      <c r="D5" s="237">
        <v>1000</v>
      </c>
      <c r="E5" s="238">
        <v>2000</v>
      </c>
      <c r="F5" s="238">
        <v>3000</v>
      </c>
      <c r="G5" s="239">
        <v>4000</v>
      </c>
      <c r="H5" s="167"/>
      <c r="J5" s="167"/>
      <c r="K5" s="168"/>
      <c r="N5" t="s">
        <v>218</v>
      </c>
      <c r="O5" s="236">
        <v>0</v>
      </c>
      <c r="P5" s="237">
        <v>1000</v>
      </c>
      <c r="Q5" s="238">
        <v>2000</v>
      </c>
      <c r="R5" s="238">
        <v>3000</v>
      </c>
      <c r="S5" s="239">
        <v>4000</v>
      </c>
      <c r="T5" s="167"/>
      <c r="U5" s="168"/>
      <c r="W5" s="167"/>
      <c r="X5" s="168"/>
      <c r="AA5" t="s">
        <v>218</v>
      </c>
      <c r="AB5" s="236">
        <v>-500</v>
      </c>
      <c r="AC5" s="244">
        <v>0</v>
      </c>
      <c r="AD5" s="237">
        <v>1000</v>
      </c>
      <c r="AE5" s="238">
        <v>2000</v>
      </c>
      <c r="AF5" s="238">
        <v>3000</v>
      </c>
      <c r="AG5" s="239">
        <v>4000</v>
      </c>
      <c r="AH5" s="167"/>
      <c r="AI5" s="168"/>
      <c r="AK5" s="167"/>
      <c r="AL5" s="168"/>
      <c r="AN5" s="167"/>
      <c r="AO5" s="168"/>
      <c r="AS5" s="150"/>
      <c r="AT5" s="150"/>
      <c r="AU5" s="150"/>
      <c r="AV5" s="167"/>
      <c r="AW5" s="168"/>
    </row>
    <row r="6" spans="1:52" ht="15" customHeight="1">
      <c r="A6">
        <v>-40</v>
      </c>
      <c r="B6" s="259">
        <v>6</v>
      </c>
      <c r="C6" s="260">
        <v>6</v>
      </c>
      <c r="D6" s="260">
        <v>5.8</v>
      </c>
      <c r="E6" s="261">
        <v>5.6</v>
      </c>
      <c r="F6" s="261">
        <v>5.4</v>
      </c>
      <c r="G6" s="239">
        <v>-99</v>
      </c>
      <c r="H6" s="167"/>
      <c r="J6" s="167"/>
      <c r="K6" s="168"/>
      <c r="N6">
        <v>-30</v>
      </c>
      <c r="O6" s="264"/>
      <c r="P6" s="265"/>
      <c r="Q6" s="266"/>
      <c r="R6" s="266"/>
      <c r="S6" s="239">
        <v>99999</v>
      </c>
      <c r="T6" s="167"/>
      <c r="U6" s="168"/>
      <c r="W6" s="167"/>
      <c r="X6" s="168"/>
      <c r="AA6">
        <v>-40</v>
      </c>
      <c r="AB6" s="264">
        <v>4.2</v>
      </c>
      <c r="AC6" s="265">
        <v>4.2</v>
      </c>
      <c r="AD6" s="265">
        <v>4</v>
      </c>
      <c r="AE6" s="266">
        <v>3.9</v>
      </c>
      <c r="AF6" s="266">
        <v>3.6</v>
      </c>
      <c r="AG6" s="239">
        <v>-99</v>
      </c>
      <c r="AH6" s="167"/>
      <c r="AI6" s="168"/>
      <c r="AK6" s="167"/>
      <c r="AL6" s="168"/>
      <c r="AN6" s="167"/>
      <c r="AO6" s="168"/>
      <c r="AS6" s="150"/>
      <c r="AT6" s="150"/>
      <c r="AU6" s="150"/>
      <c r="AV6" s="167"/>
      <c r="AW6" s="168"/>
    </row>
    <row r="7" spans="1:52" ht="15" customHeight="1">
      <c r="A7">
        <v>-30</v>
      </c>
      <c r="B7" s="262">
        <v>6</v>
      </c>
      <c r="C7" s="311">
        <v>6</v>
      </c>
      <c r="D7" s="311">
        <v>5.8</v>
      </c>
      <c r="E7" s="312">
        <v>5.6</v>
      </c>
      <c r="F7" s="312">
        <v>5.4</v>
      </c>
      <c r="G7" s="46">
        <v>-99</v>
      </c>
      <c r="H7" s="167"/>
      <c r="J7" s="167"/>
      <c r="K7" s="168"/>
      <c r="O7" s="270"/>
      <c r="P7" s="313"/>
      <c r="Q7" s="314"/>
      <c r="R7" s="314"/>
      <c r="S7" s="46"/>
      <c r="T7" s="167"/>
      <c r="U7" s="168"/>
      <c r="W7" s="167"/>
      <c r="X7" s="168"/>
      <c r="AA7">
        <v>-30</v>
      </c>
      <c r="AB7" s="270">
        <v>4.2</v>
      </c>
      <c r="AC7" s="313">
        <v>4.2</v>
      </c>
      <c r="AD7" s="313">
        <v>4</v>
      </c>
      <c r="AE7" s="314">
        <v>3.9</v>
      </c>
      <c r="AF7" s="314">
        <v>3.6</v>
      </c>
      <c r="AG7" s="46">
        <v>-99</v>
      </c>
      <c r="AH7" s="167"/>
      <c r="AI7" s="168"/>
      <c r="AK7" s="167"/>
      <c r="AL7" s="168"/>
      <c r="AN7" s="167"/>
      <c r="AO7" s="168"/>
      <c r="AS7" s="150"/>
      <c r="AT7" s="150"/>
      <c r="AU7" s="150"/>
      <c r="AV7" s="167"/>
      <c r="AW7" s="168"/>
    </row>
    <row r="8" spans="1:52" ht="15" customHeight="1">
      <c r="A8">
        <v>-20</v>
      </c>
      <c r="B8" s="262">
        <v>6</v>
      </c>
      <c r="C8" s="311">
        <v>6</v>
      </c>
      <c r="D8" s="263">
        <v>5.8</v>
      </c>
      <c r="E8" s="176">
        <v>5.45</v>
      </c>
      <c r="F8" s="176">
        <v>5.2</v>
      </c>
      <c r="G8" s="46">
        <v>-99</v>
      </c>
      <c r="H8" s="167"/>
      <c r="J8" s="167"/>
      <c r="K8" s="168"/>
      <c r="N8">
        <v>-20</v>
      </c>
      <c r="O8" s="270"/>
      <c r="P8" s="271"/>
      <c r="Q8" s="45"/>
      <c r="R8" s="45"/>
      <c r="S8" s="46">
        <v>99999</v>
      </c>
      <c r="T8" s="167"/>
      <c r="U8" s="168"/>
      <c r="W8" s="167"/>
      <c r="X8" s="168"/>
      <c r="AA8">
        <v>-20</v>
      </c>
      <c r="AB8" s="270">
        <v>4.2</v>
      </c>
      <c r="AC8" s="313">
        <v>4.2</v>
      </c>
      <c r="AD8" s="271">
        <v>4</v>
      </c>
      <c r="AE8" s="45">
        <v>3.9</v>
      </c>
      <c r="AF8" s="45">
        <v>3.6</v>
      </c>
      <c r="AG8" s="46">
        <v>-99</v>
      </c>
      <c r="AH8" s="167"/>
      <c r="AI8" s="168"/>
      <c r="AK8" s="167"/>
      <c r="AL8" s="168"/>
      <c r="AN8" s="167"/>
      <c r="AO8" s="168"/>
      <c r="AS8" s="150"/>
      <c r="AT8" s="150"/>
      <c r="AU8" s="150"/>
      <c r="AV8" s="167"/>
      <c r="AW8" s="168"/>
    </row>
    <row r="9" spans="1:52" ht="15" customHeight="1">
      <c r="A9">
        <v>-10</v>
      </c>
      <c r="B9" s="262">
        <v>5.75</v>
      </c>
      <c r="C9" s="311">
        <v>5.75</v>
      </c>
      <c r="D9" s="263">
        <v>5.5</v>
      </c>
      <c r="E9" s="176">
        <v>5.2</v>
      </c>
      <c r="F9" s="176">
        <v>4.9000000000000004</v>
      </c>
      <c r="G9" s="46">
        <v>-99</v>
      </c>
      <c r="H9" s="167"/>
      <c r="J9" s="167"/>
      <c r="K9" s="168"/>
      <c r="N9">
        <v>-10</v>
      </c>
      <c r="O9" s="270"/>
      <c r="P9" s="271"/>
      <c r="Q9" s="45"/>
      <c r="R9" s="45"/>
      <c r="S9" s="46">
        <v>99999</v>
      </c>
      <c r="T9" s="167"/>
      <c r="U9" s="168"/>
      <c r="W9" s="167"/>
      <c r="X9" s="168"/>
      <c r="AA9">
        <v>-10</v>
      </c>
      <c r="AB9" s="270">
        <v>4.0999999999999996</v>
      </c>
      <c r="AC9" s="313">
        <v>4.0999999999999996</v>
      </c>
      <c r="AD9" s="271">
        <v>3.9</v>
      </c>
      <c r="AE9" s="45">
        <v>3.6</v>
      </c>
      <c r="AF9" s="45">
        <v>3.4</v>
      </c>
      <c r="AG9" s="46">
        <v>-99</v>
      </c>
      <c r="AH9" s="167"/>
      <c r="AI9" s="168"/>
      <c r="AK9" s="167"/>
      <c r="AL9" s="168"/>
      <c r="AN9" s="167"/>
      <c r="AO9" s="168"/>
      <c r="AS9" s="150"/>
      <c r="AT9" s="150"/>
      <c r="AU9" s="150"/>
      <c r="AV9" s="167"/>
      <c r="AW9" s="168"/>
    </row>
    <row r="10" spans="1:52" ht="15" customHeight="1">
      <c r="A10">
        <v>0</v>
      </c>
      <c r="B10" s="262">
        <v>5.5</v>
      </c>
      <c r="C10" s="311">
        <v>5.5</v>
      </c>
      <c r="D10" s="263">
        <v>5.2</v>
      </c>
      <c r="E10" s="176">
        <v>4.9000000000000004</v>
      </c>
      <c r="F10" s="176">
        <v>4.5999999999999996</v>
      </c>
      <c r="G10" s="46">
        <v>-99</v>
      </c>
      <c r="H10" s="167"/>
      <c r="J10" s="167"/>
      <c r="K10" s="168"/>
      <c r="N10">
        <v>0</v>
      </c>
      <c r="O10" s="270"/>
      <c r="P10" s="271"/>
      <c r="Q10" s="45"/>
      <c r="R10" s="45"/>
      <c r="S10" s="46">
        <v>99999</v>
      </c>
      <c r="T10" s="167"/>
      <c r="U10" s="168"/>
      <c r="W10" s="167"/>
      <c r="X10" s="168"/>
      <c r="AA10">
        <v>0</v>
      </c>
      <c r="AB10" s="270">
        <v>3.8</v>
      </c>
      <c r="AC10" s="313">
        <v>3.8</v>
      </c>
      <c r="AD10" s="271">
        <v>3.6</v>
      </c>
      <c r="AE10" s="45">
        <v>3.4</v>
      </c>
      <c r="AF10" s="45">
        <v>3.2</v>
      </c>
      <c r="AG10" s="46">
        <v>-99</v>
      </c>
      <c r="AH10" s="167"/>
      <c r="AI10" s="168"/>
      <c r="AK10" s="167"/>
      <c r="AL10" s="168"/>
      <c r="AN10" s="167"/>
      <c r="AO10" s="168"/>
      <c r="AS10" s="150"/>
      <c r="AT10" s="150"/>
      <c r="AU10" s="150"/>
      <c r="AV10" s="167"/>
      <c r="AW10" s="168"/>
    </row>
    <row r="11" spans="1:52" ht="15" customHeight="1">
      <c r="A11">
        <v>10</v>
      </c>
      <c r="B11" s="262">
        <v>5.2</v>
      </c>
      <c r="C11" s="311">
        <v>5.2</v>
      </c>
      <c r="D11" s="263">
        <v>4.9000000000000004</v>
      </c>
      <c r="E11" s="176">
        <v>4.5999999999999996</v>
      </c>
      <c r="F11" s="176">
        <v>4.4000000000000004</v>
      </c>
      <c r="G11" s="46">
        <v>-99</v>
      </c>
      <c r="H11" s="167"/>
      <c r="J11" s="167"/>
      <c r="K11" s="168"/>
      <c r="N11">
        <v>10</v>
      </c>
      <c r="O11" s="270"/>
      <c r="P11" s="271"/>
      <c r="Q11" s="45"/>
      <c r="R11" s="45"/>
      <c r="S11" s="46">
        <v>99999</v>
      </c>
      <c r="T11" s="167"/>
      <c r="U11" s="168"/>
      <c r="W11" s="167"/>
      <c r="X11" s="168"/>
      <c r="AA11">
        <v>10</v>
      </c>
      <c r="AB11" s="270">
        <v>3.6</v>
      </c>
      <c r="AC11" s="313">
        <v>3.6</v>
      </c>
      <c r="AD11" s="271">
        <v>3.4</v>
      </c>
      <c r="AE11" s="45">
        <v>3.2</v>
      </c>
      <c r="AF11" s="45">
        <v>2.9</v>
      </c>
      <c r="AG11" s="46">
        <v>-99</v>
      </c>
      <c r="AH11" s="167"/>
      <c r="AI11" s="168"/>
      <c r="AK11" s="167"/>
      <c r="AL11" s="168"/>
      <c r="AN11" s="167"/>
      <c r="AO11" s="168"/>
      <c r="AS11" s="150"/>
      <c r="AT11" s="150"/>
      <c r="AU11" s="150"/>
      <c r="AV11" s="167"/>
      <c r="AW11" s="168"/>
    </row>
    <row r="12" spans="1:52" ht="15" customHeight="1">
      <c r="A12">
        <v>20</v>
      </c>
      <c r="B12" s="262">
        <v>4.95</v>
      </c>
      <c r="C12" s="311">
        <v>4.95</v>
      </c>
      <c r="D12" s="263">
        <v>4.6500000000000004</v>
      </c>
      <c r="E12" s="176">
        <v>4.4000000000000004</v>
      </c>
      <c r="F12" s="176">
        <v>4</v>
      </c>
      <c r="G12" s="46">
        <v>-99</v>
      </c>
      <c r="H12" s="167"/>
      <c r="J12" s="167"/>
      <c r="K12" s="168"/>
      <c r="N12">
        <v>20</v>
      </c>
      <c r="O12" s="270"/>
      <c r="P12" s="271"/>
      <c r="Q12" s="45"/>
      <c r="R12" s="45"/>
      <c r="S12" s="46">
        <v>99999</v>
      </c>
      <c r="T12" s="167"/>
      <c r="U12" s="168"/>
      <c r="W12" s="167"/>
      <c r="X12" s="168"/>
      <c r="AA12">
        <v>20</v>
      </c>
      <c r="AB12" s="270">
        <v>3.4</v>
      </c>
      <c r="AC12" s="313">
        <v>3.4</v>
      </c>
      <c r="AD12" s="271">
        <v>3.2</v>
      </c>
      <c r="AE12" s="45">
        <v>3</v>
      </c>
      <c r="AF12" s="45">
        <v>2.5</v>
      </c>
      <c r="AG12" s="46">
        <v>-99</v>
      </c>
      <c r="AH12" s="167"/>
      <c r="AI12" s="168"/>
      <c r="AK12" s="167"/>
      <c r="AL12" s="168"/>
      <c r="AN12" s="167"/>
      <c r="AO12" s="168"/>
      <c r="AS12" s="150"/>
      <c r="AT12" s="150"/>
      <c r="AU12" s="150"/>
      <c r="AV12" s="167"/>
      <c r="AW12" s="168"/>
    </row>
    <row r="13" spans="1:52" ht="15" customHeight="1">
      <c r="A13">
        <v>30</v>
      </c>
      <c r="B13" s="262">
        <v>4.7</v>
      </c>
      <c r="C13" s="311">
        <v>4.7</v>
      </c>
      <c r="D13" s="263">
        <v>4.25</v>
      </c>
      <c r="E13" s="176">
        <v>3.9</v>
      </c>
      <c r="F13" s="176">
        <v>3.4</v>
      </c>
      <c r="G13" s="46">
        <v>-99</v>
      </c>
      <c r="H13" s="167"/>
      <c r="J13" s="167"/>
      <c r="K13" s="168"/>
      <c r="O13" s="270"/>
      <c r="P13" s="271"/>
      <c r="Q13" s="45"/>
      <c r="R13" s="45"/>
      <c r="S13" s="46"/>
      <c r="T13" s="167"/>
      <c r="U13" s="168"/>
      <c r="W13" s="167"/>
      <c r="X13" s="168"/>
      <c r="AA13">
        <v>30</v>
      </c>
      <c r="AB13" s="270">
        <v>3.2</v>
      </c>
      <c r="AC13" s="313">
        <v>3.2</v>
      </c>
      <c r="AD13" s="271">
        <v>2.8</v>
      </c>
      <c r="AE13" s="45">
        <v>2.4</v>
      </c>
      <c r="AF13" s="45">
        <v>2</v>
      </c>
      <c r="AG13" s="46">
        <v>-99</v>
      </c>
      <c r="AH13" s="167"/>
      <c r="AI13" s="168"/>
      <c r="AK13" s="167"/>
      <c r="AL13" s="168"/>
      <c r="AN13" s="167"/>
      <c r="AO13" s="168"/>
      <c r="AS13" s="150"/>
      <c r="AT13" s="150"/>
      <c r="AU13" s="150"/>
      <c r="AV13" s="167"/>
      <c r="AW13" s="168"/>
    </row>
    <row r="14" spans="1:52" ht="15" customHeight="1">
      <c r="A14">
        <v>40</v>
      </c>
      <c r="B14" s="262">
        <v>4</v>
      </c>
      <c r="C14" s="311">
        <v>4</v>
      </c>
      <c r="D14" s="263">
        <v>3.4</v>
      </c>
      <c r="E14" s="176">
        <v>3</v>
      </c>
      <c r="F14" s="176">
        <v>2.5</v>
      </c>
      <c r="G14" s="46">
        <v>-99</v>
      </c>
      <c r="H14" s="167"/>
      <c r="J14" s="167"/>
      <c r="K14" s="168"/>
      <c r="N14">
        <v>30</v>
      </c>
      <c r="O14" s="270"/>
      <c r="P14" s="271"/>
      <c r="Q14" s="45"/>
      <c r="R14" s="45"/>
      <c r="S14" s="46">
        <v>99999</v>
      </c>
      <c r="T14" s="167"/>
      <c r="U14" s="168"/>
      <c r="W14" s="167"/>
      <c r="X14" s="168"/>
      <c r="AA14">
        <v>40</v>
      </c>
      <c r="AB14" s="270">
        <v>2.4</v>
      </c>
      <c r="AC14" s="313">
        <v>2.4</v>
      </c>
      <c r="AD14" s="271">
        <v>2</v>
      </c>
      <c r="AE14" s="45">
        <v>1.6</v>
      </c>
      <c r="AF14" s="45">
        <v>1</v>
      </c>
      <c r="AG14" s="46">
        <v>-99</v>
      </c>
      <c r="AH14" s="167"/>
      <c r="AI14" s="168"/>
      <c r="AK14" s="167"/>
      <c r="AL14" s="168"/>
      <c r="AN14" s="167"/>
      <c r="AO14" s="168"/>
      <c r="AS14" s="150"/>
      <c r="AT14" s="150"/>
      <c r="AU14" s="150"/>
      <c r="AV14" s="167"/>
      <c r="AW14" s="168"/>
    </row>
    <row r="15" spans="1:52" ht="15" customHeight="1">
      <c r="A15">
        <v>45</v>
      </c>
      <c r="B15" s="242">
        <v>-99</v>
      </c>
      <c r="C15" s="248">
        <v>-99</v>
      </c>
      <c r="D15" s="243">
        <v>-99</v>
      </c>
      <c r="E15" s="243">
        <v>-99</v>
      </c>
      <c r="F15" s="243">
        <v>-99</v>
      </c>
      <c r="G15" s="251">
        <v>-99</v>
      </c>
      <c r="H15" s="167"/>
      <c r="J15" s="167"/>
      <c r="K15" s="168"/>
      <c r="N15">
        <v>35</v>
      </c>
      <c r="O15" s="242">
        <v>99999</v>
      </c>
      <c r="P15" s="243">
        <v>99999</v>
      </c>
      <c r="Q15" s="243">
        <v>99999</v>
      </c>
      <c r="R15" s="243">
        <v>99999</v>
      </c>
      <c r="S15" s="251">
        <v>99999</v>
      </c>
      <c r="T15" s="167"/>
      <c r="U15" s="168"/>
      <c r="W15" s="167"/>
      <c r="X15" s="168"/>
      <c r="AA15">
        <v>45</v>
      </c>
      <c r="AB15" s="242">
        <v>-99</v>
      </c>
      <c r="AC15" s="248">
        <v>-99</v>
      </c>
      <c r="AD15" s="243">
        <v>-99</v>
      </c>
      <c r="AE15" s="243">
        <v>-99</v>
      </c>
      <c r="AF15" s="243">
        <v>-99</v>
      </c>
      <c r="AG15" s="251">
        <v>-99</v>
      </c>
      <c r="AH15" s="167"/>
      <c r="AI15" s="168"/>
      <c r="AK15" s="167"/>
      <c r="AL15" s="168"/>
      <c r="AN15" s="167"/>
      <c r="AO15" s="168"/>
      <c r="AS15" s="150"/>
      <c r="AT15" s="150"/>
      <c r="AU15" s="150"/>
      <c r="AV15" s="167"/>
      <c r="AW15" s="168"/>
    </row>
    <row r="16" spans="1:52" ht="15" customHeight="1">
      <c r="B16" s="167"/>
      <c r="C16" s="168"/>
      <c r="G16" s="150"/>
      <c r="H16" s="150"/>
      <c r="I16" s="150"/>
      <c r="J16" s="167"/>
      <c r="K16" s="168"/>
      <c r="O16" s="167"/>
      <c r="P16" s="168"/>
      <c r="T16" s="150"/>
      <c r="U16" s="150"/>
      <c r="V16" s="150"/>
      <c r="W16" s="167"/>
      <c r="X16" s="168"/>
      <c r="Z16" s="167"/>
      <c r="AB16" s="167"/>
      <c r="AC16" s="168"/>
      <c r="AG16" s="150"/>
      <c r="AH16" s="150"/>
      <c r="AI16" s="150"/>
      <c r="AJ16" s="167"/>
      <c r="AK16" s="168"/>
      <c r="AM16" s="150"/>
      <c r="AN16" s="150"/>
      <c r="AO16" s="150"/>
      <c r="AP16" s="167"/>
      <c r="AQ16" s="168"/>
      <c r="AU16" s="150"/>
      <c r="AV16" s="150"/>
      <c r="AW16" s="150"/>
      <c r="AX16" s="167"/>
      <c r="AY16" s="168"/>
    </row>
    <row r="17" spans="1:52" ht="15" customHeight="1">
      <c r="B17" s="167" t="s">
        <v>150</v>
      </c>
      <c r="C17" s="168">
        <f ca="1">D1</f>
        <v>235</v>
      </c>
      <c r="D17" s="299" t="s">
        <v>202</v>
      </c>
      <c r="E17" s="299"/>
      <c r="G17" s="150"/>
      <c r="H17" s="150"/>
      <c r="I17" s="150"/>
      <c r="J17" s="167"/>
      <c r="K17" s="168"/>
      <c r="L17" s="92"/>
      <c r="O17" s="167" t="s">
        <v>150</v>
      </c>
      <c r="P17" s="168">
        <f ca="1">D1</f>
        <v>235</v>
      </c>
      <c r="Q17" s="299" t="s">
        <v>202</v>
      </c>
      <c r="R17" s="299"/>
      <c r="T17" s="150"/>
      <c r="U17" s="150"/>
      <c r="V17" s="150"/>
      <c r="W17" s="167"/>
      <c r="X17" s="168"/>
      <c r="Y17" s="92"/>
      <c r="Z17" s="167"/>
      <c r="AB17" s="167" t="s">
        <v>150</v>
      </c>
      <c r="AC17" s="168">
        <f ca="1">D1</f>
        <v>235</v>
      </c>
      <c r="AD17" s="299" t="s">
        <v>202</v>
      </c>
      <c r="AE17" s="299"/>
      <c r="AG17" s="150"/>
      <c r="AH17" s="150"/>
      <c r="AI17" s="150"/>
      <c r="AJ17" s="167"/>
      <c r="AK17" s="168"/>
      <c r="AL17" s="92"/>
      <c r="AM17" s="150"/>
      <c r="AN17" s="150"/>
      <c r="AO17" s="150"/>
      <c r="AP17" s="167"/>
      <c r="AQ17" s="168"/>
      <c r="AR17" s="299"/>
      <c r="AS17" s="299"/>
      <c r="AU17" s="150"/>
      <c r="AV17" s="150"/>
      <c r="AW17" s="150"/>
      <c r="AX17" s="167"/>
      <c r="AY17" s="168"/>
      <c r="AZ17" s="99"/>
    </row>
    <row r="18" spans="1:52" ht="15" customHeight="1">
      <c r="B18" s="38" t="s">
        <v>203</v>
      </c>
      <c r="C18" s="169">
        <f t="array" aca="1" ref="C18" ca="1">INDEX(B5:G5,MATCH(C17,B5:G5,1))</f>
        <v>0</v>
      </c>
      <c r="D18" s="38" t="s">
        <v>148</v>
      </c>
      <c r="E18" s="39">
        <f>MATCH(MAX(A6:A15),A6:A15,1)</f>
        <v>10</v>
      </c>
      <c r="G18" s="150"/>
      <c r="H18" s="150"/>
      <c r="I18" s="150"/>
      <c r="J18" s="38"/>
      <c r="K18" s="169"/>
      <c r="L18" s="38"/>
      <c r="M18" s="39"/>
      <c r="O18" s="38" t="s">
        <v>203</v>
      </c>
      <c r="P18" s="169">
        <f t="array" aca="1" ref="P18" ca="1">INDEX(O5:S5,MATCH(P17,O5:S5,1))</f>
        <v>0</v>
      </c>
      <c r="Q18" s="38" t="s">
        <v>148</v>
      </c>
      <c r="R18" s="39">
        <f>MATCH(MAX(N6:N15),N6:N15,1)</f>
        <v>10</v>
      </c>
      <c r="T18" s="150"/>
      <c r="U18" s="150"/>
      <c r="V18" s="150"/>
      <c r="W18" s="38"/>
      <c r="X18" s="169"/>
      <c r="Y18" s="38"/>
      <c r="Z18" s="38"/>
      <c r="AB18" s="38" t="s">
        <v>203</v>
      </c>
      <c r="AC18" s="169">
        <f t="array" aca="1" ref="AC18" ca="1">INDEX(AB5:AG5,MATCH(AC17,AB5:AG5,1))</f>
        <v>0</v>
      </c>
      <c r="AD18" s="38" t="s">
        <v>148</v>
      </c>
      <c r="AE18" s="39">
        <f>MATCH(MAX(AA6:AA15),AA6:AA15,1)</f>
        <v>10</v>
      </c>
      <c r="AG18" s="150"/>
      <c r="AH18" s="150"/>
      <c r="AI18" s="150"/>
      <c r="AJ18" s="38"/>
      <c r="AK18" s="169"/>
      <c r="AL18" s="38"/>
      <c r="AM18" s="150"/>
      <c r="AN18" s="150"/>
      <c r="AO18" s="150"/>
      <c r="AP18" s="38"/>
      <c r="AQ18" s="169"/>
      <c r="AR18" s="38"/>
      <c r="AS18" s="39"/>
      <c r="AU18" s="150"/>
      <c r="AV18" s="150"/>
      <c r="AW18" s="150"/>
      <c r="AX18" s="38"/>
      <c r="AY18" s="169"/>
      <c r="AZ18" s="38"/>
    </row>
    <row r="19" spans="1:52" ht="15" customHeight="1">
      <c r="B19" s="38" t="s">
        <v>204</v>
      </c>
      <c r="C19" s="169">
        <f t="array" aca="1" ref="C19" ca="1">INDEX(B5:G5,IF(MATCH(C17,B5:G5,1)&lt;E19,MATCH(C17,B5:G5,1)+1,MATCH(C17,B5:G5,1)))</f>
        <v>1000</v>
      </c>
      <c r="D19" s="38" t="s">
        <v>149</v>
      </c>
      <c r="E19" s="39">
        <f>MATCH(MAX(B5:G5),B5:G5,0)</f>
        <v>6</v>
      </c>
      <c r="G19" s="150"/>
      <c r="H19" s="150"/>
      <c r="I19" s="150"/>
      <c r="J19" s="38"/>
      <c r="K19" s="169"/>
      <c r="L19" s="38"/>
      <c r="M19" s="39"/>
      <c r="O19" s="38" t="s">
        <v>204</v>
      </c>
      <c r="P19" s="169">
        <f t="array" aca="1" ref="P19" ca="1">INDEX(O5:S5,IF(MATCH(P17,O5:S5,1)&lt;R19,MATCH(P17,O5:S5,1)+1,MATCH(P17,O5:S5,1)))</f>
        <v>1000</v>
      </c>
      <c r="Q19" s="38" t="s">
        <v>149</v>
      </c>
      <c r="R19" s="39">
        <f>MATCH(MAX(O5:S5),O5:S5,0)</f>
        <v>5</v>
      </c>
      <c r="T19" s="150"/>
      <c r="U19" s="150"/>
      <c r="V19" s="150"/>
      <c r="W19" s="38"/>
      <c r="X19" s="169"/>
      <c r="Y19" s="38"/>
      <c r="Z19" s="38"/>
      <c r="AB19" s="38" t="s">
        <v>204</v>
      </c>
      <c r="AC19" s="169">
        <f t="array" aca="1" ref="AC19" ca="1">INDEX(AB5:AG5,IF(MATCH(AC17,AB5:AG5,1)&lt;AE19,MATCH(AC17,AB5:AG5,1)+1,MATCH(AC17,AB5:AG5,1)))</f>
        <v>1000</v>
      </c>
      <c r="AD19" s="38" t="s">
        <v>149</v>
      </c>
      <c r="AE19" s="39">
        <f>MATCH(MAX(AB5:AG5),AB5:AG5,0)</f>
        <v>6</v>
      </c>
      <c r="AG19" s="150"/>
      <c r="AH19" s="150"/>
      <c r="AI19" s="150"/>
      <c r="AJ19" s="38"/>
      <c r="AK19" s="169"/>
      <c r="AL19" s="38"/>
      <c r="AM19" s="150"/>
      <c r="AN19" s="150"/>
      <c r="AO19" s="150"/>
      <c r="AP19" s="38"/>
      <c r="AQ19" s="169"/>
      <c r="AR19" s="38"/>
      <c r="AS19" s="39"/>
      <c r="AU19" s="150"/>
      <c r="AV19" s="150"/>
      <c r="AW19" s="150"/>
      <c r="AX19" s="38"/>
      <c r="AY19" s="169"/>
      <c r="AZ19" s="38"/>
    </row>
    <row r="20" spans="1:52" ht="15" customHeight="1">
      <c r="B20" s="167" t="s">
        <v>151</v>
      </c>
      <c r="C20" s="213">
        <f ca="1">D2</f>
        <v>0</v>
      </c>
      <c r="D20" s="150"/>
      <c r="E20" s="150"/>
      <c r="G20" s="150"/>
      <c r="H20" s="150"/>
      <c r="I20" s="150"/>
      <c r="J20" s="167"/>
      <c r="K20" s="213"/>
      <c r="L20" s="150"/>
      <c r="M20" s="150"/>
      <c r="O20" s="167" t="s">
        <v>151</v>
      </c>
      <c r="P20" s="213">
        <f ca="1">D2</f>
        <v>0</v>
      </c>
      <c r="Q20" s="150"/>
      <c r="R20" s="150"/>
      <c r="T20" s="150"/>
      <c r="U20" s="150"/>
      <c r="V20" s="150"/>
      <c r="W20" s="167"/>
      <c r="X20" s="213"/>
      <c r="Y20" s="150"/>
      <c r="Z20" s="167"/>
      <c r="AB20" s="167" t="s">
        <v>151</v>
      </c>
      <c r="AC20" s="213">
        <f ca="1">D2</f>
        <v>0</v>
      </c>
      <c r="AD20" s="150"/>
      <c r="AE20" s="150"/>
      <c r="AG20" s="150"/>
      <c r="AH20" s="150"/>
      <c r="AI20" s="150"/>
      <c r="AJ20" s="167"/>
      <c r="AK20" s="213"/>
      <c r="AL20" s="150"/>
      <c r="AM20" s="150"/>
      <c r="AN20" s="150"/>
      <c r="AO20" s="150"/>
      <c r="AP20" s="167"/>
      <c r="AQ20" s="213"/>
      <c r="AR20" s="150"/>
      <c r="AS20" s="150"/>
      <c r="AU20" s="150"/>
      <c r="AV20" s="150"/>
      <c r="AW20" s="150"/>
      <c r="AX20" s="167"/>
      <c r="AY20" s="213"/>
      <c r="AZ20" s="150"/>
    </row>
    <row r="21" spans="1:52" ht="15" customHeight="1">
      <c r="B21" s="38" t="s">
        <v>152</v>
      </c>
      <c r="C21" s="169">
        <f t="array" aca="1" ref="C21" ca="1">INDEX(A6:A15,MATCH(C20,A6:A15,1))</f>
        <v>0</v>
      </c>
      <c r="D21" s="150"/>
      <c r="E21" s="73"/>
      <c r="G21" s="150"/>
      <c r="H21" s="150"/>
      <c r="I21" s="150"/>
      <c r="J21" s="38"/>
      <c r="K21" s="169"/>
      <c r="L21" s="150"/>
      <c r="M21" s="73"/>
      <c r="O21" s="38" t="s">
        <v>152</v>
      </c>
      <c r="P21" s="169">
        <f t="array" aca="1" ref="P21" ca="1">INDEX(N6:N15,MATCH(P20,N6:N15,1))</f>
        <v>0</v>
      </c>
      <c r="Q21" s="150"/>
      <c r="R21" s="73"/>
      <c r="T21" s="150"/>
      <c r="U21" s="150"/>
      <c r="V21" s="150"/>
      <c r="W21" s="38"/>
      <c r="X21" s="169"/>
      <c r="Y21" s="150"/>
      <c r="Z21" s="38"/>
      <c r="AB21" s="38" t="s">
        <v>152</v>
      </c>
      <c r="AC21" s="169">
        <f t="array" aca="1" ref="AC21" ca="1">INDEX(AA6:AA15,MATCH(AC20,AA6:AA15,1))</f>
        <v>0</v>
      </c>
      <c r="AD21" s="150"/>
      <c r="AE21" s="73"/>
      <c r="AG21" s="150"/>
      <c r="AH21" s="150"/>
      <c r="AI21" s="150"/>
      <c r="AJ21" s="38"/>
      <c r="AK21" s="169"/>
      <c r="AL21" s="150"/>
      <c r="AM21" s="150"/>
      <c r="AN21" s="150"/>
      <c r="AO21" s="150"/>
      <c r="AP21" s="38"/>
      <c r="AQ21" s="169"/>
      <c r="AR21" s="150"/>
      <c r="AS21" s="73"/>
      <c r="AU21" s="150"/>
      <c r="AV21" s="150"/>
      <c r="AW21" s="150"/>
      <c r="AX21" s="38"/>
      <c r="AY21" s="169"/>
      <c r="AZ21" s="150"/>
    </row>
    <row r="22" spans="1:52" ht="15" customHeight="1">
      <c r="B22" s="38" t="s">
        <v>153</v>
      </c>
      <c r="C22" s="169">
        <f t="array" aca="1" ref="C22" ca="1">INDEX(A6:A15,IF(MATCH(C20,A6:A15,1)&lt;E18,MATCH(C20,A6:A15,1)+1,MATCH(C20,A6:A15,1)))</f>
        <v>10</v>
      </c>
      <c r="D22" s="150"/>
      <c r="E22" s="73"/>
      <c r="G22" s="150"/>
      <c r="H22" s="150"/>
      <c r="I22" s="150"/>
      <c r="J22" s="38"/>
      <c r="K22" s="169"/>
      <c r="L22" s="150"/>
      <c r="M22" s="73"/>
      <c r="O22" s="38" t="s">
        <v>153</v>
      </c>
      <c r="P22" s="169">
        <f t="array" aca="1" ref="P22" ca="1">INDEX(N6:N15,IF(MATCH(P20,N6:N15,1)&lt;R18,MATCH(P20,N6:N15,1)+1,MATCH(P20,N6:N15,1)))</f>
        <v>10</v>
      </c>
      <c r="Q22" s="150"/>
      <c r="R22" s="73"/>
      <c r="T22" s="150"/>
      <c r="U22" s="150"/>
      <c r="V22" s="150"/>
      <c r="W22" s="38"/>
      <c r="X22" s="169"/>
      <c r="Y22" s="150"/>
      <c r="Z22" s="38"/>
      <c r="AB22" s="38" t="s">
        <v>153</v>
      </c>
      <c r="AC22" s="169">
        <f t="array" aca="1" ref="AC22" ca="1">INDEX(AA6:AA15,IF(MATCH(AC20,AA6:AA15,1)&lt;AE18,MATCH(AC20,AA6:AA15,1)+1,MATCH(AC20,AA6:AA15,1)))</f>
        <v>10</v>
      </c>
      <c r="AD22" s="150"/>
      <c r="AE22" s="73"/>
      <c r="AG22" s="150"/>
      <c r="AH22" s="150"/>
      <c r="AI22" s="150"/>
      <c r="AJ22" s="38"/>
      <c r="AK22" s="169"/>
      <c r="AL22" s="150"/>
      <c r="AM22" s="150"/>
      <c r="AN22" s="150"/>
      <c r="AO22" s="150"/>
      <c r="AP22" s="38"/>
      <c r="AQ22" s="169"/>
      <c r="AR22" s="150"/>
      <c r="AS22" s="73"/>
      <c r="AU22" s="150"/>
      <c r="AV22" s="150"/>
      <c r="AW22" s="150"/>
      <c r="AX22" s="38"/>
      <c r="AY22" s="169"/>
      <c r="AZ22" s="150"/>
    </row>
    <row r="23" spans="1:52" ht="15" customHeight="1">
      <c r="B23" s="167" t="s">
        <v>154</v>
      </c>
      <c r="C23" s="168">
        <f t="array" aca="1" ref="C23" ca="1">INDEX(B6:G15,MATCH(C20,A6:A15,1),MATCH(C17,B5:G5,1))</f>
        <v>5.5</v>
      </c>
      <c r="D23" s="150"/>
      <c r="E23" s="73"/>
      <c r="G23" s="150"/>
      <c r="H23" s="150"/>
      <c r="I23" s="150"/>
      <c r="J23" s="167"/>
      <c r="K23" s="168"/>
      <c r="L23" s="150"/>
      <c r="M23" s="73"/>
      <c r="O23" s="167" t="s">
        <v>154</v>
      </c>
      <c r="P23" s="168">
        <f ca="1">INDEX(O6:S15,MATCH(P20,N6:N15,1),MATCH(P17,O5:S5,1))</f>
        <v>0</v>
      </c>
      <c r="Q23" s="150"/>
      <c r="R23" s="73"/>
      <c r="T23" s="150"/>
      <c r="U23" s="150"/>
      <c r="V23" s="150"/>
      <c r="W23" s="167"/>
      <c r="X23" s="168"/>
      <c r="Y23" s="150"/>
      <c r="Z23" s="167"/>
      <c r="AB23" s="167" t="s">
        <v>154</v>
      </c>
      <c r="AC23" s="168">
        <f t="array" aca="1" ref="AC23" ca="1">INDEX(AB6:AG15,MATCH(AC20,AA6:AA15,1),MATCH(AC17,AB5:AG5,1))</f>
        <v>3.8</v>
      </c>
      <c r="AD23" s="150"/>
      <c r="AE23" s="73"/>
      <c r="AG23" s="150"/>
      <c r="AH23" s="150"/>
      <c r="AI23" s="150"/>
      <c r="AJ23" s="167"/>
      <c r="AK23" s="168"/>
      <c r="AL23" s="150"/>
      <c r="AM23" s="150"/>
      <c r="AN23" s="150"/>
      <c r="AO23" s="150"/>
      <c r="AP23" s="167"/>
      <c r="AQ23" s="168"/>
      <c r="AR23" s="150"/>
      <c r="AS23" s="73"/>
      <c r="AU23" s="150"/>
      <c r="AV23" s="150"/>
      <c r="AW23" s="150"/>
      <c r="AX23" s="167"/>
      <c r="AY23" s="168"/>
      <c r="AZ23" s="150"/>
    </row>
    <row r="24" spans="1:52" ht="15" customHeight="1">
      <c r="B24" s="167" t="s">
        <v>205</v>
      </c>
      <c r="C24" s="168">
        <f t="array" aca="1" ref="C24" ca="1">INDEX(B6:G15,MATCH(C20,A6:A15,1),IF(MATCH(C17,B5:G5,1)&lt;E19,MATCH(C17,B5:G5,1)+1,MATCH(C20,A6:A15,1)))</f>
        <v>5.2</v>
      </c>
      <c r="E24" s="73"/>
      <c r="G24" s="150"/>
      <c r="H24" s="150"/>
      <c r="I24" s="150"/>
      <c r="J24" s="167"/>
      <c r="K24" s="168"/>
      <c r="M24" s="73"/>
      <c r="O24" s="167" t="s">
        <v>205</v>
      </c>
      <c r="P24" s="168">
        <f ca="1">INDEX(O6:S15,MATCH(P20,N6:N15,1),IF(MATCH(P17,O5:S5,1)&lt;R19,MATCH(P17,O5:S5,1)+1,MATCH(P20,N6:N15,1)))</f>
        <v>0</v>
      </c>
      <c r="R24" s="73"/>
      <c r="T24" s="150"/>
      <c r="U24" s="150"/>
      <c r="V24" s="150"/>
      <c r="W24" s="167"/>
      <c r="X24" s="168"/>
      <c r="Z24" s="167"/>
      <c r="AB24" s="167" t="s">
        <v>205</v>
      </c>
      <c r="AC24" s="168">
        <f t="array" aca="1" ref="AC24" ca="1">INDEX(AB6:AG15,MATCH(AC20,AA6:AA15,1),IF(MATCH(AC17,AB5:AG5,1)&lt;AE19,MATCH(AC17,AB5:AG5,1)+1,MATCH(AC20,AA6:AA15,1)))</f>
        <v>3.6</v>
      </c>
      <c r="AE24" s="73"/>
      <c r="AG24" s="150"/>
      <c r="AH24" s="150"/>
      <c r="AI24" s="150"/>
      <c r="AJ24" s="167"/>
      <c r="AK24" s="168"/>
      <c r="AM24" s="150"/>
      <c r="AN24" s="150"/>
      <c r="AO24" s="150"/>
      <c r="AP24" s="167"/>
      <c r="AQ24" s="168"/>
      <c r="AS24" s="73"/>
      <c r="AU24" s="150"/>
      <c r="AV24" s="150"/>
      <c r="AW24" s="150"/>
      <c r="AX24" s="167"/>
      <c r="AY24" s="168"/>
    </row>
    <row r="25" spans="1:52" ht="15" customHeight="1">
      <c r="B25" s="167" t="s">
        <v>155</v>
      </c>
      <c r="C25" s="168">
        <f t="array" aca="1" ref="C25" ca="1">INDEX(B6:G15,IF(MATCH(C20,A6:A15,1)&lt;E18,MATCH(C20,A6:A15,1)+1,MATCH(C20,A6:A15,1)),MATCH(C17,B5:G5,1))</f>
        <v>5.2</v>
      </c>
      <c r="E25" s="73"/>
      <c r="G25" s="150"/>
      <c r="H25" s="150"/>
      <c r="I25" s="150"/>
      <c r="J25" s="167"/>
      <c r="K25" s="168"/>
      <c r="M25" s="73"/>
      <c r="O25" s="167" t="s">
        <v>155</v>
      </c>
      <c r="P25" s="168">
        <f ca="1">INDEX(O6:S15,IF(MATCH(P20,N6:N15,1)&lt;R18,MATCH(P20,N6:N15,1)+1,MATCH(P20,N6:N15,1)),MATCH(P17,O5:S5,1))</f>
        <v>0</v>
      </c>
      <c r="R25" s="73"/>
      <c r="T25" s="150"/>
      <c r="U25" s="150"/>
      <c r="V25" s="150"/>
      <c r="W25" s="167"/>
      <c r="X25" s="168"/>
      <c r="Z25" s="167"/>
      <c r="AB25" s="167" t="s">
        <v>155</v>
      </c>
      <c r="AC25" s="168">
        <f t="array" aca="1" ref="AC25" ca="1">INDEX(AB6:AG15,IF(MATCH(AC20,AA6:AA15,1)&lt;AE18,MATCH(AC20,AA6:AA15,1)+1,MATCH(AC20,AA6:AA15,1)),MATCH(AC17,AB5:AG5,1))</f>
        <v>3.6</v>
      </c>
      <c r="AE25" s="73"/>
      <c r="AG25" s="150"/>
      <c r="AH25" s="150"/>
      <c r="AI25" s="150"/>
      <c r="AJ25" s="167"/>
      <c r="AK25" s="168"/>
      <c r="AM25" s="150"/>
      <c r="AN25" s="150"/>
      <c r="AO25" s="150"/>
      <c r="AP25" s="167"/>
      <c r="AQ25" s="168"/>
      <c r="AS25" s="73"/>
      <c r="AU25" s="150"/>
      <c r="AV25" s="150"/>
      <c r="AW25" s="150"/>
      <c r="AX25" s="167"/>
      <c r="AY25" s="168"/>
    </row>
    <row r="26" spans="1:52" ht="15" customHeight="1">
      <c r="B26" s="167" t="s">
        <v>206</v>
      </c>
      <c r="C26" s="168">
        <f t="array" aca="1" ref="C26" ca="1">INDEX(B6:G15,IF(MATCH(C20,A6:A15,1)&lt;E18,MATCH(C20,A6:A15,1)+1,MATCH(C20,A6:A15,1)),IF(MATCH(C17,B5:G5,1)&lt;E19,MATCH(C17,B5:G5,1)+1,MATCH(C17,B5:G5,1)))</f>
        <v>4.9000000000000004</v>
      </c>
      <c r="G26" s="150"/>
      <c r="H26" s="150"/>
      <c r="I26" s="150"/>
      <c r="J26" s="167"/>
      <c r="K26" s="168"/>
      <c r="O26" s="167" t="s">
        <v>206</v>
      </c>
      <c r="P26" s="168">
        <f ca="1">INDEX(O6:S15,IF(MATCH(P20,N6:N15,1)&lt;R18,MATCH(P20,N6:N15,1)+1,MATCH(P20,N6:N15,1)),IF(MATCH(P17,O5:S5,1)&lt;R19,MATCH(P17,O5:S5,1)+1,MATCH(P17,O5:S5,1)))</f>
        <v>0</v>
      </c>
      <c r="T26" s="150"/>
      <c r="U26" s="150"/>
      <c r="V26" s="150"/>
      <c r="W26" s="167"/>
      <c r="X26" s="168"/>
      <c r="Z26" s="167"/>
      <c r="AB26" s="167" t="s">
        <v>206</v>
      </c>
      <c r="AC26" s="168">
        <f t="array" aca="1" ref="AC26" ca="1">INDEX(AB6:AG15,IF(MATCH(AC20,AA6:AA15,1)&lt;AE18,MATCH(AC20,AA6:AA15,1)+1,MATCH(AC20,AA6:AA15,1)),IF(MATCH(AC17,AB5:AG5,1)&lt;AE19,MATCH(AC17,AB5:AG5,1)+1,MATCH(AC17,AB5:AG5,1)))</f>
        <v>3.4</v>
      </c>
      <c r="AG26" s="150"/>
      <c r="AH26" s="150"/>
      <c r="AI26" s="150"/>
      <c r="AJ26" s="167"/>
      <c r="AK26" s="168"/>
      <c r="AM26" s="150"/>
      <c r="AN26" s="150"/>
      <c r="AO26" s="150"/>
      <c r="AP26" s="167"/>
      <c r="AQ26" s="168"/>
      <c r="AU26" s="150"/>
      <c r="AV26" s="150"/>
      <c r="AW26" s="150"/>
      <c r="AX26" s="167"/>
      <c r="AY26" s="168"/>
    </row>
    <row r="27" spans="1:52" ht="15" customHeight="1">
      <c r="B27" s="38" t="s">
        <v>207</v>
      </c>
      <c r="C27" s="169">
        <f ca="1">IFERROR(C23+(C17-C18)*(C24-C23)/(C19-C18),C23)</f>
        <v>5.4295</v>
      </c>
      <c r="G27" s="150"/>
      <c r="H27" s="150"/>
      <c r="I27" s="150"/>
      <c r="J27" s="38"/>
      <c r="K27" s="169"/>
      <c r="O27" s="38" t="s">
        <v>207</v>
      </c>
      <c r="P27" s="169">
        <f ca="1">IFERROR(P23+(P17-P18)*(P24-P23)/(P19-P18),P23)</f>
        <v>0</v>
      </c>
      <c r="T27" s="150"/>
      <c r="U27" s="150"/>
      <c r="V27" s="150"/>
      <c r="W27" s="38"/>
      <c r="X27" s="169"/>
      <c r="Z27" s="38"/>
      <c r="AB27" s="38" t="s">
        <v>207</v>
      </c>
      <c r="AC27" s="169">
        <f ca="1">IFERROR(AC23+(AC17-AC18)*(AC24-AC23)/(AC19-AC18),AC23)</f>
        <v>3.7529999999999997</v>
      </c>
      <c r="AG27" s="150"/>
      <c r="AH27" s="150"/>
      <c r="AI27" s="150"/>
      <c r="AJ27" s="38"/>
      <c r="AK27" s="169"/>
      <c r="AM27" s="150"/>
      <c r="AN27" s="150"/>
      <c r="AO27" s="150"/>
      <c r="AP27" s="38"/>
      <c r="AQ27" s="169"/>
      <c r="AU27" s="150"/>
      <c r="AV27" s="150"/>
      <c r="AW27" s="150"/>
      <c r="AX27" s="38"/>
      <c r="AY27" s="169"/>
    </row>
    <row r="28" spans="1:52" ht="15" customHeight="1">
      <c r="B28" s="38" t="s">
        <v>208</v>
      </c>
      <c r="C28" s="169">
        <f ca="1">IFERROR(C25+(C17-C18)*(C26-C25)/(C19-C18),C25)</f>
        <v>5.1295000000000002</v>
      </c>
      <c r="G28" s="150"/>
      <c r="H28" s="150"/>
      <c r="I28" s="150"/>
      <c r="J28" s="38"/>
      <c r="K28" s="169"/>
      <c r="O28" s="38" t="s">
        <v>208</v>
      </c>
      <c r="P28" s="169">
        <f ca="1">IFERROR(P25+(P17-P18)*(P26-P25)/(P19-P18),P25)</f>
        <v>0</v>
      </c>
      <c r="T28" s="150"/>
      <c r="U28" s="150"/>
      <c r="V28" s="150"/>
      <c r="W28" s="38"/>
      <c r="X28" s="169"/>
      <c r="Z28" s="38"/>
      <c r="AB28" s="38" t="s">
        <v>208</v>
      </c>
      <c r="AC28" s="169">
        <f ca="1">IFERROR(AC25+(AC17-AC18)*(AC26-AC25)/(AC19-AC18),AC25)</f>
        <v>3.5529999999999999</v>
      </c>
      <c r="AG28" s="150"/>
      <c r="AH28" s="150"/>
      <c r="AI28" s="150"/>
      <c r="AJ28" s="38"/>
      <c r="AK28" s="169"/>
      <c r="AM28" s="150"/>
      <c r="AN28" s="150"/>
      <c r="AO28" s="150"/>
      <c r="AP28" s="38"/>
      <c r="AQ28" s="169"/>
      <c r="AU28" s="150"/>
      <c r="AV28" s="150"/>
      <c r="AW28" s="150"/>
      <c r="AX28" s="38"/>
      <c r="AY28" s="169"/>
    </row>
    <row r="29" spans="1:52" ht="15" customHeight="1">
      <c r="B29" s="167" t="s">
        <v>209</v>
      </c>
      <c r="C29" s="168">
        <f ca="1">IFERROR(C27+(C20-C21)*(C28-C27)/(C22-C21),C27)</f>
        <v>5.4295</v>
      </c>
      <c r="G29" s="150"/>
      <c r="H29" s="150"/>
      <c r="I29" s="150"/>
      <c r="J29" s="167"/>
      <c r="K29" s="168"/>
      <c r="O29" s="167" t="s">
        <v>209</v>
      </c>
      <c r="P29" s="168">
        <f ca="1">IFERROR(P27+(P20-P21)*(P28-P27)/(P22-P21),P27)</f>
        <v>0</v>
      </c>
      <c r="T29" s="150"/>
      <c r="U29" s="150"/>
      <c r="V29" s="150"/>
      <c r="W29" s="167"/>
      <c r="X29" s="168"/>
      <c r="Z29" s="167"/>
      <c r="AB29" s="167" t="s">
        <v>209</v>
      </c>
      <c r="AC29" s="168">
        <f ca="1">IFERROR(AC27+(AC20-AC21)*(AC28-AC27)/(AC22-AC21),AC27)</f>
        <v>3.7529999999999997</v>
      </c>
      <c r="AG29" s="150"/>
      <c r="AH29" s="150"/>
      <c r="AI29" s="150"/>
      <c r="AJ29" s="167"/>
      <c r="AK29" s="168"/>
      <c r="AM29" s="150"/>
      <c r="AN29" s="150"/>
      <c r="AO29" s="150"/>
      <c r="AP29" s="167"/>
      <c r="AQ29" s="168"/>
      <c r="AU29" s="150"/>
      <c r="AV29" s="150"/>
      <c r="AW29" s="150"/>
      <c r="AX29" s="167"/>
      <c r="AY29" s="168"/>
    </row>
    <row r="30" spans="1:52" ht="15.75" customHeight="1"/>
    <row r="31" spans="1:52" ht="15" customHeight="1">
      <c r="B31" s="299" t="s">
        <v>226</v>
      </c>
      <c r="C31" s="299"/>
      <c r="D31" s="299"/>
      <c r="E31" s="299"/>
      <c r="F31" s="299"/>
      <c r="G31" s="299"/>
      <c r="H31" s="92"/>
      <c r="I31" s="92"/>
      <c r="J31" s="92"/>
      <c r="K31" s="92"/>
      <c r="L31" s="92"/>
      <c r="M31" s="92"/>
      <c r="O31" s="299" t="s">
        <v>210</v>
      </c>
      <c r="P31" s="299"/>
      <c r="Q31" s="299"/>
      <c r="R31" s="299"/>
      <c r="S31" s="299"/>
      <c r="T31" s="299"/>
      <c r="U31" s="92"/>
      <c r="V31" s="92"/>
      <c r="W31" s="92"/>
      <c r="X31" s="92"/>
      <c r="Y31" s="92"/>
      <c r="AB31" s="299" t="s">
        <v>210</v>
      </c>
      <c r="AC31" s="299"/>
      <c r="AD31" s="299"/>
      <c r="AE31" s="299"/>
      <c r="AF31" s="299"/>
      <c r="AG31" s="299"/>
      <c r="AH31" s="92"/>
      <c r="AI31" s="92"/>
      <c r="AJ31" s="92"/>
      <c r="AK31" s="92"/>
      <c r="AL31" s="92"/>
    </row>
    <row r="32" spans="1:52" ht="15" customHeight="1">
      <c r="A32" t="s">
        <v>35</v>
      </c>
      <c r="B32" s="252">
        <v>2</v>
      </c>
      <c r="C32" s="272">
        <v>3</v>
      </c>
      <c r="D32" s="255">
        <v>4</v>
      </c>
      <c r="E32" s="255">
        <v>5</v>
      </c>
      <c r="F32" s="255">
        <v>6</v>
      </c>
      <c r="G32" s="239">
        <v>7</v>
      </c>
      <c r="O32" t="s">
        <v>35</v>
      </c>
      <c r="P32" s="252">
        <v>1</v>
      </c>
      <c r="Q32" s="254">
        <v>2</v>
      </c>
      <c r="R32" s="255">
        <v>3</v>
      </c>
      <c r="S32" s="255">
        <v>4</v>
      </c>
      <c r="T32" s="239">
        <v>5</v>
      </c>
      <c r="AA32" t="s">
        <v>35</v>
      </c>
      <c r="AB32" s="252">
        <v>0.3</v>
      </c>
      <c r="AC32" s="254">
        <v>1.2</v>
      </c>
      <c r="AD32" s="255">
        <v>2.2000000000000002</v>
      </c>
      <c r="AE32" s="255">
        <v>3.5</v>
      </c>
      <c r="AF32" s="255">
        <v>4.7</v>
      </c>
      <c r="AG32" s="239">
        <v>5</v>
      </c>
    </row>
    <row r="33" spans="1:38" ht="15" customHeight="1">
      <c r="A33">
        <v>9000</v>
      </c>
      <c r="B33" s="259">
        <v>7.2</v>
      </c>
      <c r="C33" s="260">
        <v>8.6</v>
      </c>
      <c r="D33" s="261">
        <v>10</v>
      </c>
      <c r="E33" s="261">
        <v>10.199999999999999</v>
      </c>
      <c r="F33" s="261">
        <v>10.199999999999999</v>
      </c>
      <c r="G33" s="239">
        <v>-99</v>
      </c>
      <c r="O33">
        <v>10000</v>
      </c>
      <c r="P33" s="264"/>
      <c r="Q33" s="265"/>
      <c r="R33" s="266"/>
      <c r="S33" s="266"/>
      <c r="T33" s="239">
        <v>99999</v>
      </c>
      <c r="AA33">
        <v>9000</v>
      </c>
      <c r="AB33" s="264">
        <v>4.2</v>
      </c>
      <c r="AC33" s="265">
        <v>5.5</v>
      </c>
      <c r="AD33" s="266">
        <v>7</v>
      </c>
      <c r="AE33" s="266">
        <v>8.6999999999999993</v>
      </c>
      <c r="AF33" s="266">
        <v>10</v>
      </c>
      <c r="AG33" s="239">
        <v>-99</v>
      </c>
    </row>
    <row r="34" spans="1:38" ht="15" customHeight="1">
      <c r="A34">
        <v>9500</v>
      </c>
      <c r="B34" s="262">
        <v>6.4</v>
      </c>
      <c r="C34" s="263">
        <v>7.8</v>
      </c>
      <c r="D34" s="176">
        <v>9</v>
      </c>
      <c r="E34" s="176">
        <v>10.199999999999999</v>
      </c>
      <c r="F34" s="176">
        <v>10.199999999999999</v>
      </c>
      <c r="G34" s="46">
        <v>-99</v>
      </c>
      <c r="O34">
        <v>11000</v>
      </c>
      <c r="P34" s="270"/>
      <c r="Q34" s="271"/>
      <c r="R34" s="45"/>
      <c r="S34" s="45"/>
      <c r="T34" s="46">
        <v>99999</v>
      </c>
      <c r="AA34">
        <v>9500</v>
      </c>
      <c r="AB34" s="270">
        <v>3.4</v>
      </c>
      <c r="AC34" s="271">
        <v>4.5999999999999996</v>
      </c>
      <c r="AD34" s="45">
        <v>6.1</v>
      </c>
      <c r="AE34" s="45">
        <v>7.6</v>
      </c>
      <c r="AF34" s="45">
        <v>9</v>
      </c>
      <c r="AG34" s="46">
        <v>-99</v>
      </c>
    </row>
    <row r="35" spans="1:38" ht="15" customHeight="1">
      <c r="A35">
        <v>10000</v>
      </c>
      <c r="B35" s="262">
        <v>5.7</v>
      </c>
      <c r="C35" s="263">
        <v>6.9</v>
      </c>
      <c r="D35" s="176">
        <v>8.1</v>
      </c>
      <c r="E35" s="176">
        <v>9.4</v>
      </c>
      <c r="F35" s="176">
        <v>10.199999999999999</v>
      </c>
      <c r="G35" s="46">
        <v>-99</v>
      </c>
      <c r="O35">
        <v>12000</v>
      </c>
      <c r="P35" s="270"/>
      <c r="Q35" s="271"/>
      <c r="R35" s="45"/>
      <c r="S35" s="45"/>
      <c r="T35" s="46">
        <v>99999</v>
      </c>
      <c r="AA35">
        <v>10000</v>
      </c>
      <c r="AB35" s="270">
        <v>2.8</v>
      </c>
      <c r="AC35" s="271">
        <v>4</v>
      </c>
      <c r="AD35" s="45">
        <v>5.35</v>
      </c>
      <c r="AE35" s="45">
        <v>6.8</v>
      </c>
      <c r="AF35" s="45">
        <v>8.1999999999999993</v>
      </c>
      <c r="AG35" s="46">
        <v>-99</v>
      </c>
    </row>
    <row r="36" spans="1:38" ht="15" customHeight="1">
      <c r="A36">
        <v>10500</v>
      </c>
      <c r="B36" s="262">
        <v>4.9000000000000004</v>
      </c>
      <c r="C36" s="263">
        <v>6.1</v>
      </c>
      <c r="D36" s="176">
        <v>7.2</v>
      </c>
      <c r="E36" s="176">
        <v>8.4</v>
      </c>
      <c r="F36" s="176">
        <v>9.6</v>
      </c>
      <c r="G36" s="46">
        <v>-99</v>
      </c>
      <c r="O36">
        <v>13000</v>
      </c>
      <c r="P36" s="270"/>
      <c r="Q36" s="271"/>
      <c r="R36" s="45"/>
      <c r="S36" s="45"/>
      <c r="T36" s="46">
        <v>99999</v>
      </c>
      <c r="AA36">
        <v>10500</v>
      </c>
      <c r="AB36" s="270">
        <v>2.2000000000000002</v>
      </c>
      <c r="AC36" s="271">
        <v>3.3</v>
      </c>
      <c r="AD36" s="45">
        <v>4.5999999999999996</v>
      </c>
      <c r="AE36" s="45">
        <v>6</v>
      </c>
      <c r="AF36" s="45">
        <v>7.4</v>
      </c>
      <c r="AG36" s="46">
        <v>-99</v>
      </c>
    </row>
    <row r="37" spans="1:38" ht="15" customHeight="1">
      <c r="A37">
        <v>11000</v>
      </c>
      <c r="B37" s="262">
        <v>4.2</v>
      </c>
      <c r="C37" s="263">
        <v>5.3</v>
      </c>
      <c r="D37" s="176">
        <v>6.4</v>
      </c>
      <c r="E37" s="176">
        <v>7.5</v>
      </c>
      <c r="F37" s="176">
        <v>8.6</v>
      </c>
      <c r="G37" s="46">
        <v>-99</v>
      </c>
      <c r="O37">
        <v>14000</v>
      </c>
      <c r="P37" s="270"/>
      <c r="Q37" s="271"/>
      <c r="R37" s="45"/>
      <c r="S37" s="45"/>
      <c r="T37" s="46">
        <v>99999</v>
      </c>
      <c r="AA37">
        <v>11000</v>
      </c>
      <c r="AB37" s="270">
        <v>1.6</v>
      </c>
      <c r="AC37" s="271">
        <v>2.8</v>
      </c>
      <c r="AD37" s="45">
        <v>4</v>
      </c>
      <c r="AE37" s="45">
        <v>5.3</v>
      </c>
      <c r="AF37" s="45">
        <v>6.6</v>
      </c>
      <c r="AG37" s="46">
        <v>-99</v>
      </c>
    </row>
    <row r="38" spans="1:38" ht="15" customHeight="1">
      <c r="A38">
        <v>11500</v>
      </c>
      <c r="B38" s="262">
        <v>3.4</v>
      </c>
      <c r="C38" s="263">
        <v>4.5</v>
      </c>
      <c r="D38" s="176">
        <v>5.6</v>
      </c>
      <c r="E38" s="176">
        <v>6.6</v>
      </c>
      <c r="F38" s="176">
        <v>7.7</v>
      </c>
      <c r="G38" s="46">
        <v>-99</v>
      </c>
      <c r="O38">
        <v>15000</v>
      </c>
      <c r="P38" s="270"/>
      <c r="Q38" s="271"/>
      <c r="R38" s="45"/>
      <c r="S38" s="45"/>
      <c r="T38" s="46">
        <v>99999</v>
      </c>
      <c r="AA38">
        <v>11500</v>
      </c>
      <c r="AB38" s="270">
        <v>1.2</v>
      </c>
      <c r="AC38" s="271">
        <v>2.2000000000000002</v>
      </c>
      <c r="AD38" s="45">
        <v>3.4</v>
      </c>
      <c r="AE38" s="45">
        <v>4.5999999999999996</v>
      </c>
      <c r="AF38" s="45">
        <v>6</v>
      </c>
      <c r="AG38" s="46">
        <v>-99</v>
      </c>
    </row>
    <row r="39" spans="1:38" ht="15" customHeight="1">
      <c r="A39">
        <v>12000</v>
      </c>
      <c r="B39" s="262">
        <v>2.8</v>
      </c>
      <c r="C39" s="263">
        <v>3.75</v>
      </c>
      <c r="D39" s="176">
        <v>4.8</v>
      </c>
      <c r="E39" s="176">
        <v>5.8</v>
      </c>
      <c r="F39" s="176">
        <v>6.8</v>
      </c>
      <c r="G39" s="46">
        <v>-99</v>
      </c>
      <c r="O39">
        <v>16000</v>
      </c>
      <c r="P39" s="270"/>
      <c r="Q39" s="271"/>
      <c r="R39" s="45"/>
      <c r="S39" s="45"/>
      <c r="T39" s="46">
        <v>99999</v>
      </c>
      <c r="AA39">
        <v>12000</v>
      </c>
      <c r="AB39" s="270">
        <v>0.7</v>
      </c>
      <c r="AC39" s="271">
        <v>1.7</v>
      </c>
      <c r="AD39" s="45">
        <v>2.8</v>
      </c>
      <c r="AE39" s="45">
        <v>4</v>
      </c>
      <c r="AF39" s="45">
        <v>5.3</v>
      </c>
      <c r="AG39" s="46">
        <v>-99</v>
      </c>
    </row>
    <row r="40" spans="1:38" ht="15" customHeight="1">
      <c r="A40">
        <v>12500</v>
      </c>
      <c r="B40" s="267">
        <v>2</v>
      </c>
      <c r="C40" s="268">
        <v>3</v>
      </c>
      <c r="D40" s="273">
        <v>4</v>
      </c>
      <c r="E40" s="273">
        <v>5</v>
      </c>
      <c r="F40" s="273">
        <v>6</v>
      </c>
      <c r="G40" s="46">
        <v>-99</v>
      </c>
      <c r="O40">
        <v>16600</v>
      </c>
      <c r="P40" s="274"/>
      <c r="Q40" s="275"/>
      <c r="R40" s="276"/>
      <c r="S40" s="276"/>
      <c r="T40" s="46">
        <v>99999</v>
      </c>
      <c r="AA40">
        <v>12500</v>
      </c>
      <c r="AB40" s="274">
        <v>0.3</v>
      </c>
      <c r="AC40" s="275">
        <v>1.2</v>
      </c>
      <c r="AD40" s="276">
        <v>2.2000000000000002</v>
      </c>
      <c r="AE40" s="276">
        <v>3.5</v>
      </c>
      <c r="AF40" s="276">
        <v>4.7</v>
      </c>
      <c r="AG40" s="46">
        <v>-99</v>
      </c>
    </row>
    <row r="41" spans="1:38" ht="15" customHeight="1">
      <c r="A41">
        <v>12600</v>
      </c>
      <c r="B41" s="242">
        <v>-99</v>
      </c>
      <c r="C41" s="243">
        <v>-99</v>
      </c>
      <c r="D41" s="243">
        <v>-99</v>
      </c>
      <c r="E41" s="243">
        <v>-99</v>
      </c>
      <c r="F41" s="243">
        <v>-99</v>
      </c>
      <c r="G41" s="256">
        <v>-99</v>
      </c>
      <c r="H41" s="227"/>
      <c r="I41" s="227"/>
      <c r="J41" s="227"/>
      <c r="K41" s="227"/>
      <c r="L41" s="227"/>
      <c r="M41" s="32"/>
      <c r="O41">
        <v>16700</v>
      </c>
      <c r="P41" s="242">
        <v>99999</v>
      </c>
      <c r="Q41" s="243">
        <v>99999</v>
      </c>
      <c r="R41" s="243">
        <v>99999</v>
      </c>
      <c r="S41" s="243">
        <v>99999</v>
      </c>
      <c r="T41" s="256">
        <v>99999</v>
      </c>
      <c r="U41" s="227"/>
      <c r="V41" s="227"/>
      <c r="W41" s="227"/>
      <c r="X41" s="227"/>
      <c r="AA41">
        <v>12600</v>
      </c>
      <c r="AB41" s="242">
        <v>-99</v>
      </c>
      <c r="AC41" s="243">
        <v>-99</v>
      </c>
      <c r="AD41" s="243">
        <v>-99</v>
      </c>
      <c r="AE41" s="243">
        <v>-99</v>
      </c>
      <c r="AF41" s="243">
        <v>-99</v>
      </c>
      <c r="AG41" s="256">
        <v>-99</v>
      </c>
      <c r="AH41" s="227"/>
      <c r="AI41" s="227"/>
      <c r="AJ41" s="227"/>
      <c r="AK41" s="227"/>
      <c r="AL41" s="227"/>
    </row>
    <row r="42" spans="1:38" ht="15" customHeight="1">
      <c r="B42" s="167"/>
      <c r="C42" s="168"/>
      <c r="G42" s="150"/>
      <c r="H42" s="150"/>
      <c r="I42" s="150"/>
      <c r="J42" s="167"/>
      <c r="K42" s="168"/>
      <c r="O42" s="167"/>
      <c r="P42" s="168"/>
      <c r="T42" s="150"/>
      <c r="U42" s="150"/>
      <c r="V42" s="150"/>
      <c r="W42" s="167"/>
      <c r="X42" s="168"/>
      <c r="AB42" s="167"/>
      <c r="AC42" s="168"/>
      <c r="AG42" s="150"/>
      <c r="AH42" s="150"/>
      <c r="AI42" s="150"/>
      <c r="AJ42" s="167"/>
      <c r="AK42" s="168"/>
    </row>
    <row r="43" spans="1:38" ht="15" customHeight="1">
      <c r="B43" s="167" t="s">
        <v>150</v>
      </c>
      <c r="C43" s="168">
        <f ca="1">C29</f>
        <v>5.4295</v>
      </c>
      <c r="D43" s="299" t="s">
        <v>202</v>
      </c>
      <c r="E43" s="299"/>
      <c r="G43" s="150"/>
      <c r="H43" s="150"/>
      <c r="I43" s="150"/>
      <c r="J43" s="167"/>
      <c r="K43" s="168"/>
      <c r="L43" s="92"/>
      <c r="O43" s="167" t="s">
        <v>150</v>
      </c>
      <c r="P43" s="168">
        <f ca="1">P29</f>
        <v>0</v>
      </c>
      <c r="Q43" s="299" t="s">
        <v>202</v>
      </c>
      <c r="R43" s="299"/>
      <c r="T43" s="150"/>
      <c r="U43" s="150"/>
      <c r="V43" s="150"/>
      <c r="W43" s="167"/>
      <c r="X43" s="168"/>
      <c r="Y43" s="92"/>
      <c r="AB43" s="167" t="s">
        <v>150</v>
      </c>
      <c r="AC43" s="168">
        <f ca="1">AC29</f>
        <v>3.7529999999999997</v>
      </c>
      <c r="AD43" s="299" t="s">
        <v>202</v>
      </c>
      <c r="AE43" s="299"/>
      <c r="AG43" s="150"/>
      <c r="AH43" s="150"/>
      <c r="AI43" s="150"/>
      <c r="AJ43" s="167"/>
      <c r="AK43" s="168"/>
      <c r="AL43" s="92"/>
    </row>
    <row r="44" spans="1:38" ht="15" customHeight="1">
      <c r="B44" s="38" t="s">
        <v>203</v>
      </c>
      <c r="C44" s="169">
        <f t="array" aca="1" ref="C44" ca="1">INDEX(B32:G32,MATCH(C43,B32:G32,1))</f>
        <v>5</v>
      </c>
      <c r="D44" s="38" t="s">
        <v>148</v>
      </c>
      <c r="E44" s="39">
        <f>MATCH(MAX(A33:A41),A33:A41,1)</f>
        <v>9</v>
      </c>
      <c r="G44" s="150"/>
      <c r="H44" s="150"/>
      <c r="I44" s="150"/>
      <c r="J44" s="38"/>
      <c r="K44" s="169"/>
      <c r="L44" s="38"/>
      <c r="M44" s="39"/>
      <c r="O44" s="38" t="s">
        <v>203</v>
      </c>
      <c r="P44" s="169" t="e">
        <f t="array" aca="1" ref="P44" ca="1">INDEX(P32:T32,MATCH(P43,P32:T32,1))</f>
        <v>#N/A</v>
      </c>
      <c r="Q44" s="38" t="s">
        <v>148</v>
      </c>
      <c r="R44" s="39">
        <f>MATCH(MAX(O33:O41),O33:O41,1)</f>
        <v>9</v>
      </c>
      <c r="T44" s="150"/>
      <c r="U44" s="150"/>
      <c r="V44" s="150"/>
      <c r="W44" s="38"/>
      <c r="X44" s="169"/>
      <c r="Y44" s="38"/>
      <c r="AB44" s="38" t="s">
        <v>203</v>
      </c>
      <c r="AC44" s="169">
        <f t="array" aca="1" ref="AC44" ca="1">INDEX(AB32:AG32,MATCH(AC43,AB32:AG32,1))</f>
        <v>3.5</v>
      </c>
      <c r="AD44" s="38" t="s">
        <v>148</v>
      </c>
      <c r="AE44" s="39">
        <f>MATCH(MAX(AA33:AA41),AA33:AA41,1)</f>
        <v>9</v>
      </c>
      <c r="AG44" s="150"/>
      <c r="AH44" s="150"/>
      <c r="AI44" s="150"/>
      <c r="AJ44" s="38"/>
      <c r="AK44" s="169"/>
      <c r="AL44" s="38"/>
    </row>
    <row r="45" spans="1:38" ht="15" customHeight="1">
      <c r="B45" s="38" t="s">
        <v>204</v>
      </c>
      <c r="C45" s="169">
        <f t="array" aca="1" ref="C45" ca="1">INDEX(B32:G32,IF(MATCH(C43,B32:G32,1)&lt;E45,MATCH(C43,B32:G32,1)+1,MATCH(C43,B32:G32,1)))</f>
        <v>6</v>
      </c>
      <c r="D45" s="38" t="s">
        <v>149</v>
      </c>
      <c r="E45" s="39">
        <f>MATCH(MAX(B32:G32),B32:G32,0)</f>
        <v>6</v>
      </c>
      <c r="G45" s="150"/>
      <c r="H45" s="150"/>
      <c r="I45" s="150"/>
      <c r="J45" s="38"/>
      <c r="K45" s="169"/>
      <c r="L45" s="38"/>
      <c r="M45" s="39"/>
      <c r="O45" s="38" t="s">
        <v>204</v>
      </c>
      <c r="P45" s="169" t="e">
        <f t="array" aca="1" ref="P45" ca="1">INDEX(P32:T32,IF(MATCH(P43,P32:T32,1)&lt;R45,MATCH(P43,P32:T32,1)+1,MATCH(P43,P32:T32,1)))</f>
        <v>#N/A</v>
      </c>
      <c r="Q45" s="38" t="s">
        <v>149</v>
      </c>
      <c r="R45" s="39">
        <f>MATCH(MAX(P32:T32),P32:T32,0)</f>
        <v>5</v>
      </c>
      <c r="T45" s="150"/>
      <c r="U45" s="150"/>
      <c r="V45" s="150"/>
      <c r="W45" s="38"/>
      <c r="X45" s="169"/>
      <c r="Y45" s="38"/>
      <c r="AB45" s="38" t="s">
        <v>204</v>
      </c>
      <c r="AC45" s="169">
        <f t="array" aca="1" ref="AC45" ca="1">INDEX(AB32:AG32,IF(MATCH(AC43,AB32:AG32,1)&lt;AE45,MATCH(AC43,AB32:AG32,1)+1,MATCH(AC43,AB32:AG32,1)))</f>
        <v>4.7</v>
      </c>
      <c r="AD45" s="38" t="s">
        <v>149</v>
      </c>
      <c r="AE45" s="39">
        <f>MATCH(MAX(AB32:AG32),AB32:AG32,0)</f>
        <v>6</v>
      </c>
      <c r="AG45" s="150"/>
      <c r="AH45" s="150"/>
      <c r="AI45" s="150"/>
      <c r="AJ45" s="38"/>
      <c r="AK45" s="169"/>
      <c r="AL45" s="38"/>
    </row>
    <row r="46" spans="1:38" ht="15" customHeight="1">
      <c r="B46" s="167" t="s">
        <v>151</v>
      </c>
      <c r="C46" s="213">
        <f>'Take-off'!$C$14</f>
        <v>9000</v>
      </c>
      <c r="D46" s="150"/>
      <c r="E46" s="150"/>
      <c r="G46" s="150"/>
      <c r="H46" s="150"/>
      <c r="I46" s="150"/>
      <c r="J46" s="167"/>
      <c r="K46" s="213"/>
      <c r="L46" s="150"/>
      <c r="M46" s="150"/>
      <c r="O46" s="167" t="s">
        <v>151</v>
      </c>
      <c r="P46" s="213">
        <f>'Take-off'!$C$14</f>
        <v>9000</v>
      </c>
      <c r="Q46" s="150"/>
      <c r="R46" s="150"/>
      <c r="T46" s="150"/>
      <c r="U46" s="150"/>
      <c r="V46" s="150"/>
      <c r="W46" s="167"/>
      <c r="X46" s="213"/>
      <c r="Y46" s="150"/>
      <c r="AB46" s="167" t="s">
        <v>151</v>
      </c>
      <c r="AC46" s="213">
        <f>'Take-off'!$C$14</f>
        <v>9000</v>
      </c>
      <c r="AD46" s="150"/>
      <c r="AE46" s="150"/>
      <c r="AG46" s="150"/>
      <c r="AH46" s="150"/>
      <c r="AI46" s="150"/>
      <c r="AJ46" s="167"/>
      <c r="AK46" s="213"/>
      <c r="AL46" s="150"/>
    </row>
    <row r="47" spans="1:38" ht="15" customHeight="1">
      <c r="B47" s="38" t="s">
        <v>152</v>
      </c>
      <c r="C47" s="169">
        <f t="array" ref="C47">INDEX(A33:A41,MATCH(C46,A33:A41,1))</f>
        <v>9000</v>
      </c>
      <c r="D47" s="150"/>
      <c r="E47" s="73"/>
      <c r="G47" s="150"/>
      <c r="H47" s="150"/>
      <c r="I47" s="150"/>
      <c r="J47" s="38"/>
      <c r="K47" s="169"/>
      <c r="L47" s="150"/>
      <c r="M47" s="73"/>
      <c r="O47" s="38" t="s">
        <v>152</v>
      </c>
      <c r="P47" s="169" t="e">
        <f t="array" ref="P47">INDEX(O33:O41,MATCH(P46,O33:O41,1))</f>
        <v>#N/A</v>
      </c>
      <c r="Q47" s="150"/>
      <c r="R47" s="73"/>
      <c r="T47" s="150"/>
      <c r="U47" s="150"/>
      <c r="V47" s="150"/>
      <c r="W47" s="38"/>
      <c r="X47" s="169"/>
      <c r="Y47" s="150"/>
      <c r="AB47" s="38" t="s">
        <v>152</v>
      </c>
      <c r="AC47" s="169">
        <f t="array" ref="AC47">INDEX(AA33:AA41,MATCH(AC46,AA33:AA41,1))</f>
        <v>9000</v>
      </c>
      <c r="AD47" s="150"/>
      <c r="AE47" s="73"/>
      <c r="AG47" s="150"/>
      <c r="AH47" s="150"/>
      <c r="AI47" s="150"/>
      <c r="AJ47" s="38"/>
      <c r="AK47" s="169"/>
      <c r="AL47" s="150"/>
    </row>
    <row r="48" spans="1:38" ht="15" customHeight="1">
      <c r="B48" s="38" t="s">
        <v>153</v>
      </c>
      <c r="C48" s="169">
        <f t="array" ref="C48">INDEX(A33:A41,IF(MATCH(C46,A33:A41,1)&lt;E44,MATCH(C46,A33:A41,1)+1,MATCH(C46,A33:A41,1)))</f>
        <v>9500</v>
      </c>
      <c r="D48" s="150"/>
      <c r="E48" s="73"/>
      <c r="G48" s="150"/>
      <c r="H48" s="150"/>
      <c r="I48" s="150"/>
      <c r="J48" s="38"/>
      <c r="K48" s="169"/>
      <c r="L48" s="150"/>
      <c r="M48" s="73"/>
      <c r="O48" s="38" t="s">
        <v>153</v>
      </c>
      <c r="P48" s="169" t="e">
        <f t="array" ref="P48">INDEX(O33:O41,IF(MATCH(P46,O33:O41,1)&lt;R44,MATCH(P46,O33:O41,1)+1,MATCH(P46,O33:O41,1)))</f>
        <v>#N/A</v>
      </c>
      <c r="Q48" s="150"/>
      <c r="R48" s="73"/>
      <c r="T48" s="150"/>
      <c r="U48" s="150"/>
      <c r="V48" s="150"/>
      <c r="W48" s="38"/>
      <c r="X48" s="169"/>
      <c r="Y48" s="150"/>
      <c r="AB48" s="38" t="s">
        <v>153</v>
      </c>
      <c r="AC48" s="169">
        <f t="array" ref="AC48">INDEX(AA33:AA41,IF(MATCH(AC46,AA33:AA41,1)&lt;AE44,MATCH(AC46,AA33:AA41,1)+1,MATCH(AC46,AA33:AA41,1)))</f>
        <v>9500</v>
      </c>
      <c r="AD48" s="150"/>
      <c r="AE48" s="73"/>
      <c r="AG48" s="150"/>
      <c r="AH48" s="150"/>
      <c r="AI48" s="150"/>
      <c r="AJ48" s="38"/>
      <c r="AK48" s="169"/>
      <c r="AL48" s="150"/>
    </row>
    <row r="49" spans="2:38" ht="15" customHeight="1">
      <c r="B49" s="167" t="s">
        <v>154</v>
      </c>
      <c r="C49" s="168">
        <f t="array" aca="1" ref="C49" ca="1">INDEX(B33:G41,MATCH(C46,A33:A41,1),MATCH(C43,B32:G32,1))</f>
        <v>10.199999999999999</v>
      </c>
      <c r="D49" s="150"/>
      <c r="E49" s="73"/>
      <c r="G49" s="150"/>
      <c r="H49" s="150"/>
      <c r="I49" s="150"/>
      <c r="J49" s="167"/>
      <c r="K49" s="168"/>
      <c r="L49" s="150"/>
      <c r="M49" s="73"/>
      <c r="O49" s="167" t="s">
        <v>154</v>
      </c>
      <c r="P49" s="168" t="e">
        <f t="array" aca="1" ref="P49" ca="1">INDEX(P33:T41,MATCH(P46,O33:O41,1),MATCH(P43,P32:T32,1))</f>
        <v>#N/A</v>
      </c>
      <c r="Q49" s="150"/>
      <c r="R49" s="73"/>
      <c r="T49" s="150"/>
      <c r="U49" s="150"/>
      <c r="V49" s="150"/>
      <c r="W49" s="167"/>
      <c r="X49" s="168"/>
      <c r="Y49" s="150"/>
      <c r="AB49" s="167" t="s">
        <v>154</v>
      </c>
      <c r="AC49" s="168">
        <f t="array" aca="1" ref="AC49" ca="1">INDEX(AB33:AG41,MATCH(AC46,AA33:AA41,1),MATCH(AC43,AB32:AG32,1))</f>
        <v>8.6999999999999993</v>
      </c>
      <c r="AD49" s="150"/>
      <c r="AE49" s="73"/>
      <c r="AG49" s="150"/>
      <c r="AH49" s="150"/>
      <c r="AI49" s="150"/>
      <c r="AJ49" s="167"/>
      <c r="AK49" s="168"/>
      <c r="AL49" s="150"/>
    </row>
    <row r="50" spans="2:38" ht="15" customHeight="1">
      <c r="B50" s="167" t="s">
        <v>205</v>
      </c>
      <c r="C50" s="168">
        <f t="array" aca="1" ref="C50" ca="1">INDEX(B33:G41,MATCH(C46,A33:A41,1),IF(MATCH(C43,B32:G32,1)&lt;E45,MATCH(C43,B32:G32,1)+1,MATCH(C46,A33:A41,1)))</f>
        <v>10.199999999999999</v>
      </c>
      <c r="E50" s="73"/>
      <c r="G50" s="150"/>
      <c r="H50" s="150"/>
      <c r="I50" s="150"/>
      <c r="J50" s="167"/>
      <c r="K50" s="168"/>
      <c r="M50" s="73"/>
      <c r="O50" s="167" t="s">
        <v>205</v>
      </c>
      <c r="P50" s="168" t="e">
        <f t="array" aca="1" ref="P50" ca="1">INDEX(P33:T41,MATCH(P46,O33:O41,1),IF(MATCH(P43,P32:T32,1)&lt;R45,MATCH(P43,P32:T32,1)+1,MATCH(P46,O33:O41,1)))</f>
        <v>#N/A</v>
      </c>
      <c r="R50" s="73"/>
      <c r="T50" s="150"/>
      <c r="U50" s="150"/>
      <c r="V50" s="150"/>
      <c r="W50" s="167"/>
      <c r="X50" s="168"/>
      <c r="AB50" s="167" t="s">
        <v>205</v>
      </c>
      <c r="AC50" s="168">
        <f t="array" aca="1" ref="AC50" ca="1">INDEX(AB33:AG41,MATCH(AC46,AA33:AA41,1),IF(MATCH(AC43,AB32:AG32,1)&lt;AE45,MATCH(AC43,AB32:AG32,1)+1,MATCH(AC46,AA33:AA41,1)))</f>
        <v>10</v>
      </c>
      <c r="AE50" s="73"/>
      <c r="AG50" s="150"/>
      <c r="AH50" s="150"/>
      <c r="AI50" s="150"/>
      <c r="AJ50" s="167"/>
      <c r="AK50" s="168"/>
    </row>
    <row r="51" spans="2:38" ht="15" customHeight="1">
      <c r="B51" s="167" t="s">
        <v>155</v>
      </c>
      <c r="C51" s="168">
        <f t="array" aca="1" ref="C51" ca="1">INDEX(B33:G41,IF(MATCH(C46,A33:A41,1)&lt;E44,MATCH(C46,A33:A41,1)+1,MATCH(C46,A33:A41,1)),MATCH(C43,B32:G32,1))</f>
        <v>10.199999999999999</v>
      </c>
      <c r="E51" s="73"/>
      <c r="G51" s="150"/>
      <c r="H51" s="150"/>
      <c r="I51" s="150"/>
      <c r="J51" s="167"/>
      <c r="K51" s="168"/>
      <c r="M51" s="73"/>
      <c r="O51" s="167" t="s">
        <v>155</v>
      </c>
      <c r="P51" s="168" t="e">
        <f t="array" aca="1" ref="P51" ca="1">INDEX(P33:T41,IF(MATCH(P46,O33:O41,1)&lt;R44,MATCH(P46,O33:O41,1)+1,MATCH(P46,O33:O41,1)),MATCH(P43,P32:T32,1))</f>
        <v>#N/A</v>
      </c>
      <c r="R51" s="73"/>
      <c r="T51" s="150"/>
      <c r="U51" s="150"/>
      <c r="V51" s="150"/>
      <c r="W51" s="167"/>
      <c r="X51" s="168"/>
      <c r="AB51" s="167" t="s">
        <v>155</v>
      </c>
      <c r="AC51" s="168">
        <f t="array" aca="1" ref="AC51" ca="1">INDEX(AB33:AG41,IF(MATCH(AC46,AA33:AA41,1)&lt;AE44,MATCH(AC46,AA33:AA41,1)+1,MATCH(AC46,AA33:AA41,1)),MATCH(AC43,AB32:AG32,1))</f>
        <v>7.6</v>
      </c>
      <c r="AE51" s="73"/>
      <c r="AG51" s="150"/>
      <c r="AH51" s="150"/>
      <c r="AI51" s="150"/>
      <c r="AJ51" s="167"/>
      <c r="AK51" s="168"/>
    </row>
    <row r="52" spans="2:38" ht="15" customHeight="1">
      <c r="B52" s="167" t="s">
        <v>206</v>
      </c>
      <c r="C52" s="168">
        <f t="array" aca="1" ref="C52" ca="1">INDEX(B33:G41,IF(MATCH(C46,A33:A41,1)&lt;E44,MATCH(C46,A33:A41,1)+1,MATCH(C46,A33:A41,1)),IF(MATCH(C43,B32:G32,1)&lt;E45,MATCH(C43,B32:G32,1)+1,MATCH(C43,B32:G32,1)))</f>
        <v>10.199999999999999</v>
      </c>
      <c r="G52" s="150"/>
      <c r="H52" s="150"/>
      <c r="I52" s="150"/>
      <c r="J52" s="167"/>
      <c r="K52" s="168"/>
      <c r="O52" s="167" t="s">
        <v>206</v>
      </c>
      <c r="P52" s="168" t="e">
        <f t="array" aca="1" ref="P52" ca="1">INDEX(P33:T41,IF(MATCH(P46,O33:O41,1)&lt;R44,MATCH(P46,O33:O41,1)+1,MATCH(P46,O33:O41,1)),IF(MATCH(P43,P32:T32,1)&lt;R45,MATCH(P43,P32:T32,1)+1,MATCH(P43,P32:T32,1)))</f>
        <v>#N/A</v>
      </c>
      <c r="T52" s="150"/>
      <c r="U52" s="150"/>
      <c r="V52" s="150"/>
      <c r="W52" s="167"/>
      <c r="X52" s="168"/>
      <c r="AB52" s="167" t="s">
        <v>206</v>
      </c>
      <c r="AC52" s="168">
        <f t="array" aca="1" ref="AC52" ca="1">INDEX(AB33:AG41,IF(MATCH(AC46,AA33:AA41,1)&lt;AE44,MATCH(AC46,AA33:AA41,1)+1,MATCH(AC46,AA33:AA41,1)),IF(MATCH(AC43,AB32:AG32,1)&lt;AE45,MATCH(AC43,AB32:AG32,1)+1,MATCH(AC43,AB32:AG32,1)))</f>
        <v>9</v>
      </c>
      <c r="AG52" s="150"/>
      <c r="AH52" s="150"/>
      <c r="AI52" s="150"/>
      <c r="AJ52" s="167"/>
      <c r="AK52" s="168"/>
    </row>
    <row r="53" spans="2:38" ht="15" customHeight="1">
      <c r="B53" s="38" t="s">
        <v>207</v>
      </c>
      <c r="C53" s="169">
        <f ca="1">IFERROR(C49+(C43-C44)*(C50-C49)/(C45-C44),C49)</f>
        <v>10.199999999999999</v>
      </c>
      <c r="G53" s="150"/>
      <c r="H53" s="150"/>
      <c r="I53" s="150"/>
      <c r="J53" s="38"/>
      <c r="K53" s="169"/>
      <c r="O53" s="38" t="s">
        <v>207</v>
      </c>
      <c r="P53" s="169" t="e">
        <f ca="1">IFERROR(P49+(P43-P44)*(P50-P49)/(P45-P44),P49)</f>
        <v>#N/A</v>
      </c>
      <c r="T53" s="150"/>
      <c r="U53" s="150"/>
      <c r="V53" s="150"/>
      <c r="W53" s="38"/>
      <c r="X53" s="169"/>
      <c r="AB53" s="38" t="s">
        <v>207</v>
      </c>
      <c r="AC53" s="169">
        <f ca="1">IFERROR(AC49+(AC43-AC44)*(AC50-AC49)/(AC45-AC44),AC49)</f>
        <v>8.9740833333333327</v>
      </c>
      <c r="AG53" s="150"/>
      <c r="AH53" s="150"/>
      <c r="AI53" s="150"/>
      <c r="AJ53" s="38"/>
      <c r="AK53" s="169"/>
    </row>
    <row r="54" spans="2:38" ht="15" customHeight="1">
      <c r="B54" s="38" t="s">
        <v>208</v>
      </c>
      <c r="C54" s="169">
        <f ca="1">IFERROR(C51+(C43-C44)*(C52-C51)/(C45-C44),C51)</f>
        <v>10.199999999999999</v>
      </c>
      <c r="G54" s="150"/>
      <c r="H54" s="150"/>
      <c r="I54" s="150"/>
      <c r="J54" s="38"/>
      <c r="K54" s="169"/>
      <c r="O54" s="38" t="s">
        <v>208</v>
      </c>
      <c r="P54" s="169" t="e">
        <f ca="1">IFERROR(P51+(P43-P44)*(P52-P51)/(P45-P44),P51)</f>
        <v>#N/A</v>
      </c>
      <c r="T54" s="150"/>
      <c r="U54" s="150"/>
      <c r="V54" s="150"/>
      <c r="W54" s="38"/>
      <c r="X54" s="169"/>
      <c r="AB54" s="38" t="s">
        <v>208</v>
      </c>
      <c r="AC54" s="169">
        <f ca="1">IFERROR(AC51+(AC43-AC44)*(AC52-AC51)/(AC45-AC44),AC51)</f>
        <v>7.8951666666666656</v>
      </c>
      <c r="AG54" s="150"/>
      <c r="AH54" s="150"/>
      <c r="AI54" s="150"/>
      <c r="AJ54" s="38"/>
      <c r="AK54" s="169"/>
    </row>
    <row r="55" spans="2:38" ht="15" customHeight="1">
      <c r="B55" s="167" t="s">
        <v>209</v>
      </c>
      <c r="C55" s="269">
        <f ca="1">IFERROR(C53+(C46-C47)*(C54-C53)/(C48-C47),C53)</f>
        <v>10.199999999999999</v>
      </c>
      <c r="G55" s="150"/>
      <c r="H55" s="150"/>
      <c r="I55" s="150"/>
      <c r="J55" s="167"/>
      <c r="K55" s="168"/>
      <c r="O55" s="167" t="s">
        <v>209</v>
      </c>
      <c r="P55" s="168" t="e">
        <f ca="1">IFERROR(P53+(P46-P47)*(P54-P53)/(P48-P47),P53)</f>
        <v>#N/A</v>
      </c>
      <c r="T55" s="150"/>
      <c r="U55" s="150"/>
      <c r="V55" s="150"/>
      <c r="W55" s="167"/>
      <c r="X55" s="168"/>
      <c r="AB55" s="167" t="s">
        <v>209</v>
      </c>
      <c r="AC55" s="168">
        <f ca="1">IFERROR(AC53+(AC46-AC47)*(AC54-AC53)/(AC48-AC47),AC53)</f>
        <v>8.9740833333333327</v>
      </c>
      <c r="AG55" s="150"/>
      <c r="AH55" s="150"/>
      <c r="AI55" s="150"/>
      <c r="AJ55" s="167"/>
      <c r="AK55" s="168"/>
    </row>
    <row r="57" spans="2:38" ht="15.75" customHeight="1"/>
    <row r="58" spans="2:38" ht="15.75" customHeight="1"/>
    <row r="59" spans="2:38" ht="15.75" customHeight="1"/>
    <row r="60" spans="2:38" ht="15" customHeight="1">
      <c r="C60" s="44"/>
    </row>
    <row r="61" spans="2:38" ht="15.75" customHeight="1"/>
    <row r="62" spans="2:38" ht="15.75" customHeight="1"/>
    <row r="63" spans="2:38" ht="15.75" customHeight="1"/>
    <row r="64" spans="2:3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D43:E43"/>
    <mergeCell ref="Q43:R43"/>
    <mergeCell ref="AD43:AE43"/>
    <mergeCell ref="D17:E17"/>
    <mergeCell ref="Q17:R17"/>
    <mergeCell ref="AD17:AE17"/>
    <mergeCell ref="AR17:AS17"/>
    <mergeCell ref="B31:G31"/>
    <mergeCell ref="O31:T31"/>
    <mergeCell ref="AB31:AG31"/>
    <mergeCell ref="B3:L3"/>
    <mergeCell ref="O3:Y3"/>
    <mergeCell ref="AB3:AL3"/>
    <mergeCell ref="B4:F4"/>
    <mergeCell ref="O4:S4"/>
    <mergeCell ref="AB4:AF4"/>
  </mergeCells>
  <conditionalFormatting sqref="B33:F40">
    <cfRule type="colorScale" priority="3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4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5">
      <colorScale>
        <cfvo type="min"/>
        <cfvo type="max"/>
        <color rgb="FFFCFCFF"/>
        <color rgb="FFF8696B"/>
      </colorScale>
    </cfRule>
  </conditionalFormatting>
  <conditionalFormatting sqref="P33:S40">
    <cfRule type="colorScale" priority="6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7">
      <colorScale>
        <cfvo type="min"/>
        <cfvo type="max"/>
        <color rgb="FFFCFCFF"/>
        <color rgb="FFF8696B"/>
      </colorScale>
    </cfRule>
  </conditionalFormatting>
  <conditionalFormatting sqref="AB33:AF40">
    <cfRule type="colorScale" priority="9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0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47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48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C1001"/>
  <sheetViews>
    <sheetView topLeftCell="A88" zoomScaleNormal="100" workbookViewId="0">
      <selection activeCell="A6" sqref="A6"/>
    </sheetView>
  </sheetViews>
  <sheetFormatPr defaultColWidth="14.44140625" defaultRowHeight="15" customHeight="1"/>
  <cols>
    <col min="1" max="12" width="9.109375" customWidth="1"/>
    <col min="13" max="13" width="5" customWidth="1"/>
    <col min="14" max="55" width="9.109375" customWidth="1"/>
  </cols>
  <sheetData>
    <row r="1" spans="1:55" ht="14.25" customHeight="1">
      <c r="A1" s="159"/>
      <c r="B1" s="38" t="s">
        <v>196</v>
      </c>
      <c r="C1" s="167" t="s">
        <v>150</v>
      </c>
      <c r="D1" s="232">
        <f ca="1">IF('Take-off'!$C$9="",'Take-off'!$C$16,MAX(0,'Take-off'!$C$16+30*(1013-'Take-off'!$C$9)))</f>
        <v>200</v>
      </c>
      <c r="E1" s="233"/>
      <c r="F1" s="233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250"/>
      <c r="AW1" s="159"/>
      <c r="AX1" s="159"/>
      <c r="AY1" s="159"/>
      <c r="AZ1" s="159"/>
      <c r="BA1" s="159"/>
      <c r="BB1" s="159"/>
      <c r="BC1" s="159"/>
    </row>
    <row r="2" spans="1:55" ht="14.25" customHeight="1">
      <c r="A2" s="159"/>
      <c r="B2" s="38" t="s">
        <v>198</v>
      </c>
      <c r="C2" s="167" t="s">
        <v>151</v>
      </c>
      <c r="D2" s="232">
        <f ca="1">IF('Take-off'!$C$13='Dropdown lists'!$B$30, 'Take-off'!$C$8+10, 'Take-off'!$C$8)</f>
        <v>0</v>
      </c>
      <c r="E2" s="234" t="s">
        <v>214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250"/>
      <c r="AW2" s="159"/>
      <c r="AX2" s="159"/>
      <c r="AY2" s="159"/>
      <c r="AZ2" s="159"/>
      <c r="BA2" s="159"/>
      <c r="BB2" s="159"/>
      <c r="BC2" s="159"/>
    </row>
    <row r="3" spans="1:55" ht="14.25" customHeight="1">
      <c r="A3" s="159"/>
      <c r="B3" s="296" t="s">
        <v>227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159"/>
      <c r="N3" s="159"/>
      <c r="O3" s="296" t="s">
        <v>228</v>
      </c>
      <c r="P3" s="296"/>
      <c r="Q3" s="296"/>
      <c r="R3" s="296"/>
      <c r="S3" s="296"/>
      <c r="T3" s="296"/>
      <c r="U3" s="296"/>
      <c r="V3" s="296"/>
      <c r="W3" s="296"/>
      <c r="X3" s="296"/>
      <c r="Y3" s="296"/>
      <c r="Z3" s="159"/>
      <c r="AA3" s="159"/>
      <c r="AB3" s="296" t="s">
        <v>229</v>
      </c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159"/>
      <c r="AN3" s="159"/>
      <c r="AO3" s="159"/>
      <c r="AP3" s="159"/>
      <c r="AQ3" s="159"/>
      <c r="AR3" s="159"/>
      <c r="AS3" s="159"/>
      <c r="AT3" s="159"/>
      <c r="AU3" s="159"/>
      <c r="AV3" s="250"/>
      <c r="AW3" s="159"/>
      <c r="AX3" s="159"/>
      <c r="AY3" s="159"/>
      <c r="AZ3" s="159"/>
      <c r="BA3" s="159"/>
      <c r="BB3" s="159"/>
      <c r="BC3" s="159"/>
    </row>
    <row r="4" spans="1:55" ht="15" customHeight="1">
      <c r="B4" s="307" t="s">
        <v>217</v>
      </c>
      <c r="C4" s="307"/>
      <c r="D4" s="307"/>
      <c r="E4" s="307"/>
      <c r="F4" s="307"/>
      <c r="G4" s="92"/>
      <c r="H4" s="92"/>
      <c r="I4" s="92"/>
      <c r="J4" s="92"/>
      <c r="K4" s="92"/>
      <c r="L4" s="92"/>
      <c r="M4" s="92"/>
      <c r="O4" s="307" t="s">
        <v>217</v>
      </c>
      <c r="P4" s="307"/>
      <c r="Q4" s="307"/>
      <c r="R4" s="307"/>
      <c r="S4" s="307"/>
      <c r="T4" s="92"/>
      <c r="U4" s="92"/>
      <c r="V4" s="92"/>
      <c r="W4" s="92"/>
      <c r="X4" s="92"/>
      <c r="Y4" s="92"/>
      <c r="Z4" s="167"/>
      <c r="AB4" s="307" t="s">
        <v>217</v>
      </c>
      <c r="AC4" s="307"/>
      <c r="AD4" s="307"/>
      <c r="AE4" s="307"/>
      <c r="AF4" s="307"/>
      <c r="AG4" s="92"/>
      <c r="AH4" s="92"/>
      <c r="AI4" s="92"/>
      <c r="AJ4" s="92"/>
      <c r="AK4" s="92"/>
      <c r="AL4" s="92"/>
      <c r="AM4" s="150"/>
      <c r="AN4" s="150"/>
      <c r="AO4" s="150"/>
      <c r="AP4" s="167"/>
      <c r="AQ4" s="168"/>
      <c r="AU4" s="150"/>
      <c r="AV4" s="150"/>
      <c r="AW4" s="150"/>
      <c r="AX4" s="167"/>
      <c r="AY4" s="168"/>
    </row>
    <row r="5" spans="1:55" ht="15" customHeight="1">
      <c r="A5" t="s">
        <v>218</v>
      </c>
      <c r="B5" s="236">
        <v>-500</v>
      </c>
      <c r="C5" s="244">
        <v>0</v>
      </c>
      <c r="D5" s="237">
        <v>1000</v>
      </c>
      <c r="E5" s="238">
        <v>2000</v>
      </c>
      <c r="F5" s="238">
        <v>3000</v>
      </c>
      <c r="G5" s="239">
        <v>4000</v>
      </c>
      <c r="H5" s="167"/>
      <c r="J5" s="167"/>
      <c r="K5" s="168"/>
      <c r="N5" t="s">
        <v>218</v>
      </c>
      <c r="O5" s="236">
        <v>0</v>
      </c>
      <c r="P5" s="237">
        <v>1000</v>
      </c>
      <c r="Q5" s="238">
        <v>2000</v>
      </c>
      <c r="R5" s="238">
        <v>3000</v>
      </c>
      <c r="S5" s="239">
        <v>4000</v>
      </c>
      <c r="T5" s="167"/>
      <c r="U5" s="168"/>
      <c r="W5" s="167"/>
      <c r="X5" s="168"/>
      <c r="AA5" t="s">
        <v>218</v>
      </c>
      <c r="AB5" s="236">
        <v>-500</v>
      </c>
      <c r="AC5" s="244">
        <v>0</v>
      </c>
      <c r="AD5" s="237">
        <v>1000</v>
      </c>
      <c r="AE5" s="238">
        <v>2000</v>
      </c>
      <c r="AF5" s="238">
        <v>3000</v>
      </c>
      <c r="AG5" s="239">
        <v>4000</v>
      </c>
      <c r="AH5" s="167"/>
      <c r="AI5" s="168"/>
      <c r="AK5" s="167"/>
      <c r="AL5" s="168"/>
      <c r="AN5" s="167"/>
      <c r="AO5" s="168"/>
      <c r="AS5" s="150"/>
      <c r="AT5" s="150"/>
      <c r="AU5" s="150"/>
      <c r="AV5" s="167"/>
      <c r="AW5" s="168"/>
    </row>
    <row r="6" spans="1:55" ht="15" customHeight="1">
      <c r="A6">
        <v>-40</v>
      </c>
      <c r="B6" s="236">
        <v>1400</v>
      </c>
      <c r="C6" s="244">
        <v>1400</v>
      </c>
      <c r="D6" s="237">
        <v>1490</v>
      </c>
      <c r="E6" s="238">
        <v>1550</v>
      </c>
      <c r="F6" s="238">
        <v>1600</v>
      </c>
      <c r="G6" s="239">
        <v>99999</v>
      </c>
      <c r="H6" s="167"/>
      <c r="J6" s="167"/>
      <c r="K6" s="168"/>
      <c r="N6">
        <v>-30</v>
      </c>
      <c r="O6" s="236"/>
      <c r="P6" s="237"/>
      <c r="Q6" s="238"/>
      <c r="R6" s="238"/>
      <c r="S6" s="239">
        <v>99999</v>
      </c>
      <c r="T6" s="167"/>
      <c r="U6" s="168"/>
      <c r="W6" s="167"/>
      <c r="X6" s="168"/>
      <c r="AA6">
        <v>-40</v>
      </c>
      <c r="AB6" s="236">
        <v>1550</v>
      </c>
      <c r="AC6" s="244">
        <v>1550</v>
      </c>
      <c r="AD6" s="237">
        <f>AVERAGE(AB6,AE6)</f>
        <v>1625</v>
      </c>
      <c r="AE6" s="238">
        <v>1700</v>
      </c>
      <c r="AF6" s="238">
        <v>1800</v>
      </c>
      <c r="AG6" s="239">
        <v>99999</v>
      </c>
      <c r="AH6" s="167"/>
      <c r="AI6" s="168"/>
      <c r="AK6" s="167"/>
      <c r="AL6" s="168"/>
      <c r="AN6" s="167"/>
      <c r="AO6" s="168"/>
      <c r="AS6" s="150"/>
      <c r="AT6" s="150"/>
      <c r="AU6" s="150"/>
      <c r="AV6" s="167"/>
      <c r="AW6" s="168"/>
    </row>
    <row r="7" spans="1:55" ht="15" customHeight="1">
      <c r="A7">
        <v>-30</v>
      </c>
      <c r="B7" s="247">
        <v>1400</v>
      </c>
      <c r="C7" s="310">
        <v>1400</v>
      </c>
      <c r="D7" s="308">
        <v>1490</v>
      </c>
      <c r="E7" s="309">
        <v>1550</v>
      </c>
      <c r="F7" s="309">
        <v>1600</v>
      </c>
      <c r="G7" s="46">
        <v>99999</v>
      </c>
      <c r="H7" s="167"/>
      <c r="J7" s="167"/>
      <c r="K7" s="168"/>
      <c r="O7" s="247"/>
      <c r="P7" s="308"/>
      <c r="Q7" s="309"/>
      <c r="R7" s="309"/>
      <c r="S7" s="46"/>
      <c r="T7" s="167"/>
      <c r="U7" s="168"/>
      <c r="W7" s="167"/>
      <c r="X7" s="168"/>
      <c r="AA7">
        <v>-30</v>
      </c>
      <c r="AB7" s="247">
        <v>1550</v>
      </c>
      <c r="AC7" s="310">
        <v>1550</v>
      </c>
      <c r="AD7" s="308">
        <v>1625</v>
      </c>
      <c r="AE7" s="309">
        <v>1700</v>
      </c>
      <c r="AF7" s="309">
        <v>1800</v>
      </c>
      <c r="AG7" s="46">
        <v>99999</v>
      </c>
      <c r="AH7" s="167"/>
      <c r="AI7" s="168"/>
      <c r="AK7" s="167"/>
      <c r="AL7" s="168"/>
      <c r="AN7" s="167"/>
      <c r="AO7" s="168"/>
      <c r="AS7" s="150"/>
      <c r="AT7" s="150"/>
      <c r="AU7" s="150"/>
      <c r="AV7" s="167"/>
      <c r="AW7" s="168"/>
    </row>
    <row r="8" spans="1:55" ht="15" customHeight="1">
      <c r="A8">
        <v>-20</v>
      </c>
      <c r="B8" s="247">
        <v>1450</v>
      </c>
      <c r="C8" s="310">
        <v>1450</v>
      </c>
      <c r="D8" s="227">
        <v>1550</v>
      </c>
      <c r="E8">
        <v>1600</v>
      </c>
      <c r="F8">
        <v>1700</v>
      </c>
      <c r="G8" s="46">
        <v>99999</v>
      </c>
      <c r="H8" s="167"/>
      <c r="J8" s="167"/>
      <c r="K8" s="168"/>
      <c r="N8">
        <v>-20</v>
      </c>
      <c r="O8" s="247"/>
      <c r="P8" s="227"/>
      <c r="S8" s="46">
        <v>99999</v>
      </c>
      <c r="T8" s="167"/>
      <c r="U8" s="168"/>
      <c r="W8" s="167"/>
      <c r="X8" s="168"/>
      <c r="AA8">
        <v>-20</v>
      </c>
      <c r="AB8" s="247">
        <v>1550</v>
      </c>
      <c r="AC8" s="310">
        <v>1550</v>
      </c>
      <c r="AD8" s="227">
        <f>AVERAGE(AB8,AE8)</f>
        <v>1625</v>
      </c>
      <c r="AE8">
        <v>1700</v>
      </c>
      <c r="AF8">
        <v>1800</v>
      </c>
      <c r="AG8" s="46">
        <v>99999</v>
      </c>
      <c r="AH8" s="167"/>
      <c r="AI8" s="168"/>
      <c r="AK8" s="167"/>
      <c r="AL8" s="168"/>
      <c r="AN8" s="167"/>
      <c r="AO8" s="168"/>
      <c r="AS8" s="150"/>
      <c r="AT8" s="150"/>
      <c r="AU8" s="150"/>
      <c r="AV8" s="167"/>
      <c r="AW8" s="168"/>
    </row>
    <row r="9" spans="1:55" ht="15" customHeight="1">
      <c r="A9">
        <v>-10</v>
      </c>
      <c r="B9" s="247">
        <v>1550</v>
      </c>
      <c r="C9" s="310">
        <v>1550</v>
      </c>
      <c r="D9" s="227">
        <v>1600</v>
      </c>
      <c r="E9">
        <v>1700</v>
      </c>
      <c r="F9">
        <v>1800</v>
      </c>
      <c r="G9" s="46">
        <v>99999</v>
      </c>
      <c r="H9" s="167"/>
      <c r="J9" s="167"/>
      <c r="K9" s="168"/>
      <c r="N9">
        <v>-10</v>
      </c>
      <c r="O9" s="247"/>
      <c r="P9" s="227"/>
      <c r="S9" s="46">
        <v>99999</v>
      </c>
      <c r="T9" s="167"/>
      <c r="U9" s="168"/>
      <c r="W9" s="167"/>
      <c r="X9" s="168"/>
      <c r="AA9">
        <v>-10</v>
      </c>
      <c r="AB9" s="247">
        <v>1600</v>
      </c>
      <c r="AC9" s="310">
        <v>1600</v>
      </c>
      <c r="AD9" s="227">
        <f>AVERAGE(AB9,AE9)</f>
        <v>1700</v>
      </c>
      <c r="AE9">
        <v>1800</v>
      </c>
      <c r="AF9">
        <v>1900</v>
      </c>
      <c r="AG9" s="46">
        <v>99999</v>
      </c>
      <c r="AH9" s="167"/>
      <c r="AI9" s="168"/>
      <c r="AK9" s="167"/>
      <c r="AL9" s="168"/>
      <c r="AN9" s="167"/>
      <c r="AO9" s="168"/>
      <c r="AS9" s="150"/>
      <c r="AT9" s="150"/>
      <c r="AU9" s="150"/>
      <c r="AV9" s="167"/>
      <c r="AW9" s="168"/>
    </row>
    <row r="10" spans="1:55" ht="15" customHeight="1">
      <c r="A10">
        <v>0</v>
      </c>
      <c r="B10" s="247">
        <v>1610</v>
      </c>
      <c r="C10" s="310">
        <v>1610</v>
      </c>
      <c r="D10" s="227">
        <v>1700</v>
      </c>
      <c r="E10">
        <v>1800</v>
      </c>
      <c r="F10">
        <v>1900</v>
      </c>
      <c r="G10" s="46">
        <v>99999</v>
      </c>
      <c r="H10" s="167"/>
      <c r="J10" s="167"/>
      <c r="K10" s="168"/>
      <c r="N10">
        <v>0</v>
      </c>
      <c r="O10" s="247"/>
      <c r="P10" s="227"/>
      <c r="S10" s="46">
        <v>99999</v>
      </c>
      <c r="T10" s="167"/>
      <c r="U10" s="168"/>
      <c r="W10" s="167"/>
      <c r="X10" s="168"/>
      <c r="AA10">
        <v>0</v>
      </c>
      <c r="AB10" s="247">
        <v>1700</v>
      </c>
      <c r="AC10" s="310">
        <v>1700</v>
      </c>
      <c r="AD10" s="227">
        <f>AVERAGE(AB10,AE10)</f>
        <v>1795</v>
      </c>
      <c r="AE10">
        <v>1890</v>
      </c>
      <c r="AF10">
        <v>2000</v>
      </c>
      <c r="AG10" s="46">
        <v>99999</v>
      </c>
      <c r="AH10" s="167"/>
      <c r="AI10" s="168"/>
      <c r="AK10" s="167"/>
      <c r="AL10" s="168"/>
      <c r="AN10" s="167"/>
      <c r="AO10" s="168"/>
      <c r="AS10" s="150"/>
      <c r="AT10" s="150"/>
      <c r="AU10" s="150"/>
      <c r="AV10" s="167"/>
      <c r="AW10" s="168"/>
    </row>
    <row r="11" spans="1:55" ht="15" customHeight="1">
      <c r="A11">
        <v>10</v>
      </c>
      <c r="B11" s="247">
        <v>1700</v>
      </c>
      <c r="C11" s="310">
        <v>1700</v>
      </c>
      <c r="D11" s="227">
        <v>1800</v>
      </c>
      <c r="E11">
        <v>1900</v>
      </c>
      <c r="F11">
        <v>2015</v>
      </c>
      <c r="G11" s="46">
        <v>99999</v>
      </c>
      <c r="H11" s="167"/>
      <c r="J11" s="167"/>
      <c r="K11" s="168"/>
      <c r="N11">
        <v>10</v>
      </c>
      <c r="O11" s="247"/>
      <c r="P11" s="227"/>
      <c r="S11" s="46">
        <v>99999</v>
      </c>
      <c r="T11" s="167"/>
      <c r="U11" s="168"/>
      <c r="W11" s="167"/>
      <c r="X11" s="168"/>
      <c r="AA11">
        <v>10</v>
      </c>
      <c r="AB11" s="247">
        <v>1800</v>
      </c>
      <c r="AC11" s="310">
        <v>1800</v>
      </c>
      <c r="AD11" s="227">
        <f>AVERAGE(AB11,AE11)</f>
        <v>1900</v>
      </c>
      <c r="AE11">
        <v>2000</v>
      </c>
      <c r="AF11">
        <v>2110</v>
      </c>
      <c r="AG11" s="46">
        <v>99999</v>
      </c>
      <c r="AH11" s="167"/>
      <c r="AI11" s="168"/>
      <c r="AK11" s="167"/>
      <c r="AL11" s="168"/>
      <c r="AN11" s="167"/>
      <c r="AO11" s="168"/>
      <c r="AS11" s="150"/>
      <c r="AT11" s="150"/>
      <c r="AU11" s="150"/>
      <c r="AV11" s="167"/>
      <c r="AW11" s="168"/>
    </row>
    <row r="12" spans="1:55" ht="15" customHeight="1">
      <c r="A12">
        <v>20</v>
      </c>
      <c r="B12" s="247">
        <v>1780</v>
      </c>
      <c r="C12" s="310">
        <v>1780</v>
      </c>
      <c r="D12" s="227">
        <v>1900</v>
      </c>
      <c r="E12">
        <v>2000</v>
      </c>
      <c r="F12">
        <v>2150</v>
      </c>
      <c r="G12" s="46">
        <v>99999</v>
      </c>
      <c r="H12" s="167"/>
      <c r="J12" s="167"/>
      <c r="K12" s="168"/>
      <c r="N12">
        <v>20</v>
      </c>
      <c r="O12" s="247"/>
      <c r="P12" s="227"/>
      <c r="S12" s="46">
        <v>99999</v>
      </c>
      <c r="T12" s="167"/>
      <c r="U12" s="168"/>
      <c r="W12" s="167"/>
      <c r="X12" s="168"/>
      <c r="AA12">
        <v>20</v>
      </c>
      <c r="AB12" s="247">
        <v>1900</v>
      </c>
      <c r="AC12" s="310">
        <v>1900</v>
      </c>
      <c r="AD12" s="227">
        <f>AVERAGE(AB12,AE12)</f>
        <v>2025</v>
      </c>
      <c r="AE12">
        <v>2150</v>
      </c>
      <c r="AF12">
        <v>2300</v>
      </c>
      <c r="AG12" s="46">
        <v>99999</v>
      </c>
      <c r="AH12" s="167"/>
      <c r="AI12" s="168"/>
      <c r="AK12" s="167"/>
      <c r="AL12" s="168"/>
      <c r="AN12" s="167"/>
      <c r="AO12" s="168"/>
      <c r="AS12" s="150"/>
      <c r="AT12" s="150"/>
      <c r="AU12" s="150"/>
      <c r="AV12" s="167"/>
      <c r="AW12" s="168"/>
    </row>
    <row r="13" spans="1:55" ht="15" customHeight="1">
      <c r="A13">
        <v>30</v>
      </c>
      <c r="B13" s="247">
        <v>1880</v>
      </c>
      <c r="C13" s="310">
        <v>1880</v>
      </c>
      <c r="D13" s="227">
        <v>2000</v>
      </c>
      <c r="E13">
        <v>2130</v>
      </c>
      <c r="F13">
        <v>2320</v>
      </c>
      <c r="G13" s="46">
        <v>99999</v>
      </c>
      <c r="H13" s="167"/>
      <c r="J13" s="167"/>
      <c r="K13" s="168"/>
      <c r="O13" s="247"/>
      <c r="P13" s="227"/>
      <c r="S13" s="46"/>
      <c r="T13" s="167"/>
      <c r="U13" s="168"/>
      <c r="W13" s="167"/>
      <c r="X13" s="168"/>
      <c r="AA13">
        <v>30</v>
      </c>
      <c r="AB13" s="247">
        <v>2050</v>
      </c>
      <c r="AC13" s="310">
        <v>2050</v>
      </c>
      <c r="AD13" s="227">
        <f>AVERAGE(AB13,AE13)</f>
        <v>2185</v>
      </c>
      <c r="AE13">
        <v>2320</v>
      </c>
      <c r="AF13">
        <v>2500</v>
      </c>
      <c r="AG13" s="46">
        <v>99999</v>
      </c>
      <c r="AH13" s="167"/>
      <c r="AI13" s="168"/>
      <c r="AK13" s="167"/>
      <c r="AL13" s="168"/>
      <c r="AN13" s="167"/>
      <c r="AO13" s="168"/>
      <c r="AS13" s="150"/>
      <c r="AT13" s="150"/>
      <c r="AU13" s="150"/>
      <c r="AV13" s="167"/>
      <c r="AW13" s="168"/>
    </row>
    <row r="14" spans="1:55" ht="15" customHeight="1">
      <c r="A14">
        <v>40</v>
      </c>
      <c r="B14" s="247">
        <v>2075</v>
      </c>
      <c r="C14" s="310">
        <v>2075</v>
      </c>
      <c r="D14" s="227">
        <v>2200</v>
      </c>
      <c r="E14">
        <v>2380</v>
      </c>
      <c r="F14">
        <v>2600</v>
      </c>
      <c r="G14" s="46">
        <v>99999</v>
      </c>
      <c r="H14" s="167"/>
      <c r="J14" s="167"/>
      <c r="K14" s="168"/>
      <c r="N14">
        <v>30</v>
      </c>
      <c r="O14" s="247"/>
      <c r="P14" s="227"/>
      <c r="S14" s="46">
        <v>99999</v>
      </c>
      <c r="T14" s="167"/>
      <c r="U14" s="168"/>
      <c r="W14" s="167"/>
      <c r="X14" s="168"/>
      <c r="AA14">
        <v>40</v>
      </c>
      <c r="AB14" s="247">
        <v>2220</v>
      </c>
      <c r="AC14" s="310">
        <v>2220</v>
      </c>
      <c r="AD14" s="227">
        <f>AVERAGE(AB14,AE14)</f>
        <v>2385</v>
      </c>
      <c r="AE14">
        <v>2550</v>
      </c>
      <c r="AF14">
        <v>2800</v>
      </c>
      <c r="AG14" s="46">
        <v>99999</v>
      </c>
      <c r="AH14" s="167"/>
      <c r="AI14" s="168"/>
      <c r="AK14" s="167"/>
      <c r="AL14" s="168"/>
      <c r="AN14" s="167"/>
      <c r="AO14" s="168"/>
      <c r="AS14" s="150"/>
      <c r="AT14" s="150"/>
      <c r="AU14" s="150"/>
      <c r="AV14" s="167"/>
      <c r="AW14" s="168"/>
    </row>
    <row r="15" spans="1:55" ht="15" customHeight="1">
      <c r="A15">
        <v>45</v>
      </c>
      <c r="B15" s="242">
        <v>99999</v>
      </c>
      <c r="C15" s="248">
        <v>99999</v>
      </c>
      <c r="D15" s="243">
        <v>99999</v>
      </c>
      <c r="E15" s="243">
        <v>99999</v>
      </c>
      <c r="F15" s="243">
        <v>99999</v>
      </c>
      <c r="G15" s="251">
        <v>99999</v>
      </c>
      <c r="H15" s="167"/>
      <c r="J15" s="167"/>
      <c r="K15" s="168"/>
      <c r="N15">
        <v>35</v>
      </c>
      <c r="O15" s="242">
        <v>99999</v>
      </c>
      <c r="P15" s="243">
        <v>99999</v>
      </c>
      <c r="Q15" s="243">
        <v>99999</v>
      </c>
      <c r="R15" s="243">
        <v>99999</v>
      </c>
      <c r="S15" s="251">
        <v>99999</v>
      </c>
      <c r="T15" s="167"/>
      <c r="U15" s="168"/>
      <c r="W15" s="167"/>
      <c r="X15" s="168"/>
      <c r="AA15">
        <v>45</v>
      </c>
      <c r="AB15" s="242">
        <v>99999</v>
      </c>
      <c r="AC15" s="248">
        <v>99999</v>
      </c>
      <c r="AD15" s="243">
        <v>99999</v>
      </c>
      <c r="AE15" s="243">
        <v>99999</v>
      </c>
      <c r="AF15" s="243">
        <v>99999</v>
      </c>
      <c r="AG15" s="251">
        <v>99999</v>
      </c>
      <c r="AH15" s="167"/>
      <c r="AI15" s="168"/>
      <c r="AK15" s="167"/>
      <c r="AL15" s="168"/>
      <c r="AN15" s="167"/>
      <c r="AO15" s="168"/>
      <c r="AS15" s="150"/>
      <c r="AT15" s="150"/>
      <c r="AU15" s="150"/>
      <c r="AV15" s="167"/>
      <c r="AW15" s="168"/>
    </row>
    <row r="16" spans="1:55" ht="15" customHeight="1">
      <c r="B16" s="167"/>
      <c r="C16" s="168"/>
      <c r="G16" s="150"/>
      <c r="H16" s="150"/>
      <c r="I16" s="150"/>
      <c r="J16" s="167"/>
      <c r="K16" s="168"/>
      <c r="O16" s="167"/>
      <c r="P16" s="168"/>
      <c r="T16" s="150"/>
      <c r="U16" s="150"/>
      <c r="V16" s="150"/>
      <c r="W16" s="167"/>
      <c r="X16" s="168"/>
      <c r="Z16" s="167"/>
      <c r="AB16" s="167"/>
      <c r="AC16" s="168"/>
      <c r="AG16" s="150"/>
      <c r="AH16" s="150"/>
      <c r="AI16" s="150"/>
      <c r="AJ16" s="167"/>
      <c r="AK16" s="168"/>
      <c r="AM16" s="150"/>
      <c r="AN16" s="150"/>
      <c r="AO16" s="150"/>
      <c r="AP16" s="167"/>
      <c r="AQ16" s="168"/>
      <c r="AU16" s="150"/>
      <c r="AV16" s="150"/>
      <c r="AW16" s="150"/>
      <c r="AX16" s="167"/>
      <c r="AY16" s="168"/>
    </row>
    <row r="17" spans="1:53" ht="15" customHeight="1">
      <c r="B17" s="167" t="s">
        <v>150</v>
      </c>
      <c r="C17" s="168">
        <f ca="1">D1</f>
        <v>200</v>
      </c>
      <c r="D17" s="299" t="s">
        <v>202</v>
      </c>
      <c r="E17" s="299"/>
      <c r="G17" s="150"/>
      <c r="H17" s="150"/>
      <c r="I17" s="150"/>
      <c r="J17" s="167"/>
      <c r="K17" s="168"/>
      <c r="L17" s="92"/>
      <c r="O17" s="167" t="s">
        <v>150</v>
      </c>
      <c r="P17" s="168">
        <f ca="1">D1</f>
        <v>200</v>
      </c>
      <c r="Q17" s="299" t="s">
        <v>202</v>
      </c>
      <c r="R17" s="299"/>
      <c r="T17" s="150"/>
      <c r="U17" s="150"/>
      <c r="V17" s="150"/>
      <c r="W17" s="167"/>
      <c r="X17" s="168"/>
      <c r="Y17" s="92"/>
      <c r="Z17" s="167"/>
      <c r="AB17" s="167" t="s">
        <v>150</v>
      </c>
      <c r="AC17" s="168">
        <f ca="1">D1</f>
        <v>200</v>
      </c>
      <c r="AD17" s="299" t="s">
        <v>202</v>
      </c>
      <c r="AE17" s="299"/>
      <c r="AG17" s="150"/>
      <c r="AH17" s="150"/>
      <c r="AI17" s="150"/>
      <c r="AJ17" s="167"/>
      <c r="AK17" s="168"/>
      <c r="AL17" s="92"/>
      <c r="AM17" s="150"/>
      <c r="AN17" s="150"/>
      <c r="AO17" s="150"/>
      <c r="AP17" s="167"/>
      <c r="AQ17" s="168"/>
      <c r="AR17" s="299"/>
      <c r="AS17" s="299"/>
      <c r="AU17" s="150"/>
      <c r="AV17" s="150"/>
      <c r="AW17" s="150"/>
      <c r="AX17" s="167"/>
      <c r="AY17" s="168"/>
      <c r="AZ17" s="299"/>
      <c r="BA17" s="299"/>
    </row>
    <row r="18" spans="1:53" ht="15" customHeight="1">
      <c r="B18" s="38" t="s">
        <v>203</v>
      </c>
      <c r="C18" s="169">
        <f t="array" aca="1" ref="C18" ca="1">INDEX(B5:G5,MATCH(C17,B5:G5,1))</f>
        <v>0</v>
      </c>
      <c r="D18" s="38" t="s">
        <v>148</v>
      </c>
      <c r="E18" s="39">
        <f>MATCH(MAX(A6:A15),A6:A15,1)</f>
        <v>10</v>
      </c>
      <c r="G18" s="150"/>
      <c r="H18" s="150"/>
      <c r="I18" s="150"/>
      <c r="J18" s="38"/>
      <c r="K18" s="169"/>
      <c r="L18" s="38"/>
      <c r="M18" s="39"/>
      <c r="O18" s="38" t="s">
        <v>203</v>
      </c>
      <c r="P18" s="169">
        <f t="array" aca="1" ref="P18" ca="1">INDEX(O5:S5,MATCH(P17,O5:S5,1))</f>
        <v>0</v>
      </c>
      <c r="Q18" s="38" t="s">
        <v>148</v>
      </c>
      <c r="R18" s="39">
        <f>MATCH(MAX(N6:N15),N6:N15,1)</f>
        <v>10</v>
      </c>
      <c r="T18" s="150"/>
      <c r="U18" s="150"/>
      <c r="V18" s="150"/>
      <c r="W18" s="38"/>
      <c r="X18" s="169"/>
      <c r="Y18" s="38"/>
      <c r="Z18" s="38"/>
      <c r="AB18" s="38" t="s">
        <v>203</v>
      </c>
      <c r="AC18" s="169">
        <f t="array" aca="1" ref="AC18" ca="1">INDEX(AB5:AG5,MATCH(AC17,AB5:AG5,1))</f>
        <v>0</v>
      </c>
      <c r="AD18" s="38" t="s">
        <v>148</v>
      </c>
      <c r="AE18" s="39">
        <f>MATCH(MAX(AA6:AA15),AA6:AA15,1)</f>
        <v>10</v>
      </c>
      <c r="AG18" s="150"/>
      <c r="AH18" s="150"/>
      <c r="AI18" s="150"/>
      <c r="AJ18" s="38"/>
      <c r="AK18" s="169"/>
      <c r="AL18" s="38"/>
      <c r="AM18" s="150"/>
      <c r="AN18" s="150"/>
      <c r="AO18" s="150"/>
      <c r="AP18" s="38"/>
      <c r="AQ18" s="169"/>
      <c r="AR18" s="38"/>
      <c r="AS18" s="39"/>
      <c r="AU18" s="150"/>
      <c r="AV18" s="150"/>
      <c r="AW18" s="150"/>
      <c r="AX18" s="38"/>
      <c r="AY18" s="169"/>
      <c r="AZ18" s="38"/>
      <c r="BA18" s="39"/>
    </row>
    <row r="19" spans="1:53" ht="15" customHeight="1">
      <c r="B19" s="38" t="s">
        <v>204</v>
      </c>
      <c r="C19" s="169">
        <f t="array" aca="1" ref="C19" ca="1">INDEX(B5:G5,IF(MATCH(C17,B5:G5,1)&lt;E19,MATCH(C17,B5:G5,1)+1,MATCH(C17,B5:G5,1)))</f>
        <v>1000</v>
      </c>
      <c r="D19" s="38" t="s">
        <v>149</v>
      </c>
      <c r="E19" s="39">
        <f>MATCH(MAX(B5:G5),B5:G5,0)</f>
        <v>6</v>
      </c>
      <c r="G19" s="150"/>
      <c r="H19" s="150"/>
      <c r="I19" s="150"/>
      <c r="J19" s="38"/>
      <c r="K19" s="169"/>
      <c r="L19" s="38"/>
      <c r="M19" s="39"/>
      <c r="O19" s="38" t="s">
        <v>204</v>
      </c>
      <c r="P19" s="169">
        <f t="array" aca="1" ref="P19" ca="1">INDEX(O5:S5,IF(MATCH(P17,O5:S5,1)&lt;R19,MATCH(P17,O5:S5,1)+1,MATCH(P17,O5:S5,1)))</f>
        <v>1000</v>
      </c>
      <c r="Q19" s="38" t="s">
        <v>149</v>
      </c>
      <c r="R19" s="39">
        <f>MATCH(MAX(O5:S5),O5:S5,0)</f>
        <v>5</v>
      </c>
      <c r="T19" s="150"/>
      <c r="U19" s="150"/>
      <c r="V19" s="150"/>
      <c r="W19" s="38"/>
      <c r="X19" s="169"/>
      <c r="Y19" s="38"/>
      <c r="Z19" s="38"/>
      <c r="AB19" s="38" t="s">
        <v>204</v>
      </c>
      <c r="AC19" s="169">
        <f t="array" aca="1" ref="AC19" ca="1">INDEX(AB5:AG5,IF(MATCH(AC17,AB5:AG5,1)&lt;AE19,MATCH(AC17,AB5:AG5,1)+1,MATCH(AC17,AB5:AG5,1)))</f>
        <v>1000</v>
      </c>
      <c r="AD19" s="38" t="s">
        <v>149</v>
      </c>
      <c r="AE19" s="39">
        <f>MATCH(MAX(AB5:AG5),AB5:AG5,0)</f>
        <v>6</v>
      </c>
      <c r="AG19" s="150"/>
      <c r="AH19" s="150"/>
      <c r="AI19" s="150"/>
      <c r="AJ19" s="38"/>
      <c r="AK19" s="169"/>
      <c r="AL19" s="38"/>
      <c r="AM19" s="150"/>
      <c r="AN19" s="150"/>
      <c r="AO19" s="150"/>
      <c r="AP19" s="38"/>
      <c r="AQ19" s="169"/>
      <c r="AR19" s="38"/>
      <c r="AS19" s="39"/>
      <c r="AU19" s="150"/>
      <c r="AV19" s="150"/>
      <c r="AW19" s="150"/>
      <c r="AX19" s="38"/>
      <c r="AY19" s="169"/>
      <c r="AZ19" s="38"/>
      <c r="BA19" s="39"/>
    </row>
    <row r="20" spans="1:53" ht="15" customHeight="1">
      <c r="B20" s="167" t="s">
        <v>151</v>
      </c>
      <c r="C20" s="213">
        <f ca="1">D2</f>
        <v>0</v>
      </c>
      <c r="D20" s="150"/>
      <c r="E20" s="150"/>
      <c r="G20" s="150"/>
      <c r="H20" s="150"/>
      <c r="I20" s="150"/>
      <c r="J20" s="167"/>
      <c r="K20" s="213"/>
      <c r="L20" s="150"/>
      <c r="M20" s="150"/>
      <c r="O20" s="167" t="s">
        <v>151</v>
      </c>
      <c r="P20" s="213">
        <f ca="1">D2</f>
        <v>0</v>
      </c>
      <c r="Q20" s="150"/>
      <c r="R20" s="150"/>
      <c r="T20" s="150"/>
      <c r="U20" s="150"/>
      <c r="V20" s="150"/>
      <c r="W20" s="167"/>
      <c r="X20" s="213"/>
      <c r="Y20" s="150"/>
      <c r="Z20" s="167"/>
      <c r="AB20" s="167" t="s">
        <v>151</v>
      </c>
      <c r="AC20" s="213">
        <f ca="1">D2</f>
        <v>0</v>
      </c>
      <c r="AD20" s="150"/>
      <c r="AE20" s="150"/>
      <c r="AG20" s="150"/>
      <c r="AH20" s="150"/>
      <c r="AI20" s="150"/>
      <c r="AJ20" s="167"/>
      <c r="AK20" s="213"/>
      <c r="AL20" s="150"/>
      <c r="AM20" s="150"/>
      <c r="AN20" s="150"/>
      <c r="AO20" s="150"/>
      <c r="AP20" s="167"/>
      <c r="AQ20" s="213"/>
      <c r="AR20" s="150"/>
      <c r="AS20" s="150"/>
      <c r="AU20" s="150"/>
      <c r="AV20" s="150"/>
      <c r="AW20" s="150"/>
      <c r="AX20" s="167"/>
      <c r="AY20" s="213"/>
      <c r="AZ20" s="150"/>
      <c r="BA20" s="150"/>
    </row>
    <row r="21" spans="1:53" ht="15" customHeight="1">
      <c r="B21" s="38" t="s">
        <v>152</v>
      </c>
      <c r="C21" s="169">
        <f t="array" aca="1" ref="C21" ca="1">INDEX(A6:A15,MATCH(C20,A6:A15,1))</f>
        <v>0</v>
      </c>
      <c r="D21" s="150"/>
      <c r="E21" s="73"/>
      <c r="G21" s="150"/>
      <c r="H21" s="150"/>
      <c r="I21" s="150"/>
      <c r="J21" s="38"/>
      <c r="K21" s="169"/>
      <c r="L21" s="150"/>
      <c r="M21" s="73"/>
      <c r="O21" s="38" t="s">
        <v>152</v>
      </c>
      <c r="P21" s="169">
        <f t="array" aca="1" ref="P21" ca="1">INDEX(N6:N15,MATCH(P20,N6:N15,1))</f>
        <v>0</v>
      </c>
      <c r="Q21" s="150"/>
      <c r="R21" s="73"/>
      <c r="T21" s="150"/>
      <c r="U21" s="150"/>
      <c r="V21" s="150"/>
      <c r="W21" s="38"/>
      <c r="X21" s="169"/>
      <c r="Y21" s="150"/>
      <c r="Z21" s="38"/>
      <c r="AB21" s="38" t="s">
        <v>152</v>
      </c>
      <c r="AC21" s="169">
        <f t="array" aca="1" ref="AC21" ca="1">INDEX(AA6:AA15,MATCH(AC20,AA6:AA15,1))</f>
        <v>0</v>
      </c>
      <c r="AD21" s="150"/>
      <c r="AE21" s="73"/>
      <c r="AG21" s="150"/>
      <c r="AH21" s="150"/>
      <c r="AI21" s="150"/>
      <c r="AJ21" s="38"/>
      <c r="AK21" s="169"/>
      <c r="AL21" s="150"/>
      <c r="AM21" s="150"/>
      <c r="AN21" s="150"/>
      <c r="AO21" s="150"/>
      <c r="AP21" s="38"/>
      <c r="AQ21" s="169"/>
      <c r="AR21" s="150"/>
      <c r="AS21" s="73"/>
      <c r="AU21" s="150"/>
      <c r="AV21" s="150"/>
      <c r="AW21" s="150"/>
      <c r="AX21" s="38"/>
      <c r="AY21" s="169"/>
      <c r="AZ21" s="150"/>
      <c r="BA21" s="73"/>
    </row>
    <row r="22" spans="1:53" ht="15" customHeight="1">
      <c r="B22" s="38" t="s">
        <v>153</v>
      </c>
      <c r="C22" s="169">
        <f t="array" aca="1" ref="C22" ca="1">INDEX(A6:A15,IF(MATCH(C20,A6:A15,1)&lt;E18,MATCH(C20,A6:A15,1)+1,MATCH(C20,A6:A15,1)))</f>
        <v>10</v>
      </c>
      <c r="D22" s="150"/>
      <c r="E22" s="73"/>
      <c r="G22" s="150"/>
      <c r="H22" s="150"/>
      <c r="I22" s="150"/>
      <c r="J22" s="38"/>
      <c r="K22" s="169"/>
      <c r="L22" s="150"/>
      <c r="M22" s="73"/>
      <c r="O22" s="38" t="s">
        <v>153</v>
      </c>
      <c r="P22" s="169">
        <f t="array" aca="1" ref="P22" ca="1">INDEX(N6:N15,IF(MATCH(P20,N6:N15,1)&lt;R18,MATCH(P20,N6:N15,1)+1,MATCH(P20,N6:N15,1)))</f>
        <v>10</v>
      </c>
      <c r="Q22" s="150"/>
      <c r="R22" s="73"/>
      <c r="T22" s="150"/>
      <c r="U22" s="150"/>
      <c r="V22" s="150"/>
      <c r="W22" s="38"/>
      <c r="X22" s="169"/>
      <c r="Y22" s="150"/>
      <c r="Z22" s="38"/>
      <c r="AB22" s="38" t="s">
        <v>153</v>
      </c>
      <c r="AC22" s="169">
        <f t="array" aca="1" ref="AC22" ca="1">INDEX(AA6:AA15,IF(MATCH(AC20,AA6:AA15,1)&lt;AE18,MATCH(AC20,AA6:AA15,1)+1,MATCH(AC20,AA6:AA15,1)))</f>
        <v>10</v>
      </c>
      <c r="AD22" s="150"/>
      <c r="AE22" s="73"/>
      <c r="AG22" s="150"/>
      <c r="AH22" s="150"/>
      <c r="AI22" s="150"/>
      <c r="AJ22" s="38"/>
      <c r="AK22" s="169"/>
      <c r="AL22" s="150"/>
      <c r="AM22" s="150"/>
      <c r="AN22" s="150"/>
      <c r="AO22" s="150"/>
      <c r="AP22" s="38"/>
      <c r="AQ22" s="169"/>
      <c r="AR22" s="150"/>
      <c r="AS22" s="73"/>
      <c r="AU22" s="150"/>
      <c r="AV22" s="150"/>
      <c r="AW22" s="150"/>
      <c r="AX22" s="38"/>
      <c r="AY22" s="169"/>
      <c r="AZ22" s="150"/>
      <c r="BA22" s="73"/>
    </row>
    <row r="23" spans="1:53" ht="15" customHeight="1">
      <c r="B23" s="167" t="s">
        <v>154</v>
      </c>
      <c r="C23" s="168">
        <f t="array" aca="1" ref="C23" ca="1">INDEX(B6:G15,MATCH(C20,A6:A15,1),MATCH(C17,B5:G5,1))</f>
        <v>1610</v>
      </c>
      <c r="D23" s="150"/>
      <c r="E23" s="73"/>
      <c r="G23" s="150"/>
      <c r="H23" s="150"/>
      <c r="I23" s="150"/>
      <c r="J23" s="167"/>
      <c r="K23" s="168"/>
      <c r="L23" s="150"/>
      <c r="M23" s="73"/>
      <c r="O23" s="167" t="s">
        <v>154</v>
      </c>
      <c r="P23" s="168">
        <f ca="1">INDEX(O6:S15,MATCH(P20,N6:N15,1),MATCH(P17,O5:S5,1))</f>
        <v>0</v>
      </c>
      <c r="Q23" s="150"/>
      <c r="R23" s="73"/>
      <c r="T23" s="150"/>
      <c r="U23" s="150"/>
      <c r="V23" s="150"/>
      <c r="W23" s="167"/>
      <c r="X23" s="168"/>
      <c r="Y23" s="150"/>
      <c r="Z23" s="167"/>
      <c r="AB23" s="167" t="s">
        <v>154</v>
      </c>
      <c r="AC23" s="168">
        <f t="array" aca="1" ref="AC23" ca="1">INDEX(AB6:AG15,MATCH(AC20,AA6:AA15,1),MATCH(AC17,AB5:AG5,1))</f>
        <v>1700</v>
      </c>
      <c r="AD23" s="150"/>
      <c r="AE23" s="73"/>
      <c r="AG23" s="150"/>
      <c r="AH23" s="150"/>
      <c r="AI23" s="150"/>
      <c r="AJ23" s="167"/>
      <c r="AK23" s="168"/>
      <c r="AL23" s="150"/>
      <c r="AM23" s="150"/>
      <c r="AN23" s="150"/>
      <c r="AO23" s="150"/>
      <c r="AP23" s="167"/>
      <c r="AQ23" s="168"/>
      <c r="AR23" s="150"/>
      <c r="AS23" s="73"/>
      <c r="AU23" s="150"/>
      <c r="AV23" s="150"/>
      <c r="AW23" s="150"/>
      <c r="AX23" s="167"/>
      <c r="AY23" s="168"/>
      <c r="AZ23" s="150"/>
      <c r="BA23" s="73"/>
    </row>
    <row r="24" spans="1:53" ht="15" customHeight="1">
      <c r="B24" s="167" t="s">
        <v>205</v>
      </c>
      <c r="C24" s="168">
        <f t="array" aca="1" ref="C24" ca="1">INDEX(B6:G15,MATCH(C20,A6:A15,1),IF(MATCH(C17,B5:G5,1)&lt;E19,MATCH(C17,B5:G5,1)+1,MATCH(C20,A6:A15,1)))</f>
        <v>1700</v>
      </c>
      <c r="E24" s="73"/>
      <c r="G24" s="150"/>
      <c r="H24" s="150"/>
      <c r="I24" s="150"/>
      <c r="J24" s="167"/>
      <c r="K24" s="168"/>
      <c r="M24" s="73"/>
      <c r="O24" s="167" t="s">
        <v>205</v>
      </c>
      <c r="P24" s="168">
        <f ca="1">INDEX(O6:S15,MATCH(P20,N6:N15,1),IF(MATCH(P17,O5:S5,1)&lt;R19,MATCH(P17,O5:S5,1)+1,MATCH(P20,N6:N15,1)))</f>
        <v>0</v>
      </c>
      <c r="R24" s="73"/>
      <c r="T24" s="150"/>
      <c r="U24" s="150"/>
      <c r="V24" s="150"/>
      <c r="W24" s="167"/>
      <c r="X24" s="168"/>
      <c r="Z24" s="167"/>
      <c r="AB24" s="167" t="s">
        <v>205</v>
      </c>
      <c r="AC24" s="168">
        <f t="array" aca="1" ref="AC24" ca="1">INDEX(AB6:AG15,MATCH(AC20,AA6:AA15,1),IF(MATCH(AC17,AB5:AG5,1)&lt;AE19,MATCH(AC17,AB5:AG5,1)+1,MATCH(AC20,AA6:AA15,1)))</f>
        <v>1795</v>
      </c>
      <c r="AE24" s="73"/>
      <c r="AG24" s="150"/>
      <c r="AH24" s="150"/>
      <c r="AI24" s="150"/>
      <c r="AJ24" s="167"/>
      <c r="AK24" s="168"/>
      <c r="AM24" s="150"/>
      <c r="AN24" s="150"/>
      <c r="AO24" s="150"/>
      <c r="AP24" s="167"/>
      <c r="AQ24" s="168"/>
      <c r="AS24" s="73"/>
      <c r="AU24" s="150"/>
      <c r="AV24" s="150"/>
      <c r="AW24" s="150"/>
      <c r="AX24" s="167"/>
      <c r="AY24" s="168"/>
      <c r="BA24" s="73"/>
    </row>
    <row r="25" spans="1:53" ht="15" customHeight="1">
      <c r="B25" s="167" t="s">
        <v>155</v>
      </c>
      <c r="C25" s="168">
        <f t="array" aca="1" ref="C25" ca="1">INDEX(B6:G15,IF(MATCH(C20,A6:A15,1)&lt;E18,MATCH(C20,A6:A15,1)+1,MATCH(C20,A6:A15,1)),MATCH(C17,B5:G5,1))</f>
        <v>1700</v>
      </c>
      <c r="E25" s="73"/>
      <c r="G25" s="150"/>
      <c r="H25" s="150"/>
      <c r="I25" s="150"/>
      <c r="J25" s="167"/>
      <c r="K25" s="168"/>
      <c r="M25" s="73"/>
      <c r="O25" s="167" t="s">
        <v>155</v>
      </c>
      <c r="P25" s="168">
        <f ca="1">INDEX(O6:S15,IF(MATCH(P20,N6:N15,1)&lt;R18,MATCH(P20,N6:N15,1)+1,MATCH(P20,N6:N15,1)),MATCH(P17,O5:S5,1))</f>
        <v>0</v>
      </c>
      <c r="R25" s="73"/>
      <c r="T25" s="150"/>
      <c r="U25" s="150"/>
      <c r="V25" s="150"/>
      <c r="W25" s="167"/>
      <c r="X25" s="168"/>
      <c r="Z25" s="167"/>
      <c r="AB25" s="167" t="s">
        <v>155</v>
      </c>
      <c r="AC25" s="168">
        <f t="array" aca="1" ref="AC25" ca="1">INDEX(AB6:AG15,IF(MATCH(AC20,AA6:AA15,1)&lt;AE18,MATCH(AC20,AA6:AA15,1)+1,MATCH(AC20,AA6:AA15,1)),MATCH(AC17,AB5:AG5,1))</f>
        <v>1800</v>
      </c>
      <c r="AE25" s="73"/>
      <c r="AG25" s="150"/>
      <c r="AH25" s="150"/>
      <c r="AI25" s="150"/>
      <c r="AJ25" s="167"/>
      <c r="AK25" s="168"/>
      <c r="AM25" s="150"/>
      <c r="AN25" s="150"/>
      <c r="AO25" s="150"/>
      <c r="AP25" s="167"/>
      <c r="AQ25" s="168"/>
      <c r="AS25" s="73"/>
      <c r="AU25" s="150"/>
      <c r="AV25" s="150"/>
      <c r="AW25" s="150"/>
      <c r="AX25" s="167"/>
      <c r="AY25" s="168"/>
      <c r="BA25" s="73"/>
    </row>
    <row r="26" spans="1:53" ht="15" customHeight="1">
      <c r="B26" s="167" t="s">
        <v>206</v>
      </c>
      <c r="C26" s="168">
        <f t="array" aca="1" ref="C26" ca="1">INDEX(B6:G15,IF(MATCH(C20,A6:A15,1)&lt;E18,MATCH(C20,A6:A15,1)+1,MATCH(C20,A6:A15,1)),IF(MATCH(C17,B5:G5,1)&lt;E19,MATCH(C17,B5:G5,1)+1,MATCH(C17,B5:G5,1)))</f>
        <v>1800</v>
      </c>
      <c r="G26" s="150"/>
      <c r="H26" s="150"/>
      <c r="I26" s="150"/>
      <c r="J26" s="167"/>
      <c r="K26" s="168"/>
      <c r="O26" s="167" t="s">
        <v>206</v>
      </c>
      <c r="P26" s="168">
        <f ca="1">INDEX(O6:S15,IF(MATCH(P20,N6:N15,1)&lt;R18,MATCH(P20,N6:N15,1)+1,MATCH(P20,N6:N15,1)),IF(MATCH(P17,O5:S5,1)&lt;R19,MATCH(P17,O5:S5,1)+1,MATCH(P17,O5:S5,1)))</f>
        <v>0</v>
      </c>
      <c r="T26" s="150"/>
      <c r="U26" s="150"/>
      <c r="V26" s="150"/>
      <c r="W26" s="167"/>
      <c r="X26" s="168"/>
      <c r="Z26" s="167"/>
      <c r="AB26" s="167" t="s">
        <v>206</v>
      </c>
      <c r="AC26" s="168">
        <f t="array" aca="1" ref="AC26" ca="1">INDEX(AB6:AG15,IF(MATCH(AC20,AA6:AA15,1)&lt;AE18,MATCH(AC20,AA6:AA15,1)+1,MATCH(AC20,AA6:AA15,1)),IF(MATCH(AC17,AB5:AG5,1)&lt;AE19,MATCH(AC17,AB5:AG5,1)+1,MATCH(AC17,AB5:AG5,1)))</f>
        <v>1900</v>
      </c>
      <c r="AG26" s="150"/>
      <c r="AH26" s="150"/>
      <c r="AI26" s="150"/>
      <c r="AJ26" s="167"/>
      <c r="AK26" s="168"/>
      <c r="AM26" s="150"/>
      <c r="AN26" s="150"/>
      <c r="AO26" s="150"/>
      <c r="AP26" s="167"/>
      <c r="AQ26" s="168"/>
      <c r="AU26" s="150"/>
      <c r="AV26" s="150"/>
      <c r="AW26" s="150"/>
      <c r="AX26" s="167"/>
      <c r="AY26" s="168"/>
    </row>
    <row r="27" spans="1:53" ht="15" customHeight="1">
      <c r="B27" s="38" t="s">
        <v>207</v>
      </c>
      <c r="C27" s="169">
        <f ca="1">IFERROR(C23+(C17-C18)*(C24-C23)/(C19-C18),C23)</f>
        <v>1628</v>
      </c>
      <c r="G27" s="150"/>
      <c r="H27" s="150"/>
      <c r="I27" s="150"/>
      <c r="J27" s="38"/>
      <c r="K27" s="169"/>
      <c r="O27" s="38" t="s">
        <v>207</v>
      </c>
      <c r="P27" s="169">
        <f ca="1">IFERROR(P23+(P17-P18)*(P24-P23)/(P19-P18),P23)</f>
        <v>0</v>
      </c>
      <c r="T27" s="150"/>
      <c r="U27" s="150"/>
      <c r="V27" s="150"/>
      <c r="W27" s="38"/>
      <c r="X27" s="169"/>
      <c r="Z27" s="38"/>
      <c r="AB27" s="38" t="s">
        <v>207</v>
      </c>
      <c r="AC27" s="169">
        <f ca="1">IFERROR(AC23+(AC17-AC18)*(AC24-AC23)/(AC19-AC18),AC23)</f>
        <v>1719</v>
      </c>
      <c r="AG27" s="150"/>
      <c r="AH27" s="150"/>
      <c r="AI27" s="150"/>
      <c r="AJ27" s="38"/>
      <c r="AK27" s="169"/>
      <c r="AM27" s="150"/>
      <c r="AN27" s="150"/>
      <c r="AO27" s="150"/>
      <c r="AP27" s="38"/>
      <c r="AQ27" s="169"/>
      <c r="AU27" s="150"/>
      <c r="AV27" s="150"/>
      <c r="AW27" s="150"/>
      <c r="AX27" s="38"/>
      <c r="AY27" s="169"/>
    </row>
    <row r="28" spans="1:53" ht="15" customHeight="1">
      <c r="B28" s="38" t="s">
        <v>208</v>
      </c>
      <c r="C28" s="169">
        <f ca="1">IFERROR(C25+(C17-C18)*(C26-C25)/(C19-C18),C25)</f>
        <v>1720</v>
      </c>
      <c r="G28" s="150"/>
      <c r="H28" s="150"/>
      <c r="I28" s="150"/>
      <c r="J28" s="38"/>
      <c r="K28" s="169"/>
      <c r="O28" s="38" t="s">
        <v>208</v>
      </c>
      <c r="P28" s="169">
        <f ca="1">IFERROR(P25+(P17-P18)*(P26-P25)/(P19-P18),P25)</f>
        <v>0</v>
      </c>
      <c r="T28" s="150"/>
      <c r="U28" s="150"/>
      <c r="V28" s="150"/>
      <c r="W28" s="38"/>
      <c r="X28" s="169"/>
      <c r="Z28" s="38"/>
      <c r="AB28" s="38" t="s">
        <v>208</v>
      </c>
      <c r="AC28" s="169">
        <f ca="1">IFERROR(AC25+(AC17-AC18)*(AC26-AC25)/(AC19-AC18),AC25)</f>
        <v>1820</v>
      </c>
      <c r="AG28" s="150"/>
      <c r="AH28" s="150"/>
      <c r="AI28" s="150"/>
      <c r="AJ28" s="38"/>
      <c r="AK28" s="169"/>
      <c r="AM28" s="150"/>
      <c r="AN28" s="150"/>
      <c r="AO28" s="150"/>
      <c r="AP28" s="38"/>
      <c r="AQ28" s="169"/>
      <c r="AU28" s="150"/>
      <c r="AV28" s="150"/>
      <c r="AW28" s="150"/>
      <c r="AX28" s="38"/>
      <c r="AY28" s="169"/>
    </row>
    <row r="29" spans="1:53" ht="15" customHeight="1">
      <c r="B29" s="167" t="s">
        <v>209</v>
      </c>
      <c r="C29" s="168">
        <f ca="1">IFERROR(C27+(C20-C21)*(C28-C27)/(C22-C21),C27)</f>
        <v>1628</v>
      </c>
      <c r="G29" s="150"/>
      <c r="H29" s="150"/>
      <c r="I29" s="150"/>
      <c r="J29" s="167"/>
      <c r="K29" s="168"/>
      <c r="O29" s="167" t="s">
        <v>209</v>
      </c>
      <c r="P29" s="168">
        <f ca="1">IFERROR(P27+(P20-P21)*(P28-P27)/(P22-P21),P27)</f>
        <v>0</v>
      </c>
      <c r="T29" s="150"/>
      <c r="U29" s="150"/>
      <c r="V29" s="150"/>
      <c r="W29" s="167"/>
      <c r="X29" s="168"/>
      <c r="Z29" s="167"/>
      <c r="AB29" s="167" t="s">
        <v>209</v>
      </c>
      <c r="AC29" s="168">
        <f ca="1">IFERROR(AC27+(AC20-AC21)*(AC28-AC27)/(AC22-AC21),AC27)</f>
        <v>1719</v>
      </c>
      <c r="AG29" s="150"/>
      <c r="AH29" s="150"/>
      <c r="AI29" s="150"/>
      <c r="AJ29" s="167"/>
      <c r="AK29" s="168"/>
      <c r="AM29" s="150"/>
      <c r="AN29" s="150"/>
      <c r="AO29" s="150"/>
      <c r="AP29" s="167"/>
      <c r="AQ29" s="168"/>
      <c r="AU29" s="150"/>
      <c r="AV29" s="150"/>
      <c r="AW29" s="150"/>
      <c r="AX29" s="167"/>
      <c r="AY29" s="168"/>
    </row>
    <row r="30" spans="1:53" ht="15.75" customHeight="1"/>
    <row r="31" spans="1:53" ht="15" customHeight="1">
      <c r="B31" s="299" t="s">
        <v>210</v>
      </c>
      <c r="C31" s="299"/>
      <c r="D31" s="299"/>
      <c r="E31" s="299"/>
      <c r="F31" s="299"/>
      <c r="G31" s="299"/>
      <c r="H31" s="92"/>
      <c r="I31" s="92"/>
      <c r="J31" s="92"/>
      <c r="K31" s="92"/>
      <c r="L31" s="92"/>
      <c r="M31" s="92"/>
      <c r="O31" s="299" t="s">
        <v>210</v>
      </c>
      <c r="P31" s="299"/>
      <c r="Q31" s="299"/>
      <c r="R31" s="299"/>
      <c r="S31" s="299"/>
      <c r="T31" s="299"/>
      <c r="U31" s="92"/>
      <c r="V31" s="92"/>
      <c r="W31" s="92"/>
      <c r="X31" s="92"/>
      <c r="Y31" s="92"/>
      <c r="AB31" s="299" t="s">
        <v>210</v>
      </c>
      <c r="AC31" s="299"/>
      <c r="AD31" s="299"/>
      <c r="AE31" s="299"/>
      <c r="AF31" s="299"/>
      <c r="AG31" s="299"/>
      <c r="AH31" s="92"/>
      <c r="AI31" s="92"/>
      <c r="AJ31" s="92"/>
      <c r="AK31" s="92"/>
      <c r="AL31" s="92"/>
    </row>
    <row r="32" spans="1:53" ht="15" customHeight="1">
      <c r="A32" t="s">
        <v>35</v>
      </c>
      <c r="B32" s="252">
        <v>1000</v>
      </c>
      <c r="C32" s="254">
        <v>1500</v>
      </c>
      <c r="D32" s="254">
        <v>2000</v>
      </c>
      <c r="E32" s="255">
        <v>2500</v>
      </c>
      <c r="F32" s="255">
        <v>3000</v>
      </c>
      <c r="G32" s="239">
        <v>3500</v>
      </c>
      <c r="O32" t="s">
        <v>35</v>
      </c>
      <c r="P32" s="252">
        <v>1900</v>
      </c>
      <c r="Q32" s="254">
        <v>2350</v>
      </c>
      <c r="R32" s="255">
        <v>2850</v>
      </c>
      <c r="S32" s="255">
        <v>3350</v>
      </c>
      <c r="T32" s="239">
        <v>4500</v>
      </c>
      <c r="AB32" t="s">
        <v>35</v>
      </c>
      <c r="AC32" s="252">
        <v>1550</v>
      </c>
      <c r="AD32" s="254">
        <v>2000</v>
      </c>
      <c r="AE32" s="255">
        <v>2500</v>
      </c>
      <c r="AF32" s="255">
        <v>3050</v>
      </c>
      <c r="AG32" s="239">
        <v>3500</v>
      </c>
    </row>
    <row r="33" spans="1:38" ht="15" customHeight="1">
      <c r="A33">
        <v>9000</v>
      </c>
      <c r="B33" s="236">
        <v>875</v>
      </c>
      <c r="C33" s="237">
        <v>1250</v>
      </c>
      <c r="D33" s="237">
        <v>1600</v>
      </c>
      <c r="E33" s="238">
        <v>1890</v>
      </c>
      <c r="F33" s="238">
        <v>2150</v>
      </c>
      <c r="G33" s="239">
        <v>99999</v>
      </c>
      <c r="O33">
        <v>10000</v>
      </c>
      <c r="P33" s="236"/>
      <c r="Q33" s="237"/>
      <c r="R33" s="238"/>
      <c r="S33" s="238"/>
      <c r="T33" s="239">
        <v>99999</v>
      </c>
      <c r="AB33">
        <v>9000</v>
      </c>
      <c r="AC33" s="236">
        <v>1200</v>
      </c>
      <c r="AD33" s="237">
        <v>1500</v>
      </c>
      <c r="AE33" s="238">
        <v>1850</v>
      </c>
      <c r="AF33" s="238">
        <v>2200</v>
      </c>
      <c r="AG33" s="239">
        <v>99999</v>
      </c>
    </row>
    <row r="34" spans="1:38" ht="15" customHeight="1">
      <c r="A34">
        <v>9500</v>
      </c>
      <c r="B34" s="247">
        <v>890</v>
      </c>
      <c r="C34" s="227">
        <v>1300</v>
      </c>
      <c r="D34" s="227">
        <v>1650</v>
      </c>
      <c r="E34">
        <v>1950</v>
      </c>
      <c r="F34">
        <v>2250</v>
      </c>
      <c r="G34" s="46">
        <v>99999</v>
      </c>
      <c r="O34">
        <v>11000</v>
      </c>
      <c r="P34" s="247"/>
      <c r="Q34" s="227"/>
      <c r="T34" s="46">
        <v>99999</v>
      </c>
      <c r="AB34">
        <v>9500</v>
      </c>
      <c r="AC34" s="247">
        <v>1210</v>
      </c>
      <c r="AD34" s="227">
        <v>1550</v>
      </c>
      <c r="AE34">
        <v>1950</v>
      </c>
      <c r="AF34">
        <v>2300</v>
      </c>
      <c r="AG34" s="46">
        <v>99999</v>
      </c>
    </row>
    <row r="35" spans="1:38" ht="15" customHeight="1">
      <c r="A35">
        <v>10000</v>
      </c>
      <c r="B35" s="247">
        <v>900</v>
      </c>
      <c r="C35" s="227">
        <v>1330</v>
      </c>
      <c r="D35" s="227">
        <v>1700</v>
      </c>
      <c r="E35">
        <v>2050</v>
      </c>
      <c r="F35">
        <v>2350</v>
      </c>
      <c r="G35" s="46">
        <v>99999</v>
      </c>
      <c r="O35">
        <v>12000</v>
      </c>
      <c r="P35" s="247"/>
      <c r="Q35" s="227"/>
      <c r="T35" s="46">
        <v>99999</v>
      </c>
      <c r="AB35">
        <v>10000</v>
      </c>
      <c r="AC35" s="247">
        <v>1290</v>
      </c>
      <c r="AD35" s="227">
        <v>1650</v>
      </c>
      <c r="AE35">
        <v>2050</v>
      </c>
      <c r="AF35">
        <v>2400</v>
      </c>
      <c r="AG35" s="46">
        <v>99999</v>
      </c>
    </row>
    <row r="36" spans="1:38" ht="15" customHeight="1">
      <c r="A36">
        <v>10500</v>
      </c>
      <c r="B36" s="247">
        <v>910</v>
      </c>
      <c r="C36" s="227">
        <v>1360</v>
      </c>
      <c r="D36" s="227">
        <v>1775</v>
      </c>
      <c r="E36">
        <v>2150</v>
      </c>
      <c r="F36">
        <v>2450</v>
      </c>
      <c r="G36" s="46">
        <v>99999</v>
      </c>
      <c r="O36">
        <v>13000</v>
      </c>
      <c r="P36" s="247"/>
      <c r="Q36" s="227"/>
      <c r="T36" s="46">
        <v>99999</v>
      </c>
      <c r="AB36">
        <v>10500</v>
      </c>
      <c r="AC36" s="247">
        <v>1350</v>
      </c>
      <c r="AD36" s="227">
        <v>1700</v>
      </c>
      <c r="AE36">
        <v>2150</v>
      </c>
      <c r="AF36">
        <v>2550</v>
      </c>
      <c r="AG36" s="46">
        <v>99999</v>
      </c>
    </row>
    <row r="37" spans="1:38" ht="15" customHeight="1">
      <c r="A37">
        <v>11000</v>
      </c>
      <c r="B37" s="247">
        <v>940</v>
      </c>
      <c r="C37" s="227">
        <v>1400</v>
      </c>
      <c r="D37" s="227">
        <v>1820</v>
      </c>
      <c r="E37">
        <v>2250</v>
      </c>
      <c r="F37">
        <v>2600</v>
      </c>
      <c r="G37" s="46">
        <v>99999</v>
      </c>
      <c r="O37">
        <v>14000</v>
      </c>
      <c r="P37" s="247"/>
      <c r="Q37" s="227"/>
      <c r="T37" s="46">
        <v>99999</v>
      </c>
      <c r="AB37">
        <v>11000</v>
      </c>
      <c r="AC37" s="247">
        <v>1400</v>
      </c>
      <c r="AD37" s="227">
        <v>1800</v>
      </c>
      <c r="AE37">
        <v>2250</v>
      </c>
      <c r="AF37">
        <v>2650</v>
      </c>
      <c r="AG37" s="46">
        <v>99999</v>
      </c>
    </row>
    <row r="38" spans="1:38" ht="15" customHeight="1">
      <c r="A38">
        <v>11500</v>
      </c>
      <c r="B38" s="247">
        <v>960</v>
      </c>
      <c r="C38" s="227">
        <v>1440</v>
      </c>
      <c r="D38" s="227">
        <v>1900</v>
      </c>
      <c r="E38">
        <v>2320</v>
      </c>
      <c r="F38">
        <v>2700</v>
      </c>
      <c r="G38" s="46">
        <v>99999</v>
      </c>
      <c r="O38">
        <v>15000</v>
      </c>
      <c r="P38" s="247"/>
      <c r="Q38" s="227"/>
      <c r="T38" s="46">
        <v>99999</v>
      </c>
      <c r="AB38">
        <v>11500</v>
      </c>
      <c r="AC38" s="247">
        <v>1450</v>
      </c>
      <c r="AD38" s="227">
        <v>1850</v>
      </c>
      <c r="AE38">
        <v>2300</v>
      </c>
      <c r="AF38">
        <v>2800</v>
      </c>
      <c r="AG38" s="46">
        <v>99999</v>
      </c>
    </row>
    <row r="39" spans="1:38" ht="15" customHeight="1">
      <c r="A39">
        <v>12000</v>
      </c>
      <c r="B39" s="247">
        <v>990</v>
      </c>
      <c r="C39" s="227">
        <v>1460</v>
      </c>
      <c r="D39" s="227">
        <v>1950</v>
      </c>
      <c r="E39">
        <v>2400</v>
      </c>
      <c r="F39">
        <v>2850</v>
      </c>
      <c r="G39" s="46">
        <v>99999</v>
      </c>
      <c r="O39">
        <v>16000</v>
      </c>
      <c r="P39" s="247"/>
      <c r="Q39" s="227"/>
      <c r="T39" s="46">
        <v>99999</v>
      </c>
      <c r="AB39">
        <v>12000</v>
      </c>
      <c r="AC39" s="247">
        <v>1500</v>
      </c>
      <c r="AD39" s="227">
        <v>1950</v>
      </c>
      <c r="AE39">
        <v>2400</v>
      </c>
      <c r="AF39">
        <v>2900</v>
      </c>
      <c r="AG39" s="46">
        <v>99999</v>
      </c>
    </row>
    <row r="40" spans="1:38" ht="15" customHeight="1">
      <c r="A40">
        <v>12500</v>
      </c>
      <c r="B40" s="242">
        <v>1000</v>
      </c>
      <c r="C40" s="243">
        <v>1500</v>
      </c>
      <c r="D40" s="243">
        <v>2000</v>
      </c>
      <c r="E40" s="78">
        <v>2500</v>
      </c>
      <c r="F40" s="78">
        <v>3000</v>
      </c>
      <c r="G40" s="46">
        <v>99999</v>
      </c>
      <c r="O40">
        <v>16600</v>
      </c>
      <c r="P40" s="242"/>
      <c r="Q40" s="243"/>
      <c r="R40" s="78"/>
      <c r="S40" s="78"/>
      <c r="T40" s="46">
        <v>99999</v>
      </c>
      <c r="AB40">
        <v>12500</v>
      </c>
      <c r="AC40" s="242">
        <v>1550</v>
      </c>
      <c r="AD40" s="243">
        <v>2000</v>
      </c>
      <c r="AE40" s="78">
        <v>2500</v>
      </c>
      <c r="AF40" s="78">
        <v>3050</v>
      </c>
      <c r="AG40" s="46">
        <v>99999</v>
      </c>
    </row>
    <row r="41" spans="1:38" ht="15" customHeight="1">
      <c r="A41">
        <v>12600</v>
      </c>
      <c r="B41" s="242">
        <v>99999</v>
      </c>
      <c r="C41" s="243">
        <v>99999</v>
      </c>
      <c r="D41" s="243">
        <v>99999</v>
      </c>
      <c r="E41" s="243">
        <v>99999</v>
      </c>
      <c r="F41" s="243">
        <v>99999</v>
      </c>
      <c r="G41" s="256">
        <v>99999</v>
      </c>
      <c r="H41" s="227"/>
      <c r="I41" s="227"/>
      <c r="J41" s="227"/>
      <c r="K41" s="227"/>
      <c r="L41" s="227"/>
      <c r="M41" s="227"/>
      <c r="N41" s="32"/>
      <c r="O41">
        <v>16700</v>
      </c>
      <c r="P41" s="242">
        <v>99999</v>
      </c>
      <c r="Q41" s="243">
        <v>99999</v>
      </c>
      <c r="R41" s="243">
        <v>99999</v>
      </c>
      <c r="S41" s="243">
        <v>99999</v>
      </c>
      <c r="T41" s="256">
        <v>99999</v>
      </c>
      <c r="U41" s="227"/>
      <c r="V41" s="227"/>
      <c r="W41" s="227"/>
      <c r="X41" s="227"/>
      <c r="Y41" s="227"/>
      <c r="AB41">
        <v>12600</v>
      </c>
      <c r="AC41" s="242">
        <v>99999</v>
      </c>
      <c r="AD41" s="243">
        <v>99999</v>
      </c>
      <c r="AE41" s="243">
        <v>99999</v>
      </c>
      <c r="AF41" s="243">
        <v>99999</v>
      </c>
      <c r="AG41" s="256">
        <v>99999</v>
      </c>
      <c r="AH41" s="227"/>
      <c r="AI41" s="227"/>
      <c r="AJ41" s="227"/>
      <c r="AK41" s="227"/>
      <c r="AL41" s="227"/>
    </row>
    <row r="42" spans="1:38" ht="15" customHeight="1">
      <c r="B42" s="167"/>
      <c r="C42" s="168"/>
      <c r="G42" s="150"/>
      <c r="H42" s="150"/>
      <c r="I42" s="150"/>
      <c r="J42" s="167"/>
      <c r="K42" s="168"/>
      <c r="O42" s="167"/>
      <c r="P42" s="168"/>
      <c r="T42" s="150"/>
      <c r="U42" s="150"/>
      <c r="V42" s="150"/>
      <c r="W42" s="167"/>
      <c r="X42" s="168"/>
      <c r="AB42" s="167"/>
      <c r="AC42" s="168"/>
      <c r="AG42" s="150"/>
      <c r="AH42" s="150"/>
      <c r="AI42" s="150"/>
      <c r="AJ42" s="167"/>
      <c r="AK42" s="168"/>
    </row>
    <row r="43" spans="1:38" ht="15" customHeight="1">
      <c r="B43" s="167" t="s">
        <v>150</v>
      </c>
      <c r="C43" s="168">
        <f ca="1">C29</f>
        <v>1628</v>
      </c>
      <c r="D43" s="299" t="s">
        <v>202</v>
      </c>
      <c r="E43" s="299"/>
      <c r="G43" s="150"/>
      <c r="H43" s="150"/>
      <c r="I43" s="150"/>
      <c r="J43" s="167"/>
      <c r="K43" s="168"/>
      <c r="L43" s="92"/>
      <c r="O43" s="167" t="s">
        <v>150</v>
      </c>
      <c r="P43" s="168">
        <f ca="1">P29</f>
        <v>0</v>
      </c>
      <c r="Q43" s="299" t="s">
        <v>202</v>
      </c>
      <c r="R43" s="299"/>
      <c r="T43" s="150"/>
      <c r="U43" s="150"/>
      <c r="V43" s="150"/>
      <c r="W43" s="167"/>
      <c r="X43" s="168"/>
      <c r="Y43" s="92"/>
      <c r="AB43" s="167" t="s">
        <v>150</v>
      </c>
      <c r="AC43" s="168">
        <f ca="1">AC29</f>
        <v>1719</v>
      </c>
      <c r="AD43" s="299" t="s">
        <v>202</v>
      </c>
      <c r="AE43" s="299"/>
      <c r="AG43" s="150"/>
      <c r="AH43" s="150"/>
      <c r="AI43" s="150"/>
      <c r="AJ43" s="167"/>
      <c r="AK43" s="168"/>
      <c r="AL43" s="92"/>
    </row>
    <row r="44" spans="1:38" ht="15" customHeight="1">
      <c r="B44" s="38" t="s">
        <v>203</v>
      </c>
      <c r="C44" s="169">
        <f t="array" aca="1" ref="C44" ca="1">INDEX(B32:G32,MATCH(C43,B32:G32,1))</f>
        <v>1500</v>
      </c>
      <c r="D44" s="38" t="s">
        <v>148</v>
      </c>
      <c r="E44" s="39">
        <f>MATCH(MAX(A33:A41),A33:A41,1)</f>
        <v>9</v>
      </c>
      <c r="G44" s="150"/>
      <c r="H44" s="150"/>
      <c r="I44" s="150"/>
      <c r="J44" s="38"/>
      <c r="K44" s="169"/>
      <c r="L44" s="38"/>
      <c r="M44" s="39"/>
      <c r="O44" s="38" t="s">
        <v>203</v>
      </c>
      <c r="P44" s="169" t="e">
        <f t="array" aca="1" ref="P44" ca="1">INDEX(P32:T32,MATCH(P43,P32:T32,1))</f>
        <v>#N/A</v>
      </c>
      <c r="Q44" s="38" t="s">
        <v>148</v>
      </c>
      <c r="R44" s="39">
        <f>MATCH(MAX(O33:O41),O33:O41,1)</f>
        <v>9</v>
      </c>
      <c r="T44" s="150"/>
      <c r="U44" s="150"/>
      <c r="V44" s="150"/>
      <c r="W44" s="38"/>
      <c r="X44" s="169"/>
      <c r="Y44" s="38"/>
      <c r="AB44" s="38" t="s">
        <v>203</v>
      </c>
      <c r="AC44" s="169">
        <f t="array" aca="1" ref="AC44" ca="1">INDEX(AC32:AG32,MATCH(AC43,AC32:AG32,1))</f>
        <v>1550</v>
      </c>
      <c r="AD44" s="38" t="s">
        <v>148</v>
      </c>
      <c r="AE44" s="39">
        <f>MATCH(MAX(AB33:AB41),AB33:AB41,1)</f>
        <v>9</v>
      </c>
      <c r="AG44" s="150"/>
      <c r="AH44" s="150"/>
      <c r="AI44" s="150"/>
      <c r="AJ44" s="38"/>
      <c r="AK44" s="169"/>
      <c r="AL44" s="38"/>
    </row>
    <row r="45" spans="1:38" ht="15" customHeight="1">
      <c r="B45" s="38" t="s">
        <v>204</v>
      </c>
      <c r="C45" s="169">
        <f t="array" aca="1" ref="C45" ca="1">INDEX(B32:G32,IF(MATCH(C43,B32:G32,1)&lt;E45,MATCH(C43,B32:G32,1)+1,MATCH(C43,B32:G32,1)))</f>
        <v>2000</v>
      </c>
      <c r="D45" s="38" t="s">
        <v>149</v>
      </c>
      <c r="E45" s="39">
        <f>MATCH(MAX(B32:G32),B32:G32,0)</f>
        <v>6</v>
      </c>
      <c r="G45" s="150"/>
      <c r="H45" s="150"/>
      <c r="I45" s="150"/>
      <c r="J45" s="38"/>
      <c r="K45" s="169"/>
      <c r="L45" s="38"/>
      <c r="M45" s="39"/>
      <c r="O45" s="38" t="s">
        <v>204</v>
      </c>
      <c r="P45" s="169" t="e">
        <f t="array" aca="1" ref="P45" ca="1">INDEX(P32:T32,IF(MATCH(P43,P32:T32,1)&lt;R45,MATCH(P43,P32:T32,1)+1,MATCH(P43,P32:T32,1)))</f>
        <v>#N/A</v>
      </c>
      <c r="Q45" s="38" t="s">
        <v>149</v>
      </c>
      <c r="R45" s="39">
        <f>MATCH(MAX(P32:T32),P32:T32,0)</f>
        <v>5</v>
      </c>
      <c r="T45" s="150"/>
      <c r="U45" s="150"/>
      <c r="V45" s="150"/>
      <c r="W45" s="38"/>
      <c r="X45" s="169"/>
      <c r="Y45" s="38"/>
      <c r="AB45" s="38" t="s">
        <v>204</v>
      </c>
      <c r="AC45" s="169">
        <f t="array" aca="1" ref="AC45" ca="1">INDEX(AC32:AG32,IF(MATCH(AC43,AC32:AG32,1)&lt;AE45,MATCH(AC43,AC32:AG32,1)+1,MATCH(AC43,AC32:AG32,1)))</f>
        <v>2000</v>
      </c>
      <c r="AD45" s="38" t="s">
        <v>149</v>
      </c>
      <c r="AE45" s="39">
        <f>MATCH(MAX(AC32:AG32),AC32:AG32,0)</f>
        <v>5</v>
      </c>
      <c r="AG45" s="150"/>
      <c r="AH45" s="150"/>
      <c r="AI45" s="150"/>
      <c r="AJ45" s="38"/>
      <c r="AK45" s="169"/>
      <c r="AL45" s="38"/>
    </row>
    <row r="46" spans="1:38" ht="15" customHeight="1">
      <c r="B46" s="167" t="s">
        <v>151</v>
      </c>
      <c r="C46" s="213">
        <f>'Take-off'!$C$14</f>
        <v>9000</v>
      </c>
      <c r="D46" s="150"/>
      <c r="E46" s="150"/>
      <c r="G46" s="150"/>
      <c r="H46" s="150"/>
      <c r="I46" s="150"/>
      <c r="J46" s="167"/>
      <c r="K46" s="213"/>
      <c r="L46" s="150"/>
      <c r="M46" s="150"/>
      <c r="O46" s="167" t="s">
        <v>151</v>
      </c>
      <c r="P46" s="213">
        <f>'Take-off'!$C$14</f>
        <v>9000</v>
      </c>
      <c r="Q46" s="150"/>
      <c r="R46" s="150"/>
      <c r="T46" s="150"/>
      <c r="U46" s="150"/>
      <c r="V46" s="150"/>
      <c r="W46" s="167"/>
      <c r="X46" s="213"/>
      <c r="Y46" s="150"/>
      <c r="AB46" s="167" t="s">
        <v>151</v>
      </c>
      <c r="AC46" s="213">
        <f>'Take-off'!$C$14</f>
        <v>9000</v>
      </c>
      <c r="AD46" s="150"/>
      <c r="AE46" s="150"/>
      <c r="AG46" s="150"/>
      <c r="AH46" s="150"/>
      <c r="AI46" s="150"/>
      <c r="AJ46" s="167"/>
      <c r="AK46" s="213"/>
      <c r="AL46" s="150"/>
    </row>
    <row r="47" spans="1:38" ht="15" customHeight="1">
      <c r="B47" s="38" t="s">
        <v>152</v>
      </c>
      <c r="C47" s="169">
        <f t="array" ref="C47">INDEX(A33:A41,MATCH(C46,A33:A41,1))</f>
        <v>9000</v>
      </c>
      <c r="D47" s="150"/>
      <c r="E47" s="73"/>
      <c r="G47" s="150"/>
      <c r="H47" s="150"/>
      <c r="I47" s="150"/>
      <c r="J47" s="38"/>
      <c r="K47" s="169"/>
      <c r="L47" s="150"/>
      <c r="M47" s="73"/>
      <c r="O47" s="38" t="s">
        <v>152</v>
      </c>
      <c r="P47" s="169" t="e">
        <f t="array" ref="P47">INDEX(O33:O41,MATCH(P46,O33:O41,1))</f>
        <v>#N/A</v>
      </c>
      <c r="Q47" s="150"/>
      <c r="R47" s="73"/>
      <c r="T47" s="150"/>
      <c r="U47" s="150"/>
      <c r="V47" s="150"/>
      <c r="W47" s="38"/>
      <c r="X47" s="169"/>
      <c r="Y47" s="150"/>
      <c r="AB47" s="38" t="s">
        <v>152</v>
      </c>
      <c r="AC47" s="169">
        <f t="array" ref="AC47">INDEX(AB33:AB41,MATCH(AC46,AB33:AB41,1))</f>
        <v>9000</v>
      </c>
      <c r="AD47" s="150"/>
      <c r="AE47" s="73"/>
      <c r="AG47" s="150"/>
      <c r="AH47" s="150"/>
      <c r="AI47" s="150"/>
      <c r="AJ47" s="38"/>
      <c r="AK47" s="169"/>
      <c r="AL47" s="150"/>
    </row>
    <row r="48" spans="1:38" ht="15" customHeight="1">
      <c r="B48" s="38" t="s">
        <v>153</v>
      </c>
      <c r="C48" s="169">
        <f t="array" ref="C48">INDEX(A33:A41,IF(MATCH(C46,A33:A41,1)&lt;E44,MATCH(C46,A33:A41,1)+1,MATCH(C46,A33:A41,1)))</f>
        <v>9500</v>
      </c>
      <c r="D48" s="150"/>
      <c r="E48" s="73"/>
      <c r="G48" s="150"/>
      <c r="H48" s="150"/>
      <c r="I48" s="150"/>
      <c r="J48" s="38"/>
      <c r="K48" s="169"/>
      <c r="L48" s="150"/>
      <c r="M48" s="73"/>
      <c r="O48" s="38" t="s">
        <v>153</v>
      </c>
      <c r="P48" s="169" t="e">
        <f t="array" ref="P48">INDEX(O33:O41,IF(MATCH(P46,O33:O41,1)&lt;R44,MATCH(P46,O33:O41,1)+1,MATCH(P46,O33:O41,1)))</f>
        <v>#N/A</v>
      </c>
      <c r="Q48" s="150"/>
      <c r="R48" s="73"/>
      <c r="T48" s="150"/>
      <c r="U48" s="150"/>
      <c r="V48" s="150"/>
      <c r="W48" s="38"/>
      <c r="X48" s="169"/>
      <c r="Y48" s="150"/>
      <c r="AB48" s="38" t="s">
        <v>153</v>
      </c>
      <c r="AC48" s="169">
        <f t="array" ref="AC48">INDEX(AB33:AB41,IF(MATCH(AC46,AB33:AB41,1)&lt;AE44,MATCH(AC46,AB33:AB41,1)+1,MATCH(AC46,AB33:AB41,1)))</f>
        <v>9500</v>
      </c>
      <c r="AD48" s="150"/>
      <c r="AE48" s="73"/>
      <c r="AG48" s="150"/>
      <c r="AH48" s="150"/>
      <c r="AI48" s="150"/>
      <c r="AJ48" s="38"/>
      <c r="AK48" s="169"/>
      <c r="AL48" s="150"/>
    </row>
    <row r="49" spans="1:38" ht="15" customHeight="1">
      <c r="B49" s="167" t="s">
        <v>154</v>
      </c>
      <c r="C49" s="168">
        <f t="array" aca="1" ref="C49" ca="1">INDEX(B33:G41,MATCH(C46,A33:A41,1),MATCH(C43,B32:G32,1))</f>
        <v>1250</v>
      </c>
      <c r="D49" s="150"/>
      <c r="E49" s="73"/>
      <c r="G49" s="150"/>
      <c r="H49" s="150"/>
      <c r="I49" s="150"/>
      <c r="J49" s="167"/>
      <c r="K49" s="168"/>
      <c r="L49" s="150"/>
      <c r="M49" s="73"/>
      <c r="O49" s="167" t="s">
        <v>154</v>
      </c>
      <c r="P49" s="168" t="e">
        <f t="array" aca="1" ref="P49" ca="1">INDEX(P33:T41,MATCH(P46,O33:O41,1),MATCH(P43,P32:T32,1))</f>
        <v>#N/A</v>
      </c>
      <c r="Q49" s="150"/>
      <c r="R49" s="73"/>
      <c r="T49" s="150"/>
      <c r="U49" s="150"/>
      <c r="V49" s="150"/>
      <c r="W49" s="167"/>
      <c r="X49" s="168"/>
      <c r="Y49" s="150"/>
      <c r="AB49" s="167" t="s">
        <v>154</v>
      </c>
      <c r="AC49" s="168">
        <f t="array" aca="1" ref="AC49" ca="1">INDEX(AC33:AG41,MATCH(AC46,AB33:AB41,1),MATCH(AC43,AC32:AG32,1))</f>
        <v>1200</v>
      </c>
      <c r="AD49" s="150"/>
      <c r="AE49" s="73"/>
      <c r="AG49" s="150"/>
      <c r="AH49" s="150"/>
      <c r="AI49" s="150"/>
      <c r="AJ49" s="167"/>
      <c r="AK49" s="168"/>
      <c r="AL49" s="150"/>
    </row>
    <row r="50" spans="1:38" ht="15" customHeight="1">
      <c r="B50" s="167" t="s">
        <v>205</v>
      </c>
      <c r="C50" s="168">
        <f t="array" aca="1" ref="C50" ca="1">INDEX(B33:G41,MATCH(C46,A33:A41,1),IF(MATCH(C43,B32:G32,1)&lt;E45,MATCH(C43,B32:G32,1)+1,MATCH(C46,A33:A41,1)))</f>
        <v>1600</v>
      </c>
      <c r="E50" s="73"/>
      <c r="G50" s="150"/>
      <c r="H50" s="150"/>
      <c r="I50" s="150"/>
      <c r="J50" s="167"/>
      <c r="K50" s="168"/>
      <c r="M50" s="73"/>
      <c r="O50" s="167" t="s">
        <v>205</v>
      </c>
      <c r="P50" s="168" t="e">
        <f t="array" aca="1" ref="P50" ca="1">INDEX(P33:T41,MATCH(P46,O33:O41,1),IF(MATCH(P43,P32:T32,1)&lt;R45,MATCH(P43,P32:T32,1)+1,MATCH(P46,O33:O41,1)))</f>
        <v>#N/A</v>
      </c>
      <c r="R50" s="73"/>
      <c r="T50" s="150"/>
      <c r="U50" s="150"/>
      <c r="V50" s="150"/>
      <c r="W50" s="167"/>
      <c r="X50" s="168"/>
      <c r="AB50" s="167" t="s">
        <v>205</v>
      </c>
      <c r="AC50" s="168">
        <f t="array" aca="1" ref="AC50" ca="1">INDEX(AC33:AG41,MATCH(AC46,AB33:AB41,1),IF(MATCH(AC43,AC32:AG32,1)&lt;AE45,MATCH(AC43,AC32:AG32,1)+1,MATCH(AC46,AB33:AB41,1)))</f>
        <v>1500</v>
      </c>
      <c r="AE50" s="73"/>
      <c r="AG50" s="150"/>
      <c r="AH50" s="150"/>
      <c r="AI50" s="150"/>
      <c r="AJ50" s="167"/>
      <c r="AK50" s="168"/>
    </row>
    <row r="51" spans="1:38" ht="15" customHeight="1">
      <c r="B51" s="167" t="s">
        <v>155</v>
      </c>
      <c r="C51" s="168">
        <f t="array" aca="1" ref="C51" ca="1">INDEX(B33:G41,IF(MATCH(C46,A33:A41,1)&lt;E44,MATCH(C46,A33:A41,1)+1,MATCH(C46,A33:A41,1)),MATCH(C43,B32:G32,1))</f>
        <v>1300</v>
      </c>
      <c r="E51" s="73"/>
      <c r="G51" s="150"/>
      <c r="H51" s="150"/>
      <c r="I51" s="150"/>
      <c r="J51" s="167"/>
      <c r="K51" s="168"/>
      <c r="M51" s="73"/>
      <c r="O51" s="167" t="s">
        <v>155</v>
      </c>
      <c r="P51" s="168" t="e">
        <f t="array" aca="1" ref="P51" ca="1">INDEX(P33:T41,IF(MATCH(P46,O33:O41,1)&lt;R44,MATCH(P46,O33:O41,1)+1,MATCH(P46,O33:O41,1)),MATCH(P43,P32:T32,1))</f>
        <v>#N/A</v>
      </c>
      <c r="R51" s="73"/>
      <c r="T51" s="150"/>
      <c r="U51" s="150"/>
      <c r="V51" s="150"/>
      <c r="W51" s="167"/>
      <c r="X51" s="168"/>
      <c r="AB51" s="167" t="s">
        <v>155</v>
      </c>
      <c r="AC51" s="168">
        <f t="array" aca="1" ref="AC51" ca="1">INDEX(AC33:AG41,IF(MATCH(AC46,AB33:AB41,1)&lt;AE44,MATCH(AC46,AB33:AB41,1)+1,MATCH(AC46,AB33:AB41,1)),MATCH(AC43,AC32:AG32,1))</f>
        <v>1210</v>
      </c>
      <c r="AE51" s="73"/>
      <c r="AG51" s="150"/>
      <c r="AH51" s="150"/>
      <c r="AI51" s="150"/>
      <c r="AJ51" s="167"/>
      <c r="AK51" s="168"/>
    </row>
    <row r="52" spans="1:38" ht="15" customHeight="1">
      <c r="B52" s="167" t="s">
        <v>206</v>
      </c>
      <c r="C52" s="168">
        <f t="array" aca="1" ref="C52" ca="1">INDEX(B33:G41,IF(MATCH(C46,A33:A41,1)&lt;E44,MATCH(C46,A33:A41,1)+1,MATCH(C46,A33:A41,1)),IF(MATCH(C43,B32:G32,1)&lt;E45,MATCH(C43,B32:G32,1)+1,MATCH(C43,B32:G32,1)))</f>
        <v>1650</v>
      </c>
      <c r="G52" s="150"/>
      <c r="H52" s="150"/>
      <c r="I52" s="150"/>
      <c r="J52" s="167"/>
      <c r="K52" s="168"/>
      <c r="O52" s="167" t="s">
        <v>206</v>
      </c>
      <c r="P52" s="168" t="e">
        <f t="array" aca="1" ref="P52" ca="1">INDEX(P33:T41,IF(MATCH(P46,O33:O41,1)&lt;R44,MATCH(P46,O33:O41,1)+1,MATCH(P46,O33:O41,1)),IF(MATCH(P43,P32:T32,1)&lt;R45,MATCH(P43,P32:T32,1)+1,MATCH(P43,P32:T32,1)))</f>
        <v>#N/A</v>
      </c>
      <c r="T52" s="150"/>
      <c r="U52" s="150"/>
      <c r="V52" s="150"/>
      <c r="W52" s="167"/>
      <c r="X52" s="168"/>
      <c r="AB52" s="167" t="s">
        <v>206</v>
      </c>
      <c r="AC52" s="168">
        <f t="array" aca="1" ref="AC52" ca="1">INDEX(AC33:AG41,IF(MATCH(AC46,AB33:AB41,1)&lt;AE44,MATCH(AC46,AB33:AB41,1)+1,MATCH(AC46,AB33:AB41,1)),IF(MATCH(AC43,AC32:AG32,1)&lt;AE45,MATCH(AC43,AC32:AG32,1)+1,MATCH(AC43,AC32:AG32,1)))</f>
        <v>1550</v>
      </c>
      <c r="AG52" s="150"/>
      <c r="AH52" s="150"/>
      <c r="AI52" s="150"/>
      <c r="AJ52" s="167"/>
      <c r="AK52" s="168"/>
    </row>
    <row r="53" spans="1:38" ht="15" customHeight="1">
      <c r="B53" s="38" t="s">
        <v>207</v>
      </c>
      <c r="C53" s="169">
        <f ca="1">IFERROR(C49+(C43-C44)*(C50-C49)/(C45-C44),C49)</f>
        <v>1339.6</v>
      </c>
      <c r="G53" s="150"/>
      <c r="H53" s="150"/>
      <c r="I53" s="150"/>
      <c r="J53" s="38"/>
      <c r="K53" s="169"/>
      <c r="O53" s="38" t="s">
        <v>207</v>
      </c>
      <c r="P53" s="169" t="e">
        <f ca="1">IFERROR(P49+(P43-P44)*(P50-P49)/(P45-P44),P49)</f>
        <v>#N/A</v>
      </c>
      <c r="T53" s="150"/>
      <c r="U53" s="150"/>
      <c r="V53" s="150"/>
      <c r="W53" s="38"/>
      <c r="X53" s="169"/>
      <c r="AB53" s="38" t="s">
        <v>207</v>
      </c>
      <c r="AC53" s="169">
        <f ca="1">IFERROR(AC49+(AC43-AC44)*(AC50-AC49)/(AC45-AC44),AC49)</f>
        <v>1312.6666666666667</v>
      </c>
      <c r="AG53" s="150"/>
      <c r="AH53" s="150"/>
      <c r="AI53" s="150"/>
      <c r="AJ53" s="38"/>
      <c r="AK53" s="169"/>
    </row>
    <row r="54" spans="1:38" ht="15" customHeight="1">
      <c r="B54" s="38" t="s">
        <v>208</v>
      </c>
      <c r="C54" s="169">
        <f ca="1">IFERROR(C51+(C43-C44)*(C52-C51)/(C45-C44),C51)</f>
        <v>1389.6</v>
      </c>
      <c r="G54" s="150"/>
      <c r="H54" s="150"/>
      <c r="I54" s="150"/>
      <c r="J54" s="38"/>
      <c r="K54" s="169"/>
      <c r="O54" s="38" t="s">
        <v>208</v>
      </c>
      <c r="P54" s="169" t="e">
        <f ca="1">IFERROR(P51+(P43-P44)*(P52-P51)/(P45-P44),P51)</f>
        <v>#N/A</v>
      </c>
      <c r="T54" s="150"/>
      <c r="U54" s="150"/>
      <c r="V54" s="150"/>
      <c r="W54" s="38"/>
      <c r="X54" s="169"/>
      <c r="AB54" s="38" t="s">
        <v>208</v>
      </c>
      <c r="AC54" s="169">
        <f ca="1">IFERROR(AC51+(AC43-AC44)*(AC52-AC51)/(AC45-AC44),AC51)</f>
        <v>1337.6888888888889</v>
      </c>
      <c r="AG54" s="150"/>
      <c r="AH54" s="150"/>
      <c r="AI54" s="150"/>
      <c r="AJ54" s="38"/>
      <c r="AK54" s="169"/>
    </row>
    <row r="55" spans="1:38" ht="15" customHeight="1">
      <c r="B55" s="167" t="s">
        <v>209</v>
      </c>
      <c r="C55" s="168">
        <f ca="1">IFERROR(C53+(C46-C47)*(C54-C53)/(C48-C47),C53)</f>
        <v>1339.6</v>
      </c>
      <c r="G55" s="150"/>
      <c r="H55" s="150"/>
      <c r="I55" s="150"/>
      <c r="J55" s="167"/>
      <c r="K55" s="168"/>
      <c r="O55" s="167" t="s">
        <v>209</v>
      </c>
      <c r="P55" s="168" t="e">
        <f ca="1">IFERROR(P53+(P46-P47)*(P54-P53)/(P48-P47),P53)</f>
        <v>#N/A</v>
      </c>
      <c r="T55" s="150"/>
      <c r="U55" s="150"/>
      <c r="V55" s="150"/>
      <c r="W55" s="167"/>
      <c r="X55" s="168"/>
      <c r="AB55" s="167" t="s">
        <v>209</v>
      </c>
      <c r="AC55" s="168">
        <f ca="1">IFERROR(AC53+(AC46-AC47)*(AC54-AC53)/(AC48-AC47),AC53)</f>
        <v>1312.6666666666667</v>
      </c>
      <c r="AG55" s="150"/>
      <c r="AH55" s="150"/>
      <c r="AI55" s="150"/>
      <c r="AJ55" s="167"/>
      <c r="AK55" s="168"/>
    </row>
    <row r="57" spans="1:38" ht="15" customHeight="1">
      <c r="B57" s="299" t="s">
        <v>211</v>
      </c>
      <c r="C57" s="299"/>
      <c r="D57" s="299"/>
      <c r="E57" s="299"/>
      <c r="F57" s="299"/>
      <c r="G57" s="299"/>
      <c r="H57" s="299"/>
      <c r="I57" s="299"/>
      <c r="J57" s="92"/>
      <c r="K57" s="92"/>
      <c r="L57" s="92"/>
      <c r="M57" s="92"/>
      <c r="O57" s="299" t="s">
        <v>211</v>
      </c>
      <c r="P57" s="299"/>
      <c r="Q57" s="299"/>
      <c r="R57" s="299"/>
      <c r="S57" s="299"/>
      <c r="T57" s="299"/>
      <c r="U57" s="299"/>
      <c r="V57" s="299"/>
      <c r="W57" s="92"/>
      <c r="X57" s="92"/>
      <c r="Y57" s="92"/>
      <c r="AB57" s="299" t="s">
        <v>211</v>
      </c>
      <c r="AC57" s="299"/>
      <c r="AD57" s="299"/>
      <c r="AE57" s="299"/>
      <c r="AF57" s="299"/>
      <c r="AG57" s="299"/>
      <c r="AH57" s="299"/>
      <c r="AI57" s="299"/>
      <c r="AJ57" s="92"/>
      <c r="AK57" s="92"/>
      <c r="AL57" s="92"/>
    </row>
    <row r="58" spans="1:38" ht="15" customHeight="1">
      <c r="A58" t="s">
        <v>50</v>
      </c>
      <c r="B58" s="236">
        <v>1000</v>
      </c>
      <c r="C58" s="244">
        <v>1500</v>
      </c>
      <c r="D58" s="236">
        <v>2000</v>
      </c>
      <c r="E58" s="244">
        <v>2500</v>
      </c>
      <c r="F58" s="244">
        <v>3000</v>
      </c>
      <c r="G58" s="244">
        <v>3500</v>
      </c>
      <c r="H58" s="239">
        <v>4000</v>
      </c>
      <c r="I58" s="32"/>
      <c r="J58" s="32"/>
      <c r="K58" s="32"/>
      <c r="N58" t="s">
        <v>50</v>
      </c>
      <c r="O58" s="236">
        <v>1000</v>
      </c>
      <c r="P58" s="244">
        <v>1200</v>
      </c>
      <c r="Q58" s="244">
        <v>1500</v>
      </c>
      <c r="R58" s="244">
        <v>2000</v>
      </c>
      <c r="S58" s="244">
        <v>2500</v>
      </c>
      <c r="T58" s="244">
        <v>3000</v>
      </c>
      <c r="U58" s="244">
        <v>3500</v>
      </c>
      <c r="V58" s="239">
        <v>5000</v>
      </c>
      <c r="AA58" t="s">
        <v>50</v>
      </c>
      <c r="AB58" s="236">
        <v>950</v>
      </c>
      <c r="AC58" s="244">
        <v>1400</v>
      </c>
      <c r="AD58" s="244">
        <v>1850</v>
      </c>
      <c r="AE58" s="244">
        <v>2350</v>
      </c>
      <c r="AF58" s="244">
        <v>2850</v>
      </c>
      <c r="AG58" s="244">
        <v>3300</v>
      </c>
      <c r="AH58" s="239">
        <v>3500</v>
      </c>
    </row>
    <row r="59" spans="1:38" ht="15" customHeight="1">
      <c r="A59">
        <v>-10</v>
      </c>
      <c r="B59" s="236">
        <v>1130</v>
      </c>
      <c r="C59" s="244">
        <v>1700</v>
      </c>
      <c r="D59" s="236">
        <v>2250</v>
      </c>
      <c r="E59" s="244">
        <v>2800</v>
      </c>
      <c r="F59" s="244">
        <v>3350</v>
      </c>
      <c r="G59" s="244">
        <v>3900</v>
      </c>
      <c r="H59" s="246">
        <v>99999</v>
      </c>
      <c r="I59" s="92"/>
      <c r="J59" s="92"/>
      <c r="K59" s="92"/>
      <c r="N59">
        <v>-10</v>
      </c>
      <c r="O59" s="236"/>
      <c r="P59" s="244"/>
      <c r="Q59" s="244"/>
      <c r="R59" s="244"/>
      <c r="S59" s="244"/>
      <c r="T59" s="244"/>
      <c r="U59" s="244"/>
      <c r="V59" s="246">
        <v>99999</v>
      </c>
      <c r="AA59">
        <v>-10</v>
      </c>
      <c r="AB59" s="236">
        <v>1200</v>
      </c>
      <c r="AC59" s="244">
        <v>1750</v>
      </c>
      <c r="AD59" s="244">
        <v>2300</v>
      </c>
      <c r="AE59" s="244">
        <v>2900</v>
      </c>
      <c r="AF59" s="244">
        <v>3400</v>
      </c>
      <c r="AG59" s="244">
        <v>3950</v>
      </c>
      <c r="AH59" s="246">
        <v>99999</v>
      </c>
    </row>
    <row r="60" spans="1:38" ht="15" customHeight="1">
      <c r="A60">
        <v>0</v>
      </c>
      <c r="B60" s="247">
        <v>1000</v>
      </c>
      <c r="C60" s="92">
        <v>1500</v>
      </c>
      <c r="D60" s="247">
        <v>2000</v>
      </c>
      <c r="E60" s="92">
        <v>2500</v>
      </c>
      <c r="F60" s="92">
        <v>3000</v>
      </c>
      <c r="G60" s="92">
        <v>3500</v>
      </c>
      <c r="H60" s="246">
        <v>99999</v>
      </c>
      <c r="I60" s="92"/>
      <c r="J60" s="92"/>
      <c r="K60" s="92"/>
      <c r="N60">
        <v>0</v>
      </c>
      <c r="O60" s="247"/>
      <c r="P60" s="92"/>
      <c r="Q60" s="92"/>
      <c r="R60" s="92"/>
      <c r="S60" s="92"/>
      <c r="T60" s="92"/>
      <c r="U60" s="92"/>
      <c r="V60" s="246">
        <v>99999</v>
      </c>
      <c r="AA60">
        <v>0</v>
      </c>
      <c r="AB60" s="247">
        <v>950</v>
      </c>
      <c r="AC60" s="92">
        <v>1400</v>
      </c>
      <c r="AD60" s="92">
        <v>1850</v>
      </c>
      <c r="AE60" s="92">
        <v>2350</v>
      </c>
      <c r="AF60" s="92">
        <v>2850</v>
      </c>
      <c r="AG60" s="92">
        <v>3300</v>
      </c>
      <c r="AH60" s="246">
        <v>99999</v>
      </c>
    </row>
    <row r="61" spans="1:38" ht="15" customHeight="1">
      <c r="A61">
        <v>30</v>
      </c>
      <c r="B61" s="242">
        <v>1000</v>
      </c>
      <c r="C61" s="248">
        <v>1300</v>
      </c>
      <c r="D61" s="242">
        <v>1800</v>
      </c>
      <c r="E61" s="248">
        <v>2250</v>
      </c>
      <c r="F61" s="248">
        <v>2730</v>
      </c>
      <c r="G61" s="248">
        <v>3130</v>
      </c>
      <c r="H61" s="258">
        <v>99999</v>
      </c>
      <c r="I61" s="92"/>
      <c r="J61" s="92"/>
      <c r="K61" s="92"/>
      <c r="N61">
        <v>30</v>
      </c>
      <c r="O61" s="242"/>
      <c r="P61" s="248"/>
      <c r="Q61" s="248"/>
      <c r="R61" s="248"/>
      <c r="S61" s="248"/>
      <c r="T61" s="248"/>
      <c r="U61" s="248"/>
      <c r="V61" s="258">
        <v>99999</v>
      </c>
      <c r="AA61">
        <v>30</v>
      </c>
      <c r="AB61" s="242">
        <v>750</v>
      </c>
      <c r="AC61" s="248">
        <v>1100</v>
      </c>
      <c r="AD61" s="248">
        <v>1450</v>
      </c>
      <c r="AE61" s="248">
        <v>1850</v>
      </c>
      <c r="AF61" s="248">
        <v>2250</v>
      </c>
      <c r="AG61" s="248">
        <v>2700</v>
      </c>
      <c r="AH61" s="258">
        <v>99999</v>
      </c>
    </row>
    <row r="62" spans="1:38" ht="15" customHeight="1">
      <c r="B62" s="167"/>
      <c r="C62" s="168"/>
      <c r="G62" s="150"/>
      <c r="H62" s="150"/>
      <c r="I62" s="150"/>
      <c r="J62" s="167"/>
      <c r="K62" s="168"/>
      <c r="O62" s="167"/>
      <c r="P62" s="168"/>
      <c r="T62" s="150"/>
      <c r="U62" s="150"/>
      <c r="V62" s="150"/>
      <c r="W62" s="167"/>
      <c r="X62" s="168"/>
      <c r="AB62" s="167"/>
      <c r="AC62" s="168"/>
      <c r="AG62" s="150"/>
      <c r="AH62" s="150"/>
      <c r="AI62" s="150"/>
      <c r="AJ62" s="167"/>
      <c r="AK62" s="168"/>
    </row>
    <row r="63" spans="1:38" ht="15" customHeight="1">
      <c r="B63" s="167" t="s">
        <v>150</v>
      </c>
      <c r="C63" s="168">
        <f ca="1">MAX(C55,B58)</f>
        <v>1339.6</v>
      </c>
      <c r="D63" s="299" t="s">
        <v>202</v>
      </c>
      <c r="E63" s="299"/>
      <c r="G63" s="150"/>
      <c r="H63" s="150"/>
      <c r="I63" s="150"/>
      <c r="J63" s="167"/>
      <c r="K63" s="168"/>
      <c r="L63" s="92"/>
      <c r="O63" s="167" t="s">
        <v>150</v>
      </c>
      <c r="P63" s="168" t="e">
        <f ca="1">P55</f>
        <v>#N/A</v>
      </c>
      <c r="Q63" s="299" t="s">
        <v>202</v>
      </c>
      <c r="R63" s="299"/>
      <c r="T63" s="150"/>
      <c r="U63" s="150"/>
      <c r="V63" s="150"/>
      <c r="W63" s="167"/>
      <c r="X63" s="168"/>
      <c r="Y63" s="92"/>
      <c r="AB63" s="167" t="s">
        <v>150</v>
      </c>
      <c r="AC63" s="168">
        <f ca="1">AC55</f>
        <v>1312.6666666666667</v>
      </c>
      <c r="AD63" s="299" t="s">
        <v>202</v>
      </c>
      <c r="AE63" s="299"/>
      <c r="AG63" s="150"/>
      <c r="AH63" s="150"/>
      <c r="AI63" s="150"/>
      <c r="AJ63" s="167"/>
      <c r="AK63" s="168"/>
      <c r="AL63" s="92"/>
    </row>
    <row r="64" spans="1:38" ht="15" customHeight="1">
      <c r="B64" s="38" t="s">
        <v>203</v>
      </c>
      <c r="C64" s="169">
        <f t="array" aca="1" ref="C64" ca="1">INDEX($B58:$H58,MATCH(C63,$B58:$H58,1))</f>
        <v>1000</v>
      </c>
      <c r="D64" s="38" t="s">
        <v>148</v>
      </c>
      <c r="E64" s="39">
        <f>MATCH(MAX($A59:$A61),$A59:$A61,1)</f>
        <v>3</v>
      </c>
      <c r="G64" s="150"/>
      <c r="H64" s="150"/>
      <c r="I64" s="150"/>
      <c r="J64" s="38"/>
      <c r="K64" s="169"/>
      <c r="L64" s="38"/>
      <c r="M64" s="39"/>
      <c r="O64" s="38" t="s">
        <v>203</v>
      </c>
      <c r="P64" s="169" t="e">
        <f t="array" aca="1" ref="P64" ca="1">INDEX($O58:$V58,MATCH(P63,$O58:$V58,1))</f>
        <v>#N/A</v>
      </c>
      <c r="Q64" s="38" t="s">
        <v>148</v>
      </c>
      <c r="R64" s="39">
        <f>MATCH(MAX($N59:$N61),$N59:$N61,1)</f>
        <v>3</v>
      </c>
      <c r="T64" s="150"/>
      <c r="U64" s="150"/>
      <c r="V64" s="150"/>
      <c r="W64" s="38"/>
      <c r="X64" s="169"/>
      <c r="Y64" s="38"/>
      <c r="AB64" s="38" t="s">
        <v>203</v>
      </c>
      <c r="AC64" s="169">
        <f t="array" aca="1" ref="AC64" ca="1">INDEX($AB58:$AH58,MATCH(AC63,$AB58:$AH58,1))</f>
        <v>950</v>
      </c>
      <c r="AD64" s="38" t="s">
        <v>148</v>
      </c>
      <c r="AE64" s="39">
        <f>MATCH(MAX($AA59:$AA61),$AA59:$AA61,1)</f>
        <v>3</v>
      </c>
      <c r="AG64" s="150"/>
      <c r="AH64" s="150"/>
      <c r="AI64" s="150"/>
      <c r="AJ64" s="38"/>
      <c r="AK64" s="169"/>
      <c r="AL64" s="38"/>
    </row>
    <row r="65" spans="1:38" ht="15" customHeight="1">
      <c r="B65" s="38" t="s">
        <v>204</v>
      </c>
      <c r="C65" s="169">
        <f t="array" aca="1" ref="C65" ca="1">INDEX($B58:$H58,IF(MATCH(C63,$B58:$H58,1)&lt;E65,MATCH(C63,$B58:$H58,1)+1,MATCH(C63,$B58:$H58,1)))</f>
        <v>1500</v>
      </c>
      <c r="D65" s="38" t="s">
        <v>149</v>
      </c>
      <c r="E65" s="39">
        <f>MATCH(MAX($B58:$H58),$B58:$H58,0)</f>
        <v>7</v>
      </c>
      <c r="G65" s="150"/>
      <c r="H65" s="150"/>
      <c r="I65" s="150"/>
      <c r="J65" s="38"/>
      <c r="K65" s="169"/>
      <c r="L65" s="38"/>
      <c r="M65" s="39"/>
      <c r="O65" s="38" t="s">
        <v>204</v>
      </c>
      <c r="P65" s="169" t="e">
        <f t="array" aca="1" ref="P65" ca="1">INDEX($O58:$V58,IF(MATCH(P63,$O58:$V58,1)&lt;R65,MATCH(P63,$O58:$V58,1)+1,MATCH(P63,$O58:$V58,1)))</f>
        <v>#N/A</v>
      </c>
      <c r="Q65" s="38" t="s">
        <v>149</v>
      </c>
      <c r="R65" s="39">
        <f>MATCH(MAX($O58:$V58),$O58:$V58,0)</f>
        <v>8</v>
      </c>
      <c r="T65" s="150"/>
      <c r="U65" s="150"/>
      <c r="V65" s="150"/>
      <c r="W65" s="38"/>
      <c r="X65" s="169"/>
      <c r="Y65" s="38"/>
      <c r="AB65" s="38" t="s">
        <v>204</v>
      </c>
      <c r="AC65" s="169">
        <f t="array" aca="1" ref="AC65" ca="1">INDEX($AB58:$AH58,IF(MATCH(AC63,$AB58:$AH58,1)&lt;AE65,MATCH(AC63,$AB58:$AH58,1)+1,MATCH(AC63,$AB58:$AH58,1)))</f>
        <v>1400</v>
      </c>
      <c r="AD65" s="38" t="s">
        <v>149</v>
      </c>
      <c r="AE65" s="39">
        <f>MATCH(MAX($AB58:$AH58),$AB58:$AH58,0)</f>
        <v>7</v>
      </c>
      <c r="AG65" s="150"/>
      <c r="AH65" s="150"/>
      <c r="AI65" s="150"/>
      <c r="AJ65" s="38"/>
      <c r="AK65" s="169"/>
      <c r="AL65" s="38"/>
    </row>
    <row r="66" spans="1:38" ht="15" customHeight="1">
      <c r="B66" s="167" t="s">
        <v>151</v>
      </c>
      <c r="C66" s="213">
        <f ca="1">'Take-off'!$C$24</f>
        <v>0</v>
      </c>
      <c r="D66" s="150"/>
      <c r="E66" s="150"/>
      <c r="G66" s="150"/>
      <c r="H66" s="150"/>
      <c r="I66" s="150"/>
      <c r="J66" s="167"/>
      <c r="K66" s="213"/>
      <c r="L66" s="150"/>
      <c r="M66" s="150"/>
      <c r="O66" s="167" t="s">
        <v>151</v>
      </c>
      <c r="P66" s="213">
        <f ca="1">'Take-off'!$C$24</f>
        <v>0</v>
      </c>
      <c r="Q66" s="150"/>
      <c r="R66" s="150"/>
      <c r="T66" s="150"/>
      <c r="U66" s="150"/>
      <c r="V66" s="150"/>
      <c r="W66" s="167"/>
      <c r="X66" s="213"/>
      <c r="Y66" s="150"/>
      <c r="AB66" s="167" t="s">
        <v>151</v>
      </c>
      <c r="AC66" s="213">
        <f ca="1">'Take-off'!$C$24</f>
        <v>0</v>
      </c>
      <c r="AD66" s="150"/>
      <c r="AE66" s="150"/>
      <c r="AG66" s="150"/>
      <c r="AH66" s="150"/>
      <c r="AI66" s="150"/>
      <c r="AJ66" s="167"/>
      <c r="AK66" s="213"/>
      <c r="AL66" s="150"/>
    </row>
    <row r="67" spans="1:38" ht="15" customHeight="1">
      <c r="B67" s="38" t="s">
        <v>152</v>
      </c>
      <c r="C67" s="169">
        <f t="array" aca="1" ref="C67" ca="1">INDEX($A59:$A61,MATCH(C66,$A59:$A61,1))</f>
        <v>0</v>
      </c>
      <c r="D67" s="150"/>
      <c r="E67" s="73"/>
      <c r="G67" s="150"/>
      <c r="H67" s="150"/>
      <c r="I67" s="150"/>
      <c r="J67" s="38"/>
      <c r="K67" s="169"/>
      <c r="L67" s="150"/>
      <c r="M67" s="73"/>
      <c r="O67" s="38" t="s">
        <v>152</v>
      </c>
      <c r="P67" s="169">
        <f t="array" aca="1" ref="P67" ca="1">INDEX($N59:$N61,MATCH(P66,$N59:$N61,1))</f>
        <v>0</v>
      </c>
      <c r="Q67" s="150"/>
      <c r="R67" s="73"/>
      <c r="T67" s="150"/>
      <c r="U67" s="150"/>
      <c r="V67" s="150"/>
      <c r="W67" s="38"/>
      <c r="X67" s="169"/>
      <c r="Y67" s="150"/>
      <c r="AB67" s="38" t="s">
        <v>152</v>
      </c>
      <c r="AC67" s="169">
        <f t="array" aca="1" ref="AC67" ca="1">INDEX($AA59:$AA61,MATCH(AC66,$AA59:$AA61,1))</f>
        <v>0</v>
      </c>
      <c r="AD67" s="150"/>
      <c r="AE67" s="73"/>
      <c r="AG67" s="150"/>
      <c r="AH67" s="150"/>
      <c r="AI67" s="150"/>
      <c r="AJ67" s="38"/>
      <c r="AK67" s="169"/>
      <c r="AL67" s="150"/>
    </row>
    <row r="68" spans="1:38" ht="15" customHeight="1">
      <c r="B68" s="38" t="s">
        <v>153</v>
      </c>
      <c r="C68" s="169">
        <f t="array" aca="1" ref="C68" ca="1">INDEX($A59:$A61,IF(MATCH(C66,$A59:$A61,1)&lt;E64,MATCH(C66,$A59:$A61,1)+1,MATCH(C66,$A59:$A61,1)))</f>
        <v>30</v>
      </c>
      <c r="D68" s="150"/>
      <c r="E68" s="73"/>
      <c r="G68" s="150"/>
      <c r="H68" s="150"/>
      <c r="I68" s="150"/>
      <c r="J68" s="38"/>
      <c r="K68" s="169"/>
      <c r="L68" s="150"/>
      <c r="M68" s="73"/>
      <c r="O68" s="38" t="s">
        <v>153</v>
      </c>
      <c r="P68" s="169">
        <f t="array" aca="1" ref="P68" ca="1">INDEX($N59:$N61,IF(MATCH(P66,$N59:$N61,1)&lt;R64,MATCH(P66,$N59:$N61,1)+1,MATCH(P66,$N59:$N61,1)))</f>
        <v>30</v>
      </c>
      <c r="Q68" s="150"/>
      <c r="R68" s="73"/>
      <c r="T68" s="150"/>
      <c r="U68" s="150"/>
      <c r="V68" s="150"/>
      <c r="W68" s="38"/>
      <c r="X68" s="169"/>
      <c r="Y68" s="150"/>
      <c r="AB68" s="38" t="s">
        <v>153</v>
      </c>
      <c r="AC68" s="169">
        <f t="array" aca="1" ref="AC68" ca="1">INDEX($AA59:$AA61,IF(MATCH(AC66,$AA59:$AA61,1)&lt;AE64,MATCH(AC66,$AA59:$AA61,1)+1,MATCH(AC66,$AA59:$AA61,1)))</f>
        <v>30</v>
      </c>
      <c r="AD68" s="150"/>
      <c r="AE68" s="73"/>
      <c r="AG68" s="150"/>
      <c r="AH68" s="150"/>
      <c r="AI68" s="150"/>
      <c r="AJ68" s="38"/>
      <c r="AK68" s="169"/>
      <c r="AL68" s="150"/>
    </row>
    <row r="69" spans="1:38" ht="15" customHeight="1">
      <c r="B69" s="167" t="s">
        <v>154</v>
      </c>
      <c r="C69" s="168">
        <f t="array" aca="1" ref="C69" ca="1">INDEX($B59:$H61,MATCH(C66,$A59:$A61,1),MATCH(C63,$B58:$H58,1))</f>
        <v>1000</v>
      </c>
      <c r="D69" s="150"/>
      <c r="E69" s="73"/>
      <c r="G69" s="150"/>
      <c r="H69" s="150"/>
      <c r="I69" s="150"/>
      <c r="J69" s="167"/>
      <c r="K69" s="168"/>
      <c r="L69" s="150"/>
      <c r="M69" s="73"/>
      <c r="O69" s="167" t="s">
        <v>154</v>
      </c>
      <c r="P69" s="168" t="e">
        <f t="array" aca="1" ref="P69" ca="1">INDEX($O59:$V61,MATCH(P66,$N59:$N61,1),MATCH(P63,$O58:$V58,1))</f>
        <v>#N/A</v>
      </c>
      <c r="Q69" s="150"/>
      <c r="R69" s="73"/>
      <c r="T69" s="150"/>
      <c r="U69" s="150"/>
      <c r="V69" s="150"/>
      <c r="W69" s="167"/>
      <c r="X69" s="168"/>
      <c r="Y69" s="150"/>
      <c r="AB69" s="167" t="s">
        <v>154</v>
      </c>
      <c r="AC69" s="168">
        <f t="array" aca="1" ref="AC69" ca="1">INDEX($AB59:$AH61,MATCH(AC66,$AA59:$AA61,1),MATCH(AC63,$AB58:$AH58,1))</f>
        <v>950</v>
      </c>
      <c r="AD69" s="150"/>
      <c r="AE69" s="73"/>
      <c r="AG69" s="150"/>
      <c r="AH69" s="150"/>
      <c r="AI69" s="150"/>
      <c r="AJ69" s="167"/>
      <c r="AK69" s="168"/>
      <c r="AL69" s="150"/>
    </row>
    <row r="70" spans="1:38" ht="15" customHeight="1">
      <c r="B70" s="167" t="s">
        <v>205</v>
      </c>
      <c r="C70" s="168">
        <f t="array" aca="1" ref="C70" ca="1">INDEX($B59:$H61,MATCH(C66,$A59:$A61,1),IF(MATCH(C63,$B58:$H58,1)&lt;E65,MATCH(C63,$B58:$H58,1)+1,MATCH(C66,$A59:$A61,1)))</f>
        <v>1500</v>
      </c>
      <c r="E70" s="73"/>
      <c r="G70" s="150"/>
      <c r="H70" s="150"/>
      <c r="I70" s="150"/>
      <c r="J70" s="167"/>
      <c r="K70" s="168"/>
      <c r="M70" s="73"/>
      <c r="O70" s="167" t="s">
        <v>205</v>
      </c>
      <c r="P70" s="168" t="e">
        <f t="array" aca="1" ref="P70" ca="1">INDEX($O59:$V61,MATCH(P66,$N59:$N61,1),IF(MATCH(P63,$O58:$V58,1)&lt;R65,MATCH(P63,$O58:$V58,1)+1,MATCH(P66,$N59:$N61,1)))</f>
        <v>#N/A</v>
      </c>
      <c r="R70" s="73"/>
      <c r="T70" s="150"/>
      <c r="U70" s="150"/>
      <c r="V70" s="150"/>
      <c r="W70" s="167"/>
      <c r="X70" s="168"/>
      <c r="AB70" s="167" t="s">
        <v>205</v>
      </c>
      <c r="AC70" s="168">
        <f t="array" aca="1" ref="AC70" ca="1">INDEX($AB59:$AH61,MATCH(AC66,$AA59:$AA61,1),IF(MATCH(AC63,$AB58:$AH58,1)&lt;AE65,MATCH(AC63,$AB58:$AH58,1)+1,MATCH(AC66,$AB59:$AH61,1)))</f>
        <v>1400</v>
      </c>
      <c r="AE70" s="73"/>
      <c r="AG70" s="150"/>
      <c r="AH70" s="150"/>
      <c r="AI70" s="150"/>
      <c r="AJ70" s="167"/>
      <c r="AK70" s="168"/>
    </row>
    <row r="71" spans="1:38" ht="15" customHeight="1">
      <c r="B71" s="167" t="s">
        <v>155</v>
      </c>
      <c r="C71" s="168">
        <f t="array" aca="1" ref="C71" ca="1">INDEX($B59:$H61,IF(MATCH(C66,$A59:$A61,1)&lt;E64,MATCH(C66,$A59:$A61,1)+1,MATCH(C66,$A59:$A61,1)),MATCH(C63,$B58:$H58,1))</f>
        <v>1000</v>
      </c>
      <c r="E71" s="73"/>
      <c r="G71" s="150"/>
      <c r="H71" s="150"/>
      <c r="I71" s="150"/>
      <c r="J71" s="167"/>
      <c r="K71" s="168"/>
      <c r="M71" s="73"/>
      <c r="O71" s="167" t="s">
        <v>155</v>
      </c>
      <c r="P71" s="168" t="e">
        <f t="array" aca="1" ref="P71" ca="1">INDEX($O59:$V61,IF(MATCH(P66,$N59:$N61,1)&lt;R64,MATCH(P66,$N59:$N61,1)+1,MATCH(P66,$N59:$N61,1)),MATCH(P63,$O58:$V58,1))</f>
        <v>#N/A</v>
      </c>
      <c r="R71" s="73"/>
      <c r="T71" s="150"/>
      <c r="U71" s="150"/>
      <c r="V71" s="150"/>
      <c r="W71" s="167"/>
      <c r="X71" s="168"/>
      <c r="AB71" s="167" t="s">
        <v>155</v>
      </c>
      <c r="AC71" s="168">
        <f t="array" aca="1" ref="AC71" ca="1">INDEX($AB59:$AH61,IF(MATCH(AC66,$AA59:$AA61,1)&lt;AE64,MATCH(AC66,$AA59:$AA61,1)+1,MATCH(AC66,$AA59:$AA61,1)),MATCH(AC63,$AB58:$AH58,1))</f>
        <v>750</v>
      </c>
      <c r="AE71" s="73"/>
      <c r="AG71" s="150"/>
      <c r="AH71" s="150"/>
      <c r="AI71" s="150"/>
      <c r="AJ71" s="167"/>
      <c r="AK71" s="168"/>
    </row>
    <row r="72" spans="1:38" ht="15" customHeight="1">
      <c r="B72" s="167" t="s">
        <v>206</v>
      </c>
      <c r="C72" s="168">
        <f t="array" aca="1" ref="C72" ca="1">INDEX($B59:$H61,IF(MATCH(C66,$A59:$A61,1)&lt;E64,MATCH(C66,$A59:$A61,1)+1,MATCH(C66,$A59:$A61,1)),IF(MATCH(C63,$B58:$H58,1)&lt;E65,MATCH(C63,$B58:$H58,1)+1,MATCH(C63,$B58:$H58,1)))</f>
        <v>1300</v>
      </c>
      <c r="G72" s="150"/>
      <c r="H72" s="150"/>
      <c r="I72" s="150"/>
      <c r="J72" s="167"/>
      <c r="K72" s="168"/>
      <c r="O72" s="167" t="s">
        <v>206</v>
      </c>
      <c r="P72" s="168" t="e">
        <f t="array" aca="1" ref="P72" ca="1">INDEX($O59:$V61,IF(MATCH(P66,$N59:$N61,1)&lt;R64,MATCH(P66,$N59:$N61,1)+1,MATCH(P66,$N59:$N61,1)),IF(MATCH(P63,$O58:$V58,1)&lt;R65,MATCH(P63,$O58:$V58,1)+1,MATCH(P63,$O58:$V58,1)))</f>
        <v>#N/A</v>
      </c>
      <c r="T72" s="150"/>
      <c r="U72" s="150"/>
      <c r="V72" s="150"/>
      <c r="W72" s="167"/>
      <c r="X72" s="168"/>
      <c r="AB72" s="167" t="s">
        <v>206</v>
      </c>
      <c r="AC72" s="168">
        <f t="array" aca="1" ref="AC72" ca="1">INDEX($AB59:$AH61,IF(MATCH(AC66,$AA59:$AA61,1)&lt;AE64,MATCH(AC66,$AA59:$AA61,1)+1,MATCH(AC66,$AA59:$AA61,1)),IF(MATCH(AC63,$AB58:$AH58,1)&lt;AE65,MATCH(AC63,$AB58:$AH58,1)+1,MATCH(AC63,$AB58:$AH58,1)))</f>
        <v>1100</v>
      </c>
      <c r="AG72" s="150"/>
      <c r="AH72" s="150"/>
      <c r="AI72" s="150"/>
      <c r="AJ72" s="167"/>
      <c r="AK72" s="168"/>
    </row>
    <row r="73" spans="1:38" ht="15" customHeight="1">
      <c r="B73" s="38" t="s">
        <v>207</v>
      </c>
      <c r="C73" s="169">
        <f ca="1">IFERROR(C69+(C63-C64)*(C70-C69)/(C65-C64),C69)</f>
        <v>1339.6</v>
      </c>
      <c r="G73" s="150"/>
      <c r="H73" s="150"/>
      <c r="I73" s="150"/>
      <c r="J73" s="38"/>
      <c r="K73" s="169"/>
      <c r="O73" s="38" t="s">
        <v>207</v>
      </c>
      <c r="P73" s="169" t="e">
        <f ca="1">IFERROR(P69+(P63-P64)*(P70-P69)/(P65-P64),P69)</f>
        <v>#N/A</v>
      </c>
      <c r="T73" s="150"/>
      <c r="U73" s="150"/>
      <c r="V73" s="150"/>
      <c r="W73" s="38"/>
      <c r="X73" s="169"/>
      <c r="AB73" s="38" t="s">
        <v>207</v>
      </c>
      <c r="AC73" s="169">
        <f ca="1">IFERROR(AC69+(AC63-AC64)*(AC70-AC69)/(AC65-AC64),AC69)</f>
        <v>1312.6666666666667</v>
      </c>
      <c r="AG73" s="150"/>
      <c r="AH73" s="150"/>
      <c r="AI73" s="150"/>
      <c r="AJ73" s="38"/>
      <c r="AK73" s="169"/>
    </row>
    <row r="74" spans="1:38" ht="15" customHeight="1">
      <c r="B74" s="38" t="s">
        <v>208</v>
      </c>
      <c r="C74" s="169">
        <f ca="1">IFERROR(C71+(C63-C64)*(C72-C71)/(C65-C64),C71)</f>
        <v>1203.76</v>
      </c>
      <c r="G74" s="150"/>
      <c r="H74" s="150"/>
      <c r="I74" s="150"/>
      <c r="J74" s="38"/>
      <c r="K74" s="169"/>
      <c r="O74" s="38" t="s">
        <v>208</v>
      </c>
      <c r="P74" s="169" t="e">
        <f ca="1">IFERROR(P71+(P63-P64)*(P72-P71)/(P65-P64),P71)</f>
        <v>#N/A</v>
      </c>
      <c r="T74" s="150"/>
      <c r="U74" s="150"/>
      <c r="V74" s="150"/>
      <c r="W74" s="38"/>
      <c r="X74" s="169"/>
      <c r="AB74" s="38" t="s">
        <v>208</v>
      </c>
      <c r="AC74" s="169">
        <f ca="1">IFERROR(AC71+(AC63-AC64)*(AC72-AC71)/(AC65-AC64),AC71)</f>
        <v>1032.0740740740741</v>
      </c>
      <c r="AG74" s="150"/>
      <c r="AH74" s="150"/>
      <c r="AI74" s="150"/>
      <c r="AJ74" s="38"/>
      <c r="AK74" s="169"/>
    </row>
    <row r="75" spans="1:38" ht="15" customHeight="1">
      <c r="B75" s="167" t="s">
        <v>209</v>
      </c>
      <c r="C75" s="168">
        <f ca="1">IFERROR(C73+(C66-C67)*(C74-C73)/(C68-C67),C73)</f>
        <v>1339.6</v>
      </c>
      <c r="G75" s="150"/>
      <c r="H75" s="150"/>
      <c r="I75" s="150"/>
      <c r="J75" s="167"/>
      <c r="K75" s="168"/>
      <c r="O75" s="167" t="s">
        <v>209</v>
      </c>
      <c r="P75" s="168" t="e">
        <f ca="1">IFERROR(P73+(P66-P67)*(P74-P73)/(P68-P67),P73)</f>
        <v>#N/A</v>
      </c>
      <c r="T75" s="150"/>
      <c r="U75" s="150"/>
      <c r="V75" s="150"/>
      <c r="W75" s="167"/>
      <c r="X75" s="168"/>
      <c r="AB75" s="167" t="s">
        <v>209</v>
      </c>
      <c r="AC75" s="168">
        <f ca="1">IFERROR(AC73+(AC66-AC67)*(AC74-AC73)/(AC68-AC67),AC73)</f>
        <v>1312.6666666666667</v>
      </c>
      <c r="AG75" s="150"/>
      <c r="AH75" s="150"/>
      <c r="AI75" s="150"/>
      <c r="AJ75" s="167"/>
      <c r="AK75" s="168"/>
    </row>
    <row r="76" spans="1:38" ht="15.75" customHeight="1"/>
    <row r="77" spans="1:38" ht="15" customHeight="1">
      <c r="B77" s="307" t="s">
        <v>212</v>
      </c>
      <c r="C77" s="307"/>
      <c r="D77" s="307"/>
      <c r="E77" s="307"/>
      <c r="F77" s="307"/>
      <c r="G77" s="307"/>
      <c r="H77" s="307"/>
      <c r="I77" s="307"/>
      <c r="O77" s="307" t="s">
        <v>212</v>
      </c>
      <c r="P77" s="307"/>
      <c r="Q77" s="307"/>
      <c r="R77" s="307"/>
      <c r="S77" s="307"/>
      <c r="T77" s="307"/>
      <c r="U77" s="307"/>
      <c r="V77" s="307"/>
      <c r="AB77" s="307" t="s">
        <v>212</v>
      </c>
      <c r="AC77" s="307"/>
      <c r="AD77" s="307"/>
      <c r="AE77" s="307"/>
      <c r="AF77" s="307"/>
      <c r="AG77" s="307"/>
      <c r="AH77" s="307"/>
      <c r="AI77" s="307"/>
    </row>
    <row r="78" spans="1:38" ht="15" customHeight="1">
      <c r="A78" t="s">
        <v>33</v>
      </c>
      <c r="B78" s="236">
        <v>1000</v>
      </c>
      <c r="C78" s="244">
        <v>1500</v>
      </c>
      <c r="D78" s="244">
        <v>2000</v>
      </c>
      <c r="E78" s="244">
        <v>2500</v>
      </c>
      <c r="F78" s="244">
        <v>3000</v>
      </c>
      <c r="G78" s="244">
        <v>3500</v>
      </c>
      <c r="H78" s="239">
        <v>4000</v>
      </c>
      <c r="I78" s="32"/>
      <c r="J78" s="32"/>
      <c r="K78" s="32"/>
      <c r="L78" s="32"/>
      <c r="N78" t="s">
        <v>33</v>
      </c>
      <c r="O78" s="236">
        <v>1000</v>
      </c>
      <c r="P78" s="244">
        <v>1600</v>
      </c>
      <c r="Q78" s="244">
        <v>2200</v>
      </c>
      <c r="R78" s="244">
        <v>2800</v>
      </c>
      <c r="S78" s="244">
        <v>3400</v>
      </c>
      <c r="T78" s="244">
        <v>4000</v>
      </c>
      <c r="U78" s="244">
        <v>4600</v>
      </c>
      <c r="V78" s="239">
        <v>5000</v>
      </c>
      <c r="AA78" t="s">
        <v>33</v>
      </c>
      <c r="AB78" s="236">
        <v>750</v>
      </c>
      <c r="AC78" s="244">
        <v>1100</v>
      </c>
      <c r="AD78" s="244">
        <v>1450</v>
      </c>
      <c r="AE78" s="244">
        <v>1850</v>
      </c>
      <c r="AF78" s="244">
        <v>2200</v>
      </c>
      <c r="AG78" s="244">
        <v>2600</v>
      </c>
      <c r="AH78" s="244">
        <v>2950</v>
      </c>
      <c r="AI78" s="244">
        <v>3300</v>
      </c>
      <c r="AJ78" s="244">
        <v>3700</v>
      </c>
      <c r="AK78" s="244">
        <v>4100</v>
      </c>
      <c r="AL78" s="239">
        <v>4500</v>
      </c>
    </row>
    <row r="79" spans="1:38" ht="15" customHeight="1">
      <c r="A79">
        <v>0</v>
      </c>
      <c r="B79" s="236">
        <v>1000</v>
      </c>
      <c r="C79" s="244">
        <v>1500</v>
      </c>
      <c r="D79" s="244">
        <v>2000</v>
      </c>
      <c r="E79" s="244">
        <v>2500</v>
      </c>
      <c r="F79" s="244">
        <v>3000</v>
      </c>
      <c r="G79" s="244">
        <v>3500</v>
      </c>
      <c r="H79" s="246">
        <v>99999</v>
      </c>
      <c r="I79" s="92"/>
      <c r="J79" s="92"/>
      <c r="K79" s="92"/>
      <c r="L79" s="92"/>
      <c r="N79">
        <v>0</v>
      </c>
      <c r="O79" s="236"/>
      <c r="P79" s="244"/>
      <c r="Q79" s="244"/>
      <c r="R79" s="244"/>
      <c r="S79" s="244"/>
      <c r="T79" s="244"/>
      <c r="U79" s="244"/>
      <c r="V79" s="246">
        <v>99999</v>
      </c>
      <c r="AA79">
        <v>0</v>
      </c>
      <c r="AB79" s="236">
        <v>750</v>
      </c>
      <c r="AC79" s="244">
        <v>1100</v>
      </c>
      <c r="AD79" s="244">
        <v>1450</v>
      </c>
      <c r="AE79" s="244">
        <v>1850</v>
      </c>
      <c r="AF79" s="244">
        <v>2200</v>
      </c>
      <c r="AG79" s="244">
        <v>2600</v>
      </c>
      <c r="AH79" s="244">
        <v>2950</v>
      </c>
      <c r="AI79" s="244">
        <v>3300</v>
      </c>
      <c r="AJ79" s="244">
        <v>3700</v>
      </c>
      <c r="AK79" s="244">
        <v>4100</v>
      </c>
      <c r="AL79" s="246">
        <v>99999</v>
      </c>
    </row>
    <row r="80" spans="1:38" ht="15" customHeight="1">
      <c r="A80">
        <v>50</v>
      </c>
      <c r="B80" s="242">
        <v>1200</v>
      </c>
      <c r="C80" s="248">
        <v>1900</v>
      </c>
      <c r="D80" s="248">
        <v>2550</v>
      </c>
      <c r="E80" s="248">
        <v>3230</v>
      </c>
      <c r="F80" s="248">
        <v>3900</v>
      </c>
      <c r="G80" s="248">
        <v>4650</v>
      </c>
      <c r="H80" s="246">
        <v>99999</v>
      </c>
      <c r="I80" s="92"/>
      <c r="J80" s="92"/>
      <c r="K80" s="92"/>
      <c r="L80" s="92"/>
      <c r="N80">
        <v>50</v>
      </c>
      <c r="O80" s="242"/>
      <c r="P80" s="248"/>
      <c r="Q80" s="248"/>
      <c r="R80" s="248"/>
      <c r="S80" s="248"/>
      <c r="T80" s="248"/>
      <c r="U80" s="248"/>
      <c r="V80" s="246">
        <v>99999</v>
      </c>
      <c r="AA80">
        <v>50</v>
      </c>
      <c r="AB80" s="242">
        <v>1150</v>
      </c>
      <c r="AC80" s="248">
        <v>1600</v>
      </c>
      <c r="AD80" s="248">
        <v>2100</v>
      </c>
      <c r="AE80" s="248">
        <v>2600</v>
      </c>
      <c r="AF80" s="248">
        <v>3100</v>
      </c>
      <c r="AG80" s="248">
        <v>3650</v>
      </c>
      <c r="AH80" s="248">
        <v>4150</v>
      </c>
      <c r="AI80" s="248">
        <v>4700</v>
      </c>
      <c r="AJ80" s="248">
        <v>5250</v>
      </c>
      <c r="AK80" s="248">
        <v>5800</v>
      </c>
      <c r="AL80" s="246">
        <v>99999</v>
      </c>
    </row>
    <row r="81" spans="2:35" ht="15" customHeight="1">
      <c r="B81" s="167"/>
      <c r="C81" s="168"/>
      <c r="G81" s="150"/>
      <c r="H81" s="150"/>
      <c r="I81" s="150"/>
      <c r="O81" s="167"/>
      <c r="P81" s="168"/>
      <c r="T81" s="150"/>
      <c r="U81" s="150"/>
      <c r="V81" s="150"/>
      <c r="AB81" s="167"/>
      <c r="AC81" s="168"/>
      <c r="AG81" s="150"/>
      <c r="AH81" s="150"/>
      <c r="AI81" s="150"/>
    </row>
    <row r="82" spans="2:35" ht="15" customHeight="1">
      <c r="B82" s="167" t="s">
        <v>150</v>
      </c>
      <c r="C82" s="168">
        <f ca="1">C75</f>
        <v>1339.6</v>
      </c>
      <c r="D82" s="299" t="s">
        <v>202</v>
      </c>
      <c r="E82" s="299"/>
      <c r="G82" s="150"/>
      <c r="H82" s="150"/>
      <c r="I82" s="150"/>
      <c r="O82" s="167" t="s">
        <v>150</v>
      </c>
      <c r="P82" s="168" t="e">
        <f ca="1">P75</f>
        <v>#N/A</v>
      </c>
      <c r="Q82" s="299" t="s">
        <v>202</v>
      </c>
      <c r="R82" s="299"/>
      <c r="T82" s="150"/>
      <c r="U82" s="150"/>
      <c r="V82" s="150"/>
      <c r="AB82" s="167" t="s">
        <v>150</v>
      </c>
      <c r="AC82" s="168">
        <f ca="1">AC75</f>
        <v>1312.6666666666667</v>
      </c>
      <c r="AD82" s="299" t="s">
        <v>202</v>
      </c>
      <c r="AE82" s="299"/>
      <c r="AG82" s="150"/>
      <c r="AH82" s="150"/>
      <c r="AI82" s="150"/>
    </row>
    <row r="83" spans="2:35" ht="15" customHeight="1">
      <c r="B83" s="38" t="s">
        <v>203</v>
      </c>
      <c r="C83" s="169">
        <f t="array" aca="1" ref="C83" ca="1">INDEX($B78:$H78,MATCH(C82,$B78:$H78,1))</f>
        <v>1000</v>
      </c>
      <c r="D83" s="38" t="s">
        <v>148</v>
      </c>
      <c r="E83" s="39">
        <f>MATCH(MAX($A79:$A80),$A79:$A80,1)</f>
        <v>2</v>
      </c>
      <c r="G83" s="150"/>
      <c r="H83" s="150"/>
      <c r="I83" s="150"/>
      <c r="O83" s="38" t="s">
        <v>203</v>
      </c>
      <c r="P83" s="169" t="e">
        <f t="array" aca="1" ref="P83" ca="1">INDEX($O78:$V78,MATCH(P82,$O78:$V78,1))</f>
        <v>#N/A</v>
      </c>
      <c r="Q83" s="38" t="s">
        <v>148</v>
      </c>
      <c r="R83" s="39">
        <f>MATCH(MAX($N79:$N80),$N79:$N80,1)</f>
        <v>2</v>
      </c>
      <c r="T83" s="150"/>
      <c r="U83" s="150"/>
      <c r="V83" s="150"/>
      <c r="AB83" s="38" t="s">
        <v>203</v>
      </c>
      <c r="AC83" s="169">
        <f t="array" aca="1" ref="AC83" ca="1">INDEX($AB78:$AL78,MATCH(AC82,$AB78:$AL78,1))</f>
        <v>1100</v>
      </c>
      <c r="AD83" s="38" t="s">
        <v>148</v>
      </c>
      <c r="AE83" s="39">
        <f>MATCH(MAX($AA79:$AA80),$AA79:$AA80,1)</f>
        <v>2</v>
      </c>
      <c r="AG83" s="150"/>
      <c r="AH83" s="150"/>
      <c r="AI83" s="150"/>
    </row>
    <row r="84" spans="2:35" ht="15" customHeight="1">
      <c r="B84" s="38" t="s">
        <v>204</v>
      </c>
      <c r="C84" s="169">
        <f t="array" aca="1" ref="C84" ca="1">INDEX($B78:$H78,IF(MATCH(C82,$B78:$H78,1)&lt;E84,MATCH(C82,$B78:$H78,1)+1,MATCH(C82,$B78:$H78,1)))</f>
        <v>1500</v>
      </c>
      <c r="D84" s="38" t="s">
        <v>149</v>
      </c>
      <c r="E84" s="39">
        <f>MATCH(MAX($B78:$H78),$B78:$H78,0)</f>
        <v>7</v>
      </c>
      <c r="G84" s="150"/>
      <c r="H84" s="150"/>
      <c r="I84" s="150"/>
      <c r="O84" s="38" t="s">
        <v>204</v>
      </c>
      <c r="P84" s="169" t="e">
        <f t="array" aca="1" ref="P84" ca="1">INDEX($O78:$V78,IF(MATCH(P82,$O78:$V78,1)&lt;R84,MATCH(P82,$O78:$V78,1)+1,MATCH(P82,$O78:$V78,1)))</f>
        <v>#N/A</v>
      </c>
      <c r="Q84" s="38" t="s">
        <v>149</v>
      </c>
      <c r="R84" s="39">
        <f>MATCH(MAX($O78:$V78),$O78:$V78,0)</f>
        <v>8</v>
      </c>
      <c r="T84" s="150"/>
      <c r="U84" s="150"/>
      <c r="V84" s="150"/>
      <c r="AB84" s="38" t="s">
        <v>204</v>
      </c>
      <c r="AC84" s="169">
        <f t="array" aca="1" ref="AC84" ca="1">INDEX($AB78:$AL78,IF(MATCH(AC82,$AB78:$AL78,1)&lt;AE84,MATCH(AC82,$AB78:$AL78,1)+1,MATCH(AC82,$AB78:$AL78,1)))</f>
        <v>1450</v>
      </c>
      <c r="AD84" s="38" t="s">
        <v>149</v>
      </c>
      <c r="AE84" s="39">
        <f>MATCH(MAX($AB78:$AL78),$AB78:$AL78,0)</f>
        <v>11</v>
      </c>
      <c r="AG84" s="150"/>
      <c r="AH84" s="150"/>
      <c r="AI84" s="150"/>
    </row>
    <row r="85" spans="2:35" ht="15" customHeight="1">
      <c r="B85" s="167" t="s">
        <v>151</v>
      </c>
      <c r="C85" s="213">
        <v>50</v>
      </c>
      <c r="D85" s="150"/>
      <c r="E85" s="150"/>
      <c r="G85" s="150"/>
      <c r="H85" s="150"/>
      <c r="I85" s="150"/>
      <c r="O85" s="167" t="s">
        <v>151</v>
      </c>
      <c r="P85" s="213">
        <v>50</v>
      </c>
      <c r="Q85" s="150"/>
      <c r="R85" s="150"/>
      <c r="T85" s="150"/>
      <c r="U85" s="150"/>
      <c r="V85" s="150"/>
      <c r="AB85" s="167" t="s">
        <v>151</v>
      </c>
      <c r="AC85" s="213">
        <v>50</v>
      </c>
      <c r="AD85" s="150"/>
      <c r="AE85" s="150"/>
      <c r="AG85" s="150"/>
      <c r="AH85" s="150"/>
      <c r="AI85" s="150"/>
    </row>
    <row r="86" spans="2:35" ht="15" customHeight="1">
      <c r="B86" s="38" t="s">
        <v>152</v>
      </c>
      <c r="C86" s="169">
        <f t="array" ref="C86">INDEX($A79:$A80,MATCH(C85,$A79:$A80,1))</f>
        <v>50</v>
      </c>
      <c r="D86" s="150"/>
      <c r="E86" s="73"/>
      <c r="G86" s="150"/>
      <c r="H86" s="150"/>
      <c r="I86" s="150"/>
      <c r="O86" s="38" t="s">
        <v>152</v>
      </c>
      <c r="P86" s="169">
        <f t="array" ref="P86">INDEX($N79:$N80,MATCH(P85,$N79:$N80,1))</f>
        <v>50</v>
      </c>
      <c r="Q86" s="150"/>
      <c r="R86" s="73"/>
      <c r="T86" s="150"/>
      <c r="U86" s="150"/>
      <c r="V86" s="150"/>
      <c r="AB86" s="38" t="s">
        <v>152</v>
      </c>
      <c r="AC86" s="169">
        <f t="array" ref="AC86">INDEX($AA79:$AA80,MATCH(AC85,$AA79:$AA80,1))</f>
        <v>50</v>
      </c>
      <c r="AD86" s="150"/>
      <c r="AE86" s="73"/>
      <c r="AG86" s="150"/>
      <c r="AH86" s="150"/>
      <c r="AI86" s="150"/>
    </row>
    <row r="87" spans="2:35" ht="15" customHeight="1">
      <c r="B87" s="38" t="s">
        <v>153</v>
      </c>
      <c r="C87" s="169">
        <f t="array" ref="C87">INDEX($A79:$A80,IF(MATCH(C85,$A79:$A80,1)&lt;E83,MATCH(C85,$A79:$A80,1)+1,MATCH(C85,$A79:$A80,1)))</f>
        <v>50</v>
      </c>
      <c r="D87" s="150"/>
      <c r="E87" s="73"/>
      <c r="G87" s="150"/>
      <c r="H87" s="150"/>
      <c r="I87" s="150"/>
      <c r="O87" s="38" t="s">
        <v>153</v>
      </c>
      <c r="P87" s="169">
        <f t="array" ref="P87">INDEX($N79:$N80,IF(MATCH(P85,$N79:$N80,1)&lt;R83,MATCH(P85,$N79:$N80,1)+1,MATCH(P85,$N79:$N80,1)))</f>
        <v>50</v>
      </c>
      <c r="Q87" s="150"/>
      <c r="R87" s="73"/>
      <c r="T87" s="150"/>
      <c r="U87" s="150"/>
      <c r="V87" s="150"/>
      <c r="AB87" s="38" t="s">
        <v>153</v>
      </c>
      <c r="AC87" s="169">
        <f t="array" ref="AC87">INDEX($AA79:$AA80,IF(MATCH(AC85,$AA79:$AA80,1)&lt;AE83,MATCH(AC85,$AA79:$AA80,1)+1,MATCH(AC85,$AA79:$AA80,1)))</f>
        <v>50</v>
      </c>
      <c r="AD87" s="150"/>
      <c r="AE87" s="73"/>
      <c r="AG87" s="150"/>
      <c r="AH87" s="150"/>
      <c r="AI87" s="150"/>
    </row>
    <row r="88" spans="2:35" ht="15" customHeight="1">
      <c r="B88" s="167" t="s">
        <v>154</v>
      </c>
      <c r="C88" s="168">
        <f t="array" aca="1" ref="C88" ca="1">INDEX($B79:$H80,MATCH(C85,$A79:$A80,1),MATCH(C82,$B78:$H78,1))</f>
        <v>1200</v>
      </c>
      <c r="D88" s="150"/>
      <c r="E88" s="73"/>
      <c r="G88" s="150"/>
      <c r="H88" s="150"/>
      <c r="I88" s="150"/>
      <c r="O88" s="167" t="s">
        <v>154</v>
      </c>
      <c r="P88" s="168" t="e">
        <f t="array" aca="1" ref="P88" ca="1">INDEX($O79:$V80,MATCH(P85,$N79:$N80,1),MATCH(P82,$O78:$V78,1))</f>
        <v>#N/A</v>
      </c>
      <c r="Q88" s="150"/>
      <c r="R88" s="73"/>
      <c r="T88" s="150"/>
      <c r="U88" s="150"/>
      <c r="V88" s="150"/>
      <c r="AB88" s="167" t="s">
        <v>154</v>
      </c>
      <c r="AC88" s="168">
        <f t="array" aca="1" ref="AC88" ca="1">INDEX($AB79:$AL80,MATCH(AC85,$AA79:$AA80,1),MATCH(AC82,$AB78:$AL78,1))</f>
        <v>1600</v>
      </c>
      <c r="AD88" s="150"/>
      <c r="AE88" s="73"/>
      <c r="AG88" s="150"/>
      <c r="AH88" s="150"/>
      <c r="AI88" s="150"/>
    </row>
    <row r="89" spans="2:35" ht="15" customHeight="1">
      <c r="B89" s="167" t="s">
        <v>205</v>
      </c>
      <c r="C89" s="168">
        <f t="array" aca="1" ref="C89" ca="1">INDEX($B79:$H80,MATCH(C85,$A79:$A80,1),IF(MATCH(C82,$B78:$H78,1)&lt;E84,MATCH(C82,$B78:$H78,1)+1,MATCH(C85,$A79:$A80,1)))</f>
        <v>1900</v>
      </c>
      <c r="E89" s="73"/>
      <c r="G89" s="150"/>
      <c r="H89" s="150"/>
      <c r="I89" s="150"/>
      <c r="O89" s="167" t="s">
        <v>205</v>
      </c>
      <c r="P89" s="168" t="e">
        <f t="array" aca="1" ref="P89" ca="1">INDEX($O79:$V80,MATCH(P85,$N79:$N80,1),IF(MATCH(P82,$O78:$V78,1)&lt;R84,MATCH(P82,$O78:$V78,1)+1,MATCH(P85,$N79:$N80,1)))</f>
        <v>#N/A</v>
      </c>
      <c r="R89" s="73"/>
      <c r="T89" s="150"/>
      <c r="U89" s="150"/>
      <c r="V89" s="150"/>
      <c r="AB89" s="167" t="s">
        <v>205</v>
      </c>
      <c r="AC89" s="168">
        <f t="array" aca="1" ref="AC89" ca="1">INDEX($AB79:$AL80,MATCH(AC85,$AA79:$AA80,1),IF(MATCH(AC82,$AB78:$AL78,1)&lt;AE84,MATCH(AC82,$AB78:$AL78,1)+1,MATCH(AC85,$AA79:$AA80,1)))</f>
        <v>2100</v>
      </c>
      <c r="AE89" s="73"/>
      <c r="AG89" s="150"/>
      <c r="AH89" s="150"/>
      <c r="AI89" s="150"/>
    </row>
    <row r="90" spans="2:35" ht="15" customHeight="1">
      <c r="B90" s="167" t="s">
        <v>155</v>
      </c>
      <c r="C90" s="168">
        <f t="array" aca="1" ref="C90" ca="1">INDEX($B79:$H80,IF(MATCH(C85,$A79:$A80,1)&lt;E83,MATCH(C85,$A79:$A80,1)+1,MATCH(C85,$A79:$A80,1)),MATCH(C82,$B78:$H78,1))</f>
        <v>1200</v>
      </c>
      <c r="E90" s="73"/>
      <c r="G90" s="150"/>
      <c r="H90" s="150"/>
      <c r="I90" s="150"/>
      <c r="O90" s="167" t="s">
        <v>155</v>
      </c>
      <c r="P90" s="168" t="e">
        <f t="array" aca="1" ref="P90" ca="1">INDEX($O79:$V80,IF(MATCH(P85,$N79:$N80,1)&lt;R83,MATCH(P85,$N79:$N80,1)+1,MATCH(P85,$N79:$N80,1)),MATCH(P82,$O78:$V78,1))</f>
        <v>#N/A</v>
      </c>
      <c r="R90" s="73"/>
      <c r="T90" s="150"/>
      <c r="U90" s="150"/>
      <c r="V90" s="150"/>
      <c r="AB90" s="167" t="s">
        <v>155</v>
      </c>
      <c r="AC90" s="168">
        <f t="array" aca="1" ref="AC90" ca="1">INDEX($AB79:$AL80,IF(MATCH(AC85,$AA79:$AA80,1)&lt;AE83,MATCH(AC85,$AA79:$AA80,1)+1,MATCH(AC85,$AA79:$AA80,1)),MATCH(AC82,$AB78:$AL78,1))</f>
        <v>1600</v>
      </c>
      <c r="AE90" s="73"/>
      <c r="AG90" s="150"/>
      <c r="AH90" s="150"/>
      <c r="AI90" s="150"/>
    </row>
    <row r="91" spans="2:35" ht="15" customHeight="1">
      <c r="B91" s="167" t="s">
        <v>206</v>
      </c>
      <c r="C91" s="168">
        <f t="array" aca="1" ref="C91" ca="1">INDEX($B79:$H80,IF(MATCH(C85,$A79:$A80,1)&lt;E83,MATCH(C85,$A79:$A80,1)+1,MATCH(C85,$A79:$A80,1)),IF(MATCH(C82,$B78:$H78,1)&lt;E84,MATCH(C82,$B78:$H78,1)+1,MATCH(C82,$B78:$H78,1)))</f>
        <v>1900</v>
      </c>
      <c r="G91" s="150"/>
      <c r="H91" s="150"/>
      <c r="I91" s="150"/>
      <c r="O91" s="167" t="s">
        <v>206</v>
      </c>
      <c r="P91" s="168" t="e">
        <f t="array" aca="1" ref="P91" ca="1">INDEX($O79:$V80,IF(MATCH(P85,$N79:$N80,1)&lt;R83,MATCH(P85,$N79:$N80,1)+1,MATCH(P85,$N79:$N80,1)),IF(MATCH(P82,$O78:$V78,1)&lt;R84,MATCH(P82,$O78:$V78,1)+1,MATCH(P82,$O78:$V78,1)))</f>
        <v>#N/A</v>
      </c>
      <c r="T91" s="150"/>
      <c r="U91" s="150"/>
      <c r="V91" s="150"/>
      <c r="AB91" s="167" t="s">
        <v>206</v>
      </c>
      <c r="AC91" s="168">
        <f t="array" aca="1" ref="AC91" ca="1">INDEX($AB79:$AL80,IF(MATCH(AC85,$AA79:$AA80,1)&lt;AE83,MATCH(AC85,$AA79:$AA80,1)+1,MATCH(AC85,$AA79:$AA80,1)),IF(MATCH(AC82,$AB78:$AL78,1)&lt;AE84,MATCH(AC82,$AB78:$AL78,1)+1,MATCH(AC82,$AB78:$AL78,1)))</f>
        <v>2100</v>
      </c>
      <c r="AG91" s="150"/>
      <c r="AH91" s="150"/>
      <c r="AI91" s="150"/>
    </row>
    <row r="92" spans="2:35" ht="15" customHeight="1">
      <c r="B92" s="38" t="s">
        <v>207</v>
      </c>
      <c r="C92" s="169">
        <f ca="1">IFERROR(C88+(C82-C83)*(C89-C88)/(C84-C83),C88)</f>
        <v>1675.4399999999998</v>
      </c>
      <c r="G92" s="150"/>
      <c r="H92" s="150"/>
      <c r="I92" s="150"/>
      <c r="O92" s="38" t="s">
        <v>207</v>
      </c>
      <c r="P92" s="169" t="e">
        <f ca="1">IFERROR(P88+(P82-P83)*(P89-P88)/(P84-P83),P88)</f>
        <v>#N/A</v>
      </c>
      <c r="T92" s="150"/>
      <c r="U92" s="150"/>
      <c r="V92" s="150"/>
      <c r="AB92" s="38" t="s">
        <v>207</v>
      </c>
      <c r="AC92" s="169">
        <f ca="1">IFERROR(AC88+(AC82-AC83)*(AC89-AC88)/(AC84-AC83),AC88)</f>
        <v>1903.8095238095239</v>
      </c>
      <c r="AG92" s="150"/>
      <c r="AH92" s="150"/>
      <c r="AI92" s="150"/>
    </row>
    <row r="93" spans="2:35" ht="15" customHeight="1">
      <c r="B93" s="38" t="s">
        <v>208</v>
      </c>
      <c r="C93" s="169">
        <f ca="1">IFERROR(C90+(C82-C83)*(C91-C90)/(C84-C83),C90)</f>
        <v>1675.4399999999998</v>
      </c>
      <c r="G93" s="150"/>
      <c r="H93" s="150"/>
      <c r="I93" s="150"/>
      <c r="O93" s="38" t="s">
        <v>208</v>
      </c>
      <c r="P93" s="169" t="e">
        <f ca="1">IFERROR(P90+(P82-P83)*(P91-P90)/(P84-P83),P90)</f>
        <v>#N/A</v>
      </c>
      <c r="T93" s="150"/>
      <c r="U93" s="150"/>
      <c r="V93" s="150"/>
      <c r="AB93" s="38" t="s">
        <v>208</v>
      </c>
      <c r="AC93" s="169">
        <f ca="1">IFERROR(AC90+(AC82-AC83)*(AC91-AC90)/(AC84-AC83),AC90)</f>
        <v>1903.8095238095239</v>
      </c>
      <c r="AG93" s="150"/>
      <c r="AH93" s="150"/>
      <c r="AI93" s="150"/>
    </row>
    <row r="94" spans="2:35" ht="15" customHeight="1">
      <c r="B94" s="167" t="s">
        <v>209</v>
      </c>
      <c r="C94" s="168">
        <f ca="1">IFERROR(C92+(C85-C86)*(C93-C92)/(C87-C86),C92)</f>
        <v>1675.4399999999998</v>
      </c>
      <c r="G94" s="150"/>
      <c r="H94" s="150"/>
      <c r="I94" s="150"/>
      <c r="O94" s="167" t="s">
        <v>209</v>
      </c>
      <c r="P94" s="168" t="e">
        <f ca="1">IFERROR(P92+(P85-P86)*(P93-P92)/(P87-P86),P92)</f>
        <v>#N/A</v>
      </c>
      <c r="T94" s="150"/>
      <c r="U94" s="150"/>
      <c r="V94" s="150"/>
      <c r="AB94" s="167" t="s">
        <v>209</v>
      </c>
      <c r="AC94" s="168">
        <f ca="1">IFERROR(AC92+(AC85-AC86)*(AC93-AC92)/(AC87-AC86),AC92)</f>
        <v>1903.8095238095239</v>
      </c>
      <c r="AG94" s="150"/>
      <c r="AH94" s="150"/>
      <c r="AI94" s="150"/>
    </row>
    <row r="95" spans="2:35" ht="15" customHeight="1">
      <c r="C95" s="221"/>
      <c r="P95" s="221"/>
      <c r="AC95" s="221"/>
    </row>
    <row r="96" spans="2:35" ht="15" customHeight="1">
      <c r="C96" s="44"/>
      <c r="P96" s="44"/>
      <c r="AC96" s="44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9">
    <mergeCell ref="B77:I77"/>
    <mergeCell ref="O77:V77"/>
    <mergeCell ref="AB77:AI77"/>
    <mergeCell ref="D82:E82"/>
    <mergeCell ref="Q82:R82"/>
    <mergeCell ref="AD82:AE82"/>
    <mergeCell ref="B57:I57"/>
    <mergeCell ref="O57:V57"/>
    <mergeCell ref="AB57:AI57"/>
    <mergeCell ref="D63:E63"/>
    <mergeCell ref="Q63:R63"/>
    <mergeCell ref="AD63:AE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33:F40">
    <cfRule type="colorScale" priority="3">
      <colorScale>
        <cfvo type="min"/>
        <cfvo type="max"/>
        <color rgb="FFFCFCFF"/>
        <color rgb="FFF8696B"/>
      </colorScale>
    </cfRule>
  </conditionalFormatting>
  <conditionalFormatting sqref="B59:G61">
    <cfRule type="colorScale" priority="4">
      <colorScale>
        <cfvo type="min"/>
        <cfvo type="max"/>
        <color rgb="FFFCFCFF"/>
        <color rgb="FFF8696B"/>
      </colorScale>
    </cfRule>
  </conditionalFormatting>
  <conditionalFormatting sqref="B79:G80">
    <cfRule type="colorScale" priority="5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6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7">
      <colorScale>
        <cfvo type="min"/>
        <cfvo type="max"/>
        <color rgb="FFFCFCFF"/>
        <color rgb="FFF8696B"/>
      </colorScale>
    </cfRule>
  </conditionalFormatting>
  <conditionalFormatting sqref="O59:U61">
    <cfRule type="colorScale" priority="8">
      <colorScale>
        <cfvo type="min"/>
        <cfvo type="max"/>
        <color rgb="FFFCFCFF"/>
        <color rgb="FFF8696B"/>
      </colorScale>
    </cfRule>
  </conditionalFormatting>
  <conditionalFormatting sqref="O79:U80">
    <cfRule type="colorScale" priority="9">
      <colorScale>
        <cfvo type="min"/>
        <cfvo type="max"/>
        <color rgb="FFFCFCFF"/>
        <color rgb="FFF8696B"/>
      </colorScale>
    </cfRule>
  </conditionalFormatting>
  <conditionalFormatting sqref="P33:S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11">
      <colorScale>
        <cfvo type="min"/>
        <cfvo type="max"/>
        <color rgb="FFFCFCFF"/>
        <color rgb="FFF8696B"/>
      </colorScale>
    </cfRule>
  </conditionalFormatting>
  <conditionalFormatting sqref="AB59:AG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B79:AK80">
    <cfRule type="colorScale" priority="14">
      <colorScale>
        <cfvo type="min"/>
        <cfvo type="max"/>
        <color rgb="FFFCFCFF"/>
        <color rgb="FFF8696B"/>
      </colorScale>
    </cfRule>
  </conditionalFormatting>
  <conditionalFormatting sqref="AC33:AF40">
    <cfRule type="colorScale" priority="15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16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41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42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CFDACB9C317E44B65EE510FC845ADF" ma:contentTypeVersion="13" ma:contentTypeDescription="Skapa ett nytt dokument." ma:contentTypeScope="" ma:versionID="1c9e161efc84c4d21ee7504099ada50c">
  <xsd:schema xmlns:xsd="http://www.w3.org/2001/XMLSchema" xmlns:xs="http://www.w3.org/2001/XMLSchema" xmlns:p="http://schemas.microsoft.com/office/2006/metadata/properties" xmlns:ns2="ad7783eb-294a-4872-a790-54a408345846" xmlns:ns3="79cfe074-6702-4f56-92d6-0bfcd31daee5" targetNamespace="http://schemas.microsoft.com/office/2006/metadata/properties" ma:root="true" ma:fieldsID="3e090ab344d7c3dd95f938bb7d7ad82f" ns2:_="" ns3:_="">
    <xsd:import namespace="ad7783eb-294a-4872-a790-54a408345846"/>
    <xsd:import namespace="79cfe074-6702-4f56-92d6-0bfcd31da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783eb-294a-4872-a790-54a408345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1c7cd0a3-83bd-4856-8d22-fbbffddc11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fe074-6702-4f56-92d6-0bfcd31daee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a3a947-3e01-40ba-a188-cdf810524933}" ma:internalName="TaxCatchAll" ma:showField="CatchAllData" ma:web="79cfe074-6702-4f56-92d6-0bfcd31da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cfe074-6702-4f56-92d6-0bfcd31daee5" xsi:nil="true"/>
    <lcf76f155ced4ddcb4097134ff3c332f xmlns="ad7783eb-294a-4872-a790-54a40834584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3B6C57-1A59-4DC2-974F-224B1C18A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783eb-294a-4872-a790-54a408345846"/>
    <ds:schemaRef ds:uri="79cfe074-6702-4f56-92d6-0bfcd31dae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12F66B-75F3-487A-AC6C-3536F374A624}">
  <ds:schemaRefs>
    <ds:schemaRef ds:uri="http://schemas.microsoft.com/office/2006/metadata/properties"/>
    <ds:schemaRef ds:uri="http://schemas.microsoft.com/office/infopath/2007/PartnerControls"/>
    <ds:schemaRef ds:uri="79cfe074-6702-4f56-92d6-0bfcd31daee5"/>
    <ds:schemaRef ds:uri="ad7783eb-294a-4872-a790-54a408345846"/>
  </ds:schemaRefs>
</ds:datastoreItem>
</file>

<file path=customXml/itemProps3.xml><?xml version="1.0" encoding="utf-8"?>
<ds:datastoreItem xmlns:ds="http://schemas.openxmlformats.org/officeDocument/2006/customXml" ds:itemID="{CFCD414B-99C4-4EE1-BB01-429E68675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Take-off</vt:lpstr>
      <vt:lpstr>Landing</vt:lpstr>
      <vt:lpstr>Airport data</vt:lpstr>
      <vt:lpstr>Dropdown lists</vt:lpstr>
      <vt:lpstr>LTL_LDG Performance</vt:lpstr>
      <vt:lpstr>LTL_TAKE OFF Performance FLAPS </vt:lpstr>
      <vt:lpstr>Blad3</vt:lpstr>
      <vt:lpstr>LTL_Landing distance data</vt:lpstr>
      <vt:lpstr>LTL_Accelerate and GO (2)</vt:lpstr>
      <vt:lpstr>LTL_Accelerate and stop2</vt:lpstr>
      <vt:lpstr>LTL_OEI CLIMB GRADIENT</vt:lpstr>
      <vt:lpstr>LTL_NET GRADIENT OF CLIMB</vt:lpstr>
      <vt:lpstr>LTL_Takeoff distance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Erik Jonasson</cp:lastModifiedBy>
  <cp:revision>1</cp:revision>
  <dcterms:modified xsi:type="dcterms:W3CDTF">2026-10-13T11:37:59Z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0x0101002ECFDACB9C317E44B65EE510FC845ADF</vt:lpwstr>
  </property>
  <property fmtid="{D5CDD505-2E9C-101B-9397-08002B2CF9AE}" pid="3" name="MediaServiceImageTags">
    <vt:lpwstr/>
  </property>
</Properties>
</file>